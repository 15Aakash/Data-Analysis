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New folder\Hands on Projects\HR Employee Attrition Analysis\"/>
    </mc:Choice>
  </mc:AlternateContent>
  <xr:revisionPtr revIDLastSave="0" documentId="13_ncr:1_{BC383AE8-A1A2-4BE8-AFA3-5A3209559D04}" xr6:coauthVersionLast="47" xr6:coauthVersionMax="47" xr10:uidLastSave="{00000000-0000-0000-0000-000000000000}"/>
  <bookViews>
    <workbookView xWindow="-108" yWindow="-108" windowWidth="23256" windowHeight="12456" xr2:uid="{6A563A50-5424-49EB-9DBC-8C094825B2A0}"/>
  </bookViews>
  <sheets>
    <sheet name="Dashboard" sheetId="4" r:id="rId1"/>
    <sheet name="Business_Insights" sheetId="5" r:id="rId2"/>
    <sheet name="Raw_Data" sheetId="2" r:id="rId3"/>
    <sheet name="Cleaned_Data" sheetId="1" r:id="rId4"/>
    <sheet name="Pivot_Analysis" sheetId="3" r:id="rId5"/>
  </sheets>
  <definedNames>
    <definedName name="Slicer_Department">#N/A</definedName>
    <definedName name="Slicer_Gender">#N/A</definedName>
    <definedName name="Slicer_OverTime">#N/A</definedName>
  </definedNames>
  <calcPr calcId="191029"/>
  <pivotCaches>
    <pivotCache cacheId="17"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4" l="1"/>
  <c r="J4" i="4"/>
  <c r="G4" i="4"/>
  <c r="D4" i="4"/>
  <c r="M4" i="3"/>
  <c r="M4" i="4" s="1"/>
  <c r="AP2" i="1"/>
  <c r="AP3" i="1"/>
  <c r="AP4" i="1"/>
  <c r="AP5" i="1"/>
  <c r="AP6" i="1"/>
  <c r="AP7" i="1"/>
  <c r="AP8" i="1"/>
  <c r="AP9" i="1"/>
  <c r="AP10" i="1"/>
  <c r="AP11" i="1"/>
  <c r="AP12" i="1"/>
  <c r="AP13" i="1"/>
  <c r="AP14" i="1"/>
  <c r="AP15" i="1"/>
  <c r="AP16" i="1"/>
  <c r="AP17" i="1"/>
  <c r="AP18" i="1"/>
  <c r="AP19" i="1"/>
  <c r="AP20" i="1"/>
  <c r="AP21" i="1"/>
  <c r="AP22" i="1"/>
  <c r="AP23" i="1"/>
  <c r="AP24" i="1"/>
  <c r="AP25" i="1"/>
  <c r="AP26" i="1"/>
  <c r="AP27" i="1"/>
  <c r="AP28" i="1"/>
  <c r="AP29" i="1"/>
  <c r="AP30" i="1"/>
  <c r="AP31" i="1"/>
  <c r="AP32" i="1"/>
  <c r="AP33" i="1"/>
  <c r="AP34" i="1"/>
  <c r="AP35" i="1"/>
  <c r="AP36" i="1"/>
  <c r="AP37" i="1"/>
  <c r="AP38" i="1"/>
  <c r="AP39" i="1"/>
  <c r="AP40" i="1"/>
  <c r="AP41" i="1"/>
  <c r="AP42" i="1"/>
  <c r="AP43" i="1"/>
  <c r="AP44" i="1"/>
  <c r="AP45" i="1"/>
  <c r="AP46" i="1"/>
  <c r="AP47" i="1"/>
  <c r="AP48" i="1"/>
  <c r="AP49" i="1"/>
  <c r="AP50" i="1"/>
  <c r="AP51" i="1"/>
  <c r="AP52" i="1"/>
  <c r="AP53" i="1"/>
  <c r="AP54" i="1"/>
  <c r="AP55" i="1"/>
  <c r="AP56" i="1"/>
  <c r="AP57" i="1"/>
  <c r="AP58" i="1"/>
  <c r="AP59" i="1"/>
  <c r="AP60" i="1"/>
  <c r="AP61" i="1"/>
  <c r="AP62" i="1"/>
  <c r="AP63" i="1"/>
  <c r="AP64" i="1"/>
  <c r="AP65" i="1"/>
  <c r="AP66" i="1"/>
  <c r="AP67" i="1"/>
  <c r="AP68" i="1"/>
  <c r="AP69" i="1"/>
  <c r="AP70" i="1"/>
  <c r="AP71" i="1"/>
  <c r="AP72" i="1"/>
  <c r="AP73" i="1"/>
  <c r="AP74" i="1"/>
  <c r="AP75" i="1"/>
  <c r="AP76" i="1"/>
  <c r="AP77" i="1"/>
  <c r="AP78" i="1"/>
  <c r="AP79" i="1"/>
  <c r="AP80" i="1"/>
  <c r="AP81" i="1"/>
  <c r="AP82" i="1"/>
  <c r="AP83" i="1"/>
  <c r="AP84" i="1"/>
  <c r="AP85" i="1"/>
  <c r="AP86" i="1"/>
  <c r="AP87" i="1"/>
  <c r="AP88" i="1"/>
  <c r="AP89" i="1"/>
  <c r="AP90" i="1"/>
  <c r="AP91" i="1"/>
  <c r="AP92" i="1"/>
  <c r="AP93" i="1"/>
  <c r="AP94" i="1"/>
  <c r="AP95" i="1"/>
  <c r="AP96" i="1"/>
  <c r="AP97" i="1"/>
  <c r="AP98" i="1"/>
  <c r="AP99" i="1"/>
  <c r="AP100" i="1"/>
  <c r="AP101" i="1"/>
  <c r="AP102" i="1"/>
  <c r="AP103" i="1"/>
  <c r="AP104" i="1"/>
  <c r="AP105" i="1"/>
  <c r="AP106" i="1"/>
  <c r="AP107" i="1"/>
  <c r="AP108" i="1"/>
  <c r="AP109" i="1"/>
  <c r="AP110" i="1"/>
  <c r="AP111" i="1"/>
  <c r="AP112" i="1"/>
  <c r="AP113" i="1"/>
  <c r="AP114" i="1"/>
  <c r="AP115" i="1"/>
  <c r="AP116" i="1"/>
  <c r="AP117" i="1"/>
  <c r="AP118" i="1"/>
  <c r="AP119" i="1"/>
  <c r="AP120" i="1"/>
  <c r="AP121" i="1"/>
  <c r="AP122" i="1"/>
  <c r="AP123" i="1"/>
  <c r="AP124" i="1"/>
  <c r="AP125" i="1"/>
  <c r="AP126" i="1"/>
  <c r="AP127" i="1"/>
  <c r="AP128" i="1"/>
  <c r="AP129" i="1"/>
  <c r="AP130" i="1"/>
  <c r="AP131" i="1"/>
  <c r="AP132" i="1"/>
  <c r="AP133" i="1"/>
  <c r="AP134" i="1"/>
  <c r="AP135" i="1"/>
  <c r="AP136" i="1"/>
  <c r="AP137" i="1"/>
  <c r="AP138" i="1"/>
  <c r="AP139" i="1"/>
  <c r="AP140" i="1"/>
  <c r="AP141" i="1"/>
  <c r="AP142" i="1"/>
  <c r="AP143" i="1"/>
  <c r="AP144" i="1"/>
  <c r="AP145" i="1"/>
  <c r="AP146" i="1"/>
  <c r="AP147" i="1"/>
  <c r="AP148" i="1"/>
  <c r="AP149" i="1"/>
  <c r="AP150" i="1"/>
  <c r="AP151" i="1"/>
  <c r="AP152" i="1"/>
  <c r="AP153" i="1"/>
  <c r="AP154" i="1"/>
  <c r="AP155" i="1"/>
  <c r="AP156" i="1"/>
  <c r="AP157" i="1"/>
  <c r="AP158" i="1"/>
  <c r="AP159" i="1"/>
  <c r="AP160" i="1"/>
  <c r="AP161" i="1"/>
  <c r="AP162" i="1"/>
  <c r="AP163" i="1"/>
  <c r="AP164" i="1"/>
  <c r="AP165" i="1"/>
  <c r="AP166" i="1"/>
  <c r="AP167" i="1"/>
  <c r="AP168" i="1"/>
  <c r="AP169" i="1"/>
  <c r="AP170" i="1"/>
  <c r="AP171" i="1"/>
  <c r="AP172" i="1"/>
  <c r="AP173" i="1"/>
  <c r="AP174" i="1"/>
  <c r="AP175" i="1"/>
  <c r="AP176" i="1"/>
  <c r="AP177" i="1"/>
  <c r="AP178" i="1"/>
  <c r="AP179" i="1"/>
  <c r="AP180" i="1"/>
  <c r="AP181" i="1"/>
  <c r="AP182" i="1"/>
  <c r="AP183" i="1"/>
  <c r="AP184" i="1"/>
  <c r="AP185" i="1"/>
  <c r="AP186" i="1"/>
  <c r="AP187" i="1"/>
  <c r="AP188" i="1"/>
  <c r="AP189" i="1"/>
  <c r="AP190" i="1"/>
  <c r="AP191" i="1"/>
  <c r="AP192" i="1"/>
  <c r="AP193" i="1"/>
  <c r="AP194" i="1"/>
  <c r="AP195" i="1"/>
  <c r="AP196" i="1"/>
  <c r="AP197" i="1"/>
  <c r="AP198" i="1"/>
  <c r="AP199" i="1"/>
  <c r="AP200" i="1"/>
  <c r="AP201" i="1"/>
  <c r="AP202" i="1"/>
  <c r="AP203" i="1"/>
  <c r="AP204" i="1"/>
  <c r="AP205" i="1"/>
  <c r="AP206" i="1"/>
  <c r="AP207" i="1"/>
  <c r="AP208" i="1"/>
  <c r="AP209" i="1"/>
  <c r="AP210" i="1"/>
  <c r="AP211" i="1"/>
  <c r="AP212" i="1"/>
  <c r="AP213" i="1"/>
  <c r="AP214" i="1"/>
  <c r="AP215" i="1"/>
  <c r="AP216" i="1"/>
  <c r="AP217" i="1"/>
  <c r="AP218" i="1"/>
  <c r="AP219" i="1"/>
  <c r="AP220" i="1"/>
  <c r="AP221" i="1"/>
  <c r="AP222" i="1"/>
  <c r="AP223" i="1"/>
  <c r="AP224" i="1"/>
  <c r="AP225" i="1"/>
  <c r="AP226" i="1"/>
  <c r="AP227" i="1"/>
  <c r="AP228" i="1"/>
  <c r="AP229" i="1"/>
  <c r="AP230" i="1"/>
  <c r="AP231" i="1"/>
  <c r="AP232" i="1"/>
  <c r="AP233" i="1"/>
  <c r="AP234" i="1"/>
  <c r="AP235" i="1"/>
  <c r="AP236" i="1"/>
  <c r="AP237" i="1"/>
  <c r="AP238" i="1"/>
  <c r="AP239" i="1"/>
  <c r="AP240" i="1"/>
  <c r="AP241" i="1"/>
  <c r="AP242" i="1"/>
  <c r="AP243" i="1"/>
  <c r="AP244" i="1"/>
  <c r="AP245" i="1"/>
  <c r="AP246" i="1"/>
  <c r="AP247" i="1"/>
  <c r="AP248" i="1"/>
  <c r="AP249" i="1"/>
  <c r="AP250" i="1"/>
  <c r="AP251" i="1"/>
  <c r="AP252" i="1"/>
  <c r="AP253" i="1"/>
  <c r="AP254" i="1"/>
  <c r="AP255" i="1"/>
  <c r="AP256" i="1"/>
  <c r="AP257" i="1"/>
  <c r="AP258" i="1"/>
  <c r="AP259" i="1"/>
  <c r="AP260" i="1"/>
  <c r="AP261" i="1"/>
  <c r="AP262" i="1"/>
  <c r="AP263" i="1"/>
  <c r="AP264" i="1"/>
  <c r="AP265" i="1"/>
  <c r="AP266" i="1"/>
  <c r="AP267" i="1"/>
  <c r="AP268" i="1"/>
  <c r="AP269" i="1"/>
  <c r="AP270" i="1"/>
  <c r="AP271" i="1"/>
  <c r="AP272" i="1"/>
  <c r="AP273" i="1"/>
  <c r="AP274" i="1"/>
  <c r="AP275" i="1"/>
  <c r="AP276" i="1"/>
  <c r="AP277" i="1"/>
  <c r="AP278" i="1"/>
  <c r="AP279" i="1"/>
  <c r="AP280" i="1"/>
  <c r="AP281" i="1"/>
  <c r="AP282" i="1"/>
  <c r="AP283" i="1"/>
  <c r="AP284" i="1"/>
  <c r="AP285" i="1"/>
  <c r="AP286" i="1"/>
  <c r="AP287" i="1"/>
  <c r="AP288" i="1"/>
  <c r="AP289" i="1"/>
  <c r="AP290" i="1"/>
  <c r="AP291" i="1"/>
  <c r="AP292" i="1"/>
  <c r="AP293" i="1"/>
  <c r="AP294" i="1"/>
  <c r="AP295" i="1"/>
  <c r="AP296" i="1"/>
  <c r="AP297" i="1"/>
  <c r="AP298" i="1"/>
  <c r="AP299" i="1"/>
  <c r="AP300" i="1"/>
  <c r="AP301" i="1"/>
  <c r="AP302" i="1"/>
  <c r="AP303" i="1"/>
  <c r="AP304" i="1"/>
  <c r="AP305" i="1"/>
  <c r="AP306" i="1"/>
  <c r="AP307" i="1"/>
  <c r="AP308" i="1"/>
  <c r="AP309" i="1"/>
  <c r="AP310" i="1"/>
  <c r="AP311" i="1"/>
  <c r="AP312" i="1"/>
  <c r="AP313" i="1"/>
  <c r="AP314" i="1"/>
  <c r="AP315" i="1"/>
  <c r="AP316" i="1"/>
  <c r="AP317" i="1"/>
  <c r="AP318" i="1"/>
  <c r="AP319" i="1"/>
  <c r="AP320" i="1"/>
  <c r="AP321" i="1"/>
  <c r="AP322" i="1"/>
  <c r="AP323" i="1"/>
  <c r="AP324" i="1"/>
  <c r="AP325" i="1"/>
  <c r="AP326" i="1"/>
  <c r="AP327" i="1"/>
  <c r="AP328" i="1"/>
  <c r="AP329" i="1"/>
  <c r="AP330" i="1"/>
  <c r="AP331" i="1"/>
  <c r="AP332" i="1"/>
  <c r="AP333" i="1"/>
  <c r="AP334" i="1"/>
  <c r="AP335" i="1"/>
  <c r="AP336" i="1"/>
  <c r="AP337" i="1"/>
  <c r="AP338" i="1"/>
  <c r="AP339" i="1"/>
  <c r="AP340" i="1"/>
  <c r="AP341" i="1"/>
  <c r="AP342" i="1"/>
  <c r="AP343" i="1"/>
  <c r="AP344" i="1"/>
  <c r="AP345" i="1"/>
  <c r="AP346" i="1"/>
  <c r="AP347" i="1"/>
  <c r="AP348" i="1"/>
  <c r="AP349" i="1"/>
  <c r="AP350" i="1"/>
  <c r="AP351" i="1"/>
  <c r="AP352" i="1"/>
  <c r="AP353" i="1"/>
  <c r="AP354" i="1"/>
  <c r="AP355" i="1"/>
  <c r="AP356" i="1"/>
  <c r="AP357" i="1"/>
  <c r="AP358" i="1"/>
  <c r="AP359" i="1"/>
  <c r="AP360" i="1"/>
  <c r="AP361" i="1"/>
  <c r="AP362" i="1"/>
  <c r="AP363" i="1"/>
  <c r="AP364" i="1"/>
  <c r="AP365" i="1"/>
  <c r="AP366" i="1"/>
  <c r="AP367" i="1"/>
  <c r="AP368" i="1"/>
  <c r="AP369" i="1"/>
  <c r="AP370" i="1"/>
  <c r="AP371" i="1"/>
  <c r="AP372" i="1"/>
  <c r="AP373" i="1"/>
  <c r="AP374" i="1"/>
  <c r="AP375" i="1"/>
  <c r="AP376" i="1"/>
  <c r="AP377" i="1"/>
  <c r="AP378" i="1"/>
  <c r="AP379" i="1"/>
  <c r="AP380" i="1"/>
  <c r="AP381" i="1"/>
  <c r="AP382" i="1"/>
  <c r="AP383" i="1"/>
  <c r="AP384" i="1"/>
  <c r="AP385" i="1"/>
  <c r="AP386" i="1"/>
  <c r="AP387" i="1"/>
  <c r="AP388" i="1"/>
  <c r="AP389" i="1"/>
  <c r="AP390" i="1"/>
  <c r="AP391" i="1"/>
  <c r="AP392" i="1"/>
  <c r="AP393" i="1"/>
  <c r="AP394" i="1"/>
  <c r="AP395" i="1"/>
  <c r="AP396" i="1"/>
  <c r="AP397" i="1"/>
  <c r="AP398" i="1"/>
  <c r="AP399" i="1"/>
  <c r="AP400" i="1"/>
  <c r="AP401" i="1"/>
  <c r="AP402" i="1"/>
  <c r="AP403" i="1"/>
  <c r="AP404" i="1"/>
  <c r="AP405" i="1"/>
  <c r="AP406" i="1"/>
  <c r="AP407" i="1"/>
  <c r="AP408" i="1"/>
  <c r="AP409" i="1"/>
  <c r="AP410" i="1"/>
  <c r="AP411" i="1"/>
  <c r="AP412" i="1"/>
  <c r="AP413" i="1"/>
  <c r="AP414" i="1"/>
  <c r="AP415" i="1"/>
  <c r="AP416" i="1"/>
  <c r="AP417" i="1"/>
  <c r="AP418" i="1"/>
  <c r="AP419" i="1"/>
  <c r="AP420" i="1"/>
  <c r="AP421" i="1"/>
  <c r="AP422" i="1"/>
  <c r="AP423" i="1"/>
  <c r="AP424" i="1"/>
  <c r="AP425" i="1"/>
  <c r="AP426" i="1"/>
  <c r="AP427" i="1"/>
  <c r="AP428" i="1"/>
  <c r="AP429" i="1"/>
  <c r="AP430" i="1"/>
  <c r="AP431" i="1"/>
  <c r="AP432" i="1"/>
  <c r="AP433" i="1"/>
  <c r="AP434" i="1"/>
  <c r="AP435" i="1"/>
  <c r="AP436" i="1"/>
  <c r="AP437" i="1"/>
  <c r="AP438" i="1"/>
  <c r="AP439" i="1"/>
  <c r="AP440" i="1"/>
  <c r="AP441" i="1"/>
  <c r="AP442" i="1"/>
  <c r="AP443" i="1"/>
  <c r="AP444" i="1"/>
  <c r="AP445" i="1"/>
  <c r="AP446" i="1"/>
  <c r="AP447" i="1"/>
  <c r="AP448" i="1"/>
  <c r="AP449" i="1"/>
  <c r="AP450" i="1"/>
  <c r="AP451" i="1"/>
  <c r="AP452" i="1"/>
  <c r="AP453" i="1"/>
  <c r="AP454" i="1"/>
  <c r="AP455" i="1"/>
  <c r="AP456" i="1"/>
  <c r="AP457" i="1"/>
  <c r="AP458" i="1"/>
  <c r="AP459" i="1"/>
  <c r="AP460" i="1"/>
  <c r="AP461" i="1"/>
  <c r="AP462" i="1"/>
  <c r="AP463" i="1"/>
  <c r="AP464" i="1"/>
  <c r="AP465" i="1"/>
  <c r="AP466" i="1"/>
  <c r="AP467" i="1"/>
  <c r="AP468" i="1"/>
  <c r="AP469" i="1"/>
  <c r="AP470" i="1"/>
  <c r="AP471" i="1"/>
  <c r="AP472" i="1"/>
  <c r="AP473" i="1"/>
  <c r="AP474" i="1"/>
  <c r="AP475" i="1"/>
  <c r="AP476" i="1"/>
  <c r="AP477" i="1"/>
  <c r="AP478" i="1"/>
  <c r="AP479" i="1"/>
  <c r="AP480" i="1"/>
  <c r="AP481" i="1"/>
  <c r="AP482" i="1"/>
  <c r="AP483" i="1"/>
  <c r="AP484" i="1"/>
  <c r="AP485" i="1"/>
  <c r="AP486" i="1"/>
  <c r="AP487" i="1"/>
  <c r="AP488" i="1"/>
  <c r="AP489" i="1"/>
  <c r="AP490" i="1"/>
  <c r="AP491" i="1"/>
  <c r="AP492" i="1"/>
  <c r="AP493" i="1"/>
  <c r="AP494" i="1"/>
  <c r="AP495" i="1"/>
  <c r="AP496" i="1"/>
  <c r="AP497" i="1"/>
  <c r="AP498" i="1"/>
  <c r="AP499" i="1"/>
  <c r="AP500" i="1"/>
  <c r="AP501" i="1"/>
  <c r="AP502" i="1"/>
  <c r="AP503" i="1"/>
  <c r="AP504" i="1"/>
  <c r="AP505" i="1"/>
  <c r="AP506" i="1"/>
  <c r="AP507" i="1"/>
  <c r="AP508" i="1"/>
  <c r="AP509" i="1"/>
  <c r="AP510" i="1"/>
  <c r="AP511" i="1"/>
  <c r="AP512" i="1"/>
  <c r="AP513" i="1"/>
  <c r="AP514" i="1"/>
  <c r="AP515" i="1"/>
  <c r="AP516" i="1"/>
  <c r="AP517" i="1"/>
  <c r="AP518" i="1"/>
  <c r="AP519" i="1"/>
  <c r="AP520" i="1"/>
  <c r="AP521" i="1"/>
  <c r="AP522" i="1"/>
  <c r="AP523" i="1"/>
  <c r="AP524" i="1"/>
  <c r="AP525" i="1"/>
  <c r="AP526" i="1"/>
  <c r="AP527" i="1"/>
  <c r="AP528" i="1"/>
  <c r="AP529" i="1"/>
  <c r="AP530" i="1"/>
  <c r="AP531" i="1"/>
  <c r="AP532" i="1"/>
  <c r="AP533" i="1"/>
  <c r="AP534" i="1"/>
  <c r="AP535" i="1"/>
  <c r="AP536" i="1"/>
  <c r="AP537" i="1"/>
  <c r="AP538" i="1"/>
  <c r="AP539" i="1"/>
  <c r="AP540" i="1"/>
  <c r="AP541" i="1"/>
  <c r="AP542" i="1"/>
  <c r="AP543" i="1"/>
  <c r="AP544" i="1"/>
  <c r="AP545" i="1"/>
  <c r="AP546" i="1"/>
  <c r="AP547" i="1"/>
  <c r="AP548" i="1"/>
  <c r="AP549" i="1"/>
  <c r="AP550" i="1"/>
  <c r="AP551" i="1"/>
  <c r="AP552" i="1"/>
  <c r="AP553" i="1"/>
  <c r="AP554" i="1"/>
  <c r="AP555" i="1"/>
  <c r="AP556" i="1"/>
  <c r="AP557" i="1"/>
  <c r="AP558" i="1"/>
  <c r="AP559" i="1"/>
  <c r="AP560" i="1"/>
  <c r="AP561" i="1"/>
  <c r="AP562" i="1"/>
  <c r="AP563" i="1"/>
  <c r="AP564" i="1"/>
  <c r="AP565" i="1"/>
  <c r="AP566" i="1"/>
  <c r="AP567" i="1"/>
  <c r="AP568" i="1"/>
  <c r="AP569" i="1"/>
  <c r="AP570" i="1"/>
  <c r="AP571" i="1"/>
  <c r="AP572" i="1"/>
  <c r="AP573" i="1"/>
  <c r="AP574" i="1"/>
  <c r="AP575" i="1"/>
  <c r="AP576" i="1"/>
  <c r="AP577" i="1"/>
  <c r="AP578" i="1"/>
  <c r="AP579" i="1"/>
  <c r="AP580" i="1"/>
  <c r="AP581" i="1"/>
  <c r="AP582" i="1"/>
  <c r="AP583" i="1"/>
  <c r="AP584" i="1"/>
  <c r="AP585" i="1"/>
  <c r="AP586" i="1"/>
  <c r="AP587" i="1"/>
  <c r="AP588" i="1"/>
  <c r="AP589" i="1"/>
  <c r="AP590" i="1"/>
  <c r="AP591" i="1"/>
  <c r="AP592" i="1"/>
  <c r="AP593" i="1"/>
  <c r="AP594" i="1"/>
  <c r="AP595" i="1"/>
  <c r="AP596" i="1"/>
  <c r="AP597" i="1"/>
  <c r="AP598" i="1"/>
  <c r="AP599" i="1"/>
  <c r="AP600" i="1"/>
  <c r="AP601" i="1"/>
  <c r="AP602" i="1"/>
  <c r="AP603" i="1"/>
  <c r="AP604" i="1"/>
  <c r="AP605" i="1"/>
  <c r="AP606" i="1"/>
  <c r="AP607" i="1"/>
  <c r="AP608" i="1"/>
  <c r="AP609" i="1"/>
  <c r="AP610" i="1"/>
  <c r="AP611" i="1"/>
  <c r="AP612" i="1"/>
  <c r="AP613" i="1"/>
  <c r="AP614" i="1"/>
  <c r="AP615" i="1"/>
  <c r="AP616" i="1"/>
  <c r="AP617" i="1"/>
  <c r="AP618" i="1"/>
  <c r="AP619" i="1"/>
  <c r="AP620" i="1"/>
  <c r="AP621" i="1"/>
  <c r="AP622" i="1"/>
  <c r="AP623" i="1"/>
  <c r="AP624" i="1"/>
  <c r="AP625" i="1"/>
  <c r="AP626" i="1"/>
  <c r="AP627" i="1"/>
  <c r="AP628" i="1"/>
  <c r="AP629" i="1"/>
  <c r="AP630" i="1"/>
  <c r="AP631" i="1"/>
  <c r="AP632" i="1"/>
  <c r="AP633" i="1"/>
  <c r="AP634" i="1"/>
  <c r="AP635" i="1"/>
  <c r="AP636" i="1"/>
  <c r="AP637" i="1"/>
  <c r="AP638" i="1"/>
  <c r="AP639" i="1"/>
  <c r="AP640" i="1"/>
  <c r="AP641" i="1"/>
  <c r="AP642" i="1"/>
  <c r="AP643" i="1"/>
  <c r="AP644" i="1"/>
  <c r="AP645" i="1"/>
  <c r="AP646" i="1"/>
  <c r="AP647" i="1"/>
  <c r="AP648" i="1"/>
  <c r="AP649" i="1"/>
  <c r="AP650" i="1"/>
  <c r="AP651" i="1"/>
  <c r="AP652" i="1"/>
  <c r="AP653" i="1"/>
  <c r="AP654" i="1"/>
  <c r="AP655" i="1"/>
  <c r="AP656" i="1"/>
  <c r="AP657" i="1"/>
  <c r="AP658" i="1"/>
  <c r="AP659" i="1"/>
  <c r="AP660" i="1"/>
  <c r="AP661" i="1"/>
  <c r="AP662" i="1"/>
  <c r="AP663" i="1"/>
  <c r="AP664" i="1"/>
  <c r="AP665" i="1"/>
  <c r="AP666" i="1"/>
  <c r="AP667" i="1"/>
  <c r="AP668" i="1"/>
  <c r="AP669" i="1"/>
  <c r="AP670" i="1"/>
  <c r="AP671" i="1"/>
  <c r="AP672" i="1"/>
  <c r="AP673" i="1"/>
  <c r="AP674" i="1"/>
  <c r="AP675" i="1"/>
  <c r="AP676" i="1"/>
  <c r="AP677" i="1"/>
  <c r="AP678" i="1"/>
  <c r="AP679" i="1"/>
  <c r="AP680" i="1"/>
  <c r="AP681" i="1"/>
  <c r="AP682" i="1"/>
  <c r="AP683" i="1"/>
  <c r="AP684" i="1"/>
  <c r="AP685" i="1"/>
  <c r="AP686" i="1"/>
  <c r="AP687" i="1"/>
  <c r="AP688" i="1"/>
  <c r="AP689" i="1"/>
  <c r="AP690" i="1"/>
  <c r="AP691" i="1"/>
  <c r="AP692" i="1"/>
  <c r="AP693" i="1"/>
  <c r="AP694" i="1"/>
  <c r="AP695" i="1"/>
  <c r="AP696" i="1"/>
  <c r="AP697" i="1"/>
  <c r="AP698" i="1"/>
  <c r="AP699" i="1"/>
  <c r="AP700" i="1"/>
  <c r="AP701" i="1"/>
  <c r="AP702" i="1"/>
  <c r="AP703" i="1"/>
  <c r="AP704" i="1"/>
  <c r="AP705" i="1"/>
  <c r="AP706" i="1"/>
  <c r="AP707" i="1"/>
  <c r="AP708" i="1"/>
  <c r="AP709" i="1"/>
  <c r="AP710" i="1"/>
  <c r="AP711" i="1"/>
  <c r="AP712" i="1"/>
  <c r="AP713" i="1"/>
  <c r="AP714" i="1"/>
  <c r="AP715" i="1"/>
  <c r="AP716" i="1"/>
  <c r="AP717" i="1"/>
  <c r="AP718" i="1"/>
  <c r="AP719" i="1"/>
  <c r="AP720" i="1"/>
  <c r="AP721" i="1"/>
  <c r="AP722" i="1"/>
  <c r="AP723" i="1"/>
  <c r="AP724" i="1"/>
  <c r="AP725" i="1"/>
  <c r="AP726" i="1"/>
  <c r="AP727" i="1"/>
  <c r="AP728" i="1"/>
  <c r="AP729" i="1"/>
  <c r="AP730" i="1"/>
  <c r="AP731" i="1"/>
  <c r="AP732" i="1"/>
  <c r="AP733" i="1"/>
  <c r="AP734" i="1"/>
  <c r="AP735" i="1"/>
  <c r="AP736" i="1"/>
  <c r="AP737" i="1"/>
  <c r="AP738" i="1"/>
  <c r="AP739" i="1"/>
  <c r="AP740" i="1"/>
  <c r="AP741" i="1"/>
  <c r="AP742" i="1"/>
  <c r="AP743" i="1"/>
  <c r="AP744" i="1"/>
  <c r="AP745" i="1"/>
  <c r="AP746" i="1"/>
  <c r="AP747" i="1"/>
  <c r="AP748" i="1"/>
  <c r="AP749" i="1"/>
  <c r="AP750" i="1"/>
  <c r="AP751" i="1"/>
  <c r="AP752" i="1"/>
  <c r="AP753" i="1"/>
  <c r="AP754" i="1"/>
  <c r="AP755" i="1"/>
  <c r="AP756" i="1"/>
  <c r="AP757" i="1"/>
  <c r="AP758" i="1"/>
  <c r="AP759" i="1"/>
  <c r="AP760" i="1"/>
  <c r="AP761" i="1"/>
  <c r="AP762" i="1"/>
  <c r="AP763" i="1"/>
  <c r="AP764" i="1"/>
  <c r="AP765" i="1"/>
  <c r="AP766" i="1"/>
  <c r="AP767" i="1"/>
  <c r="AP768" i="1"/>
  <c r="AP769" i="1"/>
  <c r="AP770" i="1"/>
  <c r="AP771" i="1"/>
  <c r="AP772" i="1"/>
  <c r="AP773" i="1"/>
  <c r="AP774" i="1"/>
  <c r="AP775" i="1"/>
  <c r="AP776" i="1"/>
  <c r="AP777" i="1"/>
  <c r="AP778" i="1"/>
  <c r="AP779" i="1"/>
  <c r="AP780" i="1"/>
  <c r="AP781" i="1"/>
  <c r="AP782" i="1"/>
  <c r="AP783" i="1"/>
  <c r="AP784" i="1"/>
  <c r="AP785" i="1"/>
  <c r="AP786" i="1"/>
  <c r="AP787" i="1"/>
  <c r="AP788" i="1"/>
  <c r="AP789" i="1"/>
  <c r="AP790" i="1"/>
  <c r="AP791" i="1"/>
  <c r="AP792" i="1"/>
  <c r="AP793" i="1"/>
  <c r="AP794" i="1"/>
  <c r="AP795" i="1"/>
  <c r="AP796" i="1"/>
  <c r="AP797" i="1"/>
  <c r="AP798" i="1"/>
  <c r="AP799" i="1"/>
  <c r="AP800" i="1"/>
  <c r="AP801" i="1"/>
  <c r="AP802" i="1"/>
  <c r="AP803" i="1"/>
  <c r="AP804" i="1"/>
  <c r="AP805" i="1"/>
  <c r="AP806" i="1"/>
  <c r="AP807" i="1"/>
  <c r="AP808" i="1"/>
  <c r="AP809" i="1"/>
  <c r="AP810" i="1"/>
  <c r="AP811" i="1"/>
  <c r="AP812" i="1"/>
  <c r="AP813" i="1"/>
  <c r="AP814" i="1"/>
  <c r="AP815" i="1"/>
  <c r="AP816" i="1"/>
  <c r="AP817" i="1"/>
  <c r="AP818" i="1"/>
  <c r="AP819" i="1"/>
  <c r="AP820" i="1"/>
  <c r="AP821" i="1"/>
  <c r="AP822" i="1"/>
  <c r="AP823" i="1"/>
  <c r="AP824" i="1"/>
  <c r="AP825" i="1"/>
  <c r="AP826" i="1"/>
  <c r="AP827" i="1"/>
  <c r="AP828" i="1"/>
  <c r="AP829" i="1"/>
  <c r="AP830" i="1"/>
  <c r="AP831" i="1"/>
  <c r="AP832" i="1"/>
  <c r="AP833" i="1"/>
  <c r="AP834" i="1"/>
  <c r="AP835" i="1"/>
  <c r="AP836" i="1"/>
  <c r="AP837" i="1"/>
  <c r="AP838" i="1"/>
  <c r="AP839" i="1"/>
  <c r="AP840" i="1"/>
  <c r="AP841" i="1"/>
  <c r="AP842" i="1"/>
  <c r="AP843" i="1"/>
  <c r="AP844" i="1"/>
  <c r="AP845" i="1"/>
  <c r="AP846" i="1"/>
  <c r="AP847" i="1"/>
  <c r="AP848" i="1"/>
  <c r="AP849" i="1"/>
  <c r="AP850" i="1"/>
  <c r="AP851" i="1"/>
  <c r="AP852" i="1"/>
  <c r="AP853" i="1"/>
  <c r="AP854" i="1"/>
  <c r="AP855" i="1"/>
  <c r="AP856" i="1"/>
  <c r="AP857" i="1"/>
  <c r="AP858" i="1"/>
  <c r="AP859" i="1"/>
  <c r="AP860" i="1"/>
  <c r="AP861" i="1"/>
  <c r="AP862" i="1"/>
  <c r="AP863" i="1"/>
  <c r="AP864" i="1"/>
  <c r="AP865" i="1"/>
  <c r="AP866" i="1"/>
  <c r="AP867" i="1"/>
  <c r="AP868" i="1"/>
  <c r="AP869" i="1"/>
  <c r="AP870" i="1"/>
  <c r="AP871" i="1"/>
  <c r="AP872" i="1"/>
  <c r="AP873" i="1"/>
  <c r="AP874" i="1"/>
  <c r="AP875" i="1"/>
  <c r="AP876" i="1"/>
  <c r="AP877" i="1"/>
  <c r="AP878" i="1"/>
  <c r="AP879" i="1"/>
  <c r="AP880" i="1"/>
  <c r="AP881" i="1"/>
  <c r="AP882" i="1"/>
  <c r="AP883" i="1"/>
  <c r="AP884" i="1"/>
  <c r="AP885" i="1"/>
  <c r="AP886" i="1"/>
  <c r="AP887" i="1"/>
  <c r="AP888" i="1"/>
  <c r="AP889" i="1"/>
  <c r="AP890" i="1"/>
  <c r="AP891" i="1"/>
  <c r="AP892" i="1"/>
  <c r="AP893" i="1"/>
  <c r="AP894" i="1"/>
  <c r="AP895" i="1"/>
  <c r="AP896" i="1"/>
  <c r="AP897" i="1"/>
  <c r="AP898" i="1"/>
  <c r="AP899" i="1"/>
  <c r="AP900" i="1"/>
  <c r="AP901" i="1"/>
  <c r="AP902" i="1"/>
  <c r="AP903" i="1"/>
  <c r="AP904" i="1"/>
  <c r="AP905" i="1"/>
  <c r="AP906" i="1"/>
  <c r="AP907" i="1"/>
  <c r="AP908" i="1"/>
  <c r="AP909" i="1"/>
  <c r="AP910" i="1"/>
  <c r="AP911" i="1"/>
  <c r="AP912" i="1"/>
  <c r="AP913" i="1"/>
  <c r="AP914" i="1"/>
  <c r="AP915" i="1"/>
  <c r="AP916" i="1"/>
  <c r="AP917" i="1"/>
  <c r="AP918" i="1"/>
  <c r="AP919" i="1"/>
  <c r="AP920" i="1"/>
  <c r="AP921" i="1"/>
  <c r="AP922" i="1"/>
  <c r="AP923" i="1"/>
  <c r="AP924" i="1"/>
  <c r="AP925" i="1"/>
  <c r="AP926" i="1"/>
  <c r="AP927" i="1"/>
  <c r="AP928" i="1"/>
  <c r="AP929" i="1"/>
  <c r="AP930" i="1"/>
  <c r="AP931" i="1"/>
  <c r="AP932" i="1"/>
  <c r="AP933" i="1"/>
  <c r="AP934" i="1"/>
  <c r="AP935" i="1"/>
  <c r="AP936" i="1"/>
  <c r="AP937" i="1"/>
  <c r="AP938" i="1"/>
  <c r="AP939" i="1"/>
  <c r="AP940" i="1"/>
  <c r="AP941" i="1"/>
  <c r="AP942" i="1"/>
  <c r="AP943" i="1"/>
  <c r="AP944" i="1"/>
  <c r="AP945" i="1"/>
  <c r="AP946" i="1"/>
  <c r="AP947" i="1"/>
  <c r="AP948" i="1"/>
  <c r="AP949" i="1"/>
  <c r="AP950" i="1"/>
  <c r="AP951" i="1"/>
  <c r="AP952" i="1"/>
  <c r="AP953" i="1"/>
  <c r="AP954" i="1"/>
  <c r="AP955" i="1"/>
  <c r="AP956" i="1"/>
  <c r="AP957" i="1"/>
  <c r="AP958" i="1"/>
  <c r="AP959" i="1"/>
  <c r="AP960" i="1"/>
  <c r="AP961" i="1"/>
  <c r="AP962" i="1"/>
  <c r="AP963" i="1"/>
  <c r="AP964" i="1"/>
  <c r="AP965" i="1"/>
  <c r="AP966" i="1"/>
  <c r="AP967" i="1"/>
  <c r="AP968" i="1"/>
  <c r="AP969" i="1"/>
  <c r="AP970" i="1"/>
  <c r="AP971" i="1"/>
  <c r="AP972" i="1"/>
  <c r="AP973" i="1"/>
  <c r="AP974" i="1"/>
  <c r="AP975" i="1"/>
  <c r="AP976" i="1"/>
  <c r="AP977" i="1"/>
  <c r="AP978" i="1"/>
  <c r="AP979" i="1"/>
  <c r="AP980" i="1"/>
  <c r="AP981" i="1"/>
  <c r="AP982" i="1"/>
  <c r="AP983" i="1"/>
  <c r="AP984" i="1"/>
  <c r="AP985" i="1"/>
  <c r="AP986" i="1"/>
  <c r="AP987" i="1"/>
  <c r="AP988" i="1"/>
  <c r="AP989" i="1"/>
  <c r="AP990" i="1"/>
  <c r="AP991" i="1"/>
  <c r="AP992" i="1"/>
  <c r="AP993" i="1"/>
  <c r="AP994" i="1"/>
  <c r="AP995" i="1"/>
  <c r="AP996" i="1"/>
  <c r="AP997" i="1"/>
  <c r="AP998" i="1"/>
  <c r="AP999" i="1"/>
  <c r="AP1000" i="1"/>
  <c r="AP1001" i="1"/>
  <c r="AP1002" i="1"/>
  <c r="AP1003" i="1"/>
  <c r="AP1004" i="1"/>
  <c r="AP1005" i="1"/>
  <c r="AP1006" i="1"/>
  <c r="AP1007" i="1"/>
  <c r="AP1008" i="1"/>
  <c r="AP1009" i="1"/>
  <c r="AP1010" i="1"/>
  <c r="AP1011" i="1"/>
  <c r="AP1012" i="1"/>
  <c r="AP1013" i="1"/>
  <c r="AP1014" i="1"/>
  <c r="AP1015" i="1"/>
  <c r="AP1016" i="1"/>
  <c r="AP1017" i="1"/>
  <c r="AP1018" i="1"/>
  <c r="AP1019" i="1"/>
  <c r="AP1020" i="1"/>
  <c r="AP1021" i="1"/>
  <c r="AP1022" i="1"/>
  <c r="AP1023" i="1"/>
  <c r="AP1024" i="1"/>
  <c r="AP1025" i="1"/>
  <c r="AP1026" i="1"/>
  <c r="AP1027" i="1"/>
  <c r="AP1028" i="1"/>
  <c r="AP1029" i="1"/>
  <c r="AP1030" i="1"/>
  <c r="AP1031" i="1"/>
  <c r="AP1032" i="1"/>
  <c r="AP1033" i="1"/>
  <c r="AP1034" i="1"/>
  <c r="AP1035" i="1"/>
  <c r="AP1036" i="1"/>
  <c r="AP1037" i="1"/>
  <c r="AP1038" i="1"/>
  <c r="AP1039" i="1"/>
  <c r="AP1040" i="1"/>
  <c r="AP1041" i="1"/>
  <c r="AP1042" i="1"/>
  <c r="AP1043" i="1"/>
  <c r="AP1044" i="1"/>
  <c r="AP1045" i="1"/>
  <c r="AP1046" i="1"/>
  <c r="AP1047" i="1"/>
  <c r="AP1048" i="1"/>
  <c r="AP1049" i="1"/>
  <c r="AP1050" i="1"/>
  <c r="AP1051" i="1"/>
  <c r="AP1052" i="1"/>
  <c r="AP1053" i="1"/>
  <c r="AP1054" i="1"/>
  <c r="AP1055" i="1"/>
  <c r="AP1056" i="1"/>
  <c r="AP1057" i="1"/>
  <c r="AP1058" i="1"/>
  <c r="AP1059" i="1"/>
  <c r="AP1060" i="1"/>
  <c r="AP1061" i="1"/>
  <c r="AP1062" i="1"/>
  <c r="AP1063" i="1"/>
  <c r="AP1064" i="1"/>
  <c r="AP1065" i="1"/>
  <c r="AP1066" i="1"/>
  <c r="AP1067" i="1"/>
  <c r="AP1068" i="1"/>
  <c r="AP1069" i="1"/>
  <c r="AP1070" i="1"/>
  <c r="AP1071" i="1"/>
  <c r="AP1072" i="1"/>
  <c r="AP1073" i="1"/>
  <c r="AP1074" i="1"/>
  <c r="AP1075" i="1"/>
  <c r="AP1076" i="1"/>
  <c r="AP1077" i="1"/>
  <c r="AP1078" i="1"/>
  <c r="AP1079" i="1"/>
  <c r="AP1080" i="1"/>
  <c r="AP1081" i="1"/>
  <c r="AP1082" i="1"/>
  <c r="AP1083" i="1"/>
  <c r="AP1084" i="1"/>
  <c r="AP1085" i="1"/>
  <c r="AP1086" i="1"/>
  <c r="AP1087" i="1"/>
  <c r="AP1088" i="1"/>
  <c r="AP1089" i="1"/>
  <c r="AP1090" i="1"/>
  <c r="AP1091" i="1"/>
  <c r="AP1092" i="1"/>
  <c r="AP1093" i="1"/>
  <c r="AP1094" i="1"/>
  <c r="AP1095" i="1"/>
  <c r="AP1096" i="1"/>
  <c r="AP1097" i="1"/>
  <c r="AP1098" i="1"/>
  <c r="AP1099" i="1"/>
  <c r="AP1100" i="1"/>
  <c r="AP1101" i="1"/>
  <c r="AP1102" i="1"/>
  <c r="AP1103" i="1"/>
  <c r="AP1104" i="1"/>
  <c r="AP1105" i="1"/>
  <c r="AP1106" i="1"/>
  <c r="AP1107" i="1"/>
  <c r="AP1108" i="1"/>
  <c r="AP1109" i="1"/>
  <c r="AP1110" i="1"/>
  <c r="AP1111" i="1"/>
  <c r="AP1112" i="1"/>
  <c r="AP1113" i="1"/>
  <c r="AP1114" i="1"/>
  <c r="AP1115" i="1"/>
  <c r="AP1116" i="1"/>
  <c r="AP1117" i="1"/>
  <c r="AP1118" i="1"/>
  <c r="AP1119" i="1"/>
  <c r="AP1120" i="1"/>
  <c r="AP1121" i="1"/>
  <c r="AP1122" i="1"/>
  <c r="AP1123" i="1"/>
  <c r="AP1124" i="1"/>
  <c r="AP1125" i="1"/>
  <c r="AP1126" i="1"/>
  <c r="AP1127" i="1"/>
  <c r="AP1128" i="1"/>
  <c r="AP1129" i="1"/>
  <c r="AP1130" i="1"/>
  <c r="AP1131" i="1"/>
  <c r="AP1132" i="1"/>
  <c r="AP1133" i="1"/>
  <c r="AP1134" i="1"/>
  <c r="AP1135" i="1"/>
  <c r="AP1136" i="1"/>
  <c r="AP1137" i="1"/>
  <c r="AP1138" i="1"/>
  <c r="AP1139" i="1"/>
  <c r="AP1140" i="1"/>
  <c r="AP1141" i="1"/>
  <c r="AP1142" i="1"/>
  <c r="AP1143" i="1"/>
  <c r="AP1144" i="1"/>
  <c r="AP1145" i="1"/>
  <c r="AP1146" i="1"/>
  <c r="AP1147" i="1"/>
  <c r="AP1148" i="1"/>
  <c r="AP1149" i="1"/>
  <c r="AP1150" i="1"/>
  <c r="AP1151" i="1"/>
  <c r="AP1152" i="1"/>
  <c r="AP1153" i="1"/>
  <c r="AP1154" i="1"/>
  <c r="AP1155" i="1"/>
  <c r="AP1156" i="1"/>
  <c r="AP1157" i="1"/>
  <c r="AP1158" i="1"/>
  <c r="AP1159" i="1"/>
  <c r="AP1160" i="1"/>
  <c r="AP1161" i="1"/>
  <c r="AP1162" i="1"/>
  <c r="AP1163" i="1"/>
  <c r="AP1164" i="1"/>
  <c r="AP1165" i="1"/>
  <c r="AP1166" i="1"/>
  <c r="AP1167" i="1"/>
  <c r="AP1168" i="1"/>
  <c r="AP1169" i="1"/>
  <c r="AP1170" i="1"/>
  <c r="AP1171" i="1"/>
  <c r="AP1172" i="1"/>
  <c r="AP1173" i="1"/>
  <c r="AP1174" i="1"/>
  <c r="AP1175" i="1"/>
  <c r="AP1176" i="1"/>
  <c r="AP1177" i="1"/>
  <c r="AP1178" i="1"/>
  <c r="AP1179" i="1"/>
  <c r="AP1180" i="1"/>
  <c r="AP1181" i="1"/>
  <c r="AP1182" i="1"/>
  <c r="AP1183" i="1"/>
  <c r="AP1184" i="1"/>
  <c r="AP1185" i="1"/>
  <c r="AP1186" i="1"/>
  <c r="AP1187" i="1"/>
  <c r="AP1188" i="1"/>
  <c r="AP1189" i="1"/>
  <c r="AP1190" i="1"/>
  <c r="AP1191" i="1"/>
  <c r="AP1192" i="1"/>
  <c r="AP1193" i="1"/>
  <c r="AP1194" i="1"/>
  <c r="AP1195" i="1"/>
  <c r="AP1196" i="1"/>
  <c r="AP1197" i="1"/>
  <c r="AP1198" i="1"/>
  <c r="AP1199" i="1"/>
  <c r="AP1200" i="1"/>
  <c r="AP1201" i="1"/>
  <c r="AP1202" i="1"/>
  <c r="AP1203" i="1"/>
  <c r="AP1204" i="1"/>
  <c r="AP1205" i="1"/>
  <c r="AP1206" i="1"/>
  <c r="AP1207" i="1"/>
  <c r="AP1208" i="1"/>
  <c r="AP1209" i="1"/>
  <c r="AP1210" i="1"/>
  <c r="AP1211" i="1"/>
  <c r="AP1212" i="1"/>
  <c r="AP1213" i="1"/>
  <c r="AP1214" i="1"/>
  <c r="AP1215" i="1"/>
  <c r="AP1216" i="1"/>
  <c r="AP1217" i="1"/>
  <c r="AP1218" i="1"/>
  <c r="AP1219" i="1"/>
  <c r="AP1220" i="1"/>
  <c r="AP1221" i="1"/>
  <c r="AP1222" i="1"/>
  <c r="AP1223" i="1"/>
  <c r="AP1224" i="1"/>
  <c r="AP1225" i="1"/>
  <c r="AP1226" i="1"/>
  <c r="AP1227" i="1"/>
  <c r="AP1228" i="1"/>
  <c r="AP1229" i="1"/>
  <c r="AP1230" i="1"/>
  <c r="AP1231" i="1"/>
  <c r="AP1232" i="1"/>
  <c r="AP1233" i="1"/>
  <c r="AP1234" i="1"/>
  <c r="AP1235" i="1"/>
  <c r="AP1236" i="1"/>
  <c r="AP1237" i="1"/>
  <c r="AP1238" i="1"/>
  <c r="AP1239" i="1"/>
  <c r="AP1240" i="1"/>
  <c r="AP1241" i="1"/>
  <c r="AP1242" i="1"/>
  <c r="AP1243" i="1"/>
  <c r="AP1244" i="1"/>
  <c r="AP1245" i="1"/>
  <c r="AP1246" i="1"/>
  <c r="AP1247" i="1"/>
  <c r="AP1248" i="1"/>
  <c r="AP1249" i="1"/>
  <c r="AP1250" i="1"/>
  <c r="AP1251" i="1"/>
  <c r="AP1252" i="1"/>
  <c r="AP1253" i="1"/>
  <c r="AP1254" i="1"/>
  <c r="AP1255" i="1"/>
  <c r="AP1256" i="1"/>
  <c r="AP1257" i="1"/>
  <c r="AP1258" i="1"/>
  <c r="AP1259" i="1"/>
  <c r="AP1260" i="1"/>
  <c r="AP1261" i="1"/>
  <c r="AP1262" i="1"/>
  <c r="AP1263" i="1"/>
  <c r="AP1264" i="1"/>
  <c r="AP1265" i="1"/>
  <c r="AP1266" i="1"/>
  <c r="AP1267" i="1"/>
  <c r="AP1268" i="1"/>
  <c r="AP1269" i="1"/>
  <c r="AP1270" i="1"/>
  <c r="AP1271" i="1"/>
  <c r="AP1272" i="1"/>
  <c r="AP1273" i="1"/>
  <c r="AP1274" i="1"/>
  <c r="AP1275" i="1"/>
  <c r="AP1276" i="1"/>
  <c r="AP1277" i="1"/>
  <c r="AP1278" i="1"/>
  <c r="AP1279" i="1"/>
  <c r="AP1280" i="1"/>
  <c r="AP1281" i="1"/>
  <c r="AP1282" i="1"/>
  <c r="AP1283" i="1"/>
  <c r="AP1284" i="1"/>
  <c r="AP1285" i="1"/>
  <c r="AP1286" i="1"/>
  <c r="AP1287" i="1"/>
  <c r="AP1288" i="1"/>
  <c r="AP1289" i="1"/>
  <c r="AP1290" i="1"/>
  <c r="AP1291" i="1"/>
  <c r="AP1292" i="1"/>
  <c r="AP1293" i="1"/>
  <c r="AP1294" i="1"/>
  <c r="AP1295" i="1"/>
  <c r="AP1296" i="1"/>
  <c r="AP1297" i="1"/>
  <c r="AP1298" i="1"/>
  <c r="AP1299" i="1"/>
  <c r="AP1300" i="1"/>
  <c r="AP1301" i="1"/>
  <c r="AP1302" i="1"/>
  <c r="AP1303" i="1"/>
  <c r="AP1304" i="1"/>
  <c r="AP1305" i="1"/>
  <c r="AP1306" i="1"/>
  <c r="AP1307" i="1"/>
  <c r="AP1308" i="1"/>
  <c r="AP1309" i="1"/>
  <c r="AP1310" i="1"/>
  <c r="AP1311" i="1"/>
  <c r="AP1312" i="1"/>
  <c r="AP1313" i="1"/>
  <c r="AP1314" i="1"/>
  <c r="AP1315" i="1"/>
  <c r="AP1316" i="1"/>
  <c r="AP1317" i="1"/>
  <c r="AP1318" i="1"/>
  <c r="AP1319" i="1"/>
  <c r="AP1320" i="1"/>
  <c r="AP1321" i="1"/>
  <c r="AP1322" i="1"/>
  <c r="AP1323" i="1"/>
  <c r="AP1324" i="1"/>
  <c r="AP1325" i="1"/>
  <c r="AP1326" i="1"/>
  <c r="AP1327" i="1"/>
  <c r="AP1328" i="1"/>
  <c r="AP1329" i="1"/>
  <c r="AP1330" i="1"/>
  <c r="AP1331" i="1"/>
  <c r="AP1332" i="1"/>
  <c r="AP1333" i="1"/>
  <c r="AP1334" i="1"/>
  <c r="AP1335" i="1"/>
  <c r="AP1336" i="1"/>
  <c r="AP1337" i="1"/>
  <c r="AP1338" i="1"/>
  <c r="AP1339" i="1"/>
  <c r="AP1340" i="1"/>
  <c r="AP1341" i="1"/>
  <c r="AP1342" i="1"/>
  <c r="AP1343" i="1"/>
  <c r="AP1344" i="1"/>
  <c r="AP1345" i="1"/>
  <c r="AP1346" i="1"/>
  <c r="AP1347" i="1"/>
  <c r="AP1348" i="1"/>
  <c r="AP1349" i="1"/>
  <c r="AP1350" i="1"/>
  <c r="AP1351" i="1"/>
  <c r="AP1352" i="1"/>
  <c r="AP1353" i="1"/>
  <c r="AP1354" i="1"/>
  <c r="AP1355" i="1"/>
  <c r="AP1356" i="1"/>
  <c r="AP1357" i="1"/>
  <c r="AP1358" i="1"/>
  <c r="AP1359" i="1"/>
  <c r="AP1360" i="1"/>
  <c r="AP1361" i="1"/>
  <c r="AP1362" i="1"/>
  <c r="AP1363" i="1"/>
  <c r="AP1364" i="1"/>
  <c r="AP1365" i="1"/>
  <c r="AP1366" i="1"/>
  <c r="AP1367" i="1"/>
  <c r="AP1368" i="1"/>
  <c r="AP1369" i="1"/>
  <c r="AP1370" i="1"/>
  <c r="AP1371" i="1"/>
  <c r="AP1372" i="1"/>
  <c r="AP1373" i="1"/>
  <c r="AP1374" i="1"/>
  <c r="AP1375" i="1"/>
  <c r="AP1376" i="1"/>
  <c r="AP1377" i="1"/>
  <c r="AP1378" i="1"/>
  <c r="AP1379" i="1"/>
  <c r="AP1380" i="1"/>
  <c r="AP1381" i="1"/>
  <c r="AP1382" i="1"/>
  <c r="AP1383" i="1"/>
  <c r="AP1384" i="1"/>
  <c r="AP1385" i="1"/>
  <c r="AP1386" i="1"/>
  <c r="AP1387" i="1"/>
  <c r="AP1388" i="1"/>
  <c r="AP1389" i="1"/>
  <c r="AP1390" i="1"/>
  <c r="AP1391" i="1"/>
  <c r="AP1392" i="1"/>
  <c r="AP1393" i="1"/>
  <c r="AP1394" i="1"/>
  <c r="AP1395" i="1"/>
  <c r="AP1396" i="1"/>
  <c r="AP1397" i="1"/>
  <c r="AP1398" i="1"/>
  <c r="AP1399" i="1"/>
  <c r="AP1400" i="1"/>
  <c r="AP1401" i="1"/>
  <c r="AP1402" i="1"/>
  <c r="AP1403" i="1"/>
  <c r="AP1404" i="1"/>
  <c r="AP1405" i="1"/>
  <c r="AP1406" i="1"/>
  <c r="AP1407" i="1"/>
  <c r="AP1408" i="1"/>
  <c r="AP1409" i="1"/>
  <c r="AP1410" i="1"/>
  <c r="AP1411" i="1"/>
  <c r="AP1412" i="1"/>
  <c r="AP1413" i="1"/>
  <c r="AP1414" i="1"/>
  <c r="AP1415" i="1"/>
  <c r="AP1416" i="1"/>
  <c r="AP1417" i="1"/>
  <c r="AP1418" i="1"/>
  <c r="AP1419" i="1"/>
  <c r="AP1420" i="1"/>
  <c r="AP1421" i="1"/>
  <c r="AP1422" i="1"/>
  <c r="AP1423" i="1"/>
  <c r="AP1424" i="1"/>
  <c r="AP1425" i="1"/>
  <c r="AP1426" i="1"/>
  <c r="AP1427" i="1"/>
  <c r="AP1428" i="1"/>
  <c r="AP1429" i="1"/>
  <c r="AP1430" i="1"/>
  <c r="AP1431" i="1"/>
  <c r="AP1432" i="1"/>
  <c r="AP1433" i="1"/>
  <c r="AP1434" i="1"/>
  <c r="AP1435" i="1"/>
  <c r="AP1436" i="1"/>
  <c r="AP1437" i="1"/>
  <c r="AP1438" i="1"/>
  <c r="AP1439" i="1"/>
  <c r="AP1440" i="1"/>
  <c r="AP1441" i="1"/>
  <c r="AP1442" i="1"/>
  <c r="AP1443" i="1"/>
  <c r="AP1444" i="1"/>
  <c r="AP1445" i="1"/>
  <c r="AP1446" i="1"/>
  <c r="AP1447" i="1"/>
  <c r="AP1448" i="1"/>
  <c r="AP1449" i="1"/>
  <c r="AP1450" i="1"/>
  <c r="AP1451" i="1"/>
  <c r="AP1452" i="1"/>
  <c r="AP1453" i="1"/>
  <c r="AP1454" i="1"/>
  <c r="AP1455" i="1"/>
  <c r="AP1456" i="1"/>
  <c r="AP1457" i="1"/>
  <c r="AP1458" i="1"/>
  <c r="AP1459" i="1"/>
  <c r="AP1460" i="1"/>
  <c r="AP1461" i="1"/>
  <c r="AP1462" i="1"/>
  <c r="AP1463" i="1"/>
  <c r="AP1464" i="1"/>
  <c r="AP1465" i="1"/>
  <c r="AP1466" i="1"/>
  <c r="AP1467" i="1"/>
  <c r="AP1468" i="1"/>
  <c r="AP1469" i="1"/>
  <c r="AP1470" i="1"/>
  <c r="AP1471" i="1"/>
  <c r="AO2" i="1"/>
  <c r="AO3" i="1"/>
  <c r="AO4" i="1"/>
  <c r="AO5" i="1"/>
  <c r="AO6" i="1"/>
  <c r="AO7" i="1"/>
  <c r="AO8" i="1"/>
  <c r="AO9" i="1"/>
  <c r="AO10" i="1"/>
  <c r="AO11" i="1"/>
  <c r="AO12" i="1"/>
  <c r="AO13" i="1"/>
  <c r="AO14" i="1"/>
  <c r="AO15" i="1"/>
  <c r="AO16" i="1"/>
  <c r="AO17" i="1"/>
  <c r="AO18" i="1"/>
  <c r="AO19" i="1"/>
  <c r="AO20" i="1"/>
  <c r="AO21" i="1"/>
  <c r="AO22" i="1"/>
  <c r="AO23" i="1"/>
  <c r="AO24" i="1"/>
  <c r="AO25" i="1"/>
  <c r="AO26" i="1"/>
  <c r="AO27" i="1"/>
  <c r="AO28" i="1"/>
  <c r="AO29" i="1"/>
  <c r="AO30" i="1"/>
  <c r="AO31" i="1"/>
  <c r="AO32" i="1"/>
  <c r="AO33" i="1"/>
  <c r="AO34" i="1"/>
  <c r="AO35" i="1"/>
  <c r="AO36" i="1"/>
  <c r="AO37" i="1"/>
  <c r="AO38" i="1"/>
  <c r="AO39" i="1"/>
  <c r="AO40" i="1"/>
  <c r="AO41" i="1"/>
  <c r="AO42" i="1"/>
  <c r="AO43" i="1"/>
  <c r="AO44" i="1"/>
  <c r="AO45" i="1"/>
  <c r="AO46" i="1"/>
  <c r="AO47" i="1"/>
  <c r="AO48" i="1"/>
  <c r="AO49" i="1"/>
  <c r="AO50" i="1"/>
  <c r="AO51" i="1"/>
  <c r="AO52" i="1"/>
  <c r="AO53" i="1"/>
  <c r="AO54" i="1"/>
  <c r="AO55" i="1"/>
  <c r="AO56" i="1"/>
  <c r="AO57" i="1"/>
  <c r="AO58" i="1"/>
  <c r="AO59" i="1"/>
  <c r="AO60" i="1"/>
  <c r="AO61" i="1"/>
  <c r="AO62" i="1"/>
  <c r="AO63" i="1"/>
  <c r="AO64" i="1"/>
  <c r="AO65" i="1"/>
  <c r="AO66" i="1"/>
  <c r="AO67" i="1"/>
  <c r="AO68" i="1"/>
  <c r="AO69" i="1"/>
  <c r="AO70" i="1"/>
  <c r="AO71" i="1"/>
  <c r="AO72" i="1"/>
  <c r="AO73" i="1"/>
  <c r="AO74" i="1"/>
  <c r="AO75" i="1"/>
  <c r="AO76" i="1"/>
  <c r="AO77" i="1"/>
  <c r="AO78" i="1"/>
  <c r="AO79" i="1"/>
  <c r="AO80" i="1"/>
  <c r="AO81" i="1"/>
  <c r="AO82" i="1"/>
  <c r="AO83" i="1"/>
  <c r="AO84" i="1"/>
  <c r="AO85" i="1"/>
  <c r="AO86" i="1"/>
  <c r="AO87" i="1"/>
  <c r="AO88" i="1"/>
  <c r="AO89" i="1"/>
  <c r="AO90" i="1"/>
  <c r="AO91" i="1"/>
  <c r="AO92" i="1"/>
  <c r="AO93" i="1"/>
  <c r="AO94" i="1"/>
  <c r="AO95" i="1"/>
  <c r="AO96" i="1"/>
  <c r="AO97" i="1"/>
  <c r="AO98" i="1"/>
  <c r="AO99" i="1"/>
  <c r="AO100" i="1"/>
  <c r="AO101" i="1"/>
  <c r="AO102" i="1"/>
  <c r="AO103" i="1"/>
  <c r="AO104" i="1"/>
  <c r="AO105" i="1"/>
  <c r="AO106" i="1"/>
  <c r="AO107" i="1"/>
  <c r="AO108" i="1"/>
  <c r="AO109" i="1"/>
  <c r="AO110" i="1"/>
  <c r="AO111" i="1"/>
  <c r="AO112" i="1"/>
  <c r="AO113" i="1"/>
  <c r="AO114" i="1"/>
  <c r="AO115" i="1"/>
  <c r="AO116" i="1"/>
  <c r="AO117" i="1"/>
  <c r="AO118" i="1"/>
  <c r="AO119" i="1"/>
  <c r="AO120" i="1"/>
  <c r="AO121" i="1"/>
  <c r="AO122" i="1"/>
  <c r="AO123" i="1"/>
  <c r="AO124" i="1"/>
  <c r="AO125" i="1"/>
  <c r="AO126" i="1"/>
  <c r="AO127" i="1"/>
  <c r="AO128" i="1"/>
  <c r="AO129" i="1"/>
  <c r="AO130" i="1"/>
  <c r="AO131" i="1"/>
  <c r="AO132" i="1"/>
  <c r="AO133" i="1"/>
  <c r="AO134" i="1"/>
  <c r="AO135" i="1"/>
  <c r="AO136" i="1"/>
  <c r="AO137" i="1"/>
  <c r="AO138" i="1"/>
  <c r="AO139" i="1"/>
  <c r="AO140" i="1"/>
  <c r="AO141" i="1"/>
  <c r="AO142" i="1"/>
  <c r="AO143" i="1"/>
  <c r="AO144" i="1"/>
  <c r="AO145" i="1"/>
  <c r="AO146" i="1"/>
  <c r="AO147" i="1"/>
  <c r="AO148" i="1"/>
  <c r="AO149" i="1"/>
  <c r="AO150" i="1"/>
  <c r="AO151" i="1"/>
  <c r="AO152" i="1"/>
  <c r="AO153" i="1"/>
  <c r="AO154" i="1"/>
  <c r="AO155" i="1"/>
  <c r="AO156" i="1"/>
  <c r="AO157" i="1"/>
  <c r="AO158" i="1"/>
  <c r="AO159" i="1"/>
  <c r="AO160" i="1"/>
  <c r="AO161" i="1"/>
  <c r="AO162" i="1"/>
  <c r="AO163" i="1"/>
  <c r="AO164" i="1"/>
  <c r="AO165" i="1"/>
  <c r="AO166" i="1"/>
  <c r="AO167" i="1"/>
  <c r="AO168" i="1"/>
  <c r="AO169" i="1"/>
  <c r="AO170" i="1"/>
  <c r="AO171" i="1"/>
  <c r="AO172" i="1"/>
  <c r="AO173" i="1"/>
  <c r="AO174" i="1"/>
  <c r="AO175" i="1"/>
  <c r="AO176" i="1"/>
  <c r="AO177" i="1"/>
  <c r="AO178" i="1"/>
  <c r="AO179" i="1"/>
  <c r="AO180" i="1"/>
  <c r="AO181" i="1"/>
  <c r="AO182" i="1"/>
  <c r="AO183" i="1"/>
  <c r="AO184" i="1"/>
  <c r="AO185" i="1"/>
  <c r="AO186" i="1"/>
  <c r="AO187" i="1"/>
  <c r="AO188" i="1"/>
  <c r="AO189" i="1"/>
  <c r="AO190" i="1"/>
  <c r="AO191" i="1"/>
  <c r="AO192" i="1"/>
  <c r="AO193" i="1"/>
  <c r="AO194" i="1"/>
  <c r="AO195" i="1"/>
  <c r="AO196" i="1"/>
  <c r="AO197" i="1"/>
  <c r="AO198" i="1"/>
  <c r="AO199" i="1"/>
  <c r="AO200" i="1"/>
  <c r="AO201" i="1"/>
  <c r="AO202" i="1"/>
  <c r="AO203" i="1"/>
  <c r="AO204" i="1"/>
  <c r="AO205" i="1"/>
  <c r="AO206" i="1"/>
  <c r="AO207" i="1"/>
  <c r="AO208" i="1"/>
  <c r="AO209" i="1"/>
  <c r="AO210" i="1"/>
  <c r="AO211" i="1"/>
  <c r="AO212" i="1"/>
  <c r="AO213" i="1"/>
  <c r="AO214" i="1"/>
  <c r="AO215" i="1"/>
  <c r="AO216" i="1"/>
  <c r="AO217" i="1"/>
  <c r="AO218" i="1"/>
  <c r="AO219" i="1"/>
  <c r="AO220" i="1"/>
  <c r="AO221" i="1"/>
  <c r="AO222" i="1"/>
  <c r="AO223" i="1"/>
  <c r="AO224" i="1"/>
  <c r="AO225" i="1"/>
  <c r="AO226" i="1"/>
  <c r="AO227" i="1"/>
  <c r="AO228" i="1"/>
  <c r="AO229" i="1"/>
  <c r="AO230" i="1"/>
  <c r="AO231" i="1"/>
  <c r="AO232" i="1"/>
  <c r="AO233" i="1"/>
  <c r="AO234" i="1"/>
  <c r="AO235" i="1"/>
  <c r="AO236" i="1"/>
  <c r="AO237" i="1"/>
  <c r="AO238" i="1"/>
  <c r="AO239" i="1"/>
  <c r="AO240" i="1"/>
  <c r="AO241" i="1"/>
  <c r="AO242" i="1"/>
  <c r="AO243" i="1"/>
  <c r="AO244" i="1"/>
  <c r="AO245" i="1"/>
  <c r="AO246" i="1"/>
  <c r="AO247" i="1"/>
  <c r="AO248" i="1"/>
  <c r="AO249" i="1"/>
  <c r="AO250" i="1"/>
  <c r="AO251" i="1"/>
  <c r="AO252" i="1"/>
  <c r="AO253" i="1"/>
  <c r="AO254" i="1"/>
  <c r="AO255" i="1"/>
  <c r="AO256" i="1"/>
  <c r="AO257" i="1"/>
  <c r="AO258" i="1"/>
  <c r="AO259" i="1"/>
  <c r="AO260" i="1"/>
  <c r="AO261" i="1"/>
  <c r="AO262" i="1"/>
  <c r="AO263" i="1"/>
  <c r="AO264" i="1"/>
  <c r="AO265" i="1"/>
  <c r="AO266" i="1"/>
  <c r="AO267" i="1"/>
  <c r="AO268" i="1"/>
  <c r="AO269" i="1"/>
  <c r="AO270" i="1"/>
  <c r="AO271" i="1"/>
  <c r="AO272" i="1"/>
  <c r="AO273" i="1"/>
  <c r="AO274" i="1"/>
  <c r="AO275" i="1"/>
  <c r="AO276" i="1"/>
  <c r="AO277" i="1"/>
  <c r="AO278" i="1"/>
  <c r="AO279" i="1"/>
  <c r="AO280" i="1"/>
  <c r="AO281" i="1"/>
  <c r="AO282" i="1"/>
  <c r="AO283" i="1"/>
  <c r="AO284" i="1"/>
  <c r="AO285" i="1"/>
  <c r="AO286" i="1"/>
  <c r="AO287" i="1"/>
  <c r="AO288" i="1"/>
  <c r="AO289" i="1"/>
  <c r="AO290" i="1"/>
  <c r="AO291" i="1"/>
  <c r="AO292" i="1"/>
  <c r="AO293" i="1"/>
  <c r="AO294" i="1"/>
  <c r="AO295" i="1"/>
  <c r="AO296" i="1"/>
  <c r="AO297" i="1"/>
  <c r="AO298" i="1"/>
  <c r="AO299" i="1"/>
  <c r="AO300" i="1"/>
  <c r="AO301" i="1"/>
  <c r="AO302" i="1"/>
  <c r="AO303" i="1"/>
  <c r="AO304" i="1"/>
  <c r="AO305" i="1"/>
  <c r="AO306" i="1"/>
  <c r="AO307" i="1"/>
  <c r="AO308" i="1"/>
  <c r="AO309" i="1"/>
  <c r="AO310" i="1"/>
  <c r="AO311" i="1"/>
  <c r="AO312" i="1"/>
  <c r="AO313" i="1"/>
  <c r="AO314" i="1"/>
  <c r="AO315" i="1"/>
  <c r="AO316" i="1"/>
  <c r="AO317" i="1"/>
  <c r="AO318" i="1"/>
  <c r="AO319" i="1"/>
  <c r="AO320" i="1"/>
  <c r="AO321" i="1"/>
  <c r="AO322" i="1"/>
  <c r="AO323" i="1"/>
  <c r="AO324" i="1"/>
  <c r="AO325" i="1"/>
  <c r="AO326" i="1"/>
  <c r="AO327" i="1"/>
  <c r="AO328" i="1"/>
  <c r="AO329" i="1"/>
  <c r="AO330" i="1"/>
  <c r="AO331" i="1"/>
  <c r="AO332" i="1"/>
  <c r="AO333" i="1"/>
  <c r="AO334" i="1"/>
  <c r="AO335" i="1"/>
  <c r="AO336" i="1"/>
  <c r="AO337" i="1"/>
  <c r="AO338" i="1"/>
  <c r="AO339" i="1"/>
  <c r="AO340" i="1"/>
  <c r="AO341" i="1"/>
  <c r="AO342" i="1"/>
  <c r="AO343" i="1"/>
  <c r="AO344" i="1"/>
  <c r="AO345" i="1"/>
  <c r="AO346" i="1"/>
  <c r="AO347" i="1"/>
  <c r="AO348" i="1"/>
  <c r="AO349" i="1"/>
  <c r="AO350" i="1"/>
  <c r="AO351" i="1"/>
  <c r="AO352" i="1"/>
  <c r="AO353" i="1"/>
  <c r="AO354" i="1"/>
  <c r="AO355" i="1"/>
  <c r="AO356" i="1"/>
  <c r="AO357" i="1"/>
  <c r="AO358" i="1"/>
  <c r="AO359" i="1"/>
  <c r="AO360" i="1"/>
  <c r="AO361" i="1"/>
  <c r="AO362" i="1"/>
  <c r="AO363" i="1"/>
  <c r="AO364" i="1"/>
  <c r="AO365" i="1"/>
  <c r="AO366" i="1"/>
  <c r="AO367" i="1"/>
  <c r="AO368" i="1"/>
  <c r="AO369" i="1"/>
  <c r="AO370" i="1"/>
  <c r="AO371" i="1"/>
  <c r="AO372" i="1"/>
  <c r="AO373" i="1"/>
  <c r="AO374" i="1"/>
  <c r="AO375" i="1"/>
  <c r="AO376" i="1"/>
  <c r="AO377" i="1"/>
  <c r="AO378" i="1"/>
  <c r="AO379" i="1"/>
  <c r="AO380" i="1"/>
  <c r="AO381" i="1"/>
  <c r="AO382" i="1"/>
  <c r="AO383" i="1"/>
  <c r="AO384" i="1"/>
  <c r="AO385" i="1"/>
  <c r="AO386" i="1"/>
  <c r="AO387" i="1"/>
  <c r="AO388" i="1"/>
  <c r="AO389" i="1"/>
  <c r="AO390" i="1"/>
  <c r="AO391" i="1"/>
  <c r="AO392" i="1"/>
  <c r="AO393" i="1"/>
  <c r="AO394" i="1"/>
  <c r="AO395" i="1"/>
  <c r="AO396" i="1"/>
  <c r="AO397" i="1"/>
  <c r="AO398" i="1"/>
  <c r="AO399" i="1"/>
  <c r="AO400" i="1"/>
  <c r="AO401" i="1"/>
  <c r="AO402" i="1"/>
  <c r="AO403" i="1"/>
  <c r="AO404" i="1"/>
  <c r="AO405" i="1"/>
  <c r="AO406" i="1"/>
  <c r="AO407" i="1"/>
  <c r="AO408" i="1"/>
  <c r="AO409" i="1"/>
  <c r="AO410" i="1"/>
  <c r="AO411" i="1"/>
  <c r="AO412" i="1"/>
  <c r="AO413" i="1"/>
  <c r="AO414" i="1"/>
  <c r="AO415" i="1"/>
  <c r="AO416" i="1"/>
  <c r="AO417" i="1"/>
  <c r="AO418" i="1"/>
  <c r="AO419" i="1"/>
  <c r="AO420" i="1"/>
  <c r="AO421" i="1"/>
  <c r="AO422" i="1"/>
  <c r="AO423" i="1"/>
  <c r="AO424" i="1"/>
  <c r="AO425" i="1"/>
  <c r="AO426" i="1"/>
  <c r="AO427" i="1"/>
  <c r="AO428" i="1"/>
  <c r="AO429" i="1"/>
  <c r="AO430" i="1"/>
  <c r="AO431" i="1"/>
  <c r="AO432" i="1"/>
  <c r="AO433" i="1"/>
  <c r="AO434" i="1"/>
  <c r="AO435" i="1"/>
  <c r="AO436" i="1"/>
  <c r="AO437" i="1"/>
  <c r="AO438" i="1"/>
  <c r="AO439" i="1"/>
  <c r="AO440" i="1"/>
  <c r="AO441" i="1"/>
  <c r="AO442" i="1"/>
  <c r="AO443" i="1"/>
  <c r="AO444" i="1"/>
  <c r="AO445" i="1"/>
  <c r="AO446" i="1"/>
  <c r="AO447" i="1"/>
  <c r="AO448" i="1"/>
  <c r="AO449" i="1"/>
  <c r="AO450" i="1"/>
  <c r="AO451" i="1"/>
  <c r="AO452" i="1"/>
  <c r="AO453" i="1"/>
  <c r="AO454" i="1"/>
  <c r="AO455" i="1"/>
  <c r="AO456" i="1"/>
  <c r="AO457" i="1"/>
  <c r="AO458" i="1"/>
  <c r="AO459" i="1"/>
  <c r="AO460" i="1"/>
  <c r="AO461" i="1"/>
  <c r="AO462" i="1"/>
  <c r="AO463" i="1"/>
  <c r="AO464" i="1"/>
  <c r="AO465" i="1"/>
  <c r="AO466" i="1"/>
  <c r="AO467" i="1"/>
  <c r="AO468" i="1"/>
  <c r="AO469" i="1"/>
  <c r="AO470" i="1"/>
  <c r="AO471" i="1"/>
  <c r="AO472" i="1"/>
  <c r="AO473" i="1"/>
  <c r="AO474" i="1"/>
  <c r="AO475" i="1"/>
  <c r="AO476" i="1"/>
  <c r="AO477" i="1"/>
  <c r="AO478" i="1"/>
  <c r="AO479" i="1"/>
  <c r="AO480" i="1"/>
  <c r="AO481" i="1"/>
  <c r="AO482" i="1"/>
  <c r="AO483" i="1"/>
  <c r="AO484" i="1"/>
  <c r="AO485" i="1"/>
  <c r="AO486" i="1"/>
  <c r="AO487" i="1"/>
  <c r="AO488" i="1"/>
  <c r="AO489" i="1"/>
  <c r="AO490" i="1"/>
  <c r="AO491" i="1"/>
  <c r="AO492" i="1"/>
  <c r="AO493" i="1"/>
  <c r="AO494" i="1"/>
  <c r="AO495" i="1"/>
  <c r="AO496" i="1"/>
  <c r="AO497" i="1"/>
  <c r="AO498" i="1"/>
  <c r="AO499" i="1"/>
  <c r="AO500" i="1"/>
  <c r="AO501" i="1"/>
  <c r="AO502" i="1"/>
  <c r="AO503" i="1"/>
  <c r="AO504" i="1"/>
  <c r="AO505" i="1"/>
  <c r="AO506" i="1"/>
  <c r="AO507" i="1"/>
  <c r="AO508" i="1"/>
  <c r="AO509" i="1"/>
  <c r="AO510" i="1"/>
  <c r="AO511" i="1"/>
  <c r="AO512" i="1"/>
  <c r="AO513" i="1"/>
  <c r="AO514" i="1"/>
  <c r="AO515" i="1"/>
  <c r="AO516" i="1"/>
  <c r="AO517" i="1"/>
  <c r="AO518" i="1"/>
  <c r="AO519" i="1"/>
  <c r="AO520" i="1"/>
  <c r="AO521" i="1"/>
  <c r="AO522" i="1"/>
  <c r="AO523" i="1"/>
  <c r="AO524" i="1"/>
  <c r="AO525" i="1"/>
  <c r="AO526" i="1"/>
  <c r="AO527" i="1"/>
  <c r="AO528" i="1"/>
  <c r="AO529" i="1"/>
  <c r="AO530" i="1"/>
  <c r="AO531" i="1"/>
  <c r="AO532" i="1"/>
  <c r="AO533" i="1"/>
  <c r="AO534" i="1"/>
  <c r="AO535" i="1"/>
  <c r="AO536" i="1"/>
  <c r="AO537" i="1"/>
  <c r="AO538" i="1"/>
  <c r="AO539" i="1"/>
  <c r="AO540" i="1"/>
  <c r="AO541" i="1"/>
  <c r="AO542" i="1"/>
  <c r="AO543" i="1"/>
  <c r="AO544" i="1"/>
  <c r="AO545" i="1"/>
  <c r="AO546" i="1"/>
  <c r="AO547" i="1"/>
  <c r="AO548" i="1"/>
  <c r="AO549" i="1"/>
  <c r="AO550" i="1"/>
  <c r="AO551" i="1"/>
  <c r="AO552" i="1"/>
  <c r="AO553" i="1"/>
  <c r="AO554" i="1"/>
  <c r="AO555" i="1"/>
  <c r="AO556" i="1"/>
  <c r="AO557" i="1"/>
  <c r="AO558" i="1"/>
  <c r="AO559" i="1"/>
  <c r="AO560" i="1"/>
  <c r="AO561" i="1"/>
  <c r="AO562" i="1"/>
  <c r="AO563" i="1"/>
  <c r="AO564" i="1"/>
  <c r="AO565" i="1"/>
  <c r="AO566" i="1"/>
  <c r="AO567" i="1"/>
  <c r="AO568" i="1"/>
  <c r="AO569" i="1"/>
  <c r="AO570" i="1"/>
  <c r="AO571" i="1"/>
  <c r="AO572" i="1"/>
  <c r="AO573" i="1"/>
  <c r="AO574" i="1"/>
  <c r="AO575" i="1"/>
  <c r="AO576" i="1"/>
  <c r="AO577" i="1"/>
  <c r="AO578" i="1"/>
  <c r="AO579" i="1"/>
  <c r="AO580" i="1"/>
  <c r="AO581" i="1"/>
  <c r="AO582" i="1"/>
  <c r="AO583" i="1"/>
  <c r="AO584" i="1"/>
  <c r="AO585" i="1"/>
  <c r="AO586" i="1"/>
  <c r="AO587" i="1"/>
  <c r="AO588" i="1"/>
  <c r="AO589" i="1"/>
  <c r="AO590" i="1"/>
  <c r="AO591" i="1"/>
  <c r="AO592" i="1"/>
  <c r="AO593" i="1"/>
  <c r="AO594" i="1"/>
  <c r="AO595" i="1"/>
  <c r="AO596" i="1"/>
  <c r="AO597" i="1"/>
  <c r="AO598" i="1"/>
  <c r="AO599" i="1"/>
  <c r="AO600" i="1"/>
  <c r="AO601" i="1"/>
  <c r="AO602" i="1"/>
  <c r="AO603" i="1"/>
  <c r="AO604" i="1"/>
  <c r="AO605" i="1"/>
  <c r="AO606" i="1"/>
  <c r="AO607" i="1"/>
  <c r="AO608" i="1"/>
  <c r="AO609" i="1"/>
  <c r="AO610" i="1"/>
  <c r="AO611" i="1"/>
  <c r="AO612" i="1"/>
  <c r="AO613" i="1"/>
  <c r="AO614" i="1"/>
  <c r="AO615" i="1"/>
  <c r="AO616" i="1"/>
  <c r="AO617" i="1"/>
  <c r="AO618" i="1"/>
  <c r="AO619" i="1"/>
  <c r="AO620" i="1"/>
  <c r="AO621" i="1"/>
  <c r="AO622" i="1"/>
  <c r="AO623" i="1"/>
  <c r="AO624" i="1"/>
  <c r="AO625" i="1"/>
  <c r="AO626" i="1"/>
  <c r="AO627" i="1"/>
  <c r="AO628" i="1"/>
  <c r="AO629" i="1"/>
  <c r="AO630" i="1"/>
  <c r="AO631" i="1"/>
  <c r="AO632" i="1"/>
  <c r="AO633" i="1"/>
  <c r="AO634" i="1"/>
  <c r="AO635" i="1"/>
  <c r="AO636" i="1"/>
  <c r="AO637" i="1"/>
  <c r="AO638" i="1"/>
  <c r="AO639" i="1"/>
  <c r="AO640" i="1"/>
  <c r="AO641" i="1"/>
  <c r="AO642" i="1"/>
  <c r="AO643" i="1"/>
  <c r="AO644" i="1"/>
  <c r="AO645" i="1"/>
  <c r="AO646" i="1"/>
  <c r="AO647" i="1"/>
  <c r="AO648" i="1"/>
  <c r="AO649" i="1"/>
  <c r="AO650" i="1"/>
  <c r="AO651" i="1"/>
  <c r="AO652" i="1"/>
  <c r="AO653" i="1"/>
  <c r="AO654" i="1"/>
  <c r="AO655" i="1"/>
  <c r="AO656" i="1"/>
  <c r="AO657" i="1"/>
  <c r="AO658" i="1"/>
  <c r="AO659" i="1"/>
  <c r="AO660" i="1"/>
  <c r="AO661" i="1"/>
  <c r="AO662" i="1"/>
  <c r="AO663" i="1"/>
  <c r="AO664" i="1"/>
  <c r="AO665" i="1"/>
  <c r="AO666" i="1"/>
  <c r="AO667" i="1"/>
  <c r="AO668" i="1"/>
  <c r="AO669" i="1"/>
  <c r="AO670" i="1"/>
  <c r="AO671" i="1"/>
  <c r="AO672" i="1"/>
  <c r="AO673" i="1"/>
  <c r="AO674" i="1"/>
  <c r="AO675" i="1"/>
  <c r="AO676" i="1"/>
  <c r="AO677" i="1"/>
  <c r="AO678" i="1"/>
  <c r="AO679" i="1"/>
  <c r="AO680" i="1"/>
  <c r="AO681" i="1"/>
  <c r="AO682" i="1"/>
  <c r="AO683" i="1"/>
  <c r="AO684" i="1"/>
  <c r="AO685" i="1"/>
  <c r="AO686" i="1"/>
  <c r="AO687" i="1"/>
  <c r="AO688" i="1"/>
  <c r="AO689" i="1"/>
  <c r="AO690" i="1"/>
  <c r="AO691" i="1"/>
  <c r="AO692" i="1"/>
  <c r="AO693" i="1"/>
  <c r="AO694" i="1"/>
  <c r="AO695" i="1"/>
  <c r="AO696" i="1"/>
  <c r="AO697" i="1"/>
  <c r="AO698" i="1"/>
  <c r="AO699" i="1"/>
  <c r="AO700" i="1"/>
  <c r="AO701" i="1"/>
  <c r="AO702" i="1"/>
  <c r="AO703" i="1"/>
  <c r="AO704" i="1"/>
  <c r="AO705" i="1"/>
  <c r="AO706" i="1"/>
  <c r="AO707" i="1"/>
  <c r="AO708" i="1"/>
  <c r="AO709" i="1"/>
  <c r="AO710" i="1"/>
  <c r="AO711" i="1"/>
  <c r="AO712" i="1"/>
  <c r="AO713" i="1"/>
  <c r="AO714" i="1"/>
  <c r="AO715" i="1"/>
  <c r="AO716" i="1"/>
  <c r="AO717" i="1"/>
  <c r="AO718" i="1"/>
  <c r="AO719" i="1"/>
  <c r="AO720" i="1"/>
  <c r="AO721" i="1"/>
  <c r="AO722" i="1"/>
  <c r="AO723" i="1"/>
  <c r="AO724" i="1"/>
  <c r="AO725" i="1"/>
  <c r="AO726" i="1"/>
  <c r="AO727" i="1"/>
  <c r="AO728" i="1"/>
  <c r="AO729" i="1"/>
  <c r="AO730" i="1"/>
  <c r="AO731" i="1"/>
  <c r="AO732" i="1"/>
  <c r="AO733" i="1"/>
  <c r="AO734" i="1"/>
  <c r="AO735" i="1"/>
  <c r="AO736" i="1"/>
  <c r="AO737" i="1"/>
  <c r="AO738" i="1"/>
  <c r="AO739" i="1"/>
  <c r="AO740" i="1"/>
  <c r="AO741" i="1"/>
  <c r="AO742" i="1"/>
  <c r="AO743" i="1"/>
  <c r="AO744" i="1"/>
  <c r="AO745" i="1"/>
  <c r="AO746" i="1"/>
  <c r="AO747" i="1"/>
  <c r="AO748" i="1"/>
  <c r="AO749" i="1"/>
  <c r="AO750" i="1"/>
  <c r="AO751" i="1"/>
  <c r="AO752" i="1"/>
  <c r="AO753" i="1"/>
  <c r="AO754" i="1"/>
  <c r="AO755" i="1"/>
  <c r="AO756" i="1"/>
  <c r="AO757" i="1"/>
  <c r="AO758" i="1"/>
  <c r="AO759" i="1"/>
  <c r="AO760" i="1"/>
  <c r="AO761" i="1"/>
  <c r="AO762" i="1"/>
  <c r="AO763" i="1"/>
  <c r="AO764" i="1"/>
  <c r="AO765" i="1"/>
  <c r="AO766" i="1"/>
  <c r="AO767" i="1"/>
  <c r="AO768" i="1"/>
  <c r="AO769" i="1"/>
  <c r="AO770" i="1"/>
  <c r="AO771" i="1"/>
  <c r="AO772" i="1"/>
  <c r="AO773" i="1"/>
  <c r="AO774" i="1"/>
  <c r="AO775" i="1"/>
  <c r="AO776" i="1"/>
  <c r="AO777" i="1"/>
  <c r="AO778" i="1"/>
  <c r="AO779" i="1"/>
  <c r="AO780" i="1"/>
  <c r="AO781" i="1"/>
  <c r="AO782" i="1"/>
  <c r="AO783" i="1"/>
  <c r="AO784" i="1"/>
  <c r="AO785" i="1"/>
  <c r="AO786" i="1"/>
  <c r="AO787" i="1"/>
  <c r="AO788" i="1"/>
  <c r="AO789" i="1"/>
  <c r="AO790" i="1"/>
  <c r="AO791" i="1"/>
  <c r="AO792" i="1"/>
  <c r="AO793" i="1"/>
  <c r="AO794" i="1"/>
  <c r="AO795" i="1"/>
  <c r="AO796" i="1"/>
  <c r="AO797" i="1"/>
  <c r="AO798" i="1"/>
  <c r="AO799" i="1"/>
  <c r="AO800" i="1"/>
  <c r="AO801" i="1"/>
  <c r="AO802" i="1"/>
  <c r="AO803" i="1"/>
  <c r="AO804" i="1"/>
  <c r="AO805" i="1"/>
  <c r="AO806" i="1"/>
  <c r="AO807" i="1"/>
  <c r="AO808" i="1"/>
  <c r="AO809" i="1"/>
  <c r="AO810" i="1"/>
  <c r="AO811" i="1"/>
  <c r="AO812" i="1"/>
  <c r="AO813" i="1"/>
  <c r="AO814" i="1"/>
  <c r="AO815" i="1"/>
  <c r="AO816" i="1"/>
  <c r="AO817" i="1"/>
  <c r="AO818" i="1"/>
  <c r="AO819" i="1"/>
  <c r="AO820" i="1"/>
  <c r="AO821" i="1"/>
  <c r="AO822" i="1"/>
  <c r="AO823" i="1"/>
  <c r="AO824" i="1"/>
  <c r="AO825" i="1"/>
  <c r="AO826" i="1"/>
  <c r="AO827" i="1"/>
  <c r="AO828" i="1"/>
  <c r="AO829" i="1"/>
  <c r="AO830" i="1"/>
  <c r="AO831" i="1"/>
  <c r="AO832" i="1"/>
  <c r="AO833" i="1"/>
  <c r="AO834" i="1"/>
  <c r="AO835" i="1"/>
  <c r="AO836" i="1"/>
  <c r="AO837" i="1"/>
  <c r="AO838" i="1"/>
  <c r="AO839" i="1"/>
  <c r="AO840" i="1"/>
  <c r="AO841" i="1"/>
  <c r="AO842" i="1"/>
  <c r="AO843" i="1"/>
  <c r="AO844" i="1"/>
  <c r="AO845" i="1"/>
  <c r="AO846" i="1"/>
  <c r="AO847" i="1"/>
  <c r="AO848" i="1"/>
  <c r="AO849" i="1"/>
  <c r="AO850" i="1"/>
  <c r="AO851" i="1"/>
  <c r="AO852" i="1"/>
  <c r="AO853" i="1"/>
  <c r="AO854" i="1"/>
  <c r="AO855" i="1"/>
  <c r="AO856" i="1"/>
  <c r="AO857" i="1"/>
  <c r="AO858" i="1"/>
  <c r="AO859" i="1"/>
  <c r="AO860" i="1"/>
  <c r="AO861" i="1"/>
  <c r="AO862" i="1"/>
  <c r="AO863" i="1"/>
  <c r="AO864" i="1"/>
  <c r="AO865" i="1"/>
  <c r="AO866" i="1"/>
  <c r="AO867" i="1"/>
  <c r="AO868" i="1"/>
  <c r="AO869" i="1"/>
  <c r="AO870" i="1"/>
  <c r="AO871" i="1"/>
  <c r="AO872" i="1"/>
  <c r="AO873" i="1"/>
  <c r="AO874" i="1"/>
  <c r="AO875" i="1"/>
  <c r="AO876" i="1"/>
  <c r="AO877" i="1"/>
  <c r="AO878" i="1"/>
  <c r="AO879" i="1"/>
  <c r="AO880" i="1"/>
  <c r="AO881" i="1"/>
  <c r="AO882" i="1"/>
  <c r="AO883" i="1"/>
  <c r="AO884" i="1"/>
  <c r="AO885" i="1"/>
  <c r="AO886" i="1"/>
  <c r="AO887" i="1"/>
  <c r="AO888" i="1"/>
  <c r="AO889" i="1"/>
  <c r="AO890" i="1"/>
  <c r="AO891" i="1"/>
  <c r="AO892" i="1"/>
  <c r="AO893" i="1"/>
  <c r="AO894" i="1"/>
  <c r="AO895" i="1"/>
  <c r="AO896" i="1"/>
  <c r="AO897" i="1"/>
  <c r="AO898" i="1"/>
  <c r="AO899" i="1"/>
  <c r="AO900" i="1"/>
  <c r="AO901" i="1"/>
  <c r="AO902" i="1"/>
  <c r="AO903" i="1"/>
  <c r="AO904" i="1"/>
  <c r="AO905" i="1"/>
  <c r="AO906" i="1"/>
  <c r="AO907" i="1"/>
  <c r="AO908" i="1"/>
  <c r="AO909" i="1"/>
  <c r="AO910" i="1"/>
  <c r="AO911" i="1"/>
  <c r="AO912" i="1"/>
  <c r="AO913" i="1"/>
  <c r="AO914" i="1"/>
  <c r="AO915" i="1"/>
  <c r="AO916" i="1"/>
  <c r="AO917" i="1"/>
  <c r="AO918" i="1"/>
  <c r="AO919" i="1"/>
  <c r="AO920" i="1"/>
  <c r="AO921" i="1"/>
  <c r="AO922" i="1"/>
  <c r="AO923" i="1"/>
  <c r="AO924" i="1"/>
  <c r="AO925" i="1"/>
  <c r="AO926" i="1"/>
  <c r="AO927" i="1"/>
  <c r="AO928" i="1"/>
  <c r="AO929" i="1"/>
  <c r="AO930" i="1"/>
  <c r="AO931" i="1"/>
  <c r="AO932" i="1"/>
  <c r="AO933" i="1"/>
  <c r="AO934" i="1"/>
  <c r="AO935" i="1"/>
  <c r="AO936" i="1"/>
  <c r="AO937" i="1"/>
  <c r="AO938" i="1"/>
  <c r="AO939" i="1"/>
  <c r="AO940" i="1"/>
  <c r="AO941" i="1"/>
  <c r="AO942" i="1"/>
  <c r="AO943" i="1"/>
  <c r="AO944" i="1"/>
  <c r="AO945" i="1"/>
  <c r="AO946" i="1"/>
  <c r="AO947" i="1"/>
  <c r="AO948" i="1"/>
  <c r="AO949" i="1"/>
  <c r="AO950" i="1"/>
  <c r="AO951" i="1"/>
  <c r="AO952" i="1"/>
  <c r="AO953" i="1"/>
  <c r="AO954" i="1"/>
  <c r="AO955" i="1"/>
  <c r="AO956" i="1"/>
  <c r="AO957" i="1"/>
  <c r="AO958" i="1"/>
  <c r="AO959" i="1"/>
  <c r="AO960" i="1"/>
  <c r="AO961" i="1"/>
  <c r="AO962" i="1"/>
  <c r="AO963" i="1"/>
  <c r="AO964" i="1"/>
  <c r="AO965" i="1"/>
  <c r="AO966" i="1"/>
  <c r="AO967" i="1"/>
  <c r="AO968" i="1"/>
  <c r="AO969" i="1"/>
  <c r="AO970" i="1"/>
  <c r="AO971" i="1"/>
  <c r="AO972" i="1"/>
  <c r="AO973" i="1"/>
  <c r="AO974" i="1"/>
  <c r="AO975" i="1"/>
  <c r="AO976" i="1"/>
  <c r="AO977" i="1"/>
  <c r="AO978" i="1"/>
  <c r="AO979" i="1"/>
  <c r="AO980" i="1"/>
  <c r="AO981" i="1"/>
  <c r="AO982" i="1"/>
  <c r="AO983" i="1"/>
  <c r="AO984" i="1"/>
  <c r="AO985" i="1"/>
  <c r="AO986" i="1"/>
  <c r="AO987" i="1"/>
  <c r="AO988" i="1"/>
  <c r="AO989" i="1"/>
  <c r="AO990" i="1"/>
  <c r="AO991" i="1"/>
  <c r="AO992" i="1"/>
  <c r="AO993" i="1"/>
  <c r="AO994" i="1"/>
  <c r="AO995" i="1"/>
  <c r="AO996" i="1"/>
  <c r="AO997" i="1"/>
  <c r="AO998" i="1"/>
  <c r="AO999" i="1"/>
  <c r="AO1000" i="1"/>
  <c r="AO1001" i="1"/>
  <c r="AO1002" i="1"/>
  <c r="AO1003" i="1"/>
  <c r="AO1004" i="1"/>
  <c r="AO1005" i="1"/>
  <c r="AO1006" i="1"/>
  <c r="AO1007" i="1"/>
  <c r="AO1008" i="1"/>
  <c r="AO1009" i="1"/>
  <c r="AO1010" i="1"/>
  <c r="AO1011" i="1"/>
  <c r="AO1012" i="1"/>
  <c r="AO1013" i="1"/>
  <c r="AO1014" i="1"/>
  <c r="AO1015" i="1"/>
  <c r="AO1016" i="1"/>
  <c r="AO1017" i="1"/>
  <c r="AO1018" i="1"/>
  <c r="AO1019" i="1"/>
  <c r="AO1020" i="1"/>
  <c r="AO1021" i="1"/>
  <c r="AO1022" i="1"/>
  <c r="AO1023" i="1"/>
  <c r="AO1024" i="1"/>
  <c r="AO1025" i="1"/>
  <c r="AO1026" i="1"/>
  <c r="AO1027" i="1"/>
  <c r="AO1028" i="1"/>
  <c r="AO1029" i="1"/>
  <c r="AO1030" i="1"/>
  <c r="AO1031" i="1"/>
  <c r="AO1032" i="1"/>
  <c r="AO1033" i="1"/>
  <c r="AO1034" i="1"/>
  <c r="AO1035" i="1"/>
  <c r="AO1036" i="1"/>
  <c r="AO1037" i="1"/>
  <c r="AO1038" i="1"/>
  <c r="AO1039" i="1"/>
  <c r="AO1040" i="1"/>
  <c r="AO1041" i="1"/>
  <c r="AO1042" i="1"/>
  <c r="AO1043" i="1"/>
  <c r="AO1044" i="1"/>
  <c r="AO1045" i="1"/>
  <c r="AO1046" i="1"/>
  <c r="AO1047" i="1"/>
  <c r="AO1048" i="1"/>
  <c r="AO1049" i="1"/>
  <c r="AO1050" i="1"/>
  <c r="AO1051" i="1"/>
  <c r="AO1052" i="1"/>
  <c r="AO1053" i="1"/>
  <c r="AO1054" i="1"/>
  <c r="AO1055" i="1"/>
  <c r="AO1056" i="1"/>
  <c r="AO1057" i="1"/>
  <c r="AO1058" i="1"/>
  <c r="AO1059" i="1"/>
  <c r="AO1060" i="1"/>
  <c r="AO1061" i="1"/>
  <c r="AO1062" i="1"/>
  <c r="AO1063" i="1"/>
  <c r="AO1064" i="1"/>
  <c r="AO1065" i="1"/>
  <c r="AO1066" i="1"/>
  <c r="AO1067" i="1"/>
  <c r="AO1068" i="1"/>
  <c r="AO1069" i="1"/>
  <c r="AO1070" i="1"/>
  <c r="AO1071" i="1"/>
  <c r="AO1072" i="1"/>
  <c r="AO1073" i="1"/>
  <c r="AO1074" i="1"/>
  <c r="AO1075" i="1"/>
  <c r="AO1076" i="1"/>
  <c r="AO1077" i="1"/>
  <c r="AO1078" i="1"/>
  <c r="AO1079" i="1"/>
  <c r="AO1080" i="1"/>
  <c r="AO1081" i="1"/>
  <c r="AO1082" i="1"/>
  <c r="AO1083" i="1"/>
  <c r="AO1084" i="1"/>
  <c r="AO1085" i="1"/>
  <c r="AO1086" i="1"/>
  <c r="AO1087" i="1"/>
  <c r="AO1088" i="1"/>
  <c r="AO1089" i="1"/>
  <c r="AO1090" i="1"/>
  <c r="AO1091" i="1"/>
  <c r="AO1092" i="1"/>
  <c r="AO1093" i="1"/>
  <c r="AO1094" i="1"/>
  <c r="AO1095" i="1"/>
  <c r="AO1096" i="1"/>
  <c r="AO1097" i="1"/>
  <c r="AO1098" i="1"/>
  <c r="AO1099" i="1"/>
  <c r="AO1100" i="1"/>
  <c r="AO1101" i="1"/>
  <c r="AO1102" i="1"/>
  <c r="AO1103" i="1"/>
  <c r="AO1104" i="1"/>
  <c r="AO1105" i="1"/>
  <c r="AO1106" i="1"/>
  <c r="AO1107" i="1"/>
  <c r="AO1108" i="1"/>
  <c r="AO1109" i="1"/>
  <c r="AO1110" i="1"/>
  <c r="AO1111" i="1"/>
  <c r="AO1112" i="1"/>
  <c r="AO1113" i="1"/>
  <c r="AO1114" i="1"/>
  <c r="AO1115" i="1"/>
  <c r="AO1116" i="1"/>
  <c r="AO1117" i="1"/>
  <c r="AO1118" i="1"/>
  <c r="AO1119" i="1"/>
  <c r="AO1120" i="1"/>
  <c r="AO1121" i="1"/>
  <c r="AO1122" i="1"/>
  <c r="AO1123" i="1"/>
  <c r="AO1124" i="1"/>
  <c r="AO1125" i="1"/>
  <c r="AO1126" i="1"/>
  <c r="AO1127" i="1"/>
  <c r="AO1128" i="1"/>
  <c r="AO1129" i="1"/>
  <c r="AO1130" i="1"/>
  <c r="AO1131" i="1"/>
  <c r="AO1132" i="1"/>
  <c r="AO1133" i="1"/>
  <c r="AO1134" i="1"/>
  <c r="AO1135" i="1"/>
  <c r="AO1136" i="1"/>
  <c r="AO1137" i="1"/>
  <c r="AO1138" i="1"/>
  <c r="AO1139" i="1"/>
  <c r="AO1140" i="1"/>
  <c r="AO1141" i="1"/>
  <c r="AO1142" i="1"/>
  <c r="AO1143" i="1"/>
  <c r="AO1144" i="1"/>
  <c r="AO1145" i="1"/>
  <c r="AO1146" i="1"/>
  <c r="AO1147" i="1"/>
  <c r="AO1148" i="1"/>
  <c r="AO1149" i="1"/>
  <c r="AO1150" i="1"/>
  <c r="AO1151" i="1"/>
  <c r="AO1152" i="1"/>
  <c r="AO1153" i="1"/>
  <c r="AO1154" i="1"/>
  <c r="AO1155" i="1"/>
  <c r="AO1156" i="1"/>
  <c r="AO1157" i="1"/>
  <c r="AO1158" i="1"/>
  <c r="AO1159" i="1"/>
  <c r="AO1160" i="1"/>
  <c r="AO1161" i="1"/>
  <c r="AO1162" i="1"/>
  <c r="AO1163" i="1"/>
  <c r="AO1164" i="1"/>
  <c r="AO1165" i="1"/>
  <c r="AO1166" i="1"/>
  <c r="AO1167" i="1"/>
  <c r="AO1168" i="1"/>
  <c r="AO1169" i="1"/>
  <c r="AO1170" i="1"/>
  <c r="AO1171" i="1"/>
  <c r="AO1172" i="1"/>
  <c r="AO1173" i="1"/>
  <c r="AO1174" i="1"/>
  <c r="AO1175" i="1"/>
  <c r="AO1176" i="1"/>
  <c r="AO1177" i="1"/>
  <c r="AO1178" i="1"/>
  <c r="AO1179" i="1"/>
  <c r="AO1180" i="1"/>
  <c r="AO1181" i="1"/>
  <c r="AO1182" i="1"/>
  <c r="AO1183" i="1"/>
  <c r="AO1184" i="1"/>
  <c r="AO1185" i="1"/>
  <c r="AO1186" i="1"/>
  <c r="AO1187" i="1"/>
  <c r="AO1188" i="1"/>
  <c r="AO1189" i="1"/>
  <c r="AO1190" i="1"/>
  <c r="AO1191" i="1"/>
  <c r="AO1192" i="1"/>
  <c r="AO1193" i="1"/>
  <c r="AO1194" i="1"/>
  <c r="AO1195" i="1"/>
  <c r="AO1196" i="1"/>
  <c r="AO1197" i="1"/>
  <c r="AO1198" i="1"/>
  <c r="AO1199" i="1"/>
  <c r="AO1200" i="1"/>
  <c r="AO1201" i="1"/>
  <c r="AO1202" i="1"/>
  <c r="AO1203" i="1"/>
  <c r="AO1204" i="1"/>
  <c r="AO1205" i="1"/>
  <c r="AO1206" i="1"/>
  <c r="AO1207" i="1"/>
  <c r="AO1208" i="1"/>
  <c r="AO1209" i="1"/>
  <c r="AO1210" i="1"/>
  <c r="AO1211" i="1"/>
  <c r="AO1212" i="1"/>
  <c r="AO1213" i="1"/>
  <c r="AO1214" i="1"/>
  <c r="AO1215" i="1"/>
  <c r="AO1216" i="1"/>
  <c r="AO1217" i="1"/>
  <c r="AO1218" i="1"/>
  <c r="AO1219" i="1"/>
  <c r="AO1220" i="1"/>
  <c r="AO1221" i="1"/>
  <c r="AO1222" i="1"/>
  <c r="AO1223" i="1"/>
  <c r="AO1224" i="1"/>
  <c r="AO1225" i="1"/>
  <c r="AO1226" i="1"/>
  <c r="AO1227" i="1"/>
  <c r="AO1228" i="1"/>
  <c r="AO1229" i="1"/>
  <c r="AO1230" i="1"/>
  <c r="AO1231" i="1"/>
  <c r="AO1232" i="1"/>
  <c r="AO1233" i="1"/>
  <c r="AO1234" i="1"/>
  <c r="AO1235" i="1"/>
  <c r="AO1236" i="1"/>
  <c r="AO1237" i="1"/>
  <c r="AO1238" i="1"/>
  <c r="AO1239" i="1"/>
  <c r="AO1240" i="1"/>
  <c r="AO1241" i="1"/>
  <c r="AO1242" i="1"/>
  <c r="AO1243" i="1"/>
  <c r="AO1244" i="1"/>
  <c r="AO1245" i="1"/>
  <c r="AO1246" i="1"/>
  <c r="AO1247" i="1"/>
  <c r="AO1248" i="1"/>
  <c r="AO1249" i="1"/>
  <c r="AO1250" i="1"/>
  <c r="AO1251" i="1"/>
  <c r="AO1252" i="1"/>
  <c r="AO1253" i="1"/>
  <c r="AO1254" i="1"/>
  <c r="AO1255" i="1"/>
  <c r="AO1256" i="1"/>
  <c r="AO1257" i="1"/>
  <c r="AO1258" i="1"/>
  <c r="AO1259" i="1"/>
  <c r="AO1260" i="1"/>
  <c r="AO1261" i="1"/>
  <c r="AO1262" i="1"/>
  <c r="AO1263" i="1"/>
  <c r="AO1264" i="1"/>
  <c r="AO1265" i="1"/>
  <c r="AO1266" i="1"/>
  <c r="AO1267" i="1"/>
  <c r="AO1268" i="1"/>
  <c r="AO1269" i="1"/>
  <c r="AO1270" i="1"/>
  <c r="AO1271" i="1"/>
  <c r="AO1272" i="1"/>
  <c r="AO1273" i="1"/>
  <c r="AO1274" i="1"/>
  <c r="AO1275" i="1"/>
  <c r="AO1276" i="1"/>
  <c r="AO1277" i="1"/>
  <c r="AO1278" i="1"/>
  <c r="AO1279" i="1"/>
  <c r="AO1280" i="1"/>
  <c r="AO1281" i="1"/>
  <c r="AO1282" i="1"/>
  <c r="AO1283" i="1"/>
  <c r="AO1284" i="1"/>
  <c r="AO1285" i="1"/>
  <c r="AO1286" i="1"/>
  <c r="AO1287" i="1"/>
  <c r="AO1288" i="1"/>
  <c r="AO1289" i="1"/>
  <c r="AO1290" i="1"/>
  <c r="AO1291" i="1"/>
  <c r="AO1292" i="1"/>
  <c r="AO1293" i="1"/>
  <c r="AO1294" i="1"/>
  <c r="AO1295" i="1"/>
  <c r="AO1296" i="1"/>
  <c r="AO1297" i="1"/>
  <c r="AO1298" i="1"/>
  <c r="AO1299" i="1"/>
  <c r="AO1300" i="1"/>
  <c r="AO1301" i="1"/>
  <c r="AO1302" i="1"/>
  <c r="AO1303" i="1"/>
  <c r="AO1304" i="1"/>
  <c r="AO1305" i="1"/>
  <c r="AO1306" i="1"/>
  <c r="AO1307" i="1"/>
  <c r="AO1308" i="1"/>
  <c r="AO1309" i="1"/>
  <c r="AO1310" i="1"/>
  <c r="AO1311" i="1"/>
  <c r="AO1312" i="1"/>
  <c r="AO1313" i="1"/>
  <c r="AO1314" i="1"/>
  <c r="AO1315" i="1"/>
  <c r="AO1316" i="1"/>
  <c r="AO1317" i="1"/>
  <c r="AO1318" i="1"/>
  <c r="AO1319" i="1"/>
  <c r="AO1320" i="1"/>
  <c r="AO1321" i="1"/>
  <c r="AO1322" i="1"/>
  <c r="AO1323" i="1"/>
  <c r="AO1324" i="1"/>
  <c r="AO1325" i="1"/>
  <c r="AO1326" i="1"/>
  <c r="AO1327" i="1"/>
  <c r="AO1328" i="1"/>
  <c r="AO1329" i="1"/>
  <c r="AO1330" i="1"/>
  <c r="AO1331" i="1"/>
  <c r="AO1332" i="1"/>
  <c r="AO1333" i="1"/>
  <c r="AO1334" i="1"/>
  <c r="AO1335" i="1"/>
  <c r="AO1336" i="1"/>
  <c r="AO1337" i="1"/>
  <c r="AO1338" i="1"/>
  <c r="AO1339" i="1"/>
  <c r="AO1340" i="1"/>
  <c r="AO1341" i="1"/>
  <c r="AO1342" i="1"/>
  <c r="AO1343" i="1"/>
  <c r="AO1344" i="1"/>
  <c r="AO1345" i="1"/>
  <c r="AO1346" i="1"/>
  <c r="AO1347" i="1"/>
  <c r="AO1348" i="1"/>
  <c r="AO1349" i="1"/>
  <c r="AO1350" i="1"/>
  <c r="AO1351" i="1"/>
  <c r="AO1352" i="1"/>
  <c r="AO1353" i="1"/>
  <c r="AO1354" i="1"/>
  <c r="AO1355" i="1"/>
  <c r="AO1356" i="1"/>
  <c r="AO1357" i="1"/>
  <c r="AO1358" i="1"/>
  <c r="AO1359" i="1"/>
  <c r="AO1360" i="1"/>
  <c r="AO1361" i="1"/>
  <c r="AO1362" i="1"/>
  <c r="AO1363" i="1"/>
  <c r="AO1364" i="1"/>
  <c r="AO1365" i="1"/>
  <c r="AO1366" i="1"/>
  <c r="AO1367" i="1"/>
  <c r="AO1368" i="1"/>
  <c r="AO1369" i="1"/>
  <c r="AO1370" i="1"/>
  <c r="AO1371" i="1"/>
  <c r="AO1372" i="1"/>
  <c r="AO1373" i="1"/>
  <c r="AO1374" i="1"/>
  <c r="AO1375" i="1"/>
  <c r="AO1376" i="1"/>
  <c r="AO1377" i="1"/>
  <c r="AO1378" i="1"/>
  <c r="AO1379" i="1"/>
  <c r="AO1380" i="1"/>
  <c r="AO1381" i="1"/>
  <c r="AO1382" i="1"/>
  <c r="AO1383" i="1"/>
  <c r="AO1384" i="1"/>
  <c r="AO1385" i="1"/>
  <c r="AO1386" i="1"/>
  <c r="AO1387" i="1"/>
  <c r="AO1388" i="1"/>
  <c r="AO1389" i="1"/>
  <c r="AO1390" i="1"/>
  <c r="AO1391" i="1"/>
  <c r="AO1392" i="1"/>
  <c r="AO1393" i="1"/>
  <c r="AO1394" i="1"/>
  <c r="AO1395" i="1"/>
  <c r="AO1396" i="1"/>
  <c r="AO1397" i="1"/>
  <c r="AO1398" i="1"/>
  <c r="AO1399" i="1"/>
  <c r="AO1400" i="1"/>
  <c r="AO1401" i="1"/>
  <c r="AO1402" i="1"/>
  <c r="AO1403" i="1"/>
  <c r="AO1404" i="1"/>
  <c r="AO1405" i="1"/>
  <c r="AO1406" i="1"/>
  <c r="AO1407" i="1"/>
  <c r="AO1408" i="1"/>
  <c r="AO1409" i="1"/>
  <c r="AO1410" i="1"/>
  <c r="AO1411" i="1"/>
  <c r="AO1412" i="1"/>
  <c r="AO1413" i="1"/>
  <c r="AO1414" i="1"/>
  <c r="AO1415" i="1"/>
  <c r="AO1416" i="1"/>
  <c r="AO1417" i="1"/>
  <c r="AO1418" i="1"/>
  <c r="AO1419" i="1"/>
  <c r="AO1420" i="1"/>
  <c r="AO1421" i="1"/>
  <c r="AO1422" i="1"/>
  <c r="AO1423" i="1"/>
  <c r="AO1424" i="1"/>
  <c r="AO1425" i="1"/>
  <c r="AO1426" i="1"/>
  <c r="AO1427" i="1"/>
  <c r="AO1428" i="1"/>
  <c r="AO1429" i="1"/>
  <c r="AO1430" i="1"/>
  <c r="AO1431" i="1"/>
  <c r="AO1432" i="1"/>
  <c r="AO1433" i="1"/>
  <c r="AO1434" i="1"/>
  <c r="AO1435" i="1"/>
  <c r="AO1436" i="1"/>
  <c r="AO1437" i="1"/>
  <c r="AO1438" i="1"/>
  <c r="AO1439" i="1"/>
  <c r="AO1440" i="1"/>
  <c r="AO1441" i="1"/>
  <c r="AO1442" i="1"/>
  <c r="AO1443" i="1"/>
  <c r="AO1444" i="1"/>
  <c r="AO1445" i="1"/>
  <c r="AO1446" i="1"/>
  <c r="AO1447" i="1"/>
  <c r="AO1448" i="1"/>
  <c r="AO1449" i="1"/>
  <c r="AO1450" i="1"/>
  <c r="AO1451" i="1"/>
  <c r="AO1452" i="1"/>
  <c r="AO1453" i="1"/>
  <c r="AO1454" i="1"/>
  <c r="AO1455" i="1"/>
  <c r="AO1456" i="1"/>
  <c r="AO1457" i="1"/>
  <c r="AO1458" i="1"/>
  <c r="AO1459" i="1"/>
  <c r="AO1460" i="1"/>
  <c r="AO1461" i="1"/>
  <c r="AO1462" i="1"/>
  <c r="AO1463" i="1"/>
  <c r="AO1464" i="1"/>
  <c r="AO1465" i="1"/>
  <c r="AO1466" i="1"/>
  <c r="AO1467" i="1"/>
  <c r="AO1468" i="1"/>
  <c r="AO1469" i="1"/>
  <c r="AO1470" i="1"/>
  <c r="AO1471" i="1"/>
  <c r="AN2" i="1"/>
  <c r="AN3" i="1"/>
  <c r="AN4" i="1"/>
  <c r="AN5" i="1"/>
  <c r="AN6" i="1"/>
  <c r="AN7" i="1"/>
  <c r="AN8" i="1"/>
  <c r="AN9" i="1"/>
  <c r="AN10" i="1"/>
  <c r="AN11" i="1"/>
  <c r="AN12" i="1"/>
  <c r="AN13" i="1"/>
  <c r="AN14" i="1"/>
  <c r="AN15" i="1"/>
  <c r="AN16" i="1"/>
  <c r="AN17" i="1"/>
  <c r="AN18" i="1"/>
  <c r="AN19" i="1"/>
  <c r="AN20" i="1"/>
  <c r="AN21" i="1"/>
  <c r="AN22" i="1"/>
  <c r="AN23" i="1"/>
  <c r="AN24" i="1"/>
  <c r="AN25" i="1"/>
  <c r="AN26" i="1"/>
  <c r="AN27" i="1"/>
  <c r="AN28" i="1"/>
  <c r="AN29" i="1"/>
  <c r="AN30" i="1"/>
  <c r="AN31" i="1"/>
  <c r="AN32" i="1"/>
  <c r="AN33" i="1"/>
  <c r="AN34" i="1"/>
  <c r="AN35" i="1"/>
  <c r="AN36" i="1"/>
  <c r="AN37" i="1"/>
  <c r="AN38" i="1"/>
  <c r="AN39" i="1"/>
  <c r="AN40" i="1"/>
  <c r="AN41" i="1"/>
  <c r="AN42" i="1"/>
  <c r="AN43" i="1"/>
  <c r="AN44" i="1"/>
  <c r="AN45" i="1"/>
  <c r="AN46" i="1"/>
  <c r="AN47" i="1"/>
  <c r="AN48" i="1"/>
  <c r="AN49" i="1"/>
  <c r="AN50" i="1"/>
  <c r="AN51" i="1"/>
  <c r="AN52" i="1"/>
  <c r="AN53" i="1"/>
  <c r="AN54" i="1"/>
  <c r="AN55" i="1"/>
  <c r="AN56" i="1"/>
  <c r="AN57" i="1"/>
  <c r="AN58" i="1"/>
  <c r="AN59" i="1"/>
  <c r="AN60" i="1"/>
  <c r="AN61" i="1"/>
  <c r="AN62" i="1"/>
  <c r="AN63" i="1"/>
  <c r="AN64" i="1"/>
  <c r="AN65" i="1"/>
  <c r="AN66" i="1"/>
  <c r="AN67" i="1"/>
  <c r="AN68" i="1"/>
  <c r="AN69" i="1"/>
  <c r="AN70" i="1"/>
  <c r="AN71" i="1"/>
  <c r="AN72" i="1"/>
  <c r="AN73" i="1"/>
  <c r="AN74" i="1"/>
  <c r="AN75" i="1"/>
  <c r="AN76" i="1"/>
  <c r="AN77" i="1"/>
  <c r="AN78" i="1"/>
  <c r="AN79" i="1"/>
  <c r="AN80" i="1"/>
  <c r="AN81" i="1"/>
  <c r="AN82" i="1"/>
  <c r="AN83" i="1"/>
  <c r="AN84" i="1"/>
  <c r="AN85" i="1"/>
  <c r="AN86" i="1"/>
  <c r="AN87" i="1"/>
  <c r="AN88" i="1"/>
  <c r="AN89" i="1"/>
  <c r="AN90" i="1"/>
  <c r="AN91" i="1"/>
  <c r="AN92" i="1"/>
  <c r="AN93" i="1"/>
  <c r="AN94" i="1"/>
  <c r="AN95" i="1"/>
  <c r="AN96" i="1"/>
  <c r="AN97" i="1"/>
  <c r="AN98" i="1"/>
  <c r="AN99" i="1"/>
  <c r="AN100" i="1"/>
  <c r="AN101" i="1"/>
  <c r="AN102" i="1"/>
  <c r="AN103" i="1"/>
  <c r="AN104" i="1"/>
  <c r="AN105" i="1"/>
  <c r="AN106" i="1"/>
  <c r="AN107" i="1"/>
  <c r="AN108" i="1"/>
  <c r="AN109" i="1"/>
  <c r="AN110" i="1"/>
  <c r="AN111" i="1"/>
  <c r="AN112" i="1"/>
  <c r="AN113" i="1"/>
  <c r="AN114" i="1"/>
  <c r="AN115" i="1"/>
  <c r="AN116" i="1"/>
  <c r="AN117" i="1"/>
  <c r="AN118" i="1"/>
  <c r="AN119" i="1"/>
  <c r="AN120" i="1"/>
  <c r="AN121" i="1"/>
  <c r="AN122" i="1"/>
  <c r="AN123" i="1"/>
  <c r="AN124" i="1"/>
  <c r="AN125" i="1"/>
  <c r="AN126" i="1"/>
  <c r="AN127" i="1"/>
  <c r="AN128" i="1"/>
  <c r="AN129" i="1"/>
  <c r="AN130" i="1"/>
  <c r="AN131" i="1"/>
  <c r="AN132" i="1"/>
  <c r="AN133" i="1"/>
  <c r="AN134" i="1"/>
  <c r="AN135" i="1"/>
  <c r="AN136" i="1"/>
  <c r="AN137" i="1"/>
  <c r="AN138" i="1"/>
  <c r="AN139" i="1"/>
  <c r="AN140" i="1"/>
  <c r="AN141" i="1"/>
  <c r="AN142" i="1"/>
  <c r="AN143" i="1"/>
  <c r="AN144" i="1"/>
  <c r="AN145" i="1"/>
  <c r="AN146" i="1"/>
  <c r="AN147" i="1"/>
  <c r="AN148" i="1"/>
  <c r="AN149" i="1"/>
  <c r="AN150" i="1"/>
  <c r="AN151" i="1"/>
  <c r="AN152" i="1"/>
  <c r="AN153" i="1"/>
  <c r="AN154" i="1"/>
  <c r="AN155" i="1"/>
  <c r="AN156" i="1"/>
  <c r="AN157" i="1"/>
  <c r="AN158" i="1"/>
  <c r="AN159" i="1"/>
  <c r="AN160" i="1"/>
  <c r="AN161" i="1"/>
  <c r="AN162" i="1"/>
  <c r="AN163" i="1"/>
  <c r="AN164" i="1"/>
  <c r="AN165" i="1"/>
  <c r="AN166" i="1"/>
  <c r="AN167" i="1"/>
  <c r="AN168" i="1"/>
  <c r="AN169" i="1"/>
  <c r="AN170" i="1"/>
  <c r="AN171" i="1"/>
  <c r="AN172" i="1"/>
  <c r="AN173" i="1"/>
  <c r="AN174" i="1"/>
  <c r="AN175" i="1"/>
  <c r="AN176" i="1"/>
  <c r="AN177" i="1"/>
  <c r="AN178" i="1"/>
  <c r="AN179" i="1"/>
  <c r="AN180" i="1"/>
  <c r="AN181" i="1"/>
  <c r="AN182" i="1"/>
  <c r="AN183" i="1"/>
  <c r="AN184" i="1"/>
  <c r="AN185" i="1"/>
  <c r="AN186" i="1"/>
  <c r="AN187" i="1"/>
  <c r="AN188" i="1"/>
  <c r="AN189" i="1"/>
  <c r="AN190" i="1"/>
  <c r="AN191" i="1"/>
  <c r="AN192" i="1"/>
  <c r="AN193" i="1"/>
  <c r="AN194" i="1"/>
  <c r="AN195" i="1"/>
  <c r="AN196" i="1"/>
  <c r="AN197" i="1"/>
  <c r="AN198" i="1"/>
  <c r="AN199" i="1"/>
  <c r="AN200" i="1"/>
  <c r="AN201" i="1"/>
  <c r="AN202" i="1"/>
  <c r="AN203" i="1"/>
  <c r="AN204" i="1"/>
  <c r="AN205" i="1"/>
  <c r="AN206" i="1"/>
  <c r="AN207" i="1"/>
  <c r="AN208" i="1"/>
  <c r="AN209" i="1"/>
  <c r="AN210" i="1"/>
  <c r="AN211" i="1"/>
  <c r="AN212" i="1"/>
  <c r="AN213" i="1"/>
  <c r="AN214" i="1"/>
  <c r="AN215" i="1"/>
  <c r="AN216" i="1"/>
  <c r="AN217" i="1"/>
  <c r="AN218" i="1"/>
  <c r="AN219" i="1"/>
  <c r="AN220" i="1"/>
  <c r="AN221" i="1"/>
  <c r="AN222" i="1"/>
  <c r="AN223" i="1"/>
  <c r="AN224" i="1"/>
  <c r="AN225" i="1"/>
  <c r="AN226" i="1"/>
  <c r="AN227" i="1"/>
  <c r="AN228" i="1"/>
  <c r="AN229" i="1"/>
  <c r="AN230" i="1"/>
  <c r="AN231" i="1"/>
  <c r="AN232" i="1"/>
  <c r="AN233" i="1"/>
  <c r="AN234" i="1"/>
  <c r="AN235" i="1"/>
  <c r="AN236" i="1"/>
  <c r="AN237" i="1"/>
  <c r="AN238" i="1"/>
  <c r="AN239" i="1"/>
  <c r="AN240" i="1"/>
  <c r="AN241" i="1"/>
  <c r="AN242" i="1"/>
  <c r="AN243" i="1"/>
  <c r="AN244" i="1"/>
  <c r="AN245" i="1"/>
  <c r="AN246" i="1"/>
  <c r="AN247" i="1"/>
  <c r="AN248" i="1"/>
  <c r="AN249" i="1"/>
  <c r="AN250" i="1"/>
  <c r="AN251" i="1"/>
  <c r="AN252" i="1"/>
  <c r="AN253" i="1"/>
  <c r="AN254" i="1"/>
  <c r="AN255" i="1"/>
  <c r="AN256" i="1"/>
  <c r="AN257" i="1"/>
  <c r="AN258" i="1"/>
  <c r="AN259" i="1"/>
  <c r="AN260" i="1"/>
  <c r="AN261" i="1"/>
  <c r="AN262" i="1"/>
  <c r="AN263" i="1"/>
  <c r="AN264" i="1"/>
  <c r="AN265" i="1"/>
  <c r="AN266" i="1"/>
  <c r="AN267" i="1"/>
  <c r="AN268" i="1"/>
  <c r="AN269" i="1"/>
  <c r="AN270" i="1"/>
  <c r="AN271" i="1"/>
  <c r="AN272" i="1"/>
  <c r="AN273" i="1"/>
  <c r="AN274" i="1"/>
  <c r="AN275" i="1"/>
  <c r="AN276" i="1"/>
  <c r="AN277" i="1"/>
  <c r="AN278" i="1"/>
  <c r="AN279" i="1"/>
  <c r="AN280" i="1"/>
  <c r="AN281" i="1"/>
  <c r="AN282" i="1"/>
  <c r="AN283" i="1"/>
  <c r="AN284" i="1"/>
  <c r="AN285" i="1"/>
  <c r="AN286" i="1"/>
  <c r="AN287" i="1"/>
  <c r="AN288" i="1"/>
  <c r="AN289" i="1"/>
  <c r="AN290" i="1"/>
  <c r="AN291" i="1"/>
  <c r="AN292" i="1"/>
  <c r="AN293" i="1"/>
  <c r="AN294" i="1"/>
  <c r="AN295" i="1"/>
  <c r="AN296" i="1"/>
  <c r="AN297" i="1"/>
  <c r="AN298" i="1"/>
  <c r="AN299" i="1"/>
  <c r="AN300" i="1"/>
  <c r="AN301" i="1"/>
  <c r="AN302" i="1"/>
  <c r="AN303" i="1"/>
  <c r="AN304" i="1"/>
  <c r="AN305" i="1"/>
  <c r="AN306" i="1"/>
  <c r="AN307" i="1"/>
  <c r="AN308" i="1"/>
  <c r="AN309" i="1"/>
  <c r="AN310" i="1"/>
  <c r="AN311" i="1"/>
  <c r="AN312" i="1"/>
  <c r="AN313" i="1"/>
  <c r="AN314" i="1"/>
  <c r="AN315" i="1"/>
  <c r="AN316" i="1"/>
  <c r="AN317" i="1"/>
  <c r="AN318" i="1"/>
  <c r="AN319" i="1"/>
  <c r="AN320" i="1"/>
  <c r="AN321" i="1"/>
  <c r="AN322" i="1"/>
  <c r="AN323" i="1"/>
  <c r="AN324" i="1"/>
  <c r="AN325" i="1"/>
  <c r="AN326" i="1"/>
  <c r="AN327" i="1"/>
  <c r="AN328" i="1"/>
  <c r="AN329" i="1"/>
  <c r="AN330" i="1"/>
  <c r="AN331" i="1"/>
  <c r="AN332" i="1"/>
  <c r="AN333" i="1"/>
  <c r="AN334" i="1"/>
  <c r="AN335" i="1"/>
  <c r="AN336" i="1"/>
  <c r="AN337" i="1"/>
  <c r="AN338" i="1"/>
  <c r="AN339" i="1"/>
  <c r="AN340" i="1"/>
  <c r="AN341" i="1"/>
  <c r="AN342" i="1"/>
  <c r="AN343" i="1"/>
  <c r="AN344" i="1"/>
  <c r="AN345" i="1"/>
  <c r="AN346" i="1"/>
  <c r="AN347" i="1"/>
  <c r="AN348" i="1"/>
  <c r="AN349" i="1"/>
  <c r="AN350" i="1"/>
  <c r="AN351" i="1"/>
  <c r="AN352" i="1"/>
  <c r="AN353" i="1"/>
  <c r="AN354" i="1"/>
  <c r="AN355" i="1"/>
  <c r="AN356" i="1"/>
  <c r="AN357" i="1"/>
  <c r="AN358" i="1"/>
  <c r="AN359" i="1"/>
  <c r="AN360" i="1"/>
  <c r="AN361" i="1"/>
  <c r="AN362" i="1"/>
  <c r="AN363" i="1"/>
  <c r="AN364" i="1"/>
  <c r="AN365" i="1"/>
  <c r="AN366" i="1"/>
  <c r="AN367" i="1"/>
  <c r="AN368" i="1"/>
  <c r="AN369" i="1"/>
  <c r="AN370" i="1"/>
  <c r="AN371" i="1"/>
  <c r="AN372" i="1"/>
  <c r="AN373" i="1"/>
  <c r="AN374" i="1"/>
  <c r="AN375" i="1"/>
  <c r="AN376" i="1"/>
  <c r="AN377" i="1"/>
  <c r="AN378" i="1"/>
  <c r="AN379" i="1"/>
  <c r="AN380" i="1"/>
  <c r="AN381" i="1"/>
  <c r="AN382" i="1"/>
  <c r="AN383" i="1"/>
  <c r="AN384" i="1"/>
  <c r="AN385" i="1"/>
  <c r="AN386" i="1"/>
  <c r="AN387" i="1"/>
  <c r="AN388" i="1"/>
  <c r="AN389" i="1"/>
  <c r="AN390" i="1"/>
  <c r="AN391" i="1"/>
  <c r="AN392" i="1"/>
  <c r="AN393" i="1"/>
  <c r="AN394" i="1"/>
  <c r="AN395" i="1"/>
  <c r="AN396" i="1"/>
  <c r="AN397" i="1"/>
  <c r="AN398" i="1"/>
  <c r="AN399" i="1"/>
  <c r="AN400" i="1"/>
  <c r="AN401" i="1"/>
  <c r="AN402" i="1"/>
  <c r="AN403" i="1"/>
  <c r="AN404" i="1"/>
  <c r="AN405" i="1"/>
  <c r="AN406" i="1"/>
  <c r="AN407" i="1"/>
  <c r="AN408" i="1"/>
  <c r="AN409" i="1"/>
  <c r="AN410" i="1"/>
  <c r="AN411" i="1"/>
  <c r="AN412" i="1"/>
  <c r="AN413" i="1"/>
  <c r="AN414" i="1"/>
  <c r="AN415" i="1"/>
  <c r="AN416" i="1"/>
  <c r="AN417" i="1"/>
  <c r="AN418" i="1"/>
  <c r="AN419" i="1"/>
  <c r="AN420" i="1"/>
  <c r="AN421" i="1"/>
  <c r="AN422" i="1"/>
  <c r="AN423" i="1"/>
  <c r="AN424" i="1"/>
  <c r="AN425" i="1"/>
  <c r="AN426" i="1"/>
  <c r="AN427" i="1"/>
  <c r="AN428" i="1"/>
  <c r="AN429" i="1"/>
  <c r="AN430" i="1"/>
  <c r="AN431" i="1"/>
  <c r="AN432" i="1"/>
  <c r="AN433" i="1"/>
  <c r="AN434" i="1"/>
  <c r="AN435" i="1"/>
  <c r="AN436" i="1"/>
  <c r="AN437" i="1"/>
  <c r="AN438" i="1"/>
  <c r="AN439" i="1"/>
  <c r="AN440" i="1"/>
  <c r="AN441" i="1"/>
  <c r="AN442" i="1"/>
  <c r="AN443" i="1"/>
  <c r="AN444" i="1"/>
  <c r="AN445" i="1"/>
  <c r="AN446" i="1"/>
  <c r="AN447" i="1"/>
  <c r="AN448" i="1"/>
  <c r="AN449" i="1"/>
  <c r="AN450" i="1"/>
  <c r="AN451" i="1"/>
  <c r="AN452" i="1"/>
  <c r="AN453" i="1"/>
  <c r="AN454" i="1"/>
  <c r="AN455" i="1"/>
  <c r="AN456" i="1"/>
  <c r="AN457" i="1"/>
  <c r="AN458" i="1"/>
  <c r="AN459" i="1"/>
  <c r="AN460" i="1"/>
  <c r="AN461" i="1"/>
  <c r="AN462" i="1"/>
  <c r="AN463" i="1"/>
  <c r="AN464" i="1"/>
  <c r="AN465" i="1"/>
  <c r="AN466" i="1"/>
  <c r="AN467" i="1"/>
  <c r="AN468" i="1"/>
  <c r="AN469" i="1"/>
  <c r="AN470" i="1"/>
  <c r="AN471" i="1"/>
  <c r="AN472" i="1"/>
  <c r="AN473" i="1"/>
  <c r="AN474" i="1"/>
  <c r="AN475" i="1"/>
  <c r="AN476" i="1"/>
  <c r="AN477" i="1"/>
  <c r="AN478" i="1"/>
  <c r="AN479" i="1"/>
  <c r="AN480" i="1"/>
  <c r="AN481" i="1"/>
  <c r="AN482" i="1"/>
  <c r="AN483" i="1"/>
  <c r="AN484" i="1"/>
  <c r="AN485" i="1"/>
  <c r="AN486" i="1"/>
  <c r="AN487" i="1"/>
  <c r="AN488" i="1"/>
  <c r="AN489" i="1"/>
  <c r="AN490" i="1"/>
  <c r="AN491" i="1"/>
  <c r="AN492" i="1"/>
  <c r="AN493" i="1"/>
  <c r="AN494" i="1"/>
  <c r="AN495" i="1"/>
  <c r="AN496" i="1"/>
  <c r="AN497" i="1"/>
  <c r="AN498" i="1"/>
  <c r="AN499" i="1"/>
  <c r="AN500" i="1"/>
  <c r="AN501" i="1"/>
  <c r="AN502" i="1"/>
  <c r="AN503" i="1"/>
  <c r="AN504" i="1"/>
  <c r="AN505" i="1"/>
  <c r="AN506" i="1"/>
  <c r="AN507" i="1"/>
  <c r="AN508" i="1"/>
  <c r="AN509" i="1"/>
  <c r="AN510" i="1"/>
  <c r="AN511" i="1"/>
  <c r="AN512" i="1"/>
  <c r="AN513" i="1"/>
  <c r="AN514" i="1"/>
  <c r="AN515" i="1"/>
  <c r="AN516" i="1"/>
  <c r="AN517" i="1"/>
  <c r="AN518" i="1"/>
  <c r="AN519" i="1"/>
  <c r="AN520" i="1"/>
  <c r="AN521" i="1"/>
  <c r="AN522" i="1"/>
  <c r="AN523" i="1"/>
  <c r="AN524" i="1"/>
  <c r="AN525" i="1"/>
  <c r="AN526" i="1"/>
  <c r="AN527" i="1"/>
  <c r="AN528" i="1"/>
  <c r="AN529" i="1"/>
  <c r="AN530" i="1"/>
  <c r="AN531" i="1"/>
  <c r="AN532" i="1"/>
  <c r="AN533" i="1"/>
  <c r="AN534" i="1"/>
  <c r="AN535" i="1"/>
  <c r="AN536" i="1"/>
  <c r="AN537" i="1"/>
  <c r="AN538" i="1"/>
  <c r="AN539" i="1"/>
  <c r="AN540" i="1"/>
  <c r="AN541" i="1"/>
  <c r="AN542" i="1"/>
  <c r="AN543" i="1"/>
  <c r="AN544" i="1"/>
  <c r="AN545" i="1"/>
  <c r="AN546" i="1"/>
  <c r="AN547" i="1"/>
  <c r="AN548" i="1"/>
  <c r="AN549" i="1"/>
  <c r="AN550" i="1"/>
  <c r="AN551" i="1"/>
  <c r="AN552" i="1"/>
  <c r="AN553" i="1"/>
  <c r="AN554" i="1"/>
  <c r="AN555" i="1"/>
  <c r="AN556" i="1"/>
  <c r="AN557" i="1"/>
  <c r="AN558" i="1"/>
  <c r="AN559" i="1"/>
  <c r="AN560" i="1"/>
  <c r="AN561" i="1"/>
  <c r="AN562" i="1"/>
  <c r="AN563" i="1"/>
  <c r="AN564" i="1"/>
  <c r="AN565" i="1"/>
  <c r="AN566" i="1"/>
  <c r="AN567" i="1"/>
  <c r="AN568" i="1"/>
  <c r="AN569" i="1"/>
  <c r="AN570" i="1"/>
  <c r="AN571" i="1"/>
  <c r="AN572" i="1"/>
  <c r="AN573" i="1"/>
  <c r="AN574" i="1"/>
  <c r="AN575" i="1"/>
  <c r="AN576" i="1"/>
  <c r="AN577" i="1"/>
  <c r="AN578" i="1"/>
  <c r="AN579" i="1"/>
  <c r="AN580" i="1"/>
  <c r="AN581" i="1"/>
  <c r="AN582" i="1"/>
  <c r="AN583" i="1"/>
  <c r="AN584" i="1"/>
  <c r="AN585" i="1"/>
  <c r="AN586" i="1"/>
  <c r="AN587" i="1"/>
  <c r="AN588" i="1"/>
  <c r="AN589" i="1"/>
  <c r="AN590" i="1"/>
  <c r="AN591" i="1"/>
  <c r="AN592" i="1"/>
  <c r="AN593" i="1"/>
  <c r="AN594" i="1"/>
  <c r="AN595" i="1"/>
  <c r="AN596" i="1"/>
  <c r="AN597" i="1"/>
  <c r="AN598" i="1"/>
  <c r="AN599" i="1"/>
  <c r="AN600" i="1"/>
  <c r="AN601" i="1"/>
  <c r="AN602" i="1"/>
  <c r="AN603" i="1"/>
  <c r="AN604" i="1"/>
  <c r="AN605" i="1"/>
  <c r="AN606" i="1"/>
  <c r="AN607" i="1"/>
  <c r="AN608" i="1"/>
  <c r="AN609" i="1"/>
  <c r="AN610" i="1"/>
  <c r="AN611" i="1"/>
  <c r="AN612" i="1"/>
  <c r="AN613" i="1"/>
  <c r="AN614" i="1"/>
  <c r="AN615" i="1"/>
  <c r="AN616" i="1"/>
  <c r="AN617" i="1"/>
  <c r="AN618" i="1"/>
  <c r="AN619" i="1"/>
  <c r="AN620" i="1"/>
  <c r="AN621" i="1"/>
  <c r="AN622" i="1"/>
  <c r="AN623" i="1"/>
  <c r="AN624" i="1"/>
  <c r="AN625" i="1"/>
  <c r="AN626" i="1"/>
  <c r="AN627" i="1"/>
  <c r="AN628" i="1"/>
  <c r="AN629" i="1"/>
  <c r="AN630" i="1"/>
  <c r="AN631" i="1"/>
  <c r="AN632" i="1"/>
  <c r="AN633" i="1"/>
  <c r="AN634" i="1"/>
  <c r="AN635" i="1"/>
  <c r="AN636" i="1"/>
  <c r="AN637" i="1"/>
  <c r="AN638" i="1"/>
  <c r="AN639" i="1"/>
  <c r="AN640" i="1"/>
  <c r="AN641" i="1"/>
  <c r="AN642" i="1"/>
  <c r="AN643" i="1"/>
  <c r="AN644" i="1"/>
  <c r="AN645" i="1"/>
  <c r="AN646" i="1"/>
  <c r="AN647" i="1"/>
  <c r="AN648" i="1"/>
  <c r="AN649" i="1"/>
  <c r="AN650" i="1"/>
  <c r="AN651" i="1"/>
  <c r="AN652" i="1"/>
  <c r="AN653" i="1"/>
  <c r="AN654" i="1"/>
  <c r="AN655" i="1"/>
  <c r="AN656" i="1"/>
  <c r="AN657" i="1"/>
  <c r="AN658" i="1"/>
  <c r="AN659" i="1"/>
  <c r="AN660" i="1"/>
  <c r="AN661" i="1"/>
  <c r="AN662" i="1"/>
  <c r="AN663" i="1"/>
  <c r="AN664" i="1"/>
  <c r="AN665" i="1"/>
  <c r="AN666" i="1"/>
  <c r="AN667" i="1"/>
  <c r="AN668" i="1"/>
  <c r="AN669" i="1"/>
  <c r="AN670" i="1"/>
  <c r="AN671" i="1"/>
  <c r="AN672" i="1"/>
  <c r="AN673" i="1"/>
  <c r="AN674" i="1"/>
  <c r="AN675" i="1"/>
  <c r="AN676" i="1"/>
  <c r="AN677" i="1"/>
  <c r="AN678" i="1"/>
  <c r="AN679" i="1"/>
  <c r="AN680" i="1"/>
  <c r="AN681" i="1"/>
  <c r="AN682" i="1"/>
  <c r="AN683" i="1"/>
  <c r="AN684" i="1"/>
  <c r="AN685" i="1"/>
  <c r="AN686" i="1"/>
  <c r="AN687" i="1"/>
  <c r="AN688" i="1"/>
  <c r="AN689" i="1"/>
  <c r="AN690" i="1"/>
  <c r="AN691" i="1"/>
  <c r="AN692" i="1"/>
  <c r="AN693" i="1"/>
  <c r="AN694" i="1"/>
  <c r="AN695" i="1"/>
  <c r="AN696" i="1"/>
  <c r="AN697" i="1"/>
  <c r="AN698" i="1"/>
  <c r="AN699" i="1"/>
  <c r="AN700" i="1"/>
  <c r="AN701" i="1"/>
  <c r="AN702" i="1"/>
  <c r="AN703" i="1"/>
  <c r="AN704" i="1"/>
  <c r="AN705" i="1"/>
  <c r="AN706" i="1"/>
  <c r="AN707" i="1"/>
  <c r="AN708" i="1"/>
  <c r="AN709" i="1"/>
  <c r="AN710" i="1"/>
  <c r="AN711" i="1"/>
  <c r="AN712" i="1"/>
  <c r="AN713" i="1"/>
  <c r="AN714" i="1"/>
  <c r="AN715" i="1"/>
  <c r="AN716" i="1"/>
  <c r="AN717" i="1"/>
  <c r="AN718" i="1"/>
  <c r="AN719" i="1"/>
  <c r="AN720" i="1"/>
  <c r="AN721" i="1"/>
  <c r="AN722" i="1"/>
  <c r="AN723" i="1"/>
  <c r="AN724" i="1"/>
  <c r="AN725" i="1"/>
  <c r="AN726" i="1"/>
  <c r="AN727" i="1"/>
  <c r="AN728" i="1"/>
  <c r="AN729" i="1"/>
  <c r="AN730" i="1"/>
  <c r="AN731" i="1"/>
  <c r="AN732" i="1"/>
  <c r="AN733" i="1"/>
  <c r="AN734" i="1"/>
  <c r="AN735" i="1"/>
  <c r="AN736" i="1"/>
  <c r="AN737" i="1"/>
  <c r="AN738" i="1"/>
  <c r="AN739" i="1"/>
  <c r="AN740" i="1"/>
  <c r="AN741" i="1"/>
  <c r="AN742" i="1"/>
  <c r="AN743" i="1"/>
  <c r="AN744" i="1"/>
  <c r="AN745" i="1"/>
  <c r="AN746" i="1"/>
  <c r="AN747" i="1"/>
  <c r="AN748" i="1"/>
  <c r="AN749" i="1"/>
  <c r="AN750" i="1"/>
  <c r="AN751" i="1"/>
  <c r="AN752" i="1"/>
  <c r="AN753" i="1"/>
  <c r="AN754" i="1"/>
  <c r="AN755" i="1"/>
  <c r="AN756" i="1"/>
  <c r="AN757" i="1"/>
  <c r="AN758" i="1"/>
  <c r="AN759" i="1"/>
  <c r="AN760" i="1"/>
  <c r="AN761" i="1"/>
  <c r="AN762" i="1"/>
  <c r="AN763" i="1"/>
  <c r="AN764" i="1"/>
  <c r="AN765" i="1"/>
  <c r="AN766" i="1"/>
  <c r="AN767" i="1"/>
  <c r="AN768" i="1"/>
  <c r="AN769" i="1"/>
  <c r="AN770" i="1"/>
  <c r="AN771" i="1"/>
  <c r="AN772" i="1"/>
  <c r="AN773" i="1"/>
  <c r="AN774" i="1"/>
  <c r="AN775" i="1"/>
  <c r="AN776" i="1"/>
  <c r="AN777" i="1"/>
  <c r="AN778" i="1"/>
  <c r="AN779" i="1"/>
  <c r="AN780" i="1"/>
  <c r="AN781" i="1"/>
  <c r="AN782" i="1"/>
  <c r="AN783" i="1"/>
  <c r="AN784" i="1"/>
  <c r="AN785" i="1"/>
  <c r="AN786" i="1"/>
  <c r="AN787" i="1"/>
  <c r="AN788" i="1"/>
  <c r="AN789" i="1"/>
  <c r="AN790" i="1"/>
  <c r="AN791" i="1"/>
  <c r="AN792" i="1"/>
  <c r="AN793" i="1"/>
  <c r="AN794" i="1"/>
  <c r="AN795" i="1"/>
  <c r="AN796" i="1"/>
  <c r="AN797" i="1"/>
  <c r="AN798" i="1"/>
  <c r="AN799" i="1"/>
  <c r="AN800" i="1"/>
  <c r="AN801" i="1"/>
  <c r="AN802" i="1"/>
  <c r="AN803" i="1"/>
  <c r="AN804" i="1"/>
  <c r="AN805" i="1"/>
  <c r="AN806" i="1"/>
  <c r="AN807" i="1"/>
  <c r="AN808" i="1"/>
  <c r="AN809" i="1"/>
  <c r="AN810" i="1"/>
  <c r="AN811" i="1"/>
  <c r="AN812" i="1"/>
  <c r="AN813" i="1"/>
  <c r="AN814" i="1"/>
  <c r="AN815" i="1"/>
  <c r="AN816" i="1"/>
  <c r="AN817" i="1"/>
  <c r="AN818" i="1"/>
  <c r="AN819" i="1"/>
  <c r="AN820" i="1"/>
  <c r="AN821" i="1"/>
  <c r="AN822" i="1"/>
  <c r="AN823" i="1"/>
  <c r="AN824" i="1"/>
  <c r="AN825" i="1"/>
  <c r="AN826" i="1"/>
  <c r="AN827" i="1"/>
  <c r="AN828" i="1"/>
  <c r="AN829" i="1"/>
  <c r="AN830" i="1"/>
  <c r="AN831" i="1"/>
  <c r="AN832" i="1"/>
  <c r="AN833" i="1"/>
  <c r="AN834" i="1"/>
  <c r="AN835" i="1"/>
  <c r="AN836" i="1"/>
  <c r="AN837" i="1"/>
  <c r="AN838" i="1"/>
  <c r="AN839" i="1"/>
  <c r="AN840" i="1"/>
  <c r="AN841" i="1"/>
  <c r="AN842" i="1"/>
  <c r="AN843" i="1"/>
  <c r="AN844" i="1"/>
  <c r="AN845" i="1"/>
  <c r="AN846" i="1"/>
  <c r="AN847" i="1"/>
  <c r="AN848" i="1"/>
  <c r="AN849" i="1"/>
  <c r="AN850" i="1"/>
  <c r="AN851" i="1"/>
  <c r="AN852" i="1"/>
  <c r="AN853" i="1"/>
  <c r="AN854" i="1"/>
  <c r="AN855" i="1"/>
  <c r="AN856" i="1"/>
  <c r="AN857" i="1"/>
  <c r="AN858" i="1"/>
  <c r="AN859" i="1"/>
  <c r="AN860" i="1"/>
  <c r="AN861" i="1"/>
  <c r="AN862" i="1"/>
  <c r="AN863" i="1"/>
  <c r="AN864" i="1"/>
  <c r="AN865" i="1"/>
  <c r="AN866" i="1"/>
  <c r="AN867" i="1"/>
  <c r="AN868" i="1"/>
  <c r="AN869" i="1"/>
  <c r="AN870" i="1"/>
  <c r="AN871" i="1"/>
  <c r="AN872" i="1"/>
  <c r="AN873" i="1"/>
  <c r="AN874" i="1"/>
  <c r="AN875" i="1"/>
  <c r="AN876" i="1"/>
  <c r="AN877" i="1"/>
  <c r="AN878" i="1"/>
  <c r="AN879" i="1"/>
  <c r="AN880" i="1"/>
  <c r="AN881" i="1"/>
  <c r="AN882" i="1"/>
  <c r="AN883" i="1"/>
  <c r="AN884" i="1"/>
  <c r="AN885" i="1"/>
  <c r="AN886" i="1"/>
  <c r="AN887" i="1"/>
  <c r="AN888" i="1"/>
  <c r="AN889" i="1"/>
  <c r="AN890" i="1"/>
  <c r="AN891" i="1"/>
  <c r="AN892" i="1"/>
  <c r="AN893" i="1"/>
  <c r="AN894" i="1"/>
  <c r="AN895" i="1"/>
  <c r="AN896" i="1"/>
  <c r="AN897" i="1"/>
  <c r="AN898" i="1"/>
  <c r="AN899" i="1"/>
  <c r="AN900" i="1"/>
  <c r="AN901" i="1"/>
  <c r="AN902" i="1"/>
  <c r="AN903" i="1"/>
  <c r="AN904" i="1"/>
  <c r="AN905" i="1"/>
  <c r="AN906" i="1"/>
  <c r="AN907" i="1"/>
  <c r="AN908" i="1"/>
  <c r="AN909" i="1"/>
  <c r="AN910" i="1"/>
  <c r="AN911" i="1"/>
  <c r="AN912" i="1"/>
  <c r="AN913" i="1"/>
  <c r="AN914" i="1"/>
  <c r="AN915" i="1"/>
  <c r="AN916" i="1"/>
  <c r="AN917" i="1"/>
  <c r="AN918" i="1"/>
  <c r="AN919" i="1"/>
  <c r="AN920" i="1"/>
  <c r="AN921" i="1"/>
  <c r="AN922" i="1"/>
  <c r="AN923" i="1"/>
  <c r="AN924" i="1"/>
  <c r="AN925" i="1"/>
  <c r="AN926" i="1"/>
  <c r="AN927" i="1"/>
  <c r="AN928" i="1"/>
  <c r="AN929" i="1"/>
  <c r="AN930" i="1"/>
  <c r="AN931" i="1"/>
  <c r="AN932" i="1"/>
  <c r="AN933" i="1"/>
  <c r="AN934" i="1"/>
  <c r="AN935" i="1"/>
  <c r="AN936" i="1"/>
  <c r="AN937" i="1"/>
  <c r="AN938" i="1"/>
  <c r="AN939" i="1"/>
  <c r="AN940" i="1"/>
  <c r="AN941" i="1"/>
  <c r="AN942" i="1"/>
  <c r="AN943" i="1"/>
  <c r="AN944" i="1"/>
  <c r="AN945" i="1"/>
  <c r="AN946" i="1"/>
  <c r="AN947" i="1"/>
  <c r="AN948" i="1"/>
  <c r="AN949" i="1"/>
  <c r="AN950" i="1"/>
  <c r="AN951" i="1"/>
  <c r="AN952" i="1"/>
  <c r="AN953" i="1"/>
  <c r="AN954" i="1"/>
  <c r="AN955" i="1"/>
  <c r="AN956" i="1"/>
  <c r="AN957" i="1"/>
  <c r="AN958" i="1"/>
  <c r="AN959" i="1"/>
  <c r="AN960" i="1"/>
  <c r="AN961" i="1"/>
  <c r="AN962" i="1"/>
  <c r="AN963" i="1"/>
  <c r="AN964" i="1"/>
  <c r="AN965" i="1"/>
  <c r="AN966" i="1"/>
  <c r="AN967" i="1"/>
  <c r="AN968" i="1"/>
  <c r="AN969" i="1"/>
  <c r="AN970" i="1"/>
  <c r="AN971" i="1"/>
  <c r="AN972" i="1"/>
  <c r="AN973" i="1"/>
  <c r="AN974" i="1"/>
  <c r="AN975" i="1"/>
  <c r="AN976" i="1"/>
  <c r="AN977" i="1"/>
  <c r="AN978" i="1"/>
  <c r="AN979" i="1"/>
  <c r="AN980" i="1"/>
  <c r="AN981" i="1"/>
  <c r="AN982" i="1"/>
  <c r="AN983" i="1"/>
  <c r="AN984" i="1"/>
  <c r="AN985" i="1"/>
  <c r="AN986" i="1"/>
  <c r="AN987" i="1"/>
  <c r="AN988" i="1"/>
  <c r="AN989" i="1"/>
  <c r="AN990" i="1"/>
  <c r="AN991" i="1"/>
  <c r="AN992" i="1"/>
  <c r="AN993" i="1"/>
  <c r="AN994" i="1"/>
  <c r="AN995" i="1"/>
  <c r="AN996" i="1"/>
  <c r="AN997" i="1"/>
  <c r="AN998" i="1"/>
  <c r="AN999" i="1"/>
  <c r="AN1000" i="1"/>
  <c r="AN1001" i="1"/>
  <c r="AN1002" i="1"/>
  <c r="AN1003" i="1"/>
  <c r="AN1004" i="1"/>
  <c r="AN1005" i="1"/>
  <c r="AN1006" i="1"/>
  <c r="AN1007" i="1"/>
  <c r="AN1008" i="1"/>
  <c r="AN1009" i="1"/>
  <c r="AN1010" i="1"/>
  <c r="AN1011" i="1"/>
  <c r="AN1012" i="1"/>
  <c r="AN1013" i="1"/>
  <c r="AN1014" i="1"/>
  <c r="AN1015" i="1"/>
  <c r="AN1016" i="1"/>
  <c r="AN1017" i="1"/>
  <c r="AN1018" i="1"/>
  <c r="AN1019" i="1"/>
  <c r="AN1020" i="1"/>
  <c r="AN1021" i="1"/>
  <c r="AN1022" i="1"/>
  <c r="AN1023" i="1"/>
  <c r="AN1024" i="1"/>
  <c r="AN1025" i="1"/>
  <c r="AN1026" i="1"/>
  <c r="AN1027" i="1"/>
  <c r="AN1028" i="1"/>
  <c r="AN1029" i="1"/>
  <c r="AN1030" i="1"/>
  <c r="AN1031" i="1"/>
  <c r="AN1032" i="1"/>
  <c r="AN1033" i="1"/>
  <c r="AN1034" i="1"/>
  <c r="AN1035" i="1"/>
  <c r="AN1036" i="1"/>
  <c r="AN1037" i="1"/>
  <c r="AN1038" i="1"/>
  <c r="AN1039" i="1"/>
  <c r="AN1040" i="1"/>
  <c r="AN1041" i="1"/>
  <c r="AN1042" i="1"/>
  <c r="AN1043" i="1"/>
  <c r="AN1044" i="1"/>
  <c r="AN1045" i="1"/>
  <c r="AN1046" i="1"/>
  <c r="AN1047" i="1"/>
  <c r="AN1048" i="1"/>
  <c r="AN1049" i="1"/>
  <c r="AN1050" i="1"/>
  <c r="AN1051" i="1"/>
  <c r="AN1052" i="1"/>
  <c r="AN1053" i="1"/>
  <c r="AN1054" i="1"/>
  <c r="AN1055" i="1"/>
  <c r="AN1056" i="1"/>
  <c r="AN1057" i="1"/>
  <c r="AN1058" i="1"/>
  <c r="AN1059" i="1"/>
  <c r="AN1060" i="1"/>
  <c r="AN1061" i="1"/>
  <c r="AN1062" i="1"/>
  <c r="AN1063" i="1"/>
  <c r="AN1064" i="1"/>
  <c r="AN1065" i="1"/>
  <c r="AN1066" i="1"/>
  <c r="AN1067" i="1"/>
  <c r="AN1068" i="1"/>
  <c r="AN1069" i="1"/>
  <c r="AN1070" i="1"/>
  <c r="AN1071" i="1"/>
  <c r="AN1072" i="1"/>
  <c r="AN1073" i="1"/>
  <c r="AN1074" i="1"/>
  <c r="AN1075" i="1"/>
  <c r="AN1076" i="1"/>
  <c r="AN1077" i="1"/>
  <c r="AN1078" i="1"/>
  <c r="AN1079" i="1"/>
  <c r="AN1080" i="1"/>
  <c r="AN1081" i="1"/>
  <c r="AN1082" i="1"/>
  <c r="AN1083" i="1"/>
  <c r="AN1084" i="1"/>
  <c r="AN1085" i="1"/>
  <c r="AN1086" i="1"/>
  <c r="AN1087" i="1"/>
  <c r="AN1088" i="1"/>
  <c r="AN1089" i="1"/>
  <c r="AN1090" i="1"/>
  <c r="AN1091" i="1"/>
  <c r="AN1092" i="1"/>
  <c r="AN1093" i="1"/>
  <c r="AN1094" i="1"/>
  <c r="AN1095" i="1"/>
  <c r="AN1096" i="1"/>
  <c r="AN1097" i="1"/>
  <c r="AN1098" i="1"/>
  <c r="AN1099" i="1"/>
  <c r="AN1100" i="1"/>
  <c r="AN1101" i="1"/>
  <c r="AN1102" i="1"/>
  <c r="AN1103" i="1"/>
  <c r="AN1104" i="1"/>
  <c r="AN1105" i="1"/>
  <c r="AN1106" i="1"/>
  <c r="AN1107" i="1"/>
  <c r="AN1108" i="1"/>
  <c r="AN1109" i="1"/>
  <c r="AN1110" i="1"/>
  <c r="AN1111" i="1"/>
  <c r="AN1112" i="1"/>
  <c r="AN1113" i="1"/>
  <c r="AN1114" i="1"/>
  <c r="AN1115" i="1"/>
  <c r="AN1116" i="1"/>
  <c r="AN1117" i="1"/>
  <c r="AN1118" i="1"/>
  <c r="AN1119" i="1"/>
  <c r="AN1120" i="1"/>
  <c r="AN1121" i="1"/>
  <c r="AN1122" i="1"/>
  <c r="AN1123" i="1"/>
  <c r="AN1124" i="1"/>
  <c r="AN1125" i="1"/>
  <c r="AN1126" i="1"/>
  <c r="AN1127" i="1"/>
  <c r="AN1128" i="1"/>
  <c r="AN1129" i="1"/>
  <c r="AN1130" i="1"/>
  <c r="AN1131" i="1"/>
  <c r="AN1132" i="1"/>
  <c r="AN1133" i="1"/>
  <c r="AN1134" i="1"/>
  <c r="AN1135" i="1"/>
  <c r="AN1136" i="1"/>
  <c r="AN1137" i="1"/>
  <c r="AN1138" i="1"/>
  <c r="AN1139" i="1"/>
  <c r="AN1140" i="1"/>
  <c r="AN1141" i="1"/>
  <c r="AN1142" i="1"/>
  <c r="AN1143" i="1"/>
  <c r="AN1144" i="1"/>
  <c r="AN1145" i="1"/>
  <c r="AN1146" i="1"/>
  <c r="AN1147" i="1"/>
  <c r="AN1148" i="1"/>
  <c r="AN1149" i="1"/>
  <c r="AN1150" i="1"/>
  <c r="AN1151" i="1"/>
  <c r="AN1152" i="1"/>
  <c r="AN1153" i="1"/>
  <c r="AN1154" i="1"/>
  <c r="AN1155" i="1"/>
  <c r="AN1156" i="1"/>
  <c r="AN1157" i="1"/>
  <c r="AN1158" i="1"/>
  <c r="AN1159" i="1"/>
  <c r="AN1160" i="1"/>
  <c r="AN1161" i="1"/>
  <c r="AN1162" i="1"/>
  <c r="AN1163" i="1"/>
  <c r="AN1164" i="1"/>
  <c r="AN1165" i="1"/>
  <c r="AN1166" i="1"/>
  <c r="AN1167" i="1"/>
  <c r="AN1168" i="1"/>
  <c r="AN1169" i="1"/>
  <c r="AN1170" i="1"/>
  <c r="AN1171" i="1"/>
  <c r="AN1172" i="1"/>
  <c r="AN1173" i="1"/>
  <c r="AN1174" i="1"/>
  <c r="AN1175" i="1"/>
  <c r="AN1176" i="1"/>
  <c r="AN1177" i="1"/>
  <c r="AN1178" i="1"/>
  <c r="AN1179" i="1"/>
  <c r="AN1180" i="1"/>
  <c r="AN1181" i="1"/>
  <c r="AN1182" i="1"/>
  <c r="AN1183" i="1"/>
  <c r="AN1184" i="1"/>
  <c r="AN1185" i="1"/>
  <c r="AN1186" i="1"/>
  <c r="AN1187" i="1"/>
  <c r="AN1188" i="1"/>
  <c r="AN1189" i="1"/>
  <c r="AN1190" i="1"/>
  <c r="AN1191" i="1"/>
  <c r="AN1192" i="1"/>
  <c r="AN1193" i="1"/>
  <c r="AN1194" i="1"/>
  <c r="AN1195" i="1"/>
  <c r="AN1196" i="1"/>
  <c r="AN1197" i="1"/>
  <c r="AN1198" i="1"/>
  <c r="AN1199" i="1"/>
  <c r="AN1200" i="1"/>
  <c r="AN1201" i="1"/>
  <c r="AN1202" i="1"/>
  <c r="AN1203" i="1"/>
  <c r="AN1204" i="1"/>
  <c r="AN1205" i="1"/>
  <c r="AN1206" i="1"/>
  <c r="AN1207" i="1"/>
  <c r="AN1208" i="1"/>
  <c r="AN1209" i="1"/>
  <c r="AN1210" i="1"/>
  <c r="AN1211" i="1"/>
  <c r="AN1212" i="1"/>
  <c r="AN1213" i="1"/>
  <c r="AN1214" i="1"/>
  <c r="AN1215" i="1"/>
  <c r="AN1216" i="1"/>
  <c r="AN1217" i="1"/>
  <c r="AN1218" i="1"/>
  <c r="AN1219" i="1"/>
  <c r="AN1220" i="1"/>
  <c r="AN1221" i="1"/>
  <c r="AN1222" i="1"/>
  <c r="AN1223" i="1"/>
  <c r="AN1224" i="1"/>
  <c r="AN1225" i="1"/>
  <c r="AN1226" i="1"/>
  <c r="AN1227" i="1"/>
  <c r="AN1228" i="1"/>
  <c r="AN1229" i="1"/>
  <c r="AN1230" i="1"/>
  <c r="AN1231" i="1"/>
  <c r="AN1232" i="1"/>
  <c r="AN1233" i="1"/>
  <c r="AN1234" i="1"/>
  <c r="AN1235" i="1"/>
  <c r="AN1236" i="1"/>
  <c r="AN1237" i="1"/>
  <c r="AN1238" i="1"/>
  <c r="AN1239" i="1"/>
  <c r="AN1240" i="1"/>
  <c r="AN1241" i="1"/>
  <c r="AN1242" i="1"/>
  <c r="AN1243" i="1"/>
  <c r="AN1244" i="1"/>
  <c r="AN1245" i="1"/>
  <c r="AN1246" i="1"/>
  <c r="AN1247" i="1"/>
  <c r="AN1248" i="1"/>
  <c r="AN1249" i="1"/>
  <c r="AN1250" i="1"/>
  <c r="AN1251" i="1"/>
  <c r="AN1252" i="1"/>
  <c r="AN1253" i="1"/>
  <c r="AN1254" i="1"/>
  <c r="AN1255" i="1"/>
  <c r="AN1256" i="1"/>
  <c r="AN1257" i="1"/>
  <c r="AN1258" i="1"/>
  <c r="AN1259" i="1"/>
  <c r="AN1260" i="1"/>
  <c r="AN1261" i="1"/>
  <c r="AN1262" i="1"/>
  <c r="AN1263" i="1"/>
  <c r="AN1264" i="1"/>
  <c r="AN1265" i="1"/>
  <c r="AN1266" i="1"/>
  <c r="AN1267" i="1"/>
  <c r="AN1268" i="1"/>
  <c r="AN1269" i="1"/>
  <c r="AN1270" i="1"/>
  <c r="AN1271" i="1"/>
  <c r="AN1272" i="1"/>
  <c r="AN1273" i="1"/>
  <c r="AN1274" i="1"/>
  <c r="AN1275" i="1"/>
  <c r="AN1276" i="1"/>
  <c r="AN1277" i="1"/>
  <c r="AN1278" i="1"/>
  <c r="AN1279" i="1"/>
  <c r="AN1280" i="1"/>
  <c r="AN1281" i="1"/>
  <c r="AN1282" i="1"/>
  <c r="AN1283" i="1"/>
  <c r="AN1284" i="1"/>
  <c r="AN1285" i="1"/>
  <c r="AN1286" i="1"/>
  <c r="AN1287" i="1"/>
  <c r="AN1288" i="1"/>
  <c r="AN1289" i="1"/>
  <c r="AN1290" i="1"/>
  <c r="AN1291" i="1"/>
  <c r="AN1292" i="1"/>
  <c r="AN1293" i="1"/>
  <c r="AN1294" i="1"/>
  <c r="AN1295" i="1"/>
  <c r="AN1296" i="1"/>
  <c r="AN1297" i="1"/>
  <c r="AN1298" i="1"/>
  <c r="AN1299" i="1"/>
  <c r="AN1300" i="1"/>
  <c r="AN1301" i="1"/>
  <c r="AN1302" i="1"/>
  <c r="AN1303" i="1"/>
  <c r="AN1304" i="1"/>
  <c r="AN1305" i="1"/>
  <c r="AN1306" i="1"/>
  <c r="AN1307" i="1"/>
  <c r="AN1308" i="1"/>
  <c r="AN1309" i="1"/>
  <c r="AN1310" i="1"/>
  <c r="AN1311" i="1"/>
  <c r="AN1312" i="1"/>
  <c r="AN1313" i="1"/>
  <c r="AN1314" i="1"/>
  <c r="AN1315" i="1"/>
  <c r="AN1316" i="1"/>
  <c r="AN1317" i="1"/>
  <c r="AN1318" i="1"/>
  <c r="AN1319" i="1"/>
  <c r="AN1320" i="1"/>
  <c r="AN1321" i="1"/>
  <c r="AN1322" i="1"/>
  <c r="AN1323" i="1"/>
  <c r="AN1324" i="1"/>
  <c r="AN1325" i="1"/>
  <c r="AN1326" i="1"/>
  <c r="AN1327" i="1"/>
  <c r="AN1328" i="1"/>
  <c r="AN1329" i="1"/>
  <c r="AN1330" i="1"/>
  <c r="AN1331" i="1"/>
  <c r="AN1332" i="1"/>
  <c r="AN1333" i="1"/>
  <c r="AN1334" i="1"/>
  <c r="AN1335" i="1"/>
  <c r="AN1336" i="1"/>
  <c r="AN1337" i="1"/>
  <c r="AN1338" i="1"/>
  <c r="AN1339" i="1"/>
  <c r="AN1340" i="1"/>
  <c r="AN1341" i="1"/>
  <c r="AN1342" i="1"/>
  <c r="AN1343" i="1"/>
  <c r="AN1344" i="1"/>
  <c r="AN1345" i="1"/>
  <c r="AN1346" i="1"/>
  <c r="AN1347" i="1"/>
  <c r="AN1348" i="1"/>
  <c r="AN1349" i="1"/>
  <c r="AN1350" i="1"/>
  <c r="AN1351" i="1"/>
  <c r="AN1352" i="1"/>
  <c r="AN1353" i="1"/>
  <c r="AN1354" i="1"/>
  <c r="AN1355" i="1"/>
  <c r="AN1356" i="1"/>
  <c r="AN1357" i="1"/>
  <c r="AN1358" i="1"/>
  <c r="AN1359" i="1"/>
  <c r="AN1360" i="1"/>
  <c r="AN1361" i="1"/>
  <c r="AN1362" i="1"/>
  <c r="AN1363" i="1"/>
  <c r="AN1364" i="1"/>
  <c r="AN1365" i="1"/>
  <c r="AN1366" i="1"/>
  <c r="AN1367" i="1"/>
  <c r="AN1368" i="1"/>
  <c r="AN1369" i="1"/>
  <c r="AN1370" i="1"/>
  <c r="AN1371" i="1"/>
  <c r="AN1372" i="1"/>
  <c r="AN1373" i="1"/>
  <c r="AN1374" i="1"/>
  <c r="AN1375" i="1"/>
  <c r="AN1376" i="1"/>
  <c r="AN1377" i="1"/>
  <c r="AN1378" i="1"/>
  <c r="AN1379" i="1"/>
  <c r="AN1380" i="1"/>
  <c r="AN1381" i="1"/>
  <c r="AN1382" i="1"/>
  <c r="AN1383" i="1"/>
  <c r="AN1384" i="1"/>
  <c r="AN1385" i="1"/>
  <c r="AN1386" i="1"/>
  <c r="AN1387" i="1"/>
  <c r="AN1388" i="1"/>
  <c r="AN1389" i="1"/>
  <c r="AN1390" i="1"/>
  <c r="AN1391" i="1"/>
  <c r="AN1392" i="1"/>
  <c r="AN1393" i="1"/>
  <c r="AN1394" i="1"/>
  <c r="AN1395" i="1"/>
  <c r="AN1396" i="1"/>
  <c r="AN1397" i="1"/>
  <c r="AN1398" i="1"/>
  <c r="AN1399" i="1"/>
  <c r="AN1400" i="1"/>
  <c r="AN1401" i="1"/>
  <c r="AN1402" i="1"/>
  <c r="AN1403" i="1"/>
  <c r="AN1404" i="1"/>
  <c r="AN1405" i="1"/>
  <c r="AN1406" i="1"/>
  <c r="AN1407" i="1"/>
  <c r="AN1408" i="1"/>
  <c r="AN1409" i="1"/>
  <c r="AN1410" i="1"/>
  <c r="AN1411" i="1"/>
  <c r="AN1412" i="1"/>
  <c r="AN1413" i="1"/>
  <c r="AN1414" i="1"/>
  <c r="AN1415" i="1"/>
  <c r="AN1416" i="1"/>
  <c r="AN1417" i="1"/>
  <c r="AN1418" i="1"/>
  <c r="AN1419" i="1"/>
  <c r="AN1420" i="1"/>
  <c r="AN1421" i="1"/>
  <c r="AN1422" i="1"/>
  <c r="AN1423" i="1"/>
  <c r="AN1424" i="1"/>
  <c r="AN1425" i="1"/>
  <c r="AN1426" i="1"/>
  <c r="AN1427" i="1"/>
  <c r="AN1428" i="1"/>
  <c r="AN1429" i="1"/>
  <c r="AN1430" i="1"/>
  <c r="AN1431" i="1"/>
  <c r="AN1432" i="1"/>
  <c r="AN1433" i="1"/>
  <c r="AN1434" i="1"/>
  <c r="AN1435" i="1"/>
  <c r="AN1436" i="1"/>
  <c r="AN1437" i="1"/>
  <c r="AN1438" i="1"/>
  <c r="AN1439" i="1"/>
  <c r="AN1440" i="1"/>
  <c r="AN1441" i="1"/>
  <c r="AN1442" i="1"/>
  <c r="AN1443" i="1"/>
  <c r="AN1444" i="1"/>
  <c r="AN1445" i="1"/>
  <c r="AN1446" i="1"/>
  <c r="AN1447" i="1"/>
  <c r="AN1448" i="1"/>
  <c r="AN1449" i="1"/>
  <c r="AN1450" i="1"/>
  <c r="AN1451" i="1"/>
  <c r="AN1452" i="1"/>
  <c r="AN1453" i="1"/>
  <c r="AN1454" i="1"/>
  <c r="AN1455" i="1"/>
  <c r="AN1456" i="1"/>
  <c r="AN1457" i="1"/>
  <c r="AN1458" i="1"/>
  <c r="AN1459" i="1"/>
  <c r="AN1460" i="1"/>
  <c r="AN1461" i="1"/>
  <c r="AN1462" i="1"/>
  <c r="AN1463" i="1"/>
  <c r="AN1464" i="1"/>
  <c r="AN1465" i="1"/>
  <c r="AN1466" i="1"/>
  <c r="AN1467" i="1"/>
  <c r="AN1468" i="1"/>
  <c r="AN1469" i="1"/>
  <c r="AN1470" i="1"/>
  <c r="AN1471" i="1"/>
  <c r="AM2" i="1"/>
  <c r="AM3" i="1"/>
  <c r="AM4" i="1"/>
  <c r="AM5" i="1"/>
  <c r="AM6" i="1"/>
  <c r="AM7" i="1"/>
  <c r="AM8" i="1"/>
  <c r="AM9" i="1"/>
  <c r="AM10" i="1"/>
  <c r="AM11" i="1"/>
  <c r="AM12" i="1"/>
  <c r="AM13" i="1"/>
  <c r="AM14" i="1"/>
  <c r="AM15" i="1"/>
  <c r="AM16" i="1"/>
  <c r="AM17" i="1"/>
  <c r="AM18" i="1"/>
  <c r="AM19" i="1"/>
  <c r="AM20" i="1"/>
  <c r="AM21" i="1"/>
  <c r="AM22" i="1"/>
  <c r="AM23" i="1"/>
  <c r="AM24" i="1"/>
  <c r="AM25" i="1"/>
  <c r="AM26" i="1"/>
  <c r="AM27" i="1"/>
  <c r="AM28" i="1"/>
  <c r="AM29" i="1"/>
  <c r="AM30" i="1"/>
  <c r="AM31" i="1"/>
  <c r="AM32" i="1"/>
  <c r="AM33" i="1"/>
  <c r="AM34" i="1"/>
  <c r="AM35" i="1"/>
  <c r="AM36" i="1"/>
  <c r="AM37" i="1"/>
  <c r="AM38" i="1"/>
  <c r="AM39" i="1"/>
  <c r="AM40" i="1"/>
  <c r="AM41" i="1"/>
  <c r="AM42" i="1"/>
  <c r="AM43" i="1"/>
  <c r="AM44" i="1"/>
  <c r="AM45" i="1"/>
  <c r="AM46" i="1"/>
  <c r="AM47" i="1"/>
  <c r="AM48" i="1"/>
  <c r="AM49" i="1"/>
  <c r="AM50" i="1"/>
  <c r="AM51" i="1"/>
  <c r="AM52" i="1"/>
  <c r="AM53" i="1"/>
  <c r="AM54" i="1"/>
  <c r="AM55" i="1"/>
  <c r="AM56" i="1"/>
  <c r="AM57" i="1"/>
  <c r="AM58" i="1"/>
  <c r="AM59" i="1"/>
  <c r="AM60" i="1"/>
  <c r="AM61" i="1"/>
  <c r="AM62" i="1"/>
  <c r="AM63" i="1"/>
  <c r="AM64" i="1"/>
  <c r="AM65" i="1"/>
  <c r="AM66" i="1"/>
  <c r="AM67" i="1"/>
  <c r="AM68" i="1"/>
  <c r="AM69" i="1"/>
  <c r="AM70" i="1"/>
  <c r="AM71" i="1"/>
  <c r="AM72" i="1"/>
  <c r="AM73" i="1"/>
  <c r="AM74" i="1"/>
  <c r="AM75" i="1"/>
  <c r="AM76" i="1"/>
  <c r="AM77" i="1"/>
  <c r="AM78" i="1"/>
  <c r="AM79" i="1"/>
  <c r="AM80" i="1"/>
  <c r="AM81" i="1"/>
  <c r="AM82" i="1"/>
  <c r="AM83" i="1"/>
  <c r="AM84" i="1"/>
  <c r="AM85" i="1"/>
  <c r="AM86" i="1"/>
  <c r="AM87" i="1"/>
  <c r="AM88" i="1"/>
  <c r="AM89" i="1"/>
  <c r="AM90" i="1"/>
  <c r="AM91" i="1"/>
  <c r="AM92" i="1"/>
  <c r="AM93" i="1"/>
  <c r="AM94" i="1"/>
  <c r="AM95" i="1"/>
  <c r="AM96" i="1"/>
  <c r="AM97" i="1"/>
  <c r="AM98" i="1"/>
  <c r="AM99" i="1"/>
  <c r="AM100" i="1"/>
  <c r="AM101" i="1"/>
  <c r="AM102" i="1"/>
  <c r="AM103" i="1"/>
  <c r="AM104" i="1"/>
  <c r="AM105" i="1"/>
  <c r="AM106" i="1"/>
  <c r="AM107" i="1"/>
  <c r="AM108" i="1"/>
  <c r="AM109" i="1"/>
  <c r="AM110" i="1"/>
  <c r="AM111" i="1"/>
  <c r="AM112" i="1"/>
  <c r="AM113" i="1"/>
  <c r="AM114" i="1"/>
  <c r="AM115" i="1"/>
  <c r="AM116" i="1"/>
  <c r="AM117" i="1"/>
  <c r="AM118" i="1"/>
  <c r="AM119" i="1"/>
  <c r="AM120" i="1"/>
  <c r="AM121" i="1"/>
  <c r="AM122" i="1"/>
  <c r="AM123" i="1"/>
  <c r="AM124" i="1"/>
  <c r="AM125" i="1"/>
  <c r="AM126" i="1"/>
  <c r="AM127" i="1"/>
  <c r="AM128" i="1"/>
  <c r="AM129" i="1"/>
  <c r="AM130" i="1"/>
  <c r="AM131" i="1"/>
  <c r="AM132" i="1"/>
  <c r="AM133" i="1"/>
  <c r="AM134" i="1"/>
  <c r="AM135" i="1"/>
  <c r="AM136" i="1"/>
  <c r="AM137" i="1"/>
  <c r="AM138" i="1"/>
  <c r="AM139" i="1"/>
  <c r="AM140" i="1"/>
  <c r="AM141" i="1"/>
  <c r="AM142" i="1"/>
  <c r="AM143" i="1"/>
  <c r="AM144" i="1"/>
  <c r="AM145" i="1"/>
  <c r="AM146" i="1"/>
  <c r="AM147" i="1"/>
  <c r="AM148" i="1"/>
  <c r="AM149" i="1"/>
  <c r="AM150" i="1"/>
  <c r="AM151" i="1"/>
  <c r="AM152" i="1"/>
  <c r="AM153" i="1"/>
  <c r="AM154" i="1"/>
  <c r="AM155" i="1"/>
  <c r="AM156" i="1"/>
  <c r="AM157" i="1"/>
  <c r="AM158" i="1"/>
  <c r="AM159" i="1"/>
  <c r="AM160" i="1"/>
  <c r="AM161" i="1"/>
  <c r="AM162" i="1"/>
  <c r="AM163" i="1"/>
  <c r="AM164" i="1"/>
  <c r="AM165" i="1"/>
  <c r="AM166" i="1"/>
  <c r="AM167" i="1"/>
  <c r="AM168" i="1"/>
  <c r="AM169" i="1"/>
  <c r="AM170" i="1"/>
  <c r="AM171" i="1"/>
  <c r="AM172" i="1"/>
  <c r="AM173" i="1"/>
  <c r="AM174" i="1"/>
  <c r="AM175" i="1"/>
  <c r="AM176" i="1"/>
  <c r="AM177" i="1"/>
  <c r="AM178" i="1"/>
  <c r="AM179" i="1"/>
  <c r="AM180" i="1"/>
  <c r="AM181" i="1"/>
  <c r="AM182" i="1"/>
  <c r="AM183" i="1"/>
  <c r="AM184" i="1"/>
  <c r="AM185" i="1"/>
  <c r="AM186" i="1"/>
  <c r="AM187" i="1"/>
  <c r="AM188" i="1"/>
  <c r="AM189" i="1"/>
  <c r="AM190" i="1"/>
  <c r="AM191" i="1"/>
  <c r="AM192" i="1"/>
  <c r="AM193" i="1"/>
  <c r="AM194" i="1"/>
  <c r="AM195" i="1"/>
  <c r="AM196" i="1"/>
  <c r="AM197" i="1"/>
  <c r="AM198" i="1"/>
  <c r="AM199" i="1"/>
  <c r="AM200" i="1"/>
  <c r="AM201" i="1"/>
  <c r="AM202" i="1"/>
  <c r="AM203" i="1"/>
  <c r="AM204" i="1"/>
  <c r="AM205" i="1"/>
  <c r="AM206" i="1"/>
  <c r="AM207" i="1"/>
  <c r="AM208" i="1"/>
  <c r="AM209" i="1"/>
  <c r="AM210" i="1"/>
  <c r="AM211" i="1"/>
  <c r="AM212" i="1"/>
  <c r="AM213" i="1"/>
  <c r="AM214" i="1"/>
  <c r="AM215" i="1"/>
  <c r="AM216" i="1"/>
  <c r="AM217" i="1"/>
  <c r="AM218" i="1"/>
  <c r="AM219" i="1"/>
  <c r="AM220" i="1"/>
  <c r="AM221" i="1"/>
  <c r="AM222" i="1"/>
  <c r="AM223" i="1"/>
  <c r="AM224" i="1"/>
  <c r="AM225" i="1"/>
  <c r="AM226" i="1"/>
  <c r="AM227" i="1"/>
  <c r="AM228" i="1"/>
  <c r="AM229" i="1"/>
  <c r="AM230" i="1"/>
  <c r="AM231" i="1"/>
  <c r="AM232" i="1"/>
  <c r="AM233" i="1"/>
  <c r="AM234" i="1"/>
  <c r="AM235" i="1"/>
  <c r="AM236" i="1"/>
  <c r="AM237" i="1"/>
  <c r="AM238" i="1"/>
  <c r="AM239" i="1"/>
  <c r="AM240" i="1"/>
  <c r="AM241" i="1"/>
  <c r="AM242" i="1"/>
  <c r="AM243" i="1"/>
  <c r="AM244" i="1"/>
  <c r="AM245" i="1"/>
  <c r="AM246" i="1"/>
  <c r="AM247" i="1"/>
  <c r="AM248" i="1"/>
  <c r="AM249" i="1"/>
  <c r="AM250" i="1"/>
  <c r="AM251" i="1"/>
  <c r="AM252" i="1"/>
  <c r="AM253" i="1"/>
  <c r="AM254" i="1"/>
  <c r="AM255" i="1"/>
  <c r="AM256" i="1"/>
  <c r="AM257" i="1"/>
  <c r="AM258" i="1"/>
  <c r="AM259" i="1"/>
  <c r="AM260" i="1"/>
  <c r="AM261" i="1"/>
  <c r="AM262" i="1"/>
  <c r="AM263" i="1"/>
  <c r="AM264" i="1"/>
  <c r="AM265" i="1"/>
  <c r="AM266" i="1"/>
  <c r="AM267" i="1"/>
  <c r="AM268" i="1"/>
  <c r="AM269" i="1"/>
  <c r="AM270" i="1"/>
  <c r="AM271" i="1"/>
  <c r="AM272" i="1"/>
  <c r="AM273" i="1"/>
  <c r="AM274" i="1"/>
  <c r="AM275" i="1"/>
  <c r="AM276" i="1"/>
  <c r="AM277" i="1"/>
  <c r="AM278" i="1"/>
  <c r="AM279" i="1"/>
  <c r="AM280" i="1"/>
  <c r="AM281" i="1"/>
  <c r="AM282" i="1"/>
  <c r="AM283" i="1"/>
  <c r="AM284" i="1"/>
  <c r="AM285" i="1"/>
  <c r="AM286" i="1"/>
  <c r="AM287" i="1"/>
  <c r="AM288" i="1"/>
  <c r="AM289" i="1"/>
  <c r="AM290" i="1"/>
  <c r="AM291" i="1"/>
  <c r="AM292" i="1"/>
  <c r="AM293" i="1"/>
  <c r="AM294" i="1"/>
  <c r="AM295" i="1"/>
  <c r="AM296" i="1"/>
  <c r="AM297" i="1"/>
  <c r="AM298" i="1"/>
  <c r="AM299" i="1"/>
  <c r="AM300" i="1"/>
  <c r="AM301" i="1"/>
  <c r="AM302" i="1"/>
  <c r="AM303" i="1"/>
  <c r="AM304" i="1"/>
  <c r="AM305" i="1"/>
  <c r="AM306" i="1"/>
  <c r="AM307" i="1"/>
  <c r="AM308" i="1"/>
  <c r="AM309" i="1"/>
  <c r="AM310" i="1"/>
  <c r="AM311" i="1"/>
  <c r="AM312" i="1"/>
  <c r="AM313" i="1"/>
  <c r="AM314" i="1"/>
  <c r="AM315" i="1"/>
  <c r="AM316" i="1"/>
  <c r="AM317" i="1"/>
  <c r="AM318" i="1"/>
  <c r="AM319" i="1"/>
  <c r="AM320" i="1"/>
  <c r="AM321" i="1"/>
  <c r="AM322" i="1"/>
  <c r="AM323" i="1"/>
  <c r="AM324" i="1"/>
  <c r="AM325" i="1"/>
  <c r="AM326" i="1"/>
  <c r="AM327" i="1"/>
  <c r="AM328" i="1"/>
  <c r="AM329" i="1"/>
  <c r="AM330" i="1"/>
  <c r="AM331" i="1"/>
  <c r="AM332" i="1"/>
  <c r="AM333" i="1"/>
  <c r="AM334" i="1"/>
  <c r="AM335" i="1"/>
  <c r="AM336" i="1"/>
  <c r="AM337" i="1"/>
  <c r="AM338" i="1"/>
  <c r="AM339" i="1"/>
  <c r="AM340" i="1"/>
  <c r="AM341" i="1"/>
  <c r="AM342" i="1"/>
  <c r="AM343" i="1"/>
  <c r="AM344" i="1"/>
  <c r="AM345" i="1"/>
  <c r="AM346" i="1"/>
  <c r="AM347" i="1"/>
  <c r="AM348" i="1"/>
  <c r="AM349" i="1"/>
  <c r="AM350" i="1"/>
  <c r="AM351" i="1"/>
  <c r="AM352" i="1"/>
  <c r="AM353" i="1"/>
  <c r="AM354" i="1"/>
  <c r="AM355" i="1"/>
  <c r="AM356" i="1"/>
  <c r="AM357" i="1"/>
  <c r="AM358" i="1"/>
  <c r="AM359" i="1"/>
  <c r="AM360" i="1"/>
  <c r="AM361" i="1"/>
  <c r="AM362" i="1"/>
  <c r="AM363" i="1"/>
  <c r="AM364" i="1"/>
  <c r="AM365" i="1"/>
  <c r="AM366" i="1"/>
  <c r="AM367" i="1"/>
  <c r="AM368" i="1"/>
  <c r="AM369" i="1"/>
  <c r="AM370" i="1"/>
  <c r="AM371" i="1"/>
  <c r="AM372" i="1"/>
  <c r="AM373" i="1"/>
  <c r="AM374" i="1"/>
  <c r="AM375" i="1"/>
  <c r="AM376" i="1"/>
  <c r="AM377" i="1"/>
  <c r="AM378" i="1"/>
  <c r="AM379" i="1"/>
  <c r="AM380" i="1"/>
  <c r="AM381" i="1"/>
  <c r="AM382" i="1"/>
  <c r="AM383" i="1"/>
  <c r="AM384" i="1"/>
  <c r="AM385" i="1"/>
  <c r="AM386" i="1"/>
  <c r="AM387" i="1"/>
  <c r="AM388" i="1"/>
  <c r="AM389" i="1"/>
  <c r="AM390" i="1"/>
  <c r="AM391" i="1"/>
  <c r="AM392" i="1"/>
  <c r="AM393" i="1"/>
  <c r="AM394" i="1"/>
  <c r="AM395" i="1"/>
  <c r="AM396" i="1"/>
  <c r="AM397" i="1"/>
  <c r="AM398" i="1"/>
  <c r="AM399" i="1"/>
  <c r="AM400" i="1"/>
  <c r="AM401" i="1"/>
  <c r="AM402" i="1"/>
  <c r="AM403" i="1"/>
  <c r="AM404" i="1"/>
  <c r="AM405" i="1"/>
  <c r="AM406" i="1"/>
  <c r="AM407" i="1"/>
  <c r="AM408" i="1"/>
  <c r="AM409" i="1"/>
  <c r="AM410" i="1"/>
  <c r="AM411" i="1"/>
  <c r="AM412" i="1"/>
  <c r="AM413" i="1"/>
  <c r="AM414" i="1"/>
  <c r="AM415" i="1"/>
  <c r="AM416" i="1"/>
  <c r="AM417" i="1"/>
  <c r="AM418" i="1"/>
  <c r="AM419" i="1"/>
  <c r="AM420" i="1"/>
  <c r="AM421" i="1"/>
  <c r="AM422" i="1"/>
  <c r="AM423" i="1"/>
  <c r="AM424" i="1"/>
  <c r="AM425" i="1"/>
  <c r="AM426" i="1"/>
  <c r="AM427" i="1"/>
  <c r="AM428" i="1"/>
  <c r="AM429" i="1"/>
  <c r="AM430" i="1"/>
  <c r="AM431" i="1"/>
  <c r="AM432" i="1"/>
  <c r="AM433" i="1"/>
  <c r="AM434" i="1"/>
  <c r="AM435" i="1"/>
  <c r="AM436" i="1"/>
  <c r="AM437" i="1"/>
  <c r="AM438" i="1"/>
  <c r="AM439" i="1"/>
  <c r="AM440" i="1"/>
  <c r="AM441" i="1"/>
  <c r="AM442" i="1"/>
  <c r="AM443" i="1"/>
  <c r="AM444" i="1"/>
  <c r="AM445" i="1"/>
  <c r="AM446" i="1"/>
  <c r="AM447" i="1"/>
  <c r="AM448" i="1"/>
  <c r="AM449" i="1"/>
  <c r="AM450" i="1"/>
  <c r="AM451" i="1"/>
  <c r="AM452" i="1"/>
  <c r="AM453" i="1"/>
  <c r="AM454" i="1"/>
  <c r="AM455" i="1"/>
  <c r="AM456" i="1"/>
  <c r="AM457" i="1"/>
  <c r="AM458" i="1"/>
  <c r="AM459" i="1"/>
  <c r="AM460" i="1"/>
  <c r="AM461" i="1"/>
  <c r="AM462" i="1"/>
  <c r="AM463" i="1"/>
  <c r="AM464" i="1"/>
  <c r="AM465" i="1"/>
  <c r="AM466" i="1"/>
  <c r="AM467" i="1"/>
  <c r="AM468" i="1"/>
  <c r="AM469" i="1"/>
  <c r="AM470" i="1"/>
  <c r="AM471" i="1"/>
  <c r="AM472" i="1"/>
  <c r="AM473" i="1"/>
  <c r="AM474" i="1"/>
  <c r="AM475" i="1"/>
  <c r="AM476" i="1"/>
  <c r="AM477" i="1"/>
  <c r="AM478" i="1"/>
  <c r="AM479" i="1"/>
  <c r="AM480" i="1"/>
  <c r="AM481" i="1"/>
  <c r="AM482" i="1"/>
  <c r="AM483" i="1"/>
  <c r="AM484" i="1"/>
  <c r="AM485" i="1"/>
  <c r="AM486" i="1"/>
  <c r="AM487" i="1"/>
  <c r="AM488" i="1"/>
  <c r="AM489" i="1"/>
  <c r="AM490" i="1"/>
  <c r="AM491" i="1"/>
  <c r="AM492" i="1"/>
  <c r="AM493" i="1"/>
  <c r="AM494" i="1"/>
  <c r="AM495" i="1"/>
  <c r="AM496" i="1"/>
  <c r="AM497" i="1"/>
  <c r="AM498" i="1"/>
  <c r="AM499" i="1"/>
  <c r="AM500" i="1"/>
  <c r="AM501" i="1"/>
  <c r="AM502" i="1"/>
  <c r="AM503" i="1"/>
  <c r="AM504" i="1"/>
  <c r="AM505" i="1"/>
  <c r="AM506" i="1"/>
  <c r="AM507" i="1"/>
  <c r="AM508" i="1"/>
  <c r="AM509" i="1"/>
  <c r="AM510" i="1"/>
  <c r="AM511" i="1"/>
  <c r="AM512" i="1"/>
  <c r="AM513" i="1"/>
  <c r="AM514" i="1"/>
  <c r="AM515" i="1"/>
  <c r="AM516" i="1"/>
  <c r="AM517" i="1"/>
  <c r="AM518" i="1"/>
  <c r="AM519" i="1"/>
  <c r="AM520" i="1"/>
  <c r="AM521" i="1"/>
  <c r="AM522" i="1"/>
  <c r="AM523" i="1"/>
  <c r="AM524" i="1"/>
  <c r="AM525" i="1"/>
  <c r="AM526" i="1"/>
  <c r="AM527" i="1"/>
  <c r="AM528" i="1"/>
  <c r="AM529" i="1"/>
  <c r="AM530" i="1"/>
  <c r="AM531" i="1"/>
  <c r="AM532" i="1"/>
  <c r="AM533" i="1"/>
  <c r="AM534" i="1"/>
  <c r="AM535" i="1"/>
  <c r="AM536" i="1"/>
  <c r="AM537" i="1"/>
  <c r="AM538" i="1"/>
  <c r="AM539" i="1"/>
  <c r="AM540" i="1"/>
  <c r="AM541" i="1"/>
  <c r="AM542" i="1"/>
  <c r="AM543" i="1"/>
  <c r="AM544" i="1"/>
  <c r="AM545" i="1"/>
  <c r="AM546" i="1"/>
  <c r="AM547" i="1"/>
  <c r="AM548" i="1"/>
  <c r="AM549" i="1"/>
  <c r="AM550" i="1"/>
  <c r="AM551" i="1"/>
  <c r="AM552" i="1"/>
  <c r="AM553" i="1"/>
  <c r="AM554" i="1"/>
  <c r="AM555" i="1"/>
  <c r="AM556" i="1"/>
  <c r="AM557" i="1"/>
  <c r="AM558" i="1"/>
  <c r="AM559" i="1"/>
  <c r="AM560" i="1"/>
  <c r="AM561" i="1"/>
  <c r="AM562" i="1"/>
  <c r="AM563" i="1"/>
  <c r="AM564" i="1"/>
  <c r="AM565" i="1"/>
  <c r="AM566" i="1"/>
  <c r="AM567" i="1"/>
  <c r="AM568" i="1"/>
  <c r="AM569" i="1"/>
  <c r="AM570" i="1"/>
  <c r="AM571" i="1"/>
  <c r="AM572" i="1"/>
  <c r="AM573" i="1"/>
  <c r="AM574" i="1"/>
  <c r="AM575" i="1"/>
  <c r="AM576" i="1"/>
  <c r="AM577" i="1"/>
  <c r="AM578" i="1"/>
  <c r="AM579" i="1"/>
  <c r="AM580" i="1"/>
  <c r="AM581" i="1"/>
  <c r="AM582" i="1"/>
  <c r="AM583" i="1"/>
  <c r="AM584" i="1"/>
  <c r="AM585" i="1"/>
  <c r="AM586" i="1"/>
  <c r="AM587" i="1"/>
  <c r="AM588" i="1"/>
  <c r="AM589" i="1"/>
  <c r="AM590" i="1"/>
  <c r="AM591" i="1"/>
  <c r="AM592" i="1"/>
  <c r="AM593" i="1"/>
  <c r="AM594" i="1"/>
  <c r="AM595" i="1"/>
  <c r="AM596" i="1"/>
  <c r="AM597" i="1"/>
  <c r="AM598" i="1"/>
  <c r="AM599" i="1"/>
  <c r="AM600" i="1"/>
  <c r="AM601" i="1"/>
  <c r="AM602" i="1"/>
  <c r="AM603" i="1"/>
  <c r="AM604" i="1"/>
  <c r="AM605" i="1"/>
  <c r="AM606" i="1"/>
  <c r="AM607" i="1"/>
  <c r="AM608" i="1"/>
  <c r="AM609" i="1"/>
  <c r="AM610" i="1"/>
  <c r="AM611" i="1"/>
  <c r="AM612" i="1"/>
  <c r="AM613" i="1"/>
  <c r="AM614" i="1"/>
  <c r="AM615" i="1"/>
  <c r="AM616" i="1"/>
  <c r="AM617" i="1"/>
  <c r="AM618" i="1"/>
  <c r="AM619" i="1"/>
  <c r="AM620" i="1"/>
  <c r="AM621" i="1"/>
  <c r="AM622" i="1"/>
  <c r="AM623" i="1"/>
  <c r="AM624" i="1"/>
  <c r="AM625" i="1"/>
  <c r="AM626" i="1"/>
  <c r="AM627" i="1"/>
  <c r="AM628" i="1"/>
  <c r="AM629" i="1"/>
  <c r="AM630" i="1"/>
  <c r="AM631" i="1"/>
  <c r="AM632" i="1"/>
  <c r="AM633" i="1"/>
  <c r="AM634" i="1"/>
  <c r="AM635" i="1"/>
  <c r="AM636" i="1"/>
  <c r="AM637" i="1"/>
  <c r="AM638" i="1"/>
  <c r="AM639" i="1"/>
  <c r="AM640" i="1"/>
  <c r="AM641" i="1"/>
  <c r="AM642" i="1"/>
  <c r="AM643" i="1"/>
  <c r="AM644" i="1"/>
  <c r="AM645" i="1"/>
  <c r="AM646" i="1"/>
  <c r="AM647" i="1"/>
  <c r="AM648" i="1"/>
  <c r="AM649" i="1"/>
  <c r="AM650" i="1"/>
  <c r="AM651" i="1"/>
  <c r="AM652" i="1"/>
  <c r="AM653" i="1"/>
  <c r="AM654" i="1"/>
  <c r="AM655" i="1"/>
  <c r="AM656" i="1"/>
  <c r="AM657" i="1"/>
  <c r="AM658" i="1"/>
  <c r="AM659" i="1"/>
  <c r="AM660" i="1"/>
  <c r="AM661" i="1"/>
  <c r="AM662" i="1"/>
  <c r="AM663" i="1"/>
  <c r="AM664" i="1"/>
  <c r="AM665" i="1"/>
  <c r="AM666" i="1"/>
  <c r="AM667" i="1"/>
  <c r="AM668" i="1"/>
  <c r="AM669" i="1"/>
  <c r="AM670" i="1"/>
  <c r="AM671" i="1"/>
  <c r="AM672" i="1"/>
  <c r="AM673" i="1"/>
  <c r="AM674" i="1"/>
  <c r="AM675" i="1"/>
  <c r="AM676" i="1"/>
  <c r="AM677" i="1"/>
  <c r="AM678" i="1"/>
  <c r="AM679" i="1"/>
  <c r="AM680" i="1"/>
  <c r="AM681" i="1"/>
  <c r="AM682" i="1"/>
  <c r="AM683" i="1"/>
  <c r="AM684" i="1"/>
  <c r="AM685" i="1"/>
  <c r="AM686" i="1"/>
  <c r="AM687" i="1"/>
  <c r="AM688" i="1"/>
  <c r="AM689" i="1"/>
  <c r="AM690" i="1"/>
  <c r="AM691" i="1"/>
  <c r="AM692" i="1"/>
  <c r="AM693" i="1"/>
  <c r="AM694" i="1"/>
  <c r="AM695" i="1"/>
  <c r="AM696" i="1"/>
  <c r="AM697" i="1"/>
  <c r="AM698" i="1"/>
  <c r="AM699" i="1"/>
  <c r="AM700" i="1"/>
  <c r="AM701" i="1"/>
  <c r="AM702" i="1"/>
  <c r="AM703" i="1"/>
  <c r="AM704" i="1"/>
  <c r="AM705" i="1"/>
  <c r="AM706" i="1"/>
  <c r="AM707" i="1"/>
  <c r="AM708" i="1"/>
  <c r="AM709" i="1"/>
  <c r="AM710" i="1"/>
  <c r="AM711" i="1"/>
  <c r="AM712" i="1"/>
  <c r="AM713" i="1"/>
  <c r="AM714" i="1"/>
  <c r="AM715" i="1"/>
  <c r="AM716" i="1"/>
  <c r="AM717" i="1"/>
  <c r="AM718" i="1"/>
  <c r="AM719" i="1"/>
  <c r="AM720" i="1"/>
  <c r="AM721" i="1"/>
  <c r="AM722" i="1"/>
  <c r="AM723" i="1"/>
  <c r="AM724" i="1"/>
  <c r="AM725" i="1"/>
  <c r="AM726" i="1"/>
  <c r="AM727" i="1"/>
  <c r="AM728" i="1"/>
  <c r="AM729" i="1"/>
  <c r="AM730" i="1"/>
  <c r="AM731" i="1"/>
  <c r="AM732" i="1"/>
  <c r="AM733" i="1"/>
  <c r="AM734" i="1"/>
  <c r="AM735" i="1"/>
  <c r="AM736" i="1"/>
  <c r="AM737" i="1"/>
  <c r="AM738" i="1"/>
  <c r="AM739" i="1"/>
  <c r="AM740" i="1"/>
  <c r="AM741" i="1"/>
  <c r="AM742" i="1"/>
  <c r="AM743" i="1"/>
  <c r="AM744" i="1"/>
  <c r="AM745" i="1"/>
  <c r="AM746" i="1"/>
  <c r="AM747" i="1"/>
  <c r="AM748" i="1"/>
  <c r="AM749" i="1"/>
  <c r="AM750" i="1"/>
  <c r="AM751" i="1"/>
  <c r="AM752" i="1"/>
  <c r="AM753" i="1"/>
  <c r="AM754" i="1"/>
  <c r="AM755" i="1"/>
  <c r="AM756" i="1"/>
  <c r="AM757" i="1"/>
  <c r="AM758" i="1"/>
  <c r="AM759" i="1"/>
  <c r="AM760" i="1"/>
  <c r="AM761" i="1"/>
  <c r="AM762" i="1"/>
  <c r="AM763" i="1"/>
  <c r="AM764" i="1"/>
  <c r="AM765" i="1"/>
  <c r="AM766" i="1"/>
  <c r="AM767" i="1"/>
  <c r="AM768" i="1"/>
  <c r="AM769" i="1"/>
  <c r="AM770" i="1"/>
  <c r="AM771" i="1"/>
  <c r="AM772" i="1"/>
  <c r="AM773" i="1"/>
  <c r="AM774" i="1"/>
  <c r="AM775" i="1"/>
  <c r="AM776" i="1"/>
  <c r="AM777" i="1"/>
  <c r="AM778" i="1"/>
  <c r="AM779" i="1"/>
  <c r="AM780" i="1"/>
  <c r="AM781" i="1"/>
  <c r="AM782" i="1"/>
  <c r="AM783" i="1"/>
  <c r="AM784" i="1"/>
  <c r="AM785" i="1"/>
  <c r="AM786" i="1"/>
  <c r="AM787" i="1"/>
  <c r="AM788" i="1"/>
  <c r="AM789" i="1"/>
  <c r="AM790" i="1"/>
  <c r="AM791" i="1"/>
  <c r="AM792" i="1"/>
  <c r="AM793" i="1"/>
  <c r="AM794" i="1"/>
  <c r="AM795" i="1"/>
  <c r="AM796" i="1"/>
  <c r="AM797" i="1"/>
  <c r="AM798" i="1"/>
  <c r="AM799" i="1"/>
  <c r="AM800" i="1"/>
  <c r="AM801" i="1"/>
  <c r="AM802" i="1"/>
  <c r="AM803" i="1"/>
  <c r="AM804" i="1"/>
  <c r="AM805" i="1"/>
  <c r="AM806" i="1"/>
  <c r="AM807" i="1"/>
  <c r="AM808" i="1"/>
  <c r="AM809" i="1"/>
  <c r="AM810" i="1"/>
  <c r="AM811" i="1"/>
  <c r="AM812" i="1"/>
  <c r="AM813" i="1"/>
  <c r="AM814" i="1"/>
  <c r="AM815" i="1"/>
  <c r="AM816" i="1"/>
  <c r="AM817" i="1"/>
  <c r="AM818" i="1"/>
  <c r="AM819" i="1"/>
  <c r="AM820" i="1"/>
  <c r="AM821" i="1"/>
  <c r="AM822" i="1"/>
  <c r="AM823" i="1"/>
  <c r="AM824" i="1"/>
  <c r="AM825" i="1"/>
  <c r="AM826" i="1"/>
  <c r="AM827" i="1"/>
  <c r="AM828" i="1"/>
  <c r="AM829" i="1"/>
  <c r="AM830" i="1"/>
  <c r="AM831" i="1"/>
  <c r="AM832" i="1"/>
  <c r="AM833" i="1"/>
  <c r="AM834" i="1"/>
  <c r="AM835" i="1"/>
  <c r="AM836" i="1"/>
  <c r="AM837" i="1"/>
  <c r="AM838" i="1"/>
  <c r="AM839" i="1"/>
  <c r="AM840" i="1"/>
  <c r="AM841" i="1"/>
  <c r="AM842" i="1"/>
  <c r="AM843" i="1"/>
  <c r="AM844" i="1"/>
  <c r="AM845" i="1"/>
  <c r="AM846" i="1"/>
  <c r="AM847" i="1"/>
  <c r="AM848" i="1"/>
  <c r="AM849" i="1"/>
  <c r="AM850" i="1"/>
  <c r="AM851" i="1"/>
  <c r="AM852" i="1"/>
  <c r="AM853" i="1"/>
  <c r="AM854" i="1"/>
  <c r="AM855" i="1"/>
  <c r="AM856" i="1"/>
  <c r="AM857" i="1"/>
  <c r="AM858" i="1"/>
  <c r="AM859" i="1"/>
  <c r="AM860" i="1"/>
  <c r="AM861" i="1"/>
  <c r="AM862" i="1"/>
  <c r="AM863" i="1"/>
  <c r="AM864" i="1"/>
  <c r="AM865" i="1"/>
  <c r="AM866" i="1"/>
  <c r="AM867" i="1"/>
  <c r="AM868" i="1"/>
  <c r="AM869" i="1"/>
  <c r="AM870" i="1"/>
  <c r="AM871" i="1"/>
  <c r="AM872" i="1"/>
  <c r="AM873" i="1"/>
  <c r="AM874" i="1"/>
  <c r="AM875" i="1"/>
  <c r="AM876" i="1"/>
  <c r="AM877" i="1"/>
  <c r="AM878" i="1"/>
  <c r="AM879" i="1"/>
  <c r="AM880" i="1"/>
  <c r="AM881" i="1"/>
  <c r="AM882" i="1"/>
  <c r="AM883" i="1"/>
  <c r="AM884" i="1"/>
  <c r="AM885" i="1"/>
  <c r="AM886" i="1"/>
  <c r="AM887" i="1"/>
  <c r="AM888" i="1"/>
  <c r="AM889" i="1"/>
  <c r="AM890" i="1"/>
  <c r="AM891" i="1"/>
  <c r="AM892" i="1"/>
  <c r="AM893" i="1"/>
  <c r="AM894" i="1"/>
  <c r="AM895" i="1"/>
  <c r="AM896" i="1"/>
  <c r="AM897" i="1"/>
  <c r="AM898" i="1"/>
  <c r="AM899" i="1"/>
  <c r="AM900" i="1"/>
  <c r="AM901" i="1"/>
  <c r="AM902" i="1"/>
  <c r="AM903" i="1"/>
  <c r="AM904" i="1"/>
  <c r="AM905" i="1"/>
  <c r="AM906" i="1"/>
  <c r="AM907" i="1"/>
  <c r="AM908" i="1"/>
  <c r="AM909" i="1"/>
  <c r="AM910" i="1"/>
  <c r="AM911" i="1"/>
  <c r="AM912" i="1"/>
  <c r="AM913" i="1"/>
  <c r="AM914" i="1"/>
  <c r="AM915" i="1"/>
  <c r="AM916" i="1"/>
  <c r="AM917" i="1"/>
  <c r="AM918" i="1"/>
  <c r="AM919" i="1"/>
  <c r="AM920" i="1"/>
  <c r="AM921" i="1"/>
  <c r="AM922" i="1"/>
  <c r="AM923" i="1"/>
  <c r="AM924" i="1"/>
  <c r="AM925" i="1"/>
  <c r="AM926" i="1"/>
  <c r="AM927" i="1"/>
  <c r="AM928" i="1"/>
  <c r="AM929" i="1"/>
  <c r="AM930" i="1"/>
  <c r="AM931" i="1"/>
  <c r="AM932" i="1"/>
  <c r="AM933" i="1"/>
  <c r="AM934" i="1"/>
  <c r="AM935" i="1"/>
  <c r="AM936" i="1"/>
  <c r="AM937" i="1"/>
  <c r="AM938" i="1"/>
  <c r="AM939" i="1"/>
  <c r="AM940" i="1"/>
  <c r="AM941" i="1"/>
  <c r="AM942" i="1"/>
  <c r="AM943" i="1"/>
  <c r="AM944" i="1"/>
  <c r="AM945" i="1"/>
  <c r="AM946" i="1"/>
  <c r="AM947" i="1"/>
  <c r="AM948" i="1"/>
  <c r="AM949" i="1"/>
  <c r="AM950" i="1"/>
  <c r="AM951" i="1"/>
  <c r="AM952" i="1"/>
  <c r="AM953" i="1"/>
  <c r="AM954" i="1"/>
  <c r="AM955" i="1"/>
  <c r="AM956" i="1"/>
  <c r="AM957" i="1"/>
  <c r="AM958" i="1"/>
  <c r="AM959" i="1"/>
  <c r="AM960" i="1"/>
  <c r="AM961" i="1"/>
  <c r="AM962" i="1"/>
  <c r="AM963" i="1"/>
  <c r="AM964" i="1"/>
  <c r="AM965" i="1"/>
  <c r="AM966" i="1"/>
  <c r="AM967" i="1"/>
  <c r="AM968" i="1"/>
  <c r="AM969" i="1"/>
  <c r="AM970" i="1"/>
  <c r="AM971" i="1"/>
  <c r="AM972" i="1"/>
  <c r="AM973" i="1"/>
  <c r="AM974" i="1"/>
  <c r="AM975" i="1"/>
  <c r="AM976" i="1"/>
  <c r="AM977" i="1"/>
  <c r="AM978" i="1"/>
  <c r="AM979" i="1"/>
  <c r="AM980" i="1"/>
  <c r="AM981" i="1"/>
  <c r="AM982" i="1"/>
  <c r="AM983" i="1"/>
  <c r="AM984" i="1"/>
  <c r="AM985" i="1"/>
  <c r="AM986" i="1"/>
  <c r="AM987" i="1"/>
  <c r="AM988" i="1"/>
  <c r="AM989" i="1"/>
  <c r="AM990" i="1"/>
  <c r="AM991" i="1"/>
  <c r="AM992" i="1"/>
  <c r="AM993" i="1"/>
  <c r="AM994" i="1"/>
  <c r="AM995" i="1"/>
  <c r="AM996" i="1"/>
  <c r="AM997" i="1"/>
  <c r="AM998" i="1"/>
  <c r="AM999" i="1"/>
  <c r="AM1000" i="1"/>
  <c r="AM1001" i="1"/>
  <c r="AM1002" i="1"/>
  <c r="AM1003" i="1"/>
  <c r="AM1004" i="1"/>
  <c r="AM1005" i="1"/>
  <c r="AM1006" i="1"/>
  <c r="AM1007" i="1"/>
  <c r="AM1008" i="1"/>
  <c r="AM1009" i="1"/>
  <c r="AM1010" i="1"/>
  <c r="AM1011" i="1"/>
  <c r="AM1012" i="1"/>
  <c r="AM1013" i="1"/>
  <c r="AM1014" i="1"/>
  <c r="AM1015" i="1"/>
  <c r="AM1016" i="1"/>
  <c r="AM1017" i="1"/>
  <c r="AM1018" i="1"/>
  <c r="AM1019" i="1"/>
  <c r="AM1020" i="1"/>
  <c r="AM1021" i="1"/>
  <c r="AM1022" i="1"/>
  <c r="AM1023" i="1"/>
  <c r="AM1024" i="1"/>
  <c r="AM1025" i="1"/>
  <c r="AM1026" i="1"/>
  <c r="AM1027" i="1"/>
  <c r="AM1028" i="1"/>
  <c r="AM1029" i="1"/>
  <c r="AM1030" i="1"/>
  <c r="AM1031" i="1"/>
  <c r="AM1032" i="1"/>
  <c r="AM1033" i="1"/>
  <c r="AM1034" i="1"/>
  <c r="AM1035" i="1"/>
  <c r="AM1036" i="1"/>
  <c r="AM1037" i="1"/>
  <c r="AM1038" i="1"/>
  <c r="AM1039" i="1"/>
  <c r="AM1040" i="1"/>
  <c r="AM1041" i="1"/>
  <c r="AM1042" i="1"/>
  <c r="AM1043" i="1"/>
  <c r="AM1044" i="1"/>
  <c r="AM1045" i="1"/>
  <c r="AM1046" i="1"/>
  <c r="AM1047" i="1"/>
  <c r="AM1048" i="1"/>
  <c r="AM1049" i="1"/>
  <c r="AM1050" i="1"/>
  <c r="AM1051" i="1"/>
  <c r="AM1052" i="1"/>
  <c r="AM1053" i="1"/>
  <c r="AM1054" i="1"/>
  <c r="AM1055" i="1"/>
  <c r="AM1056" i="1"/>
  <c r="AM1057" i="1"/>
  <c r="AM1058" i="1"/>
  <c r="AM1059" i="1"/>
  <c r="AM1060" i="1"/>
  <c r="AM1061" i="1"/>
  <c r="AM1062" i="1"/>
  <c r="AM1063" i="1"/>
  <c r="AM1064" i="1"/>
  <c r="AM1065" i="1"/>
  <c r="AM1066" i="1"/>
  <c r="AM1067" i="1"/>
  <c r="AM1068" i="1"/>
  <c r="AM1069" i="1"/>
  <c r="AM1070" i="1"/>
  <c r="AM1071" i="1"/>
  <c r="AM1072" i="1"/>
  <c r="AM1073" i="1"/>
  <c r="AM1074" i="1"/>
  <c r="AM1075" i="1"/>
  <c r="AM1076" i="1"/>
  <c r="AM1077" i="1"/>
  <c r="AM1078" i="1"/>
  <c r="AM1079" i="1"/>
  <c r="AM1080" i="1"/>
  <c r="AM1081" i="1"/>
  <c r="AM1082" i="1"/>
  <c r="AM1083" i="1"/>
  <c r="AM1084" i="1"/>
  <c r="AM1085" i="1"/>
  <c r="AM1086" i="1"/>
  <c r="AM1087" i="1"/>
  <c r="AM1088" i="1"/>
  <c r="AM1089" i="1"/>
  <c r="AM1090" i="1"/>
  <c r="AM1091" i="1"/>
  <c r="AM1092" i="1"/>
  <c r="AM1093" i="1"/>
  <c r="AM1094" i="1"/>
  <c r="AM1095" i="1"/>
  <c r="AM1096" i="1"/>
  <c r="AM1097" i="1"/>
  <c r="AM1098" i="1"/>
  <c r="AM1099" i="1"/>
  <c r="AM1100" i="1"/>
  <c r="AM1101" i="1"/>
  <c r="AM1102" i="1"/>
  <c r="AM1103" i="1"/>
  <c r="AM1104" i="1"/>
  <c r="AM1105" i="1"/>
  <c r="AM1106" i="1"/>
  <c r="AM1107" i="1"/>
  <c r="AM1108" i="1"/>
  <c r="AM1109" i="1"/>
  <c r="AM1110" i="1"/>
  <c r="AM1111" i="1"/>
  <c r="AM1112" i="1"/>
  <c r="AM1113" i="1"/>
  <c r="AM1114" i="1"/>
  <c r="AM1115" i="1"/>
  <c r="AM1116" i="1"/>
  <c r="AM1117" i="1"/>
  <c r="AM1118" i="1"/>
  <c r="AM1119" i="1"/>
  <c r="AM1120" i="1"/>
  <c r="AM1121" i="1"/>
  <c r="AM1122" i="1"/>
  <c r="AM1123" i="1"/>
  <c r="AM1124" i="1"/>
  <c r="AM1125" i="1"/>
  <c r="AM1126" i="1"/>
  <c r="AM1127" i="1"/>
  <c r="AM1128" i="1"/>
  <c r="AM1129" i="1"/>
  <c r="AM1130" i="1"/>
  <c r="AM1131" i="1"/>
  <c r="AM1132" i="1"/>
  <c r="AM1133" i="1"/>
  <c r="AM1134" i="1"/>
  <c r="AM1135" i="1"/>
  <c r="AM1136" i="1"/>
  <c r="AM1137" i="1"/>
  <c r="AM1138" i="1"/>
  <c r="AM1139" i="1"/>
  <c r="AM1140" i="1"/>
  <c r="AM1141" i="1"/>
  <c r="AM1142" i="1"/>
  <c r="AM1143" i="1"/>
  <c r="AM1144" i="1"/>
  <c r="AM1145" i="1"/>
  <c r="AM1146" i="1"/>
  <c r="AM1147" i="1"/>
  <c r="AM1148" i="1"/>
  <c r="AM1149" i="1"/>
  <c r="AM1150" i="1"/>
  <c r="AM1151" i="1"/>
  <c r="AM1152" i="1"/>
  <c r="AM1153" i="1"/>
  <c r="AM1154" i="1"/>
  <c r="AM1155" i="1"/>
  <c r="AM1156" i="1"/>
  <c r="AM1157" i="1"/>
  <c r="AM1158" i="1"/>
  <c r="AM1159" i="1"/>
  <c r="AM1160" i="1"/>
  <c r="AM1161" i="1"/>
  <c r="AM1162" i="1"/>
  <c r="AM1163" i="1"/>
  <c r="AM1164" i="1"/>
  <c r="AM1165" i="1"/>
  <c r="AM1166" i="1"/>
  <c r="AM1167" i="1"/>
  <c r="AM1168" i="1"/>
  <c r="AM1169" i="1"/>
  <c r="AM1170" i="1"/>
  <c r="AM1171" i="1"/>
  <c r="AM1172" i="1"/>
  <c r="AM1173" i="1"/>
  <c r="AM1174" i="1"/>
  <c r="AM1175" i="1"/>
  <c r="AM1176" i="1"/>
  <c r="AM1177" i="1"/>
  <c r="AM1178" i="1"/>
  <c r="AM1179" i="1"/>
  <c r="AM1180" i="1"/>
  <c r="AM1181" i="1"/>
  <c r="AM1182" i="1"/>
  <c r="AM1183" i="1"/>
  <c r="AM1184" i="1"/>
  <c r="AM1185" i="1"/>
  <c r="AM1186" i="1"/>
  <c r="AM1187" i="1"/>
  <c r="AM1188" i="1"/>
  <c r="AM1189" i="1"/>
  <c r="AM1190" i="1"/>
  <c r="AM1191" i="1"/>
  <c r="AM1192" i="1"/>
  <c r="AM1193" i="1"/>
  <c r="AM1194" i="1"/>
  <c r="AM1195" i="1"/>
  <c r="AM1196" i="1"/>
  <c r="AM1197" i="1"/>
  <c r="AM1198" i="1"/>
  <c r="AM1199" i="1"/>
  <c r="AM1200" i="1"/>
  <c r="AM1201" i="1"/>
  <c r="AM1202" i="1"/>
  <c r="AM1203" i="1"/>
  <c r="AM1204" i="1"/>
  <c r="AM1205" i="1"/>
  <c r="AM1206" i="1"/>
  <c r="AM1207" i="1"/>
  <c r="AM1208" i="1"/>
  <c r="AM1209" i="1"/>
  <c r="AM1210" i="1"/>
  <c r="AM1211" i="1"/>
  <c r="AM1212" i="1"/>
  <c r="AM1213" i="1"/>
  <c r="AM1214" i="1"/>
  <c r="AM1215" i="1"/>
  <c r="AM1216" i="1"/>
  <c r="AM1217" i="1"/>
  <c r="AM1218" i="1"/>
  <c r="AM1219" i="1"/>
  <c r="AM1220" i="1"/>
  <c r="AM1221" i="1"/>
  <c r="AM1222" i="1"/>
  <c r="AM1223" i="1"/>
  <c r="AM1224" i="1"/>
  <c r="AM1225" i="1"/>
  <c r="AM1226" i="1"/>
  <c r="AM1227" i="1"/>
  <c r="AM1228" i="1"/>
  <c r="AM1229" i="1"/>
  <c r="AM1230" i="1"/>
  <c r="AM1231" i="1"/>
  <c r="AM1232" i="1"/>
  <c r="AM1233" i="1"/>
  <c r="AM1234" i="1"/>
  <c r="AM1235" i="1"/>
  <c r="AM1236" i="1"/>
  <c r="AM1237" i="1"/>
  <c r="AM1238" i="1"/>
  <c r="AM1239" i="1"/>
  <c r="AM1240" i="1"/>
  <c r="AM1241" i="1"/>
  <c r="AM1242" i="1"/>
  <c r="AM1243" i="1"/>
  <c r="AM1244" i="1"/>
  <c r="AM1245" i="1"/>
  <c r="AM1246" i="1"/>
  <c r="AM1247" i="1"/>
  <c r="AM1248" i="1"/>
  <c r="AM1249" i="1"/>
  <c r="AM1250" i="1"/>
  <c r="AM1251" i="1"/>
  <c r="AM1252" i="1"/>
  <c r="AM1253" i="1"/>
  <c r="AM1254" i="1"/>
  <c r="AM1255" i="1"/>
  <c r="AM1256" i="1"/>
  <c r="AM1257" i="1"/>
  <c r="AM1258" i="1"/>
  <c r="AM1259" i="1"/>
  <c r="AM1260" i="1"/>
  <c r="AM1261" i="1"/>
  <c r="AM1262" i="1"/>
  <c r="AM1263" i="1"/>
  <c r="AM1264" i="1"/>
  <c r="AM1265" i="1"/>
  <c r="AM1266" i="1"/>
  <c r="AM1267" i="1"/>
  <c r="AM1268" i="1"/>
  <c r="AM1269" i="1"/>
  <c r="AM1270" i="1"/>
  <c r="AM1271" i="1"/>
  <c r="AM1272" i="1"/>
  <c r="AM1273" i="1"/>
  <c r="AM1274" i="1"/>
  <c r="AM1275" i="1"/>
  <c r="AM1276" i="1"/>
  <c r="AM1277" i="1"/>
  <c r="AM1278" i="1"/>
  <c r="AM1279" i="1"/>
  <c r="AM1280" i="1"/>
  <c r="AM1281" i="1"/>
  <c r="AM1282" i="1"/>
  <c r="AM1283" i="1"/>
  <c r="AM1284" i="1"/>
  <c r="AM1285" i="1"/>
  <c r="AM1286" i="1"/>
  <c r="AM1287" i="1"/>
  <c r="AM1288" i="1"/>
  <c r="AM1289" i="1"/>
  <c r="AM1290" i="1"/>
  <c r="AM1291" i="1"/>
  <c r="AM1292" i="1"/>
  <c r="AM1293" i="1"/>
  <c r="AM1294" i="1"/>
  <c r="AM1295" i="1"/>
  <c r="AM1296" i="1"/>
  <c r="AM1297" i="1"/>
  <c r="AM1298" i="1"/>
  <c r="AM1299" i="1"/>
  <c r="AM1300" i="1"/>
  <c r="AM1301" i="1"/>
  <c r="AM1302" i="1"/>
  <c r="AM1303" i="1"/>
  <c r="AM1304" i="1"/>
  <c r="AM1305" i="1"/>
  <c r="AM1306" i="1"/>
  <c r="AM1307" i="1"/>
  <c r="AM1308" i="1"/>
  <c r="AM1309" i="1"/>
  <c r="AM1310" i="1"/>
  <c r="AM1311" i="1"/>
  <c r="AM1312" i="1"/>
  <c r="AM1313" i="1"/>
  <c r="AM1314" i="1"/>
  <c r="AM1315" i="1"/>
  <c r="AM1316" i="1"/>
  <c r="AM1317" i="1"/>
  <c r="AM1318" i="1"/>
  <c r="AM1319" i="1"/>
  <c r="AM1320" i="1"/>
  <c r="AM1321" i="1"/>
  <c r="AM1322" i="1"/>
  <c r="AM1323" i="1"/>
  <c r="AM1324" i="1"/>
  <c r="AM1325" i="1"/>
  <c r="AM1326" i="1"/>
  <c r="AM1327" i="1"/>
  <c r="AM1328" i="1"/>
  <c r="AM1329" i="1"/>
  <c r="AM1330" i="1"/>
  <c r="AM1331" i="1"/>
  <c r="AM1332" i="1"/>
  <c r="AM1333" i="1"/>
  <c r="AM1334" i="1"/>
  <c r="AM1335" i="1"/>
  <c r="AM1336" i="1"/>
  <c r="AM1337" i="1"/>
  <c r="AM1338" i="1"/>
  <c r="AM1339" i="1"/>
  <c r="AM1340" i="1"/>
  <c r="AM1341" i="1"/>
  <c r="AM1342" i="1"/>
  <c r="AM1343" i="1"/>
  <c r="AM1344" i="1"/>
  <c r="AM1345" i="1"/>
  <c r="AM1346" i="1"/>
  <c r="AM1347" i="1"/>
  <c r="AM1348" i="1"/>
  <c r="AM1349" i="1"/>
  <c r="AM1350" i="1"/>
  <c r="AM1351" i="1"/>
  <c r="AM1352" i="1"/>
  <c r="AM1353" i="1"/>
  <c r="AM1354" i="1"/>
  <c r="AM1355" i="1"/>
  <c r="AM1356" i="1"/>
  <c r="AM1357" i="1"/>
  <c r="AM1358" i="1"/>
  <c r="AM1359" i="1"/>
  <c r="AM1360" i="1"/>
  <c r="AM1361" i="1"/>
  <c r="AM1362" i="1"/>
  <c r="AM1363" i="1"/>
  <c r="AM1364" i="1"/>
  <c r="AM1365" i="1"/>
  <c r="AM1366" i="1"/>
  <c r="AM1367" i="1"/>
  <c r="AM1368" i="1"/>
  <c r="AM1369" i="1"/>
  <c r="AM1370" i="1"/>
  <c r="AM1371" i="1"/>
  <c r="AM1372" i="1"/>
  <c r="AM1373" i="1"/>
  <c r="AM1374" i="1"/>
  <c r="AM1375" i="1"/>
  <c r="AM1376" i="1"/>
  <c r="AM1377" i="1"/>
  <c r="AM1378" i="1"/>
  <c r="AM1379" i="1"/>
  <c r="AM1380" i="1"/>
  <c r="AM1381" i="1"/>
  <c r="AM1382" i="1"/>
  <c r="AM1383" i="1"/>
  <c r="AM1384" i="1"/>
  <c r="AM1385" i="1"/>
  <c r="AM1386" i="1"/>
  <c r="AM1387" i="1"/>
  <c r="AM1388" i="1"/>
  <c r="AM1389" i="1"/>
  <c r="AM1390" i="1"/>
  <c r="AM1391" i="1"/>
  <c r="AM1392" i="1"/>
  <c r="AM1393" i="1"/>
  <c r="AM1394" i="1"/>
  <c r="AM1395" i="1"/>
  <c r="AM1396" i="1"/>
  <c r="AM1397" i="1"/>
  <c r="AM1398" i="1"/>
  <c r="AM1399" i="1"/>
  <c r="AM1400" i="1"/>
  <c r="AM1401" i="1"/>
  <c r="AM1402" i="1"/>
  <c r="AM1403" i="1"/>
  <c r="AM1404" i="1"/>
  <c r="AM1405" i="1"/>
  <c r="AM1406" i="1"/>
  <c r="AM1407" i="1"/>
  <c r="AM1408" i="1"/>
  <c r="AM1409" i="1"/>
  <c r="AM1410" i="1"/>
  <c r="AM1411" i="1"/>
  <c r="AM1412" i="1"/>
  <c r="AM1413" i="1"/>
  <c r="AM1414" i="1"/>
  <c r="AM1415" i="1"/>
  <c r="AM1416" i="1"/>
  <c r="AM1417" i="1"/>
  <c r="AM1418" i="1"/>
  <c r="AM1419" i="1"/>
  <c r="AM1420" i="1"/>
  <c r="AM1421" i="1"/>
  <c r="AM1422" i="1"/>
  <c r="AM1423" i="1"/>
  <c r="AM1424" i="1"/>
  <c r="AM1425" i="1"/>
  <c r="AM1426" i="1"/>
  <c r="AM1427" i="1"/>
  <c r="AM1428" i="1"/>
  <c r="AM1429" i="1"/>
  <c r="AM1430" i="1"/>
  <c r="AM1431" i="1"/>
  <c r="AM1432" i="1"/>
  <c r="AM1433" i="1"/>
  <c r="AM1434" i="1"/>
  <c r="AM1435" i="1"/>
  <c r="AM1436" i="1"/>
  <c r="AM1437" i="1"/>
  <c r="AM1438" i="1"/>
  <c r="AM1439" i="1"/>
  <c r="AM1440" i="1"/>
  <c r="AM1441" i="1"/>
  <c r="AM1442" i="1"/>
  <c r="AM1443" i="1"/>
  <c r="AM1444" i="1"/>
  <c r="AM1445" i="1"/>
  <c r="AM1446" i="1"/>
  <c r="AM1447" i="1"/>
  <c r="AM1448" i="1"/>
  <c r="AM1449" i="1"/>
  <c r="AM1450" i="1"/>
  <c r="AM1451" i="1"/>
  <c r="AM1452" i="1"/>
  <c r="AM1453" i="1"/>
  <c r="AM1454" i="1"/>
  <c r="AM1455" i="1"/>
  <c r="AM1456" i="1"/>
  <c r="AM1457" i="1"/>
  <c r="AM1458" i="1"/>
  <c r="AM1459" i="1"/>
  <c r="AM1460" i="1"/>
  <c r="AM1461" i="1"/>
  <c r="AM1462" i="1"/>
  <c r="AM1463" i="1"/>
  <c r="AM1464" i="1"/>
  <c r="AM1465" i="1"/>
  <c r="AM1466" i="1"/>
  <c r="AM1467" i="1"/>
  <c r="AM1468" i="1"/>
  <c r="AM1469" i="1"/>
  <c r="AM1470" i="1"/>
  <c r="AM1471" i="1"/>
  <c r="AL2" i="1"/>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44" i="1"/>
  <c r="AL45" i="1"/>
  <c r="AL46" i="1"/>
  <c r="AL47" i="1"/>
  <c r="AL48" i="1"/>
  <c r="AL49" i="1"/>
  <c r="AL50" i="1"/>
  <c r="AL51" i="1"/>
  <c r="AL52" i="1"/>
  <c r="AL53" i="1"/>
  <c r="AL54" i="1"/>
  <c r="AL55" i="1"/>
  <c r="AL56" i="1"/>
  <c r="AL57" i="1"/>
  <c r="AL58" i="1"/>
  <c r="AL59" i="1"/>
  <c r="AL60" i="1"/>
  <c r="AL61" i="1"/>
  <c r="AL62" i="1"/>
  <c r="AL63" i="1"/>
  <c r="AL64" i="1"/>
  <c r="AL65" i="1"/>
  <c r="AL66" i="1"/>
  <c r="AL67" i="1"/>
  <c r="AL68" i="1"/>
  <c r="AL69" i="1"/>
  <c r="AL70" i="1"/>
  <c r="AL71" i="1"/>
  <c r="AL72" i="1"/>
  <c r="AL73" i="1"/>
  <c r="AL74" i="1"/>
  <c r="AL75" i="1"/>
  <c r="AL76" i="1"/>
  <c r="AL77" i="1"/>
  <c r="AL78" i="1"/>
  <c r="AL79" i="1"/>
  <c r="AL80" i="1"/>
  <c r="AL81" i="1"/>
  <c r="AL82" i="1"/>
  <c r="AL83" i="1"/>
  <c r="AL84" i="1"/>
  <c r="AL85" i="1"/>
  <c r="AL86" i="1"/>
  <c r="AL87" i="1"/>
  <c r="AL88" i="1"/>
  <c r="AL89" i="1"/>
  <c r="AL90" i="1"/>
  <c r="AL91" i="1"/>
  <c r="AL92" i="1"/>
  <c r="AL93" i="1"/>
  <c r="AL94" i="1"/>
  <c r="AL95" i="1"/>
  <c r="AL96" i="1"/>
  <c r="AL97" i="1"/>
  <c r="AL98" i="1"/>
  <c r="AL99" i="1"/>
  <c r="AL100" i="1"/>
  <c r="AL101" i="1"/>
  <c r="AL102" i="1"/>
  <c r="AL103" i="1"/>
  <c r="AL104" i="1"/>
  <c r="AL105" i="1"/>
  <c r="AL106" i="1"/>
  <c r="AL107" i="1"/>
  <c r="AL108" i="1"/>
  <c r="AL109" i="1"/>
  <c r="AL110" i="1"/>
  <c r="AL111" i="1"/>
  <c r="AL112" i="1"/>
  <c r="AL113" i="1"/>
  <c r="AL114" i="1"/>
  <c r="AL115" i="1"/>
  <c r="AL116" i="1"/>
  <c r="AL117" i="1"/>
  <c r="AL118" i="1"/>
  <c r="AL119" i="1"/>
  <c r="AL120" i="1"/>
  <c r="AL121" i="1"/>
  <c r="AL122" i="1"/>
  <c r="AL123" i="1"/>
  <c r="AL124" i="1"/>
  <c r="AL125" i="1"/>
  <c r="AL126" i="1"/>
  <c r="AL127" i="1"/>
  <c r="AL128" i="1"/>
  <c r="AL129" i="1"/>
  <c r="AL130" i="1"/>
  <c r="AL131" i="1"/>
  <c r="AL132" i="1"/>
  <c r="AL133" i="1"/>
  <c r="AL134" i="1"/>
  <c r="AL135" i="1"/>
  <c r="AL136" i="1"/>
  <c r="AL137" i="1"/>
  <c r="AL138" i="1"/>
  <c r="AL139" i="1"/>
  <c r="AL140" i="1"/>
  <c r="AL141" i="1"/>
  <c r="AL142" i="1"/>
  <c r="AL143" i="1"/>
  <c r="AL144" i="1"/>
  <c r="AL145" i="1"/>
  <c r="AL146" i="1"/>
  <c r="AL147" i="1"/>
  <c r="AL148" i="1"/>
  <c r="AL149" i="1"/>
  <c r="AL150" i="1"/>
  <c r="AL151" i="1"/>
  <c r="AL152" i="1"/>
  <c r="AL153" i="1"/>
  <c r="AL154" i="1"/>
  <c r="AL155" i="1"/>
  <c r="AL156" i="1"/>
  <c r="AL157" i="1"/>
  <c r="AL158" i="1"/>
  <c r="AL159" i="1"/>
  <c r="AL160" i="1"/>
  <c r="AL161" i="1"/>
  <c r="AL162" i="1"/>
  <c r="AL163" i="1"/>
  <c r="AL164" i="1"/>
  <c r="AL165" i="1"/>
  <c r="AL166" i="1"/>
  <c r="AL167" i="1"/>
  <c r="AL168" i="1"/>
  <c r="AL169" i="1"/>
  <c r="AL170" i="1"/>
  <c r="AL171" i="1"/>
  <c r="AL172" i="1"/>
  <c r="AL173" i="1"/>
  <c r="AL174" i="1"/>
  <c r="AL175" i="1"/>
  <c r="AL176" i="1"/>
  <c r="AL177" i="1"/>
  <c r="AL178" i="1"/>
  <c r="AL179" i="1"/>
  <c r="AL180" i="1"/>
  <c r="AL181" i="1"/>
  <c r="AL182" i="1"/>
  <c r="AL183" i="1"/>
  <c r="AL184" i="1"/>
  <c r="AL185" i="1"/>
  <c r="AL186" i="1"/>
  <c r="AL187" i="1"/>
  <c r="AL188" i="1"/>
  <c r="AL189" i="1"/>
  <c r="AL190" i="1"/>
  <c r="AL191" i="1"/>
  <c r="AL192" i="1"/>
  <c r="AL193" i="1"/>
  <c r="AL194" i="1"/>
  <c r="AL195" i="1"/>
  <c r="AL196" i="1"/>
  <c r="AL197" i="1"/>
  <c r="AL198" i="1"/>
  <c r="AL199" i="1"/>
  <c r="AL200" i="1"/>
  <c r="AL201" i="1"/>
  <c r="AL202" i="1"/>
  <c r="AL203" i="1"/>
  <c r="AL204" i="1"/>
  <c r="AL205" i="1"/>
  <c r="AL206" i="1"/>
  <c r="AL207" i="1"/>
  <c r="AL208" i="1"/>
  <c r="AL209" i="1"/>
  <c r="AL210" i="1"/>
  <c r="AL211" i="1"/>
  <c r="AL212" i="1"/>
  <c r="AL213" i="1"/>
  <c r="AL214" i="1"/>
  <c r="AL215" i="1"/>
  <c r="AL216" i="1"/>
  <c r="AL217" i="1"/>
  <c r="AL218" i="1"/>
  <c r="AL219" i="1"/>
  <c r="AL220" i="1"/>
  <c r="AL221" i="1"/>
  <c r="AL222" i="1"/>
  <c r="AL223" i="1"/>
  <c r="AL224" i="1"/>
  <c r="AL225" i="1"/>
  <c r="AL226" i="1"/>
  <c r="AL227" i="1"/>
  <c r="AL228" i="1"/>
  <c r="AL229" i="1"/>
  <c r="AL230" i="1"/>
  <c r="AL231" i="1"/>
  <c r="AL232" i="1"/>
  <c r="AL233" i="1"/>
  <c r="AL234" i="1"/>
  <c r="AL235" i="1"/>
  <c r="AL236" i="1"/>
  <c r="AL237" i="1"/>
  <c r="AL238" i="1"/>
  <c r="AL239" i="1"/>
  <c r="AL240" i="1"/>
  <c r="AL241" i="1"/>
  <c r="AL242" i="1"/>
  <c r="AL243" i="1"/>
  <c r="AL244" i="1"/>
  <c r="AL245" i="1"/>
  <c r="AL246" i="1"/>
  <c r="AL247" i="1"/>
  <c r="AL248" i="1"/>
  <c r="AL249" i="1"/>
  <c r="AL250" i="1"/>
  <c r="AL251" i="1"/>
  <c r="AL252" i="1"/>
  <c r="AL253" i="1"/>
  <c r="AL254" i="1"/>
  <c r="AL255" i="1"/>
  <c r="AL256" i="1"/>
  <c r="AL257" i="1"/>
  <c r="AL258" i="1"/>
  <c r="AL259" i="1"/>
  <c r="AL260" i="1"/>
  <c r="AL261" i="1"/>
  <c r="AL262" i="1"/>
  <c r="AL263" i="1"/>
  <c r="AL264" i="1"/>
  <c r="AL265" i="1"/>
  <c r="AL266" i="1"/>
  <c r="AL267" i="1"/>
  <c r="AL268" i="1"/>
  <c r="AL269" i="1"/>
  <c r="AL270" i="1"/>
  <c r="AL271" i="1"/>
  <c r="AL272" i="1"/>
  <c r="AL273" i="1"/>
  <c r="AL274" i="1"/>
  <c r="AL275" i="1"/>
  <c r="AL276" i="1"/>
  <c r="AL277" i="1"/>
  <c r="AL278" i="1"/>
  <c r="AL279" i="1"/>
  <c r="AL280" i="1"/>
  <c r="AL281" i="1"/>
  <c r="AL282" i="1"/>
  <c r="AL283" i="1"/>
  <c r="AL284" i="1"/>
  <c r="AL285" i="1"/>
  <c r="AL286" i="1"/>
  <c r="AL287" i="1"/>
  <c r="AL288" i="1"/>
  <c r="AL289" i="1"/>
  <c r="AL290" i="1"/>
  <c r="AL291" i="1"/>
  <c r="AL292" i="1"/>
  <c r="AL293" i="1"/>
  <c r="AL294" i="1"/>
  <c r="AL295" i="1"/>
  <c r="AL296" i="1"/>
  <c r="AL297" i="1"/>
  <c r="AL298" i="1"/>
  <c r="AL299" i="1"/>
  <c r="AL300" i="1"/>
  <c r="AL301" i="1"/>
  <c r="AL302" i="1"/>
  <c r="AL303" i="1"/>
  <c r="AL304" i="1"/>
  <c r="AL305" i="1"/>
  <c r="AL306" i="1"/>
  <c r="AL307" i="1"/>
  <c r="AL308" i="1"/>
  <c r="AL309" i="1"/>
  <c r="AL310" i="1"/>
  <c r="AL311" i="1"/>
  <c r="AL312" i="1"/>
  <c r="AL313" i="1"/>
  <c r="AL314" i="1"/>
  <c r="AL315" i="1"/>
  <c r="AL316" i="1"/>
  <c r="AL317" i="1"/>
  <c r="AL318" i="1"/>
  <c r="AL319" i="1"/>
  <c r="AL320" i="1"/>
  <c r="AL321" i="1"/>
  <c r="AL322" i="1"/>
  <c r="AL323" i="1"/>
  <c r="AL324" i="1"/>
  <c r="AL325" i="1"/>
  <c r="AL326" i="1"/>
  <c r="AL327" i="1"/>
  <c r="AL328" i="1"/>
  <c r="AL329" i="1"/>
  <c r="AL330" i="1"/>
  <c r="AL331" i="1"/>
  <c r="AL332" i="1"/>
  <c r="AL333" i="1"/>
  <c r="AL334" i="1"/>
  <c r="AL335" i="1"/>
  <c r="AL336" i="1"/>
  <c r="AL337" i="1"/>
  <c r="AL338" i="1"/>
  <c r="AL339" i="1"/>
  <c r="AL340" i="1"/>
  <c r="AL341" i="1"/>
  <c r="AL342" i="1"/>
  <c r="AL343" i="1"/>
  <c r="AL344" i="1"/>
  <c r="AL345" i="1"/>
  <c r="AL346" i="1"/>
  <c r="AL347" i="1"/>
  <c r="AL348" i="1"/>
  <c r="AL349" i="1"/>
  <c r="AL350" i="1"/>
  <c r="AL351" i="1"/>
  <c r="AL352" i="1"/>
  <c r="AL353" i="1"/>
  <c r="AL354" i="1"/>
  <c r="AL355" i="1"/>
  <c r="AL356" i="1"/>
  <c r="AL357" i="1"/>
  <c r="AL358" i="1"/>
  <c r="AL359" i="1"/>
  <c r="AL360" i="1"/>
  <c r="AL361" i="1"/>
  <c r="AL362" i="1"/>
  <c r="AL363" i="1"/>
  <c r="AL364" i="1"/>
  <c r="AL365" i="1"/>
  <c r="AL366" i="1"/>
  <c r="AL367" i="1"/>
  <c r="AL368" i="1"/>
  <c r="AL369" i="1"/>
  <c r="AL370" i="1"/>
  <c r="AL371" i="1"/>
  <c r="AL372" i="1"/>
  <c r="AL373" i="1"/>
  <c r="AL374" i="1"/>
  <c r="AL375" i="1"/>
  <c r="AL376" i="1"/>
  <c r="AL377" i="1"/>
  <c r="AL378" i="1"/>
  <c r="AL379" i="1"/>
  <c r="AL380" i="1"/>
  <c r="AL381" i="1"/>
  <c r="AL382" i="1"/>
  <c r="AL383" i="1"/>
  <c r="AL384" i="1"/>
  <c r="AL385" i="1"/>
  <c r="AL386" i="1"/>
  <c r="AL387" i="1"/>
  <c r="AL388" i="1"/>
  <c r="AL389" i="1"/>
  <c r="AL390" i="1"/>
  <c r="AL391" i="1"/>
  <c r="AL392" i="1"/>
  <c r="AL393" i="1"/>
  <c r="AL394" i="1"/>
  <c r="AL395" i="1"/>
  <c r="AL396" i="1"/>
  <c r="AL397" i="1"/>
  <c r="AL398" i="1"/>
  <c r="AL399" i="1"/>
  <c r="AL400" i="1"/>
  <c r="AL401" i="1"/>
  <c r="AL402" i="1"/>
  <c r="AL403" i="1"/>
  <c r="AL404" i="1"/>
  <c r="AL405" i="1"/>
  <c r="AL406" i="1"/>
  <c r="AL407" i="1"/>
  <c r="AL408" i="1"/>
  <c r="AL409" i="1"/>
  <c r="AL410" i="1"/>
  <c r="AL411" i="1"/>
  <c r="AL412" i="1"/>
  <c r="AL413" i="1"/>
  <c r="AL414" i="1"/>
  <c r="AL415" i="1"/>
  <c r="AL416" i="1"/>
  <c r="AL417" i="1"/>
  <c r="AL418" i="1"/>
  <c r="AL419" i="1"/>
  <c r="AL420" i="1"/>
  <c r="AL421" i="1"/>
  <c r="AL422" i="1"/>
  <c r="AL423" i="1"/>
  <c r="AL424" i="1"/>
  <c r="AL425" i="1"/>
  <c r="AL426" i="1"/>
  <c r="AL427" i="1"/>
  <c r="AL428" i="1"/>
  <c r="AL429" i="1"/>
  <c r="AL430" i="1"/>
  <c r="AL431" i="1"/>
  <c r="AL432" i="1"/>
  <c r="AL433" i="1"/>
  <c r="AL434" i="1"/>
  <c r="AL435" i="1"/>
  <c r="AL436" i="1"/>
  <c r="AL437" i="1"/>
  <c r="AL438" i="1"/>
  <c r="AL439" i="1"/>
  <c r="AL440" i="1"/>
  <c r="AL441" i="1"/>
  <c r="AL442" i="1"/>
  <c r="AL443" i="1"/>
  <c r="AL444" i="1"/>
  <c r="AL445" i="1"/>
  <c r="AL446" i="1"/>
  <c r="AL447" i="1"/>
  <c r="AL448" i="1"/>
  <c r="AL449" i="1"/>
  <c r="AL450" i="1"/>
  <c r="AL451" i="1"/>
  <c r="AL452" i="1"/>
  <c r="AL453" i="1"/>
  <c r="AL454" i="1"/>
  <c r="AL455" i="1"/>
  <c r="AL456" i="1"/>
  <c r="AL457" i="1"/>
  <c r="AL458" i="1"/>
  <c r="AL459" i="1"/>
  <c r="AL460" i="1"/>
  <c r="AL461" i="1"/>
  <c r="AL462" i="1"/>
  <c r="AL463" i="1"/>
  <c r="AL464" i="1"/>
  <c r="AL465" i="1"/>
  <c r="AL466" i="1"/>
  <c r="AL467" i="1"/>
  <c r="AL468" i="1"/>
  <c r="AL469" i="1"/>
  <c r="AL470" i="1"/>
  <c r="AL471" i="1"/>
  <c r="AL472" i="1"/>
  <c r="AL473" i="1"/>
  <c r="AL474" i="1"/>
  <c r="AL475" i="1"/>
  <c r="AL476" i="1"/>
  <c r="AL477" i="1"/>
  <c r="AL478" i="1"/>
  <c r="AL479" i="1"/>
  <c r="AL480" i="1"/>
  <c r="AL481" i="1"/>
  <c r="AL482" i="1"/>
  <c r="AL483" i="1"/>
  <c r="AL484" i="1"/>
  <c r="AL485" i="1"/>
  <c r="AL486" i="1"/>
  <c r="AL487" i="1"/>
  <c r="AL488" i="1"/>
  <c r="AL489" i="1"/>
  <c r="AL490" i="1"/>
  <c r="AL491" i="1"/>
  <c r="AL492" i="1"/>
  <c r="AL493" i="1"/>
  <c r="AL494" i="1"/>
  <c r="AL495" i="1"/>
  <c r="AL496" i="1"/>
  <c r="AL497" i="1"/>
  <c r="AL498" i="1"/>
  <c r="AL499" i="1"/>
  <c r="AL500" i="1"/>
  <c r="AL501" i="1"/>
  <c r="AL502" i="1"/>
  <c r="AL503" i="1"/>
  <c r="AL504" i="1"/>
  <c r="AL505" i="1"/>
  <c r="AL506" i="1"/>
  <c r="AL507" i="1"/>
  <c r="AL508" i="1"/>
  <c r="AL509" i="1"/>
  <c r="AL510" i="1"/>
  <c r="AL511" i="1"/>
  <c r="AL512" i="1"/>
  <c r="AL513" i="1"/>
  <c r="AL514" i="1"/>
  <c r="AL515" i="1"/>
  <c r="AL516" i="1"/>
  <c r="AL517" i="1"/>
  <c r="AL518" i="1"/>
  <c r="AL519" i="1"/>
  <c r="AL520" i="1"/>
  <c r="AL521" i="1"/>
  <c r="AL522" i="1"/>
  <c r="AL523" i="1"/>
  <c r="AL524" i="1"/>
  <c r="AL525" i="1"/>
  <c r="AL526" i="1"/>
  <c r="AL527" i="1"/>
  <c r="AL528" i="1"/>
  <c r="AL529" i="1"/>
  <c r="AL530" i="1"/>
  <c r="AL531" i="1"/>
  <c r="AL532" i="1"/>
  <c r="AL533" i="1"/>
  <c r="AL534" i="1"/>
  <c r="AL535" i="1"/>
  <c r="AL536" i="1"/>
  <c r="AL537" i="1"/>
  <c r="AL538" i="1"/>
  <c r="AL539" i="1"/>
  <c r="AL540" i="1"/>
  <c r="AL541" i="1"/>
  <c r="AL542" i="1"/>
  <c r="AL543" i="1"/>
  <c r="AL544" i="1"/>
  <c r="AL545" i="1"/>
  <c r="AL546" i="1"/>
  <c r="AL547" i="1"/>
  <c r="AL548" i="1"/>
  <c r="AL549" i="1"/>
  <c r="AL550" i="1"/>
  <c r="AL551" i="1"/>
  <c r="AL552" i="1"/>
  <c r="AL553" i="1"/>
  <c r="AL554" i="1"/>
  <c r="AL555" i="1"/>
  <c r="AL556" i="1"/>
  <c r="AL557" i="1"/>
  <c r="AL558" i="1"/>
  <c r="AL559" i="1"/>
  <c r="AL560" i="1"/>
  <c r="AL561" i="1"/>
  <c r="AL562" i="1"/>
  <c r="AL563" i="1"/>
  <c r="AL564" i="1"/>
  <c r="AL565" i="1"/>
  <c r="AL566" i="1"/>
  <c r="AL567" i="1"/>
  <c r="AL568" i="1"/>
  <c r="AL569" i="1"/>
  <c r="AL570" i="1"/>
  <c r="AL571" i="1"/>
  <c r="AL572" i="1"/>
  <c r="AL573" i="1"/>
  <c r="AL574" i="1"/>
  <c r="AL575" i="1"/>
  <c r="AL576" i="1"/>
  <c r="AL577" i="1"/>
  <c r="AL578" i="1"/>
  <c r="AL579" i="1"/>
  <c r="AL580" i="1"/>
  <c r="AL581" i="1"/>
  <c r="AL582" i="1"/>
  <c r="AL583" i="1"/>
  <c r="AL584" i="1"/>
  <c r="AL585" i="1"/>
  <c r="AL586" i="1"/>
  <c r="AL587" i="1"/>
  <c r="AL588" i="1"/>
  <c r="AL589" i="1"/>
  <c r="AL590" i="1"/>
  <c r="AL591" i="1"/>
  <c r="AL592" i="1"/>
  <c r="AL593" i="1"/>
  <c r="AL594" i="1"/>
  <c r="AL595" i="1"/>
  <c r="AL596" i="1"/>
  <c r="AL597" i="1"/>
  <c r="AL598" i="1"/>
  <c r="AL599" i="1"/>
  <c r="AL600" i="1"/>
  <c r="AL601" i="1"/>
  <c r="AL602" i="1"/>
  <c r="AL603" i="1"/>
  <c r="AL604" i="1"/>
  <c r="AL605" i="1"/>
  <c r="AL606" i="1"/>
  <c r="AL607" i="1"/>
  <c r="AL608" i="1"/>
  <c r="AL609" i="1"/>
  <c r="AL610" i="1"/>
  <c r="AL611" i="1"/>
  <c r="AL612" i="1"/>
  <c r="AL613" i="1"/>
  <c r="AL614" i="1"/>
  <c r="AL615" i="1"/>
  <c r="AL616" i="1"/>
  <c r="AL617" i="1"/>
  <c r="AL618" i="1"/>
  <c r="AL619" i="1"/>
  <c r="AL620" i="1"/>
  <c r="AL621" i="1"/>
  <c r="AL622" i="1"/>
  <c r="AL623" i="1"/>
  <c r="AL624" i="1"/>
  <c r="AL625" i="1"/>
  <c r="AL626" i="1"/>
  <c r="AL627" i="1"/>
  <c r="AL628" i="1"/>
  <c r="AL629" i="1"/>
  <c r="AL630" i="1"/>
  <c r="AL631" i="1"/>
  <c r="AL632" i="1"/>
  <c r="AL633" i="1"/>
  <c r="AL634" i="1"/>
  <c r="AL635" i="1"/>
  <c r="AL636" i="1"/>
  <c r="AL637" i="1"/>
  <c r="AL638" i="1"/>
  <c r="AL639" i="1"/>
  <c r="AL640" i="1"/>
  <c r="AL641" i="1"/>
  <c r="AL642" i="1"/>
  <c r="AL643" i="1"/>
  <c r="AL644" i="1"/>
  <c r="AL645" i="1"/>
  <c r="AL646" i="1"/>
  <c r="AL647" i="1"/>
  <c r="AL648" i="1"/>
  <c r="AL649" i="1"/>
  <c r="AL650" i="1"/>
  <c r="AL651" i="1"/>
  <c r="AL652" i="1"/>
  <c r="AL653" i="1"/>
  <c r="AL654" i="1"/>
  <c r="AL655" i="1"/>
  <c r="AL656" i="1"/>
  <c r="AL657" i="1"/>
  <c r="AL658" i="1"/>
  <c r="AL659" i="1"/>
  <c r="AL660" i="1"/>
  <c r="AL661" i="1"/>
  <c r="AL662" i="1"/>
  <c r="AL663" i="1"/>
  <c r="AL664" i="1"/>
  <c r="AL665" i="1"/>
  <c r="AL666" i="1"/>
  <c r="AL667" i="1"/>
  <c r="AL668" i="1"/>
  <c r="AL669" i="1"/>
  <c r="AL670" i="1"/>
  <c r="AL671" i="1"/>
  <c r="AL672" i="1"/>
  <c r="AL673" i="1"/>
  <c r="AL674" i="1"/>
  <c r="AL675" i="1"/>
  <c r="AL676" i="1"/>
  <c r="AL677" i="1"/>
  <c r="AL678" i="1"/>
  <c r="AL679" i="1"/>
  <c r="AL680" i="1"/>
  <c r="AL681" i="1"/>
  <c r="AL682" i="1"/>
  <c r="AL683" i="1"/>
  <c r="AL684" i="1"/>
  <c r="AL685" i="1"/>
  <c r="AL686" i="1"/>
  <c r="AL687" i="1"/>
  <c r="AL688" i="1"/>
  <c r="AL689" i="1"/>
  <c r="AL690" i="1"/>
  <c r="AL691" i="1"/>
  <c r="AL692" i="1"/>
  <c r="AL693" i="1"/>
  <c r="AL694" i="1"/>
  <c r="AL695" i="1"/>
  <c r="AL696" i="1"/>
  <c r="AL697" i="1"/>
  <c r="AL698" i="1"/>
  <c r="AL699" i="1"/>
  <c r="AL700" i="1"/>
  <c r="AL701" i="1"/>
  <c r="AL702" i="1"/>
  <c r="AL703" i="1"/>
  <c r="AL704" i="1"/>
  <c r="AL705" i="1"/>
  <c r="AL706" i="1"/>
  <c r="AL707" i="1"/>
  <c r="AL708" i="1"/>
  <c r="AL709" i="1"/>
  <c r="AL710" i="1"/>
  <c r="AL711" i="1"/>
  <c r="AL712" i="1"/>
  <c r="AL713" i="1"/>
  <c r="AL714" i="1"/>
  <c r="AL715" i="1"/>
  <c r="AL716" i="1"/>
  <c r="AL717" i="1"/>
  <c r="AL718" i="1"/>
  <c r="AL719" i="1"/>
  <c r="AL720" i="1"/>
  <c r="AL721" i="1"/>
  <c r="AL722" i="1"/>
  <c r="AL723" i="1"/>
  <c r="AL724" i="1"/>
  <c r="AL725" i="1"/>
  <c r="AL726" i="1"/>
  <c r="AL727" i="1"/>
  <c r="AL728" i="1"/>
  <c r="AL729" i="1"/>
  <c r="AL730" i="1"/>
  <c r="AL731" i="1"/>
  <c r="AL732" i="1"/>
  <c r="AL733" i="1"/>
  <c r="AL734" i="1"/>
  <c r="AL735" i="1"/>
  <c r="AL736" i="1"/>
  <c r="AL737" i="1"/>
  <c r="AL738" i="1"/>
  <c r="AL739" i="1"/>
  <c r="AL740" i="1"/>
  <c r="AL741" i="1"/>
  <c r="AL742" i="1"/>
  <c r="AL743" i="1"/>
  <c r="AL744" i="1"/>
  <c r="AL745" i="1"/>
  <c r="AL746" i="1"/>
  <c r="AL747" i="1"/>
  <c r="AL748" i="1"/>
  <c r="AL749" i="1"/>
  <c r="AL750" i="1"/>
  <c r="AL751" i="1"/>
  <c r="AL752" i="1"/>
  <c r="AL753" i="1"/>
  <c r="AL754" i="1"/>
  <c r="AL755" i="1"/>
  <c r="AL756" i="1"/>
  <c r="AL757" i="1"/>
  <c r="AL758" i="1"/>
  <c r="AL759" i="1"/>
  <c r="AL760" i="1"/>
  <c r="AL761" i="1"/>
  <c r="AL762" i="1"/>
  <c r="AL763" i="1"/>
  <c r="AL764" i="1"/>
  <c r="AL765" i="1"/>
  <c r="AL766" i="1"/>
  <c r="AL767" i="1"/>
  <c r="AL768" i="1"/>
  <c r="AL769" i="1"/>
  <c r="AL770" i="1"/>
  <c r="AL771" i="1"/>
  <c r="AL772" i="1"/>
  <c r="AL773" i="1"/>
  <c r="AL774" i="1"/>
  <c r="AL775" i="1"/>
  <c r="AL776" i="1"/>
  <c r="AL777" i="1"/>
  <c r="AL778" i="1"/>
  <c r="AL779" i="1"/>
  <c r="AL780" i="1"/>
  <c r="AL781" i="1"/>
  <c r="AL782" i="1"/>
  <c r="AL783" i="1"/>
  <c r="AL784" i="1"/>
  <c r="AL785" i="1"/>
  <c r="AL786" i="1"/>
  <c r="AL787" i="1"/>
  <c r="AL788" i="1"/>
  <c r="AL789" i="1"/>
  <c r="AL790" i="1"/>
  <c r="AL791" i="1"/>
  <c r="AL792" i="1"/>
  <c r="AL793" i="1"/>
  <c r="AL794" i="1"/>
  <c r="AL795" i="1"/>
  <c r="AL796" i="1"/>
  <c r="AL797" i="1"/>
  <c r="AL798" i="1"/>
  <c r="AL799" i="1"/>
  <c r="AL800" i="1"/>
  <c r="AL801" i="1"/>
  <c r="AL802" i="1"/>
  <c r="AL803" i="1"/>
  <c r="AL804" i="1"/>
  <c r="AL805" i="1"/>
  <c r="AL806" i="1"/>
  <c r="AL807" i="1"/>
  <c r="AL808" i="1"/>
  <c r="AL809" i="1"/>
  <c r="AL810" i="1"/>
  <c r="AL811" i="1"/>
  <c r="AL812" i="1"/>
  <c r="AL813" i="1"/>
  <c r="AL814" i="1"/>
  <c r="AL815" i="1"/>
  <c r="AL816" i="1"/>
  <c r="AL817" i="1"/>
  <c r="AL818" i="1"/>
  <c r="AL819" i="1"/>
  <c r="AL820" i="1"/>
  <c r="AL821" i="1"/>
  <c r="AL822" i="1"/>
  <c r="AL823" i="1"/>
  <c r="AL824" i="1"/>
  <c r="AL825" i="1"/>
  <c r="AL826" i="1"/>
  <c r="AL827" i="1"/>
  <c r="AL828" i="1"/>
  <c r="AL829" i="1"/>
  <c r="AL830" i="1"/>
  <c r="AL831" i="1"/>
  <c r="AL832" i="1"/>
  <c r="AL833" i="1"/>
  <c r="AL834" i="1"/>
  <c r="AL835" i="1"/>
  <c r="AL836" i="1"/>
  <c r="AL837" i="1"/>
  <c r="AL838" i="1"/>
  <c r="AL839" i="1"/>
  <c r="AL840" i="1"/>
  <c r="AL841" i="1"/>
  <c r="AL842" i="1"/>
  <c r="AL843" i="1"/>
  <c r="AL844" i="1"/>
  <c r="AL845" i="1"/>
  <c r="AL846" i="1"/>
  <c r="AL847" i="1"/>
  <c r="AL848" i="1"/>
  <c r="AL849" i="1"/>
  <c r="AL850" i="1"/>
  <c r="AL851" i="1"/>
  <c r="AL852" i="1"/>
  <c r="AL853" i="1"/>
  <c r="AL854" i="1"/>
  <c r="AL855" i="1"/>
  <c r="AL856" i="1"/>
  <c r="AL857" i="1"/>
  <c r="AL858" i="1"/>
  <c r="AL859" i="1"/>
  <c r="AL860" i="1"/>
  <c r="AL861" i="1"/>
  <c r="AL862" i="1"/>
  <c r="AL863" i="1"/>
  <c r="AL864" i="1"/>
  <c r="AL865" i="1"/>
  <c r="AL866" i="1"/>
  <c r="AL867" i="1"/>
  <c r="AL868" i="1"/>
  <c r="AL869" i="1"/>
  <c r="AL870" i="1"/>
  <c r="AL871" i="1"/>
  <c r="AL872" i="1"/>
  <c r="AL873" i="1"/>
  <c r="AL874" i="1"/>
  <c r="AL875" i="1"/>
  <c r="AL876" i="1"/>
  <c r="AL877" i="1"/>
  <c r="AL878" i="1"/>
  <c r="AL879" i="1"/>
  <c r="AL880" i="1"/>
  <c r="AL881" i="1"/>
  <c r="AL882" i="1"/>
  <c r="AL883" i="1"/>
  <c r="AL884" i="1"/>
  <c r="AL885" i="1"/>
  <c r="AL886" i="1"/>
  <c r="AL887" i="1"/>
  <c r="AL888" i="1"/>
  <c r="AL889" i="1"/>
  <c r="AL890" i="1"/>
  <c r="AL891" i="1"/>
  <c r="AL892" i="1"/>
  <c r="AL893" i="1"/>
  <c r="AL894" i="1"/>
  <c r="AL895" i="1"/>
  <c r="AL896" i="1"/>
  <c r="AL897" i="1"/>
  <c r="AL898" i="1"/>
  <c r="AL899" i="1"/>
  <c r="AL900" i="1"/>
  <c r="AL901" i="1"/>
  <c r="AL902" i="1"/>
  <c r="AL903" i="1"/>
  <c r="AL904" i="1"/>
  <c r="AL905" i="1"/>
  <c r="AL906" i="1"/>
  <c r="AL907" i="1"/>
  <c r="AL908" i="1"/>
  <c r="AL909" i="1"/>
  <c r="AL910" i="1"/>
  <c r="AL911" i="1"/>
  <c r="AL912" i="1"/>
  <c r="AL913" i="1"/>
  <c r="AL914" i="1"/>
  <c r="AL915" i="1"/>
  <c r="AL916" i="1"/>
  <c r="AL917" i="1"/>
  <c r="AL918" i="1"/>
  <c r="AL919" i="1"/>
  <c r="AL920" i="1"/>
  <c r="AL921" i="1"/>
  <c r="AL922" i="1"/>
  <c r="AL923" i="1"/>
  <c r="AL924" i="1"/>
  <c r="AL925" i="1"/>
  <c r="AL926" i="1"/>
  <c r="AL927" i="1"/>
  <c r="AL928" i="1"/>
  <c r="AL929" i="1"/>
  <c r="AL930" i="1"/>
  <c r="AL931" i="1"/>
  <c r="AL932" i="1"/>
  <c r="AL933" i="1"/>
  <c r="AL934" i="1"/>
  <c r="AL935" i="1"/>
  <c r="AL936" i="1"/>
  <c r="AL937" i="1"/>
  <c r="AL938" i="1"/>
  <c r="AL939" i="1"/>
  <c r="AL940" i="1"/>
  <c r="AL941" i="1"/>
  <c r="AL942" i="1"/>
  <c r="AL943" i="1"/>
  <c r="AL944" i="1"/>
  <c r="AL945" i="1"/>
  <c r="AL946" i="1"/>
  <c r="AL947" i="1"/>
  <c r="AL948" i="1"/>
  <c r="AL949" i="1"/>
  <c r="AL950" i="1"/>
  <c r="AL951" i="1"/>
  <c r="AL952" i="1"/>
  <c r="AL953" i="1"/>
  <c r="AL954" i="1"/>
  <c r="AL955" i="1"/>
  <c r="AL956" i="1"/>
  <c r="AL957" i="1"/>
  <c r="AL958" i="1"/>
  <c r="AL959" i="1"/>
  <c r="AL960" i="1"/>
  <c r="AL961" i="1"/>
  <c r="AL962" i="1"/>
  <c r="AL963" i="1"/>
  <c r="AL964" i="1"/>
  <c r="AL965" i="1"/>
  <c r="AL966" i="1"/>
  <c r="AL967" i="1"/>
  <c r="AL968" i="1"/>
  <c r="AL969" i="1"/>
  <c r="AL970" i="1"/>
  <c r="AL971" i="1"/>
  <c r="AL972" i="1"/>
  <c r="AL973" i="1"/>
  <c r="AL974" i="1"/>
  <c r="AL975" i="1"/>
  <c r="AL976" i="1"/>
  <c r="AL977" i="1"/>
  <c r="AL978" i="1"/>
  <c r="AL979" i="1"/>
  <c r="AL980" i="1"/>
  <c r="AL981" i="1"/>
  <c r="AL982" i="1"/>
  <c r="AL983" i="1"/>
  <c r="AL984" i="1"/>
  <c r="AL985" i="1"/>
  <c r="AL986" i="1"/>
  <c r="AL987" i="1"/>
  <c r="AL988" i="1"/>
  <c r="AL989" i="1"/>
  <c r="AL990" i="1"/>
  <c r="AL991" i="1"/>
  <c r="AL992" i="1"/>
  <c r="AL993" i="1"/>
  <c r="AL994" i="1"/>
  <c r="AL995" i="1"/>
  <c r="AL996" i="1"/>
  <c r="AL997" i="1"/>
  <c r="AL998" i="1"/>
  <c r="AL999" i="1"/>
  <c r="AL1000" i="1"/>
  <c r="AL1001" i="1"/>
  <c r="AL1002" i="1"/>
  <c r="AL1003" i="1"/>
  <c r="AL1004" i="1"/>
  <c r="AL1005" i="1"/>
  <c r="AL1006" i="1"/>
  <c r="AL1007" i="1"/>
  <c r="AL1008" i="1"/>
  <c r="AL1009" i="1"/>
  <c r="AL1010" i="1"/>
  <c r="AL1011" i="1"/>
  <c r="AL1012" i="1"/>
  <c r="AL1013" i="1"/>
  <c r="AL1014" i="1"/>
  <c r="AL1015" i="1"/>
  <c r="AL1016" i="1"/>
  <c r="AL1017" i="1"/>
  <c r="AL1018" i="1"/>
  <c r="AL1019" i="1"/>
  <c r="AL1020" i="1"/>
  <c r="AL1021" i="1"/>
  <c r="AL1022" i="1"/>
  <c r="AL1023" i="1"/>
  <c r="AL1024" i="1"/>
  <c r="AL1025" i="1"/>
  <c r="AL1026" i="1"/>
  <c r="AL1027" i="1"/>
  <c r="AL1028" i="1"/>
  <c r="AL1029" i="1"/>
  <c r="AL1030" i="1"/>
  <c r="AL1031" i="1"/>
  <c r="AL1032" i="1"/>
  <c r="AL1033" i="1"/>
  <c r="AL1034" i="1"/>
  <c r="AL1035" i="1"/>
  <c r="AL1036" i="1"/>
  <c r="AL1037" i="1"/>
  <c r="AL1038" i="1"/>
  <c r="AL1039" i="1"/>
  <c r="AL1040" i="1"/>
  <c r="AL1041" i="1"/>
  <c r="AL1042" i="1"/>
  <c r="AL1043" i="1"/>
  <c r="AL1044" i="1"/>
  <c r="AL1045" i="1"/>
  <c r="AL1046" i="1"/>
  <c r="AL1047" i="1"/>
  <c r="AL1048" i="1"/>
  <c r="AL1049" i="1"/>
  <c r="AL1050" i="1"/>
  <c r="AL1051" i="1"/>
  <c r="AL1052" i="1"/>
  <c r="AL1053" i="1"/>
  <c r="AL1054" i="1"/>
  <c r="AL1055" i="1"/>
  <c r="AL1056" i="1"/>
  <c r="AL1057" i="1"/>
  <c r="AL1058" i="1"/>
  <c r="AL1059" i="1"/>
  <c r="AL1060" i="1"/>
  <c r="AL1061" i="1"/>
  <c r="AL1062" i="1"/>
  <c r="AL1063" i="1"/>
  <c r="AL1064" i="1"/>
  <c r="AL1065" i="1"/>
  <c r="AL1066" i="1"/>
  <c r="AL1067" i="1"/>
  <c r="AL1068" i="1"/>
  <c r="AL1069" i="1"/>
  <c r="AL1070" i="1"/>
  <c r="AL1071" i="1"/>
  <c r="AL1072" i="1"/>
  <c r="AL1073" i="1"/>
  <c r="AL1074" i="1"/>
  <c r="AL1075" i="1"/>
  <c r="AL1076" i="1"/>
  <c r="AL1077" i="1"/>
  <c r="AL1078" i="1"/>
  <c r="AL1079" i="1"/>
  <c r="AL1080" i="1"/>
  <c r="AL1081" i="1"/>
  <c r="AL1082" i="1"/>
  <c r="AL1083" i="1"/>
  <c r="AL1084" i="1"/>
  <c r="AL1085" i="1"/>
  <c r="AL1086" i="1"/>
  <c r="AL1087" i="1"/>
  <c r="AL1088" i="1"/>
  <c r="AL1089" i="1"/>
  <c r="AL1090" i="1"/>
  <c r="AL1091" i="1"/>
  <c r="AL1092" i="1"/>
  <c r="AL1093" i="1"/>
  <c r="AL1094" i="1"/>
  <c r="AL1095" i="1"/>
  <c r="AL1096" i="1"/>
  <c r="AL1097" i="1"/>
  <c r="AL1098" i="1"/>
  <c r="AL1099" i="1"/>
  <c r="AL1100" i="1"/>
  <c r="AL1101" i="1"/>
  <c r="AL1102" i="1"/>
  <c r="AL1103" i="1"/>
  <c r="AL1104" i="1"/>
  <c r="AL1105" i="1"/>
  <c r="AL1106" i="1"/>
  <c r="AL1107" i="1"/>
  <c r="AL1108" i="1"/>
  <c r="AL1109" i="1"/>
  <c r="AL1110" i="1"/>
  <c r="AL1111" i="1"/>
  <c r="AL1112" i="1"/>
  <c r="AL1113" i="1"/>
  <c r="AL1114" i="1"/>
  <c r="AL1115" i="1"/>
  <c r="AL1116" i="1"/>
  <c r="AL1117" i="1"/>
  <c r="AL1118" i="1"/>
  <c r="AL1119" i="1"/>
  <c r="AL1120" i="1"/>
  <c r="AL1121" i="1"/>
  <c r="AL1122" i="1"/>
  <c r="AL1123" i="1"/>
  <c r="AL1124" i="1"/>
  <c r="AL1125" i="1"/>
  <c r="AL1126" i="1"/>
  <c r="AL1127" i="1"/>
  <c r="AL1128" i="1"/>
  <c r="AL1129" i="1"/>
  <c r="AL1130" i="1"/>
  <c r="AL1131" i="1"/>
  <c r="AL1132" i="1"/>
  <c r="AL1133" i="1"/>
  <c r="AL1134" i="1"/>
  <c r="AL1135" i="1"/>
  <c r="AL1136" i="1"/>
  <c r="AL1137" i="1"/>
  <c r="AL1138" i="1"/>
  <c r="AL1139" i="1"/>
  <c r="AL1140" i="1"/>
  <c r="AL1141" i="1"/>
  <c r="AL1142" i="1"/>
  <c r="AL1143" i="1"/>
  <c r="AL1144" i="1"/>
  <c r="AL1145" i="1"/>
  <c r="AL1146" i="1"/>
  <c r="AL1147" i="1"/>
  <c r="AL1148" i="1"/>
  <c r="AL1149" i="1"/>
  <c r="AL1150" i="1"/>
  <c r="AL1151" i="1"/>
  <c r="AL1152" i="1"/>
  <c r="AL1153" i="1"/>
  <c r="AL1154" i="1"/>
  <c r="AL1155" i="1"/>
  <c r="AL1156" i="1"/>
  <c r="AL1157" i="1"/>
  <c r="AL1158" i="1"/>
  <c r="AL1159" i="1"/>
  <c r="AL1160" i="1"/>
  <c r="AL1161" i="1"/>
  <c r="AL1162" i="1"/>
  <c r="AL1163" i="1"/>
  <c r="AL1164" i="1"/>
  <c r="AL1165" i="1"/>
  <c r="AL1166" i="1"/>
  <c r="AL1167" i="1"/>
  <c r="AL1168" i="1"/>
  <c r="AL1169" i="1"/>
  <c r="AL1170" i="1"/>
  <c r="AL1171" i="1"/>
  <c r="AL1172" i="1"/>
  <c r="AL1173" i="1"/>
  <c r="AL1174" i="1"/>
  <c r="AL1175" i="1"/>
  <c r="AL1176" i="1"/>
  <c r="AL1177" i="1"/>
  <c r="AL1178" i="1"/>
  <c r="AL1179" i="1"/>
  <c r="AL1180" i="1"/>
  <c r="AL1181" i="1"/>
  <c r="AL1182" i="1"/>
  <c r="AL1183" i="1"/>
  <c r="AL1184" i="1"/>
  <c r="AL1185" i="1"/>
  <c r="AL1186" i="1"/>
  <c r="AL1187" i="1"/>
  <c r="AL1188" i="1"/>
  <c r="AL1189" i="1"/>
  <c r="AL1190" i="1"/>
  <c r="AL1191" i="1"/>
  <c r="AL1192" i="1"/>
  <c r="AL1193" i="1"/>
  <c r="AL1194" i="1"/>
  <c r="AL1195" i="1"/>
  <c r="AL1196" i="1"/>
  <c r="AL1197" i="1"/>
  <c r="AL1198" i="1"/>
  <c r="AL1199" i="1"/>
  <c r="AL1200" i="1"/>
  <c r="AL1201" i="1"/>
  <c r="AL1202" i="1"/>
  <c r="AL1203" i="1"/>
  <c r="AL1204" i="1"/>
  <c r="AL1205" i="1"/>
  <c r="AL1206" i="1"/>
  <c r="AL1207" i="1"/>
  <c r="AL1208" i="1"/>
  <c r="AL1209" i="1"/>
  <c r="AL1210" i="1"/>
  <c r="AL1211" i="1"/>
  <c r="AL1212" i="1"/>
  <c r="AL1213" i="1"/>
  <c r="AL1214" i="1"/>
  <c r="AL1215" i="1"/>
  <c r="AL1216" i="1"/>
  <c r="AL1217" i="1"/>
  <c r="AL1218" i="1"/>
  <c r="AL1219" i="1"/>
  <c r="AL1220" i="1"/>
  <c r="AL1221" i="1"/>
  <c r="AL1222" i="1"/>
  <c r="AL1223" i="1"/>
  <c r="AL1224" i="1"/>
  <c r="AL1225" i="1"/>
  <c r="AL1226" i="1"/>
  <c r="AL1227" i="1"/>
  <c r="AL1228" i="1"/>
  <c r="AL1229" i="1"/>
  <c r="AL1230" i="1"/>
  <c r="AL1231" i="1"/>
  <c r="AL1232" i="1"/>
  <c r="AL1233" i="1"/>
  <c r="AL1234" i="1"/>
  <c r="AL1235" i="1"/>
  <c r="AL1236" i="1"/>
  <c r="AL1237" i="1"/>
  <c r="AL1238" i="1"/>
  <c r="AL1239" i="1"/>
  <c r="AL1240" i="1"/>
  <c r="AL1241" i="1"/>
  <c r="AL1242" i="1"/>
  <c r="AL1243" i="1"/>
  <c r="AL1244" i="1"/>
  <c r="AL1245" i="1"/>
  <c r="AL1246" i="1"/>
  <c r="AL1247" i="1"/>
  <c r="AL1248" i="1"/>
  <c r="AL1249" i="1"/>
  <c r="AL1250" i="1"/>
  <c r="AL1251" i="1"/>
  <c r="AL1252" i="1"/>
  <c r="AL1253" i="1"/>
  <c r="AL1254" i="1"/>
  <c r="AL1255" i="1"/>
  <c r="AL1256" i="1"/>
  <c r="AL1257" i="1"/>
  <c r="AL1258" i="1"/>
  <c r="AL1259" i="1"/>
  <c r="AL1260" i="1"/>
  <c r="AL1261" i="1"/>
  <c r="AL1262" i="1"/>
  <c r="AL1263" i="1"/>
  <c r="AL1264" i="1"/>
  <c r="AL1265" i="1"/>
  <c r="AL1266" i="1"/>
  <c r="AL1267" i="1"/>
  <c r="AL1268" i="1"/>
  <c r="AL1269" i="1"/>
  <c r="AL1270" i="1"/>
  <c r="AL1271" i="1"/>
  <c r="AL1272" i="1"/>
  <c r="AL1273" i="1"/>
  <c r="AL1274" i="1"/>
  <c r="AL1275" i="1"/>
  <c r="AL1276" i="1"/>
  <c r="AL1277" i="1"/>
  <c r="AL1278" i="1"/>
  <c r="AL1279" i="1"/>
  <c r="AL1280" i="1"/>
  <c r="AL1281" i="1"/>
  <c r="AL1282" i="1"/>
  <c r="AL1283" i="1"/>
  <c r="AL1284" i="1"/>
  <c r="AL1285" i="1"/>
  <c r="AL1286" i="1"/>
  <c r="AL1287" i="1"/>
  <c r="AL1288" i="1"/>
  <c r="AL1289" i="1"/>
  <c r="AL1290" i="1"/>
  <c r="AL1291" i="1"/>
  <c r="AL1292" i="1"/>
  <c r="AL1293" i="1"/>
  <c r="AL1294" i="1"/>
  <c r="AL1295" i="1"/>
  <c r="AL1296" i="1"/>
  <c r="AL1297" i="1"/>
  <c r="AL1298" i="1"/>
  <c r="AL1299" i="1"/>
  <c r="AL1300" i="1"/>
  <c r="AL1301" i="1"/>
  <c r="AL1302" i="1"/>
  <c r="AL1303" i="1"/>
  <c r="AL1304" i="1"/>
  <c r="AL1305" i="1"/>
  <c r="AL1306" i="1"/>
  <c r="AL1307" i="1"/>
  <c r="AL1308" i="1"/>
  <c r="AL1309" i="1"/>
  <c r="AL1310" i="1"/>
  <c r="AL1311" i="1"/>
  <c r="AL1312" i="1"/>
  <c r="AL1313" i="1"/>
  <c r="AL1314" i="1"/>
  <c r="AL1315" i="1"/>
  <c r="AL1316" i="1"/>
  <c r="AL1317" i="1"/>
  <c r="AL1318" i="1"/>
  <c r="AL1319" i="1"/>
  <c r="AL1320" i="1"/>
  <c r="AL1321" i="1"/>
  <c r="AL1322" i="1"/>
  <c r="AL1323" i="1"/>
  <c r="AL1324" i="1"/>
  <c r="AL1325" i="1"/>
  <c r="AL1326" i="1"/>
  <c r="AL1327" i="1"/>
  <c r="AL1328" i="1"/>
  <c r="AL1329" i="1"/>
  <c r="AL1330" i="1"/>
  <c r="AL1331" i="1"/>
  <c r="AL1332" i="1"/>
  <c r="AL1333" i="1"/>
  <c r="AL1334" i="1"/>
  <c r="AL1335" i="1"/>
  <c r="AL1336" i="1"/>
  <c r="AL1337" i="1"/>
  <c r="AL1338" i="1"/>
  <c r="AL1339" i="1"/>
  <c r="AL1340" i="1"/>
  <c r="AL1341" i="1"/>
  <c r="AL1342" i="1"/>
  <c r="AL1343" i="1"/>
  <c r="AL1344" i="1"/>
  <c r="AL1345" i="1"/>
  <c r="AL1346" i="1"/>
  <c r="AL1347" i="1"/>
  <c r="AL1348" i="1"/>
  <c r="AL1349" i="1"/>
  <c r="AL1350" i="1"/>
  <c r="AL1351" i="1"/>
  <c r="AL1352" i="1"/>
  <c r="AL1353" i="1"/>
  <c r="AL1354" i="1"/>
  <c r="AL1355" i="1"/>
  <c r="AL1356" i="1"/>
  <c r="AL1357" i="1"/>
  <c r="AL1358" i="1"/>
  <c r="AL1359" i="1"/>
  <c r="AL1360" i="1"/>
  <c r="AL1361" i="1"/>
  <c r="AL1362" i="1"/>
  <c r="AL1363" i="1"/>
  <c r="AL1364" i="1"/>
  <c r="AL1365" i="1"/>
  <c r="AL1366" i="1"/>
  <c r="AL1367" i="1"/>
  <c r="AL1368" i="1"/>
  <c r="AL1369" i="1"/>
  <c r="AL1370" i="1"/>
  <c r="AL1371" i="1"/>
  <c r="AL1372" i="1"/>
  <c r="AL1373" i="1"/>
  <c r="AL1374" i="1"/>
  <c r="AL1375" i="1"/>
  <c r="AL1376" i="1"/>
  <c r="AL1377" i="1"/>
  <c r="AL1378" i="1"/>
  <c r="AL1379" i="1"/>
  <c r="AL1380" i="1"/>
  <c r="AL1381" i="1"/>
  <c r="AL1382" i="1"/>
  <c r="AL1383" i="1"/>
  <c r="AL1384" i="1"/>
  <c r="AL1385" i="1"/>
  <c r="AL1386" i="1"/>
  <c r="AL1387" i="1"/>
  <c r="AL1388" i="1"/>
  <c r="AL1389" i="1"/>
  <c r="AL1390" i="1"/>
  <c r="AL1391" i="1"/>
  <c r="AL1392" i="1"/>
  <c r="AL1393" i="1"/>
  <c r="AL1394" i="1"/>
  <c r="AL1395" i="1"/>
  <c r="AL1396" i="1"/>
  <c r="AL1397" i="1"/>
  <c r="AL1398" i="1"/>
  <c r="AL1399" i="1"/>
  <c r="AL1400" i="1"/>
  <c r="AL1401" i="1"/>
  <c r="AL1402" i="1"/>
  <c r="AL1403" i="1"/>
  <c r="AL1404" i="1"/>
  <c r="AL1405" i="1"/>
  <c r="AL1406" i="1"/>
  <c r="AL1407" i="1"/>
  <c r="AL1408" i="1"/>
  <c r="AL1409" i="1"/>
  <c r="AL1410" i="1"/>
  <c r="AL1411" i="1"/>
  <c r="AL1412" i="1"/>
  <c r="AL1413" i="1"/>
  <c r="AL1414" i="1"/>
  <c r="AL1415" i="1"/>
  <c r="AL1416" i="1"/>
  <c r="AL1417" i="1"/>
  <c r="AL1418" i="1"/>
  <c r="AL1419" i="1"/>
  <c r="AL1420" i="1"/>
  <c r="AL1421" i="1"/>
  <c r="AL1422" i="1"/>
  <c r="AL1423" i="1"/>
  <c r="AL1424" i="1"/>
  <c r="AL1425" i="1"/>
  <c r="AL1426" i="1"/>
  <c r="AL1427" i="1"/>
  <c r="AL1428" i="1"/>
  <c r="AL1429" i="1"/>
  <c r="AL1430" i="1"/>
  <c r="AL1431" i="1"/>
  <c r="AL1432" i="1"/>
  <c r="AL1433" i="1"/>
  <c r="AL1434" i="1"/>
  <c r="AL1435" i="1"/>
  <c r="AL1436" i="1"/>
  <c r="AL1437" i="1"/>
  <c r="AL1438" i="1"/>
  <c r="AL1439" i="1"/>
  <c r="AL1440" i="1"/>
  <c r="AL1441" i="1"/>
  <c r="AL1442" i="1"/>
  <c r="AL1443" i="1"/>
  <c r="AL1444" i="1"/>
  <c r="AL1445" i="1"/>
  <c r="AL1446" i="1"/>
  <c r="AL1447" i="1"/>
  <c r="AL1448" i="1"/>
  <c r="AL1449" i="1"/>
  <c r="AL1450" i="1"/>
  <c r="AL1451" i="1"/>
  <c r="AL1452" i="1"/>
  <c r="AL1453" i="1"/>
  <c r="AL1454" i="1"/>
  <c r="AL1455" i="1"/>
  <c r="AL1456" i="1"/>
  <c r="AL1457" i="1"/>
  <c r="AL1458" i="1"/>
  <c r="AL1459" i="1"/>
  <c r="AL1460" i="1"/>
  <c r="AL1461" i="1"/>
  <c r="AL1462" i="1"/>
  <c r="AL1463" i="1"/>
  <c r="AL1464" i="1"/>
  <c r="AL1465" i="1"/>
  <c r="AL1466" i="1"/>
  <c r="AL1467" i="1"/>
  <c r="AL1468" i="1"/>
  <c r="AL1469" i="1"/>
  <c r="AL1470" i="1"/>
  <c r="AL1471" i="1"/>
  <c r="AK2" i="1"/>
  <c r="AK3" i="1"/>
  <c r="AK4" i="1"/>
  <c r="AK5" i="1"/>
  <c r="AK6" i="1"/>
  <c r="AK7" i="1"/>
  <c r="AK8" i="1"/>
  <c r="AK9" i="1"/>
  <c r="AK10" i="1"/>
  <c r="AK11" i="1"/>
  <c r="AK12" i="1"/>
  <c r="AK13" i="1"/>
  <c r="AK14" i="1"/>
  <c r="AK15" i="1"/>
  <c r="AK16" i="1"/>
  <c r="AK17" i="1"/>
  <c r="AK18" i="1"/>
  <c r="AK19" i="1"/>
  <c r="AK20" i="1"/>
  <c r="AK21" i="1"/>
  <c r="AK22" i="1"/>
  <c r="AK23" i="1"/>
  <c r="AK24" i="1"/>
  <c r="AK25" i="1"/>
  <c r="AK26" i="1"/>
  <c r="AK27" i="1"/>
  <c r="AK28" i="1"/>
  <c r="AK29" i="1"/>
  <c r="AK30" i="1"/>
  <c r="AK31" i="1"/>
  <c r="AK32" i="1"/>
  <c r="AK33" i="1"/>
  <c r="AK34" i="1"/>
  <c r="AK35" i="1"/>
  <c r="AK36" i="1"/>
  <c r="AK37" i="1"/>
  <c r="AK38" i="1"/>
  <c r="AK39" i="1"/>
  <c r="AK40" i="1"/>
  <c r="AK41" i="1"/>
  <c r="AK42" i="1"/>
  <c r="AK43" i="1"/>
  <c r="AK44" i="1"/>
  <c r="AK45" i="1"/>
  <c r="AK46" i="1"/>
  <c r="AK47" i="1"/>
  <c r="AK48" i="1"/>
  <c r="AK49" i="1"/>
  <c r="AK50" i="1"/>
  <c r="AK51" i="1"/>
  <c r="AK52" i="1"/>
  <c r="AK53" i="1"/>
  <c r="AK54" i="1"/>
  <c r="AK55" i="1"/>
  <c r="AK56" i="1"/>
  <c r="AK57" i="1"/>
  <c r="AK58" i="1"/>
  <c r="AK59" i="1"/>
  <c r="AK60" i="1"/>
  <c r="AK61" i="1"/>
  <c r="AK62" i="1"/>
  <c r="AK63" i="1"/>
  <c r="AK64" i="1"/>
  <c r="AK65" i="1"/>
  <c r="AK66" i="1"/>
  <c r="AK67" i="1"/>
  <c r="AK68" i="1"/>
  <c r="AK69" i="1"/>
  <c r="AK70" i="1"/>
  <c r="AK71" i="1"/>
  <c r="AK72" i="1"/>
  <c r="AK73" i="1"/>
  <c r="AK74" i="1"/>
  <c r="AK75" i="1"/>
  <c r="AK76" i="1"/>
  <c r="AK77" i="1"/>
  <c r="AK78" i="1"/>
  <c r="AK79" i="1"/>
  <c r="AK80" i="1"/>
  <c r="AK81" i="1"/>
  <c r="AK82" i="1"/>
  <c r="AK83" i="1"/>
  <c r="AK84" i="1"/>
  <c r="AK85" i="1"/>
  <c r="AK86" i="1"/>
  <c r="AK87" i="1"/>
  <c r="AK88" i="1"/>
  <c r="AK89" i="1"/>
  <c r="AK90" i="1"/>
  <c r="AK91" i="1"/>
  <c r="AK92" i="1"/>
  <c r="AK93" i="1"/>
  <c r="AK94" i="1"/>
  <c r="AK95" i="1"/>
  <c r="AK96" i="1"/>
  <c r="AK97" i="1"/>
  <c r="AK98" i="1"/>
  <c r="AK99" i="1"/>
  <c r="AK100" i="1"/>
  <c r="AK101" i="1"/>
  <c r="AK102" i="1"/>
  <c r="AK103" i="1"/>
  <c r="AK104" i="1"/>
  <c r="AK105" i="1"/>
  <c r="AK106" i="1"/>
  <c r="AK107" i="1"/>
  <c r="AK108" i="1"/>
  <c r="AK109" i="1"/>
  <c r="AK110" i="1"/>
  <c r="AK111" i="1"/>
  <c r="AK112" i="1"/>
  <c r="AK113" i="1"/>
  <c r="AK114" i="1"/>
  <c r="AK115" i="1"/>
  <c r="AK116" i="1"/>
  <c r="AK117" i="1"/>
  <c r="AK118" i="1"/>
  <c r="AK119" i="1"/>
  <c r="AK120" i="1"/>
  <c r="AK121" i="1"/>
  <c r="AK122" i="1"/>
  <c r="AK123" i="1"/>
  <c r="AK124" i="1"/>
  <c r="AK125" i="1"/>
  <c r="AK126" i="1"/>
  <c r="AK127" i="1"/>
  <c r="AK128" i="1"/>
  <c r="AK129" i="1"/>
  <c r="AK130" i="1"/>
  <c r="AK131" i="1"/>
  <c r="AK132" i="1"/>
  <c r="AK133" i="1"/>
  <c r="AK134" i="1"/>
  <c r="AK135" i="1"/>
  <c r="AK136" i="1"/>
  <c r="AK137" i="1"/>
  <c r="AK138" i="1"/>
  <c r="AK139" i="1"/>
  <c r="AK140" i="1"/>
  <c r="AK141" i="1"/>
  <c r="AK142" i="1"/>
  <c r="AK143" i="1"/>
  <c r="AK144" i="1"/>
  <c r="AK145" i="1"/>
  <c r="AK146" i="1"/>
  <c r="AK147" i="1"/>
  <c r="AK148" i="1"/>
  <c r="AK149" i="1"/>
  <c r="AK150" i="1"/>
  <c r="AK151" i="1"/>
  <c r="AK152" i="1"/>
  <c r="AK153" i="1"/>
  <c r="AK154" i="1"/>
  <c r="AK155" i="1"/>
  <c r="AK156" i="1"/>
  <c r="AK157" i="1"/>
  <c r="AK158" i="1"/>
  <c r="AK159" i="1"/>
  <c r="AK160" i="1"/>
  <c r="AK161" i="1"/>
  <c r="AK162" i="1"/>
  <c r="AK163" i="1"/>
  <c r="AK164" i="1"/>
  <c r="AK165" i="1"/>
  <c r="AK166" i="1"/>
  <c r="AK167" i="1"/>
  <c r="AK168" i="1"/>
  <c r="AK169" i="1"/>
  <c r="AK170" i="1"/>
  <c r="AK171" i="1"/>
  <c r="AK172" i="1"/>
  <c r="AK173" i="1"/>
  <c r="AK174" i="1"/>
  <c r="AK175" i="1"/>
  <c r="AK176" i="1"/>
  <c r="AK177" i="1"/>
  <c r="AK178" i="1"/>
  <c r="AK179" i="1"/>
  <c r="AK180" i="1"/>
  <c r="AK181" i="1"/>
  <c r="AK182" i="1"/>
  <c r="AK183" i="1"/>
  <c r="AK184" i="1"/>
  <c r="AK185" i="1"/>
  <c r="AK186" i="1"/>
  <c r="AK187" i="1"/>
  <c r="AK188" i="1"/>
  <c r="AK189" i="1"/>
  <c r="AK190" i="1"/>
  <c r="AK191" i="1"/>
  <c r="AK192" i="1"/>
  <c r="AK193" i="1"/>
  <c r="AK194" i="1"/>
  <c r="AK195" i="1"/>
  <c r="AK196" i="1"/>
  <c r="AK197" i="1"/>
  <c r="AK198" i="1"/>
  <c r="AK199" i="1"/>
  <c r="AK200" i="1"/>
  <c r="AK201" i="1"/>
  <c r="AK202" i="1"/>
  <c r="AK203" i="1"/>
  <c r="AK204" i="1"/>
  <c r="AK205" i="1"/>
  <c r="AK206" i="1"/>
  <c r="AK207" i="1"/>
  <c r="AK208" i="1"/>
  <c r="AK209" i="1"/>
  <c r="AK210" i="1"/>
  <c r="AK211" i="1"/>
  <c r="AK212" i="1"/>
  <c r="AK213" i="1"/>
  <c r="AK214" i="1"/>
  <c r="AK215" i="1"/>
  <c r="AK216" i="1"/>
  <c r="AK217" i="1"/>
  <c r="AK218" i="1"/>
  <c r="AK219" i="1"/>
  <c r="AK220" i="1"/>
  <c r="AK221" i="1"/>
  <c r="AK222" i="1"/>
  <c r="AK223" i="1"/>
  <c r="AK224" i="1"/>
  <c r="AK225" i="1"/>
  <c r="AK226" i="1"/>
  <c r="AK227" i="1"/>
  <c r="AK228" i="1"/>
  <c r="AK229" i="1"/>
  <c r="AK230" i="1"/>
  <c r="AK231" i="1"/>
  <c r="AK232" i="1"/>
  <c r="AK233" i="1"/>
  <c r="AK234" i="1"/>
  <c r="AK235" i="1"/>
  <c r="AK236" i="1"/>
  <c r="AK237" i="1"/>
  <c r="AK238" i="1"/>
  <c r="AK239" i="1"/>
  <c r="AK240" i="1"/>
  <c r="AK241" i="1"/>
  <c r="AK242" i="1"/>
  <c r="AK243" i="1"/>
  <c r="AK244" i="1"/>
  <c r="AK245" i="1"/>
  <c r="AK246" i="1"/>
  <c r="AK247" i="1"/>
  <c r="AK248" i="1"/>
  <c r="AK249" i="1"/>
  <c r="AK250" i="1"/>
  <c r="AK251" i="1"/>
  <c r="AK252" i="1"/>
  <c r="AK253" i="1"/>
  <c r="AK254" i="1"/>
  <c r="AK255" i="1"/>
  <c r="AK256" i="1"/>
  <c r="AK257" i="1"/>
  <c r="AK258" i="1"/>
  <c r="AK259" i="1"/>
  <c r="AK260" i="1"/>
  <c r="AK261" i="1"/>
  <c r="AK262" i="1"/>
  <c r="AK263" i="1"/>
  <c r="AK264" i="1"/>
  <c r="AK265" i="1"/>
  <c r="AK266" i="1"/>
  <c r="AK267" i="1"/>
  <c r="AK268" i="1"/>
  <c r="AK269" i="1"/>
  <c r="AK270" i="1"/>
  <c r="AK271" i="1"/>
  <c r="AK272" i="1"/>
  <c r="AK273" i="1"/>
  <c r="AK274" i="1"/>
  <c r="AK275" i="1"/>
  <c r="AK276" i="1"/>
  <c r="AK277" i="1"/>
  <c r="AK278" i="1"/>
  <c r="AK279" i="1"/>
  <c r="AK280" i="1"/>
  <c r="AK281" i="1"/>
  <c r="AK282" i="1"/>
  <c r="AK283" i="1"/>
  <c r="AK284" i="1"/>
  <c r="AK285" i="1"/>
  <c r="AK286" i="1"/>
  <c r="AK287" i="1"/>
  <c r="AK288" i="1"/>
  <c r="AK289" i="1"/>
  <c r="AK290" i="1"/>
  <c r="AK291" i="1"/>
  <c r="AK292" i="1"/>
  <c r="AK293" i="1"/>
  <c r="AK294" i="1"/>
  <c r="AK295" i="1"/>
  <c r="AK296" i="1"/>
  <c r="AK297" i="1"/>
  <c r="AK298" i="1"/>
  <c r="AK299" i="1"/>
  <c r="AK300" i="1"/>
  <c r="AK301" i="1"/>
  <c r="AK302" i="1"/>
  <c r="AK303" i="1"/>
  <c r="AK304" i="1"/>
  <c r="AK305" i="1"/>
  <c r="AK306" i="1"/>
  <c r="AK307" i="1"/>
  <c r="AK308" i="1"/>
  <c r="AK309" i="1"/>
  <c r="AK310" i="1"/>
  <c r="AK311" i="1"/>
  <c r="AK312" i="1"/>
  <c r="AK313" i="1"/>
  <c r="AK314" i="1"/>
  <c r="AK315" i="1"/>
  <c r="AK316" i="1"/>
  <c r="AK317" i="1"/>
  <c r="AK318" i="1"/>
  <c r="AK319" i="1"/>
  <c r="AK320" i="1"/>
  <c r="AK321" i="1"/>
  <c r="AK322" i="1"/>
  <c r="AK323" i="1"/>
  <c r="AK324" i="1"/>
  <c r="AK325" i="1"/>
  <c r="AK326" i="1"/>
  <c r="AK327" i="1"/>
  <c r="AK328" i="1"/>
  <c r="AK329" i="1"/>
  <c r="AK330" i="1"/>
  <c r="AK331" i="1"/>
  <c r="AK332" i="1"/>
  <c r="AK333" i="1"/>
  <c r="AK334" i="1"/>
  <c r="AK335" i="1"/>
  <c r="AK336" i="1"/>
  <c r="AK337" i="1"/>
  <c r="AK338" i="1"/>
  <c r="AK339" i="1"/>
  <c r="AK340" i="1"/>
  <c r="AK341" i="1"/>
  <c r="AK342" i="1"/>
  <c r="AK343" i="1"/>
  <c r="AK344" i="1"/>
  <c r="AK345" i="1"/>
  <c r="AK346" i="1"/>
  <c r="AK347" i="1"/>
  <c r="AK348" i="1"/>
  <c r="AK349" i="1"/>
  <c r="AK350" i="1"/>
  <c r="AK351" i="1"/>
  <c r="AK352" i="1"/>
  <c r="AK353" i="1"/>
  <c r="AK354" i="1"/>
  <c r="AK355" i="1"/>
  <c r="AK356" i="1"/>
  <c r="AK357" i="1"/>
  <c r="AK358" i="1"/>
  <c r="AK359" i="1"/>
  <c r="AK360" i="1"/>
  <c r="AK361" i="1"/>
  <c r="AK362" i="1"/>
  <c r="AK363" i="1"/>
  <c r="AK364" i="1"/>
  <c r="AK365" i="1"/>
  <c r="AK366" i="1"/>
  <c r="AK367" i="1"/>
  <c r="AK368" i="1"/>
  <c r="AK369" i="1"/>
  <c r="AK370" i="1"/>
  <c r="AK371" i="1"/>
  <c r="AK372" i="1"/>
  <c r="AK373" i="1"/>
  <c r="AK374" i="1"/>
  <c r="AK375" i="1"/>
  <c r="AK376" i="1"/>
  <c r="AK377" i="1"/>
  <c r="AK378" i="1"/>
  <c r="AK379" i="1"/>
  <c r="AK380" i="1"/>
  <c r="AK381" i="1"/>
  <c r="AK382" i="1"/>
  <c r="AK383" i="1"/>
  <c r="AK384" i="1"/>
  <c r="AK385" i="1"/>
  <c r="AK386" i="1"/>
  <c r="AK387" i="1"/>
  <c r="AK388" i="1"/>
  <c r="AK389" i="1"/>
  <c r="AK390" i="1"/>
  <c r="AK391" i="1"/>
  <c r="AK392" i="1"/>
  <c r="AK393" i="1"/>
  <c r="AK394" i="1"/>
  <c r="AK395" i="1"/>
  <c r="AK396" i="1"/>
  <c r="AK397" i="1"/>
  <c r="AK398" i="1"/>
  <c r="AK399" i="1"/>
  <c r="AK400" i="1"/>
  <c r="AK401" i="1"/>
  <c r="AK402" i="1"/>
  <c r="AK403" i="1"/>
  <c r="AK404" i="1"/>
  <c r="AK405" i="1"/>
  <c r="AK406" i="1"/>
  <c r="AK407" i="1"/>
  <c r="AK408" i="1"/>
  <c r="AK409" i="1"/>
  <c r="AK410" i="1"/>
  <c r="AK411" i="1"/>
  <c r="AK412" i="1"/>
  <c r="AK413" i="1"/>
  <c r="AK414" i="1"/>
  <c r="AK415" i="1"/>
  <c r="AK416" i="1"/>
  <c r="AK417" i="1"/>
  <c r="AK418" i="1"/>
  <c r="AK419" i="1"/>
  <c r="AK420" i="1"/>
  <c r="AK421" i="1"/>
  <c r="AK422" i="1"/>
  <c r="AK423" i="1"/>
  <c r="AK424" i="1"/>
  <c r="AK425" i="1"/>
  <c r="AK426" i="1"/>
  <c r="AK427" i="1"/>
  <c r="AK428" i="1"/>
  <c r="AK429" i="1"/>
  <c r="AK430" i="1"/>
  <c r="AK431" i="1"/>
  <c r="AK432" i="1"/>
  <c r="AK433" i="1"/>
  <c r="AK434" i="1"/>
  <c r="AK435" i="1"/>
  <c r="AK436" i="1"/>
  <c r="AK437" i="1"/>
  <c r="AK438" i="1"/>
  <c r="AK439" i="1"/>
  <c r="AK440" i="1"/>
  <c r="AK441" i="1"/>
  <c r="AK442" i="1"/>
  <c r="AK443" i="1"/>
  <c r="AK444" i="1"/>
  <c r="AK445" i="1"/>
  <c r="AK446" i="1"/>
  <c r="AK447" i="1"/>
  <c r="AK448" i="1"/>
  <c r="AK449" i="1"/>
  <c r="AK450" i="1"/>
  <c r="AK451" i="1"/>
  <c r="AK452" i="1"/>
  <c r="AK453" i="1"/>
  <c r="AK454" i="1"/>
  <c r="AK455" i="1"/>
  <c r="AK456" i="1"/>
  <c r="AK457" i="1"/>
  <c r="AK458" i="1"/>
  <c r="AK459" i="1"/>
  <c r="AK460" i="1"/>
  <c r="AK461" i="1"/>
  <c r="AK462" i="1"/>
  <c r="AK463" i="1"/>
  <c r="AK464" i="1"/>
  <c r="AK465" i="1"/>
  <c r="AK466" i="1"/>
  <c r="AK467" i="1"/>
  <c r="AK468" i="1"/>
  <c r="AK469" i="1"/>
  <c r="AK470" i="1"/>
  <c r="AK471" i="1"/>
  <c r="AK472" i="1"/>
  <c r="AK473" i="1"/>
  <c r="AK474" i="1"/>
  <c r="AK475" i="1"/>
  <c r="AK476" i="1"/>
  <c r="AK477" i="1"/>
  <c r="AK478" i="1"/>
  <c r="AK479" i="1"/>
  <c r="AK480" i="1"/>
  <c r="AK481" i="1"/>
  <c r="AK482" i="1"/>
  <c r="AK483" i="1"/>
  <c r="AK484" i="1"/>
  <c r="AK485" i="1"/>
  <c r="AK486" i="1"/>
  <c r="AK487" i="1"/>
  <c r="AK488" i="1"/>
  <c r="AK489" i="1"/>
  <c r="AK490" i="1"/>
  <c r="AK491" i="1"/>
  <c r="AK492" i="1"/>
  <c r="AK493" i="1"/>
  <c r="AK494" i="1"/>
  <c r="AK495" i="1"/>
  <c r="AK496" i="1"/>
  <c r="AK497" i="1"/>
  <c r="AK498" i="1"/>
  <c r="AK499" i="1"/>
  <c r="AK500" i="1"/>
  <c r="AK501" i="1"/>
  <c r="AK502" i="1"/>
  <c r="AK503" i="1"/>
  <c r="AK504" i="1"/>
  <c r="AK505" i="1"/>
  <c r="AK506" i="1"/>
  <c r="AK507" i="1"/>
  <c r="AK508" i="1"/>
  <c r="AK509" i="1"/>
  <c r="AK510" i="1"/>
  <c r="AK511" i="1"/>
  <c r="AK512" i="1"/>
  <c r="AK513" i="1"/>
  <c r="AK514" i="1"/>
  <c r="AK515" i="1"/>
  <c r="AK516" i="1"/>
  <c r="AK517" i="1"/>
  <c r="AK518" i="1"/>
  <c r="AK519" i="1"/>
  <c r="AK520" i="1"/>
  <c r="AK521" i="1"/>
  <c r="AK522" i="1"/>
  <c r="AK523" i="1"/>
  <c r="AK524" i="1"/>
  <c r="AK525" i="1"/>
  <c r="AK526" i="1"/>
  <c r="AK527" i="1"/>
  <c r="AK528" i="1"/>
  <c r="AK529" i="1"/>
  <c r="AK530" i="1"/>
  <c r="AK531" i="1"/>
  <c r="AK532" i="1"/>
  <c r="AK533" i="1"/>
  <c r="AK534" i="1"/>
  <c r="AK535" i="1"/>
  <c r="AK536" i="1"/>
  <c r="AK537" i="1"/>
  <c r="AK538" i="1"/>
  <c r="AK539" i="1"/>
  <c r="AK540" i="1"/>
  <c r="AK541" i="1"/>
  <c r="AK542" i="1"/>
  <c r="AK543" i="1"/>
  <c r="AK544" i="1"/>
  <c r="AK545" i="1"/>
  <c r="AK546" i="1"/>
  <c r="AK547" i="1"/>
  <c r="AK548" i="1"/>
  <c r="AK549" i="1"/>
  <c r="AK550" i="1"/>
  <c r="AK551" i="1"/>
  <c r="AK552" i="1"/>
  <c r="AK553" i="1"/>
  <c r="AK554" i="1"/>
  <c r="AK555" i="1"/>
  <c r="AK556" i="1"/>
  <c r="AK557" i="1"/>
  <c r="AK558" i="1"/>
  <c r="AK559" i="1"/>
  <c r="AK560" i="1"/>
  <c r="AK561" i="1"/>
  <c r="AK562" i="1"/>
  <c r="AK563" i="1"/>
  <c r="AK564" i="1"/>
  <c r="AK565" i="1"/>
  <c r="AK566" i="1"/>
  <c r="AK567" i="1"/>
  <c r="AK568" i="1"/>
  <c r="AK569" i="1"/>
  <c r="AK570" i="1"/>
  <c r="AK571" i="1"/>
  <c r="AK572" i="1"/>
  <c r="AK573" i="1"/>
  <c r="AK574" i="1"/>
  <c r="AK575" i="1"/>
  <c r="AK576" i="1"/>
  <c r="AK577" i="1"/>
  <c r="AK578" i="1"/>
  <c r="AK579" i="1"/>
  <c r="AK580" i="1"/>
  <c r="AK581" i="1"/>
  <c r="AK582" i="1"/>
  <c r="AK583" i="1"/>
  <c r="AK584" i="1"/>
  <c r="AK585" i="1"/>
  <c r="AK586" i="1"/>
  <c r="AK587" i="1"/>
  <c r="AK588" i="1"/>
  <c r="AK589" i="1"/>
  <c r="AK590" i="1"/>
  <c r="AK591" i="1"/>
  <c r="AK592" i="1"/>
  <c r="AK593" i="1"/>
  <c r="AK594" i="1"/>
  <c r="AK595" i="1"/>
  <c r="AK596" i="1"/>
  <c r="AK597" i="1"/>
  <c r="AK598" i="1"/>
  <c r="AK599" i="1"/>
  <c r="AK600" i="1"/>
  <c r="AK601" i="1"/>
  <c r="AK602" i="1"/>
  <c r="AK603" i="1"/>
  <c r="AK604" i="1"/>
  <c r="AK605" i="1"/>
  <c r="AK606" i="1"/>
  <c r="AK607" i="1"/>
  <c r="AK608" i="1"/>
  <c r="AK609" i="1"/>
  <c r="AK610" i="1"/>
  <c r="AK611" i="1"/>
  <c r="AK612" i="1"/>
  <c r="AK613" i="1"/>
  <c r="AK614" i="1"/>
  <c r="AK615" i="1"/>
  <c r="AK616" i="1"/>
  <c r="AK617" i="1"/>
  <c r="AK618" i="1"/>
  <c r="AK619" i="1"/>
  <c r="AK620" i="1"/>
  <c r="AK621" i="1"/>
  <c r="AK622" i="1"/>
  <c r="AK623" i="1"/>
  <c r="AK624" i="1"/>
  <c r="AK625" i="1"/>
  <c r="AK626" i="1"/>
  <c r="AK627" i="1"/>
  <c r="AK628" i="1"/>
  <c r="AK629" i="1"/>
  <c r="AK630" i="1"/>
  <c r="AK631" i="1"/>
  <c r="AK632" i="1"/>
  <c r="AK633" i="1"/>
  <c r="AK634" i="1"/>
  <c r="AK635" i="1"/>
  <c r="AK636" i="1"/>
  <c r="AK637" i="1"/>
  <c r="AK638" i="1"/>
  <c r="AK639" i="1"/>
  <c r="AK640" i="1"/>
  <c r="AK641" i="1"/>
  <c r="AK642" i="1"/>
  <c r="AK643" i="1"/>
  <c r="AK644" i="1"/>
  <c r="AK645" i="1"/>
  <c r="AK646" i="1"/>
  <c r="AK647" i="1"/>
  <c r="AK648" i="1"/>
  <c r="AK649" i="1"/>
  <c r="AK650" i="1"/>
  <c r="AK651" i="1"/>
  <c r="AK652" i="1"/>
  <c r="AK653" i="1"/>
  <c r="AK654" i="1"/>
  <c r="AK655" i="1"/>
  <c r="AK656" i="1"/>
  <c r="AK657" i="1"/>
  <c r="AK658" i="1"/>
  <c r="AK659" i="1"/>
  <c r="AK660" i="1"/>
  <c r="AK661" i="1"/>
  <c r="AK662" i="1"/>
  <c r="AK663" i="1"/>
  <c r="AK664" i="1"/>
  <c r="AK665" i="1"/>
  <c r="AK666" i="1"/>
  <c r="AK667" i="1"/>
  <c r="AK668" i="1"/>
  <c r="AK669" i="1"/>
  <c r="AK670" i="1"/>
  <c r="AK671" i="1"/>
  <c r="AK672" i="1"/>
  <c r="AK673" i="1"/>
  <c r="AK674" i="1"/>
  <c r="AK675" i="1"/>
  <c r="AK676" i="1"/>
  <c r="AK677" i="1"/>
  <c r="AK678" i="1"/>
  <c r="AK679" i="1"/>
  <c r="AK680" i="1"/>
  <c r="AK681" i="1"/>
  <c r="AK682" i="1"/>
  <c r="AK683" i="1"/>
  <c r="AK684" i="1"/>
  <c r="AK685" i="1"/>
  <c r="AK686" i="1"/>
  <c r="AK687" i="1"/>
  <c r="AK688" i="1"/>
  <c r="AK689" i="1"/>
  <c r="AK690" i="1"/>
  <c r="AK691" i="1"/>
  <c r="AK692" i="1"/>
  <c r="AK693" i="1"/>
  <c r="AK694" i="1"/>
  <c r="AK695" i="1"/>
  <c r="AK696" i="1"/>
  <c r="AK697" i="1"/>
  <c r="AK698" i="1"/>
  <c r="AK699" i="1"/>
  <c r="AK700" i="1"/>
  <c r="AK701" i="1"/>
  <c r="AK702" i="1"/>
  <c r="AK703" i="1"/>
  <c r="AK704" i="1"/>
  <c r="AK705" i="1"/>
  <c r="AK706" i="1"/>
  <c r="AK707" i="1"/>
  <c r="AK708" i="1"/>
  <c r="AK709" i="1"/>
  <c r="AK710" i="1"/>
  <c r="AK711" i="1"/>
  <c r="AK712" i="1"/>
  <c r="AK713" i="1"/>
  <c r="AK714" i="1"/>
  <c r="AK715" i="1"/>
  <c r="AK716" i="1"/>
  <c r="AK717" i="1"/>
  <c r="AK718" i="1"/>
  <c r="AK719" i="1"/>
  <c r="AK720" i="1"/>
  <c r="AK721" i="1"/>
  <c r="AK722" i="1"/>
  <c r="AK723" i="1"/>
  <c r="AK724" i="1"/>
  <c r="AK725" i="1"/>
  <c r="AK726" i="1"/>
  <c r="AK727" i="1"/>
  <c r="AK728" i="1"/>
  <c r="AK729" i="1"/>
  <c r="AK730" i="1"/>
  <c r="AK731" i="1"/>
  <c r="AK732" i="1"/>
  <c r="AK733" i="1"/>
  <c r="AK734" i="1"/>
  <c r="AK735" i="1"/>
  <c r="AK736" i="1"/>
  <c r="AK737" i="1"/>
  <c r="AK738" i="1"/>
  <c r="AK739" i="1"/>
  <c r="AK740" i="1"/>
  <c r="AK741" i="1"/>
  <c r="AK742" i="1"/>
  <c r="AK743" i="1"/>
  <c r="AK744" i="1"/>
  <c r="AK745" i="1"/>
  <c r="AK746" i="1"/>
  <c r="AK747" i="1"/>
  <c r="AK748" i="1"/>
  <c r="AK749" i="1"/>
  <c r="AK750" i="1"/>
  <c r="AK751" i="1"/>
  <c r="AK752" i="1"/>
  <c r="AK753" i="1"/>
  <c r="AK754" i="1"/>
  <c r="AK755" i="1"/>
  <c r="AK756" i="1"/>
  <c r="AK757" i="1"/>
  <c r="AK758" i="1"/>
  <c r="AK759" i="1"/>
  <c r="AK760" i="1"/>
  <c r="AK761" i="1"/>
  <c r="AK762" i="1"/>
  <c r="AK763" i="1"/>
  <c r="AK764" i="1"/>
  <c r="AK765" i="1"/>
  <c r="AK766" i="1"/>
  <c r="AK767" i="1"/>
  <c r="AK768" i="1"/>
  <c r="AK769" i="1"/>
  <c r="AK770" i="1"/>
  <c r="AK771" i="1"/>
  <c r="AK772" i="1"/>
  <c r="AK773" i="1"/>
  <c r="AK774" i="1"/>
  <c r="AK775" i="1"/>
  <c r="AK776" i="1"/>
  <c r="AK777" i="1"/>
  <c r="AK778" i="1"/>
  <c r="AK779" i="1"/>
  <c r="AK780" i="1"/>
  <c r="AK781" i="1"/>
  <c r="AK782" i="1"/>
  <c r="AK783" i="1"/>
  <c r="AK784" i="1"/>
  <c r="AK785" i="1"/>
  <c r="AK786" i="1"/>
  <c r="AK787" i="1"/>
  <c r="AK788" i="1"/>
  <c r="AK789" i="1"/>
  <c r="AK790" i="1"/>
  <c r="AK791" i="1"/>
  <c r="AK792" i="1"/>
  <c r="AK793" i="1"/>
  <c r="AK794" i="1"/>
  <c r="AK795" i="1"/>
  <c r="AK796" i="1"/>
  <c r="AK797" i="1"/>
  <c r="AK798" i="1"/>
  <c r="AK799" i="1"/>
  <c r="AK800" i="1"/>
  <c r="AK801" i="1"/>
  <c r="AK802" i="1"/>
  <c r="AK803" i="1"/>
  <c r="AK804" i="1"/>
  <c r="AK805" i="1"/>
  <c r="AK806" i="1"/>
  <c r="AK807" i="1"/>
  <c r="AK808" i="1"/>
  <c r="AK809" i="1"/>
  <c r="AK810" i="1"/>
  <c r="AK811" i="1"/>
  <c r="AK812" i="1"/>
  <c r="AK813" i="1"/>
  <c r="AK814" i="1"/>
  <c r="AK815" i="1"/>
  <c r="AK816" i="1"/>
  <c r="AK817" i="1"/>
  <c r="AK818" i="1"/>
  <c r="AK819" i="1"/>
  <c r="AK820" i="1"/>
  <c r="AK821" i="1"/>
  <c r="AK822" i="1"/>
  <c r="AK823" i="1"/>
  <c r="AK824" i="1"/>
  <c r="AK825" i="1"/>
  <c r="AK826" i="1"/>
  <c r="AK827" i="1"/>
  <c r="AK828" i="1"/>
  <c r="AK829" i="1"/>
  <c r="AK830" i="1"/>
  <c r="AK831" i="1"/>
  <c r="AK832" i="1"/>
  <c r="AK833" i="1"/>
  <c r="AK834" i="1"/>
  <c r="AK835" i="1"/>
  <c r="AK836" i="1"/>
  <c r="AK837" i="1"/>
  <c r="AK838" i="1"/>
  <c r="AK839" i="1"/>
  <c r="AK840" i="1"/>
  <c r="AK841" i="1"/>
  <c r="AK842" i="1"/>
  <c r="AK843" i="1"/>
  <c r="AK844" i="1"/>
  <c r="AK845" i="1"/>
  <c r="AK846" i="1"/>
  <c r="AK847" i="1"/>
  <c r="AK848" i="1"/>
  <c r="AK849" i="1"/>
  <c r="AK850" i="1"/>
  <c r="AK851" i="1"/>
  <c r="AK852" i="1"/>
  <c r="AK853" i="1"/>
  <c r="AK854" i="1"/>
  <c r="AK855" i="1"/>
  <c r="AK856" i="1"/>
  <c r="AK857" i="1"/>
  <c r="AK858" i="1"/>
  <c r="AK859" i="1"/>
  <c r="AK860" i="1"/>
  <c r="AK861" i="1"/>
  <c r="AK862" i="1"/>
  <c r="AK863" i="1"/>
  <c r="AK864" i="1"/>
  <c r="AK865" i="1"/>
  <c r="AK866" i="1"/>
  <c r="AK867" i="1"/>
  <c r="AK868" i="1"/>
  <c r="AK869" i="1"/>
  <c r="AK870" i="1"/>
  <c r="AK871" i="1"/>
  <c r="AK872" i="1"/>
  <c r="AK873" i="1"/>
  <c r="AK874" i="1"/>
  <c r="AK875" i="1"/>
  <c r="AK876" i="1"/>
  <c r="AK877" i="1"/>
  <c r="AK878" i="1"/>
  <c r="AK879" i="1"/>
  <c r="AK880" i="1"/>
  <c r="AK881" i="1"/>
  <c r="AK882" i="1"/>
  <c r="AK883" i="1"/>
  <c r="AK884" i="1"/>
  <c r="AK885" i="1"/>
  <c r="AK886" i="1"/>
  <c r="AK887" i="1"/>
  <c r="AK888" i="1"/>
  <c r="AK889" i="1"/>
  <c r="AK890" i="1"/>
  <c r="AK891" i="1"/>
  <c r="AK892" i="1"/>
  <c r="AK893" i="1"/>
  <c r="AK894" i="1"/>
  <c r="AK895" i="1"/>
  <c r="AK896" i="1"/>
  <c r="AK897" i="1"/>
  <c r="AK898" i="1"/>
  <c r="AK899" i="1"/>
  <c r="AK900" i="1"/>
  <c r="AK901" i="1"/>
  <c r="AK902" i="1"/>
  <c r="AK903" i="1"/>
  <c r="AK904" i="1"/>
  <c r="AK905" i="1"/>
  <c r="AK906" i="1"/>
  <c r="AK907" i="1"/>
  <c r="AK908" i="1"/>
  <c r="AK909" i="1"/>
  <c r="AK910" i="1"/>
  <c r="AK911" i="1"/>
  <c r="AK912" i="1"/>
  <c r="AK913" i="1"/>
  <c r="AK914" i="1"/>
  <c r="AK915" i="1"/>
  <c r="AK916" i="1"/>
  <c r="AK917" i="1"/>
  <c r="AK918" i="1"/>
  <c r="AK919" i="1"/>
  <c r="AK920" i="1"/>
  <c r="AK921" i="1"/>
  <c r="AK922" i="1"/>
  <c r="AK923" i="1"/>
  <c r="AK924" i="1"/>
  <c r="AK925" i="1"/>
  <c r="AK926" i="1"/>
  <c r="AK927" i="1"/>
  <c r="AK928" i="1"/>
  <c r="AK929" i="1"/>
  <c r="AK930" i="1"/>
  <c r="AK931" i="1"/>
  <c r="AK932" i="1"/>
  <c r="AK933" i="1"/>
  <c r="AK934" i="1"/>
  <c r="AK935" i="1"/>
  <c r="AK936" i="1"/>
  <c r="AK937" i="1"/>
  <c r="AK938" i="1"/>
  <c r="AK939" i="1"/>
  <c r="AK940" i="1"/>
  <c r="AK941" i="1"/>
  <c r="AK942" i="1"/>
  <c r="AK943" i="1"/>
  <c r="AK944" i="1"/>
  <c r="AK945" i="1"/>
  <c r="AK946" i="1"/>
  <c r="AK947" i="1"/>
  <c r="AK948" i="1"/>
  <c r="AK949" i="1"/>
  <c r="AK950" i="1"/>
  <c r="AK951" i="1"/>
  <c r="AK952" i="1"/>
  <c r="AK953" i="1"/>
  <c r="AK954" i="1"/>
  <c r="AK955" i="1"/>
  <c r="AK956" i="1"/>
  <c r="AK957" i="1"/>
  <c r="AK958" i="1"/>
  <c r="AK959" i="1"/>
  <c r="AK960" i="1"/>
  <c r="AK961" i="1"/>
  <c r="AK962" i="1"/>
  <c r="AK963" i="1"/>
  <c r="AK964" i="1"/>
  <c r="AK965" i="1"/>
  <c r="AK966" i="1"/>
  <c r="AK967" i="1"/>
  <c r="AK968" i="1"/>
  <c r="AK969" i="1"/>
  <c r="AK970" i="1"/>
  <c r="AK971" i="1"/>
  <c r="AK972" i="1"/>
  <c r="AK973" i="1"/>
  <c r="AK974" i="1"/>
  <c r="AK975" i="1"/>
  <c r="AK976" i="1"/>
  <c r="AK977" i="1"/>
  <c r="AK978" i="1"/>
  <c r="AK979" i="1"/>
  <c r="AK980" i="1"/>
  <c r="AK981" i="1"/>
  <c r="AK982" i="1"/>
  <c r="AK983" i="1"/>
  <c r="AK984" i="1"/>
  <c r="AK985" i="1"/>
  <c r="AK986" i="1"/>
  <c r="AK987" i="1"/>
  <c r="AK988" i="1"/>
  <c r="AK989" i="1"/>
  <c r="AK990" i="1"/>
  <c r="AK991" i="1"/>
  <c r="AK992" i="1"/>
  <c r="AK993" i="1"/>
  <c r="AK994" i="1"/>
  <c r="AK995" i="1"/>
  <c r="AK996" i="1"/>
  <c r="AK997" i="1"/>
  <c r="AK998" i="1"/>
  <c r="AK999" i="1"/>
  <c r="AK1000" i="1"/>
  <c r="AK1001" i="1"/>
  <c r="AK1002" i="1"/>
  <c r="AK1003" i="1"/>
  <c r="AK1004" i="1"/>
  <c r="AK1005" i="1"/>
  <c r="AK1006" i="1"/>
  <c r="AK1007" i="1"/>
  <c r="AK1008" i="1"/>
  <c r="AK1009" i="1"/>
  <c r="AK1010" i="1"/>
  <c r="AK1011" i="1"/>
  <c r="AK1012" i="1"/>
  <c r="AK1013" i="1"/>
  <c r="AK1014" i="1"/>
  <c r="AK1015" i="1"/>
  <c r="AK1016" i="1"/>
  <c r="AK1017" i="1"/>
  <c r="AK1018" i="1"/>
  <c r="AK1019" i="1"/>
  <c r="AK1020" i="1"/>
  <c r="AK1021" i="1"/>
  <c r="AK1022" i="1"/>
  <c r="AK1023" i="1"/>
  <c r="AK1024" i="1"/>
  <c r="AK1025" i="1"/>
  <c r="AK1026" i="1"/>
  <c r="AK1027" i="1"/>
  <c r="AK1028" i="1"/>
  <c r="AK1029" i="1"/>
  <c r="AK1030" i="1"/>
  <c r="AK1031" i="1"/>
  <c r="AK1032" i="1"/>
  <c r="AK1033" i="1"/>
  <c r="AK1034" i="1"/>
  <c r="AK1035" i="1"/>
  <c r="AK1036" i="1"/>
  <c r="AK1037" i="1"/>
  <c r="AK1038" i="1"/>
  <c r="AK1039" i="1"/>
  <c r="AK1040" i="1"/>
  <c r="AK1041" i="1"/>
  <c r="AK1042" i="1"/>
  <c r="AK1043" i="1"/>
  <c r="AK1044" i="1"/>
  <c r="AK1045" i="1"/>
  <c r="AK1046" i="1"/>
  <c r="AK1047" i="1"/>
  <c r="AK1048" i="1"/>
  <c r="AK1049" i="1"/>
  <c r="AK1050" i="1"/>
  <c r="AK1051" i="1"/>
  <c r="AK1052" i="1"/>
  <c r="AK1053" i="1"/>
  <c r="AK1054" i="1"/>
  <c r="AK1055" i="1"/>
  <c r="AK1056" i="1"/>
  <c r="AK1057" i="1"/>
  <c r="AK1058" i="1"/>
  <c r="AK1059" i="1"/>
  <c r="AK1060" i="1"/>
  <c r="AK1061" i="1"/>
  <c r="AK1062" i="1"/>
  <c r="AK1063" i="1"/>
  <c r="AK1064" i="1"/>
  <c r="AK1065" i="1"/>
  <c r="AK1066" i="1"/>
  <c r="AK1067" i="1"/>
  <c r="AK1068" i="1"/>
  <c r="AK1069" i="1"/>
  <c r="AK1070" i="1"/>
  <c r="AK1071" i="1"/>
  <c r="AK1072" i="1"/>
  <c r="AK1073" i="1"/>
  <c r="AK1074" i="1"/>
  <c r="AK1075" i="1"/>
  <c r="AK1076" i="1"/>
  <c r="AK1077" i="1"/>
  <c r="AK1078" i="1"/>
  <c r="AK1079" i="1"/>
  <c r="AK1080" i="1"/>
  <c r="AK1081" i="1"/>
  <c r="AK1082" i="1"/>
  <c r="AK1083" i="1"/>
  <c r="AK1084" i="1"/>
  <c r="AK1085" i="1"/>
  <c r="AK1086" i="1"/>
  <c r="AK1087" i="1"/>
  <c r="AK1088" i="1"/>
  <c r="AK1089" i="1"/>
  <c r="AK1090" i="1"/>
  <c r="AK1091" i="1"/>
  <c r="AK1092" i="1"/>
  <c r="AK1093" i="1"/>
  <c r="AK1094" i="1"/>
  <c r="AK1095" i="1"/>
  <c r="AK1096" i="1"/>
  <c r="AK1097" i="1"/>
  <c r="AK1098" i="1"/>
  <c r="AK1099" i="1"/>
  <c r="AK1100" i="1"/>
  <c r="AK1101" i="1"/>
  <c r="AK1102" i="1"/>
  <c r="AK1103" i="1"/>
  <c r="AK1104" i="1"/>
  <c r="AK1105" i="1"/>
  <c r="AK1106" i="1"/>
  <c r="AK1107" i="1"/>
  <c r="AK1108" i="1"/>
  <c r="AK1109" i="1"/>
  <c r="AK1110" i="1"/>
  <c r="AK1111" i="1"/>
  <c r="AK1112" i="1"/>
  <c r="AK1113" i="1"/>
  <c r="AK1114" i="1"/>
  <c r="AK1115" i="1"/>
  <c r="AK1116" i="1"/>
  <c r="AK1117" i="1"/>
  <c r="AK1118" i="1"/>
  <c r="AK1119" i="1"/>
  <c r="AK1120" i="1"/>
  <c r="AK1121" i="1"/>
  <c r="AK1122" i="1"/>
  <c r="AK1123" i="1"/>
  <c r="AK1124" i="1"/>
  <c r="AK1125" i="1"/>
  <c r="AK1126" i="1"/>
  <c r="AK1127" i="1"/>
  <c r="AK1128" i="1"/>
  <c r="AK1129" i="1"/>
  <c r="AK1130" i="1"/>
  <c r="AK1131" i="1"/>
  <c r="AK1132" i="1"/>
  <c r="AK1133" i="1"/>
  <c r="AK1134" i="1"/>
  <c r="AK1135" i="1"/>
  <c r="AK1136" i="1"/>
  <c r="AK1137" i="1"/>
  <c r="AK1138" i="1"/>
  <c r="AK1139" i="1"/>
  <c r="AK1140" i="1"/>
  <c r="AK1141" i="1"/>
  <c r="AK1142" i="1"/>
  <c r="AK1143" i="1"/>
  <c r="AK1144" i="1"/>
  <c r="AK1145" i="1"/>
  <c r="AK1146" i="1"/>
  <c r="AK1147" i="1"/>
  <c r="AK1148" i="1"/>
  <c r="AK1149" i="1"/>
  <c r="AK1150" i="1"/>
  <c r="AK1151" i="1"/>
  <c r="AK1152" i="1"/>
  <c r="AK1153" i="1"/>
  <c r="AK1154" i="1"/>
  <c r="AK1155" i="1"/>
  <c r="AK1156" i="1"/>
  <c r="AK1157" i="1"/>
  <c r="AK1158" i="1"/>
  <c r="AK1159" i="1"/>
  <c r="AK1160" i="1"/>
  <c r="AK1161" i="1"/>
  <c r="AK1162" i="1"/>
  <c r="AK1163" i="1"/>
  <c r="AK1164" i="1"/>
  <c r="AK1165" i="1"/>
  <c r="AK1166" i="1"/>
  <c r="AK1167" i="1"/>
  <c r="AK1168" i="1"/>
  <c r="AK1169" i="1"/>
  <c r="AK1170" i="1"/>
  <c r="AK1171" i="1"/>
  <c r="AK1172" i="1"/>
  <c r="AK1173" i="1"/>
  <c r="AK1174" i="1"/>
  <c r="AK1175" i="1"/>
  <c r="AK1176" i="1"/>
  <c r="AK1177" i="1"/>
  <c r="AK1178" i="1"/>
  <c r="AK1179" i="1"/>
  <c r="AK1180" i="1"/>
  <c r="AK1181" i="1"/>
  <c r="AK1182" i="1"/>
  <c r="AK1183" i="1"/>
  <c r="AK1184" i="1"/>
  <c r="AK1185" i="1"/>
  <c r="AK1186" i="1"/>
  <c r="AK1187" i="1"/>
  <c r="AK1188" i="1"/>
  <c r="AK1189" i="1"/>
  <c r="AK1190" i="1"/>
  <c r="AK1191" i="1"/>
  <c r="AK1192" i="1"/>
  <c r="AK1193" i="1"/>
  <c r="AK1194" i="1"/>
  <c r="AK1195" i="1"/>
  <c r="AK1196" i="1"/>
  <c r="AK1197" i="1"/>
  <c r="AK1198" i="1"/>
  <c r="AK1199" i="1"/>
  <c r="AK1200" i="1"/>
  <c r="AK1201" i="1"/>
  <c r="AK1202" i="1"/>
  <c r="AK1203" i="1"/>
  <c r="AK1204" i="1"/>
  <c r="AK1205" i="1"/>
  <c r="AK1206" i="1"/>
  <c r="AK1207" i="1"/>
  <c r="AK1208" i="1"/>
  <c r="AK1209" i="1"/>
  <c r="AK1210" i="1"/>
  <c r="AK1211" i="1"/>
  <c r="AK1212" i="1"/>
  <c r="AK1213" i="1"/>
  <c r="AK1214" i="1"/>
  <c r="AK1215" i="1"/>
  <c r="AK1216" i="1"/>
  <c r="AK1217" i="1"/>
  <c r="AK1218" i="1"/>
  <c r="AK1219" i="1"/>
  <c r="AK1220" i="1"/>
  <c r="AK1221" i="1"/>
  <c r="AK1222" i="1"/>
  <c r="AK1223" i="1"/>
  <c r="AK1224" i="1"/>
  <c r="AK1225" i="1"/>
  <c r="AK1226" i="1"/>
  <c r="AK1227" i="1"/>
  <c r="AK1228" i="1"/>
  <c r="AK1229" i="1"/>
  <c r="AK1230" i="1"/>
  <c r="AK1231" i="1"/>
  <c r="AK1232" i="1"/>
  <c r="AK1233" i="1"/>
  <c r="AK1234" i="1"/>
  <c r="AK1235" i="1"/>
  <c r="AK1236" i="1"/>
  <c r="AK1237" i="1"/>
  <c r="AK1238" i="1"/>
  <c r="AK1239" i="1"/>
  <c r="AK1240" i="1"/>
  <c r="AK1241" i="1"/>
  <c r="AK1242" i="1"/>
  <c r="AK1243" i="1"/>
  <c r="AK1244" i="1"/>
  <c r="AK1245" i="1"/>
  <c r="AK1246" i="1"/>
  <c r="AK1247" i="1"/>
  <c r="AK1248" i="1"/>
  <c r="AK1249" i="1"/>
  <c r="AK1250" i="1"/>
  <c r="AK1251" i="1"/>
  <c r="AK1252" i="1"/>
  <c r="AK1253" i="1"/>
  <c r="AK1254" i="1"/>
  <c r="AK1255" i="1"/>
  <c r="AK1256" i="1"/>
  <c r="AK1257" i="1"/>
  <c r="AK1258" i="1"/>
  <c r="AK1259" i="1"/>
  <c r="AK1260" i="1"/>
  <c r="AK1261" i="1"/>
  <c r="AK1262" i="1"/>
  <c r="AK1263" i="1"/>
  <c r="AK1264" i="1"/>
  <c r="AK1265" i="1"/>
  <c r="AK1266" i="1"/>
  <c r="AK1267" i="1"/>
  <c r="AK1268" i="1"/>
  <c r="AK1269" i="1"/>
  <c r="AK1270" i="1"/>
  <c r="AK1271" i="1"/>
  <c r="AK1272" i="1"/>
  <c r="AK1273" i="1"/>
  <c r="AK1274" i="1"/>
  <c r="AK1275" i="1"/>
  <c r="AK1276" i="1"/>
  <c r="AK1277" i="1"/>
  <c r="AK1278" i="1"/>
  <c r="AK1279" i="1"/>
  <c r="AK1280" i="1"/>
  <c r="AK1281" i="1"/>
  <c r="AK1282" i="1"/>
  <c r="AK1283" i="1"/>
  <c r="AK1284" i="1"/>
  <c r="AK1285" i="1"/>
  <c r="AK1286" i="1"/>
  <c r="AK1287" i="1"/>
  <c r="AK1288" i="1"/>
  <c r="AK1289" i="1"/>
  <c r="AK1290" i="1"/>
  <c r="AK1291" i="1"/>
  <c r="AK1292" i="1"/>
  <c r="AK1293" i="1"/>
  <c r="AK1294" i="1"/>
  <c r="AK1295" i="1"/>
  <c r="AK1296" i="1"/>
  <c r="AK1297" i="1"/>
  <c r="AK1298" i="1"/>
  <c r="AK1299" i="1"/>
  <c r="AK1300" i="1"/>
  <c r="AK1301" i="1"/>
  <c r="AK1302" i="1"/>
  <c r="AK1303" i="1"/>
  <c r="AK1304" i="1"/>
  <c r="AK1305" i="1"/>
  <c r="AK1306" i="1"/>
  <c r="AK1307" i="1"/>
  <c r="AK1308" i="1"/>
  <c r="AK1309" i="1"/>
  <c r="AK1310" i="1"/>
  <c r="AK1311" i="1"/>
  <c r="AK1312" i="1"/>
  <c r="AK1313" i="1"/>
  <c r="AK1314" i="1"/>
  <c r="AK1315" i="1"/>
  <c r="AK1316" i="1"/>
  <c r="AK1317" i="1"/>
  <c r="AK1318" i="1"/>
  <c r="AK1319" i="1"/>
  <c r="AK1320" i="1"/>
  <c r="AK1321" i="1"/>
  <c r="AK1322" i="1"/>
  <c r="AK1323" i="1"/>
  <c r="AK1324" i="1"/>
  <c r="AK1325" i="1"/>
  <c r="AK1326" i="1"/>
  <c r="AK1327" i="1"/>
  <c r="AK1328" i="1"/>
  <c r="AK1329" i="1"/>
  <c r="AK1330" i="1"/>
  <c r="AK1331" i="1"/>
  <c r="AK1332" i="1"/>
  <c r="AK1333" i="1"/>
  <c r="AK1334" i="1"/>
  <c r="AK1335" i="1"/>
  <c r="AK1336" i="1"/>
  <c r="AK1337" i="1"/>
  <c r="AK1338" i="1"/>
  <c r="AK1339" i="1"/>
  <c r="AK1340" i="1"/>
  <c r="AK1341" i="1"/>
  <c r="AK1342" i="1"/>
  <c r="AK1343" i="1"/>
  <c r="AK1344" i="1"/>
  <c r="AK1345" i="1"/>
  <c r="AK1346" i="1"/>
  <c r="AK1347" i="1"/>
  <c r="AK1348" i="1"/>
  <c r="AK1349" i="1"/>
  <c r="AK1350" i="1"/>
  <c r="AK1351" i="1"/>
  <c r="AK1352" i="1"/>
  <c r="AK1353" i="1"/>
  <c r="AK1354" i="1"/>
  <c r="AK1355" i="1"/>
  <c r="AK1356" i="1"/>
  <c r="AK1357" i="1"/>
  <c r="AK1358" i="1"/>
  <c r="AK1359" i="1"/>
  <c r="AK1360" i="1"/>
  <c r="AK1361" i="1"/>
  <c r="AK1362" i="1"/>
  <c r="AK1363" i="1"/>
  <c r="AK1364" i="1"/>
  <c r="AK1365" i="1"/>
  <c r="AK1366" i="1"/>
  <c r="AK1367" i="1"/>
  <c r="AK1368" i="1"/>
  <c r="AK1369" i="1"/>
  <c r="AK1370" i="1"/>
  <c r="AK1371" i="1"/>
  <c r="AK1372" i="1"/>
  <c r="AK1373" i="1"/>
  <c r="AK1374" i="1"/>
  <c r="AK1375" i="1"/>
  <c r="AK1376" i="1"/>
  <c r="AK1377" i="1"/>
  <c r="AK1378" i="1"/>
  <c r="AK1379" i="1"/>
  <c r="AK1380" i="1"/>
  <c r="AK1381" i="1"/>
  <c r="AK1382" i="1"/>
  <c r="AK1383" i="1"/>
  <c r="AK1384" i="1"/>
  <c r="AK1385" i="1"/>
  <c r="AK1386" i="1"/>
  <c r="AK1387" i="1"/>
  <c r="AK1388" i="1"/>
  <c r="AK1389" i="1"/>
  <c r="AK1390" i="1"/>
  <c r="AK1391" i="1"/>
  <c r="AK1392" i="1"/>
  <c r="AK1393" i="1"/>
  <c r="AK1394" i="1"/>
  <c r="AK1395" i="1"/>
  <c r="AK1396" i="1"/>
  <c r="AK1397" i="1"/>
  <c r="AK1398" i="1"/>
  <c r="AK1399" i="1"/>
  <c r="AK1400" i="1"/>
  <c r="AK1401" i="1"/>
  <c r="AK1402" i="1"/>
  <c r="AK1403" i="1"/>
  <c r="AK1404" i="1"/>
  <c r="AK1405" i="1"/>
  <c r="AK1406" i="1"/>
  <c r="AK1407" i="1"/>
  <c r="AK1408" i="1"/>
  <c r="AK1409" i="1"/>
  <c r="AK1410" i="1"/>
  <c r="AK1411" i="1"/>
  <c r="AK1412" i="1"/>
  <c r="AK1413" i="1"/>
  <c r="AK1414" i="1"/>
  <c r="AK1415" i="1"/>
  <c r="AK1416" i="1"/>
  <c r="AK1417" i="1"/>
  <c r="AK1418" i="1"/>
  <c r="AK1419" i="1"/>
  <c r="AK1420" i="1"/>
  <c r="AK1421" i="1"/>
  <c r="AK1422" i="1"/>
  <c r="AK1423" i="1"/>
  <c r="AK1424" i="1"/>
  <c r="AK1425" i="1"/>
  <c r="AK1426" i="1"/>
  <c r="AK1427" i="1"/>
  <c r="AK1428" i="1"/>
  <c r="AK1429" i="1"/>
  <c r="AK1430" i="1"/>
  <c r="AK1431" i="1"/>
  <c r="AK1432" i="1"/>
  <c r="AK1433" i="1"/>
  <c r="AK1434" i="1"/>
  <c r="AK1435" i="1"/>
  <c r="AK1436" i="1"/>
  <c r="AK1437" i="1"/>
  <c r="AK1438" i="1"/>
  <c r="AK1439" i="1"/>
  <c r="AK1440" i="1"/>
  <c r="AK1441" i="1"/>
  <c r="AK1442" i="1"/>
  <c r="AK1443" i="1"/>
  <c r="AK1444" i="1"/>
  <c r="AK1445" i="1"/>
  <c r="AK1446" i="1"/>
  <c r="AK1447" i="1"/>
  <c r="AK1448" i="1"/>
  <c r="AK1449" i="1"/>
  <c r="AK1450" i="1"/>
  <c r="AK1451" i="1"/>
  <c r="AK1452" i="1"/>
  <c r="AK1453" i="1"/>
  <c r="AK1454" i="1"/>
  <c r="AK1455" i="1"/>
  <c r="AK1456" i="1"/>
  <c r="AK1457" i="1"/>
  <c r="AK1458" i="1"/>
  <c r="AK1459" i="1"/>
  <c r="AK1460" i="1"/>
  <c r="AK1461" i="1"/>
  <c r="AK1462" i="1"/>
  <c r="AK1463" i="1"/>
  <c r="AK1464" i="1"/>
  <c r="AK1465" i="1"/>
  <c r="AK1466" i="1"/>
  <c r="AK1467" i="1"/>
  <c r="AK1468" i="1"/>
  <c r="AK1469" i="1"/>
  <c r="AK1470" i="1"/>
  <c r="AK1471" i="1"/>
  <c r="AJ2" i="1"/>
  <c r="AJ3" i="1"/>
  <c r="AJ4" i="1"/>
  <c r="AJ5" i="1"/>
  <c r="AJ6" i="1"/>
  <c r="AJ7" i="1"/>
  <c r="AJ8"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79" i="1"/>
  <c r="AJ80" i="1"/>
  <c r="AJ81" i="1"/>
  <c r="AJ82" i="1"/>
  <c r="AJ83" i="1"/>
  <c r="AJ84" i="1"/>
  <c r="AJ85" i="1"/>
  <c r="AJ86" i="1"/>
  <c r="AJ87" i="1"/>
  <c r="AJ88" i="1"/>
  <c r="AJ89" i="1"/>
  <c r="AJ90" i="1"/>
  <c r="AJ91" i="1"/>
  <c r="AJ92" i="1"/>
  <c r="AJ93" i="1"/>
  <c r="AJ94" i="1"/>
  <c r="AJ95" i="1"/>
  <c r="AJ96" i="1"/>
  <c r="AJ97" i="1"/>
  <c r="AJ98" i="1"/>
  <c r="AJ99" i="1"/>
  <c r="AJ100" i="1"/>
  <c r="AJ101" i="1"/>
  <c r="AJ102" i="1"/>
  <c r="AJ103" i="1"/>
  <c r="AJ104" i="1"/>
  <c r="AJ105" i="1"/>
  <c r="AJ106" i="1"/>
  <c r="AJ107" i="1"/>
  <c r="AJ108" i="1"/>
  <c r="AJ109" i="1"/>
  <c r="AJ110" i="1"/>
  <c r="AJ111" i="1"/>
  <c r="AJ112" i="1"/>
  <c r="AJ113" i="1"/>
  <c r="AJ114" i="1"/>
  <c r="AJ115" i="1"/>
  <c r="AJ116" i="1"/>
  <c r="AJ117" i="1"/>
  <c r="AJ118" i="1"/>
  <c r="AJ119" i="1"/>
  <c r="AJ120" i="1"/>
  <c r="AJ121" i="1"/>
  <c r="AJ122" i="1"/>
  <c r="AJ123" i="1"/>
  <c r="AJ124" i="1"/>
  <c r="AJ125" i="1"/>
  <c r="AJ126" i="1"/>
  <c r="AJ127" i="1"/>
  <c r="AJ128" i="1"/>
  <c r="AJ129" i="1"/>
  <c r="AJ130" i="1"/>
  <c r="AJ131" i="1"/>
  <c r="AJ132" i="1"/>
  <c r="AJ133" i="1"/>
  <c r="AJ134" i="1"/>
  <c r="AJ135" i="1"/>
  <c r="AJ136" i="1"/>
  <c r="AJ137" i="1"/>
  <c r="AJ138" i="1"/>
  <c r="AJ139" i="1"/>
  <c r="AJ140" i="1"/>
  <c r="AJ141" i="1"/>
  <c r="AJ142" i="1"/>
  <c r="AJ143" i="1"/>
  <c r="AJ144" i="1"/>
  <c r="AJ145" i="1"/>
  <c r="AJ146" i="1"/>
  <c r="AJ147" i="1"/>
  <c r="AJ148" i="1"/>
  <c r="AJ149" i="1"/>
  <c r="AJ150" i="1"/>
  <c r="AJ151" i="1"/>
  <c r="AJ152" i="1"/>
  <c r="AJ153" i="1"/>
  <c r="AJ154" i="1"/>
  <c r="AJ155" i="1"/>
  <c r="AJ156" i="1"/>
  <c r="AJ157" i="1"/>
  <c r="AJ158" i="1"/>
  <c r="AJ159" i="1"/>
  <c r="AJ160" i="1"/>
  <c r="AJ161" i="1"/>
  <c r="AJ162" i="1"/>
  <c r="AJ163" i="1"/>
  <c r="AJ164" i="1"/>
  <c r="AJ165" i="1"/>
  <c r="AJ166" i="1"/>
  <c r="AJ167" i="1"/>
  <c r="AJ168" i="1"/>
  <c r="AJ169" i="1"/>
  <c r="AJ170" i="1"/>
  <c r="AJ171" i="1"/>
  <c r="AJ172" i="1"/>
  <c r="AJ173" i="1"/>
  <c r="AJ174" i="1"/>
  <c r="AJ175" i="1"/>
  <c r="AJ176" i="1"/>
  <c r="AJ177" i="1"/>
  <c r="AJ178" i="1"/>
  <c r="AJ179" i="1"/>
  <c r="AJ180" i="1"/>
  <c r="AJ181" i="1"/>
  <c r="AJ182" i="1"/>
  <c r="AJ183" i="1"/>
  <c r="AJ184" i="1"/>
  <c r="AJ185" i="1"/>
  <c r="AJ186" i="1"/>
  <c r="AJ187" i="1"/>
  <c r="AJ188" i="1"/>
  <c r="AJ189" i="1"/>
  <c r="AJ190" i="1"/>
  <c r="AJ191" i="1"/>
  <c r="AJ192" i="1"/>
  <c r="AJ193" i="1"/>
  <c r="AJ194" i="1"/>
  <c r="AJ195" i="1"/>
  <c r="AJ196" i="1"/>
  <c r="AJ197" i="1"/>
  <c r="AJ198" i="1"/>
  <c r="AJ199" i="1"/>
  <c r="AJ200" i="1"/>
  <c r="AJ201" i="1"/>
  <c r="AJ202" i="1"/>
  <c r="AJ203" i="1"/>
  <c r="AJ204" i="1"/>
  <c r="AJ205" i="1"/>
  <c r="AJ206" i="1"/>
  <c r="AJ207" i="1"/>
  <c r="AJ208" i="1"/>
  <c r="AJ209" i="1"/>
  <c r="AJ210" i="1"/>
  <c r="AJ211" i="1"/>
  <c r="AJ212" i="1"/>
  <c r="AJ213" i="1"/>
  <c r="AJ214" i="1"/>
  <c r="AJ215" i="1"/>
  <c r="AJ216" i="1"/>
  <c r="AJ217" i="1"/>
  <c r="AJ218" i="1"/>
  <c r="AJ219" i="1"/>
  <c r="AJ220" i="1"/>
  <c r="AJ221" i="1"/>
  <c r="AJ222" i="1"/>
  <c r="AJ223" i="1"/>
  <c r="AJ224" i="1"/>
  <c r="AJ225" i="1"/>
  <c r="AJ226" i="1"/>
  <c r="AJ227" i="1"/>
  <c r="AJ228" i="1"/>
  <c r="AJ229" i="1"/>
  <c r="AJ230" i="1"/>
  <c r="AJ231" i="1"/>
  <c r="AJ232" i="1"/>
  <c r="AJ233" i="1"/>
  <c r="AJ234" i="1"/>
  <c r="AJ235" i="1"/>
  <c r="AJ236" i="1"/>
  <c r="AJ237" i="1"/>
  <c r="AJ238" i="1"/>
  <c r="AJ239" i="1"/>
  <c r="AJ240" i="1"/>
  <c r="AJ241" i="1"/>
  <c r="AJ242" i="1"/>
  <c r="AJ243" i="1"/>
  <c r="AJ244" i="1"/>
  <c r="AJ245" i="1"/>
  <c r="AJ246" i="1"/>
  <c r="AJ247" i="1"/>
  <c r="AJ248" i="1"/>
  <c r="AJ249" i="1"/>
  <c r="AJ250" i="1"/>
  <c r="AJ251" i="1"/>
  <c r="AJ252" i="1"/>
  <c r="AJ253" i="1"/>
  <c r="AJ254" i="1"/>
  <c r="AJ255" i="1"/>
  <c r="AJ256" i="1"/>
  <c r="AJ257" i="1"/>
  <c r="AJ258" i="1"/>
  <c r="AJ259" i="1"/>
  <c r="AJ260" i="1"/>
  <c r="AJ261" i="1"/>
  <c r="AJ262" i="1"/>
  <c r="AJ263" i="1"/>
  <c r="AJ264" i="1"/>
  <c r="AJ265" i="1"/>
  <c r="AJ266" i="1"/>
  <c r="AJ267" i="1"/>
  <c r="AJ268" i="1"/>
  <c r="AJ269" i="1"/>
  <c r="AJ270" i="1"/>
  <c r="AJ271" i="1"/>
  <c r="AJ272" i="1"/>
  <c r="AJ273" i="1"/>
  <c r="AJ274" i="1"/>
  <c r="AJ275" i="1"/>
  <c r="AJ276" i="1"/>
  <c r="AJ277" i="1"/>
  <c r="AJ278" i="1"/>
  <c r="AJ279" i="1"/>
  <c r="AJ280" i="1"/>
  <c r="AJ281" i="1"/>
  <c r="AJ282" i="1"/>
  <c r="AJ283" i="1"/>
  <c r="AJ284" i="1"/>
  <c r="AJ285" i="1"/>
  <c r="AJ286" i="1"/>
  <c r="AJ287" i="1"/>
  <c r="AJ288" i="1"/>
  <c r="AJ289" i="1"/>
  <c r="AJ290" i="1"/>
  <c r="AJ291" i="1"/>
  <c r="AJ292" i="1"/>
  <c r="AJ293" i="1"/>
  <c r="AJ294" i="1"/>
  <c r="AJ295" i="1"/>
  <c r="AJ296" i="1"/>
  <c r="AJ297" i="1"/>
  <c r="AJ298" i="1"/>
  <c r="AJ299" i="1"/>
  <c r="AJ300" i="1"/>
  <c r="AJ301" i="1"/>
  <c r="AJ302" i="1"/>
  <c r="AJ303" i="1"/>
  <c r="AJ304" i="1"/>
  <c r="AJ305" i="1"/>
  <c r="AJ306" i="1"/>
  <c r="AJ307" i="1"/>
  <c r="AJ308" i="1"/>
  <c r="AJ309" i="1"/>
  <c r="AJ310" i="1"/>
  <c r="AJ311" i="1"/>
  <c r="AJ312" i="1"/>
  <c r="AJ313" i="1"/>
  <c r="AJ314" i="1"/>
  <c r="AJ315" i="1"/>
  <c r="AJ316" i="1"/>
  <c r="AJ317" i="1"/>
  <c r="AJ318" i="1"/>
  <c r="AJ319" i="1"/>
  <c r="AJ320" i="1"/>
  <c r="AJ321" i="1"/>
  <c r="AJ322" i="1"/>
  <c r="AJ323" i="1"/>
  <c r="AJ324" i="1"/>
  <c r="AJ325" i="1"/>
  <c r="AJ326" i="1"/>
  <c r="AJ327" i="1"/>
  <c r="AJ328" i="1"/>
  <c r="AJ329" i="1"/>
  <c r="AJ330" i="1"/>
  <c r="AJ331" i="1"/>
  <c r="AJ332" i="1"/>
  <c r="AJ333" i="1"/>
  <c r="AJ334" i="1"/>
  <c r="AJ335" i="1"/>
  <c r="AJ336" i="1"/>
  <c r="AJ337" i="1"/>
  <c r="AJ338" i="1"/>
  <c r="AJ339" i="1"/>
  <c r="AJ340" i="1"/>
  <c r="AJ341" i="1"/>
  <c r="AJ342" i="1"/>
  <c r="AJ343" i="1"/>
  <c r="AJ344" i="1"/>
  <c r="AJ345" i="1"/>
  <c r="AJ346" i="1"/>
  <c r="AJ347" i="1"/>
  <c r="AJ348" i="1"/>
  <c r="AJ349" i="1"/>
  <c r="AJ350" i="1"/>
  <c r="AJ351" i="1"/>
  <c r="AJ352" i="1"/>
  <c r="AJ353" i="1"/>
  <c r="AJ354" i="1"/>
  <c r="AJ355" i="1"/>
  <c r="AJ356" i="1"/>
  <c r="AJ357" i="1"/>
  <c r="AJ358" i="1"/>
  <c r="AJ359" i="1"/>
  <c r="AJ360" i="1"/>
  <c r="AJ361" i="1"/>
  <c r="AJ362" i="1"/>
  <c r="AJ363" i="1"/>
  <c r="AJ364" i="1"/>
  <c r="AJ365" i="1"/>
  <c r="AJ366" i="1"/>
  <c r="AJ367" i="1"/>
  <c r="AJ368" i="1"/>
  <c r="AJ369" i="1"/>
  <c r="AJ370" i="1"/>
  <c r="AJ371" i="1"/>
  <c r="AJ372" i="1"/>
  <c r="AJ373" i="1"/>
  <c r="AJ374" i="1"/>
  <c r="AJ375" i="1"/>
  <c r="AJ376" i="1"/>
  <c r="AJ377" i="1"/>
  <c r="AJ378" i="1"/>
  <c r="AJ379" i="1"/>
  <c r="AJ380" i="1"/>
  <c r="AJ381" i="1"/>
  <c r="AJ382" i="1"/>
  <c r="AJ383" i="1"/>
  <c r="AJ384" i="1"/>
  <c r="AJ385" i="1"/>
  <c r="AJ386" i="1"/>
  <c r="AJ387" i="1"/>
  <c r="AJ388" i="1"/>
  <c r="AJ389" i="1"/>
  <c r="AJ390" i="1"/>
  <c r="AJ391" i="1"/>
  <c r="AJ392" i="1"/>
  <c r="AJ393" i="1"/>
  <c r="AJ394" i="1"/>
  <c r="AJ395" i="1"/>
  <c r="AJ396" i="1"/>
  <c r="AJ397" i="1"/>
  <c r="AJ398" i="1"/>
  <c r="AJ399" i="1"/>
  <c r="AJ400" i="1"/>
  <c r="AJ401" i="1"/>
  <c r="AJ402" i="1"/>
  <c r="AJ403" i="1"/>
  <c r="AJ404" i="1"/>
  <c r="AJ405" i="1"/>
  <c r="AJ406" i="1"/>
  <c r="AJ407" i="1"/>
  <c r="AJ408" i="1"/>
  <c r="AJ409" i="1"/>
  <c r="AJ410" i="1"/>
  <c r="AJ411" i="1"/>
  <c r="AJ412" i="1"/>
  <c r="AJ413" i="1"/>
  <c r="AJ414" i="1"/>
  <c r="AJ415" i="1"/>
  <c r="AJ416" i="1"/>
  <c r="AJ417" i="1"/>
  <c r="AJ418" i="1"/>
  <c r="AJ419" i="1"/>
  <c r="AJ420" i="1"/>
  <c r="AJ421" i="1"/>
  <c r="AJ422" i="1"/>
  <c r="AJ423" i="1"/>
  <c r="AJ424" i="1"/>
  <c r="AJ425" i="1"/>
  <c r="AJ426" i="1"/>
  <c r="AJ427" i="1"/>
  <c r="AJ428" i="1"/>
  <c r="AJ429" i="1"/>
  <c r="AJ430" i="1"/>
  <c r="AJ431" i="1"/>
  <c r="AJ432" i="1"/>
  <c r="AJ433" i="1"/>
  <c r="AJ434" i="1"/>
  <c r="AJ435" i="1"/>
  <c r="AJ436" i="1"/>
  <c r="AJ437" i="1"/>
  <c r="AJ438" i="1"/>
  <c r="AJ439" i="1"/>
  <c r="AJ440" i="1"/>
  <c r="AJ441" i="1"/>
  <c r="AJ442" i="1"/>
  <c r="AJ443" i="1"/>
  <c r="AJ444" i="1"/>
  <c r="AJ445" i="1"/>
  <c r="AJ446" i="1"/>
  <c r="AJ447" i="1"/>
  <c r="AJ448" i="1"/>
  <c r="AJ449" i="1"/>
  <c r="AJ450" i="1"/>
  <c r="AJ451" i="1"/>
  <c r="AJ452" i="1"/>
  <c r="AJ453" i="1"/>
  <c r="AJ454" i="1"/>
  <c r="AJ455" i="1"/>
  <c r="AJ456" i="1"/>
  <c r="AJ457" i="1"/>
  <c r="AJ458" i="1"/>
  <c r="AJ459" i="1"/>
  <c r="AJ460" i="1"/>
  <c r="AJ461" i="1"/>
  <c r="AJ462" i="1"/>
  <c r="AJ463" i="1"/>
  <c r="AJ464" i="1"/>
  <c r="AJ465" i="1"/>
  <c r="AJ466" i="1"/>
  <c r="AJ467" i="1"/>
  <c r="AJ468" i="1"/>
  <c r="AJ469" i="1"/>
  <c r="AJ470" i="1"/>
  <c r="AJ471" i="1"/>
  <c r="AJ472" i="1"/>
  <c r="AJ473" i="1"/>
  <c r="AJ474" i="1"/>
  <c r="AJ475" i="1"/>
  <c r="AJ476" i="1"/>
  <c r="AJ477" i="1"/>
  <c r="AJ478" i="1"/>
  <c r="AJ479" i="1"/>
  <c r="AJ480" i="1"/>
  <c r="AJ481" i="1"/>
  <c r="AJ482" i="1"/>
  <c r="AJ483" i="1"/>
  <c r="AJ484" i="1"/>
  <c r="AJ485" i="1"/>
  <c r="AJ486" i="1"/>
  <c r="AJ487" i="1"/>
  <c r="AJ488" i="1"/>
  <c r="AJ489" i="1"/>
  <c r="AJ490" i="1"/>
  <c r="AJ491" i="1"/>
  <c r="AJ492" i="1"/>
  <c r="AJ493" i="1"/>
  <c r="AJ494" i="1"/>
  <c r="AJ495" i="1"/>
  <c r="AJ496" i="1"/>
  <c r="AJ497" i="1"/>
  <c r="AJ498" i="1"/>
  <c r="AJ499" i="1"/>
  <c r="AJ500" i="1"/>
  <c r="AJ501" i="1"/>
  <c r="AJ502" i="1"/>
  <c r="AJ503" i="1"/>
  <c r="AJ504" i="1"/>
  <c r="AJ505" i="1"/>
  <c r="AJ506" i="1"/>
  <c r="AJ507" i="1"/>
  <c r="AJ508" i="1"/>
  <c r="AJ509" i="1"/>
  <c r="AJ510" i="1"/>
  <c r="AJ511" i="1"/>
  <c r="AJ512" i="1"/>
  <c r="AJ513" i="1"/>
  <c r="AJ514" i="1"/>
  <c r="AJ515" i="1"/>
  <c r="AJ516" i="1"/>
  <c r="AJ517" i="1"/>
  <c r="AJ518" i="1"/>
  <c r="AJ519" i="1"/>
  <c r="AJ520" i="1"/>
  <c r="AJ521" i="1"/>
  <c r="AJ522" i="1"/>
  <c r="AJ523" i="1"/>
  <c r="AJ524" i="1"/>
  <c r="AJ525" i="1"/>
  <c r="AJ526" i="1"/>
  <c r="AJ527" i="1"/>
  <c r="AJ528" i="1"/>
  <c r="AJ529" i="1"/>
  <c r="AJ530" i="1"/>
  <c r="AJ531" i="1"/>
  <c r="AJ532" i="1"/>
  <c r="AJ533" i="1"/>
  <c r="AJ534" i="1"/>
  <c r="AJ535" i="1"/>
  <c r="AJ536" i="1"/>
  <c r="AJ537" i="1"/>
  <c r="AJ538" i="1"/>
  <c r="AJ539" i="1"/>
  <c r="AJ540" i="1"/>
  <c r="AJ541" i="1"/>
  <c r="AJ542" i="1"/>
  <c r="AJ543" i="1"/>
  <c r="AJ544" i="1"/>
  <c r="AJ545" i="1"/>
  <c r="AJ546" i="1"/>
  <c r="AJ547" i="1"/>
  <c r="AJ548" i="1"/>
  <c r="AJ549" i="1"/>
  <c r="AJ550" i="1"/>
  <c r="AJ551" i="1"/>
  <c r="AJ552" i="1"/>
  <c r="AJ553" i="1"/>
  <c r="AJ554" i="1"/>
  <c r="AJ555" i="1"/>
  <c r="AJ556" i="1"/>
  <c r="AJ557" i="1"/>
  <c r="AJ558" i="1"/>
  <c r="AJ559" i="1"/>
  <c r="AJ560" i="1"/>
  <c r="AJ561" i="1"/>
  <c r="AJ562" i="1"/>
  <c r="AJ563" i="1"/>
  <c r="AJ564" i="1"/>
  <c r="AJ565" i="1"/>
  <c r="AJ566" i="1"/>
  <c r="AJ567" i="1"/>
  <c r="AJ568" i="1"/>
  <c r="AJ569" i="1"/>
  <c r="AJ570" i="1"/>
  <c r="AJ571" i="1"/>
  <c r="AJ572" i="1"/>
  <c r="AJ573" i="1"/>
  <c r="AJ574" i="1"/>
  <c r="AJ575" i="1"/>
  <c r="AJ576" i="1"/>
  <c r="AJ577" i="1"/>
  <c r="AJ578" i="1"/>
  <c r="AJ579" i="1"/>
  <c r="AJ580" i="1"/>
  <c r="AJ581" i="1"/>
  <c r="AJ582" i="1"/>
  <c r="AJ583" i="1"/>
  <c r="AJ584" i="1"/>
  <c r="AJ585" i="1"/>
  <c r="AJ586" i="1"/>
  <c r="AJ587" i="1"/>
  <c r="AJ588" i="1"/>
  <c r="AJ589" i="1"/>
  <c r="AJ590" i="1"/>
  <c r="AJ591" i="1"/>
  <c r="AJ592" i="1"/>
  <c r="AJ593" i="1"/>
  <c r="AJ594" i="1"/>
  <c r="AJ595" i="1"/>
  <c r="AJ596" i="1"/>
  <c r="AJ597" i="1"/>
  <c r="AJ598" i="1"/>
  <c r="AJ599" i="1"/>
  <c r="AJ600" i="1"/>
  <c r="AJ601" i="1"/>
  <c r="AJ602" i="1"/>
  <c r="AJ603" i="1"/>
  <c r="AJ604" i="1"/>
  <c r="AJ605" i="1"/>
  <c r="AJ606" i="1"/>
  <c r="AJ607" i="1"/>
  <c r="AJ608" i="1"/>
  <c r="AJ609" i="1"/>
  <c r="AJ610" i="1"/>
  <c r="AJ611" i="1"/>
  <c r="AJ612" i="1"/>
  <c r="AJ613" i="1"/>
  <c r="AJ614" i="1"/>
  <c r="AJ615" i="1"/>
  <c r="AJ616" i="1"/>
  <c r="AJ617" i="1"/>
  <c r="AJ618" i="1"/>
  <c r="AJ619" i="1"/>
  <c r="AJ620" i="1"/>
  <c r="AJ621" i="1"/>
  <c r="AJ622" i="1"/>
  <c r="AJ623" i="1"/>
  <c r="AJ624" i="1"/>
  <c r="AJ625" i="1"/>
  <c r="AJ626" i="1"/>
  <c r="AJ627" i="1"/>
  <c r="AJ628" i="1"/>
  <c r="AJ629" i="1"/>
  <c r="AJ630" i="1"/>
  <c r="AJ631" i="1"/>
  <c r="AJ632" i="1"/>
  <c r="AJ633" i="1"/>
  <c r="AJ634" i="1"/>
  <c r="AJ635" i="1"/>
  <c r="AJ636" i="1"/>
  <c r="AJ637" i="1"/>
  <c r="AJ638" i="1"/>
  <c r="AJ639" i="1"/>
  <c r="AJ640" i="1"/>
  <c r="AJ641" i="1"/>
  <c r="AJ642" i="1"/>
  <c r="AJ643" i="1"/>
  <c r="AJ644" i="1"/>
  <c r="AJ645" i="1"/>
  <c r="AJ646" i="1"/>
  <c r="AJ647" i="1"/>
  <c r="AJ648" i="1"/>
  <c r="AJ649" i="1"/>
  <c r="AJ650" i="1"/>
  <c r="AJ651" i="1"/>
  <c r="AJ652" i="1"/>
  <c r="AJ653" i="1"/>
  <c r="AJ654" i="1"/>
  <c r="AJ655" i="1"/>
  <c r="AJ656" i="1"/>
  <c r="AJ657" i="1"/>
  <c r="AJ658" i="1"/>
  <c r="AJ659" i="1"/>
  <c r="AJ660" i="1"/>
  <c r="AJ661" i="1"/>
  <c r="AJ662" i="1"/>
  <c r="AJ663" i="1"/>
  <c r="AJ664" i="1"/>
  <c r="AJ665" i="1"/>
  <c r="AJ666" i="1"/>
  <c r="AJ667" i="1"/>
  <c r="AJ668" i="1"/>
  <c r="AJ669" i="1"/>
  <c r="AJ670" i="1"/>
  <c r="AJ671" i="1"/>
  <c r="AJ672" i="1"/>
  <c r="AJ673" i="1"/>
  <c r="AJ674" i="1"/>
  <c r="AJ675" i="1"/>
  <c r="AJ676" i="1"/>
  <c r="AJ677" i="1"/>
  <c r="AJ678" i="1"/>
  <c r="AJ679" i="1"/>
  <c r="AJ680" i="1"/>
  <c r="AJ681" i="1"/>
  <c r="AJ682" i="1"/>
  <c r="AJ683" i="1"/>
  <c r="AJ684" i="1"/>
  <c r="AJ685" i="1"/>
  <c r="AJ686" i="1"/>
  <c r="AJ687" i="1"/>
  <c r="AJ688" i="1"/>
  <c r="AJ689" i="1"/>
  <c r="AJ690" i="1"/>
  <c r="AJ691" i="1"/>
  <c r="AJ692" i="1"/>
  <c r="AJ693" i="1"/>
  <c r="AJ694" i="1"/>
  <c r="AJ695" i="1"/>
  <c r="AJ696" i="1"/>
  <c r="AJ697" i="1"/>
  <c r="AJ698" i="1"/>
  <c r="AJ699" i="1"/>
  <c r="AJ700" i="1"/>
  <c r="AJ701" i="1"/>
  <c r="AJ702" i="1"/>
  <c r="AJ703" i="1"/>
  <c r="AJ704" i="1"/>
  <c r="AJ705" i="1"/>
  <c r="AJ706" i="1"/>
  <c r="AJ707" i="1"/>
  <c r="AJ708" i="1"/>
  <c r="AJ709" i="1"/>
  <c r="AJ710" i="1"/>
  <c r="AJ711" i="1"/>
  <c r="AJ712" i="1"/>
  <c r="AJ713" i="1"/>
  <c r="AJ714" i="1"/>
  <c r="AJ715" i="1"/>
  <c r="AJ716" i="1"/>
  <c r="AJ717" i="1"/>
  <c r="AJ718" i="1"/>
  <c r="AJ719" i="1"/>
  <c r="AJ720" i="1"/>
  <c r="AJ721" i="1"/>
  <c r="AJ722" i="1"/>
  <c r="AJ723" i="1"/>
  <c r="AJ724" i="1"/>
  <c r="AJ725" i="1"/>
  <c r="AJ726" i="1"/>
  <c r="AJ727" i="1"/>
  <c r="AJ728" i="1"/>
  <c r="AJ729" i="1"/>
  <c r="AJ730" i="1"/>
  <c r="AJ731" i="1"/>
  <c r="AJ732" i="1"/>
  <c r="AJ733" i="1"/>
  <c r="AJ734" i="1"/>
  <c r="AJ735" i="1"/>
  <c r="AJ736" i="1"/>
  <c r="AJ737" i="1"/>
  <c r="AJ738" i="1"/>
  <c r="AJ739" i="1"/>
  <c r="AJ740" i="1"/>
  <c r="AJ741" i="1"/>
  <c r="AJ742" i="1"/>
  <c r="AJ743" i="1"/>
  <c r="AJ744" i="1"/>
  <c r="AJ745" i="1"/>
  <c r="AJ746" i="1"/>
  <c r="AJ747" i="1"/>
  <c r="AJ748" i="1"/>
  <c r="AJ749" i="1"/>
  <c r="AJ750" i="1"/>
  <c r="AJ751" i="1"/>
  <c r="AJ752" i="1"/>
  <c r="AJ753" i="1"/>
  <c r="AJ754" i="1"/>
  <c r="AJ755" i="1"/>
  <c r="AJ756" i="1"/>
  <c r="AJ757" i="1"/>
  <c r="AJ758" i="1"/>
  <c r="AJ759" i="1"/>
  <c r="AJ760" i="1"/>
  <c r="AJ761" i="1"/>
  <c r="AJ762" i="1"/>
  <c r="AJ763" i="1"/>
  <c r="AJ764" i="1"/>
  <c r="AJ765" i="1"/>
  <c r="AJ766" i="1"/>
  <c r="AJ767" i="1"/>
  <c r="AJ768" i="1"/>
  <c r="AJ769" i="1"/>
  <c r="AJ770" i="1"/>
  <c r="AJ771" i="1"/>
  <c r="AJ772" i="1"/>
  <c r="AJ773" i="1"/>
  <c r="AJ774" i="1"/>
  <c r="AJ775" i="1"/>
  <c r="AJ776" i="1"/>
  <c r="AJ777" i="1"/>
  <c r="AJ778" i="1"/>
  <c r="AJ779" i="1"/>
  <c r="AJ780" i="1"/>
  <c r="AJ781" i="1"/>
  <c r="AJ782" i="1"/>
  <c r="AJ783" i="1"/>
  <c r="AJ784" i="1"/>
  <c r="AJ785" i="1"/>
  <c r="AJ786" i="1"/>
  <c r="AJ787" i="1"/>
  <c r="AJ788" i="1"/>
  <c r="AJ789" i="1"/>
  <c r="AJ790" i="1"/>
  <c r="AJ791" i="1"/>
  <c r="AJ792" i="1"/>
  <c r="AJ793" i="1"/>
  <c r="AJ794" i="1"/>
  <c r="AJ795" i="1"/>
  <c r="AJ796" i="1"/>
  <c r="AJ797" i="1"/>
  <c r="AJ798" i="1"/>
  <c r="AJ799" i="1"/>
  <c r="AJ800" i="1"/>
  <c r="AJ801" i="1"/>
  <c r="AJ802" i="1"/>
  <c r="AJ803" i="1"/>
  <c r="AJ804" i="1"/>
  <c r="AJ805" i="1"/>
  <c r="AJ806" i="1"/>
  <c r="AJ807" i="1"/>
  <c r="AJ808" i="1"/>
  <c r="AJ809" i="1"/>
  <c r="AJ810" i="1"/>
  <c r="AJ811" i="1"/>
  <c r="AJ812" i="1"/>
  <c r="AJ813" i="1"/>
  <c r="AJ814" i="1"/>
  <c r="AJ815" i="1"/>
  <c r="AJ816" i="1"/>
  <c r="AJ817" i="1"/>
  <c r="AJ818" i="1"/>
  <c r="AJ819" i="1"/>
  <c r="AJ820" i="1"/>
  <c r="AJ821" i="1"/>
  <c r="AJ822" i="1"/>
  <c r="AJ823" i="1"/>
  <c r="AJ824" i="1"/>
  <c r="AJ825" i="1"/>
  <c r="AJ826" i="1"/>
  <c r="AJ827" i="1"/>
  <c r="AJ828" i="1"/>
  <c r="AJ829" i="1"/>
  <c r="AJ830" i="1"/>
  <c r="AJ831" i="1"/>
  <c r="AJ832" i="1"/>
  <c r="AJ833" i="1"/>
  <c r="AJ834" i="1"/>
  <c r="AJ835" i="1"/>
  <c r="AJ836" i="1"/>
  <c r="AJ837" i="1"/>
  <c r="AJ838" i="1"/>
  <c r="AJ839" i="1"/>
  <c r="AJ840" i="1"/>
  <c r="AJ841" i="1"/>
  <c r="AJ842" i="1"/>
  <c r="AJ843" i="1"/>
  <c r="AJ844" i="1"/>
  <c r="AJ845" i="1"/>
  <c r="AJ846" i="1"/>
  <c r="AJ847" i="1"/>
  <c r="AJ848" i="1"/>
  <c r="AJ849" i="1"/>
  <c r="AJ850" i="1"/>
  <c r="AJ851" i="1"/>
  <c r="AJ852" i="1"/>
  <c r="AJ853" i="1"/>
  <c r="AJ854" i="1"/>
  <c r="AJ855" i="1"/>
  <c r="AJ856" i="1"/>
  <c r="AJ857" i="1"/>
  <c r="AJ858" i="1"/>
  <c r="AJ859" i="1"/>
  <c r="AJ860" i="1"/>
  <c r="AJ861" i="1"/>
  <c r="AJ862" i="1"/>
  <c r="AJ863" i="1"/>
  <c r="AJ864" i="1"/>
  <c r="AJ865" i="1"/>
  <c r="AJ866" i="1"/>
  <c r="AJ867" i="1"/>
  <c r="AJ868" i="1"/>
  <c r="AJ869" i="1"/>
  <c r="AJ870" i="1"/>
  <c r="AJ871" i="1"/>
  <c r="AJ872" i="1"/>
  <c r="AJ873" i="1"/>
  <c r="AJ874" i="1"/>
  <c r="AJ875" i="1"/>
  <c r="AJ876" i="1"/>
  <c r="AJ877" i="1"/>
  <c r="AJ878" i="1"/>
  <c r="AJ879" i="1"/>
  <c r="AJ880" i="1"/>
  <c r="AJ881" i="1"/>
  <c r="AJ882" i="1"/>
  <c r="AJ883" i="1"/>
  <c r="AJ884" i="1"/>
  <c r="AJ885" i="1"/>
  <c r="AJ886" i="1"/>
  <c r="AJ887" i="1"/>
  <c r="AJ888" i="1"/>
  <c r="AJ889" i="1"/>
  <c r="AJ890" i="1"/>
  <c r="AJ891" i="1"/>
  <c r="AJ892" i="1"/>
  <c r="AJ893" i="1"/>
  <c r="AJ894" i="1"/>
  <c r="AJ895" i="1"/>
  <c r="AJ896" i="1"/>
  <c r="AJ897" i="1"/>
  <c r="AJ898" i="1"/>
  <c r="AJ899" i="1"/>
  <c r="AJ900" i="1"/>
  <c r="AJ901" i="1"/>
  <c r="AJ902" i="1"/>
  <c r="AJ903" i="1"/>
  <c r="AJ904" i="1"/>
  <c r="AJ905" i="1"/>
  <c r="AJ906" i="1"/>
  <c r="AJ907" i="1"/>
  <c r="AJ908" i="1"/>
  <c r="AJ909" i="1"/>
  <c r="AJ910" i="1"/>
  <c r="AJ911" i="1"/>
  <c r="AJ912" i="1"/>
  <c r="AJ913" i="1"/>
  <c r="AJ914" i="1"/>
  <c r="AJ915" i="1"/>
  <c r="AJ916" i="1"/>
  <c r="AJ917" i="1"/>
  <c r="AJ918" i="1"/>
  <c r="AJ919" i="1"/>
  <c r="AJ920" i="1"/>
  <c r="AJ921" i="1"/>
  <c r="AJ922" i="1"/>
  <c r="AJ923" i="1"/>
  <c r="AJ924" i="1"/>
  <c r="AJ925" i="1"/>
  <c r="AJ926" i="1"/>
  <c r="AJ927" i="1"/>
  <c r="AJ928" i="1"/>
  <c r="AJ929" i="1"/>
  <c r="AJ930" i="1"/>
  <c r="AJ931" i="1"/>
  <c r="AJ932" i="1"/>
  <c r="AJ933" i="1"/>
  <c r="AJ934" i="1"/>
  <c r="AJ935" i="1"/>
  <c r="AJ936" i="1"/>
  <c r="AJ937" i="1"/>
  <c r="AJ938" i="1"/>
  <c r="AJ939" i="1"/>
  <c r="AJ940" i="1"/>
  <c r="AJ941" i="1"/>
  <c r="AJ942" i="1"/>
  <c r="AJ943" i="1"/>
  <c r="AJ944" i="1"/>
  <c r="AJ945" i="1"/>
  <c r="AJ946" i="1"/>
  <c r="AJ947" i="1"/>
  <c r="AJ948" i="1"/>
  <c r="AJ949" i="1"/>
  <c r="AJ950" i="1"/>
  <c r="AJ951" i="1"/>
  <c r="AJ952" i="1"/>
  <c r="AJ953" i="1"/>
  <c r="AJ954" i="1"/>
  <c r="AJ955" i="1"/>
  <c r="AJ956" i="1"/>
  <c r="AJ957" i="1"/>
  <c r="AJ958" i="1"/>
  <c r="AJ959" i="1"/>
  <c r="AJ960" i="1"/>
  <c r="AJ961" i="1"/>
  <c r="AJ962" i="1"/>
  <c r="AJ963" i="1"/>
  <c r="AJ964" i="1"/>
  <c r="AJ965" i="1"/>
  <c r="AJ966" i="1"/>
  <c r="AJ967" i="1"/>
  <c r="AJ968" i="1"/>
  <c r="AJ969" i="1"/>
  <c r="AJ970" i="1"/>
  <c r="AJ971" i="1"/>
  <c r="AJ972" i="1"/>
  <c r="AJ973" i="1"/>
  <c r="AJ974" i="1"/>
  <c r="AJ975" i="1"/>
  <c r="AJ976" i="1"/>
  <c r="AJ977" i="1"/>
  <c r="AJ978" i="1"/>
  <c r="AJ979" i="1"/>
  <c r="AJ980" i="1"/>
  <c r="AJ981" i="1"/>
  <c r="AJ982" i="1"/>
  <c r="AJ983" i="1"/>
  <c r="AJ984" i="1"/>
  <c r="AJ985" i="1"/>
  <c r="AJ986" i="1"/>
  <c r="AJ987" i="1"/>
  <c r="AJ988" i="1"/>
  <c r="AJ989" i="1"/>
  <c r="AJ990" i="1"/>
  <c r="AJ991" i="1"/>
  <c r="AJ992" i="1"/>
  <c r="AJ993" i="1"/>
  <c r="AJ994" i="1"/>
  <c r="AJ995" i="1"/>
  <c r="AJ996" i="1"/>
  <c r="AJ997" i="1"/>
  <c r="AJ998" i="1"/>
  <c r="AJ999" i="1"/>
  <c r="AJ1000" i="1"/>
  <c r="AJ1001" i="1"/>
  <c r="AJ1002" i="1"/>
  <c r="AJ1003" i="1"/>
  <c r="AJ1004" i="1"/>
  <c r="AJ1005" i="1"/>
  <c r="AJ1006" i="1"/>
  <c r="AJ1007" i="1"/>
  <c r="AJ1008" i="1"/>
  <c r="AJ1009" i="1"/>
  <c r="AJ1010" i="1"/>
  <c r="AJ1011" i="1"/>
  <c r="AJ1012" i="1"/>
  <c r="AJ1013" i="1"/>
  <c r="AJ1014" i="1"/>
  <c r="AJ1015" i="1"/>
  <c r="AJ1016" i="1"/>
  <c r="AJ1017" i="1"/>
  <c r="AJ1018" i="1"/>
  <c r="AJ1019" i="1"/>
  <c r="AJ1020" i="1"/>
  <c r="AJ1021" i="1"/>
  <c r="AJ1022" i="1"/>
  <c r="AJ1023" i="1"/>
  <c r="AJ1024" i="1"/>
  <c r="AJ1025" i="1"/>
  <c r="AJ1026" i="1"/>
  <c r="AJ1027" i="1"/>
  <c r="AJ1028" i="1"/>
  <c r="AJ1029" i="1"/>
  <c r="AJ1030" i="1"/>
  <c r="AJ1031" i="1"/>
  <c r="AJ1032" i="1"/>
  <c r="AJ1033" i="1"/>
  <c r="AJ1034" i="1"/>
  <c r="AJ1035" i="1"/>
  <c r="AJ1036" i="1"/>
  <c r="AJ1037" i="1"/>
  <c r="AJ1038" i="1"/>
  <c r="AJ1039" i="1"/>
  <c r="AJ1040" i="1"/>
  <c r="AJ1041" i="1"/>
  <c r="AJ1042" i="1"/>
  <c r="AJ1043" i="1"/>
  <c r="AJ1044" i="1"/>
  <c r="AJ1045" i="1"/>
  <c r="AJ1046" i="1"/>
  <c r="AJ1047" i="1"/>
  <c r="AJ1048" i="1"/>
  <c r="AJ1049" i="1"/>
  <c r="AJ1050" i="1"/>
  <c r="AJ1051" i="1"/>
  <c r="AJ1052" i="1"/>
  <c r="AJ1053" i="1"/>
  <c r="AJ1054" i="1"/>
  <c r="AJ1055" i="1"/>
  <c r="AJ1056" i="1"/>
  <c r="AJ1057" i="1"/>
  <c r="AJ1058" i="1"/>
  <c r="AJ1059" i="1"/>
  <c r="AJ1060" i="1"/>
  <c r="AJ1061" i="1"/>
  <c r="AJ1062" i="1"/>
  <c r="AJ1063" i="1"/>
  <c r="AJ1064" i="1"/>
  <c r="AJ1065" i="1"/>
  <c r="AJ1066" i="1"/>
  <c r="AJ1067" i="1"/>
  <c r="AJ1068" i="1"/>
  <c r="AJ1069" i="1"/>
  <c r="AJ1070" i="1"/>
  <c r="AJ1071" i="1"/>
  <c r="AJ1072" i="1"/>
  <c r="AJ1073" i="1"/>
  <c r="AJ1074" i="1"/>
  <c r="AJ1075" i="1"/>
  <c r="AJ1076" i="1"/>
  <c r="AJ1077" i="1"/>
  <c r="AJ1078" i="1"/>
  <c r="AJ1079" i="1"/>
  <c r="AJ1080" i="1"/>
  <c r="AJ1081" i="1"/>
  <c r="AJ1082" i="1"/>
  <c r="AJ1083" i="1"/>
  <c r="AJ1084" i="1"/>
  <c r="AJ1085" i="1"/>
  <c r="AJ1086" i="1"/>
  <c r="AJ1087" i="1"/>
  <c r="AJ1088" i="1"/>
  <c r="AJ1089" i="1"/>
  <c r="AJ1090" i="1"/>
  <c r="AJ1091" i="1"/>
  <c r="AJ1092" i="1"/>
  <c r="AJ1093" i="1"/>
  <c r="AJ1094" i="1"/>
  <c r="AJ1095" i="1"/>
  <c r="AJ1096" i="1"/>
  <c r="AJ1097" i="1"/>
  <c r="AJ1098" i="1"/>
  <c r="AJ1099" i="1"/>
  <c r="AJ1100" i="1"/>
  <c r="AJ1101" i="1"/>
  <c r="AJ1102" i="1"/>
  <c r="AJ1103" i="1"/>
  <c r="AJ1104" i="1"/>
  <c r="AJ1105" i="1"/>
  <c r="AJ1106" i="1"/>
  <c r="AJ1107" i="1"/>
  <c r="AJ1108" i="1"/>
  <c r="AJ1109" i="1"/>
  <c r="AJ1110" i="1"/>
  <c r="AJ1111" i="1"/>
  <c r="AJ1112" i="1"/>
  <c r="AJ1113" i="1"/>
  <c r="AJ1114" i="1"/>
  <c r="AJ1115" i="1"/>
  <c r="AJ1116" i="1"/>
  <c r="AJ1117" i="1"/>
  <c r="AJ1118" i="1"/>
  <c r="AJ1119" i="1"/>
  <c r="AJ1120" i="1"/>
  <c r="AJ1121" i="1"/>
  <c r="AJ1122" i="1"/>
  <c r="AJ1123" i="1"/>
  <c r="AJ1124" i="1"/>
  <c r="AJ1125" i="1"/>
  <c r="AJ1126" i="1"/>
  <c r="AJ1127" i="1"/>
  <c r="AJ1128" i="1"/>
  <c r="AJ1129" i="1"/>
  <c r="AJ1130" i="1"/>
  <c r="AJ1131" i="1"/>
  <c r="AJ1132" i="1"/>
  <c r="AJ1133" i="1"/>
  <c r="AJ1134" i="1"/>
  <c r="AJ1135" i="1"/>
  <c r="AJ1136" i="1"/>
  <c r="AJ1137" i="1"/>
  <c r="AJ1138" i="1"/>
  <c r="AJ1139" i="1"/>
  <c r="AJ1140" i="1"/>
  <c r="AJ1141" i="1"/>
  <c r="AJ1142" i="1"/>
  <c r="AJ1143" i="1"/>
  <c r="AJ1144" i="1"/>
  <c r="AJ1145" i="1"/>
  <c r="AJ1146" i="1"/>
  <c r="AJ1147" i="1"/>
  <c r="AJ1148" i="1"/>
  <c r="AJ1149" i="1"/>
  <c r="AJ1150" i="1"/>
  <c r="AJ1151" i="1"/>
  <c r="AJ1152" i="1"/>
  <c r="AJ1153" i="1"/>
  <c r="AJ1154" i="1"/>
  <c r="AJ1155" i="1"/>
  <c r="AJ1156" i="1"/>
  <c r="AJ1157" i="1"/>
  <c r="AJ1158" i="1"/>
  <c r="AJ1159" i="1"/>
  <c r="AJ1160" i="1"/>
  <c r="AJ1161" i="1"/>
  <c r="AJ1162" i="1"/>
  <c r="AJ1163" i="1"/>
  <c r="AJ1164" i="1"/>
  <c r="AJ1165" i="1"/>
  <c r="AJ1166" i="1"/>
  <c r="AJ1167" i="1"/>
  <c r="AJ1168" i="1"/>
  <c r="AJ1169" i="1"/>
  <c r="AJ1170" i="1"/>
  <c r="AJ1171" i="1"/>
  <c r="AJ1172" i="1"/>
  <c r="AJ1173" i="1"/>
  <c r="AJ1174" i="1"/>
  <c r="AJ1175" i="1"/>
  <c r="AJ1176" i="1"/>
  <c r="AJ1177" i="1"/>
  <c r="AJ1178" i="1"/>
  <c r="AJ1179" i="1"/>
  <c r="AJ1180" i="1"/>
  <c r="AJ1181" i="1"/>
  <c r="AJ1182" i="1"/>
  <c r="AJ1183" i="1"/>
  <c r="AJ1184" i="1"/>
  <c r="AJ1185" i="1"/>
  <c r="AJ1186" i="1"/>
  <c r="AJ1187" i="1"/>
  <c r="AJ1188" i="1"/>
  <c r="AJ1189" i="1"/>
  <c r="AJ1190" i="1"/>
  <c r="AJ1191" i="1"/>
  <c r="AJ1192" i="1"/>
  <c r="AJ1193" i="1"/>
  <c r="AJ1194" i="1"/>
  <c r="AJ1195" i="1"/>
  <c r="AJ1196" i="1"/>
  <c r="AJ1197" i="1"/>
  <c r="AJ1198" i="1"/>
  <c r="AJ1199" i="1"/>
  <c r="AJ1200" i="1"/>
  <c r="AJ1201" i="1"/>
  <c r="AJ1202" i="1"/>
  <c r="AJ1203" i="1"/>
  <c r="AJ1204" i="1"/>
  <c r="AJ1205" i="1"/>
  <c r="AJ1206" i="1"/>
  <c r="AJ1207" i="1"/>
  <c r="AJ1208" i="1"/>
  <c r="AJ1209" i="1"/>
  <c r="AJ1210" i="1"/>
  <c r="AJ1211" i="1"/>
  <c r="AJ1212" i="1"/>
  <c r="AJ1213" i="1"/>
  <c r="AJ1214" i="1"/>
  <c r="AJ1215" i="1"/>
  <c r="AJ1216" i="1"/>
  <c r="AJ1217" i="1"/>
  <c r="AJ1218" i="1"/>
  <c r="AJ1219" i="1"/>
  <c r="AJ1220" i="1"/>
  <c r="AJ1221" i="1"/>
  <c r="AJ1222" i="1"/>
  <c r="AJ1223" i="1"/>
  <c r="AJ1224" i="1"/>
  <c r="AJ1225" i="1"/>
  <c r="AJ1226" i="1"/>
  <c r="AJ1227" i="1"/>
  <c r="AJ1228" i="1"/>
  <c r="AJ1229" i="1"/>
  <c r="AJ1230" i="1"/>
  <c r="AJ1231" i="1"/>
  <c r="AJ1232" i="1"/>
  <c r="AJ1233" i="1"/>
  <c r="AJ1234" i="1"/>
  <c r="AJ1235" i="1"/>
  <c r="AJ1236" i="1"/>
  <c r="AJ1237" i="1"/>
  <c r="AJ1238" i="1"/>
  <c r="AJ1239" i="1"/>
  <c r="AJ1240" i="1"/>
  <c r="AJ1241" i="1"/>
  <c r="AJ1242" i="1"/>
  <c r="AJ1243" i="1"/>
  <c r="AJ1244" i="1"/>
  <c r="AJ1245" i="1"/>
  <c r="AJ1246" i="1"/>
  <c r="AJ1247" i="1"/>
  <c r="AJ1248" i="1"/>
  <c r="AJ1249" i="1"/>
  <c r="AJ1250" i="1"/>
  <c r="AJ1251" i="1"/>
  <c r="AJ1252" i="1"/>
  <c r="AJ1253" i="1"/>
  <c r="AJ1254" i="1"/>
  <c r="AJ1255" i="1"/>
  <c r="AJ1256" i="1"/>
  <c r="AJ1257" i="1"/>
  <c r="AJ1258" i="1"/>
  <c r="AJ1259" i="1"/>
  <c r="AJ1260" i="1"/>
  <c r="AJ1261" i="1"/>
  <c r="AJ1262" i="1"/>
  <c r="AJ1263" i="1"/>
  <c r="AJ1264" i="1"/>
  <c r="AJ1265" i="1"/>
  <c r="AJ1266" i="1"/>
  <c r="AJ1267" i="1"/>
  <c r="AJ1268" i="1"/>
  <c r="AJ1269" i="1"/>
  <c r="AJ1270" i="1"/>
  <c r="AJ1271" i="1"/>
  <c r="AJ1272" i="1"/>
  <c r="AJ1273" i="1"/>
  <c r="AJ1274" i="1"/>
  <c r="AJ1275" i="1"/>
  <c r="AJ1276" i="1"/>
  <c r="AJ1277" i="1"/>
  <c r="AJ1278" i="1"/>
  <c r="AJ1279" i="1"/>
  <c r="AJ1280" i="1"/>
  <c r="AJ1281" i="1"/>
  <c r="AJ1282" i="1"/>
  <c r="AJ1283" i="1"/>
  <c r="AJ1284" i="1"/>
  <c r="AJ1285" i="1"/>
  <c r="AJ1286" i="1"/>
  <c r="AJ1287" i="1"/>
  <c r="AJ1288" i="1"/>
  <c r="AJ1289" i="1"/>
  <c r="AJ1290" i="1"/>
  <c r="AJ1291" i="1"/>
  <c r="AJ1292" i="1"/>
  <c r="AJ1293" i="1"/>
  <c r="AJ1294" i="1"/>
  <c r="AJ1295" i="1"/>
  <c r="AJ1296" i="1"/>
  <c r="AJ1297" i="1"/>
  <c r="AJ1298" i="1"/>
  <c r="AJ1299" i="1"/>
  <c r="AJ1300" i="1"/>
  <c r="AJ1301" i="1"/>
  <c r="AJ1302" i="1"/>
  <c r="AJ1303" i="1"/>
  <c r="AJ1304" i="1"/>
  <c r="AJ1305" i="1"/>
  <c r="AJ1306" i="1"/>
  <c r="AJ1307" i="1"/>
  <c r="AJ1308" i="1"/>
  <c r="AJ1309" i="1"/>
  <c r="AJ1310" i="1"/>
  <c r="AJ1311" i="1"/>
  <c r="AJ1312" i="1"/>
  <c r="AJ1313" i="1"/>
  <c r="AJ1314" i="1"/>
  <c r="AJ1315" i="1"/>
  <c r="AJ1316" i="1"/>
  <c r="AJ1317" i="1"/>
  <c r="AJ1318" i="1"/>
  <c r="AJ1319" i="1"/>
  <c r="AJ1320" i="1"/>
  <c r="AJ1321" i="1"/>
  <c r="AJ1322" i="1"/>
  <c r="AJ1323" i="1"/>
  <c r="AJ1324" i="1"/>
  <c r="AJ1325" i="1"/>
  <c r="AJ1326" i="1"/>
  <c r="AJ1327" i="1"/>
  <c r="AJ1328" i="1"/>
  <c r="AJ1329" i="1"/>
  <c r="AJ1330" i="1"/>
  <c r="AJ1331" i="1"/>
  <c r="AJ1332" i="1"/>
  <c r="AJ1333" i="1"/>
  <c r="AJ1334" i="1"/>
  <c r="AJ1335" i="1"/>
  <c r="AJ1336" i="1"/>
  <c r="AJ1337" i="1"/>
  <c r="AJ1338" i="1"/>
  <c r="AJ1339" i="1"/>
  <c r="AJ1340" i="1"/>
  <c r="AJ1341" i="1"/>
  <c r="AJ1342" i="1"/>
  <c r="AJ1343" i="1"/>
  <c r="AJ1344" i="1"/>
  <c r="AJ1345" i="1"/>
  <c r="AJ1346" i="1"/>
  <c r="AJ1347" i="1"/>
  <c r="AJ1348" i="1"/>
  <c r="AJ1349" i="1"/>
  <c r="AJ1350" i="1"/>
  <c r="AJ1351" i="1"/>
  <c r="AJ1352" i="1"/>
  <c r="AJ1353" i="1"/>
  <c r="AJ1354" i="1"/>
  <c r="AJ1355" i="1"/>
  <c r="AJ1356" i="1"/>
  <c r="AJ1357" i="1"/>
  <c r="AJ1358" i="1"/>
  <c r="AJ1359" i="1"/>
  <c r="AJ1360" i="1"/>
  <c r="AJ1361" i="1"/>
  <c r="AJ1362" i="1"/>
  <c r="AJ1363" i="1"/>
  <c r="AJ1364" i="1"/>
  <c r="AJ1365" i="1"/>
  <c r="AJ1366" i="1"/>
  <c r="AJ1367" i="1"/>
  <c r="AJ1368" i="1"/>
  <c r="AJ1369" i="1"/>
  <c r="AJ1370" i="1"/>
  <c r="AJ1371" i="1"/>
  <c r="AJ1372" i="1"/>
  <c r="AJ1373" i="1"/>
  <c r="AJ1374" i="1"/>
  <c r="AJ1375" i="1"/>
  <c r="AJ1376" i="1"/>
  <c r="AJ1377" i="1"/>
  <c r="AJ1378" i="1"/>
  <c r="AJ1379" i="1"/>
  <c r="AJ1380" i="1"/>
  <c r="AJ1381" i="1"/>
  <c r="AJ1382" i="1"/>
  <c r="AJ1383" i="1"/>
  <c r="AJ1384" i="1"/>
  <c r="AJ1385" i="1"/>
  <c r="AJ1386" i="1"/>
  <c r="AJ1387" i="1"/>
  <c r="AJ1388" i="1"/>
  <c r="AJ1389" i="1"/>
  <c r="AJ1390" i="1"/>
  <c r="AJ1391" i="1"/>
  <c r="AJ1392" i="1"/>
  <c r="AJ1393" i="1"/>
  <c r="AJ1394" i="1"/>
  <c r="AJ1395" i="1"/>
  <c r="AJ1396" i="1"/>
  <c r="AJ1397" i="1"/>
  <c r="AJ1398" i="1"/>
  <c r="AJ1399" i="1"/>
  <c r="AJ1400" i="1"/>
  <c r="AJ1401" i="1"/>
  <c r="AJ1402" i="1"/>
  <c r="AJ1403" i="1"/>
  <c r="AJ1404" i="1"/>
  <c r="AJ1405" i="1"/>
  <c r="AJ1406" i="1"/>
  <c r="AJ1407" i="1"/>
  <c r="AJ1408" i="1"/>
  <c r="AJ1409" i="1"/>
  <c r="AJ1410" i="1"/>
  <c r="AJ1411" i="1"/>
  <c r="AJ1412" i="1"/>
  <c r="AJ1413" i="1"/>
  <c r="AJ1414" i="1"/>
  <c r="AJ1415" i="1"/>
  <c r="AJ1416" i="1"/>
  <c r="AJ1417" i="1"/>
  <c r="AJ1418" i="1"/>
  <c r="AJ1419" i="1"/>
  <c r="AJ1420" i="1"/>
  <c r="AJ1421" i="1"/>
  <c r="AJ1422" i="1"/>
  <c r="AJ1423" i="1"/>
  <c r="AJ1424" i="1"/>
  <c r="AJ1425" i="1"/>
  <c r="AJ1426" i="1"/>
  <c r="AJ1427" i="1"/>
  <c r="AJ1428" i="1"/>
  <c r="AJ1429" i="1"/>
  <c r="AJ1430" i="1"/>
  <c r="AJ1431" i="1"/>
  <c r="AJ1432" i="1"/>
  <c r="AJ1433" i="1"/>
  <c r="AJ1434" i="1"/>
  <c r="AJ1435" i="1"/>
  <c r="AJ1436" i="1"/>
  <c r="AJ1437" i="1"/>
  <c r="AJ1438" i="1"/>
  <c r="AJ1439" i="1"/>
  <c r="AJ1440" i="1"/>
  <c r="AJ1441" i="1"/>
  <c r="AJ1442" i="1"/>
  <c r="AJ1443" i="1"/>
  <c r="AJ1444" i="1"/>
  <c r="AJ1445" i="1"/>
  <c r="AJ1446" i="1"/>
  <c r="AJ1447" i="1"/>
  <c r="AJ1448" i="1"/>
  <c r="AJ1449" i="1"/>
  <c r="AJ1450" i="1"/>
  <c r="AJ1451" i="1"/>
  <c r="AJ1452" i="1"/>
  <c r="AJ1453" i="1"/>
  <c r="AJ1454" i="1"/>
  <c r="AJ1455" i="1"/>
  <c r="AJ1456" i="1"/>
  <c r="AJ1457" i="1"/>
  <c r="AJ1458" i="1"/>
  <c r="AJ1459" i="1"/>
  <c r="AJ1460" i="1"/>
  <c r="AJ1461" i="1"/>
  <c r="AJ1462" i="1"/>
  <c r="AJ1463" i="1"/>
  <c r="AJ1464" i="1"/>
  <c r="AJ1465" i="1"/>
  <c r="AJ1466" i="1"/>
  <c r="AJ1467" i="1"/>
  <c r="AJ1468" i="1"/>
  <c r="AJ1469" i="1"/>
  <c r="AJ1470" i="1"/>
  <c r="AJ1471" i="1"/>
</calcChain>
</file>

<file path=xl/sharedStrings.xml><?xml version="1.0" encoding="utf-8"?>
<sst xmlns="http://schemas.openxmlformats.org/spreadsheetml/2006/main" count="26618" uniqueCount="122">
  <si>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</si>
  <si>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</si>
  <si>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</si>
  <si>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</si>
  <si>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</si>
  <si>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</si>
  <si>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</si>
  <si>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</si>
  <si>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</si>
  <si>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</si>
  <si>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</si>
  <si>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</si>
  <si>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</si>
  <si>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</si>
  <si>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</si>
  <si>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</si>
  <si>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</si>
  <si>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</si>
  <si>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</si>
  <si>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</si>
  <si>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</si>
  <si>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</si>
  <si>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</si>
  <si>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</si>
  <si>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</si>
  <si>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</si>
  <si>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</si>
  <si>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</si>
  <si>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</si>
  <si>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</si>
  <si>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</si>
  <si>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</si>
  <si>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</si>
  <si>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</si>
  <si>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</si>
  <si>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</si>
  <si>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</si>
  <si>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</si>
  <si>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</si>
  <si>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</si>
  <si>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</si>
  <si>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</si>
  <si>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</si>
  <si>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</si>
  <si>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</si>
  <si>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</si>
  <si>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</si>
  <si>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</si>
  <si>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</si>
  <si>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</si>
  <si>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</si>
  <si>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</si>
  <si>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</si>
  <si>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</si>
  <si>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</si>
  <si>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</si>
  <si>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</si>
  <si>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</si>
  <si>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</si>
  <si>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</si>
  <si>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</si>
  <si>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</si>
  <si>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Attrition_Flag</t>
  </si>
  <si>
    <t>Active_Flag</t>
  </si>
  <si>
    <t>Age_Group</t>
  </si>
  <si>
    <t>Salary_Band</t>
  </si>
  <si>
    <t>Experience_Band</t>
  </si>
  <si>
    <t>JobSatisfaction_Label</t>
  </si>
  <si>
    <t>WorkLifeBalance_Label</t>
  </si>
  <si>
    <t>Total Employees</t>
  </si>
  <si>
    <t>Employees Left</t>
  </si>
  <si>
    <t>Active Employees</t>
  </si>
  <si>
    <t>Avg Monthly Income</t>
  </si>
  <si>
    <t>Attrition Rate</t>
  </si>
  <si>
    <t>Row Labels</t>
  </si>
  <si>
    <t>Grand Total</t>
  </si>
  <si>
    <t>25-34</t>
  </si>
  <si>
    <t>35-44</t>
  </si>
  <si>
    <t>45-54</t>
  </si>
  <si>
    <t>55+</t>
  </si>
  <si>
    <t>Under 25</t>
  </si>
  <si>
    <t>High Salary</t>
  </si>
  <si>
    <t>Low Salary</t>
  </si>
  <si>
    <t>Medium Salary</t>
  </si>
  <si>
    <t>HR Employee Attrition Analysis Dashboard</t>
  </si>
  <si>
    <t>HR Employee Attrition Analysis</t>
  </si>
  <si>
    <t>Analyze employee attrition patterns by department, job role, age group, salary band, gender, and overtime status to identify key turnover drivers.</t>
  </si>
  <si>
    <t xml:space="preserve">Objective : </t>
  </si>
  <si>
    <t>Insight Area</t>
  </si>
  <si>
    <t>Observation</t>
  </si>
  <si>
    <t>Business Meaning</t>
  </si>
  <si>
    <t>Overall Attrition</t>
  </si>
  <si>
    <t>237 employees left out of 1470 employees, giving an attrition rate of 16.12%.</t>
  </si>
  <si>
    <t>The company has a noticeable employee turnover issue.</t>
  </si>
  <si>
    <t>Research &amp; Development has the highest number of employees leaving.</t>
  </si>
  <si>
    <t>R&amp;D needs deeper review because it contributes the largest attrition count.</t>
  </si>
  <si>
    <t>Job Role</t>
  </si>
  <si>
    <t>Laboratory Technician, Sales Executive, and Research Scientist show high attrition.</t>
  </si>
  <si>
    <t>These roles may need better retention plans, salary review, or workload analysis.</t>
  </si>
  <si>
    <t>Age Group</t>
  </si>
  <si>
    <t>Salary Band</t>
  </si>
  <si>
    <t>Overtime</t>
  </si>
  <si>
    <t>Employees aged 25–34 show the highest attrition.</t>
  </si>
  <si>
    <t>Low salary employees show the highest attrition.</t>
  </si>
  <si>
    <t>Use the OverTime slicer to compare Yes vs No.</t>
  </si>
  <si>
    <t>Early-career employees may be leaving for better growth or compensation.</t>
  </si>
  <si>
    <t>Compensation may be one major reason for employee exits.</t>
  </si>
  <si>
    <t>If attrition increases for overtime employees, workload balance is a major concern.</t>
  </si>
  <si>
    <t>Recommendation</t>
  </si>
  <si>
    <t>Reason</t>
  </si>
  <si>
    <t>Review compensation for low salary employees.</t>
  </si>
  <si>
    <t>Low salary band has higher attrition.</t>
  </si>
  <si>
    <t>Improve career growth programs for employees aged 25–34.</t>
  </si>
  <si>
    <t>Conduct role-specific retention analysis for Laboratory Technicians and Sales Executives.</t>
  </si>
  <si>
    <t>Monitor overtime workload.</t>
  </si>
  <si>
    <t>Create department-level retention plans for R&amp;D and Sales.</t>
  </si>
  <si>
    <t>This group shows the highest leaving trend.</t>
  </si>
  <si>
    <t>These roles show higher attrition.</t>
  </si>
  <si>
    <t>Employees working overtime may be at higher risk of leaving.</t>
  </si>
  <si>
    <t>These departments contribute more attrition cases.</t>
  </si>
  <si>
    <t>Conclusion:</t>
  </si>
  <si>
    <t>The analysis shows that employee attrition is mainly concentrated among younger employees, low salary groups, and specific job roles such as Laboratory Technician, Sales Executive, and Research Scientist. The dashboard helps HR teams monitor attrition trends and identify high-risk employee groups for retention planning.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</si>
</sst>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1"/>
      <name val="Calibri"/>
      <family val="2"/>
      <scheme val="minor"/>
    </font>
    <font>
      <b/>
      <sz val="24"/>
      <color theme="1"/>
      <name val="Calibri"/>
      <family val="2"/>
      <scheme val="minor"/>
    </font>
    <font>
      <sz val="18"/>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59999389629810485"/>
        <bgColor indexed="64"/>
      </patternFill>
    </fill>
  </fills>
  <borders count="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medium">
        <color indexed="64"/>
      </right>
      <top/>
      <bottom/>
      <diagonal/>
    </border>
    <border>
      <left/>
      <right style="medium">
        <color indexed="64"/>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35">
    <xf numFmtId="0" fontId="0" fillId="0" borderId="0" xfId="0"/>
    <xf numFmtId="0" fontId="0" fillId="0" borderId="0" xfId="0" applyNumberFormat="1"/>
    <xf numFmtId="0" fontId="16" fillId="0" borderId="0" xfId="0" applyFont="1"/>
    <xf numFmtId="10" fontId="0" fillId="0" borderId="0" xfId="42" applyNumberFormat="1" applyFont="1"/>
    <xf numFmtId="0" fontId="0" fillId="0" borderId="0" xfId="0" pivotButton="1"/>
    <xf numFmtId="0" fontId="0" fillId="0" borderId="0" xfId="0" applyAlignment="1">
      <alignment horizontal="left"/>
    </xf>
    <xf numFmtId="0" fontId="0" fillId="0" borderId="0" xfId="0" applyAlignment="1">
      <alignment horizontal="center"/>
    </xf>
    <xf numFmtId="0" fontId="19" fillId="0" borderId="0" xfId="0" applyFont="1" applyAlignment="1">
      <alignment horizontal="center"/>
    </xf>
    <xf numFmtId="0" fontId="0" fillId="0" borderId="0" xfId="0" applyAlignment="1">
      <alignment horizontal="center" vertical="center"/>
    </xf>
    <xf numFmtId="0" fontId="18" fillId="0" borderId="0" xfId="0" applyFont="1"/>
    <xf numFmtId="0" fontId="18" fillId="33" borderId="10" xfId="0" applyFont="1" applyFill="1" applyBorder="1" applyAlignment="1">
      <alignment horizontal="center" vertical="center"/>
    </xf>
    <xf numFmtId="0" fontId="20" fillId="33" borderId="11" xfId="0" applyFont="1" applyFill="1" applyBorder="1" applyAlignment="1">
      <alignment horizontal="center" vertical="center"/>
    </xf>
    <xf numFmtId="0" fontId="18" fillId="33" borderId="10" xfId="0" applyFont="1" applyFill="1" applyBorder="1" applyAlignment="1">
      <alignment horizontal="center"/>
    </xf>
    <xf numFmtId="0" fontId="20" fillId="33" borderId="11" xfId="0" applyFont="1" applyFill="1" applyBorder="1" applyAlignment="1">
      <alignment horizontal="center"/>
    </xf>
    <xf numFmtId="3" fontId="20" fillId="33" borderId="11" xfId="0" applyNumberFormat="1" applyFont="1" applyFill="1" applyBorder="1" applyAlignment="1">
      <alignment horizontal="center"/>
    </xf>
    <xf numFmtId="10" fontId="20" fillId="33" borderId="11" xfId="0" applyNumberFormat="1" applyFont="1" applyFill="1" applyBorder="1" applyAlignment="1">
      <alignment horizontal="center"/>
    </xf>
    <xf numFmtId="0" fontId="0" fillId="0" borderId="15" xfId="0" applyBorder="1"/>
    <xf numFmtId="0" fontId="0" fillId="0" borderId="16" xfId="0" applyBorder="1"/>
    <xf numFmtId="0" fontId="0" fillId="0" borderId="17" xfId="0" applyBorder="1" applyAlignment="1">
      <alignment horizontal="center"/>
    </xf>
    <xf numFmtId="0" fontId="0" fillId="0" borderId="17" xfId="0" applyBorder="1"/>
    <xf numFmtId="0" fontId="0" fillId="0" borderId="18" xfId="0" applyBorder="1"/>
    <xf numFmtId="0" fontId="0" fillId="0" borderId="19" xfId="0" applyBorder="1"/>
    <xf numFmtId="0" fontId="0" fillId="0" borderId="20" xfId="0" applyBorder="1"/>
    <xf numFmtId="0" fontId="0" fillId="0" borderId="19"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8" xfId="0" applyBorder="1" applyAlignment="1">
      <alignment horizontal="center"/>
    </xf>
    <xf numFmtId="0" fontId="0" fillId="0" borderId="0" xfId="0" applyAlignment="1">
      <alignment wrapText="1"/>
    </xf>
    <xf numFmtId="0" fontId="20" fillId="0" borderId="0" xfId="0" applyFont="1" applyAlignment="1">
      <alignment wrapText="1"/>
    </xf>
    <xf numFmtId="0" fontId="0" fillId="0" borderId="15" xfId="0" applyBorder="1" applyAlignment="1">
      <alignment horizontal="center" wrapText="1"/>
    </xf>
    <xf numFmtId="0" fontId="0" fillId="0" borderId="17" xfId="0" applyBorder="1" applyAlignment="1">
      <alignment horizontal="center" wrapText="1"/>
    </xf>
    <xf numFmtId="0" fontId="16" fillId="33" borderId="12" xfId="0" applyFont="1" applyFill="1" applyBorder="1" applyAlignment="1">
      <alignment horizontal="center" vertical="center" wrapText="1"/>
    </xf>
    <xf numFmtId="0" fontId="16" fillId="33" borderId="13" xfId="0" applyFont="1" applyFill="1" applyBorder="1" applyAlignment="1">
      <alignment horizontal="center"/>
    </xf>
    <xf numFmtId="0" fontId="16" fillId="33" borderId="14" xfId="0" applyFont="1" applyFill="1" applyBorder="1" applyAlignment="1">
      <alignment horizontal="center" vertical="center" wrapText="1"/>
    </xf>
    <xf numFmtId="0" fontId="16" fillId="33" borderId="14" xfId="0" applyFont="1" applyFill="1" applyBorder="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[HR_Attrition_Analysis_Project.xlsx]Pivot_Analysis!PivotTable5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by Department</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Pivot_Analysis!$B$8</c:f>
              <c:strCache>
                <c:ptCount val="1"/>
                <c:pt idx="0">
                  <c:v>Total</c:v>
                </c:pt>
              </c:strCache>
            </c:strRef>
          </c:tx>
          <c:spPr>
            <a:solidFill>
              <a:schemeClr val="accent1"/>
            </a:solidFill>
            <a:ln>
              <a:noFill/>
            </a:ln>
            <a:effectLst/>
          </c:spPr>
          <c:invertIfNegative val="0"/>
          <c:cat>
            <c:strRef>
              <c:f>Pivot_Analysis!$A$9:$A$12</c:f>
              <c:strCache>
                <c:ptCount val="3"/>
                <c:pt idx="0">
                  <c:v>Human Resources</c:v>
                </c:pt>
                <c:pt idx="1">
                  <c:v>Research &amp; Development</c:v>
                </c:pt>
                <c:pt idx="2">
                  <c:v>Sales</c:v>
                </c:pt>
              </c:strCache>
            </c:strRef>
          </c:cat>
          <c:val>
            <c:numRef>
              <c:f>Pivot_Analysis!$B$9:$B$12</c:f>
              <c:numCache>
                <c:formatCode>General</c:formatCode>
                <c:ptCount val="3"/>
                <c:pt idx="0">
                  <c:v>12</c:v>
                </c:pt>
                <c:pt idx="1">
                  <c:v>133</c:v>
                </c:pt>
                <c:pt idx="2">
                  <c:v>92</c:v>
                </c:pt>
              </c:numCache>
            </c:numRef>
          </c:val>
          <c:extLst>
            <c:ext xmlns:c16="http://schemas.microsoft.com/office/drawing/2014/chart" uri="{C3380CC4-5D6E-409C-BE32-E72D297353CC}">
              <c16:uniqueId val="{00000000-C8BE-47E6-96A6-0145836E816E}"/>
            </c:ext>
          </c:extLst>
        </c:ser>
        <c:dLbls>
          <c:showLegendKey val="0"/>
          <c:showVal val="0"/>
          <c:showCatName val="0"/>
          <c:showSerName val="0"/>
          <c:showPercent val="0"/>
          <c:showBubbleSize val="0"/>
        </c:dLbls>
        <c:gapWidth val="219"/>
        <c:overlap val="-27"/>
        <c:axId val="1098459903"/>
        <c:axId val="1098460383"/>
      </c:barChart>
      <c:catAx>
        <c:axId val="1098459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8460383"/>
        <c:crosses val="autoZero"/>
        <c:auto val="1"/>
        <c:lblAlgn val="ctr"/>
        <c:lblOffset val="100"/>
        <c:noMultiLvlLbl val="0"/>
      </c:catAx>
      <c:valAx>
        <c:axId val="109846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8459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[HR_Attrition_Analysis_Project.xlsx]Pivot_Analysis!PivotTable6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by Job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Pivot_Analysis!$E$8</c:f>
              <c:strCache>
                <c:ptCount val="1"/>
                <c:pt idx="0">
                  <c:v>Total</c:v>
                </c:pt>
              </c:strCache>
            </c:strRef>
          </c:tx>
          <c:spPr>
            <a:solidFill>
              <a:schemeClr val="accent1"/>
            </a:solidFill>
            <a:ln>
              <a:noFill/>
            </a:ln>
            <a:effectLst/>
          </c:spPr>
          <c:invertIfNegative val="0"/>
          <c:cat>
            <c:strRef>
              <c:f>Pivot_Analysis!$D$9:$D$18</c:f>
              <c:strCache>
                <c:ptCount val="9"/>
                <c:pt idx="0">
                  <c:v>Laboratory Technician</c:v>
                </c:pt>
                <c:pt idx="1">
                  <c:v>Sales Executive</c:v>
                </c:pt>
                <c:pt idx="2">
                  <c:v>Research Scientist</c:v>
                </c:pt>
                <c:pt idx="3">
                  <c:v>Sales Representative</c:v>
                </c:pt>
                <c:pt idx="4">
                  <c:v>Human Resources</c:v>
                </c:pt>
                <c:pt idx="5">
                  <c:v>Manufacturing Director</c:v>
                </c:pt>
                <c:pt idx="6">
                  <c:v>Healthcare Representative</c:v>
                </c:pt>
                <c:pt idx="7">
                  <c:v>Manager</c:v>
                </c:pt>
                <c:pt idx="8">
                  <c:v>Research Director</c:v>
                </c:pt>
              </c:strCache>
            </c:strRef>
          </c:cat>
          <c:val>
            <c:numRef>
              <c:f>Pivot_Analysis!$E$9:$E$18</c:f>
              <c:numCache>
                <c:formatCode>General</c:formatCode>
                <c:ptCount val="9"/>
                <c:pt idx="0">
                  <c:v>62</c:v>
                </c:pt>
                <c:pt idx="1">
                  <c:v>57</c:v>
                </c:pt>
                <c:pt idx="2">
                  <c:v>47</c:v>
                </c:pt>
                <c:pt idx="3">
                  <c:v>33</c:v>
                </c:pt>
                <c:pt idx="4">
                  <c:v>12</c:v>
                </c:pt>
                <c:pt idx="5">
                  <c:v>10</c:v>
                </c:pt>
                <c:pt idx="6">
                  <c:v>9</c:v>
                </c:pt>
                <c:pt idx="7">
                  <c:v>5</c:v>
                </c:pt>
                <c:pt idx="8">
                  <c:v>2</c:v>
                </c:pt>
              </c:numCache>
            </c:numRef>
          </c:val>
          <c:extLst>
            <c:ext xmlns:c16="http://schemas.microsoft.com/office/drawing/2014/chart" uri="{C3380CC4-5D6E-409C-BE32-E72D297353CC}">
              <c16:uniqueId val="{00000000-8124-420F-AC01-1E628D9E0536}"/>
            </c:ext>
          </c:extLst>
        </c:ser>
        <c:dLbls>
          <c:showLegendKey val="0"/>
          <c:showVal val="0"/>
          <c:showCatName val="0"/>
          <c:showSerName val="0"/>
          <c:showPercent val="0"/>
          <c:showBubbleSize val="0"/>
        </c:dLbls>
        <c:gapWidth val="182"/>
        <c:axId val="1098458943"/>
        <c:axId val="1098463743"/>
      </c:barChart>
      <c:catAx>
        <c:axId val="1098458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8463743"/>
        <c:crosses val="autoZero"/>
        <c:auto val="1"/>
        <c:lblAlgn val="ctr"/>
        <c:lblOffset val="100"/>
        <c:noMultiLvlLbl val="0"/>
      </c:catAx>
      <c:valAx>
        <c:axId val="1098463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8458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[HR_Attrition_Analysis_Project.xlsx]Pivot_Analysis!PivotTable7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Pivot_Analysis!$I$8</c:f>
              <c:strCache>
                <c:ptCount val="1"/>
                <c:pt idx="0">
                  <c:v>Total</c:v>
                </c:pt>
              </c:strCache>
            </c:strRef>
          </c:tx>
          <c:spPr>
            <a:solidFill>
              <a:schemeClr val="accent1"/>
            </a:solidFill>
            <a:ln>
              <a:noFill/>
            </a:ln>
            <a:effectLst/>
          </c:spPr>
          <c:invertIfNegative val="0"/>
          <c:cat>
            <c:strRef>
              <c:f>Pivot_Analysis!$H$9:$H$14</c:f>
              <c:strCache>
                <c:ptCount val="5"/>
                <c:pt idx="0">
                  <c:v>25-34</c:v>
                </c:pt>
                <c:pt idx="1">
                  <c:v>35-44</c:v>
                </c:pt>
                <c:pt idx="2">
                  <c:v>45-54</c:v>
                </c:pt>
                <c:pt idx="3">
                  <c:v>55+</c:v>
                </c:pt>
                <c:pt idx="4">
                  <c:v>Under 25</c:v>
                </c:pt>
              </c:strCache>
            </c:strRef>
          </c:cat>
          <c:val>
            <c:numRef>
              <c:f>Pivot_Analysis!$I$9:$I$14</c:f>
              <c:numCache>
                <c:formatCode>General</c:formatCode>
                <c:ptCount val="5"/>
                <c:pt idx="0">
                  <c:v>112</c:v>
                </c:pt>
                <c:pt idx="1">
                  <c:v>51</c:v>
                </c:pt>
                <c:pt idx="2">
                  <c:v>25</c:v>
                </c:pt>
                <c:pt idx="3">
                  <c:v>11</c:v>
                </c:pt>
                <c:pt idx="4">
                  <c:v>38</c:v>
                </c:pt>
              </c:numCache>
            </c:numRef>
          </c:val>
          <c:extLst>
            <c:ext xmlns:c16="http://schemas.microsoft.com/office/drawing/2014/chart" uri="{C3380CC4-5D6E-409C-BE32-E72D297353CC}">
              <c16:uniqueId val="{00000000-D5CB-4F29-9044-998F2061CF78}"/>
            </c:ext>
          </c:extLst>
        </c:ser>
        <c:dLbls>
          <c:showLegendKey val="0"/>
          <c:showVal val="0"/>
          <c:showCatName val="0"/>
          <c:showSerName val="0"/>
          <c:showPercent val="0"/>
          <c:showBubbleSize val="0"/>
        </c:dLbls>
        <c:gapWidth val="219"/>
        <c:overlap val="-27"/>
        <c:axId val="1098427743"/>
        <c:axId val="1098428223"/>
      </c:barChart>
      <c:catAx>
        <c:axId val="1098427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8428223"/>
        <c:crosses val="autoZero"/>
        <c:auto val="1"/>
        <c:lblAlgn val="ctr"/>
        <c:lblOffset val="100"/>
        <c:noMultiLvlLbl val="0"/>
      </c:catAx>
      <c:valAx>
        <c:axId val="10984282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8427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[HR_Attrition_Analysis_Project.xlsx]Pivot_Analysis!PivotTable8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by Salary Band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Pivot_Analysis!$L$8</c:f>
              <c:strCache>
                <c:ptCount val="1"/>
                <c:pt idx="0">
                  <c:v>Total</c:v>
                </c:pt>
              </c:strCache>
            </c:strRef>
          </c:tx>
          <c:spPr>
            <a:solidFill>
              <a:schemeClr val="accent1"/>
            </a:solidFill>
            <a:ln>
              <a:noFill/>
            </a:ln>
            <a:effectLst/>
          </c:spPr>
          <c:invertIfNegative val="0"/>
          <c:cat>
            <c:strRef>
              <c:f>Pivot_Analysis!$K$9:$K$12</c:f>
              <c:strCache>
                <c:ptCount val="3"/>
                <c:pt idx="0">
                  <c:v>High Salary</c:v>
                </c:pt>
                <c:pt idx="1">
                  <c:v>Low Salary</c:v>
                </c:pt>
                <c:pt idx="2">
                  <c:v>Medium Salary</c:v>
                </c:pt>
              </c:strCache>
            </c:strRef>
          </c:cat>
          <c:val>
            <c:numRef>
              <c:f>Pivot_Analysis!$L$9:$L$12</c:f>
              <c:numCache>
                <c:formatCode>General</c:formatCode>
                <c:ptCount val="3"/>
                <c:pt idx="0">
                  <c:v>47</c:v>
                </c:pt>
                <c:pt idx="1">
                  <c:v>113</c:v>
                </c:pt>
                <c:pt idx="2">
                  <c:v>77</c:v>
                </c:pt>
              </c:numCache>
            </c:numRef>
          </c:val>
          <c:extLst>
            <c:ext xmlns:c16="http://schemas.microsoft.com/office/drawing/2014/chart" uri="{C3380CC4-5D6E-409C-BE32-E72D297353CC}">
              <c16:uniqueId val="{00000000-1D9E-4D43-8CEB-8D53DFE63C21}"/>
            </c:ext>
          </c:extLst>
        </c:ser>
        <c:dLbls>
          <c:showLegendKey val="0"/>
          <c:showVal val="0"/>
          <c:showCatName val="0"/>
          <c:showSerName val="0"/>
          <c:showPercent val="0"/>
          <c:showBubbleSize val="0"/>
        </c:dLbls>
        <c:gapWidth val="219"/>
        <c:overlap val="-27"/>
        <c:axId val="942195647"/>
        <c:axId val="942184607"/>
      </c:barChart>
      <c:catAx>
        <c:axId val="942195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2184607"/>
        <c:crosses val="autoZero"/>
        <c:auto val="1"/>
        <c:lblAlgn val="ctr"/>
        <c:lblOffset val="100"/>
        <c:noMultiLvlLbl val="0"/>
      </c:catAx>
      <c:valAx>
        <c:axId val="942184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21956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593795</xdr:colOff>
      <xdr:row>7</xdr:row>
      <xdr:rowOff>38381</xdr:rowOff>
    </xdr:from>
    <xdr:to>
      <xdr:col>6</xdr:col>
      <xdr:colOff>734906</xdr:colOff>
      <xdr:row>22</xdr:row>
      <xdr:rowOff>38382</xdr:rowOff>
    </xdr:to>
    <xdr:graphicFrame macro="">
      <xdr:nvGraphicFramePr>
        <xdr:cNvPr id="2" name="Chart 1">
          <a:extLst>
            <a:ext uri="{FF2B5EF4-FFF2-40B4-BE49-F238E27FC236}">
              <a16:creationId xmlns:a16="http://schemas.microsoft.com/office/drawing/2014/main" id="{C2FEAE22-A5B8-4F9D-9C57-82C1859DB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488527</xdr:colOff>
      <xdr:row>7</xdr:row>
      <xdr:rowOff>115429</xdr:rowOff>
    </xdr:from>
    <xdr:to>
      <xdr:col>12</xdr:col>
      <xdr:colOff>1056358</xdr:colOff>
      <xdr:row>22</xdr:row>
      <xdr:rowOff>115430</xdr:rowOff>
    </xdr:to>
    <xdr:graphicFrame macro="">
      <xdr:nvGraphicFramePr>
        <xdr:cNvPr id="3" name="Chart 2">
          <a:extLst>
            <a:ext uri="{FF2B5EF4-FFF2-40B4-BE49-F238E27FC236}">
              <a16:creationId xmlns:a16="http://schemas.microsoft.com/office/drawing/2014/main" id="{0020336F-41E2-4F1F-9156-C237FB7F82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559646</xdr:colOff>
      <xdr:row>24</xdr:row>
      <xdr:rowOff>50235</xdr:rowOff>
    </xdr:from>
    <xdr:to>
      <xdr:col>6</xdr:col>
      <xdr:colOff>720795</xdr:colOff>
      <xdr:row>39</xdr:row>
      <xdr:rowOff>50235</xdr:rowOff>
    </xdr:to>
    <xdr:graphicFrame macro="">
      <xdr:nvGraphicFramePr>
        <xdr:cNvPr id="4" name="Chart 3">
          <a:extLst>
            <a:ext uri="{FF2B5EF4-FFF2-40B4-BE49-F238E27FC236}">
              <a16:creationId xmlns:a16="http://schemas.microsoft.com/office/drawing/2014/main" id="{BF389921-A1BB-49FB-98C1-54D6937DDD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436880</xdr:colOff>
      <xdr:row>25</xdr:row>
      <xdr:rowOff>12417</xdr:rowOff>
    </xdr:from>
    <xdr:to>
      <xdr:col>15</xdr:col>
      <xdr:colOff>132080</xdr:colOff>
      <xdr:row>40</xdr:row>
      <xdr:rowOff>12418</xdr:rowOff>
    </xdr:to>
    <xdr:graphicFrame macro="">
      <xdr:nvGraphicFramePr>
        <xdr:cNvPr id="5" name="Chart 4">
          <a:extLst>
            <a:ext uri="{FF2B5EF4-FFF2-40B4-BE49-F238E27FC236}">
              <a16:creationId xmlns:a16="http://schemas.microsoft.com/office/drawing/2014/main" id="{D8ADF141-6012-41B4-BACC-65FC12A790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43743</xdr:colOff>
      <xdr:row>6</xdr:row>
      <xdr:rowOff>160585</xdr:rowOff>
    </xdr:from>
    <xdr:to>
      <xdr:col>20</xdr:col>
      <xdr:colOff>578556</xdr:colOff>
      <xdr:row>20</xdr:row>
      <xdr:rowOff>59337</xdr:rowOff>
    </xdr:to>
    <mc:AlternateContent xmlns:mc="http://schemas.openxmlformats.org/markup-compatibility/2006">
      <mc:Choice xmlns:a14="http://schemas.microsoft.com/office/drawing/2010/main" Requires="a14">
        <xdr:graphicFrame macro="">
          <xdr:nvGraphicFramePr>
            <xdr:cNvPr id="6" name="Department">
              <a:extLst>
                <a:ext uri="{FF2B5EF4-FFF2-40B4-BE49-F238E27FC236}">
                  <a16:creationId xmlns:a16="http://schemas.microsoft.com/office/drawing/2014/main" id="{973FC523-1BF4-DF9D-16A0-C081209783C9}"/>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6031632" y="1726918"/>
              <a:ext cx="2355146"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44026</xdr:colOff>
      <xdr:row>21</xdr:row>
      <xdr:rowOff>160867</xdr:rowOff>
    </xdr:from>
    <xdr:to>
      <xdr:col>21</xdr:col>
      <xdr:colOff>42333</xdr:colOff>
      <xdr:row>35</xdr:row>
      <xdr:rowOff>59620</xdr:rowOff>
    </xdr:to>
    <mc:AlternateContent xmlns:mc="http://schemas.openxmlformats.org/markup-compatibility/2006">
      <mc:Choice xmlns:a14="http://schemas.microsoft.com/office/drawing/2010/main" Requires="a14">
        <xdr:graphicFrame macro="">
          <xdr:nvGraphicFramePr>
            <xdr:cNvPr id="7" name="Gender">
              <a:extLst>
                <a:ext uri="{FF2B5EF4-FFF2-40B4-BE49-F238E27FC236}">
                  <a16:creationId xmlns:a16="http://schemas.microsoft.com/office/drawing/2014/main" id="{8EF54059-6F4D-F3D3-C76C-778FD0A72C1D}"/>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6031915" y="4478867"/>
              <a:ext cx="2425418"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100752</xdr:colOff>
      <xdr:row>37</xdr:row>
      <xdr:rowOff>132926</xdr:rowOff>
    </xdr:from>
    <xdr:to>
      <xdr:col>21</xdr:col>
      <xdr:colOff>14110</xdr:colOff>
      <xdr:row>51</xdr:row>
      <xdr:rowOff>31679</xdr:rowOff>
    </xdr:to>
    <mc:AlternateContent xmlns:mc="http://schemas.openxmlformats.org/markup-compatibility/2006">
      <mc:Choice xmlns:a14="http://schemas.microsoft.com/office/drawing/2010/main" Requires="a14">
        <xdr:graphicFrame macro="">
          <xdr:nvGraphicFramePr>
            <xdr:cNvPr id="8" name="OverTime">
              <a:extLst>
                <a:ext uri="{FF2B5EF4-FFF2-40B4-BE49-F238E27FC236}">
                  <a16:creationId xmlns:a16="http://schemas.microsoft.com/office/drawing/2014/main" id="{E922B946-EB5C-9072-4430-D04D147E7933}"/>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dr:sp macro="" textlink="">
          <xdr:nvSpPr>
            <xdr:cNvPr id="0" name=""/>
            <xdr:cNvSpPr>
              <a:spLocks noTextEdit="1"/>
            </xdr:cNvSpPr>
          </xdr:nvSpPr>
          <xdr:spPr>
            <a:xfrm>
              <a:off x="16088641" y="7386037"/>
              <a:ext cx="2340469"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akash" refreshedDate="46200.855797800927" createdVersion="8" refreshedVersion="8" minRefreshableVersion="3" recordCount="1470" xr:uid="{903B6D8D-34A5-4271-BB82-132E6E03FD6C}">
  <cacheSource type="worksheet">
    <worksheetSource name="HR_Data"/>
  </cacheSource>
  <cacheFields count="42">
    <cacheField name="Age" numFmtId="0">
      <sharedItems containsSemiMixedTypes="0" containsString="0" containsNumber="1" containsInteger="1" minValue="18" maxValue="60" count="43">
        <n v="41"/>
        <n v="49"/>
        <n v="37"/>
        <n v="33"/>
        <n v="27"/>
        <n v="32"/>
        <n v="59"/>
        <n v="30"/>
        <n v="38"/>
        <n v="36"/>
        <n v="35"/>
        <n v="29"/>
        <n v="31"/>
        <n v="34"/>
        <n v="28"/>
        <n v="22"/>
        <n v="53"/>
        <n v="24"/>
        <n v="21"/>
        <n v="42"/>
        <n v="44"/>
        <n v="46"/>
        <n v="39"/>
        <n v="43"/>
        <n v="50"/>
        <n v="26"/>
        <n v="48"/>
        <n v="55"/>
        <n v="45"/>
        <n v="56"/>
        <n v="23"/>
        <n v="51"/>
        <n v="40"/>
        <n v="54"/>
        <n v="58"/>
        <n v="20"/>
        <n v="25"/>
        <n v="19"/>
        <n v="57"/>
        <n v="52"/>
        <n v="47"/>
        <n v="18"/>
        <n v="60"/>
      </sharedItems>
    </cacheField>
    <cacheField name="Attrition" numFmtId="0">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ount="2">
        <n v="1"/>
        <n v="0"/>
      </sharedItems>
    </cacheField>
    <cacheField name="Active_Flag" numFmtId="0">
      <sharedItems containsSemiMixedTypes="0" containsString="0" containsNumber="1" containsInteger="1" minValue="0" maxValue="1"/>
    </cacheField>
    <cacheField name="Age_Group" numFmtId="0">
      <sharedItems count="5">
        <s v="35-44"/>
        <s v="45-54"/>
        <s v="25-34"/>
        <s v="55+"/>
        <s v="Under 25"/>
      </sharedItems>
    </cacheField>
    <cacheField name="Salary_Band" numFmtId="0">
      <sharedItems count="3">
        <s v="Medium Salary"/>
        <s v="Low Salary"/>
        <s v="High Salary"/>
      </sharedItems>
    </cacheField>
    <cacheField name="Experience_Band" numFmtId="0">
      <sharedItems/>
    </cacheField>
    <cacheField name="JobSatisfaction_Label" numFmtId="0">
      <sharedItems/>
    </cacheField>
    <cacheField name="WorkLifeBalance_Label" numFmtId="0">
      <sharedItems/>
    </cacheField>
  </cacheFields>
  <extLst>
    <ext xmlns:x14="http://schemas.microsoft.com/office/spreadsheetml/2009/9/main" uri="{725AE2AE-9491-48be-B2B4-4EB974FC3084}">
      <x14:pivotCacheDefinition pivotCacheId="7036526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s v="Yes"/>
    <s v="Travel_Rarely"/>
    <n v="1102"/>
    <x v="0"/>
    <n v="1"/>
    <n v="2"/>
    <s v="Life Sciences"/>
    <n v="1"/>
    <n v="1"/>
    <n v="2"/>
    <x v="0"/>
    <n v="94"/>
    <n v="3"/>
    <n v="2"/>
    <x v="0"/>
    <n v="4"/>
    <s v="Single"/>
    <n v="5993"/>
    <n v="19479"/>
    <n v="8"/>
    <s v="Y"/>
    <x v="0"/>
    <n v="11"/>
    <n v="3"/>
    <n v="1"/>
    <n v="80"/>
    <n v="0"/>
    <n v="8"/>
    <n v="0"/>
    <n v="1"/>
    <n v="6"/>
    <n v="4"/>
    <n v="0"/>
    <n v="5"/>
    <x v="0"/>
    <n v="0"/>
    <x v="0"/>
    <x v="0"/>
    <s v="6-10 Years"/>
    <s v="Very High"/>
    <s v="Bad"/>
  </r>
  <r>
    <x v="1"/>
    <s v="No"/>
    <s v="Travel_Frequently"/>
    <n v="279"/>
    <x v="1"/>
    <n v="8"/>
    <n v="1"/>
    <s v="Life Sciences"/>
    <n v="1"/>
    <n v="2"/>
    <n v="3"/>
    <x v="1"/>
    <n v="61"/>
    <n v="2"/>
    <n v="2"/>
    <x v="1"/>
    <n v="2"/>
    <s v="Married"/>
    <n v="5130"/>
    <n v="24907"/>
    <n v="1"/>
    <s v="Y"/>
    <x v="1"/>
    <n v="23"/>
    <n v="4"/>
    <n v="4"/>
    <n v="80"/>
    <n v="1"/>
    <n v="10"/>
    <n v="3"/>
    <n v="3"/>
    <n v="10"/>
    <n v="7"/>
    <n v="1"/>
    <n v="7"/>
    <x v="1"/>
    <n v="1"/>
    <x v="1"/>
    <x v="0"/>
    <s v="6-10 Years"/>
    <s v="Medium"/>
    <s v="Better"/>
  </r>
  <r>
    <x v="2"/>
    <s v="Yes"/>
    <s v="Travel_Rarely"/>
    <n v="1373"/>
    <x v="1"/>
    <n v="2"/>
    <n v="2"/>
    <s v="Other"/>
    <n v="1"/>
    <n v="4"/>
    <n v="4"/>
    <x v="1"/>
    <n v="92"/>
    <n v="2"/>
    <n v="1"/>
    <x v="2"/>
    <n v="3"/>
    <s v="Single"/>
    <n v="2090"/>
    <n v="2396"/>
    <n v="6"/>
    <s v="Y"/>
    <x v="0"/>
    <n v="15"/>
    <n v="3"/>
    <n v="2"/>
    <n v="80"/>
    <n v="0"/>
    <n v="7"/>
    <n v="3"/>
    <n v="3"/>
    <n v="0"/>
    <n v="0"/>
    <n v="0"/>
    <n v="0"/>
    <x v="0"/>
    <n v="0"/>
    <x v="0"/>
    <x v="1"/>
    <s v="0-1 Years"/>
    <s v="High"/>
    <s v="Better"/>
  </r>
  <r>
    <x v="3"/>
    <s v="No"/>
    <s v="Travel_Frequently"/>
    <n v="1392"/>
    <x v="1"/>
    <n v="3"/>
    <n v="4"/>
    <s v="Life Sciences"/>
    <n v="1"/>
    <n v="5"/>
    <n v="4"/>
    <x v="0"/>
    <n v="56"/>
    <n v="3"/>
    <n v="1"/>
    <x v="1"/>
    <n v="3"/>
    <s v="Married"/>
    <n v="2909"/>
    <n v="23159"/>
    <n v="1"/>
    <s v="Y"/>
    <x v="0"/>
    <n v="11"/>
    <n v="3"/>
    <n v="3"/>
    <n v="80"/>
    <n v="0"/>
    <n v="8"/>
    <n v="3"/>
    <n v="3"/>
    <n v="8"/>
    <n v="7"/>
    <n v="3"/>
    <n v="0"/>
    <x v="1"/>
    <n v="1"/>
    <x v="2"/>
    <x v="1"/>
    <s v="6-10 Years"/>
    <s v="High"/>
    <s v="Better"/>
  </r>
  <r>
    <x v="4"/>
    <s v="No"/>
    <s v="Travel_Rarely"/>
    <n v="591"/>
    <x v="1"/>
    <n v="2"/>
    <n v="1"/>
    <s v="Medical"/>
    <n v="1"/>
    <n v="7"/>
    <n v="1"/>
    <x v="1"/>
    <n v="40"/>
    <n v="3"/>
    <n v="1"/>
    <x v="2"/>
    <n v="2"/>
    <s v="Married"/>
    <n v="3468"/>
    <n v="16632"/>
    <n v="9"/>
    <s v="Y"/>
    <x v="1"/>
    <n v="12"/>
    <n v="3"/>
    <n v="4"/>
    <n v="80"/>
    <n v="1"/>
    <n v="6"/>
    <n v="3"/>
    <n v="3"/>
    <n v="2"/>
    <n v="2"/>
    <n v="2"/>
    <n v="2"/>
    <x v="1"/>
    <n v="1"/>
    <x v="2"/>
    <x v="0"/>
    <s v="2-5 Years"/>
    <s v="Medium"/>
    <s v="Better"/>
  </r>
  <r>
    <x v="5"/>
    <s v="No"/>
    <s v="Travel_Frequently"/>
    <n v="1005"/>
    <x v="1"/>
    <n v="2"/>
    <n v="2"/>
    <s v="Life Sciences"/>
    <n v="1"/>
    <n v="8"/>
    <n v="4"/>
    <x v="1"/>
    <n v="79"/>
    <n v="3"/>
    <n v="1"/>
    <x v="2"/>
    <n v="4"/>
    <s v="Single"/>
    <n v="3068"/>
    <n v="11864"/>
    <n v="0"/>
    <s v="Y"/>
    <x v="1"/>
    <n v="13"/>
    <n v="3"/>
    <n v="3"/>
    <n v="80"/>
    <n v="0"/>
    <n v="8"/>
    <n v="2"/>
    <n v="2"/>
    <n v="7"/>
    <n v="7"/>
    <n v="3"/>
    <n v="6"/>
    <x v="1"/>
    <n v="1"/>
    <x v="2"/>
    <x v="0"/>
    <s v="6-10 Years"/>
    <s v="Very High"/>
    <s v="Good"/>
  </r>
  <r>
    <x v="6"/>
    <s v="No"/>
    <s v="Travel_Rarely"/>
    <n v="1324"/>
    <x v="1"/>
    <n v="3"/>
    <n v="3"/>
    <s v="Medical"/>
    <n v="1"/>
    <n v="10"/>
    <n v="3"/>
    <x v="0"/>
    <n v="81"/>
    <n v="4"/>
    <n v="1"/>
    <x v="2"/>
    <n v="1"/>
    <s v="Married"/>
    <n v="2670"/>
    <n v="9964"/>
    <n v="4"/>
    <s v="Y"/>
    <x v="0"/>
    <n v="20"/>
    <n v="4"/>
    <n v="1"/>
    <n v="80"/>
    <n v="3"/>
    <n v="12"/>
    <n v="3"/>
    <n v="2"/>
    <n v="1"/>
    <n v="0"/>
    <n v="0"/>
    <n v="0"/>
    <x v="1"/>
    <n v="1"/>
    <x v="3"/>
    <x v="1"/>
    <s v="0-1 Years"/>
    <s v="Low"/>
    <s v="Good"/>
  </r>
  <r>
    <x v="7"/>
    <s v="No"/>
    <s v="Travel_Rarely"/>
    <n v="1358"/>
    <x v="1"/>
    <n v="24"/>
    <n v="1"/>
    <s v="Life Sciences"/>
    <n v="1"/>
    <n v="11"/>
    <n v="4"/>
    <x v="1"/>
    <n v="67"/>
    <n v="3"/>
    <n v="1"/>
    <x v="2"/>
    <n v="3"/>
    <s v="Divorced"/>
    <n v="2693"/>
    <n v="13335"/>
    <n v="1"/>
    <s v="Y"/>
    <x v="1"/>
    <n v="22"/>
    <n v="4"/>
    <n v="2"/>
    <n v="80"/>
    <n v="1"/>
    <n v="1"/>
    <n v="2"/>
    <n v="3"/>
    <n v="1"/>
    <n v="0"/>
    <n v="0"/>
    <n v="0"/>
    <x v="1"/>
    <n v="1"/>
    <x v="2"/>
    <x v="1"/>
    <s v="0-1 Years"/>
    <s v="High"/>
    <s v="Better"/>
  </r>
  <r>
    <x v="8"/>
    <s v="No"/>
    <s v="Travel_Frequently"/>
    <n v="216"/>
    <x v="1"/>
    <n v="23"/>
    <n v="3"/>
    <s v="Life Sciences"/>
    <n v="1"/>
    <n v="12"/>
    <n v="4"/>
    <x v="1"/>
    <n v="44"/>
    <n v="2"/>
    <n v="3"/>
    <x v="3"/>
    <n v="3"/>
    <s v="Single"/>
    <n v="9526"/>
    <n v="8787"/>
    <n v="0"/>
    <s v="Y"/>
    <x v="1"/>
    <n v="21"/>
    <n v="4"/>
    <n v="2"/>
    <n v="80"/>
    <n v="0"/>
    <n v="10"/>
    <n v="2"/>
    <n v="3"/>
    <n v="9"/>
    <n v="7"/>
    <n v="1"/>
    <n v="8"/>
    <x v="1"/>
    <n v="1"/>
    <x v="0"/>
    <x v="2"/>
    <s v="6-10 Years"/>
    <s v="High"/>
    <s v="Better"/>
  </r>
  <r>
    <x v="9"/>
    <s v="No"/>
    <s v="Travel_Rarely"/>
    <n v="1299"/>
    <x v="1"/>
    <n v="27"/>
    <n v="3"/>
    <s v="Medical"/>
    <n v="1"/>
    <n v="13"/>
    <n v="3"/>
    <x v="1"/>
    <n v="94"/>
    <n v="3"/>
    <n v="2"/>
    <x v="4"/>
    <n v="3"/>
    <s v="Married"/>
    <n v="5237"/>
    <n v="16577"/>
    <n v="6"/>
    <s v="Y"/>
    <x v="1"/>
    <n v="13"/>
    <n v="3"/>
    <n v="2"/>
    <n v="80"/>
    <n v="2"/>
    <n v="17"/>
    <n v="3"/>
    <n v="2"/>
    <n v="7"/>
    <n v="7"/>
    <n v="7"/>
    <n v="7"/>
    <x v="1"/>
    <n v="1"/>
    <x v="0"/>
    <x v="0"/>
    <s v="6-10 Years"/>
    <s v="High"/>
    <s v="Good"/>
  </r>
  <r>
    <x v="10"/>
    <s v="No"/>
    <s v="Travel_Rarely"/>
    <n v="809"/>
    <x v="1"/>
    <n v="16"/>
    <n v="3"/>
    <s v="Medical"/>
    <n v="1"/>
    <n v="14"/>
    <n v="1"/>
    <x v="1"/>
    <n v="84"/>
    <n v="4"/>
    <n v="1"/>
    <x v="2"/>
    <n v="2"/>
    <s v="Married"/>
    <n v="2426"/>
    <n v="16479"/>
    <n v="0"/>
    <s v="Y"/>
    <x v="1"/>
    <n v="13"/>
    <n v="3"/>
    <n v="3"/>
    <n v="80"/>
    <n v="1"/>
    <n v="6"/>
    <n v="5"/>
    <n v="3"/>
    <n v="5"/>
    <n v="4"/>
    <n v="0"/>
    <n v="3"/>
    <x v="1"/>
    <n v="1"/>
    <x v="0"/>
    <x v="1"/>
    <s v="2-5 Years"/>
    <s v="Medium"/>
    <s v="Better"/>
  </r>
  <r>
    <x v="11"/>
    <s v="No"/>
    <s v="Travel_Rarely"/>
    <n v="153"/>
    <x v="1"/>
    <n v="15"/>
    <n v="2"/>
    <s v="Life Sciences"/>
    <n v="1"/>
    <n v="15"/>
    <n v="4"/>
    <x v="0"/>
    <n v="49"/>
    <n v="2"/>
    <n v="2"/>
    <x v="2"/>
    <n v="3"/>
    <s v="Single"/>
    <n v="4193"/>
    <n v="12682"/>
    <n v="0"/>
    <s v="Y"/>
    <x v="0"/>
    <n v="12"/>
    <n v="3"/>
    <n v="4"/>
    <n v="80"/>
    <n v="0"/>
    <n v="10"/>
    <n v="3"/>
    <n v="3"/>
    <n v="9"/>
    <n v="5"/>
    <n v="0"/>
    <n v="8"/>
    <x v="1"/>
    <n v="1"/>
    <x v="2"/>
    <x v="0"/>
    <s v="6-10 Years"/>
    <s v="High"/>
    <s v="Better"/>
  </r>
  <r>
    <x v="12"/>
    <s v="No"/>
    <s v="Travel_Rarely"/>
    <n v="670"/>
    <x v="1"/>
    <n v="26"/>
    <n v="1"/>
    <s v="Life Sciences"/>
    <n v="1"/>
    <n v="16"/>
    <n v="1"/>
    <x v="1"/>
    <n v="31"/>
    <n v="3"/>
    <n v="1"/>
    <x v="1"/>
    <n v="3"/>
    <s v="Divorced"/>
    <n v="2911"/>
    <n v="15170"/>
    <n v="1"/>
    <s v="Y"/>
    <x v="1"/>
    <n v="17"/>
    <n v="3"/>
    <n v="4"/>
    <n v="80"/>
    <n v="1"/>
    <n v="5"/>
    <n v="1"/>
    <n v="2"/>
    <n v="5"/>
    <n v="2"/>
    <n v="4"/>
    <n v="3"/>
    <x v="1"/>
    <n v="1"/>
    <x v="2"/>
    <x v="1"/>
    <s v="2-5 Years"/>
    <s v="High"/>
    <s v="Good"/>
  </r>
  <r>
    <x v="13"/>
    <s v="No"/>
    <s v="Travel_Rarely"/>
    <n v="1346"/>
    <x v="1"/>
    <n v="19"/>
    <n v="2"/>
    <s v="Medical"/>
    <n v="1"/>
    <n v="18"/>
    <n v="2"/>
    <x v="1"/>
    <n v="93"/>
    <n v="3"/>
    <n v="1"/>
    <x v="2"/>
    <n v="4"/>
    <s v="Divorced"/>
    <n v="2661"/>
    <n v="8758"/>
    <n v="0"/>
    <s v="Y"/>
    <x v="1"/>
    <n v="11"/>
    <n v="3"/>
    <n v="3"/>
    <n v="80"/>
    <n v="1"/>
    <n v="3"/>
    <n v="2"/>
    <n v="3"/>
    <n v="2"/>
    <n v="2"/>
    <n v="1"/>
    <n v="2"/>
    <x v="1"/>
    <n v="1"/>
    <x v="2"/>
    <x v="1"/>
    <s v="2-5 Years"/>
    <s v="Very High"/>
    <s v="Better"/>
  </r>
  <r>
    <x v="14"/>
    <s v="Yes"/>
    <s v="Travel_Rarely"/>
    <n v="103"/>
    <x v="1"/>
    <n v="24"/>
    <n v="3"/>
    <s v="Life Sciences"/>
    <n v="1"/>
    <n v="19"/>
    <n v="3"/>
    <x v="1"/>
    <n v="50"/>
    <n v="2"/>
    <n v="1"/>
    <x v="2"/>
    <n v="3"/>
    <s v="Single"/>
    <n v="2028"/>
    <n v="12947"/>
    <n v="5"/>
    <s v="Y"/>
    <x v="0"/>
    <n v="14"/>
    <n v="3"/>
    <n v="2"/>
    <n v="80"/>
    <n v="0"/>
    <n v="6"/>
    <n v="4"/>
    <n v="3"/>
    <n v="4"/>
    <n v="2"/>
    <n v="0"/>
    <n v="3"/>
    <x v="0"/>
    <n v="0"/>
    <x v="2"/>
    <x v="1"/>
    <s v="2-5 Years"/>
    <s v="High"/>
    <s v="Better"/>
  </r>
  <r>
    <x v="11"/>
    <s v="No"/>
    <s v="Travel_Rarely"/>
    <n v="1389"/>
    <x v="1"/>
    <n v="21"/>
    <n v="4"/>
    <s v="Life Sciences"/>
    <n v="1"/>
    <n v="20"/>
    <n v="2"/>
    <x v="0"/>
    <n v="51"/>
    <n v="4"/>
    <n v="3"/>
    <x v="3"/>
    <n v="1"/>
    <s v="Divorced"/>
    <n v="9980"/>
    <n v="10195"/>
    <n v="1"/>
    <s v="Y"/>
    <x v="1"/>
    <n v="11"/>
    <n v="3"/>
    <n v="3"/>
    <n v="80"/>
    <n v="1"/>
    <n v="10"/>
    <n v="1"/>
    <n v="3"/>
    <n v="10"/>
    <n v="9"/>
    <n v="8"/>
    <n v="8"/>
    <x v="1"/>
    <n v="1"/>
    <x v="2"/>
    <x v="2"/>
    <s v="6-10 Years"/>
    <s v="Low"/>
    <s v="Better"/>
  </r>
  <r>
    <x v="5"/>
    <s v="No"/>
    <s v="Travel_Rarely"/>
    <n v="334"/>
    <x v="1"/>
    <n v="5"/>
    <n v="2"/>
    <s v="Life Sciences"/>
    <n v="1"/>
    <n v="21"/>
    <n v="1"/>
    <x v="1"/>
    <n v="80"/>
    <n v="4"/>
    <n v="1"/>
    <x v="1"/>
    <n v="2"/>
    <s v="Divorced"/>
    <n v="3298"/>
    <n v="15053"/>
    <n v="0"/>
    <s v="Y"/>
    <x v="0"/>
    <n v="12"/>
    <n v="3"/>
    <n v="4"/>
    <n v="80"/>
    <n v="2"/>
    <n v="7"/>
    <n v="5"/>
    <n v="2"/>
    <n v="6"/>
    <n v="2"/>
    <n v="0"/>
    <n v="5"/>
    <x v="1"/>
    <n v="1"/>
    <x v="2"/>
    <x v="0"/>
    <s v="6-10 Years"/>
    <s v="Medium"/>
    <s v="Good"/>
  </r>
  <r>
    <x v="15"/>
    <s v="No"/>
    <s v="Non-Travel"/>
    <n v="1123"/>
    <x v="1"/>
    <n v="16"/>
    <n v="2"/>
    <s v="Medical"/>
    <n v="1"/>
    <n v="22"/>
    <n v="4"/>
    <x v="1"/>
    <n v="96"/>
    <n v="4"/>
    <n v="1"/>
    <x v="2"/>
    <n v="4"/>
    <s v="Divorced"/>
    <n v="2935"/>
    <n v="7324"/>
    <n v="1"/>
    <s v="Y"/>
    <x v="0"/>
    <n v="13"/>
    <n v="3"/>
    <n v="2"/>
    <n v="80"/>
    <n v="2"/>
    <n v="1"/>
    <n v="2"/>
    <n v="2"/>
    <n v="1"/>
    <n v="0"/>
    <n v="0"/>
    <n v="0"/>
    <x v="1"/>
    <n v="1"/>
    <x v="4"/>
    <x v="1"/>
    <s v="0-1 Years"/>
    <s v="Very High"/>
    <s v="Good"/>
  </r>
  <r>
    <x v="16"/>
    <s v="No"/>
    <s v="Travel_Rarely"/>
    <n v="1219"/>
    <x v="0"/>
    <n v="2"/>
    <n v="4"/>
    <s v="Life Sciences"/>
    <n v="1"/>
    <n v="23"/>
    <n v="1"/>
    <x v="0"/>
    <n v="78"/>
    <n v="2"/>
    <n v="4"/>
    <x v="5"/>
    <n v="4"/>
    <s v="Married"/>
    <n v="15427"/>
    <n v="22021"/>
    <n v="2"/>
    <s v="Y"/>
    <x v="1"/>
    <n v="16"/>
    <n v="3"/>
    <n v="3"/>
    <n v="80"/>
    <n v="0"/>
    <n v="31"/>
    <n v="3"/>
    <n v="3"/>
    <n v="25"/>
    <n v="8"/>
    <n v="3"/>
    <n v="7"/>
    <x v="1"/>
    <n v="1"/>
    <x v="1"/>
    <x v="2"/>
    <s v="10+ Years"/>
    <s v="Very High"/>
    <s v="Better"/>
  </r>
  <r>
    <x v="8"/>
    <s v="No"/>
    <s v="Travel_Rarely"/>
    <n v="371"/>
    <x v="1"/>
    <n v="2"/>
    <n v="3"/>
    <s v="Life Sciences"/>
    <n v="1"/>
    <n v="24"/>
    <n v="4"/>
    <x v="1"/>
    <n v="45"/>
    <n v="3"/>
    <n v="1"/>
    <x v="1"/>
    <n v="4"/>
    <s v="Single"/>
    <n v="3944"/>
    <n v="4306"/>
    <n v="5"/>
    <s v="Y"/>
    <x v="0"/>
    <n v="11"/>
    <n v="3"/>
    <n v="3"/>
    <n v="80"/>
    <n v="0"/>
    <n v="6"/>
    <n v="3"/>
    <n v="3"/>
    <n v="3"/>
    <n v="2"/>
    <n v="1"/>
    <n v="2"/>
    <x v="1"/>
    <n v="1"/>
    <x v="0"/>
    <x v="0"/>
    <s v="2-5 Years"/>
    <s v="Very High"/>
    <s v="Better"/>
  </r>
  <r>
    <x v="17"/>
    <s v="No"/>
    <s v="Non-Travel"/>
    <n v="673"/>
    <x v="1"/>
    <n v="11"/>
    <n v="2"/>
    <s v="Other"/>
    <n v="1"/>
    <n v="26"/>
    <n v="1"/>
    <x v="0"/>
    <n v="96"/>
    <n v="4"/>
    <n v="2"/>
    <x v="3"/>
    <n v="3"/>
    <s v="Divorced"/>
    <n v="4011"/>
    <n v="8232"/>
    <n v="0"/>
    <s v="Y"/>
    <x v="1"/>
    <n v="18"/>
    <n v="3"/>
    <n v="4"/>
    <n v="80"/>
    <n v="1"/>
    <n v="5"/>
    <n v="5"/>
    <n v="2"/>
    <n v="4"/>
    <n v="2"/>
    <n v="1"/>
    <n v="3"/>
    <x v="1"/>
    <n v="1"/>
    <x v="4"/>
    <x v="0"/>
    <s v="2-5 Years"/>
    <s v="High"/>
    <s v="Good"/>
  </r>
  <r>
    <x v="9"/>
    <s v="Yes"/>
    <s v="Travel_Rarely"/>
    <n v="1218"/>
    <x v="0"/>
    <n v="9"/>
    <n v="4"/>
    <s v="Life Sciences"/>
    <n v="1"/>
    <n v="27"/>
    <n v="3"/>
    <x v="1"/>
    <n v="82"/>
    <n v="2"/>
    <n v="1"/>
    <x v="6"/>
    <n v="1"/>
    <s v="Single"/>
    <n v="3407"/>
    <n v="6986"/>
    <n v="7"/>
    <s v="Y"/>
    <x v="1"/>
    <n v="23"/>
    <n v="4"/>
    <n v="2"/>
    <n v="80"/>
    <n v="0"/>
    <n v="10"/>
    <n v="4"/>
    <n v="3"/>
    <n v="5"/>
    <n v="3"/>
    <n v="0"/>
    <n v="3"/>
    <x v="0"/>
    <n v="0"/>
    <x v="0"/>
    <x v="0"/>
    <s v="2-5 Years"/>
    <s v="Low"/>
    <s v="Better"/>
  </r>
  <r>
    <x v="13"/>
    <s v="No"/>
    <s v="Travel_Rarely"/>
    <n v="419"/>
    <x v="1"/>
    <n v="7"/>
    <n v="4"/>
    <s v="Life Sciences"/>
    <n v="1"/>
    <n v="28"/>
    <n v="1"/>
    <x v="0"/>
    <n v="53"/>
    <n v="3"/>
    <n v="3"/>
    <x v="7"/>
    <n v="2"/>
    <s v="Single"/>
    <n v="11994"/>
    <n v="21293"/>
    <n v="0"/>
    <s v="Y"/>
    <x v="1"/>
    <n v="11"/>
    <n v="3"/>
    <n v="3"/>
    <n v="80"/>
    <n v="0"/>
    <n v="13"/>
    <n v="4"/>
    <n v="3"/>
    <n v="12"/>
    <n v="6"/>
    <n v="2"/>
    <n v="11"/>
    <x v="1"/>
    <n v="1"/>
    <x v="2"/>
    <x v="2"/>
    <s v="10+ Years"/>
    <s v="Medium"/>
    <s v="Better"/>
  </r>
  <r>
    <x v="18"/>
    <s v="No"/>
    <s v="Travel_Rarely"/>
    <n v="391"/>
    <x v="1"/>
    <n v="15"/>
    <n v="2"/>
    <s v="Life Sciences"/>
    <n v="1"/>
    <n v="30"/>
    <n v="3"/>
    <x v="1"/>
    <n v="96"/>
    <n v="3"/>
    <n v="1"/>
    <x v="1"/>
    <n v="4"/>
    <s v="Single"/>
    <n v="1232"/>
    <n v="19281"/>
    <n v="1"/>
    <s v="Y"/>
    <x v="1"/>
    <n v="14"/>
    <n v="3"/>
    <n v="4"/>
    <n v="80"/>
    <n v="0"/>
    <n v="0"/>
    <n v="6"/>
    <n v="3"/>
    <n v="0"/>
    <n v="0"/>
    <n v="0"/>
    <n v="0"/>
    <x v="1"/>
    <n v="1"/>
    <x v="4"/>
    <x v="1"/>
    <s v="0-1 Years"/>
    <s v="Very High"/>
    <s v="Better"/>
  </r>
  <r>
    <x v="13"/>
    <s v="Yes"/>
    <s v="Travel_Rarely"/>
    <n v="699"/>
    <x v="1"/>
    <n v="6"/>
    <n v="1"/>
    <s v="Medical"/>
    <n v="1"/>
    <n v="31"/>
    <n v="2"/>
    <x v="1"/>
    <n v="83"/>
    <n v="3"/>
    <n v="1"/>
    <x v="1"/>
    <n v="1"/>
    <s v="Single"/>
    <n v="2960"/>
    <n v="17102"/>
    <n v="2"/>
    <s v="Y"/>
    <x v="1"/>
    <n v="11"/>
    <n v="3"/>
    <n v="3"/>
    <n v="80"/>
    <n v="0"/>
    <n v="8"/>
    <n v="2"/>
    <n v="3"/>
    <n v="4"/>
    <n v="2"/>
    <n v="1"/>
    <n v="3"/>
    <x v="0"/>
    <n v="0"/>
    <x v="2"/>
    <x v="1"/>
    <s v="2-5 Years"/>
    <s v="Low"/>
    <s v="Better"/>
  </r>
  <r>
    <x v="16"/>
    <s v="No"/>
    <s v="Travel_Rarely"/>
    <n v="1282"/>
    <x v="1"/>
    <n v="5"/>
    <n v="3"/>
    <s v="Other"/>
    <n v="1"/>
    <n v="32"/>
    <n v="3"/>
    <x v="0"/>
    <n v="58"/>
    <n v="3"/>
    <n v="5"/>
    <x v="5"/>
    <n v="3"/>
    <s v="Divorced"/>
    <n v="19094"/>
    <n v="10735"/>
    <n v="4"/>
    <s v="Y"/>
    <x v="1"/>
    <n v="11"/>
    <n v="3"/>
    <n v="4"/>
    <n v="80"/>
    <n v="1"/>
    <n v="26"/>
    <n v="3"/>
    <n v="2"/>
    <n v="14"/>
    <n v="13"/>
    <n v="4"/>
    <n v="8"/>
    <x v="1"/>
    <n v="1"/>
    <x v="1"/>
    <x v="2"/>
    <s v="10+ Years"/>
    <s v="High"/>
    <s v="Good"/>
  </r>
  <r>
    <x v="5"/>
    <s v="Yes"/>
    <s v="Travel_Frequently"/>
    <n v="1125"/>
    <x v="1"/>
    <n v="16"/>
    <n v="1"/>
    <s v="Life Sciences"/>
    <n v="1"/>
    <n v="33"/>
    <n v="2"/>
    <x v="0"/>
    <n v="72"/>
    <n v="1"/>
    <n v="1"/>
    <x v="1"/>
    <n v="1"/>
    <s v="Single"/>
    <n v="3919"/>
    <n v="4681"/>
    <n v="1"/>
    <s v="Y"/>
    <x v="0"/>
    <n v="22"/>
    <n v="4"/>
    <n v="2"/>
    <n v="80"/>
    <n v="0"/>
    <n v="10"/>
    <n v="5"/>
    <n v="3"/>
    <n v="10"/>
    <n v="2"/>
    <n v="6"/>
    <n v="7"/>
    <x v="0"/>
    <n v="0"/>
    <x v="2"/>
    <x v="0"/>
    <s v="6-10 Years"/>
    <s v="Low"/>
    <s v="Better"/>
  </r>
  <r>
    <x v="19"/>
    <s v="No"/>
    <s v="Travel_Rarely"/>
    <n v="691"/>
    <x v="0"/>
    <n v="8"/>
    <n v="4"/>
    <s v="Marketing"/>
    <n v="1"/>
    <n v="35"/>
    <n v="3"/>
    <x v="1"/>
    <n v="48"/>
    <n v="3"/>
    <n v="2"/>
    <x v="0"/>
    <n v="2"/>
    <s v="Married"/>
    <n v="6825"/>
    <n v="21173"/>
    <n v="0"/>
    <s v="Y"/>
    <x v="1"/>
    <n v="11"/>
    <n v="3"/>
    <n v="4"/>
    <n v="80"/>
    <n v="1"/>
    <n v="10"/>
    <n v="2"/>
    <n v="3"/>
    <n v="9"/>
    <n v="7"/>
    <n v="4"/>
    <n v="2"/>
    <x v="1"/>
    <n v="1"/>
    <x v="0"/>
    <x v="0"/>
    <s v="6-10 Years"/>
    <s v="Medium"/>
    <s v="Better"/>
  </r>
  <r>
    <x v="20"/>
    <s v="No"/>
    <s v="Travel_Rarely"/>
    <n v="477"/>
    <x v="1"/>
    <n v="7"/>
    <n v="4"/>
    <s v="Medical"/>
    <n v="1"/>
    <n v="36"/>
    <n v="1"/>
    <x v="0"/>
    <n v="42"/>
    <n v="2"/>
    <n v="3"/>
    <x v="4"/>
    <n v="4"/>
    <s v="Married"/>
    <n v="10248"/>
    <n v="2094"/>
    <n v="3"/>
    <s v="Y"/>
    <x v="1"/>
    <n v="14"/>
    <n v="3"/>
    <n v="4"/>
    <n v="80"/>
    <n v="1"/>
    <n v="24"/>
    <n v="4"/>
    <n v="3"/>
    <n v="22"/>
    <n v="6"/>
    <n v="5"/>
    <n v="17"/>
    <x v="1"/>
    <n v="1"/>
    <x v="0"/>
    <x v="2"/>
    <s v="10+ Years"/>
    <s v="Very High"/>
    <s v="Better"/>
  </r>
  <r>
    <x v="21"/>
    <s v="No"/>
    <s v="Travel_Rarely"/>
    <n v="705"/>
    <x v="0"/>
    <n v="2"/>
    <n v="4"/>
    <s v="Marketing"/>
    <n v="1"/>
    <n v="38"/>
    <n v="2"/>
    <x v="0"/>
    <n v="83"/>
    <n v="3"/>
    <n v="5"/>
    <x v="5"/>
    <n v="1"/>
    <s v="Single"/>
    <n v="18947"/>
    <n v="22822"/>
    <n v="3"/>
    <s v="Y"/>
    <x v="1"/>
    <n v="12"/>
    <n v="3"/>
    <n v="4"/>
    <n v="80"/>
    <n v="0"/>
    <n v="22"/>
    <n v="2"/>
    <n v="2"/>
    <n v="2"/>
    <n v="2"/>
    <n v="2"/>
    <n v="1"/>
    <x v="1"/>
    <n v="1"/>
    <x v="1"/>
    <x v="2"/>
    <s v="2-5 Years"/>
    <s v="Low"/>
    <s v="Good"/>
  </r>
  <r>
    <x v="3"/>
    <s v="No"/>
    <s v="Travel_Rarely"/>
    <n v="924"/>
    <x v="1"/>
    <n v="2"/>
    <n v="3"/>
    <s v="Medical"/>
    <n v="1"/>
    <n v="39"/>
    <n v="3"/>
    <x v="1"/>
    <n v="78"/>
    <n v="3"/>
    <n v="1"/>
    <x v="2"/>
    <n v="4"/>
    <s v="Single"/>
    <n v="2496"/>
    <n v="6670"/>
    <n v="4"/>
    <s v="Y"/>
    <x v="1"/>
    <n v="11"/>
    <n v="3"/>
    <n v="4"/>
    <n v="80"/>
    <n v="0"/>
    <n v="7"/>
    <n v="3"/>
    <n v="3"/>
    <n v="1"/>
    <n v="1"/>
    <n v="0"/>
    <n v="0"/>
    <x v="1"/>
    <n v="1"/>
    <x v="2"/>
    <x v="1"/>
    <s v="0-1 Years"/>
    <s v="Very High"/>
    <s v="Better"/>
  </r>
  <r>
    <x v="20"/>
    <s v="No"/>
    <s v="Travel_Rarely"/>
    <n v="1459"/>
    <x v="1"/>
    <n v="10"/>
    <n v="4"/>
    <s v="Other"/>
    <n v="1"/>
    <n v="40"/>
    <n v="4"/>
    <x v="1"/>
    <n v="41"/>
    <n v="3"/>
    <n v="2"/>
    <x v="4"/>
    <n v="4"/>
    <s v="Married"/>
    <n v="6465"/>
    <n v="19121"/>
    <n v="2"/>
    <s v="Y"/>
    <x v="0"/>
    <n v="13"/>
    <n v="3"/>
    <n v="4"/>
    <n v="80"/>
    <n v="0"/>
    <n v="9"/>
    <n v="5"/>
    <n v="4"/>
    <n v="4"/>
    <n v="2"/>
    <n v="1"/>
    <n v="3"/>
    <x v="1"/>
    <n v="1"/>
    <x v="0"/>
    <x v="0"/>
    <s v="2-5 Years"/>
    <s v="Very High"/>
    <s v="Best"/>
  </r>
  <r>
    <x v="7"/>
    <s v="No"/>
    <s v="Travel_Rarely"/>
    <n v="125"/>
    <x v="1"/>
    <n v="9"/>
    <n v="2"/>
    <s v="Medical"/>
    <n v="1"/>
    <n v="41"/>
    <n v="4"/>
    <x v="1"/>
    <n v="83"/>
    <n v="2"/>
    <n v="1"/>
    <x v="2"/>
    <n v="3"/>
    <s v="Single"/>
    <n v="2206"/>
    <n v="16117"/>
    <n v="1"/>
    <s v="Y"/>
    <x v="1"/>
    <n v="13"/>
    <n v="3"/>
    <n v="1"/>
    <n v="80"/>
    <n v="0"/>
    <n v="10"/>
    <n v="5"/>
    <n v="3"/>
    <n v="10"/>
    <n v="0"/>
    <n v="1"/>
    <n v="8"/>
    <x v="1"/>
    <n v="1"/>
    <x v="2"/>
    <x v="1"/>
    <s v="6-10 Years"/>
    <s v="High"/>
    <s v="Better"/>
  </r>
  <r>
    <x v="22"/>
    <s v="Yes"/>
    <s v="Travel_Rarely"/>
    <n v="895"/>
    <x v="0"/>
    <n v="5"/>
    <n v="3"/>
    <s v="Technical Degree"/>
    <n v="1"/>
    <n v="42"/>
    <n v="4"/>
    <x v="1"/>
    <n v="56"/>
    <n v="3"/>
    <n v="2"/>
    <x v="6"/>
    <n v="4"/>
    <s v="Married"/>
    <n v="2086"/>
    <n v="3335"/>
    <n v="3"/>
    <s v="Y"/>
    <x v="1"/>
    <n v="14"/>
    <n v="3"/>
    <n v="3"/>
    <n v="80"/>
    <n v="1"/>
    <n v="19"/>
    <n v="6"/>
    <n v="4"/>
    <n v="1"/>
    <n v="0"/>
    <n v="0"/>
    <n v="0"/>
    <x v="0"/>
    <n v="0"/>
    <x v="0"/>
    <x v="1"/>
    <s v="0-1 Years"/>
    <s v="Very High"/>
    <s v="Best"/>
  </r>
  <r>
    <x v="17"/>
    <s v="Yes"/>
    <s v="Travel_Rarely"/>
    <n v="813"/>
    <x v="1"/>
    <n v="1"/>
    <n v="3"/>
    <s v="Medical"/>
    <n v="1"/>
    <n v="45"/>
    <n v="2"/>
    <x v="1"/>
    <n v="61"/>
    <n v="3"/>
    <n v="1"/>
    <x v="1"/>
    <n v="4"/>
    <s v="Married"/>
    <n v="2293"/>
    <n v="3020"/>
    <n v="2"/>
    <s v="Y"/>
    <x v="0"/>
    <n v="16"/>
    <n v="3"/>
    <n v="1"/>
    <n v="80"/>
    <n v="1"/>
    <n v="6"/>
    <n v="2"/>
    <n v="2"/>
    <n v="2"/>
    <n v="0"/>
    <n v="2"/>
    <n v="0"/>
    <x v="0"/>
    <n v="0"/>
    <x v="4"/>
    <x v="1"/>
    <s v="2-5 Years"/>
    <s v="Very High"/>
    <s v="Good"/>
  </r>
  <r>
    <x v="23"/>
    <s v="No"/>
    <s v="Travel_Rarely"/>
    <n v="1273"/>
    <x v="1"/>
    <n v="2"/>
    <n v="2"/>
    <s v="Medical"/>
    <n v="1"/>
    <n v="46"/>
    <n v="4"/>
    <x v="0"/>
    <n v="72"/>
    <n v="4"/>
    <n v="1"/>
    <x v="1"/>
    <n v="3"/>
    <s v="Divorced"/>
    <n v="2645"/>
    <n v="21923"/>
    <n v="1"/>
    <s v="Y"/>
    <x v="1"/>
    <n v="12"/>
    <n v="3"/>
    <n v="4"/>
    <n v="80"/>
    <n v="2"/>
    <n v="6"/>
    <n v="3"/>
    <n v="2"/>
    <n v="5"/>
    <n v="3"/>
    <n v="1"/>
    <n v="4"/>
    <x v="1"/>
    <n v="1"/>
    <x v="0"/>
    <x v="1"/>
    <s v="2-5 Years"/>
    <s v="High"/>
    <s v="Good"/>
  </r>
  <r>
    <x v="24"/>
    <s v="Yes"/>
    <s v="Travel_Rarely"/>
    <n v="869"/>
    <x v="0"/>
    <n v="3"/>
    <n v="2"/>
    <s v="Marketing"/>
    <n v="1"/>
    <n v="47"/>
    <n v="1"/>
    <x v="1"/>
    <n v="86"/>
    <n v="2"/>
    <n v="1"/>
    <x v="6"/>
    <n v="3"/>
    <s v="Married"/>
    <n v="2683"/>
    <n v="3810"/>
    <n v="1"/>
    <s v="Y"/>
    <x v="0"/>
    <n v="14"/>
    <n v="3"/>
    <n v="3"/>
    <n v="80"/>
    <n v="0"/>
    <n v="3"/>
    <n v="2"/>
    <n v="3"/>
    <n v="3"/>
    <n v="2"/>
    <n v="0"/>
    <n v="2"/>
    <x v="0"/>
    <n v="0"/>
    <x v="1"/>
    <x v="1"/>
    <s v="2-5 Years"/>
    <s v="High"/>
    <s v="Better"/>
  </r>
  <r>
    <x v="10"/>
    <s v="No"/>
    <s v="Travel_Rarely"/>
    <n v="890"/>
    <x v="0"/>
    <n v="2"/>
    <n v="3"/>
    <s v="Marketing"/>
    <n v="1"/>
    <n v="49"/>
    <n v="4"/>
    <x v="0"/>
    <n v="97"/>
    <n v="3"/>
    <n v="1"/>
    <x v="6"/>
    <n v="4"/>
    <s v="Married"/>
    <n v="2014"/>
    <n v="9687"/>
    <n v="1"/>
    <s v="Y"/>
    <x v="1"/>
    <n v="13"/>
    <n v="3"/>
    <n v="1"/>
    <n v="80"/>
    <n v="0"/>
    <n v="2"/>
    <n v="3"/>
    <n v="3"/>
    <n v="2"/>
    <n v="2"/>
    <n v="2"/>
    <n v="2"/>
    <x v="1"/>
    <n v="1"/>
    <x v="0"/>
    <x v="1"/>
    <s v="2-5 Years"/>
    <s v="Very High"/>
    <s v="Better"/>
  </r>
  <r>
    <x v="9"/>
    <s v="No"/>
    <s v="Travel_Rarely"/>
    <n v="852"/>
    <x v="1"/>
    <n v="5"/>
    <n v="4"/>
    <s v="Life Sciences"/>
    <n v="1"/>
    <n v="51"/>
    <n v="2"/>
    <x v="0"/>
    <n v="82"/>
    <n v="2"/>
    <n v="1"/>
    <x v="1"/>
    <n v="1"/>
    <s v="Married"/>
    <n v="3419"/>
    <n v="13072"/>
    <n v="9"/>
    <s v="Y"/>
    <x v="0"/>
    <n v="14"/>
    <n v="3"/>
    <n v="4"/>
    <n v="80"/>
    <n v="1"/>
    <n v="6"/>
    <n v="3"/>
    <n v="4"/>
    <n v="1"/>
    <n v="1"/>
    <n v="0"/>
    <n v="0"/>
    <x v="1"/>
    <n v="1"/>
    <x v="0"/>
    <x v="0"/>
    <s v="0-1 Years"/>
    <s v="Low"/>
    <s v="Best"/>
  </r>
  <r>
    <x v="3"/>
    <s v="No"/>
    <s v="Travel_Frequently"/>
    <n v="1141"/>
    <x v="0"/>
    <n v="1"/>
    <n v="3"/>
    <s v="Life Sciences"/>
    <n v="1"/>
    <n v="52"/>
    <n v="3"/>
    <x v="0"/>
    <n v="42"/>
    <n v="4"/>
    <n v="2"/>
    <x v="0"/>
    <n v="1"/>
    <s v="Married"/>
    <n v="5376"/>
    <n v="3193"/>
    <n v="2"/>
    <s v="Y"/>
    <x v="1"/>
    <n v="19"/>
    <n v="3"/>
    <n v="1"/>
    <n v="80"/>
    <n v="2"/>
    <n v="10"/>
    <n v="3"/>
    <n v="3"/>
    <n v="5"/>
    <n v="3"/>
    <n v="1"/>
    <n v="3"/>
    <x v="1"/>
    <n v="1"/>
    <x v="2"/>
    <x v="0"/>
    <s v="2-5 Years"/>
    <s v="Low"/>
    <s v="Better"/>
  </r>
  <r>
    <x v="10"/>
    <s v="No"/>
    <s v="Travel_Rarely"/>
    <n v="464"/>
    <x v="1"/>
    <n v="4"/>
    <n v="2"/>
    <s v="Other"/>
    <n v="1"/>
    <n v="53"/>
    <n v="3"/>
    <x v="1"/>
    <n v="75"/>
    <n v="3"/>
    <n v="1"/>
    <x v="2"/>
    <n v="4"/>
    <s v="Divorced"/>
    <n v="1951"/>
    <n v="10910"/>
    <n v="1"/>
    <s v="Y"/>
    <x v="1"/>
    <n v="12"/>
    <n v="3"/>
    <n v="3"/>
    <n v="80"/>
    <n v="1"/>
    <n v="1"/>
    <n v="3"/>
    <n v="3"/>
    <n v="1"/>
    <n v="0"/>
    <n v="0"/>
    <n v="0"/>
    <x v="1"/>
    <n v="1"/>
    <x v="0"/>
    <x v="1"/>
    <s v="0-1 Years"/>
    <s v="Very High"/>
    <s v="Better"/>
  </r>
  <r>
    <x v="4"/>
    <s v="No"/>
    <s v="Travel_Rarely"/>
    <n v="1240"/>
    <x v="1"/>
    <n v="2"/>
    <n v="4"/>
    <s v="Life Sciences"/>
    <n v="1"/>
    <n v="54"/>
    <n v="4"/>
    <x v="0"/>
    <n v="33"/>
    <n v="3"/>
    <n v="1"/>
    <x v="2"/>
    <n v="1"/>
    <s v="Divorced"/>
    <n v="2341"/>
    <n v="19715"/>
    <n v="1"/>
    <s v="Y"/>
    <x v="1"/>
    <n v="13"/>
    <n v="3"/>
    <n v="4"/>
    <n v="80"/>
    <n v="1"/>
    <n v="1"/>
    <n v="6"/>
    <n v="3"/>
    <n v="1"/>
    <n v="0"/>
    <n v="0"/>
    <n v="0"/>
    <x v="1"/>
    <n v="1"/>
    <x v="2"/>
    <x v="1"/>
    <s v="0-1 Years"/>
    <s v="Low"/>
    <s v="Better"/>
  </r>
  <r>
    <x v="25"/>
    <s v="Yes"/>
    <s v="Travel_Rarely"/>
    <n v="1357"/>
    <x v="1"/>
    <n v="25"/>
    <n v="3"/>
    <s v="Life Sciences"/>
    <n v="1"/>
    <n v="55"/>
    <n v="1"/>
    <x v="1"/>
    <n v="48"/>
    <n v="1"/>
    <n v="1"/>
    <x v="2"/>
    <n v="3"/>
    <s v="Single"/>
    <n v="2293"/>
    <n v="10558"/>
    <n v="1"/>
    <s v="Y"/>
    <x v="1"/>
    <n v="12"/>
    <n v="3"/>
    <n v="3"/>
    <n v="80"/>
    <n v="0"/>
    <n v="1"/>
    <n v="2"/>
    <n v="2"/>
    <n v="1"/>
    <n v="0"/>
    <n v="0"/>
    <n v="1"/>
    <x v="0"/>
    <n v="0"/>
    <x v="2"/>
    <x v="1"/>
    <s v="0-1 Years"/>
    <s v="High"/>
    <s v="Good"/>
  </r>
  <r>
    <x v="4"/>
    <s v="No"/>
    <s v="Travel_Frequently"/>
    <n v="994"/>
    <x v="0"/>
    <n v="8"/>
    <n v="3"/>
    <s v="Life Sciences"/>
    <n v="1"/>
    <n v="56"/>
    <n v="4"/>
    <x v="1"/>
    <n v="37"/>
    <n v="3"/>
    <n v="3"/>
    <x v="0"/>
    <n v="3"/>
    <s v="Single"/>
    <n v="8726"/>
    <n v="2975"/>
    <n v="1"/>
    <s v="Y"/>
    <x v="1"/>
    <n v="15"/>
    <n v="3"/>
    <n v="4"/>
    <n v="80"/>
    <n v="0"/>
    <n v="9"/>
    <n v="0"/>
    <n v="3"/>
    <n v="9"/>
    <n v="8"/>
    <n v="1"/>
    <n v="7"/>
    <x v="1"/>
    <n v="1"/>
    <x v="2"/>
    <x v="2"/>
    <s v="6-10 Years"/>
    <s v="High"/>
    <s v="Better"/>
  </r>
  <r>
    <x v="7"/>
    <s v="No"/>
    <s v="Travel_Frequently"/>
    <n v="721"/>
    <x v="1"/>
    <n v="1"/>
    <n v="2"/>
    <s v="Medical"/>
    <n v="1"/>
    <n v="57"/>
    <n v="3"/>
    <x v="0"/>
    <n v="58"/>
    <n v="3"/>
    <n v="2"/>
    <x v="2"/>
    <n v="4"/>
    <s v="Single"/>
    <n v="4011"/>
    <n v="10781"/>
    <n v="1"/>
    <s v="Y"/>
    <x v="1"/>
    <n v="23"/>
    <n v="4"/>
    <n v="4"/>
    <n v="80"/>
    <n v="0"/>
    <n v="12"/>
    <n v="2"/>
    <n v="3"/>
    <n v="12"/>
    <n v="8"/>
    <n v="3"/>
    <n v="7"/>
    <x v="1"/>
    <n v="1"/>
    <x v="2"/>
    <x v="0"/>
    <s v="10+ Years"/>
    <s v="Very High"/>
    <s v="Better"/>
  </r>
  <r>
    <x v="0"/>
    <s v="Yes"/>
    <s v="Travel_Rarely"/>
    <n v="1360"/>
    <x v="1"/>
    <n v="12"/>
    <n v="3"/>
    <s v="Technical Degree"/>
    <n v="1"/>
    <n v="58"/>
    <n v="2"/>
    <x v="0"/>
    <n v="49"/>
    <n v="3"/>
    <n v="5"/>
    <x v="7"/>
    <n v="3"/>
    <s v="Married"/>
    <n v="19545"/>
    <n v="16280"/>
    <n v="1"/>
    <s v="Y"/>
    <x v="1"/>
    <n v="12"/>
    <n v="3"/>
    <n v="4"/>
    <n v="80"/>
    <n v="0"/>
    <n v="23"/>
    <n v="0"/>
    <n v="3"/>
    <n v="22"/>
    <n v="15"/>
    <n v="15"/>
    <n v="8"/>
    <x v="0"/>
    <n v="0"/>
    <x v="0"/>
    <x v="2"/>
    <s v="10+ Years"/>
    <s v="High"/>
    <s v="Better"/>
  </r>
  <r>
    <x v="13"/>
    <s v="No"/>
    <s v="Non-Travel"/>
    <n v="1065"/>
    <x v="0"/>
    <n v="23"/>
    <n v="4"/>
    <s v="Marketing"/>
    <n v="1"/>
    <n v="60"/>
    <n v="2"/>
    <x v="1"/>
    <n v="72"/>
    <n v="3"/>
    <n v="2"/>
    <x v="0"/>
    <n v="3"/>
    <s v="Single"/>
    <n v="4568"/>
    <n v="10034"/>
    <n v="0"/>
    <s v="Y"/>
    <x v="1"/>
    <n v="20"/>
    <n v="4"/>
    <n v="3"/>
    <n v="80"/>
    <n v="0"/>
    <n v="10"/>
    <n v="2"/>
    <n v="3"/>
    <n v="9"/>
    <n v="5"/>
    <n v="8"/>
    <n v="7"/>
    <x v="1"/>
    <n v="1"/>
    <x v="2"/>
    <x v="0"/>
    <s v="6-10 Years"/>
    <s v="High"/>
    <s v="Better"/>
  </r>
  <r>
    <x v="2"/>
    <s v="No"/>
    <s v="Travel_Rarely"/>
    <n v="408"/>
    <x v="1"/>
    <n v="19"/>
    <n v="2"/>
    <s v="Life Sciences"/>
    <n v="1"/>
    <n v="61"/>
    <n v="2"/>
    <x v="1"/>
    <n v="73"/>
    <n v="3"/>
    <n v="1"/>
    <x v="1"/>
    <n v="2"/>
    <s v="Married"/>
    <n v="3022"/>
    <n v="10227"/>
    <n v="4"/>
    <s v="Y"/>
    <x v="1"/>
    <n v="21"/>
    <n v="4"/>
    <n v="1"/>
    <n v="80"/>
    <n v="0"/>
    <n v="8"/>
    <n v="1"/>
    <n v="3"/>
    <n v="1"/>
    <n v="0"/>
    <n v="0"/>
    <n v="0"/>
    <x v="1"/>
    <n v="1"/>
    <x v="0"/>
    <x v="0"/>
    <s v="0-1 Years"/>
    <s v="Medium"/>
    <s v="Better"/>
  </r>
  <r>
    <x v="21"/>
    <s v="No"/>
    <s v="Travel_Frequently"/>
    <n v="1211"/>
    <x v="0"/>
    <n v="5"/>
    <n v="4"/>
    <s v="Marketing"/>
    <n v="1"/>
    <n v="62"/>
    <n v="1"/>
    <x v="1"/>
    <n v="98"/>
    <n v="3"/>
    <n v="2"/>
    <x v="0"/>
    <n v="4"/>
    <s v="Single"/>
    <n v="5772"/>
    <n v="20445"/>
    <n v="4"/>
    <s v="Y"/>
    <x v="0"/>
    <n v="21"/>
    <n v="4"/>
    <n v="3"/>
    <n v="80"/>
    <n v="0"/>
    <n v="14"/>
    <n v="4"/>
    <n v="3"/>
    <n v="9"/>
    <n v="6"/>
    <n v="0"/>
    <n v="8"/>
    <x v="1"/>
    <n v="1"/>
    <x v="1"/>
    <x v="0"/>
    <s v="6-10 Years"/>
    <s v="Very High"/>
    <s v="Better"/>
  </r>
  <r>
    <x v="10"/>
    <s v="No"/>
    <s v="Travel_Rarely"/>
    <n v="1229"/>
    <x v="1"/>
    <n v="8"/>
    <n v="1"/>
    <s v="Life Sciences"/>
    <n v="1"/>
    <n v="63"/>
    <n v="4"/>
    <x v="1"/>
    <n v="36"/>
    <n v="4"/>
    <n v="1"/>
    <x v="2"/>
    <n v="4"/>
    <s v="Married"/>
    <n v="2269"/>
    <n v="4892"/>
    <n v="1"/>
    <s v="Y"/>
    <x v="1"/>
    <n v="19"/>
    <n v="3"/>
    <n v="4"/>
    <n v="80"/>
    <n v="0"/>
    <n v="1"/>
    <n v="2"/>
    <n v="3"/>
    <n v="1"/>
    <n v="0"/>
    <n v="0"/>
    <n v="1"/>
    <x v="1"/>
    <n v="1"/>
    <x v="0"/>
    <x v="1"/>
    <s v="0-1 Years"/>
    <s v="Very High"/>
    <s v="Better"/>
  </r>
  <r>
    <x v="26"/>
    <s v="Yes"/>
    <s v="Travel_Rarely"/>
    <n v="626"/>
    <x v="1"/>
    <n v="1"/>
    <n v="2"/>
    <s v="Life Sciences"/>
    <n v="1"/>
    <n v="64"/>
    <n v="1"/>
    <x v="1"/>
    <n v="98"/>
    <n v="2"/>
    <n v="3"/>
    <x v="2"/>
    <n v="3"/>
    <s v="Single"/>
    <n v="5381"/>
    <n v="19294"/>
    <n v="9"/>
    <s v="Y"/>
    <x v="0"/>
    <n v="13"/>
    <n v="3"/>
    <n v="4"/>
    <n v="80"/>
    <n v="0"/>
    <n v="23"/>
    <n v="2"/>
    <n v="3"/>
    <n v="1"/>
    <n v="0"/>
    <n v="0"/>
    <n v="0"/>
    <x v="0"/>
    <n v="0"/>
    <x v="1"/>
    <x v="0"/>
    <s v="0-1 Years"/>
    <s v="High"/>
    <s v="Better"/>
  </r>
  <r>
    <x v="14"/>
    <s v="Yes"/>
    <s v="Travel_Rarely"/>
    <n v="1434"/>
    <x v="1"/>
    <n v="5"/>
    <n v="4"/>
    <s v="Technical Degree"/>
    <n v="1"/>
    <n v="65"/>
    <n v="3"/>
    <x v="1"/>
    <n v="50"/>
    <n v="3"/>
    <n v="1"/>
    <x v="2"/>
    <n v="3"/>
    <s v="Single"/>
    <n v="3441"/>
    <n v="11179"/>
    <n v="1"/>
    <s v="Y"/>
    <x v="0"/>
    <n v="13"/>
    <n v="3"/>
    <n v="3"/>
    <n v="80"/>
    <n v="0"/>
    <n v="2"/>
    <n v="3"/>
    <n v="2"/>
    <n v="2"/>
    <n v="2"/>
    <n v="2"/>
    <n v="2"/>
    <x v="0"/>
    <n v="0"/>
    <x v="2"/>
    <x v="0"/>
    <s v="2-5 Years"/>
    <s v="High"/>
    <s v="Good"/>
  </r>
  <r>
    <x v="20"/>
    <s v="No"/>
    <s v="Travel_Rarely"/>
    <n v="1488"/>
    <x v="0"/>
    <n v="1"/>
    <n v="5"/>
    <s v="Marketing"/>
    <n v="1"/>
    <n v="68"/>
    <n v="2"/>
    <x v="0"/>
    <n v="75"/>
    <n v="3"/>
    <n v="2"/>
    <x v="0"/>
    <n v="1"/>
    <s v="Divorced"/>
    <n v="5454"/>
    <n v="4009"/>
    <n v="5"/>
    <s v="Y"/>
    <x v="0"/>
    <n v="21"/>
    <n v="4"/>
    <n v="3"/>
    <n v="80"/>
    <n v="1"/>
    <n v="9"/>
    <n v="2"/>
    <n v="2"/>
    <n v="4"/>
    <n v="3"/>
    <n v="1"/>
    <n v="3"/>
    <x v="1"/>
    <n v="1"/>
    <x v="0"/>
    <x v="0"/>
    <s v="2-5 Years"/>
    <s v="Low"/>
    <s v="Good"/>
  </r>
  <r>
    <x v="10"/>
    <s v="No"/>
    <s v="Non-Travel"/>
    <n v="1097"/>
    <x v="1"/>
    <n v="11"/>
    <n v="2"/>
    <s v="Medical"/>
    <n v="1"/>
    <n v="70"/>
    <n v="3"/>
    <x v="1"/>
    <n v="79"/>
    <n v="2"/>
    <n v="3"/>
    <x v="4"/>
    <n v="1"/>
    <s v="Married"/>
    <n v="9884"/>
    <n v="8302"/>
    <n v="2"/>
    <s v="Y"/>
    <x v="0"/>
    <n v="13"/>
    <n v="3"/>
    <n v="3"/>
    <n v="80"/>
    <n v="1"/>
    <n v="10"/>
    <n v="3"/>
    <n v="3"/>
    <n v="4"/>
    <n v="0"/>
    <n v="2"/>
    <n v="3"/>
    <x v="1"/>
    <n v="1"/>
    <x v="0"/>
    <x v="2"/>
    <s v="2-5 Years"/>
    <s v="Low"/>
    <s v="Better"/>
  </r>
  <r>
    <x v="25"/>
    <s v="No"/>
    <s v="Travel_Rarely"/>
    <n v="1443"/>
    <x v="0"/>
    <n v="23"/>
    <n v="3"/>
    <s v="Marketing"/>
    <n v="1"/>
    <n v="72"/>
    <n v="3"/>
    <x v="0"/>
    <n v="47"/>
    <n v="2"/>
    <n v="2"/>
    <x v="0"/>
    <n v="4"/>
    <s v="Married"/>
    <n v="4157"/>
    <n v="21436"/>
    <n v="7"/>
    <s v="Y"/>
    <x v="0"/>
    <n v="19"/>
    <n v="3"/>
    <n v="3"/>
    <n v="80"/>
    <n v="1"/>
    <n v="5"/>
    <n v="2"/>
    <n v="2"/>
    <n v="2"/>
    <n v="2"/>
    <n v="0"/>
    <n v="0"/>
    <x v="1"/>
    <n v="1"/>
    <x v="2"/>
    <x v="0"/>
    <s v="2-5 Years"/>
    <s v="Very High"/>
    <s v="Good"/>
  </r>
  <r>
    <x v="3"/>
    <s v="No"/>
    <s v="Travel_Frequently"/>
    <n v="515"/>
    <x v="1"/>
    <n v="1"/>
    <n v="2"/>
    <s v="Life Sciences"/>
    <n v="1"/>
    <n v="73"/>
    <n v="1"/>
    <x v="0"/>
    <n v="98"/>
    <n v="3"/>
    <n v="3"/>
    <x v="7"/>
    <n v="4"/>
    <s v="Single"/>
    <n v="13458"/>
    <n v="15146"/>
    <n v="1"/>
    <s v="Y"/>
    <x v="0"/>
    <n v="12"/>
    <n v="3"/>
    <n v="3"/>
    <n v="80"/>
    <n v="0"/>
    <n v="15"/>
    <n v="1"/>
    <n v="3"/>
    <n v="15"/>
    <n v="14"/>
    <n v="8"/>
    <n v="12"/>
    <x v="1"/>
    <n v="1"/>
    <x v="2"/>
    <x v="2"/>
    <s v="10+ Years"/>
    <s v="Very High"/>
    <s v="Better"/>
  </r>
  <r>
    <x v="10"/>
    <s v="No"/>
    <s v="Travel_Frequently"/>
    <n v="853"/>
    <x v="0"/>
    <n v="18"/>
    <n v="5"/>
    <s v="Life Sciences"/>
    <n v="1"/>
    <n v="74"/>
    <n v="2"/>
    <x v="1"/>
    <n v="71"/>
    <n v="3"/>
    <n v="3"/>
    <x v="0"/>
    <n v="1"/>
    <s v="Married"/>
    <n v="9069"/>
    <n v="11031"/>
    <n v="1"/>
    <s v="Y"/>
    <x v="1"/>
    <n v="22"/>
    <n v="4"/>
    <n v="4"/>
    <n v="80"/>
    <n v="1"/>
    <n v="9"/>
    <n v="3"/>
    <n v="2"/>
    <n v="9"/>
    <n v="8"/>
    <n v="1"/>
    <n v="8"/>
    <x v="1"/>
    <n v="1"/>
    <x v="0"/>
    <x v="2"/>
    <s v="6-10 Years"/>
    <s v="Low"/>
    <s v="Good"/>
  </r>
  <r>
    <x v="10"/>
    <s v="No"/>
    <s v="Travel_Rarely"/>
    <n v="1142"/>
    <x v="1"/>
    <n v="23"/>
    <n v="4"/>
    <s v="Medical"/>
    <n v="1"/>
    <n v="75"/>
    <n v="3"/>
    <x v="0"/>
    <n v="30"/>
    <n v="3"/>
    <n v="1"/>
    <x v="2"/>
    <n v="1"/>
    <s v="Married"/>
    <n v="4014"/>
    <n v="16002"/>
    <n v="3"/>
    <s v="Y"/>
    <x v="0"/>
    <n v="15"/>
    <n v="3"/>
    <n v="3"/>
    <n v="80"/>
    <n v="1"/>
    <n v="4"/>
    <n v="3"/>
    <n v="3"/>
    <n v="2"/>
    <n v="2"/>
    <n v="2"/>
    <n v="2"/>
    <x v="1"/>
    <n v="1"/>
    <x v="0"/>
    <x v="0"/>
    <s v="2-5 Years"/>
    <s v="Low"/>
    <s v="Better"/>
  </r>
  <r>
    <x v="12"/>
    <s v="No"/>
    <s v="Travel_Rarely"/>
    <n v="655"/>
    <x v="1"/>
    <n v="7"/>
    <n v="4"/>
    <s v="Life Sciences"/>
    <n v="1"/>
    <n v="76"/>
    <n v="4"/>
    <x v="1"/>
    <n v="48"/>
    <n v="3"/>
    <n v="2"/>
    <x v="2"/>
    <n v="4"/>
    <s v="Divorced"/>
    <n v="5915"/>
    <n v="9528"/>
    <n v="3"/>
    <s v="Y"/>
    <x v="1"/>
    <n v="22"/>
    <n v="4"/>
    <n v="4"/>
    <n v="80"/>
    <n v="1"/>
    <n v="10"/>
    <n v="3"/>
    <n v="2"/>
    <n v="7"/>
    <n v="7"/>
    <n v="1"/>
    <n v="7"/>
    <x v="1"/>
    <n v="1"/>
    <x v="2"/>
    <x v="0"/>
    <s v="6-10 Years"/>
    <s v="Very High"/>
    <s v="Good"/>
  </r>
  <r>
    <x v="2"/>
    <s v="No"/>
    <s v="Travel_Rarely"/>
    <n v="1115"/>
    <x v="1"/>
    <n v="1"/>
    <n v="4"/>
    <s v="Life Sciences"/>
    <n v="1"/>
    <n v="77"/>
    <n v="1"/>
    <x v="1"/>
    <n v="51"/>
    <n v="2"/>
    <n v="2"/>
    <x v="3"/>
    <n v="3"/>
    <s v="Divorced"/>
    <n v="5993"/>
    <n v="2689"/>
    <n v="1"/>
    <s v="Y"/>
    <x v="1"/>
    <n v="18"/>
    <n v="3"/>
    <n v="3"/>
    <n v="80"/>
    <n v="1"/>
    <n v="7"/>
    <n v="2"/>
    <n v="4"/>
    <n v="7"/>
    <n v="5"/>
    <n v="0"/>
    <n v="7"/>
    <x v="1"/>
    <n v="1"/>
    <x v="0"/>
    <x v="0"/>
    <s v="6-10 Years"/>
    <s v="High"/>
    <s v="Best"/>
  </r>
  <r>
    <x v="5"/>
    <s v="No"/>
    <s v="Travel_Rarely"/>
    <n v="427"/>
    <x v="1"/>
    <n v="1"/>
    <n v="3"/>
    <s v="Medical"/>
    <n v="1"/>
    <n v="78"/>
    <n v="1"/>
    <x v="1"/>
    <n v="33"/>
    <n v="3"/>
    <n v="2"/>
    <x v="3"/>
    <n v="4"/>
    <s v="Married"/>
    <n v="6162"/>
    <n v="10877"/>
    <n v="1"/>
    <s v="Y"/>
    <x v="0"/>
    <n v="22"/>
    <n v="4"/>
    <n v="2"/>
    <n v="80"/>
    <n v="1"/>
    <n v="9"/>
    <n v="3"/>
    <n v="3"/>
    <n v="9"/>
    <n v="8"/>
    <n v="7"/>
    <n v="8"/>
    <x v="1"/>
    <n v="1"/>
    <x v="2"/>
    <x v="0"/>
    <s v="6-10 Years"/>
    <s v="Very High"/>
    <s v="Better"/>
  </r>
  <r>
    <x v="8"/>
    <s v="No"/>
    <s v="Travel_Frequently"/>
    <n v="653"/>
    <x v="1"/>
    <n v="29"/>
    <n v="5"/>
    <s v="Life Sciences"/>
    <n v="1"/>
    <n v="79"/>
    <n v="4"/>
    <x v="0"/>
    <n v="50"/>
    <n v="3"/>
    <n v="2"/>
    <x v="2"/>
    <n v="4"/>
    <s v="Single"/>
    <n v="2406"/>
    <n v="5456"/>
    <n v="1"/>
    <s v="Y"/>
    <x v="1"/>
    <n v="11"/>
    <n v="3"/>
    <n v="4"/>
    <n v="80"/>
    <n v="0"/>
    <n v="10"/>
    <n v="2"/>
    <n v="3"/>
    <n v="10"/>
    <n v="3"/>
    <n v="9"/>
    <n v="9"/>
    <x v="1"/>
    <n v="1"/>
    <x v="0"/>
    <x v="1"/>
    <s v="6-10 Years"/>
    <s v="Very High"/>
    <s v="Better"/>
  </r>
  <r>
    <x v="24"/>
    <s v="No"/>
    <s v="Travel_Rarely"/>
    <n v="989"/>
    <x v="1"/>
    <n v="7"/>
    <n v="2"/>
    <s v="Medical"/>
    <n v="1"/>
    <n v="80"/>
    <n v="2"/>
    <x v="0"/>
    <n v="43"/>
    <n v="2"/>
    <n v="5"/>
    <x v="7"/>
    <n v="3"/>
    <s v="Divorced"/>
    <n v="18740"/>
    <n v="16701"/>
    <n v="5"/>
    <s v="Y"/>
    <x v="0"/>
    <n v="12"/>
    <n v="3"/>
    <n v="4"/>
    <n v="80"/>
    <n v="1"/>
    <n v="29"/>
    <n v="2"/>
    <n v="2"/>
    <n v="27"/>
    <n v="3"/>
    <n v="13"/>
    <n v="8"/>
    <x v="1"/>
    <n v="1"/>
    <x v="1"/>
    <x v="2"/>
    <s v="10+ Years"/>
    <s v="High"/>
    <s v="Good"/>
  </r>
  <r>
    <x v="6"/>
    <s v="No"/>
    <s v="Travel_Rarely"/>
    <n v="1435"/>
    <x v="0"/>
    <n v="25"/>
    <n v="3"/>
    <s v="Life Sciences"/>
    <n v="1"/>
    <n v="81"/>
    <n v="1"/>
    <x v="0"/>
    <n v="99"/>
    <n v="3"/>
    <n v="3"/>
    <x v="0"/>
    <n v="1"/>
    <s v="Single"/>
    <n v="7637"/>
    <n v="2354"/>
    <n v="7"/>
    <s v="Y"/>
    <x v="1"/>
    <n v="11"/>
    <n v="3"/>
    <n v="4"/>
    <n v="80"/>
    <n v="0"/>
    <n v="28"/>
    <n v="3"/>
    <n v="2"/>
    <n v="21"/>
    <n v="16"/>
    <n v="7"/>
    <n v="9"/>
    <x v="1"/>
    <n v="1"/>
    <x v="3"/>
    <x v="2"/>
    <s v="10+ Years"/>
    <s v="Low"/>
    <s v="Good"/>
  </r>
  <r>
    <x v="9"/>
    <s v="No"/>
    <s v="Travel_Rarely"/>
    <n v="1223"/>
    <x v="1"/>
    <n v="8"/>
    <n v="3"/>
    <s v="Technical Degree"/>
    <n v="1"/>
    <n v="83"/>
    <n v="3"/>
    <x v="0"/>
    <n v="59"/>
    <n v="3"/>
    <n v="3"/>
    <x v="4"/>
    <n v="3"/>
    <s v="Divorced"/>
    <n v="10096"/>
    <n v="8202"/>
    <n v="1"/>
    <s v="Y"/>
    <x v="1"/>
    <n v="13"/>
    <n v="3"/>
    <n v="2"/>
    <n v="80"/>
    <n v="3"/>
    <n v="17"/>
    <n v="2"/>
    <n v="3"/>
    <n v="17"/>
    <n v="14"/>
    <n v="12"/>
    <n v="8"/>
    <x v="1"/>
    <n v="1"/>
    <x v="0"/>
    <x v="2"/>
    <s v="10+ Years"/>
    <s v="High"/>
    <s v="Better"/>
  </r>
  <r>
    <x v="27"/>
    <s v="No"/>
    <s v="Travel_Rarely"/>
    <n v="836"/>
    <x v="1"/>
    <n v="8"/>
    <n v="3"/>
    <s v="Medical"/>
    <n v="1"/>
    <n v="84"/>
    <n v="4"/>
    <x v="0"/>
    <n v="33"/>
    <n v="3"/>
    <n v="4"/>
    <x v="5"/>
    <n v="3"/>
    <s v="Divorced"/>
    <n v="14756"/>
    <n v="19730"/>
    <n v="2"/>
    <s v="Y"/>
    <x v="0"/>
    <n v="14"/>
    <n v="3"/>
    <n v="3"/>
    <n v="80"/>
    <n v="3"/>
    <n v="21"/>
    <n v="2"/>
    <n v="3"/>
    <n v="5"/>
    <n v="0"/>
    <n v="0"/>
    <n v="2"/>
    <x v="1"/>
    <n v="1"/>
    <x v="3"/>
    <x v="2"/>
    <s v="2-5 Years"/>
    <s v="High"/>
    <s v="Better"/>
  </r>
  <r>
    <x v="9"/>
    <s v="No"/>
    <s v="Travel_Frequently"/>
    <n v="1195"/>
    <x v="1"/>
    <n v="11"/>
    <n v="3"/>
    <s v="Life Sciences"/>
    <n v="1"/>
    <n v="85"/>
    <n v="2"/>
    <x v="1"/>
    <n v="95"/>
    <n v="2"/>
    <n v="2"/>
    <x v="3"/>
    <n v="2"/>
    <s v="Single"/>
    <n v="6499"/>
    <n v="22656"/>
    <n v="1"/>
    <s v="Y"/>
    <x v="1"/>
    <n v="13"/>
    <n v="3"/>
    <n v="3"/>
    <n v="80"/>
    <n v="0"/>
    <n v="6"/>
    <n v="3"/>
    <n v="3"/>
    <n v="6"/>
    <n v="5"/>
    <n v="0"/>
    <n v="3"/>
    <x v="1"/>
    <n v="1"/>
    <x v="0"/>
    <x v="0"/>
    <s v="6-10 Years"/>
    <s v="Medium"/>
    <s v="Better"/>
  </r>
  <r>
    <x v="28"/>
    <s v="No"/>
    <s v="Travel_Rarely"/>
    <n v="1339"/>
    <x v="1"/>
    <n v="7"/>
    <n v="3"/>
    <s v="Life Sciences"/>
    <n v="1"/>
    <n v="86"/>
    <n v="2"/>
    <x v="1"/>
    <n v="59"/>
    <n v="3"/>
    <n v="3"/>
    <x v="1"/>
    <n v="1"/>
    <s v="Divorced"/>
    <n v="9724"/>
    <n v="18787"/>
    <n v="2"/>
    <s v="Y"/>
    <x v="1"/>
    <n v="17"/>
    <n v="3"/>
    <n v="3"/>
    <n v="80"/>
    <n v="1"/>
    <n v="25"/>
    <n v="2"/>
    <n v="3"/>
    <n v="1"/>
    <n v="0"/>
    <n v="0"/>
    <n v="0"/>
    <x v="1"/>
    <n v="1"/>
    <x v="1"/>
    <x v="2"/>
    <s v="0-1 Years"/>
    <s v="Low"/>
    <s v="Better"/>
  </r>
  <r>
    <x v="10"/>
    <s v="No"/>
    <s v="Travel_Frequently"/>
    <n v="664"/>
    <x v="1"/>
    <n v="1"/>
    <n v="3"/>
    <s v="Medical"/>
    <n v="1"/>
    <n v="88"/>
    <n v="2"/>
    <x v="1"/>
    <n v="79"/>
    <n v="3"/>
    <n v="1"/>
    <x v="1"/>
    <n v="1"/>
    <s v="Married"/>
    <n v="2194"/>
    <n v="5868"/>
    <n v="4"/>
    <s v="Y"/>
    <x v="1"/>
    <n v="13"/>
    <n v="3"/>
    <n v="4"/>
    <n v="80"/>
    <n v="1"/>
    <n v="5"/>
    <n v="2"/>
    <n v="2"/>
    <n v="3"/>
    <n v="2"/>
    <n v="1"/>
    <n v="2"/>
    <x v="1"/>
    <n v="1"/>
    <x v="0"/>
    <x v="1"/>
    <s v="2-5 Years"/>
    <s v="Low"/>
    <s v="Good"/>
  </r>
  <r>
    <x v="9"/>
    <s v="Yes"/>
    <s v="Travel_Rarely"/>
    <n v="318"/>
    <x v="1"/>
    <n v="9"/>
    <n v="3"/>
    <s v="Medical"/>
    <n v="1"/>
    <n v="90"/>
    <n v="4"/>
    <x v="1"/>
    <n v="79"/>
    <n v="2"/>
    <n v="1"/>
    <x v="1"/>
    <n v="3"/>
    <s v="Married"/>
    <n v="3388"/>
    <n v="21777"/>
    <n v="0"/>
    <s v="Y"/>
    <x v="0"/>
    <n v="17"/>
    <n v="3"/>
    <n v="1"/>
    <n v="80"/>
    <n v="1"/>
    <n v="2"/>
    <n v="0"/>
    <n v="2"/>
    <n v="1"/>
    <n v="0"/>
    <n v="0"/>
    <n v="0"/>
    <x v="0"/>
    <n v="0"/>
    <x v="0"/>
    <x v="0"/>
    <s v="0-1 Years"/>
    <s v="High"/>
    <s v="Good"/>
  </r>
  <r>
    <x v="6"/>
    <s v="No"/>
    <s v="Travel_Frequently"/>
    <n v="1225"/>
    <x v="0"/>
    <n v="1"/>
    <n v="1"/>
    <s v="Life Sciences"/>
    <n v="1"/>
    <n v="91"/>
    <n v="1"/>
    <x v="0"/>
    <n v="57"/>
    <n v="2"/>
    <n v="2"/>
    <x v="0"/>
    <n v="3"/>
    <s v="Single"/>
    <n v="5473"/>
    <n v="24668"/>
    <n v="7"/>
    <s v="Y"/>
    <x v="1"/>
    <n v="11"/>
    <n v="3"/>
    <n v="4"/>
    <n v="80"/>
    <n v="0"/>
    <n v="20"/>
    <n v="2"/>
    <n v="2"/>
    <n v="4"/>
    <n v="3"/>
    <n v="1"/>
    <n v="3"/>
    <x v="1"/>
    <n v="1"/>
    <x v="3"/>
    <x v="0"/>
    <s v="2-5 Years"/>
    <s v="High"/>
    <s v="Good"/>
  </r>
  <r>
    <x v="11"/>
    <s v="No"/>
    <s v="Travel_Rarely"/>
    <n v="1328"/>
    <x v="1"/>
    <n v="2"/>
    <n v="3"/>
    <s v="Life Sciences"/>
    <n v="1"/>
    <n v="94"/>
    <n v="3"/>
    <x v="1"/>
    <n v="76"/>
    <n v="3"/>
    <n v="1"/>
    <x v="1"/>
    <n v="2"/>
    <s v="Married"/>
    <n v="2703"/>
    <n v="4956"/>
    <n v="0"/>
    <s v="Y"/>
    <x v="1"/>
    <n v="23"/>
    <n v="4"/>
    <n v="4"/>
    <n v="80"/>
    <n v="1"/>
    <n v="6"/>
    <n v="3"/>
    <n v="3"/>
    <n v="5"/>
    <n v="4"/>
    <n v="0"/>
    <n v="4"/>
    <x v="1"/>
    <n v="1"/>
    <x v="2"/>
    <x v="1"/>
    <s v="2-5 Years"/>
    <s v="Medium"/>
    <s v="Better"/>
  </r>
  <r>
    <x v="12"/>
    <s v="No"/>
    <s v="Travel_Rarely"/>
    <n v="1082"/>
    <x v="1"/>
    <n v="1"/>
    <n v="4"/>
    <s v="Medical"/>
    <n v="1"/>
    <n v="95"/>
    <n v="3"/>
    <x v="1"/>
    <n v="87"/>
    <n v="3"/>
    <n v="1"/>
    <x v="1"/>
    <n v="2"/>
    <s v="Single"/>
    <n v="2501"/>
    <n v="18775"/>
    <n v="1"/>
    <s v="Y"/>
    <x v="1"/>
    <n v="17"/>
    <n v="3"/>
    <n v="2"/>
    <n v="80"/>
    <n v="0"/>
    <n v="1"/>
    <n v="4"/>
    <n v="3"/>
    <n v="1"/>
    <n v="1"/>
    <n v="1"/>
    <n v="0"/>
    <x v="1"/>
    <n v="1"/>
    <x v="2"/>
    <x v="1"/>
    <s v="0-1 Years"/>
    <s v="Medium"/>
    <s v="Better"/>
  </r>
  <r>
    <x v="5"/>
    <s v="No"/>
    <s v="Travel_Rarely"/>
    <n v="548"/>
    <x v="1"/>
    <n v="1"/>
    <n v="3"/>
    <s v="Life Sciences"/>
    <n v="1"/>
    <n v="96"/>
    <n v="2"/>
    <x v="1"/>
    <n v="66"/>
    <n v="3"/>
    <n v="2"/>
    <x v="1"/>
    <n v="2"/>
    <s v="Married"/>
    <n v="6220"/>
    <n v="7346"/>
    <n v="1"/>
    <s v="Y"/>
    <x v="1"/>
    <n v="17"/>
    <n v="3"/>
    <n v="2"/>
    <n v="80"/>
    <n v="2"/>
    <n v="10"/>
    <n v="3"/>
    <n v="3"/>
    <n v="10"/>
    <n v="4"/>
    <n v="0"/>
    <n v="9"/>
    <x v="1"/>
    <n v="1"/>
    <x v="2"/>
    <x v="0"/>
    <s v="6-10 Years"/>
    <s v="Medium"/>
    <s v="Better"/>
  </r>
  <r>
    <x v="9"/>
    <s v="No"/>
    <s v="Travel_Rarely"/>
    <n v="132"/>
    <x v="1"/>
    <n v="6"/>
    <n v="3"/>
    <s v="Life Sciences"/>
    <n v="1"/>
    <n v="97"/>
    <n v="2"/>
    <x v="0"/>
    <n v="55"/>
    <n v="4"/>
    <n v="1"/>
    <x v="2"/>
    <n v="4"/>
    <s v="Married"/>
    <n v="3038"/>
    <n v="22002"/>
    <n v="3"/>
    <s v="Y"/>
    <x v="1"/>
    <n v="12"/>
    <n v="3"/>
    <n v="2"/>
    <n v="80"/>
    <n v="0"/>
    <n v="5"/>
    <n v="3"/>
    <n v="3"/>
    <n v="1"/>
    <n v="0"/>
    <n v="0"/>
    <n v="0"/>
    <x v="1"/>
    <n v="1"/>
    <x v="0"/>
    <x v="0"/>
    <s v="0-1 Years"/>
    <s v="Very High"/>
    <s v="Better"/>
  </r>
  <r>
    <x v="12"/>
    <s v="No"/>
    <s v="Travel_Rarely"/>
    <n v="746"/>
    <x v="1"/>
    <n v="8"/>
    <n v="4"/>
    <s v="Life Sciences"/>
    <n v="1"/>
    <n v="98"/>
    <n v="3"/>
    <x v="0"/>
    <n v="61"/>
    <n v="3"/>
    <n v="2"/>
    <x v="3"/>
    <n v="4"/>
    <s v="Single"/>
    <n v="4424"/>
    <n v="20682"/>
    <n v="1"/>
    <s v="Y"/>
    <x v="1"/>
    <n v="23"/>
    <n v="4"/>
    <n v="4"/>
    <n v="80"/>
    <n v="0"/>
    <n v="11"/>
    <n v="2"/>
    <n v="3"/>
    <n v="11"/>
    <n v="7"/>
    <n v="1"/>
    <n v="8"/>
    <x v="1"/>
    <n v="1"/>
    <x v="2"/>
    <x v="0"/>
    <s v="10+ Years"/>
    <s v="Very High"/>
    <s v="Better"/>
  </r>
  <r>
    <x v="10"/>
    <s v="No"/>
    <s v="Travel_Rarely"/>
    <n v="776"/>
    <x v="0"/>
    <n v="1"/>
    <n v="4"/>
    <s v="Marketing"/>
    <n v="1"/>
    <n v="100"/>
    <n v="3"/>
    <x v="1"/>
    <n v="32"/>
    <n v="2"/>
    <n v="2"/>
    <x v="0"/>
    <n v="1"/>
    <s v="Single"/>
    <n v="4312"/>
    <n v="23016"/>
    <n v="0"/>
    <s v="Y"/>
    <x v="1"/>
    <n v="14"/>
    <n v="3"/>
    <n v="2"/>
    <n v="80"/>
    <n v="0"/>
    <n v="16"/>
    <n v="2"/>
    <n v="3"/>
    <n v="15"/>
    <n v="13"/>
    <n v="2"/>
    <n v="8"/>
    <x v="1"/>
    <n v="1"/>
    <x v="0"/>
    <x v="0"/>
    <s v="10+ Years"/>
    <s v="Low"/>
    <s v="Better"/>
  </r>
  <r>
    <x v="28"/>
    <s v="No"/>
    <s v="Travel_Rarely"/>
    <n v="193"/>
    <x v="1"/>
    <n v="6"/>
    <n v="4"/>
    <s v="Other"/>
    <n v="1"/>
    <n v="101"/>
    <n v="4"/>
    <x v="1"/>
    <n v="52"/>
    <n v="3"/>
    <n v="3"/>
    <x v="7"/>
    <n v="1"/>
    <s v="Married"/>
    <n v="13245"/>
    <n v="15067"/>
    <n v="4"/>
    <s v="Y"/>
    <x v="0"/>
    <n v="14"/>
    <n v="3"/>
    <n v="2"/>
    <n v="80"/>
    <n v="0"/>
    <n v="17"/>
    <n v="3"/>
    <n v="4"/>
    <n v="0"/>
    <n v="0"/>
    <n v="0"/>
    <n v="0"/>
    <x v="1"/>
    <n v="1"/>
    <x v="1"/>
    <x v="2"/>
    <s v="0-1 Years"/>
    <s v="Low"/>
    <s v="Best"/>
  </r>
  <r>
    <x v="2"/>
    <s v="No"/>
    <s v="Travel_Rarely"/>
    <n v="397"/>
    <x v="1"/>
    <n v="7"/>
    <n v="4"/>
    <s v="Medical"/>
    <n v="1"/>
    <n v="102"/>
    <n v="1"/>
    <x v="1"/>
    <n v="30"/>
    <n v="3"/>
    <n v="3"/>
    <x v="7"/>
    <n v="3"/>
    <s v="Single"/>
    <n v="13664"/>
    <n v="25258"/>
    <n v="4"/>
    <s v="Y"/>
    <x v="1"/>
    <n v="13"/>
    <n v="3"/>
    <n v="1"/>
    <n v="80"/>
    <n v="0"/>
    <n v="16"/>
    <n v="3"/>
    <n v="4"/>
    <n v="5"/>
    <n v="2"/>
    <n v="0"/>
    <n v="2"/>
    <x v="1"/>
    <n v="1"/>
    <x v="0"/>
    <x v="2"/>
    <s v="2-5 Years"/>
    <s v="High"/>
    <s v="Best"/>
  </r>
  <r>
    <x v="21"/>
    <s v="No"/>
    <s v="Travel_Rarely"/>
    <n v="945"/>
    <x v="2"/>
    <n v="5"/>
    <n v="2"/>
    <s v="Medical"/>
    <n v="1"/>
    <n v="103"/>
    <n v="2"/>
    <x v="1"/>
    <n v="80"/>
    <n v="3"/>
    <n v="2"/>
    <x v="8"/>
    <n v="2"/>
    <s v="Divorced"/>
    <n v="5021"/>
    <n v="10425"/>
    <n v="8"/>
    <s v="Y"/>
    <x v="0"/>
    <n v="22"/>
    <n v="4"/>
    <n v="4"/>
    <n v="80"/>
    <n v="1"/>
    <n v="16"/>
    <n v="2"/>
    <n v="3"/>
    <n v="4"/>
    <n v="2"/>
    <n v="0"/>
    <n v="2"/>
    <x v="1"/>
    <n v="1"/>
    <x v="1"/>
    <x v="0"/>
    <s v="2-5 Years"/>
    <s v="Medium"/>
    <s v="Better"/>
  </r>
  <r>
    <x v="7"/>
    <s v="No"/>
    <s v="Travel_Rarely"/>
    <n v="852"/>
    <x v="1"/>
    <n v="1"/>
    <n v="1"/>
    <s v="Life Sciences"/>
    <n v="1"/>
    <n v="104"/>
    <n v="4"/>
    <x v="1"/>
    <n v="55"/>
    <n v="2"/>
    <n v="2"/>
    <x v="2"/>
    <n v="4"/>
    <s v="Married"/>
    <n v="5126"/>
    <n v="15998"/>
    <n v="1"/>
    <s v="Y"/>
    <x v="0"/>
    <n v="12"/>
    <n v="3"/>
    <n v="3"/>
    <n v="80"/>
    <n v="2"/>
    <n v="10"/>
    <n v="1"/>
    <n v="2"/>
    <n v="10"/>
    <n v="8"/>
    <n v="3"/>
    <n v="0"/>
    <x v="1"/>
    <n v="1"/>
    <x v="2"/>
    <x v="0"/>
    <s v="6-10 Years"/>
    <s v="Very High"/>
    <s v="Good"/>
  </r>
  <r>
    <x v="10"/>
    <s v="No"/>
    <s v="Travel_Rarely"/>
    <n v="1214"/>
    <x v="1"/>
    <n v="1"/>
    <n v="3"/>
    <s v="Medical"/>
    <n v="1"/>
    <n v="105"/>
    <n v="2"/>
    <x v="1"/>
    <n v="30"/>
    <n v="2"/>
    <n v="1"/>
    <x v="1"/>
    <n v="3"/>
    <s v="Single"/>
    <n v="2859"/>
    <n v="26278"/>
    <n v="1"/>
    <s v="Y"/>
    <x v="1"/>
    <n v="18"/>
    <n v="3"/>
    <n v="1"/>
    <n v="80"/>
    <n v="0"/>
    <n v="6"/>
    <n v="3"/>
    <n v="3"/>
    <n v="6"/>
    <n v="4"/>
    <n v="0"/>
    <n v="4"/>
    <x v="1"/>
    <n v="1"/>
    <x v="0"/>
    <x v="1"/>
    <s v="6-10 Years"/>
    <s v="High"/>
    <s v="Better"/>
  </r>
  <r>
    <x v="27"/>
    <s v="No"/>
    <s v="Travel_Rarely"/>
    <n v="111"/>
    <x v="0"/>
    <n v="1"/>
    <n v="2"/>
    <s v="Life Sciences"/>
    <n v="1"/>
    <n v="106"/>
    <n v="1"/>
    <x v="1"/>
    <n v="70"/>
    <n v="3"/>
    <n v="3"/>
    <x v="0"/>
    <n v="4"/>
    <s v="Married"/>
    <n v="10239"/>
    <n v="18092"/>
    <n v="3"/>
    <s v="Y"/>
    <x v="1"/>
    <n v="14"/>
    <n v="3"/>
    <n v="4"/>
    <n v="80"/>
    <n v="1"/>
    <n v="24"/>
    <n v="4"/>
    <n v="3"/>
    <n v="1"/>
    <n v="0"/>
    <n v="1"/>
    <n v="0"/>
    <x v="1"/>
    <n v="1"/>
    <x v="3"/>
    <x v="2"/>
    <s v="0-1 Years"/>
    <s v="Very High"/>
    <s v="Better"/>
  </r>
  <r>
    <x v="8"/>
    <s v="No"/>
    <s v="Non-Travel"/>
    <n v="573"/>
    <x v="1"/>
    <n v="6"/>
    <n v="3"/>
    <s v="Medical"/>
    <n v="1"/>
    <n v="107"/>
    <n v="2"/>
    <x v="0"/>
    <n v="79"/>
    <n v="1"/>
    <n v="2"/>
    <x v="1"/>
    <n v="4"/>
    <s v="Divorced"/>
    <n v="5329"/>
    <n v="15717"/>
    <n v="7"/>
    <s v="Y"/>
    <x v="0"/>
    <n v="12"/>
    <n v="3"/>
    <n v="4"/>
    <n v="80"/>
    <n v="3"/>
    <n v="17"/>
    <n v="3"/>
    <n v="3"/>
    <n v="13"/>
    <n v="11"/>
    <n v="1"/>
    <n v="9"/>
    <x v="1"/>
    <n v="1"/>
    <x v="0"/>
    <x v="0"/>
    <s v="10+ Years"/>
    <s v="Very High"/>
    <s v="Better"/>
  </r>
  <r>
    <x v="13"/>
    <s v="No"/>
    <s v="Travel_Rarely"/>
    <n v="1153"/>
    <x v="1"/>
    <n v="1"/>
    <n v="2"/>
    <s v="Medical"/>
    <n v="1"/>
    <n v="110"/>
    <n v="1"/>
    <x v="1"/>
    <n v="94"/>
    <n v="3"/>
    <n v="2"/>
    <x v="3"/>
    <n v="2"/>
    <s v="Married"/>
    <n v="4325"/>
    <n v="17736"/>
    <n v="1"/>
    <s v="Y"/>
    <x v="1"/>
    <n v="15"/>
    <n v="3"/>
    <n v="3"/>
    <n v="80"/>
    <n v="0"/>
    <n v="5"/>
    <n v="2"/>
    <n v="3"/>
    <n v="5"/>
    <n v="2"/>
    <n v="1"/>
    <n v="3"/>
    <x v="1"/>
    <n v="1"/>
    <x v="2"/>
    <x v="0"/>
    <s v="2-5 Years"/>
    <s v="Medium"/>
    <s v="Better"/>
  </r>
  <r>
    <x v="29"/>
    <s v="No"/>
    <s v="Travel_Rarely"/>
    <n v="1400"/>
    <x v="1"/>
    <n v="7"/>
    <n v="3"/>
    <s v="Life Sciences"/>
    <n v="1"/>
    <n v="112"/>
    <n v="4"/>
    <x v="1"/>
    <n v="49"/>
    <n v="1"/>
    <n v="3"/>
    <x v="3"/>
    <n v="4"/>
    <s v="Single"/>
    <n v="7260"/>
    <n v="21698"/>
    <n v="4"/>
    <s v="Y"/>
    <x v="1"/>
    <n v="11"/>
    <n v="3"/>
    <n v="1"/>
    <n v="80"/>
    <n v="0"/>
    <n v="37"/>
    <n v="3"/>
    <n v="2"/>
    <n v="6"/>
    <n v="4"/>
    <n v="0"/>
    <n v="2"/>
    <x v="1"/>
    <n v="1"/>
    <x v="3"/>
    <x v="2"/>
    <s v="6-10 Years"/>
    <s v="Very High"/>
    <s v="Good"/>
  </r>
  <r>
    <x v="30"/>
    <s v="No"/>
    <s v="Travel_Rarely"/>
    <n v="541"/>
    <x v="0"/>
    <n v="2"/>
    <n v="1"/>
    <s v="Technical Degree"/>
    <n v="1"/>
    <n v="113"/>
    <n v="3"/>
    <x v="1"/>
    <n v="62"/>
    <n v="3"/>
    <n v="1"/>
    <x v="6"/>
    <n v="1"/>
    <s v="Divorced"/>
    <n v="2322"/>
    <n v="9518"/>
    <n v="3"/>
    <s v="Y"/>
    <x v="1"/>
    <n v="13"/>
    <n v="3"/>
    <n v="3"/>
    <n v="80"/>
    <n v="1"/>
    <n v="3"/>
    <n v="3"/>
    <n v="3"/>
    <n v="0"/>
    <n v="0"/>
    <n v="0"/>
    <n v="0"/>
    <x v="1"/>
    <n v="1"/>
    <x v="4"/>
    <x v="1"/>
    <s v="0-1 Years"/>
    <s v="Low"/>
    <s v="Better"/>
  </r>
  <r>
    <x v="31"/>
    <s v="No"/>
    <s v="Travel_Rarely"/>
    <n v="432"/>
    <x v="1"/>
    <n v="9"/>
    <n v="4"/>
    <s v="Life Sciences"/>
    <n v="1"/>
    <n v="116"/>
    <n v="4"/>
    <x v="1"/>
    <n v="96"/>
    <n v="3"/>
    <n v="1"/>
    <x v="2"/>
    <n v="4"/>
    <s v="Married"/>
    <n v="2075"/>
    <n v="18725"/>
    <n v="3"/>
    <s v="Y"/>
    <x v="1"/>
    <n v="23"/>
    <n v="4"/>
    <n v="2"/>
    <n v="80"/>
    <n v="2"/>
    <n v="10"/>
    <n v="4"/>
    <n v="3"/>
    <n v="4"/>
    <n v="2"/>
    <n v="0"/>
    <n v="3"/>
    <x v="1"/>
    <n v="1"/>
    <x v="1"/>
    <x v="1"/>
    <s v="2-5 Years"/>
    <s v="Very High"/>
    <s v="Better"/>
  </r>
  <r>
    <x v="7"/>
    <s v="No"/>
    <s v="Travel_Rarely"/>
    <n v="288"/>
    <x v="1"/>
    <n v="2"/>
    <n v="3"/>
    <s v="Life Sciences"/>
    <n v="1"/>
    <n v="117"/>
    <n v="3"/>
    <x v="1"/>
    <n v="99"/>
    <n v="2"/>
    <n v="2"/>
    <x v="4"/>
    <n v="4"/>
    <s v="Married"/>
    <n v="4152"/>
    <n v="15830"/>
    <n v="1"/>
    <s v="Y"/>
    <x v="1"/>
    <n v="19"/>
    <n v="3"/>
    <n v="1"/>
    <n v="80"/>
    <n v="3"/>
    <n v="11"/>
    <n v="3"/>
    <n v="3"/>
    <n v="11"/>
    <n v="10"/>
    <n v="10"/>
    <n v="8"/>
    <x v="1"/>
    <n v="1"/>
    <x v="2"/>
    <x v="0"/>
    <s v="10+ Years"/>
    <s v="Very High"/>
    <s v="Better"/>
  </r>
  <r>
    <x v="21"/>
    <s v="Yes"/>
    <s v="Travel_Rarely"/>
    <n v="669"/>
    <x v="0"/>
    <n v="9"/>
    <n v="2"/>
    <s v="Medical"/>
    <n v="1"/>
    <n v="118"/>
    <n v="3"/>
    <x v="1"/>
    <n v="64"/>
    <n v="2"/>
    <n v="3"/>
    <x v="0"/>
    <n v="4"/>
    <s v="Single"/>
    <n v="9619"/>
    <n v="13596"/>
    <n v="1"/>
    <s v="Y"/>
    <x v="1"/>
    <n v="16"/>
    <n v="3"/>
    <n v="4"/>
    <n v="80"/>
    <n v="0"/>
    <n v="9"/>
    <n v="3"/>
    <n v="3"/>
    <n v="9"/>
    <n v="8"/>
    <n v="4"/>
    <n v="7"/>
    <x v="0"/>
    <n v="0"/>
    <x v="1"/>
    <x v="2"/>
    <s v="6-10 Years"/>
    <s v="Very High"/>
    <s v="Better"/>
  </r>
  <r>
    <x v="32"/>
    <s v="No"/>
    <s v="Travel_Frequently"/>
    <n v="530"/>
    <x v="1"/>
    <n v="1"/>
    <n v="4"/>
    <s v="Life Sciences"/>
    <n v="1"/>
    <n v="119"/>
    <n v="3"/>
    <x v="1"/>
    <n v="78"/>
    <n v="2"/>
    <n v="4"/>
    <x v="4"/>
    <n v="2"/>
    <s v="Married"/>
    <n v="13503"/>
    <n v="14115"/>
    <n v="1"/>
    <s v="Y"/>
    <x v="1"/>
    <n v="22"/>
    <n v="4"/>
    <n v="4"/>
    <n v="80"/>
    <n v="1"/>
    <n v="22"/>
    <n v="3"/>
    <n v="2"/>
    <n v="22"/>
    <n v="3"/>
    <n v="11"/>
    <n v="11"/>
    <x v="1"/>
    <n v="1"/>
    <x v="0"/>
    <x v="2"/>
    <s v="10+ Years"/>
    <s v="Medium"/>
    <s v="Good"/>
  </r>
  <r>
    <x v="31"/>
    <s v="No"/>
    <s v="Travel_Rarely"/>
    <n v="632"/>
    <x v="0"/>
    <n v="21"/>
    <n v="4"/>
    <s v="Marketing"/>
    <n v="1"/>
    <n v="120"/>
    <n v="3"/>
    <x v="1"/>
    <n v="71"/>
    <n v="3"/>
    <n v="2"/>
    <x v="0"/>
    <n v="4"/>
    <s v="Single"/>
    <n v="5441"/>
    <n v="8423"/>
    <n v="0"/>
    <s v="Y"/>
    <x v="0"/>
    <n v="22"/>
    <n v="4"/>
    <n v="4"/>
    <n v="80"/>
    <n v="0"/>
    <n v="11"/>
    <n v="2"/>
    <n v="1"/>
    <n v="10"/>
    <n v="7"/>
    <n v="1"/>
    <n v="0"/>
    <x v="1"/>
    <n v="1"/>
    <x v="1"/>
    <x v="0"/>
    <s v="6-10 Years"/>
    <s v="Very High"/>
    <s v="Bad"/>
  </r>
  <r>
    <x v="7"/>
    <s v="No"/>
    <s v="Travel_Rarely"/>
    <n v="1334"/>
    <x v="0"/>
    <n v="4"/>
    <n v="2"/>
    <s v="Medical"/>
    <n v="1"/>
    <n v="121"/>
    <n v="3"/>
    <x v="0"/>
    <n v="63"/>
    <n v="2"/>
    <n v="2"/>
    <x v="0"/>
    <n v="2"/>
    <s v="Divorced"/>
    <n v="5209"/>
    <n v="19760"/>
    <n v="1"/>
    <s v="Y"/>
    <x v="0"/>
    <n v="12"/>
    <n v="3"/>
    <n v="2"/>
    <n v="80"/>
    <n v="3"/>
    <n v="11"/>
    <n v="4"/>
    <n v="2"/>
    <n v="11"/>
    <n v="8"/>
    <n v="2"/>
    <n v="7"/>
    <x v="1"/>
    <n v="1"/>
    <x v="2"/>
    <x v="0"/>
    <s v="10+ Years"/>
    <s v="Medium"/>
    <s v="Good"/>
  </r>
  <r>
    <x v="21"/>
    <s v="No"/>
    <s v="Travel_Frequently"/>
    <n v="638"/>
    <x v="1"/>
    <n v="1"/>
    <n v="3"/>
    <s v="Medical"/>
    <n v="1"/>
    <n v="124"/>
    <n v="3"/>
    <x v="1"/>
    <n v="40"/>
    <n v="2"/>
    <n v="3"/>
    <x v="4"/>
    <n v="1"/>
    <s v="Married"/>
    <n v="10673"/>
    <n v="3142"/>
    <n v="2"/>
    <s v="Y"/>
    <x v="0"/>
    <n v="13"/>
    <n v="3"/>
    <n v="3"/>
    <n v="80"/>
    <n v="1"/>
    <n v="21"/>
    <n v="5"/>
    <n v="2"/>
    <n v="10"/>
    <n v="9"/>
    <n v="9"/>
    <n v="5"/>
    <x v="1"/>
    <n v="1"/>
    <x v="1"/>
    <x v="2"/>
    <s v="6-10 Years"/>
    <s v="Low"/>
    <s v="Good"/>
  </r>
  <r>
    <x v="5"/>
    <s v="No"/>
    <s v="Travel_Rarely"/>
    <n v="1093"/>
    <x v="0"/>
    <n v="6"/>
    <n v="4"/>
    <s v="Medical"/>
    <n v="1"/>
    <n v="125"/>
    <n v="2"/>
    <x v="1"/>
    <n v="87"/>
    <n v="3"/>
    <n v="2"/>
    <x v="0"/>
    <n v="3"/>
    <s v="Single"/>
    <n v="5010"/>
    <n v="24301"/>
    <n v="1"/>
    <s v="Y"/>
    <x v="1"/>
    <n v="16"/>
    <n v="3"/>
    <n v="1"/>
    <n v="80"/>
    <n v="0"/>
    <n v="12"/>
    <n v="0"/>
    <n v="3"/>
    <n v="11"/>
    <n v="8"/>
    <n v="5"/>
    <n v="7"/>
    <x v="1"/>
    <n v="1"/>
    <x v="2"/>
    <x v="0"/>
    <s v="10+ Years"/>
    <s v="High"/>
    <s v="Better"/>
  </r>
  <r>
    <x v="33"/>
    <s v="No"/>
    <s v="Travel_Rarely"/>
    <n v="1217"/>
    <x v="1"/>
    <n v="2"/>
    <n v="4"/>
    <s v="Technical Degree"/>
    <n v="1"/>
    <n v="126"/>
    <n v="1"/>
    <x v="0"/>
    <n v="60"/>
    <n v="3"/>
    <n v="3"/>
    <x v="7"/>
    <n v="3"/>
    <s v="Married"/>
    <n v="13549"/>
    <n v="24001"/>
    <n v="9"/>
    <s v="Y"/>
    <x v="1"/>
    <n v="12"/>
    <n v="3"/>
    <n v="1"/>
    <n v="80"/>
    <n v="1"/>
    <n v="16"/>
    <n v="5"/>
    <n v="1"/>
    <n v="4"/>
    <n v="3"/>
    <n v="0"/>
    <n v="3"/>
    <x v="1"/>
    <n v="1"/>
    <x v="1"/>
    <x v="2"/>
    <s v="2-5 Years"/>
    <s v="High"/>
    <s v="Bad"/>
  </r>
  <r>
    <x v="17"/>
    <s v="No"/>
    <s v="Travel_Rarely"/>
    <n v="1353"/>
    <x v="0"/>
    <n v="3"/>
    <n v="2"/>
    <s v="Other"/>
    <n v="1"/>
    <n v="128"/>
    <n v="1"/>
    <x v="0"/>
    <n v="33"/>
    <n v="3"/>
    <n v="2"/>
    <x v="0"/>
    <n v="3"/>
    <s v="Married"/>
    <n v="4999"/>
    <n v="17519"/>
    <n v="0"/>
    <s v="Y"/>
    <x v="1"/>
    <n v="21"/>
    <n v="4"/>
    <n v="1"/>
    <n v="80"/>
    <n v="1"/>
    <n v="4"/>
    <n v="2"/>
    <n v="2"/>
    <n v="3"/>
    <n v="2"/>
    <n v="0"/>
    <n v="2"/>
    <x v="1"/>
    <n v="1"/>
    <x v="4"/>
    <x v="0"/>
    <s v="2-5 Years"/>
    <s v="High"/>
    <s v="Good"/>
  </r>
  <r>
    <x v="14"/>
    <s v="No"/>
    <s v="Non-Travel"/>
    <n v="120"/>
    <x v="0"/>
    <n v="4"/>
    <n v="3"/>
    <s v="Medical"/>
    <n v="1"/>
    <n v="129"/>
    <n v="2"/>
    <x v="1"/>
    <n v="43"/>
    <n v="3"/>
    <n v="2"/>
    <x v="0"/>
    <n v="3"/>
    <s v="Married"/>
    <n v="4221"/>
    <n v="8863"/>
    <n v="1"/>
    <s v="Y"/>
    <x v="1"/>
    <n v="15"/>
    <n v="3"/>
    <n v="2"/>
    <n v="80"/>
    <n v="0"/>
    <n v="5"/>
    <n v="3"/>
    <n v="4"/>
    <n v="5"/>
    <n v="4"/>
    <n v="0"/>
    <n v="4"/>
    <x v="1"/>
    <n v="1"/>
    <x v="2"/>
    <x v="0"/>
    <s v="2-5 Years"/>
    <s v="High"/>
    <s v="Best"/>
  </r>
  <r>
    <x v="34"/>
    <s v="No"/>
    <s v="Travel_Rarely"/>
    <n v="682"/>
    <x v="0"/>
    <n v="10"/>
    <n v="4"/>
    <s v="Medical"/>
    <n v="1"/>
    <n v="131"/>
    <n v="4"/>
    <x v="1"/>
    <n v="37"/>
    <n v="3"/>
    <n v="4"/>
    <x v="0"/>
    <n v="3"/>
    <s v="Single"/>
    <n v="13872"/>
    <n v="24409"/>
    <n v="0"/>
    <s v="Y"/>
    <x v="1"/>
    <n v="13"/>
    <n v="3"/>
    <n v="3"/>
    <n v="80"/>
    <n v="0"/>
    <n v="38"/>
    <n v="1"/>
    <n v="2"/>
    <n v="37"/>
    <n v="10"/>
    <n v="1"/>
    <n v="8"/>
    <x v="1"/>
    <n v="1"/>
    <x v="3"/>
    <x v="2"/>
    <s v="10+ Years"/>
    <s v="High"/>
    <s v="Good"/>
  </r>
  <r>
    <x v="20"/>
    <s v="No"/>
    <s v="Non-Travel"/>
    <n v="489"/>
    <x v="1"/>
    <n v="23"/>
    <n v="3"/>
    <s v="Medical"/>
    <n v="1"/>
    <n v="132"/>
    <n v="2"/>
    <x v="1"/>
    <n v="67"/>
    <n v="3"/>
    <n v="2"/>
    <x v="2"/>
    <n v="2"/>
    <s v="Married"/>
    <n v="2042"/>
    <n v="25043"/>
    <n v="4"/>
    <s v="Y"/>
    <x v="1"/>
    <n v="12"/>
    <n v="3"/>
    <n v="3"/>
    <n v="80"/>
    <n v="1"/>
    <n v="17"/>
    <n v="3"/>
    <n v="4"/>
    <n v="3"/>
    <n v="2"/>
    <n v="1"/>
    <n v="2"/>
    <x v="1"/>
    <n v="1"/>
    <x v="0"/>
    <x v="1"/>
    <s v="2-5 Years"/>
    <s v="Medium"/>
    <s v="Best"/>
  </r>
  <r>
    <x v="2"/>
    <s v="Yes"/>
    <s v="Travel_Rarely"/>
    <n v="807"/>
    <x v="2"/>
    <n v="6"/>
    <n v="4"/>
    <s v="Human Resources"/>
    <n v="1"/>
    <n v="133"/>
    <n v="3"/>
    <x v="1"/>
    <n v="63"/>
    <n v="3"/>
    <n v="1"/>
    <x v="8"/>
    <n v="1"/>
    <s v="Divorced"/>
    <n v="2073"/>
    <n v="23648"/>
    <n v="4"/>
    <s v="Y"/>
    <x v="0"/>
    <n v="22"/>
    <n v="4"/>
    <n v="4"/>
    <n v="80"/>
    <n v="0"/>
    <n v="7"/>
    <n v="3"/>
    <n v="3"/>
    <n v="3"/>
    <n v="2"/>
    <n v="0"/>
    <n v="2"/>
    <x v="0"/>
    <n v="0"/>
    <x v="0"/>
    <x v="1"/>
    <s v="2-5 Years"/>
    <s v="Low"/>
    <s v="Better"/>
  </r>
  <r>
    <x v="5"/>
    <s v="No"/>
    <s v="Travel_Rarely"/>
    <n v="827"/>
    <x v="1"/>
    <n v="1"/>
    <n v="1"/>
    <s v="Life Sciences"/>
    <n v="1"/>
    <n v="134"/>
    <n v="4"/>
    <x v="1"/>
    <n v="71"/>
    <n v="3"/>
    <n v="1"/>
    <x v="1"/>
    <n v="1"/>
    <s v="Single"/>
    <n v="2956"/>
    <n v="15178"/>
    <n v="1"/>
    <s v="Y"/>
    <x v="1"/>
    <n v="13"/>
    <n v="3"/>
    <n v="4"/>
    <n v="80"/>
    <n v="0"/>
    <n v="1"/>
    <n v="2"/>
    <n v="3"/>
    <n v="1"/>
    <n v="0"/>
    <n v="0"/>
    <n v="0"/>
    <x v="1"/>
    <n v="1"/>
    <x v="2"/>
    <x v="1"/>
    <s v="0-1 Years"/>
    <s v="Low"/>
    <s v="Better"/>
  </r>
  <r>
    <x v="35"/>
    <s v="Yes"/>
    <s v="Travel_Frequently"/>
    <n v="871"/>
    <x v="1"/>
    <n v="6"/>
    <n v="3"/>
    <s v="Life Sciences"/>
    <n v="1"/>
    <n v="137"/>
    <n v="4"/>
    <x v="0"/>
    <n v="66"/>
    <n v="2"/>
    <n v="1"/>
    <x v="2"/>
    <n v="4"/>
    <s v="Single"/>
    <n v="2926"/>
    <n v="19783"/>
    <n v="1"/>
    <s v="Y"/>
    <x v="0"/>
    <n v="18"/>
    <n v="3"/>
    <n v="2"/>
    <n v="80"/>
    <n v="0"/>
    <n v="1"/>
    <n v="5"/>
    <n v="3"/>
    <n v="1"/>
    <n v="0"/>
    <n v="1"/>
    <n v="0"/>
    <x v="0"/>
    <n v="0"/>
    <x v="4"/>
    <x v="1"/>
    <s v="0-1 Years"/>
    <s v="Very High"/>
    <s v="Better"/>
  </r>
  <r>
    <x v="13"/>
    <s v="No"/>
    <s v="Travel_Rarely"/>
    <n v="665"/>
    <x v="1"/>
    <n v="6"/>
    <n v="4"/>
    <s v="Other"/>
    <n v="1"/>
    <n v="138"/>
    <n v="1"/>
    <x v="0"/>
    <n v="41"/>
    <n v="3"/>
    <n v="2"/>
    <x v="1"/>
    <n v="3"/>
    <s v="Single"/>
    <n v="4809"/>
    <n v="12482"/>
    <n v="1"/>
    <s v="Y"/>
    <x v="1"/>
    <n v="14"/>
    <n v="3"/>
    <n v="3"/>
    <n v="80"/>
    <n v="0"/>
    <n v="16"/>
    <n v="3"/>
    <n v="3"/>
    <n v="16"/>
    <n v="13"/>
    <n v="2"/>
    <n v="10"/>
    <x v="1"/>
    <n v="1"/>
    <x v="2"/>
    <x v="0"/>
    <s v="10+ Years"/>
    <s v="High"/>
    <s v="Better"/>
  </r>
  <r>
    <x v="2"/>
    <s v="No"/>
    <s v="Non-Travel"/>
    <n v="1040"/>
    <x v="1"/>
    <n v="2"/>
    <n v="2"/>
    <s v="Life Sciences"/>
    <n v="1"/>
    <n v="139"/>
    <n v="3"/>
    <x v="1"/>
    <n v="100"/>
    <n v="2"/>
    <n v="2"/>
    <x v="4"/>
    <n v="4"/>
    <s v="Divorced"/>
    <n v="5163"/>
    <n v="15850"/>
    <n v="5"/>
    <s v="Y"/>
    <x v="1"/>
    <n v="14"/>
    <n v="3"/>
    <n v="4"/>
    <n v="80"/>
    <n v="1"/>
    <n v="17"/>
    <n v="2"/>
    <n v="4"/>
    <n v="1"/>
    <n v="0"/>
    <n v="0"/>
    <n v="0"/>
    <x v="1"/>
    <n v="1"/>
    <x v="0"/>
    <x v="0"/>
    <s v="0-1 Years"/>
    <s v="Very High"/>
    <s v="Best"/>
  </r>
  <r>
    <x v="6"/>
    <s v="No"/>
    <s v="Non-Travel"/>
    <n v="1420"/>
    <x v="2"/>
    <n v="2"/>
    <n v="4"/>
    <s v="Human Resources"/>
    <n v="1"/>
    <n v="140"/>
    <n v="3"/>
    <x v="0"/>
    <n v="32"/>
    <n v="2"/>
    <n v="5"/>
    <x v="5"/>
    <n v="4"/>
    <s v="Married"/>
    <n v="18844"/>
    <n v="21922"/>
    <n v="9"/>
    <s v="Y"/>
    <x v="1"/>
    <n v="21"/>
    <n v="4"/>
    <n v="4"/>
    <n v="80"/>
    <n v="1"/>
    <n v="30"/>
    <n v="3"/>
    <n v="3"/>
    <n v="3"/>
    <n v="2"/>
    <n v="2"/>
    <n v="2"/>
    <x v="1"/>
    <n v="1"/>
    <x v="3"/>
    <x v="2"/>
    <s v="2-5 Years"/>
    <s v="Very High"/>
    <s v="Better"/>
  </r>
  <r>
    <x v="24"/>
    <s v="No"/>
    <s v="Travel_Frequently"/>
    <n v="1115"/>
    <x v="1"/>
    <n v="1"/>
    <n v="3"/>
    <s v="Life Sciences"/>
    <n v="1"/>
    <n v="141"/>
    <n v="1"/>
    <x v="0"/>
    <n v="73"/>
    <n v="3"/>
    <n v="5"/>
    <x v="7"/>
    <n v="2"/>
    <s v="Married"/>
    <n v="18172"/>
    <n v="9755"/>
    <n v="3"/>
    <s v="Y"/>
    <x v="0"/>
    <n v="19"/>
    <n v="3"/>
    <n v="1"/>
    <n v="80"/>
    <n v="0"/>
    <n v="28"/>
    <n v="1"/>
    <n v="2"/>
    <n v="8"/>
    <n v="3"/>
    <n v="0"/>
    <n v="7"/>
    <x v="1"/>
    <n v="1"/>
    <x v="1"/>
    <x v="2"/>
    <s v="6-10 Years"/>
    <s v="Medium"/>
    <s v="Good"/>
  </r>
  <r>
    <x v="36"/>
    <s v="Yes"/>
    <s v="Travel_Rarely"/>
    <n v="240"/>
    <x v="0"/>
    <n v="5"/>
    <n v="3"/>
    <s v="Marketing"/>
    <n v="1"/>
    <n v="142"/>
    <n v="3"/>
    <x v="1"/>
    <n v="46"/>
    <n v="2"/>
    <n v="2"/>
    <x v="0"/>
    <n v="3"/>
    <s v="Single"/>
    <n v="5744"/>
    <n v="26959"/>
    <n v="1"/>
    <s v="Y"/>
    <x v="0"/>
    <n v="11"/>
    <n v="3"/>
    <n v="4"/>
    <n v="80"/>
    <n v="0"/>
    <n v="6"/>
    <n v="1"/>
    <n v="3"/>
    <n v="6"/>
    <n v="4"/>
    <n v="0"/>
    <n v="3"/>
    <x v="0"/>
    <n v="0"/>
    <x v="2"/>
    <x v="0"/>
    <s v="6-10 Years"/>
    <s v="High"/>
    <s v="Better"/>
  </r>
  <r>
    <x v="36"/>
    <s v="No"/>
    <s v="Travel_Rarely"/>
    <n v="1280"/>
    <x v="1"/>
    <n v="7"/>
    <n v="1"/>
    <s v="Medical"/>
    <n v="1"/>
    <n v="143"/>
    <n v="4"/>
    <x v="1"/>
    <n v="64"/>
    <n v="2"/>
    <n v="1"/>
    <x v="1"/>
    <n v="4"/>
    <s v="Married"/>
    <n v="2889"/>
    <n v="26897"/>
    <n v="1"/>
    <s v="Y"/>
    <x v="1"/>
    <n v="11"/>
    <n v="3"/>
    <n v="3"/>
    <n v="80"/>
    <n v="2"/>
    <n v="2"/>
    <n v="2"/>
    <n v="3"/>
    <n v="2"/>
    <n v="2"/>
    <n v="2"/>
    <n v="1"/>
    <x v="1"/>
    <n v="1"/>
    <x v="2"/>
    <x v="1"/>
    <s v="2-5 Years"/>
    <s v="Very High"/>
    <s v="Better"/>
  </r>
  <r>
    <x v="15"/>
    <s v="No"/>
    <s v="Travel_Rarely"/>
    <n v="534"/>
    <x v="1"/>
    <n v="15"/>
    <n v="3"/>
    <s v="Medical"/>
    <n v="1"/>
    <n v="144"/>
    <n v="2"/>
    <x v="0"/>
    <n v="59"/>
    <n v="3"/>
    <n v="1"/>
    <x v="2"/>
    <n v="4"/>
    <s v="Single"/>
    <n v="2871"/>
    <n v="23785"/>
    <n v="1"/>
    <s v="Y"/>
    <x v="1"/>
    <n v="15"/>
    <n v="3"/>
    <n v="3"/>
    <n v="80"/>
    <n v="0"/>
    <n v="1"/>
    <n v="5"/>
    <n v="3"/>
    <n v="0"/>
    <n v="0"/>
    <n v="0"/>
    <n v="0"/>
    <x v="1"/>
    <n v="1"/>
    <x v="4"/>
    <x v="1"/>
    <s v="0-1 Years"/>
    <s v="Very High"/>
    <s v="Better"/>
  </r>
  <r>
    <x v="31"/>
    <s v="No"/>
    <s v="Travel_Frequently"/>
    <n v="1456"/>
    <x v="1"/>
    <n v="1"/>
    <n v="4"/>
    <s v="Medical"/>
    <n v="1"/>
    <n v="145"/>
    <n v="1"/>
    <x v="0"/>
    <n v="30"/>
    <n v="2"/>
    <n v="3"/>
    <x v="4"/>
    <n v="1"/>
    <s v="Single"/>
    <n v="7484"/>
    <n v="25796"/>
    <n v="3"/>
    <s v="Y"/>
    <x v="1"/>
    <n v="20"/>
    <n v="4"/>
    <n v="3"/>
    <n v="80"/>
    <n v="0"/>
    <n v="23"/>
    <n v="1"/>
    <n v="2"/>
    <n v="13"/>
    <n v="12"/>
    <n v="12"/>
    <n v="8"/>
    <x v="1"/>
    <n v="1"/>
    <x v="1"/>
    <x v="2"/>
    <s v="10+ Years"/>
    <s v="Low"/>
    <s v="Good"/>
  </r>
  <r>
    <x v="13"/>
    <s v="Yes"/>
    <s v="Travel_Frequently"/>
    <n v="658"/>
    <x v="1"/>
    <n v="7"/>
    <n v="3"/>
    <s v="Life Sciences"/>
    <n v="1"/>
    <n v="147"/>
    <n v="1"/>
    <x v="1"/>
    <n v="66"/>
    <n v="1"/>
    <n v="2"/>
    <x v="2"/>
    <n v="3"/>
    <s v="Single"/>
    <n v="6074"/>
    <n v="22887"/>
    <n v="1"/>
    <s v="Y"/>
    <x v="0"/>
    <n v="24"/>
    <n v="4"/>
    <n v="4"/>
    <n v="80"/>
    <n v="0"/>
    <n v="9"/>
    <n v="3"/>
    <n v="3"/>
    <n v="9"/>
    <n v="7"/>
    <n v="0"/>
    <n v="6"/>
    <x v="0"/>
    <n v="0"/>
    <x v="2"/>
    <x v="0"/>
    <s v="6-10 Years"/>
    <s v="High"/>
    <s v="Better"/>
  </r>
  <r>
    <x v="33"/>
    <s v="No"/>
    <s v="Non-Travel"/>
    <n v="142"/>
    <x v="2"/>
    <n v="26"/>
    <n v="3"/>
    <s v="Human Resources"/>
    <n v="1"/>
    <n v="148"/>
    <n v="4"/>
    <x v="0"/>
    <n v="30"/>
    <n v="4"/>
    <n v="4"/>
    <x v="5"/>
    <n v="4"/>
    <s v="Single"/>
    <n v="17328"/>
    <n v="13871"/>
    <n v="2"/>
    <s v="Y"/>
    <x v="0"/>
    <n v="12"/>
    <n v="3"/>
    <n v="3"/>
    <n v="80"/>
    <n v="0"/>
    <n v="23"/>
    <n v="3"/>
    <n v="3"/>
    <n v="5"/>
    <n v="3"/>
    <n v="4"/>
    <n v="4"/>
    <x v="1"/>
    <n v="1"/>
    <x v="1"/>
    <x v="2"/>
    <s v="2-5 Years"/>
    <s v="Very High"/>
    <s v="Better"/>
  </r>
  <r>
    <x v="17"/>
    <s v="No"/>
    <s v="Travel_Rarely"/>
    <n v="1127"/>
    <x v="1"/>
    <n v="18"/>
    <n v="1"/>
    <s v="Life Sciences"/>
    <n v="1"/>
    <n v="150"/>
    <n v="2"/>
    <x v="1"/>
    <n v="52"/>
    <n v="3"/>
    <n v="1"/>
    <x v="2"/>
    <n v="3"/>
    <s v="Married"/>
    <n v="2774"/>
    <n v="13257"/>
    <n v="0"/>
    <s v="Y"/>
    <x v="1"/>
    <n v="12"/>
    <n v="3"/>
    <n v="3"/>
    <n v="80"/>
    <n v="1"/>
    <n v="6"/>
    <n v="2"/>
    <n v="3"/>
    <n v="5"/>
    <n v="3"/>
    <n v="1"/>
    <n v="2"/>
    <x v="1"/>
    <n v="1"/>
    <x v="4"/>
    <x v="1"/>
    <s v="2-5 Years"/>
    <s v="High"/>
    <s v="Better"/>
  </r>
  <r>
    <x v="13"/>
    <s v="No"/>
    <s v="Travel_Rarely"/>
    <n v="1031"/>
    <x v="1"/>
    <n v="6"/>
    <n v="4"/>
    <s v="Life Sciences"/>
    <n v="1"/>
    <n v="151"/>
    <n v="3"/>
    <x v="0"/>
    <n v="45"/>
    <n v="2"/>
    <n v="2"/>
    <x v="1"/>
    <n v="2"/>
    <s v="Divorced"/>
    <n v="4505"/>
    <n v="15000"/>
    <n v="6"/>
    <s v="Y"/>
    <x v="1"/>
    <n v="15"/>
    <n v="3"/>
    <n v="3"/>
    <n v="80"/>
    <n v="1"/>
    <n v="12"/>
    <n v="3"/>
    <n v="3"/>
    <n v="1"/>
    <n v="0"/>
    <n v="0"/>
    <n v="0"/>
    <x v="1"/>
    <n v="1"/>
    <x v="2"/>
    <x v="0"/>
    <s v="0-1 Years"/>
    <s v="Medium"/>
    <s v="Better"/>
  </r>
  <r>
    <x v="2"/>
    <s v="No"/>
    <s v="Travel_Rarely"/>
    <n v="1189"/>
    <x v="0"/>
    <n v="3"/>
    <n v="3"/>
    <s v="Life Sciences"/>
    <n v="1"/>
    <n v="152"/>
    <n v="3"/>
    <x v="1"/>
    <n v="87"/>
    <n v="3"/>
    <n v="3"/>
    <x v="0"/>
    <n v="4"/>
    <s v="Single"/>
    <n v="7428"/>
    <n v="14506"/>
    <n v="2"/>
    <s v="Y"/>
    <x v="1"/>
    <n v="12"/>
    <n v="3"/>
    <n v="1"/>
    <n v="80"/>
    <n v="0"/>
    <n v="12"/>
    <n v="3"/>
    <n v="3"/>
    <n v="5"/>
    <n v="3"/>
    <n v="1"/>
    <n v="3"/>
    <x v="1"/>
    <n v="1"/>
    <x v="0"/>
    <x v="2"/>
    <s v="2-5 Years"/>
    <s v="Very High"/>
    <s v="Better"/>
  </r>
  <r>
    <x v="13"/>
    <s v="No"/>
    <s v="Travel_Rarely"/>
    <n v="1354"/>
    <x v="1"/>
    <n v="5"/>
    <n v="3"/>
    <s v="Medical"/>
    <n v="1"/>
    <n v="153"/>
    <n v="3"/>
    <x v="0"/>
    <n v="45"/>
    <n v="2"/>
    <n v="3"/>
    <x v="5"/>
    <n v="1"/>
    <s v="Single"/>
    <n v="11631"/>
    <n v="5615"/>
    <n v="2"/>
    <s v="Y"/>
    <x v="1"/>
    <n v="12"/>
    <n v="3"/>
    <n v="4"/>
    <n v="80"/>
    <n v="0"/>
    <n v="14"/>
    <n v="6"/>
    <n v="3"/>
    <n v="11"/>
    <n v="10"/>
    <n v="5"/>
    <n v="8"/>
    <x v="1"/>
    <n v="1"/>
    <x v="2"/>
    <x v="2"/>
    <s v="10+ Years"/>
    <s v="Low"/>
    <s v="Better"/>
  </r>
  <r>
    <x v="9"/>
    <s v="No"/>
    <s v="Travel_Frequently"/>
    <n v="1467"/>
    <x v="0"/>
    <n v="11"/>
    <n v="2"/>
    <s v="Technical Degree"/>
    <n v="1"/>
    <n v="154"/>
    <n v="2"/>
    <x v="0"/>
    <n v="92"/>
    <n v="3"/>
    <n v="3"/>
    <x v="0"/>
    <n v="4"/>
    <s v="Married"/>
    <n v="9738"/>
    <n v="22952"/>
    <n v="0"/>
    <s v="Y"/>
    <x v="1"/>
    <n v="14"/>
    <n v="3"/>
    <n v="3"/>
    <n v="80"/>
    <n v="1"/>
    <n v="10"/>
    <n v="6"/>
    <n v="3"/>
    <n v="9"/>
    <n v="7"/>
    <n v="2"/>
    <n v="8"/>
    <x v="1"/>
    <n v="1"/>
    <x v="0"/>
    <x v="2"/>
    <s v="6-10 Years"/>
    <s v="Very High"/>
    <s v="Better"/>
  </r>
  <r>
    <x v="9"/>
    <s v="No"/>
    <s v="Travel_Rarely"/>
    <n v="922"/>
    <x v="1"/>
    <n v="3"/>
    <n v="2"/>
    <s v="Life Sciences"/>
    <n v="1"/>
    <n v="155"/>
    <n v="1"/>
    <x v="0"/>
    <n v="39"/>
    <n v="3"/>
    <n v="1"/>
    <x v="2"/>
    <n v="4"/>
    <s v="Divorced"/>
    <n v="2835"/>
    <n v="2561"/>
    <n v="5"/>
    <s v="Y"/>
    <x v="1"/>
    <n v="22"/>
    <n v="4"/>
    <n v="1"/>
    <n v="80"/>
    <n v="1"/>
    <n v="7"/>
    <n v="2"/>
    <n v="3"/>
    <n v="1"/>
    <n v="0"/>
    <n v="0"/>
    <n v="0"/>
    <x v="1"/>
    <n v="1"/>
    <x v="0"/>
    <x v="1"/>
    <s v="0-1 Years"/>
    <s v="Very High"/>
    <s v="Better"/>
  </r>
  <r>
    <x v="23"/>
    <s v="No"/>
    <s v="Travel_Frequently"/>
    <n v="394"/>
    <x v="0"/>
    <n v="26"/>
    <n v="2"/>
    <s v="Life Sciences"/>
    <n v="1"/>
    <n v="158"/>
    <n v="3"/>
    <x v="1"/>
    <n v="92"/>
    <n v="3"/>
    <n v="4"/>
    <x v="5"/>
    <n v="4"/>
    <s v="Married"/>
    <n v="16959"/>
    <n v="19494"/>
    <n v="1"/>
    <s v="Y"/>
    <x v="0"/>
    <n v="12"/>
    <n v="3"/>
    <n v="4"/>
    <n v="80"/>
    <n v="2"/>
    <n v="25"/>
    <n v="3"/>
    <n v="4"/>
    <n v="25"/>
    <n v="12"/>
    <n v="4"/>
    <n v="12"/>
    <x v="1"/>
    <n v="1"/>
    <x v="0"/>
    <x v="2"/>
    <s v="10+ Years"/>
    <s v="Very High"/>
    <s v="Best"/>
  </r>
  <r>
    <x v="7"/>
    <s v="No"/>
    <s v="Travel_Frequently"/>
    <n v="1312"/>
    <x v="1"/>
    <n v="23"/>
    <n v="3"/>
    <s v="Life Sciences"/>
    <n v="1"/>
    <n v="159"/>
    <n v="1"/>
    <x v="1"/>
    <n v="96"/>
    <n v="1"/>
    <n v="1"/>
    <x v="1"/>
    <n v="3"/>
    <s v="Divorced"/>
    <n v="2613"/>
    <n v="22310"/>
    <n v="1"/>
    <s v="Y"/>
    <x v="1"/>
    <n v="25"/>
    <n v="4"/>
    <n v="3"/>
    <n v="80"/>
    <n v="3"/>
    <n v="10"/>
    <n v="2"/>
    <n v="2"/>
    <n v="10"/>
    <n v="7"/>
    <n v="0"/>
    <n v="9"/>
    <x v="1"/>
    <n v="1"/>
    <x v="2"/>
    <x v="1"/>
    <s v="6-10 Years"/>
    <s v="High"/>
    <s v="Good"/>
  </r>
  <r>
    <x v="3"/>
    <s v="No"/>
    <s v="Non-Travel"/>
    <n v="750"/>
    <x v="0"/>
    <n v="22"/>
    <n v="2"/>
    <s v="Marketing"/>
    <n v="1"/>
    <n v="160"/>
    <n v="3"/>
    <x v="1"/>
    <n v="95"/>
    <n v="3"/>
    <n v="2"/>
    <x v="0"/>
    <n v="2"/>
    <s v="Married"/>
    <n v="6146"/>
    <n v="15480"/>
    <n v="0"/>
    <s v="Y"/>
    <x v="1"/>
    <n v="13"/>
    <n v="3"/>
    <n v="1"/>
    <n v="80"/>
    <n v="1"/>
    <n v="8"/>
    <n v="2"/>
    <n v="4"/>
    <n v="7"/>
    <n v="7"/>
    <n v="0"/>
    <n v="7"/>
    <x v="1"/>
    <n v="1"/>
    <x v="2"/>
    <x v="0"/>
    <s v="6-10 Years"/>
    <s v="Medium"/>
    <s v="Best"/>
  </r>
  <r>
    <x v="29"/>
    <s v="Yes"/>
    <s v="Travel_Rarely"/>
    <n v="441"/>
    <x v="1"/>
    <n v="14"/>
    <n v="4"/>
    <s v="Life Sciences"/>
    <n v="1"/>
    <n v="161"/>
    <n v="2"/>
    <x v="0"/>
    <n v="72"/>
    <n v="3"/>
    <n v="1"/>
    <x v="1"/>
    <n v="2"/>
    <s v="Married"/>
    <n v="4963"/>
    <n v="4510"/>
    <n v="9"/>
    <s v="Y"/>
    <x v="0"/>
    <n v="18"/>
    <n v="3"/>
    <n v="1"/>
    <n v="80"/>
    <n v="3"/>
    <n v="7"/>
    <n v="2"/>
    <n v="3"/>
    <n v="5"/>
    <n v="4"/>
    <n v="4"/>
    <n v="3"/>
    <x v="0"/>
    <n v="0"/>
    <x v="3"/>
    <x v="0"/>
    <s v="2-5 Years"/>
    <s v="Medium"/>
    <s v="Better"/>
  </r>
  <r>
    <x v="31"/>
    <s v="No"/>
    <s v="Travel_Rarely"/>
    <n v="684"/>
    <x v="1"/>
    <n v="6"/>
    <n v="3"/>
    <s v="Life Sciences"/>
    <n v="1"/>
    <n v="162"/>
    <n v="1"/>
    <x v="1"/>
    <n v="51"/>
    <n v="3"/>
    <n v="5"/>
    <x v="7"/>
    <n v="3"/>
    <s v="Single"/>
    <n v="19537"/>
    <n v="6462"/>
    <n v="7"/>
    <s v="Y"/>
    <x v="1"/>
    <n v="13"/>
    <n v="3"/>
    <n v="3"/>
    <n v="80"/>
    <n v="0"/>
    <n v="23"/>
    <n v="5"/>
    <n v="3"/>
    <n v="20"/>
    <n v="18"/>
    <n v="15"/>
    <n v="15"/>
    <x v="1"/>
    <n v="1"/>
    <x v="1"/>
    <x v="2"/>
    <s v="10+ Years"/>
    <s v="High"/>
    <s v="Better"/>
  </r>
  <r>
    <x v="12"/>
    <s v="Yes"/>
    <s v="Travel_Rarely"/>
    <n v="249"/>
    <x v="0"/>
    <n v="6"/>
    <n v="4"/>
    <s v="Life Sciences"/>
    <n v="1"/>
    <n v="163"/>
    <n v="2"/>
    <x v="1"/>
    <n v="76"/>
    <n v="1"/>
    <n v="2"/>
    <x v="0"/>
    <n v="3"/>
    <s v="Married"/>
    <n v="6172"/>
    <n v="20739"/>
    <n v="4"/>
    <s v="Y"/>
    <x v="0"/>
    <n v="18"/>
    <n v="3"/>
    <n v="2"/>
    <n v="80"/>
    <n v="0"/>
    <n v="12"/>
    <n v="3"/>
    <n v="2"/>
    <n v="7"/>
    <n v="7"/>
    <n v="7"/>
    <n v="7"/>
    <x v="0"/>
    <n v="0"/>
    <x v="2"/>
    <x v="0"/>
    <s v="6-10 Years"/>
    <s v="High"/>
    <s v="Good"/>
  </r>
  <r>
    <x v="25"/>
    <s v="No"/>
    <s v="Travel_Rarely"/>
    <n v="841"/>
    <x v="1"/>
    <n v="6"/>
    <n v="3"/>
    <s v="Other"/>
    <n v="1"/>
    <n v="164"/>
    <n v="3"/>
    <x v="0"/>
    <n v="46"/>
    <n v="2"/>
    <n v="1"/>
    <x v="1"/>
    <n v="2"/>
    <s v="Married"/>
    <n v="2368"/>
    <n v="23300"/>
    <n v="1"/>
    <s v="Y"/>
    <x v="1"/>
    <n v="19"/>
    <n v="3"/>
    <n v="3"/>
    <n v="80"/>
    <n v="0"/>
    <n v="5"/>
    <n v="3"/>
    <n v="2"/>
    <n v="5"/>
    <n v="4"/>
    <n v="4"/>
    <n v="3"/>
    <x v="1"/>
    <n v="1"/>
    <x v="2"/>
    <x v="1"/>
    <s v="2-5 Years"/>
    <s v="Medium"/>
    <s v="Good"/>
  </r>
  <r>
    <x v="34"/>
    <s v="Yes"/>
    <s v="Travel_Rarely"/>
    <n v="147"/>
    <x v="1"/>
    <n v="23"/>
    <n v="4"/>
    <s v="Medical"/>
    <n v="1"/>
    <n v="165"/>
    <n v="4"/>
    <x v="0"/>
    <n v="94"/>
    <n v="3"/>
    <n v="3"/>
    <x v="4"/>
    <n v="4"/>
    <s v="Married"/>
    <n v="10312"/>
    <n v="3465"/>
    <n v="1"/>
    <s v="Y"/>
    <x v="1"/>
    <n v="12"/>
    <n v="3"/>
    <n v="4"/>
    <n v="80"/>
    <n v="1"/>
    <n v="40"/>
    <n v="3"/>
    <n v="2"/>
    <n v="40"/>
    <n v="10"/>
    <n v="15"/>
    <n v="6"/>
    <x v="0"/>
    <n v="0"/>
    <x v="3"/>
    <x v="2"/>
    <s v="10+ Years"/>
    <s v="Very High"/>
    <s v="Good"/>
  </r>
  <r>
    <x v="37"/>
    <s v="Yes"/>
    <s v="Travel_Rarely"/>
    <n v="528"/>
    <x v="0"/>
    <n v="22"/>
    <n v="1"/>
    <s v="Marketing"/>
    <n v="1"/>
    <n v="167"/>
    <n v="4"/>
    <x v="1"/>
    <n v="50"/>
    <n v="3"/>
    <n v="1"/>
    <x v="6"/>
    <n v="3"/>
    <s v="Single"/>
    <n v="1675"/>
    <n v="26820"/>
    <n v="1"/>
    <s v="Y"/>
    <x v="0"/>
    <n v="19"/>
    <n v="3"/>
    <n v="4"/>
    <n v="80"/>
    <n v="0"/>
    <n v="0"/>
    <n v="2"/>
    <n v="2"/>
    <n v="0"/>
    <n v="0"/>
    <n v="0"/>
    <n v="0"/>
    <x v="0"/>
    <n v="0"/>
    <x v="4"/>
    <x v="1"/>
    <s v="0-1 Years"/>
    <s v="High"/>
    <s v="Good"/>
  </r>
  <r>
    <x v="15"/>
    <s v="No"/>
    <s v="Travel_Rarely"/>
    <n v="594"/>
    <x v="1"/>
    <n v="2"/>
    <n v="1"/>
    <s v="Technical Degree"/>
    <n v="1"/>
    <n v="169"/>
    <n v="3"/>
    <x v="1"/>
    <n v="100"/>
    <n v="3"/>
    <n v="1"/>
    <x v="2"/>
    <n v="4"/>
    <s v="Married"/>
    <n v="2523"/>
    <n v="19299"/>
    <n v="0"/>
    <s v="Y"/>
    <x v="1"/>
    <n v="14"/>
    <n v="3"/>
    <n v="3"/>
    <n v="80"/>
    <n v="1"/>
    <n v="3"/>
    <n v="2"/>
    <n v="3"/>
    <n v="2"/>
    <n v="1"/>
    <n v="2"/>
    <n v="1"/>
    <x v="1"/>
    <n v="1"/>
    <x v="4"/>
    <x v="1"/>
    <s v="2-5 Years"/>
    <s v="Very High"/>
    <s v="Better"/>
  </r>
  <r>
    <x v="1"/>
    <s v="No"/>
    <s v="Travel_Rarely"/>
    <n v="470"/>
    <x v="1"/>
    <n v="20"/>
    <n v="4"/>
    <s v="Medical"/>
    <n v="1"/>
    <n v="170"/>
    <n v="3"/>
    <x v="0"/>
    <n v="96"/>
    <n v="3"/>
    <n v="2"/>
    <x v="3"/>
    <n v="1"/>
    <s v="Married"/>
    <n v="6567"/>
    <n v="5549"/>
    <n v="1"/>
    <s v="Y"/>
    <x v="1"/>
    <n v="14"/>
    <n v="3"/>
    <n v="3"/>
    <n v="80"/>
    <n v="0"/>
    <n v="16"/>
    <n v="2"/>
    <n v="2"/>
    <n v="15"/>
    <n v="11"/>
    <n v="5"/>
    <n v="11"/>
    <x v="1"/>
    <n v="1"/>
    <x v="1"/>
    <x v="0"/>
    <s v="10+ Years"/>
    <s v="Low"/>
    <s v="Good"/>
  </r>
  <r>
    <x v="23"/>
    <s v="No"/>
    <s v="Travel_Frequently"/>
    <n v="957"/>
    <x v="1"/>
    <n v="28"/>
    <n v="3"/>
    <s v="Medical"/>
    <n v="1"/>
    <n v="171"/>
    <n v="2"/>
    <x v="0"/>
    <n v="72"/>
    <n v="4"/>
    <n v="1"/>
    <x v="1"/>
    <n v="3"/>
    <s v="Single"/>
    <n v="4739"/>
    <n v="16090"/>
    <n v="4"/>
    <s v="Y"/>
    <x v="1"/>
    <n v="12"/>
    <n v="3"/>
    <n v="4"/>
    <n v="80"/>
    <n v="0"/>
    <n v="18"/>
    <n v="2"/>
    <n v="3"/>
    <n v="3"/>
    <n v="2"/>
    <n v="1"/>
    <n v="2"/>
    <x v="1"/>
    <n v="1"/>
    <x v="0"/>
    <x v="0"/>
    <s v="2-5 Years"/>
    <s v="High"/>
    <s v="Better"/>
  </r>
  <r>
    <x v="24"/>
    <s v="No"/>
    <s v="Travel_Frequently"/>
    <n v="809"/>
    <x v="0"/>
    <n v="12"/>
    <n v="3"/>
    <s v="Marketing"/>
    <n v="1"/>
    <n v="174"/>
    <n v="3"/>
    <x v="0"/>
    <n v="77"/>
    <n v="3"/>
    <n v="3"/>
    <x v="0"/>
    <n v="4"/>
    <s v="Single"/>
    <n v="9208"/>
    <n v="6645"/>
    <n v="4"/>
    <s v="Y"/>
    <x v="1"/>
    <n v="11"/>
    <n v="3"/>
    <n v="4"/>
    <n v="80"/>
    <n v="0"/>
    <n v="16"/>
    <n v="3"/>
    <n v="3"/>
    <n v="2"/>
    <n v="2"/>
    <n v="2"/>
    <n v="1"/>
    <x v="1"/>
    <n v="1"/>
    <x v="1"/>
    <x v="2"/>
    <s v="2-5 Years"/>
    <s v="Very High"/>
    <s v="Better"/>
  </r>
  <r>
    <x v="12"/>
    <s v="Yes"/>
    <s v="Travel_Rarely"/>
    <n v="542"/>
    <x v="0"/>
    <n v="20"/>
    <n v="3"/>
    <s v="Life Sciences"/>
    <n v="1"/>
    <n v="175"/>
    <n v="2"/>
    <x v="0"/>
    <n v="71"/>
    <n v="1"/>
    <n v="2"/>
    <x v="0"/>
    <n v="3"/>
    <s v="Married"/>
    <n v="4559"/>
    <n v="24788"/>
    <n v="3"/>
    <s v="Y"/>
    <x v="0"/>
    <n v="11"/>
    <n v="3"/>
    <n v="3"/>
    <n v="80"/>
    <n v="1"/>
    <n v="4"/>
    <n v="2"/>
    <n v="3"/>
    <n v="2"/>
    <n v="2"/>
    <n v="2"/>
    <n v="2"/>
    <x v="0"/>
    <n v="0"/>
    <x v="2"/>
    <x v="0"/>
    <s v="2-5 Years"/>
    <s v="High"/>
    <s v="Better"/>
  </r>
  <r>
    <x v="0"/>
    <s v="No"/>
    <s v="Travel_Rarely"/>
    <n v="802"/>
    <x v="0"/>
    <n v="9"/>
    <n v="1"/>
    <s v="Life Sciences"/>
    <n v="1"/>
    <n v="176"/>
    <n v="3"/>
    <x v="1"/>
    <n v="96"/>
    <n v="3"/>
    <n v="3"/>
    <x v="0"/>
    <n v="3"/>
    <s v="Divorced"/>
    <n v="8189"/>
    <n v="21196"/>
    <n v="3"/>
    <s v="Y"/>
    <x v="0"/>
    <n v="13"/>
    <n v="3"/>
    <n v="3"/>
    <n v="80"/>
    <n v="1"/>
    <n v="12"/>
    <n v="2"/>
    <n v="3"/>
    <n v="9"/>
    <n v="7"/>
    <n v="0"/>
    <n v="7"/>
    <x v="1"/>
    <n v="1"/>
    <x v="0"/>
    <x v="2"/>
    <s v="6-10 Years"/>
    <s v="High"/>
    <s v="Better"/>
  </r>
  <r>
    <x v="25"/>
    <s v="No"/>
    <s v="Travel_Rarely"/>
    <n v="1355"/>
    <x v="2"/>
    <n v="25"/>
    <n v="1"/>
    <s v="Life Sciences"/>
    <n v="1"/>
    <n v="177"/>
    <n v="3"/>
    <x v="0"/>
    <n v="61"/>
    <n v="3"/>
    <n v="1"/>
    <x v="8"/>
    <n v="3"/>
    <s v="Married"/>
    <n v="2942"/>
    <n v="8916"/>
    <n v="1"/>
    <s v="Y"/>
    <x v="1"/>
    <n v="23"/>
    <n v="4"/>
    <n v="4"/>
    <n v="80"/>
    <n v="1"/>
    <n v="8"/>
    <n v="3"/>
    <n v="3"/>
    <n v="8"/>
    <n v="7"/>
    <n v="5"/>
    <n v="7"/>
    <x v="1"/>
    <n v="1"/>
    <x v="2"/>
    <x v="1"/>
    <s v="6-10 Years"/>
    <s v="High"/>
    <s v="Better"/>
  </r>
  <r>
    <x v="9"/>
    <s v="No"/>
    <s v="Travel_Rarely"/>
    <n v="216"/>
    <x v="1"/>
    <n v="6"/>
    <n v="2"/>
    <s v="Medical"/>
    <n v="1"/>
    <n v="178"/>
    <n v="2"/>
    <x v="1"/>
    <n v="84"/>
    <n v="3"/>
    <n v="2"/>
    <x v="3"/>
    <n v="2"/>
    <s v="Divorced"/>
    <n v="4941"/>
    <n v="2819"/>
    <n v="6"/>
    <s v="Y"/>
    <x v="1"/>
    <n v="20"/>
    <n v="4"/>
    <n v="4"/>
    <n v="80"/>
    <n v="2"/>
    <n v="7"/>
    <n v="0"/>
    <n v="3"/>
    <n v="3"/>
    <n v="2"/>
    <n v="0"/>
    <n v="1"/>
    <x v="1"/>
    <n v="1"/>
    <x v="0"/>
    <x v="0"/>
    <s v="2-5 Years"/>
    <s v="Medium"/>
    <s v="Better"/>
  </r>
  <r>
    <x v="31"/>
    <s v="Yes"/>
    <s v="Travel_Frequently"/>
    <n v="1150"/>
    <x v="1"/>
    <n v="8"/>
    <n v="4"/>
    <s v="Life Sciences"/>
    <n v="1"/>
    <n v="179"/>
    <n v="1"/>
    <x v="1"/>
    <n v="53"/>
    <n v="1"/>
    <n v="3"/>
    <x v="3"/>
    <n v="4"/>
    <s v="Single"/>
    <n v="10650"/>
    <n v="25150"/>
    <n v="2"/>
    <s v="Y"/>
    <x v="1"/>
    <n v="15"/>
    <n v="3"/>
    <n v="4"/>
    <n v="80"/>
    <n v="0"/>
    <n v="18"/>
    <n v="2"/>
    <n v="3"/>
    <n v="4"/>
    <n v="2"/>
    <n v="0"/>
    <n v="3"/>
    <x v="0"/>
    <n v="0"/>
    <x v="1"/>
    <x v="2"/>
    <s v="2-5 Years"/>
    <s v="Very High"/>
    <s v="Better"/>
  </r>
  <r>
    <x v="22"/>
    <s v="No"/>
    <s v="Travel_Rarely"/>
    <n v="1329"/>
    <x v="0"/>
    <n v="4"/>
    <n v="4"/>
    <s v="Life Sciences"/>
    <n v="1"/>
    <n v="182"/>
    <n v="4"/>
    <x v="0"/>
    <n v="47"/>
    <n v="2"/>
    <n v="2"/>
    <x v="0"/>
    <n v="3"/>
    <s v="Married"/>
    <n v="5902"/>
    <n v="14590"/>
    <n v="4"/>
    <s v="Y"/>
    <x v="1"/>
    <n v="14"/>
    <n v="3"/>
    <n v="3"/>
    <n v="80"/>
    <n v="1"/>
    <n v="17"/>
    <n v="1"/>
    <n v="4"/>
    <n v="15"/>
    <n v="11"/>
    <n v="5"/>
    <n v="9"/>
    <x v="1"/>
    <n v="1"/>
    <x v="0"/>
    <x v="0"/>
    <s v="10+ Years"/>
    <s v="High"/>
    <s v="Best"/>
  </r>
  <r>
    <x v="36"/>
    <s v="No"/>
    <s v="Travel_Rarely"/>
    <n v="959"/>
    <x v="0"/>
    <n v="28"/>
    <n v="3"/>
    <s v="Life Sciences"/>
    <n v="1"/>
    <n v="183"/>
    <n v="1"/>
    <x v="1"/>
    <n v="41"/>
    <n v="2"/>
    <n v="2"/>
    <x v="0"/>
    <n v="3"/>
    <s v="Married"/>
    <n v="8639"/>
    <n v="24835"/>
    <n v="2"/>
    <s v="Y"/>
    <x v="1"/>
    <n v="18"/>
    <n v="3"/>
    <n v="4"/>
    <n v="80"/>
    <n v="0"/>
    <n v="6"/>
    <n v="3"/>
    <n v="3"/>
    <n v="2"/>
    <n v="2"/>
    <n v="2"/>
    <n v="2"/>
    <x v="1"/>
    <n v="1"/>
    <x v="2"/>
    <x v="2"/>
    <s v="2-5 Years"/>
    <s v="High"/>
    <s v="Better"/>
  </r>
  <r>
    <x v="7"/>
    <s v="No"/>
    <s v="Travel_Rarely"/>
    <n v="1240"/>
    <x v="2"/>
    <n v="9"/>
    <n v="3"/>
    <s v="Human Resources"/>
    <n v="1"/>
    <n v="184"/>
    <n v="3"/>
    <x v="1"/>
    <n v="48"/>
    <n v="3"/>
    <n v="2"/>
    <x v="8"/>
    <n v="4"/>
    <s v="Married"/>
    <n v="6347"/>
    <n v="13982"/>
    <n v="0"/>
    <s v="Y"/>
    <x v="0"/>
    <n v="19"/>
    <n v="3"/>
    <n v="4"/>
    <n v="80"/>
    <n v="0"/>
    <n v="12"/>
    <n v="2"/>
    <n v="1"/>
    <n v="11"/>
    <n v="9"/>
    <n v="4"/>
    <n v="7"/>
    <x v="1"/>
    <n v="1"/>
    <x v="2"/>
    <x v="0"/>
    <s v="10+ Years"/>
    <s v="Very High"/>
    <s v="Bad"/>
  </r>
  <r>
    <x v="5"/>
    <s v="Yes"/>
    <s v="Travel_Rarely"/>
    <n v="1033"/>
    <x v="1"/>
    <n v="9"/>
    <n v="3"/>
    <s v="Medical"/>
    <n v="1"/>
    <n v="190"/>
    <n v="1"/>
    <x v="0"/>
    <n v="41"/>
    <n v="3"/>
    <n v="1"/>
    <x v="2"/>
    <n v="1"/>
    <s v="Single"/>
    <n v="4200"/>
    <n v="10224"/>
    <n v="7"/>
    <s v="Y"/>
    <x v="1"/>
    <n v="22"/>
    <n v="4"/>
    <n v="1"/>
    <n v="80"/>
    <n v="0"/>
    <n v="10"/>
    <n v="2"/>
    <n v="4"/>
    <n v="5"/>
    <n v="4"/>
    <n v="0"/>
    <n v="4"/>
    <x v="0"/>
    <n v="0"/>
    <x v="2"/>
    <x v="0"/>
    <s v="2-5 Years"/>
    <s v="Low"/>
    <s v="Best"/>
  </r>
  <r>
    <x v="28"/>
    <s v="No"/>
    <s v="Travel_Rarely"/>
    <n v="1316"/>
    <x v="1"/>
    <n v="29"/>
    <n v="3"/>
    <s v="Medical"/>
    <n v="1"/>
    <n v="192"/>
    <n v="3"/>
    <x v="1"/>
    <n v="83"/>
    <n v="3"/>
    <n v="1"/>
    <x v="1"/>
    <n v="4"/>
    <s v="Single"/>
    <n v="3452"/>
    <n v="9752"/>
    <n v="5"/>
    <s v="Y"/>
    <x v="1"/>
    <n v="13"/>
    <n v="3"/>
    <n v="2"/>
    <n v="80"/>
    <n v="0"/>
    <n v="9"/>
    <n v="2"/>
    <n v="2"/>
    <n v="6"/>
    <n v="5"/>
    <n v="0"/>
    <n v="3"/>
    <x v="1"/>
    <n v="1"/>
    <x v="1"/>
    <x v="0"/>
    <s v="6-10 Years"/>
    <s v="Very High"/>
    <s v="Good"/>
  </r>
  <r>
    <x v="8"/>
    <s v="No"/>
    <s v="Travel_Rarely"/>
    <n v="364"/>
    <x v="1"/>
    <n v="3"/>
    <n v="5"/>
    <s v="Technical Degree"/>
    <n v="1"/>
    <n v="193"/>
    <n v="4"/>
    <x v="0"/>
    <n v="32"/>
    <n v="3"/>
    <n v="2"/>
    <x v="1"/>
    <n v="3"/>
    <s v="Single"/>
    <n v="4317"/>
    <n v="2302"/>
    <n v="3"/>
    <s v="Y"/>
    <x v="0"/>
    <n v="20"/>
    <n v="4"/>
    <n v="2"/>
    <n v="80"/>
    <n v="0"/>
    <n v="19"/>
    <n v="2"/>
    <n v="3"/>
    <n v="3"/>
    <n v="2"/>
    <n v="2"/>
    <n v="2"/>
    <x v="1"/>
    <n v="1"/>
    <x v="0"/>
    <x v="0"/>
    <s v="2-5 Years"/>
    <s v="High"/>
    <s v="Better"/>
  </r>
  <r>
    <x v="7"/>
    <s v="No"/>
    <s v="Travel_Rarely"/>
    <n v="438"/>
    <x v="1"/>
    <n v="18"/>
    <n v="3"/>
    <s v="Life Sciences"/>
    <n v="1"/>
    <n v="194"/>
    <n v="1"/>
    <x v="0"/>
    <n v="75"/>
    <n v="3"/>
    <n v="1"/>
    <x v="1"/>
    <n v="3"/>
    <s v="Single"/>
    <n v="2632"/>
    <n v="23910"/>
    <n v="1"/>
    <s v="Y"/>
    <x v="1"/>
    <n v="14"/>
    <n v="3"/>
    <n v="3"/>
    <n v="80"/>
    <n v="0"/>
    <n v="5"/>
    <n v="4"/>
    <n v="2"/>
    <n v="5"/>
    <n v="4"/>
    <n v="0"/>
    <n v="4"/>
    <x v="1"/>
    <n v="1"/>
    <x v="2"/>
    <x v="1"/>
    <s v="2-5 Years"/>
    <s v="High"/>
    <s v="Good"/>
  </r>
  <r>
    <x v="5"/>
    <s v="No"/>
    <s v="Travel_Frequently"/>
    <n v="689"/>
    <x v="0"/>
    <n v="9"/>
    <n v="2"/>
    <s v="Medical"/>
    <n v="1"/>
    <n v="195"/>
    <n v="4"/>
    <x v="1"/>
    <n v="35"/>
    <n v="1"/>
    <n v="2"/>
    <x v="0"/>
    <n v="4"/>
    <s v="Divorced"/>
    <n v="4668"/>
    <n v="22812"/>
    <n v="0"/>
    <s v="Y"/>
    <x v="1"/>
    <n v="17"/>
    <n v="3"/>
    <n v="4"/>
    <n v="80"/>
    <n v="3"/>
    <n v="9"/>
    <n v="2"/>
    <n v="4"/>
    <n v="8"/>
    <n v="7"/>
    <n v="0"/>
    <n v="7"/>
    <x v="1"/>
    <n v="1"/>
    <x v="2"/>
    <x v="0"/>
    <s v="6-10 Years"/>
    <s v="Very High"/>
    <s v="Best"/>
  </r>
  <r>
    <x v="7"/>
    <s v="No"/>
    <s v="Travel_Rarely"/>
    <n v="201"/>
    <x v="1"/>
    <n v="5"/>
    <n v="3"/>
    <s v="Technical Degree"/>
    <n v="1"/>
    <n v="197"/>
    <n v="4"/>
    <x v="0"/>
    <n v="84"/>
    <n v="3"/>
    <n v="1"/>
    <x v="1"/>
    <n v="1"/>
    <s v="Divorced"/>
    <n v="3204"/>
    <n v="10415"/>
    <n v="5"/>
    <s v="Y"/>
    <x v="1"/>
    <n v="14"/>
    <n v="3"/>
    <n v="4"/>
    <n v="80"/>
    <n v="1"/>
    <n v="8"/>
    <n v="3"/>
    <n v="3"/>
    <n v="3"/>
    <n v="2"/>
    <n v="2"/>
    <n v="2"/>
    <x v="1"/>
    <n v="1"/>
    <x v="2"/>
    <x v="0"/>
    <s v="2-5 Years"/>
    <s v="Low"/>
    <s v="Better"/>
  </r>
  <r>
    <x v="7"/>
    <s v="No"/>
    <s v="Travel_Rarely"/>
    <n v="1427"/>
    <x v="1"/>
    <n v="2"/>
    <n v="1"/>
    <s v="Medical"/>
    <n v="1"/>
    <n v="198"/>
    <n v="2"/>
    <x v="1"/>
    <n v="35"/>
    <n v="2"/>
    <n v="1"/>
    <x v="2"/>
    <n v="4"/>
    <s v="Single"/>
    <n v="2720"/>
    <n v="11162"/>
    <n v="0"/>
    <s v="Y"/>
    <x v="1"/>
    <n v="13"/>
    <n v="3"/>
    <n v="4"/>
    <n v="80"/>
    <n v="0"/>
    <n v="6"/>
    <n v="3"/>
    <n v="3"/>
    <n v="5"/>
    <n v="3"/>
    <n v="1"/>
    <n v="2"/>
    <x v="1"/>
    <n v="1"/>
    <x v="2"/>
    <x v="1"/>
    <s v="2-5 Years"/>
    <s v="Very High"/>
    <s v="Better"/>
  </r>
  <r>
    <x v="0"/>
    <s v="No"/>
    <s v="Travel_Frequently"/>
    <n v="857"/>
    <x v="1"/>
    <n v="10"/>
    <n v="3"/>
    <s v="Life Sciences"/>
    <n v="1"/>
    <n v="199"/>
    <n v="4"/>
    <x v="1"/>
    <n v="91"/>
    <n v="2"/>
    <n v="4"/>
    <x v="5"/>
    <n v="1"/>
    <s v="Divorced"/>
    <n v="17181"/>
    <n v="12888"/>
    <n v="4"/>
    <s v="Y"/>
    <x v="1"/>
    <n v="13"/>
    <n v="3"/>
    <n v="2"/>
    <n v="80"/>
    <n v="1"/>
    <n v="21"/>
    <n v="2"/>
    <n v="2"/>
    <n v="7"/>
    <n v="6"/>
    <n v="7"/>
    <n v="7"/>
    <x v="1"/>
    <n v="1"/>
    <x v="0"/>
    <x v="2"/>
    <s v="6-10 Years"/>
    <s v="Low"/>
    <s v="Good"/>
  </r>
  <r>
    <x v="0"/>
    <s v="No"/>
    <s v="Travel_Rarely"/>
    <n v="933"/>
    <x v="1"/>
    <n v="9"/>
    <n v="4"/>
    <s v="Life Sciences"/>
    <n v="1"/>
    <n v="200"/>
    <n v="3"/>
    <x v="1"/>
    <n v="94"/>
    <n v="3"/>
    <n v="1"/>
    <x v="2"/>
    <n v="1"/>
    <s v="Married"/>
    <n v="2238"/>
    <n v="6961"/>
    <n v="2"/>
    <s v="Y"/>
    <x v="1"/>
    <n v="21"/>
    <n v="4"/>
    <n v="4"/>
    <n v="80"/>
    <n v="1"/>
    <n v="7"/>
    <n v="2"/>
    <n v="3"/>
    <n v="5"/>
    <n v="0"/>
    <n v="1"/>
    <n v="4"/>
    <x v="1"/>
    <n v="1"/>
    <x v="0"/>
    <x v="1"/>
    <s v="2-5 Years"/>
    <s v="Low"/>
    <s v="Better"/>
  </r>
  <r>
    <x v="37"/>
    <s v="No"/>
    <s v="Travel_Rarely"/>
    <n v="1181"/>
    <x v="1"/>
    <n v="3"/>
    <n v="1"/>
    <s v="Medical"/>
    <n v="1"/>
    <n v="201"/>
    <n v="2"/>
    <x v="0"/>
    <n v="79"/>
    <n v="3"/>
    <n v="1"/>
    <x v="2"/>
    <n v="2"/>
    <s v="Single"/>
    <n v="1483"/>
    <n v="16102"/>
    <n v="1"/>
    <s v="Y"/>
    <x v="1"/>
    <n v="14"/>
    <n v="3"/>
    <n v="4"/>
    <n v="80"/>
    <n v="0"/>
    <n v="1"/>
    <n v="3"/>
    <n v="3"/>
    <n v="1"/>
    <n v="0"/>
    <n v="0"/>
    <n v="0"/>
    <x v="1"/>
    <n v="1"/>
    <x v="4"/>
    <x v="1"/>
    <s v="0-1 Years"/>
    <s v="Medium"/>
    <s v="Better"/>
  </r>
  <r>
    <x v="32"/>
    <s v="No"/>
    <s v="Travel_Frequently"/>
    <n v="1395"/>
    <x v="1"/>
    <n v="26"/>
    <n v="3"/>
    <s v="Medical"/>
    <n v="1"/>
    <n v="202"/>
    <n v="2"/>
    <x v="0"/>
    <n v="54"/>
    <n v="3"/>
    <n v="2"/>
    <x v="1"/>
    <n v="2"/>
    <s v="Divorced"/>
    <n v="5605"/>
    <n v="8504"/>
    <n v="1"/>
    <s v="Y"/>
    <x v="1"/>
    <n v="11"/>
    <n v="3"/>
    <n v="1"/>
    <n v="80"/>
    <n v="1"/>
    <n v="20"/>
    <n v="2"/>
    <n v="3"/>
    <n v="20"/>
    <n v="7"/>
    <n v="2"/>
    <n v="13"/>
    <x v="1"/>
    <n v="1"/>
    <x v="0"/>
    <x v="0"/>
    <s v="10+ Years"/>
    <s v="Medium"/>
    <s v="Better"/>
  </r>
  <r>
    <x v="10"/>
    <s v="No"/>
    <s v="Travel_Rarely"/>
    <n v="662"/>
    <x v="0"/>
    <n v="1"/>
    <n v="5"/>
    <s v="Marketing"/>
    <n v="1"/>
    <n v="204"/>
    <n v="3"/>
    <x v="1"/>
    <n v="94"/>
    <n v="3"/>
    <n v="3"/>
    <x v="0"/>
    <n v="2"/>
    <s v="Married"/>
    <n v="7295"/>
    <n v="11439"/>
    <n v="1"/>
    <s v="Y"/>
    <x v="1"/>
    <n v="13"/>
    <n v="3"/>
    <n v="1"/>
    <n v="80"/>
    <n v="2"/>
    <n v="10"/>
    <n v="3"/>
    <n v="3"/>
    <n v="10"/>
    <n v="8"/>
    <n v="0"/>
    <n v="6"/>
    <x v="1"/>
    <n v="1"/>
    <x v="0"/>
    <x v="2"/>
    <s v="6-10 Years"/>
    <s v="Medium"/>
    <s v="Better"/>
  </r>
  <r>
    <x v="16"/>
    <s v="No"/>
    <s v="Travel_Rarely"/>
    <n v="1436"/>
    <x v="0"/>
    <n v="6"/>
    <n v="2"/>
    <s v="Marketing"/>
    <n v="1"/>
    <n v="205"/>
    <n v="2"/>
    <x v="1"/>
    <n v="34"/>
    <n v="3"/>
    <n v="2"/>
    <x v="6"/>
    <n v="3"/>
    <s v="Married"/>
    <n v="2306"/>
    <n v="16047"/>
    <n v="2"/>
    <s v="Y"/>
    <x v="0"/>
    <n v="20"/>
    <n v="4"/>
    <n v="4"/>
    <n v="80"/>
    <n v="1"/>
    <n v="13"/>
    <n v="3"/>
    <n v="1"/>
    <n v="7"/>
    <n v="7"/>
    <n v="4"/>
    <n v="5"/>
    <x v="1"/>
    <n v="1"/>
    <x v="1"/>
    <x v="1"/>
    <s v="6-10 Years"/>
    <s v="High"/>
    <s v="Bad"/>
  </r>
  <r>
    <x v="28"/>
    <s v="No"/>
    <s v="Travel_Rarely"/>
    <n v="194"/>
    <x v="1"/>
    <n v="9"/>
    <n v="3"/>
    <s v="Life Sciences"/>
    <n v="1"/>
    <n v="206"/>
    <n v="2"/>
    <x v="1"/>
    <n v="60"/>
    <n v="3"/>
    <n v="2"/>
    <x v="2"/>
    <n v="2"/>
    <s v="Divorced"/>
    <n v="2348"/>
    <n v="10901"/>
    <n v="8"/>
    <s v="Y"/>
    <x v="1"/>
    <n v="18"/>
    <n v="3"/>
    <n v="3"/>
    <n v="80"/>
    <n v="1"/>
    <n v="20"/>
    <n v="2"/>
    <n v="1"/>
    <n v="17"/>
    <n v="9"/>
    <n v="0"/>
    <n v="15"/>
    <x v="1"/>
    <n v="1"/>
    <x v="1"/>
    <x v="1"/>
    <s v="10+ Years"/>
    <s v="Medium"/>
    <s v="Bad"/>
  </r>
  <r>
    <x v="5"/>
    <s v="No"/>
    <s v="Travel_Frequently"/>
    <n v="967"/>
    <x v="0"/>
    <n v="8"/>
    <n v="3"/>
    <s v="Marketing"/>
    <n v="1"/>
    <n v="207"/>
    <n v="2"/>
    <x v="0"/>
    <n v="43"/>
    <n v="3"/>
    <n v="3"/>
    <x v="0"/>
    <n v="4"/>
    <s v="Single"/>
    <n v="8998"/>
    <n v="15589"/>
    <n v="1"/>
    <s v="Y"/>
    <x v="1"/>
    <n v="14"/>
    <n v="3"/>
    <n v="4"/>
    <n v="80"/>
    <n v="0"/>
    <n v="9"/>
    <n v="2"/>
    <n v="3"/>
    <n v="9"/>
    <n v="8"/>
    <n v="3"/>
    <n v="7"/>
    <x v="1"/>
    <n v="1"/>
    <x v="2"/>
    <x v="2"/>
    <s v="6-10 Years"/>
    <s v="Very High"/>
    <s v="Better"/>
  </r>
  <r>
    <x v="11"/>
    <s v="No"/>
    <s v="Non-Travel"/>
    <n v="1496"/>
    <x v="1"/>
    <n v="1"/>
    <n v="1"/>
    <s v="Technical Degree"/>
    <n v="1"/>
    <n v="208"/>
    <n v="4"/>
    <x v="1"/>
    <n v="41"/>
    <n v="3"/>
    <n v="2"/>
    <x v="3"/>
    <n v="3"/>
    <s v="Married"/>
    <n v="4319"/>
    <n v="26283"/>
    <n v="1"/>
    <s v="Y"/>
    <x v="1"/>
    <n v="13"/>
    <n v="3"/>
    <n v="1"/>
    <n v="80"/>
    <n v="1"/>
    <n v="10"/>
    <n v="1"/>
    <n v="3"/>
    <n v="10"/>
    <n v="7"/>
    <n v="0"/>
    <n v="9"/>
    <x v="1"/>
    <n v="1"/>
    <x v="2"/>
    <x v="0"/>
    <s v="6-10 Years"/>
    <s v="High"/>
    <s v="Better"/>
  </r>
  <r>
    <x v="31"/>
    <s v="No"/>
    <s v="Travel_Rarely"/>
    <n v="1169"/>
    <x v="1"/>
    <n v="7"/>
    <n v="4"/>
    <s v="Medical"/>
    <n v="1"/>
    <n v="211"/>
    <n v="2"/>
    <x v="1"/>
    <n v="34"/>
    <n v="2"/>
    <n v="2"/>
    <x v="3"/>
    <n v="3"/>
    <s v="Married"/>
    <n v="6132"/>
    <n v="13983"/>
    <n v="2"/>
    <s v="Y"/>
    <x v="1"/>
    <n v="17"/>
    <n v="3"/>
    <n v="3"/>
    <n v="80"/>
    <n v="0"/>
    <n v="10"/>
    <n v="2"/>
    <n v="3"/>
    <n v="1"/>
    <n v="0"/>
    <n v="0"/>
    <n v="0"/>
    <x v="1"/>
    <n v="1"/>
    <x v="1"/>
    <x v="0"/>
    <s v="0-1 Years"/>
    <s v="High"/>
    <s v="Better"/>
  </r>
  <r>
    <x v="34"/>
    <s v="No"/>
    <s v="Travel_Rarely"/>
    <n v="1145"/>
    <x v="1"/>
    <n v="9"/>
    <n v="3"/>
    <s v="Medical"/>
    <n v="1"/>
    <n v="214"/>
    <n v="2"/>
    <x v="0"/>
    <n v="75"/>
    <n v="2"/>
    <n v="1"/>
    <x v="1"/>
    <n v="2"/>
    <s v="Married"/>
    <n v="3346"/>
    <n v="11873"/>
    <n v="4"/>
    <s v="Y"/>
    <x v="0"/>
    <n v="20"/>
    <n v="4"/>
    <n v="2"/>
    <n v="80"/>
    <n v="1"/>
    <n v="9"/>
    <n v="3"/>
    <n v="2"/>
    <n v="1"/>
    <n v="0"/>
    <n v="0"/>
    <n v="0"/>
    <x v="1"/>
    <n v="1"/>
    <x v="3"/>
    <x v="0"/>
    <s v="0-1 Years"/>
    <s v="Medium"/>
    <s v="Good"/>
  </r>
  <r>
    <x v="32"/>
    <s v="No"/>
    <s v="Travel_Rarely"/>
    <n v="630"/>
    <x v="0"/>
    <n v="4"/>
    <n v="4"/>
    <s v="Marketing"/>
    <n v="1"/>
    <n v="215"/>
    <n v="3"/>
    <x v="1"/>
    <n v="67"/>
    <n v="2"/>
    <n v="3"/>
    <x v="0"/>
    <n v="4"/>
    <s v="Married"/>
    <n v="10855"/>
    <n v="8552"/>
    <n v="7"/>
    <s v="Y"/>
    <x v="1"/>
    <n v="11"/>
    <n v="3"/>
    <n v="1"/>
    <n v="80"/>
    <n v="1"/>
    <n v="15"/>
    <n v="2"/>
    <n v="2"/>
    <n v="12"/>
    <n v="11"/>
    <n v="2"/>
    <n v="11"/>
    <x v="1"/>
    <n v="1"/>
    <x v="0"/>
    <x v="2"/>
    <s v="10+ Years"/>
    <s v="Very High"/>
    <s v="Good"/>
  </r>
  <r>
    <x v="13"/>
    <s v="No"/>
    <s v="Travel_Frequently"/>
    <n v="303"/>
    <x v="0"/>
    <n v="2"/>
    <n v="4"/>
    <s v="Marketing"/>
    <n v="1"/>
    <n v="216"/>
    <n v="3"/>
    <x v="0"/>
    <n v="75"/>
    <n v="3"/>
    <n v="1"/>
    <x v="6"/>
    <n v="3"/>
    <s v="Married"/>
    <n v="2231"/>
    <n v="11314"/>
    <n v="6"/>
    <s v="Y"/>
    <x v="1"/>
    <n v="18"/>
    <n v="3"/>
    <n v="4"/>
    <n v="80"/>
    <n v="1"/>
    <n v="6"/>
    <n v="3"/>
    <n v="3"/>
    <n v="4"/>
    <n v="3"/>
    <n v="1"/>
    <n v="2"/>
    <x v="1"/>
    <n v="1"/>
    <x v="2"/>
    <x v="1"/>
    <s v="2-5 Years"/>
    <s v="High"/>
    <s v="Better"/>
  </r>
  <r>
    <x v="15"/>
    <s v="No"/>
    <s v="Travel_Rarely"/>
    <n v="1256"/>
    <x v="1"/>
    <n v="19"/>
    <n v="1"/>
    <s v="Medical"/>
    <n v="1"/>
    <n v="217"/>
    <n v="3"/>
    <x v="1"/>
    <n v="80"/>
    <n v="3"/>
    <n v="1"/>
    <x v="1"/>
    <n v="4"/>
    <s v="Married"/>
    <n v="2323"/>
    <n v="11992"/>
    <n v="1"/>
    <s v="Y"/>
    <x v="1"/>
    <n v="24"/>
    <n v="4"/>
    <n v="1"/>
    <n v="80"/>
    <n v="2"/>
    <n v="2"/>
    <n v="6"/>
    <n v="3"/>
    <n v="2"/>
    <n v="2"/>
    <n v="2"/>
    <n v="2"/>
    <x v="1"/>
    <n v="1"/>
    <x v="4"/>
    <x v="1"/>
    <s v="2-5 Years"/>
    <s v="Very High"/>
    <s v="Better"/>
  </r>
  <r>
    <x v="4"/>
    <s v="No"/>
    <s v="Non-Travel"/>
    <n v="691"/>
    <x v="1"/>
    <n v="9"/>
    <n v="3"/>
    <s v="Medical"/>
    <n v="1"/>
    <n v="218"/>
    <n v="4"/>
    <x v="1"/>
    <n v="57"/>
    <n v="3"/>
    <n v="1"/>
    <x v="1"/>
    <n v="2"/>
    <s v="Divorced"/>
    <n v="2024"/>
    <n v="5970"/>
    <n v="6"/>
    <s v="Y"/>
    <x v="1"/>
    <n v="18"/>
    <n v="3"/>
    <n v="4"/>
    <n v="80"/>
    <n v="1"/>
    <n v="6"/>
    <n v="1"/>
    <n v="1"/>
    <n v="2"/>
    <n v="2"/>
    <n v="2"/>
    <n v="2"/>
    <x v="1"/>
    <n v="1"/>
    <x v="2"/>
    <x v="1"/>
    <s v="2-5 Years"/>
    <s v="Medium"/>
    <s v="Bad"/>
  </r>
  <r>
    <x v="14"/>
    <s v="No"/>
    <s v="Travel_Rarely"/>
    <n v="440"/>
    <x v="1"/>
    <n v="21"/>
    <n v="3"/>
    <s v="Medical"/>
    <n v="1"/>
    <n v="221"/>
    <n v="3"/>
    <x v="1"/>
    <n v="42"/>
    <n v="3"/>
    <n v="1"/>
    <x v="1"/>
    <n v="4"/>
    <s v="Married"/>
    <n v="2713"/>
    <n v="6672"/>
    <n v="1"/>
    <s v="Y"/>
    <x v="1"/>
    <n v="11"/>
    <n v="3"/>
    <n v="3"/>
    <n v="80"/>
    <n v="1"/>
    <n v="5"/>
    <n v="2"/>
    <n v="1"/>
    <n v="5"/>
    <n v="2"/>
    <n v="0"/>
    <n v="2"/>
    <x v="1"/>
    <n v="1"/>
    <x v="2"/>
    <x v="1"/>
    <s v="2-5 Years"/>
    <s v="Very High"/>
    <s v="Bad"/>
  </r>
  <r>
    <x v="38"/>
    <s v="No"/>
    <s v="Travel_Rarely"/>
    <n v="334"/>
    <x v="1"/>
    <n v="24"/>
    <n v="2"/>
    <s v="Life Sciences"/>
    <n v="1"/>
    <n v="223"/>
    <n v="3"/>
    <x v="1"/>
    <n v="83"/>
    <n v="4"/>
    <n v="3"/>
    <x v="4"/>
    <n v="4"/>
    <s v="Divorced"/>
    <n v="9439"/>
    <n v="23402"/>
    <n v="3"/>
    <s v="Y"/>
    <x v="0"/>
    <n v="16"/>
    <n v="3"/>
    <n v="2"/>
    <n v="80"/>
    <n v="1"/>
    <n v="12"/>
    <n v="2"/>
    <n v="1"/>
    <n v="5"/>
    <n v="3"/>
    <n v="1"/>
    <n v="4"/>
    <x v="1"/>
    <n v="1"/>
    <x v="3"/>
    <x v="2"/>
    <s v="2-5 Years"/>
    <s v="Very High"/>
    <s v="Bad"/>
  </r>
  <r>
    <x v="4"/>
    <s v="No"/>
    <s v="Non-Travel"/>
    <n v="1450"/>
    <x v="1"/>
    <n v="3"/>
    <n v="3"/>
    <s v="Medical"/>
    <n v="1"/>
    <n v="224"/>
    <n v="3"/>
    <x v="1"/>
    <n v="79"/>
    <n v="2"/>
    <n v="1"/>
    <x v="1"/>
    <n v="3"/>
    <s v="Divorced"/>
    <n v="2566"/>
    <n v="25326"/>
    <n v="1"/>
    <s v="Y"/>
    <x v="0"/>
    <n v="15"/>
    <n v="3"/>
    <n v="4"/>
    <n v="80"/>
    <n v="1"/>
    <n v="1"/>
    <n v="2"/>
    <n v="2"/>
    <n v="1"/>
    <n v="1"/>
    <n v="0"/>
    <n v="1"/>
    <x v="1"/>
    <n v="1"/>
    <x v="2"/>
    <x v="1"/>
    <s v="0-1 Years"/>
    <s v="High"/>
    <s v="Good"/>
  </r>
  <r>
    <x v="24"/>
    <s v="No"/>
    <s v="Travel_Rarely"/>
    <n v="1452"/>
    <x v="1"/>
    <n v="11"/>
    <n v="3"/>
    <s v="Life Sciences"/>
    <n v="1"/>
    <n v="226"/>
    <n v="3"/>
    <x v="0"/>
    <n v="53"/>
    <n v="3"/>
    <n v="5"/>
    <x v="5"/>
    <n v="2"/>
    <s v="Single"/>
    <n v="19926"/>
    <n v="17053"/>
    <n v="3"/>
    <s v="Y"/>
    <x v="1"/>
    <n v="15"/>
    <n v="3"/>
    <n v="2"/>
    <n v="80"/>
    <n v="0"/>
    <n v="21"/>
    <n v="5"/>
    <n v="3"/>
    <n v="5"/>
    <n v="4"/>
    <n v="4"/>
    <n v="4"/>
    <x v="1"/>
    <n v="1"/>
    <x v="1"/>
    <x v="2"/>
    <s v="2-5 Years"/>
    <s v="Medium"/>
    <s v="Better"/>
  </r>
  <r>
    <x v="0"/>
    <s v="No"/>
    <s v="Travel_Rarely"/>
    <n v="465"/>
    <x v="1"/>
    <n v="14"/>
    <n v="3"/>
    <s v="Life Sciences"/>
    <n v="1"/>
    <n v="227"/>
    <n v="1"/>
    <x v="1"/>
    <n v="56"/>
    <n v="3"/>
    <n v="1"/>
    <x v="1"/>
    <n v="3"/>
    <s v="Divorced"/>
    <n v="2451"/>
    <n v="4609"/>
    <n v="4"/>
    <s v="Y"/>
    <x v="1"/>
    <n v="12"/>
    <n v="3"/>
    <n v="1"/>
    <n v="80"/>
    <n v="1"/>
    <n v="13"/>
    <n v="2"/>
    <n v="3"/>
    <n v="9"/>
    <n v="8"/>
    <n v="1"/>
    <n v="8"/>
    <x v="1"/>
    <n v="1"/>
    <x v="0"/>
    <x v="1"/>
    <s v="6-10 Years"/>
    <s v="High"/>
    <s v="Better"/>
  </r>
  <r>
    <x v="7"/>
    <s v="No"/>
    <s v="Travel_Rarely"/>
    <n v="1339"/>
    <x v="0"/>
    <n v="5"/>
    <n v="3"/>
    <s v="Life Sciences"/>
    <n v="1"/>
    <n v="228"/>
    <n v="2"/>
    <x v="0"/>
    <n v="41"/>
    <n v="3"/>
    <n v="3"/>
    <x v="0"/>
    <n v="4"/>
    <s v="Married"/>
    <n v="9419"/>
    <n v="8053"/>
    <n v="2"/>
    <s v="Y"/>
    <x v="1"/>
    <n v="12"/>
    <n v="3"/>
    <n v="3"/>
    <n v="80"/>
    <n v="1"/>
    <n v="12"/>
    <n v="2"/>
    <n v="3"/>
    <n v="10"/>
    <n v="9"/>
    <n v="7"/>
    <n v="4"/>
    <x v="1"/>
    <n v="1"/>
    <x v="2"/>
    <x v="2"/>
    <s v="6-10 Years"/>
    <s v="Very High"/>
    <s v="Better"/>
  </r>
  <r>
    <x v="8"/>
    <s v="No"/>
    <s v="Travel_Rarely"/>
    <n v="702"/>
    <x v="0"/>
    <n v="1"/>
    <n v="4"/>
    <s v="Life Sciences"/>
    <n v="1"/>
    <n v="230"/>
    <n v="1"/>
    <x v="0"/>
    <n v="59"/>
    <n v="2"/>
    <n v="2"/>
    <x v="0"/>
    <n v="4"/>
    <s v="Single"/>
    <n v="8686"/>
    <n v="12930"/>
    <n v="4"/>
    <s v="Y"/>
    <x v="1"/>
    <n v="22"/>
    <n v="4"/>
    <n v="3"/>
    <n v="80"/>
    <n v="0"/>
    <n v="12"/>
    <n v="2"/>
    <n v="4"/>
    <n v="8"/>
    <n v="3"/>
    <n v="0"/>
    <n v="7"/>
    <x v="1"/>
    <n v="1"/>
    <x v="0"/>
    <x v="2"/>
    <s v="6-10 Years"/>
    <s v="Very High"/>
    <s v="Best"/>
  </r>
  <r>
    <x v="5"/>
    <s v="No"/>
    <s v="Travel_Rarely"/>
    <n v="120"/>
    <x v="1"/>
    <n v="6"/>
    <n v="5"/>
    <s v="Life Sciences"/>
    <n v="1"/>
    <n v="231"/>
    <n v="3"/>
    <x v="1"/>
    <n v="43"/>
    <n v="3"/>
    <n v="1"/>
    <x v="1"/>
    <n v="3"/>
    <s v="Single"/>
    <n v="3038"/>
    <n v="12430"/>
    <n v="3"/>
    <s v="Y"/>
    <x v="1"/>
    <n v="20"/>
    <n v="4"/>
    <n v="1"/>
    <n v="80"/>
    <n v="0"/>
    <n v="8"/>
    <n v="2"/>
    <n v="3"/>
    <n v="5"/>
    <n v="4"/>
    <n v="1"/>
    <n v="4"/>
    <x v="1"/>
    <n v="1"/>
    <x v="2"/>
    <x v="0"/>
    <s v="2-5 Years"/>
    <s v="High"/>
    <s v="Better"/>
  </r>
  <r>
    <x v="4"/>
    <s v="No"/>
    <s v="Travel_Rarely"/>
    <n v="1157"/>
    <x v="1"/>
    <n v="17"/>
    <n v="3"/>
    <s v="Technical Degree"/>
    <n v="1"/>
    <n v="233"/>
    <n v="3"/>
    <x v="1"/>
    <n v="51"/>
    <n v="3"/>
    <n v="1"/>
    <x v="1"/>
    <n v="2"/>
    <s v="Married"/>
    <n v="3058"/>
    <n v="13364"/>
    <n v="0"/>
    <s v="Y"/>
    <x v="0"/>
    <n v="16"/>
    <n v="3"/>
    <n v="4"/>
    <n v="80"/>
    <n v="1"/>
    <n v="6"/>
    <n v="3"/>
    <n v="2"/>
    <n v="5"/>
    <n v="2"/>
    <n v="1"/>
    <n v="1"/>
    <x v="1"/>
    <n v="1"/>
    <x v="2"/>
    <x v="0"/>
    <s v="2-5 Years"/>
    <s v="Medium"/>
    <s v="Good"/>
  </r>
  <r>
    <x v="37"/>
    <s v="Yes"/>
    <s v="Travel_Frequently"/>
    <n v="602"/>
    <x v="0"/>
    <n v="1"/>
    <n v="1"/>
    <s v="Technical Degree"/>
    <n v="1"/>
    <n v="235"/>
    <n v="3"/>
    <x v="0"/>
    <n v="100"/>
    <n v="1"/>
    <n v="1"/>
    <x v="6"/>
    <n v="1"/>
    <s v="Single"/>
    <n v="2325"/>
    <n v="20989"/>
    <n v="0"/>
    <s v="Y"/>
    <x v="1"/>
    <n v="21"/>
    <n v="4"/>
    <n v="1"/>
    <n v="80"/>
    <n v="0"/>
    <n v="1"/>
    <n v="5"/>
    <n v="4"/>
    <n v="0"/>
    <n v="0"/>
    <n v="0"/>
    <n v="0"/>
    <x v="0"/>
    <n v="0"/>
    <x v="4"/>
    <x v="1"/>
    <s v="0-1 Years"/>
    <s v="Low"/>
    <s v="Best"/>
  </r>
  <r>
    <x v="9"/>
    <s v="No"/>
    <s v="Travel_Frequently"/>
    <n v="1480"/>
    <x v="1"/>
    <n v="3"/>
    <n v="2"/>
    <s v="Medical"/>
    <n v="1"/>
    <n v="238"/>
    <n v="4"/>
    <x v="1"/>
    <n v="30"/>
    <n v="3"/>
    <n v="1"/>
    <x v="2"/>
    <n v="2"/>
    <s v="Single"/>
    <n v="2088"/>
    <n v="15062"/>
    <n v="4"/>
    <s v="Y"/>
    <x v="1"/>
    <n v="12"/>
    <n v="3"/>
    <n v="3"/>
    <n v="80"/>
    <n v="0"/>
    <n v="13"/>
    <n v="3"/>
    <n v="2"/>
    <n v="8"/>
    <n v="7"/>
    <n v="7"/>
    <n v="2"/>
    <x v="1"/>
    <n v="1"/>
    <x v="0"/>
    <x v="1"/>
    <s v="6-10 Years"/>
    <s v="Medium"/>
    <s v="Good"/>
  </r>
  <r>
    <x v="7"/>
    <s v="No"/>
    <s v="Non-Travel"/>
    <n v="111"/>
    <x v="1"/>
    <n v="9"/>
    <n v="3"/>
    <s v="Medical"/>
    <n v="1"/>
    <n v="239"/>
    <n v="3"/>
    <x v="1"/>
    <n v="66"/>
    <n v="3"/>
    <n v="2"/>
    <x v="2"/>
    <n v="1"/>
    <s v="Divorced"/>
    <n v="3072"/>
    <n v="11012"/>
    <n v="1"/>
    <s v="Y"/>
    <x v="1"/>
    <n v="11"/>
    <n v="3"/>
    <n v="3"/>
    <n v="80"/>
    <n v="2"/>
    <n v="12"/>
    <n v="4"/>
    <n v="3"/>
    <n v="12"/>
    <n v="9"/>
    <n v="6"/>
    <n v="10"/>
    <x v="1"/>
    <n v="1"/>
    <x v="2"/>
    <x v="0"/>
    <s v="10+ Years"/>
    <s v="Low"/>
    <s v="Better"/>
  </r>
  <r>
    <x v="28"/>
    <s v="No"/>
    <s v="Travel_Rarely"/>
    <n v="1268"/>
    <x v="0"/>
    <n v="4"/>
    <n v="2"/>
    <s v="Life Sciences"/>
    <n v="1"/>
    <n v="240"/>
    <n v="3"/>
    <x v="0"/>
    <n v="30"/>
    <n v="3"/>
    <n v="2"/>
    <x v="0"/>
    <n v="1"/>
    <s v="Divorced"/>
    <n v="5006"/>
    <n v="6319"/>
    <n v="4"/>
    <s v="Y"/>
    <x v="0"/>
    <n v="11"/>
    <n v="3"/>
    <n v="1"/>
    <n v="80"/>
    <n v="1"/>
    <n v="9"/>
    <n v="3"/>
    <n v="4"/>
    <n v="5"/>
    <n v="4"/>
    <n v="0"/>
    <n v="3"/>
    <x v="1"/>
    <n v="1"/>
    <x v="1"/>
    <x v="0"/>
    <s v="2-5 Years"/>
    <s v="Low"/>
    <s v="Best"/>
  </r>
  <r>
    <x v="29"/>
    <s v="No"/>
    <s v="Travel_Rarely"/>
    <n v="713"/>
    <x v="1"/>
    <n v="8"/>
    <n v="3"/>
    <s v="Life Sciences"/>
    <n v="1"/>
    <n v="241"/>
    <n v="3"/>
    <x v="0"/>
    <n v="67"/>
    <n v="3"/>
    <n v="1"/>
    <x v="1"/>
    <n v="1"/>
    <s v="Divorced"/>
    <n v="4257"/>
    <n v="13939"/>
    <n v="4"/>
    <s v="Y"/>
    <x v="0"/>
    <n v="18"/>
    <n v="3"/>
    <n v="3"/>
    <n v="80"/>
    <n v="1"/>
    <n v="19"/>
    <n v="3"/>
    <n v="3"/>
    <n v="2"/>
    <n v="2"/>
    <n v="2"/>
    <n v="2"/>
    <x v="1"/>
    <n v="1"/>
    <x v="3"/>
    <x v="0"/>
    <s v="2-5 Years"/>
    <s v="Low"/>
    <s v="Better"/>
  </r>
  <r>
    <x v="3"/>
    <s v="No"/>
    <s v="Travel_Rarely"/>
    <n v="134"/>
    <x v="1"/>
    <n v="2"/>
    <n v="3"/>
    <s v="Life Sciences"/>
    <n v="1"/>
    <n v="242"/>
    <n v="3"/>
    <x v="1"/>
    <n v="90"/>
    <n v="3"/>
    <n v="1"/>
    <x v="1"/>
    <n v="4"/>
    <s v="Single"/>
    <n v="2500"/>
    <n v="10515"/>
    <n v="0"/>
    <s v="Y"/>
    <x v="1"/>
    <n v="14"/>
    <n v="3"/>
    <n v="1"/>
    <n v="80"/>
    <n v="0"/>
    <n v="4"/>
    <n v="2"/>
    <n v="4"/>
    <n v="3"/>
    <n v="1"/>
    <n v="0"/>
    <n v="2"/>
    <x v="1"/>
    <n v="1"/>
    <x v="2"/>
    <x v="1"/>
    <s v="2-5 Years"/>
    <s v="Very High"/>
    <s v="Best"/>
  </r>
  <r>
    <x v="37"/>
    <s v="Yes"/>
    <s v="Travel_Rarely"/>
    <n v="303"/>
    <x v="1"/>
    <n v="2"/>
    <n v="3"/>
    <s v="Life Sciences"/>
    <n v="1"/>
    <n v="243"/>
    <n v="2"/>
    <x v="1"/>
    <n v="47"/>
    <n v="2"/>
    <n v="1"/>
    <x v="2"/>
    <n v="4"/>
    <s v="Single"/>
    <n v="1102"/>
    <n v="9241"/>
    <n v="1"/>
    <s v="Y"/>
    <x v="1"/>
    <n v="22"/>
    <n v="4"/>
    <n v="3"/>
    <n v="80"/>
    <n v="0"/>
    <n v="1"/>
    <n v="3"/>
    <n v="2"/>
    <n v="1"/>
    <n v="0"/>
    <n v="1"/>
    <n v="0"/>
    <x v="0"/>
    <n v="0"/>
    <x v="4"/>
    <x v="1"/>
    <s v="0-1 Years"/>
    <s v="Very High"/>
    <s v="Good"/>
  </r>
  <r>
    <x v="21"/>
    <s v="No"/>
    <s v="Travel_Rarely"/>
    <n v="526"/>
    <x v="0"/>
    <n v="1"/>
    <n v="2"/>
    <s v="Marketing"/>
    <n v="1"/>
    <n v="244"/>
    <n v="2"/>
    <x v="0"/>
    <n v="92"/>
    <n v="3"/>
    <n v="3"/>
    <x v="0"/>
    <n v="1"/>
    <s v="Divorced"/>
    <n v="10453"/>
    <n v="2137"/>
    <n v="1"/>
    <s v="Y"/>
    <x v="1"/>
    <n v="25"/>
    <n v="4"/>
    <n v="3"/>
    <n v="80"/>
    <n v="3"/>
    <n v="24"/>
    <n v="2"/>
    <n v="3"/>
    <n v="24"/>
    <n v="13"/>
    <n v="15"/>
    <n v="7"/>
    <x v="1"/>
    <n v="1"/>
    <x v="1"/>
    <x v="2"/>
    <s v="10+ Years"/>
    <s v="Low"/>
    <s v="Better"/>
  </r>
  <r>
    <x v="8"/>
    <s v="No"/>
    <s v="Travel_Rarely"/>
    <n v="1380"/>
    <x v="1"/>
    <n v="9"/>
    <n v="2"/>
    <s v="Life Sciences"/>
    <n v="1"/>
    <n v="245"/>
    <n v="3"/>
    <x v="0"/>
    <n v="75"/>
    <n v="3"/>
    <n v="1"/>
    <x v="2"/>
    <n v="4"/>
    <s v="Single"/>
    <n v="2288"/>
    <n v="6319"/>
    <n v="1"/>
    <s v="Y"/>
    <x v="1"/>
    <n v="12"/>
    <n v="3"/>
    <n v="3"/>
    <n v="80"/>
    <n v="0"/>
    <n v="2"/>
    <n v="3"/>
    <n v="3"/>
    <n v="2"/>
    <n v="2"/>
    <n v="2"/>
    <n v="1"/>
    <x v="1"/>
    <n v="1"/>
    <x v="0"/>
    <x v="1"/>
    <s v="2-5 Years"/>
    <s v="Very High"/>
    <s v="Better"/>
  </r>
  <r>
    <x v="12"/>
    <s v="No"/>
    <s v="Travel_Rarely"/>
    <n v="140"/>
    <x v="1"/>
    <n v="12"/>
    <n v="1"/>
    <s v="Medical"/>
    <n v="1"/>
    <n v="246"/>
    <n v="3"/>
    <x v="0"/>
    <n v="95"/>
    <n v="3"/>
    <n v="1"/>
    <x v="1"/>
    <n v="4"/>
    <s v="Married"/>
    <n v="3929"/>
    <n v="6984"/>
    <n v="8"/>
    <s v="Y"/>
    <x v="0"/>
    <n v="23"/>
    <n v="4"/>
    <n v="3"/>
    <n v="80"/>
    <n v="1"/>
    <n v="7"/>
    <n v="0"/>
    <n v="3"/>
    <n v="4"/>
    <n v="2"/>
    <n v="0"/>
    <n v="2"/>
    <x v="1"/>
    <n v="1"/>
    <x v="2"/>
    <x v="0"/>
    <s v="2-5 Years"/>
    <s v="Very High"/>
    <s v="Better"/>
  </r>
  <r>
    <x v="13"/>
    <s v="No"/>
    <s v="Travel_Rarely"/>
    <n v="629"/>
    <x v="1"/>
    <n v="27"/>
    <n v="2"/>
    <s v="Medical"/>
    <n v="1"/>
    <n v="247"/>
    <n v="4"/>
    <x v="0"/>
    <n v="95"/>
    <n v="3"/>
    <n v="1"/>
    <x v="1"/>
    <n v="2"/>
    <s v="Single"/>
    <n v="2311"/>
    <n v="5711"/>
    <n v="2"/>
    <s v="Y"/>
    <x v="1"/>
    <n v="15"/>
    <n v="3"/>
    <n v="4"/>
    <n v="80"/>
    <n v="0"/>
    <n v="9"/>
    <n v="3"/>
    <n v="3"/>
    <n v="3"/>
    <n v="2"/>
    <n v="1"/>
    <n v="2"/>
    <x v="1"/>
    <n v="1"/>
    <x v="2"/>
    <x v="1"/>
    <s v="2-5 Years"/>
    <s v="Medium"/>
    <s v="Better"/>
  </r>
  <r>
    <x v="0"/>
    <s v="Yes"/>
    <s v="Travel_Rarely"/>
    <n v="1356"/>
    <x v="0"/>
    <n v="20"/>
    <n v="2"/>
    <s v="Marketing"/>
    <n v="1"/>
    <n v="248"/>
    <n v="2"/>
    <x v="0"/>
    <n v="70"/>
    <n v="3"/>
    <n v="1"/>
    <x v="6"/>
    <n v="2"/>
    <s v="Single"/>
    <n v="3140"/>
    <n v="21728"/>
    <n v="1"/>
    <s v="Y"/>
    <x v="0"/>
    <n v="22"/>
    <n v="4"/>
    <n v="4"/>
    <n v="80"/>
    <n v="0"/>
    <n v="4"/>
    <n v="5"/>
    <n v="2"/>
    <n v="4"/>
    <n v="3"/>
    <n v="0"/>
    <n v="2"/>
    <x v="0"/>
    <n v="0"/>
    <x v="0"/>
    <x v="0"/>
    <s v="2-5 Years"/>
    <s v="Medium"/>
    <s v="Good"/>
  </r>
  <r>
    <x v="24"/>
    <s v="No"/>
    <s v="Travel_Rarely"/>
    <n v="328"/>
    <x v="1"/>
    <n v="1"/>
    <n v="3"/>
    <s v="Medical"/>
    <n v="1"/>
    <n v="249"/>
    <n v="3"/>
    <x v="1"/>
    <n v="86"/>
    <n v="2"/>
    <n v="1"/>
    <x v="2"/>
    <n v="3"/>
    <s v="Married"/>
    <n v="3690"/>
    <n v="3425"/>
    <n v="2"/>
    <s v="Y"/>
    <x v="1"/>
    <n v="15"/>
    <n v="3"/>
    <n v="4"/>
    <n v="80"/>
    <n v="1"/>
    <n v="5"/>
    <n v="2"/>
    <n v="2"/>
    <n v="3"/>
    <n v="2"/>
    <n v="0"/>
    <n v="2"/>
    <x v="1"/>
    <n v="1"/>
    <x v="1"/>
    <x v="0"/>
    <s v="2-5 Years"/>
    <s v="High"/>
    <s v="Good"/>
  </r>
  <r>
    <x v="16"/>
    <s v="No"/>
    <s v="Travel_Rarely"/>
    <n v="1084"/>
    <x v="1"/>
    <n v="13"/>
    <n v="2"/>
    <s v="Medical"/>
    <n v="1"/>
    <n v="250"/>
    <n v="4"/>
    <x v="0"/>
    <n v="57"/>
    <n v="4"/>
    <n v="2"/>
    <x v="3"/>
    <n v="1"/>
    <s v="Divorced"/>
    <n v="4450"/>
    <n v="26250"/>
    <n v="1"/>
    <s v="Y"/>
    <x v="1"/>
    <n v="11"/>
    <n v="3"/>
    <n v="3"/>
    <n v="80"/>
    <n v="2"/>
    <n v="5"/>
    <n v="3"/>
    <n v="3"/>
    <n v="4"/>
    <n v="2"/>
    <n v="1"/>
    <n v="3"/>
    <x v="1"/>
    <n v="1"/>
    <x v="1"/>
    <x v="0"/>
    <s v="2-5 Years"/>
    <s v="Low"/>
    <s v="Better"/>
  </r>
  <r>
    <x v="3"/>
    <s v="No"/>
    <s v="Travel_Rarely"/>
    <n v="931"/>
    <x v="1"/>
    <n v="14"/>
    <n v="3"/>
    <s v="Medical"/>
    <n v="1"/>
    <n v="252"/>
    <n v="4"/>
    <x v="0"/>
    <n v="72"/>
    <n v="3"/>
    <n v="1"/>
    <x v="1"/>
    <n v="2"/>
    <s v="Married"/>
    <n v="2756"/>
    <n v="4673"/>
    <n v="1"/>
    <s v="Y"/>
    <x v="1"/>
    <n v="13"/>
    <n v="3"/>
    <n v="4"/>
    <n v="80"/>
    <n v="1"/>
    <n v="8"/>
    <n v="5"/>
    <n v="3"/>
    <n v="8"/>
    <n v="7"/>
    <n v="1"/>
    <n v="6"/>
    <x v="1"/>
    <n v="1"/>
    <x v="2"/>
    <x v="1"/>
    <s v="6-10 Years"/>
    <s v="Medium"/>
    <s v="Better"/>
  </r>
  <r>
    <x v="32"/>
    <s v="No"/>
    <s v="Travel_Rarely"/>
    <n v="989"/>
    <x v="1"/>
    <n v="4"/>
    <n v="1"/>
    <s v="Medical"/>
    <n v="1"/>
    <n v="253"/>
    <n v="4"/>
    <x v="0"/>
    <n v="46"/>
    <n v="3"/>
    <n v="5"/>
    <x v="5"/>
    <n v="3"/>
    <s v="Married"/>
    <n v="19033"/>
    <n v="6499"/>
    <n v="1"/>
    <s v="Y"/>
    <x v="1"/>
    <n v="14"/>
    <n v="3"/>
    <n v="2"/>
    <n v="80"/>
    <n v="1"/>
    <n v="21"/>
    <n v="2"/>
    <n v="3"/>
    <n v="20"/>
    <n v="8"/>
    <n v="9"/>
    <n v="9"/>
    <x v="1"/>
    <n v="1"/>
    <x v="0"/>
    <x v="2"/>
    <s v="10+ Years"/>
    <s v="High"/>
    <s v="Better"/>
  </r>
  <r>
    <x v="27"/>
    <s v="No"/>
    <s v="Travel_Rarely"/>
    <n v="692"/>
    <x v="1"/>
    <n v="14"/>
    <n v="4"/>
    <s v="Medical"/>
    <n v="1"/>
    <n v="254"/>
    <n v="3"/>
    <x v="1"/>
    <n v="61"/>
    <n v="4"/>
    <n v="5"/>
    <x v="7"/>
    <n v="2"/>
    <s v="Single"/>
    <n v="18722"/>
    <n v="13339"/>
    <n v="8"/>
    <s v="Y"/>
    <x v="1"/>
    <n v="11"/>
    <n v="3"/>
    <n v="4"/>
    <n v="80"/>
    <n v="0"/>
    <n v="36"/>
    <n v="3"/>
    <n v="3"/>
    <n v="24"/>
    <n v="15"/>
    <n v="2"/>
    <n v="15"/>
    <x v="1"/>
    <n v="1"/>
    <x v="3"/>
    <x v="2"/>
    <s v="10+ Years"/>
    <s v="Medium"/>
    <s v="Better"/>
  </r>
  <r>
    <x v="13"/>
    <s v="No"/>
    <s v="Travel_Frequently"/>
    <n v="1069"/>
    <x v="1"/>
    <n v="2"/>
    <n v="1"/>
    <s v="Life Sciences"/>
    <n v="1"/>
    <n v="256"/>
    <n v="4"/>
    <x v="1"/>
    <n v="45"/>
    <n v="2"/>
    <n v="2"/>
    <x v="3"/>
    <n v="3"/>
    <s v="Married"/>
    <n v="9547"/>
    <n v="14074"/>
    <n v="1"/>
    <s v="Y"/>
    <x v="1"/>
    <n v="17"/>
    <n v="3"/>
    <n v="3"/>
    <n v="80"/>
    <n v="0"/>
    <n v="10"/>
    <n v="2"/>
    <n v="2"/>
    <n v="10"/>
    <n v="9"/>
    <n v="1"/>
    <n v="9"/>
    <x v="1"/>
    <n v="1"/>
    <x v="2"/>
    <x v="2"/>
    <s v="6-10 Years"/>
    <s v="High"/>
    <s v="Good"/>
  </r>
  <r>
    <x v="31"/>
    <s v="No"/>
    <s v="Travel_Rarely"/>
    <n v="313"/>
    <x v="1"/>
    <n v="3"/>
    <n v="3"/>
    <s v="Medical"/>
    <n v="1"/>
    <n v="258"/>
    <n v="4"/>
    <x v="0"/>
    <n v="98"/>
    <n v="3"/>
    <n v="4"/>
    <x v="4"/>
    <n v="2"/>
    <s v="Single"/>
    <n v="13734"/>
    <n v="7192"/>
    <n v="3"/>
    <s v="Y"/>
    <x v="1"/>
    <n v="18"/>
    <n v="3"/>
    <n v="3"/>
    <n v="80"/>
    <n v="0"/>
    <n v="21"/>
    <n v="6"/>
    <n v="3"/>
    <n v="7"/>
    <n v="7"/>
    <n v="1"/>
    <n v="0"/>
    <x v="1"/>
    <n v="1"/>
    <x v="1"/>
    <x v="2"/>
    <s v="6-10 Years"/>
    <s v="Medium"/>
    <s v="Better"/>
  </r>
  <r>
    <x v="39"/>
    <s v="No"/>
    <s v="Travel_Rarely"/>
    <n v="699"/>
    <x v="1"/>
    <n v="1"/>
    <n v="4"/>
    <s v="Life Sciences"/>
    <n v="1"/>
    <n v="259"/>
    <n v="3"/>
    <x v="1"/>
    <n v="65"/>
    <n v="2"/>
    <n v="5"/>
    <x v="5"/>
    <n v="3"/>
    <s v="Married"/>
    <n v="19999"/>
    <n v="5678"/>
    <n v="0"/>
    <s v="Y"/>
    <x v="1"/>
    <n v="14"/>
    <n v="3"/>
    <n v="1"/>
    <n v="80"/>
    <n v="1"/>
    <n v="34"/>
    <n v="5"/>
    <n v="3"/>
    <n v="33"/>
    <n v="18"/>
    <n v="11"/>
    <n v="9"/>
    <x v="1"/>
    <n v="1"/>
    <x v="1"/>
    <x v="2"/>
    <s v="10+ Years"/>
    <s v="High"/>
    <s v="Better"/>
  </r>
  <r>
    <x v="4"/>
    <s v="No"/>
    <s v="Travel_Rarely"/>
    <n v="894"/>
    <x v="1"/>
    <n v="9"/>
    <n v="3"/>
    <s v="Medical"/>
    <n v="1"/>
    <n v="260"/>
    <n v="4"/>
    <x v="0"/>
    <n v="99"/>
    <n v="3"/>
    <n v="1"/>
    <x v="1"/>
    <n v="2"/>
    <s v="Single"/>
    <n v="2279"/>
    <n v="11781"/>
    <n v="1"/>
    <s v="Y"/>
    <x v="1"/>
    <n v="16"/>
    <n v="3"/>
    <n v="4"/>
    <n v="80"/>
    <n v="0"/>
    <n v="7"/>
    <n v="2"/>
    <n v="2"/>
    <n v="7"/>
    <n v="7"/>
    <n v="0"/>
    <n v="3"/>
    <x v="1"/>
    <n v="1"/>
    <x v="2"/>
    <x v="1"/>
    <s v="6-10 Years"/>
    <s v="Medium"/>
    <s v="Good"/>
  </r>
  <r>
    <x v="10"/>
    <s v="Yes"/>
    <s v="Travel_Rarely"/>
    <n v="556"/>
    <x v="1"/>
    <n v="23"/>
    <n v="2"/>
    <s v="Life Sciences"/>
    <n v="1"/>
    <n v="261"/>
    <n v="2"/>
    <x v="1"/>
    <n v="50"/>
    <n v="2"/>
    <n v="2"/>
    <x v="3"/>
    <n v="3"/>
    <s v="Married"/>
    <n v="5916"/>
    <n v="15497"/>
    <n v="3"/>
    <s v="Y"/>
    <x v="0"/>
    <n v="13"/>
    <n v="3"/>
    <n v="1"/>
    <n v="80"/>
    <n v="0"/>
    <n v="8"/>
    <n v="1"/>
    <n v="3"/>
    <n v="1"/>
    <n v="0"/>
    <n v="0"/>
    <n v="1"/>
    <x v="0"/>
    <n v="0"/>
    <x v="0"/>
    <x v="0"/>
    <s v="0-1 Years"/>
    <s v="High"/>
    <s v="Better"/>
  </r>
  <r>
    <x v="23"/>
    <s v="No"/>
    <s v="Non-Travel"/>
    <n v="1344"/>
    <x v="1"/>
    <n v="7"/>
    <n v="3"/>
    <s v="Medical"/>
    <n v="1"/>
    <n v="262"/>
    <n v="4"/>
    <x v="1"/>
    <n v="37"/>
    <n v="4"/>
    <n v="1"/>
    <x v="1"/>
    <n v="4"/>
    <s v="Divorced"/>
    <n v="2089"/>
    <n v="5228"/>
    <n v="4"/>
    <s v="Y"/>
    <x v="1"/>
    <n v="14"/>
    <n v="3"/>
    <n v="4"/>
    <n v="80"/>
    <n v="3"/>
    <n v="7"/>
    <n v="3"/>
    <n v="4"/>
    <n v="5"/>
    <n v="4"/>
    <n v="2"/>
    <n v="2"/>
    <x v="1"/>
    <n v="1"/>
    <x v="0"/>
    <x v="1"/>
    <s v="2-5 Years"/>
    <s v="Very High"/>
    <s v="Best"/>
  </r>
  <r>
    <x v="28"/>
    <s v="No"/>
    <s v="Non-Travel"/>
    <n v="1195"/>
    <x v="1"/>
    <n v="2"/>
    <n v="2"/>
    <s v="Medical"/>
    <n v="1"/>
    <n v="264"/>
    <n v="1"/>
    <x v="1"/>
    <n v="65"/>
    <n v="2"/>
    <n v="4"/>
    <x v="5"/>
    <n v="4"/>
    <s v="Married"/>
    <n v="16792"/>
    <n v="20462"/>
    <n v="9"/>
    <s v="Y"/>
    <x v="1"/>
    <n v="23"/>
    <n v="4"/>
    <n v="4"/>
    <n v="80"/>
    <n v="1"/>
    <n v="22"/>
    <n v="1"/>
    <n v="3"/>
    <n v="20"/>
    <n v="8"/>
    <n v="11"/>
    <n v="8"/>
    <x v="1"/>
    <n v="1"/>
    <x v="1"/>
    <x v="2"/>
    <s v="10+ Years"/>
    <s v="Very High"/>
    <s v="Better"/>
  </r>
  <r>
    <x v="2"/>
    <s v="No"/>
    <s v="Travel_Rarely"/>
    <n v="290"/>
    <x v="1"/>
    <n v="21"/>
    <n v="3"/>
    <s v="Life Sciences"/>
    <n v="1"/>
    <n v="267"/>
    <n v="2"/>
    <x v="1"/>
    <n v="65"/>
    <n v="4"/>
    <n v="1"/>
    <x v="1"/>
    <n v="1"/>
    <s v="Married"/>
    <n v="3564"/>
    <n v="22977"/>
    <n v="1"/>
    <s v="Y"/>
    <x v="0"/>
    <n v="12"/>
    <n v="3"/>
    <n v="1"/>
    <n v="80"/>
    <n v="1"/>
    <n v="8"/>
    <n v="3"/>
    <n v="2"/>
    <n v="8"/>
    <n v="7"/>
    <n v="1"/>
    <n v="7"/>
    <x v="1"/>
    <n v="1"/>
    <x v="0"/>
    <x v="0"/>
    <s v="6-10 Years"/>
    <s v="Low"/>
    <s v="Good"/>
  </r>
  <r>
    <x v="10"/>
    <s v="No"/>
    <s v="Travel_Frequently"/>
    <n v="138"/>
    <x v="1"/>
    <n v="2"/>
    <n v="3"/>
    <s v="Medical"/>
    <n v="1"/>
    <n v="269"/>
    <n v="2"/>
    <x v="0"/>
    <n v="37"/>
    <n v="3"/>
    <n v="2"/>
    <x v="2"/>
    <n v="2"/>
    <s v="Single"/>
    <n v="4425"/>
    <n v="15986"/>
    <n v="5"/>
    <s v="Y"/>
    <x v="1"/>
    <n v="11"/>
    <n v="3"/>
    <n v="4"/>
    <n v="80"/>
    <n v="0"/>
    <n v="10"/>
    <n v="5"/>
    <n v="3"/>
    <n v="6"/>
    <n v="2"/>
    <n v="1"/>
    <n v="2"/>
    <x v="1"/>
    <n v="1"/>
    <x v="0"/>
    <x v="0"/>
    <s v="6-10 Years"/>
    <s v="Medium"/>
    <s v="Better"/>
  </r>
  <r>
    <x v="19"/>
    <s v="No"/>
    <s v="Non-Travel"/>
    <n v="926"/>
    <x v="1"/>
    <n v="21"/>
    <n v="2"/>
    <s v="Medical"/>
    <n v="1"/>
    <n v="270"/>
    <n v="3"/>
    <x v="0"/>
    <n v="36"/>
    <n v="3"/>
    <n v="2"/>
    <x v="3"/>
    <n v="3"/>
    <s v="Divorced"/>
    <n v="5265"/>
    <n v="16439"/>
    <n v="2"/>
    <s v="Y"/>
    <x v="1"/>
    <n v="16"/>
    <n v="3"/>
    <n v="2"/>
    <n v="80"/>
    <n v="1"/>
    <n v="11"/>
    <n v="5"/>
    <n v="3"/>
    <n v="5"/>
    <n v="3"/>
    <n v="0"/>
    <n v="2"/>
    <x v="1"/>
    <n v="1"/>
    <x v="0"/>
    <x v="0"/>
    <s v="2-5 Years"/>
    <s v="High"/>
    <s v="Better"/>
  </r>
  <r>
    <x v="8"/>
    <s v="No"/>
    <s v="Travel_Rarely"/>
    <n v="1261"/>
    <x v="1"/>
    <n v="2"/>
    <n v="4"/>
    <s v="Life Sciences"/>
    <n v="1"/>
    <n v="271"/>
    <n v="4"/>
    <x v="1"/>
    <n v="88"/>
    <n v="3"/>
    <n v="2"/>
    <x v="3"/>
    <n v="3"/>
    <s v="Married"/>
    <n v="6553"/>
    <n v="7259"/>
    <n v="9"/>
    <s v="Y"/>
    <x v="1"/>
    <n v="14"/>
    <n v="3"/>
    <n v="2"/>
    <n v="80"/>
    <n v="0"/>
    <n v="14"/>
    <n v="3"/>
    <n v="3"/>
    <n v="1"/>
    <n v="0"/>
    <n v="0"/>
    <n v="0"/>
    <x v="1"/>
    <n v="1"/>
    <x v="0"/>
    <x v="0"/>
    <s v="0-1 Years"/>
    <s v="High"/>
    <s v="Better"/>
  </r>
  <r>
    <x v="8"/>
    <s v="No"/>
    <s v="Travel_Rarely"/>
    <n v="1084"/>
    <x v="1"/>
    <n v="29"/>
    <n v="3"/>
    <s v="Technical Degree"/>
    <n v="1"/>
    <n v="273"/>
    <n v="4"/>
    <x v="1"/>
    <n v="54"/>
    <n v="3"/>
    <n v="2"/>
    <x v="3"/>
    <n v="4"/>
    <s v="Married"/>
    <n v="6261"/>
    <n v="4185"/>
    <n v="3"/>
    <s v="Y"/>
    <x v="1"/>
    <n v="18"/>
    <n v="3"/>
    <n v="1"/>
    <n v="80"/>
    <n v="1"/>
    <n v="9"/>
    <n v="3"/>
    <n v="1"/>
    <n v="7"/>
    <n v="7"/>
    <n v="1"/>
    <n v="7"/>
    <x v="1"/>
    <n v="1"/>
    <x v="0"/>
    <x v="0"/>
    <s v="6-10 Years"/>
    <s v="Very High"/>
    <s v="Bad"/>
  </r>
  <r>
    <x v="4"/>
    <s v="No"/>
    <s v="Travel_Frequently"/>
    <n v="472"/>
    <x v="1"/>
    <n v="1"/>
    <n v="1"/>
    <s v="Technical Degree"/>
    <n v="1"/>
    <n v="274"/>
    <n v="3"/>
    <x v="1"/>
    <n v="60"/>
    <n v="2"/>
    <n v="2"/>
    <x v="3"/>
    <n v="1"/>
    <s v="Married"/>
    <n v="4298"/>
    <n v="9679"/>
    <n v="5"/>
    <s v="Y"/>
    <x v="1"/>
    <n v="19"/>
    <n v="3"/>
    <n v="3"/>
    <n v="80"/>
    <n v="1"/>
    <n v="6"/>
    <n v="1"/>
    <n v="3"/>
    <n v="2"/>
    <n v="2"/>
    <n v="2"/>
    <n v="0"/>
    <x v="1"/>
    <n v="1"/>
    <x v="2"/>
    <x v="0"/>
    <s v="2-5 Years"/>
    <s v="Low"/>
    <s v="Better"/>
  </r>
  <r>
    <x v="1"/>
    <s v="No"/>
    <s v="Non-Travel"/>
    <n v="1002"/>
    <x v="1"/>
    <n v="18"/>
    <n v="4"/>
    <s v="Life Sciences"/>
    <n v="1"/>
    <n v="275"/>
    <n v="4"/>
    <x v="1"/>
    <n v="92"/>
    <n v="3"/>
    <n v="2"/>
    <x v="3"/>
    <n v="4"/>
    <s v="Divorced"/>
    <n v="6804"/>
    <n v="23793"/>
    <n v="1"/>
    <s v="Y"/>
    <x v="0"/>
    <n v="15"/>
    <n v="3"/>
    <n v="1"/>
    <n v="80"/>
    <n v="2"/>
    <n v="7"/>
    <n v="0"/>
    <n v="3"/>
    <n v="7"/>
    <n v="7"/>
    <n v="1"/>
    <n v="7"/>
    <x v="1"/>
    <n v="1"/>
    <x v="1"/>
    <x v="0"/>
    <s v="6-10 Years"/>
    <s v="Very High"/>
    <s v="Better"/>
  </r>
  <r>
    <x v="13"/>
    <s v="No"/>
    <s v="Travel_Frequently"/>
    <n v="878"/>
    <x v="1"/>
    <n v="10"/>
    <n v="4"/>
    <s v="Medical"/>
    <n v="1"/>
    <n v="277"/>
    <n v="4"/>
    <x v="1"/>
    <n v="43"/>
    <n v="3"/>
    <n v="1"/>
    <x v="1"/>
    <n v="3"/>
    <s v="Divorced"/>
    <n v="3815"/>
    <n v="5972"/>
    <n v="1"/>
    <s v="Y"/>
    <x v="0"/>
    <n v="17"/>
    <n v="3"/>
    <n v="4"/>
    <n v="80"/>
    <n v="1"/>
    <n v="5"/>
    <n v="4"/>
    <n v="4"/>
    <n v="5"/>
    <n v="3"/>
    <n v="2"/>
    <n v="0"/>
    <x v="1"/>
    <n v="1"/>
    <x v="2"/>
    <x v="0"/>
    <s v="2-5 Years"/>
    <s v="High"/>
    <s v="Best"/>
  </r>
  <r>
    <x v="32"/>
    <s v="No"/>
    <s v="Travel_Rarely"/>
    <n v="905"/>
    <x v="1"/>
    <n v="19"/>
    <n v="2"/>
    <s v="Medical"/>
    <n v="1"/>
    <n v="281"/>
    <n v="3"/>
    <x v="1"/>
    <n v="99"/>
    <n v="3"/>
    <n v="2"/>
    <x v="2"/>
    <n v="4"/>
    <s v="Married"/>
    <n v="2741"/>
    <n v="16523"/>
    <n v="8"/>
    <s v="Y"/>
    <x v="0"/>
    <n v="15"/>
    <n v="3"/>
    <n v="3"/>
    <n v="80"/>
    <n v="1"/>
    <n v="15"/>
    <n v="2"/>
    <n v="4"/>
    <n v="7"/>
    <n v="2"/>
    <n v="3"/>
    <n v="7"/>
    <x v="1"/>
    <n v="1"/>
    <x v="0"/>
    <x v="1"/>
    <s v="6-10 Years"/>
    <s v="Very High"/>
    <s v="Best"/>
  </r>
  <r>
    <x v="8"/>
    <s v="Yes"/>
    <s v="Travel_Rarely"/>
    <n v="1180"/>
    <x v="1"/>
    <n v="29"/>
    <n v="1"/>
    <s v="Medical"/>
    <n v="1"/>
    <n v="282"/>
    <n v="2"/>
    <x v="1"/>
    <n v="70"/>
    <n v="3"/>
    <n v="2"/>
    <x v="4"/>
    <n v="1"/>
    <s v="Married"/>
    <n v="6673"/>
    <n v="11354"/>
    <n v="7"/>
    <s v="Y"/>
    <x v="0"/>
    <n v="19"/>
    <n v="3"/>
    <n v="2"/>
    <n v="80"/>
    <n v="0"/>
    <n v="17"/>
    <n v="2"/>
    <n v="3"/>
    <n v="1"/>
    <n v="0"/>
    <n v="0"/>
    <n v="0"/>
    <x v="0"/>
    <n v="0"/>
    <x v="0"/>
    <x v="0"/>
    <s v="0-1 Years"/>
    <s v="Low"/>
    <s v="Better"/>
  </r>
  <r>
    <x v="11"/>
    <s v="Yes"/>
    <s v="Travel_Rarely"/>
    <n v="121"/>
    <x v="0"/>
    <n v="27"/>
    <n v="3"/>
    <s v="Marketing"/>
    <n v="1"/>
    <n v="283"/>
    <n v="2"/>
    <x v="0"/>
    <n v="35"/>
    <n v="3"/>
    <n v="3"/>
    <x v="0"/>
    <n v="4"/>
    <s v="Married"/>
    <n v="7639"/>
    <n v="24525"/>
    <n v="1"/>
    <s v="Y"/>
    <x v="1"/>
    <n v="22"/>
    <n v="4"/>
    <n v="4"/>
    <n v="80"/>
    <n v="3"/>
    <n v="10"/>
    <n v="3"/>
    <n v="2"/>
    <n v="10"/>
    <n v="4"/>
    <n v="1"/>
    <n v="9"/>
    <x v="0"/>
    <n v="0"/>
    <x v="2"/>
    <x v="2"/>
    <s v="6-10 Years"/>
    <s v="Very High"/>
    <s v="Good"/>
  </r>
  <r>
    <x v="15"/>
    <s v="No"/>
    <s v="Travel_Rarely"/>
    <n v="1136"/>
    <x v="1"/>
    <n v="5"/>
    <n v="3"/>
    <s v="Life Sciences"/>
    <n v="1"/>
    <n v="284"/>
    <n v="4"/>
    <x v="1"/>
    <n v="60"/>
    <n v="4"/>
    <n v="1"/>
    <x v="1"/>
    <n v="2"/>
    <s v="Divorced"/>
    <n v="2328"/>
    <n v="12392"/>
    <n v="1"/>
    <s v="Y"/>
    <x v="0"/>
    <n v="16"/>
    <n v="3"/>
    <n v="1"/>
    <n v="80"/>
    <n v="1"/>
    <n v="4"/>
    <n v="2"/>
    <n v="2"/>
    <n v="4"/>
    <n v="2"/>
    <n v="2"/>
    <n v="2"/>
    <x v="1"/>
    <n v="1"/>
    <x v="4"/>
    <x v="1"/>
    <s v="2-5 Years"/>
    <s v="Medium"/>
    <s v="Good"/>
  </r>
  <r>
    <x v="9"/>
    <s v="No"/>
    <s v="Travel_Frequently"/>
    <n v="635"/>
    <x v="1"/>
    <n v="18"/>
    <n v="1"/>
    <s v="Medical"/>
    <n v="1"/>
    <n v="286"/>
    <n v="2"/>
    <x v="0"/>
    <n v="73"/>
    <n v="3"/>
    <n v="1"/>
    <x v="2"/>
    <n v="4"/>
    <s v="Single"/>
    <n v="2153"/>
    <n v="7703"/>
    <n v="1"/>
    <s v="Y"/>
    <x v="1"/>
    <n v="13"/>
    <n v="3"/>
    <n v="1"/>
    <n v="80"/>
    <n v="0"/>
    <n v="8"/>
    <n v="2"/>
    <n v="3"/>
    <n v="8"/>
    <n v="1"/>
    <n v="1"/>
    <n v="7"/>
    <x v="1"/>
    <n v="1"/>
    <x v="0"/>
    <x v="1"/>
    <s v="6-10 Years"/>
    <s v="Very High"/>
    <s v="Better"/>
  </r>
  <r>
    <x v="32"/>
    <s v="No"/>
    <s v="Non-Travel"/>
    <n v="1151"/>
    <x v="1"/>
    <n v="9"/>
    <n v="5"/>
    <s v="Life Sciences"/>
    <n v="1"/>
    <n v="287"/>
    <n v="4"/>
    <x v="1"/>
    <n v="63"/>
    <n v="2"/>
    <n v="2"/>
    <x v="4"/>
    <n v="4"/>
    <s v="Married"/>
    <n v="4876"/>
    <n v="14242"/>
    <n v="9"/>
    <s v="Y"/>
    <x v="1"/>
    <n v="14"/>
    <n v="3"/>
    <n v="4"/>
    <n v="80"/>
    <n v="1"/>
    <n v="5"/>
    <n v="5"/>
    <n v="1"/>
    <n v="3"/>
    <n v="2"/>
    <n v="0"/>
    <n v="2"/>
    <x v="1"/>
    <n v="1"/>
    <x v="0"/>
    <x v="0"/>
    <s v="2-5 Years"/>
    <s v="Very High"/>
    <s v="Bad"/>
  </r>
  <r>
    <x v="21"/>
    <s v="No"/>
    <s v="Travel_Rarely"/>
    <n v="644"/>
    <x v="1"/>
    <n v="1"/>
    <n v="4"/>
    <s v="Medical"/>
    <n v="1"/>
    <n v="288"/>
    <n v="4"/>
    <x v="1"/>
    <n v="97"/>
    <n v="3"/>
    <n v="3"/>
    <x v="4"/>
    <n v="1"/>
    <s v="Divorced"/>
    <n v="9396"/>
    <n v="12368"/>
    <n v="7"/>
    <s v="Y"/>
    <x v="1"/>
    <n v="16"/>
    <n v="3"/>
    <n v="3"/>
    <n v="80"/>
    <n v="1"/>
    <n v="17"/>
    <n v="3"/>
    <n v="3"/>
    <n v="4"/>
    <n v="2"/>
    <n v="0"/>
    <n v="3"/>
    <x v="1"/>
    <n v="1"/>
    <x v="1"/>
    <x v="2"/>
    <s v="2-5 Years"/>
    <s v="Low"/>
    <s v="Better"/>
  </r>
  <r>
    <x v="5"/>
    <s v="Yes"/>
    <s v="Travel_Rarely"/>
    <n v="1045"/>
    <x v="0"/>
    <n v="4"/>
    <n v="4"/>
    <s v="Medical"/>
    <n v="1"/>
    <n v="291"/>
    <n v="4"/>
    <x v="1"/>
    <n v="32"/>
    <n v="1"/>
    <n v="3"/>
    <x v="0"/>
    <n v="4"/>
    <s v="Married"/>
    <n v="10400"/>
    <n v="25812"/>
    <n v="1"/>
    <s v="Y"/>
    <x v="1"/>
    <n v="11"/>
    <n v="3"/>
    <n v="3"/>
    <n v="80"/>
    <n v="0"/>
    <n v="14"/>
    <n v="2"/>
    <n v="2"/>
    <n v="14"/>
    <n v="8"/>
    <n v="9"/>
    <n v="8"/>
    <x v="0"/>
    <n v="0"/>
    <x v="2"/>
    <x v="2"/>
    <s v="10+ Years"/>
    <s v="Very High"/>
    <s v="Good"/>
  </r>
  <r>
    <x v="7"/>
    <s v="No"/>
    <s v="Non-Travel"/>
    <n v="829"/>
    <x v="1"/>
    <n v="1"/>
    <n v="1"/>
    <s v="Life Sciences"/>
    <n v="1"/>
    <n v="292"/>
    <n v="3"/>
    <x v="1"/>
    <n v="88"/>
    <n v="2"/>
    <n v="3"/>
    <x v="3"/>
    <n v="3"/>
    <s v="Single"/>
    <n v="8474"/>
    <n v="20925"/>
    <n v="1"/>
    <s v="Y"/>
    <x v="1"/>
    <n v="22"/>
    <n v="4"/>
    <n v="3"/>
    <n v="80"/>
    <n v="0"/>
    <n v="12"/>
    <n v="2"/>
    <n v="3"/>
    <n v="11"/>
    <n v="8"/>
    <n v="5"/>
    <n v="8"/>
    <x v="1"/>
    <n v="1"/>
    <x v="2"/>
    <x v="2"/>
    <s v="10+ Years"/>
    <s v="High"/>
    <s v="Better"/>
  </r>
  <r>
    <x v="4"/>
    <s v="No"/>
    <s v="Travel_Frequently"/>
    <n v="1242"/>
    <x v="0"/>
    <n v="20"/>
    <n v="3"/>
    <s v="Life Sciences"/>
    <n v="1"/>
    <n v="293"/>
    <n v="4"/>
    <x v="0"/>
    <n v="90"/>
    <n v="3"/>
    <n v="2"/>
    <x v="0"/>
    <n v="3"/>
    <s v="Single"/>
    <n v="9981"/>
    <n v="12916"/>
    <n v="1"/>
    <s v="Y"/>
    <x v="1"/>
    <n v="14"/>
    <n v="3"/>
    <n v="4"/>
    <n v="80"/>
    <n v="0"/>
    <n v="7"/>
    <n v="2"/>
    <n v="3"/>
    <n v="7"/>
    <n v="7"/>
    <n v="0"/>
    <n v="7"/>
    <x v="1"/>
    <n v="1"/>
    <x v="2"/>
    <x v="2"/>
    <s v="6-10 Years"/>
    <s v="High"/>
    <s v="Better"/>
  </r>
  <r>
    <x v="31"/>
    <s v="No"/>
    <s v="Travel_Rarely"/>
    <n v="1469"/>
    <x v="1"/>
    <n v="8"/>
    <n v="4"/>
    <s v="Life Sciences"/>
    <n v="1"/>
    <n v="296"/>
    <n v="2"/>
    <x v="1"/>
    <n v="81"/>
    <n v="2"/>
    <n v="3"/>
    <x v="7"/>
    <n v="2"/>
    <s v="Married"/>
    <n v="12490"/>
    <n v="15736"/>
    <n v="5"/>
    <s v="Y"/>
    <x v="1"/>
    <n v="16"/>
    <n v="3"/>
    <n v="4"/>
    <n v="80"/>
    <n v="2"/>
    <n v="16"/>
    <n v="5"/>
    <n v="1"/>
    <n v="10"/>
    <n v="9"/>
    <n v="4"/>
    <n v="7"/>
    <x v="1"/>
    <n v="1"/>
    <x v="1"/>
    <x v="2"/>
    <s v="6-10 Years"/>
    <s v="Medium"/>
    <s v="Bad"/>
  </r>
  <r>
    <x v="7"/>
    <s v="Yes"/>
    <s v="Travel_Rarely"/>
    <n v="1005"/>
    <x v="1"/>
    <n v="3"/>
    <n v="3"/>
    <s v="Technical Degree"/>
    <n v="1"/>
    <n v="297"/>
    <n v="4"/>
    <x v="0"/>
    <n v="88"/>
    <n v="3"/>
    <n v="1"/>
    <x v="1"/>
    <n v="1"/>
    <s v="Single"/>
    <n v="2657"/>
    <n v="8556"/>
    <n v="5"/>
    <s v="Y"/>
    <x v="0"/>
    <n v="11"/>
    <n v="3"/>
    <n v="3"/>
    <n v="80"/>
    <n v="0"/>
    <n v="8"/>
    <n v="5"/>
    <n v="3"/>
    <n v="5"/>
    <n v="2"/>
    <n v="0"/>
    <n v="4"/>
    <x v="0"/>
    <n v="0"/>
    <x v="2"/>
    <x v="1"/>
    <s v="2-5 Years"/>
    <s v="Low"/>
    <s v="Better"/>
  </r>
  <r>
    <x v="0"/>
    <s v="No"/>
    <s v="Travel_Rarely"/>
    <n v="896"/>
    <x v="0"/>
    <n v="6"/>
    <n v="3"/>
    <s v="Life Sciences"/>
    <n v="1"/>
    <n v="298"/>
    <n v="4"/>
    <x v="0"/>
    <n v="75"/>
    <n v="3"/>
    <n v="3"/>
    <x v="5"/>
    <n v="4"/>
    <s v="Single"/>
    <n v="13591"/>
    <n v="14674"/>
    <n v="3"/>
    <s v="Y"/>
    <x v="0"/>
    <n v="18"/>
    <n v="3"/>
    <n v="3"/>
    <n v="80"/>
    <n v="0"/>
    <n v="16"/>
    <n v="3"/>
    <n v="3"/>
    <n v="1"/>
    <n v="0"/>
    <n v="0"/>
    <n v="0"/>
    <x v="1"/>
    <n v="1"/>
    <x v="0"/>
    <x v="2"/>
    <s v="0-1 Years"/>
    <s v="Very High"/>
    <s v="Better"/>
  </r>
  <r>
    <x v="7"/>
    <s v="Yes"/>
    <s v="Travel_Frequently"/>
    <n v="334"/>
    <x v="0"/>
    <n v="26"/>
    <n v="4"/>
    <s v="Marketing"/>
    <n v="1"/>
    <n v="299"/>
    <n v="3"/>
    <x v="0"/>
    <n v="52"/>
    <n v="2"/>
    <n v="2"/>
    <x v="0"/>
    <n v="1"/>
    <s v="Single"/>
    <n v="6696"/>
    <n v="22967"/>
    <n v="5"/>
    <s v="Y"/>
    <x v="1"/>
    <n v="15"/>
    <n v="3"/>
    <n v="3"/>
    <n v="80"/>
    <n v="0"/>
    <n v="9"/>
    <n v="5"/>
    <n v="2"/>
    <n v="6"/>
    <n v="3"/>
    <n v="0"/>
    <n v="1"/>
    <x v="0"/>
    <n v="0"/>
    <x v="2"/>
    <x v="0"/>
    <s v="6-10 Years"/>
    <s v="Low"/>
    <s v="Good"/>
  </r>
  <r>
    <x v="11"/>
    <s v="Yes"/>
    <s v="Travel_Rarely"/>
    <n v="992"/>
    <x v="1"/>
    <n v="1"/>
    <n v="3"/>
    <s v="Technical Degree"/>
    <n v="1"/>
    <n v="300"/>
    <n v="3"/>
    <x v="1"/>
    <n v="85"/>
    <n v="3"/>
    <n v="1"/>
    <x v="1"/>
    <n v="3"/>
    <s v="Single"/>
    <n v="2058"/>
    <n v="19757"/>
    <n v="0"/>
    <s v="Y"/>
    <x v="1"/>
    <n v="14"/>
    <n v="3"/>
    <n v="4"/>
    <n v="80"/>
    <n v="0"/>
    <n v="7"/>
    <n v="1"/>
    <n v="2"/>
    <n v="6"/>
    <n v="2"/>
    <n v="1"/>
    <n v="5"/>
    <x v="0"/>
    <n v="0"/>
    <x v="2"/>
    <x v="1"/>
    <s v="6-10 Years"/>
    <s v="High"/>
    <s v="Good"/>
  </r>
  <r>
    <x v="28"/>
    <s v="No"/>
    <s v="Non-Travel"/>
    <n v="1052"/>
    <x v="0"/>
    <n v="6"/>
    <n v="3"/>
    <s v="Medical"/>
    <n v="1"/>
    <n v="302"/>
    <n v="4"/>
    <x v="0"/>
    <n v="57"/>
    <n v="2"/>
    <n v="3"/>
    <x v="0"/>
    <n v="4"/>
    <s v="Single"/>
    <n v="8865"/>
    <n v="16840"/>
    <n v="6"/>
    <s v="Y"/>
    <x v="1"/>
    <n v="12"/>
    <n v="3"/>
    <n v="4"/>
    <n v="80"/>
    <n v="0"/>
    <n v="23"/>
    <n v="2"/>
    <n v="3"/>
    <n v="19"/>
    <n v="7"/>
    <n v="12"/>
    <n v="8"/>
    <x v="1"/>
    <n v="1"/>
    <x v="1"/>
    <x v="2"/>
    <s v="10+ Years"/>
    <s v="Very High"/>
    <s v="Better"/>
  </r>
  <r>
    <x v="33"/>
    <s v="No"/>
    <s v="Travel_Rarely"/>
    <n v="1147"/>
    <x v="0"/>
    <n v="3"/>
    <n v="3"/>
    <s v="Marketing"/>
    <n v="1"/>
    <n v="303"/>
    <n v="4"/>
    <x v="0"/>
    <n v="52"/>
    <n v="3"/>
    <n v="2"/>
    <x v="0"/>
    <n v="1"/>
    <s v="Married"/>
    <n v="5940"/>
    <n v="17011"/>
    <n v="2"/>
    <s v="Y"/>
    <x v="1"/>
    <n v="14"/>
    <n v="3"/>
    <n v="4"/>
    <n v="80"/>
    <n v="1"/>
    <n v="16"/>
    <n v="4"/>
    <n v="3"/>
    <n v="6"/>
    <n v="2"/>
    <n v="0"/>
    <n v="5"/>
    <x v="1"/>
    <n v="1"/>
    <x v="1"/>
    <x v="0"/>
    <s v="6-10 Years"/>
    <s v="Low"/>
    <s v="Better"/>
  </r>
  <r>
    <x v="9"/>
    <s v="No"/>
    <s v="Travel_Rarely"/>
    <n v="1396"/>
    <x v="1"/>
    <n v="5"/>
    <n v="2"/>
    <s v="Life Sciences"/>
    <n v="1"/>
    <n v="304"/>
    <n v="4"/>
    <x v="1"/>
    <n v="62"/>
    <n v="3"/>
    <n v="2"/>
    <x v="2"/>
    <n v="2"/>
    <s v="Single"/>
    <n v="5914"/>
    <n v="9945"/>
    <n v="8"/>
    <s v="Y"/>
    <x v="1"/>
    <n v="16"/>
    <n v="3"/>
    <n v="4"/>
    <n v="80"/>
    <n v="0"/>
    <n v="16"/>
    <n v="3"/>
    <n v="4"/>
    <n v="13"/>
    <n v="11"/>
    <n v="3"/>
    <n v="7"/>
    <x v="1"/>
    <n v="1"/>
    <x v="0"/>
    <x v="0"/>
    <s v="10+ Years"/>
    <s v="Medium"/>
    <s v="Best"/>
  </r>
  <r>
    <x v="3"/>
    <s v="No"/>
    <s v="Travel_Rarely"/>
    <n v="147"/>
    <x v="1"/>
    <n v="4"/>
    <n v="4"/>
    <s v="Medical"/>
    <n v="1"/>
    <n v="305"/>
    <n v="3"/>
    <x v="0"/>
    <n v="47"/>
    <n v="2"/>
    <n v="1"/>
    <x v="1"/>
    <n v="2"/>
    <s v="Married"/>
    <n v="2622"/>
    <n v="13248"/>
    <n v="6"/>
    <s v="Y"/>
    <x v="1"/>
    <n v="21"/>
    <n v="4"/>
    <n v="4"/>
    <n v="80"/>
    <n v="0"/>
    <n v="7"/>
    <n v="3"/>
    <n v="3"/>
    <n v="3"/>
    <n v="2"/>
    <n v="1"/>
    <n v="1"/>
    <x v="1"/>
    <n v="1"/>
    <x v="2"/>
    <x v="1"/>
    <s v="2-5 Years"/>
    <s v="Medium"/>
    <s v="Better"/>
  </r>
  <r>
    <x v="2"/>
    <s v="No"/>
    <s v="Travel_Frequently"/>
    <n v="663"/>
    <x v="1"/>
    <n v="11"/>
    <n v="3"/>
    <s v="Other"/>
    <n v="1"/>
    <n v="306"/>
    <n v="2"/>
    <x v="1"/>
    <n v="47"/>
    <n v="3"/>
    <n v="3"/>
    <x v="7"/>
    <n v="4"/>
    <s v="Divorced"/>
    <n v="12185"/>
    <n v="10056"/>
    <n v="1"/>
    <s v="Y"/>
    <x v="0"/>
    <n v="14"/>
    <n v="3"/>
    <n v="3"/>
    <n v="80"/>
    <n v="3"/>
    <n v="10"/>
    <n v="1"/>
    <n v="3"/>
    <n v="10"/>
    <n v="8"/>
    <n v="0"/>
    <n v="7"/>
    <x v="1"/>
    <n v="1"/>
    <x v="0"/>
    <x v="2"/>
    <s v="6-10 Years"/>
    <s v="Very High"/>
    <s v="Better"/>
  </r>
  <r>
    <x v="8"/>
    <s v="No"/>
    <s v="Travel_Rarely"/>
    <n v="119"/>
    <x v="0"/>
    <n v="3"/>
    <n v="3"/>
    <s v="Life Sciences"/>
    <n v="1"/>
    <n v="307"/>
    <n v="1"/>
    <x v="1"/>
    <n v="76"/>
    <n v="3"/>
    <n v="3"/>
    <x v="0"/>
    <n v="3"/>
    <s v="Divorced"/>
    <n v="10609"/>
    <n v="9647"/>
    <n v="0"/>
    <s v="Y"/>
    <x v="1"/>
    <n v="12"/>
    <n v="3"/>
    <n v="3"/>
    <n v="80"/>
    <n v="2"/>
    <n v="17"/>
    <n v="6"/>
    <n v="2"/>
    <n v="16"/>
    <n v="10"/>
    <n v="5"/>
    <n v="13"/>
    <x v="1"/>
    <n v="1"/>
    <x v="0"/>
    <x v="2"/>
    <s v="10+ Years"/>
    <s v="High"/>
    <s v="Good"/>
  </r>
  <r>
    <x v="12"/>
    <s v="No"/>
    <s v="Non-Travel"/>
    <n v="979"/>
    <x v="1"/>
    <n v="1"/>
    <n v="4"/>
    <s v="Medical"/>
    <n v="1"/>
    <n v="308"/>
    <n v="3"/>
    <x v="1"/>
    <n v="90"/>
    <n v="1"/>
    <n v="2"/>
    <x v="3"/>
    <n v="3"/>
    <s v="Married"/>
    <n v="4345"/>
    <n v="4381"/>
    <n v="0"/>
    <s v="Y"/>
    <x v="1"/>
    <n v="12"/>
    <n v="3"/>
    <n v="4"/>
    <n v="80"/>
    <n v="1"/>
    <n v="6"/>
    <n v="2"/>
    <n v="3"/>
    <n v="5"/>
    <n v="4"/>
    <n v="1"/>
    <n v="4"/>
    <x v="1"/>
    <n v="1"/>
    <x v="2"/>
    <x v="0"/>
    <s v="2-5 Years"/>
    <s v="High"/>
    <s v="Better"/>
  </r>
  <r>
    <x v="6"/>
    <s v="No"/>
    <s v="Travel_Rarely"/>
    <n v="142"/>
    <x v="1"/>
    <n v="3"/>
    <n v="3"/>
    <s v="Life Sciences"/>
    <n v="1"/>
    <n v="309"/>
    <n v="3"/>
    <x v="1"/>
    <n v="70"/>
    <n v="2"/>
    <n v="1"/>
    <x v="1"/>
    <n v="4"/>
    <s v="Married"/>
    <n v="2177"/>
    <n v="8456"/>
    <n v="3"/>
    <s v="Y"/>
    <x v="1"/>
    <n v="17"/>
    <n v="3"/>
    <n v="1"/>
    <n v="80"/>
    <n v="1"/>
    <n v="7"/>
    <n v="6"/>
    <n v="3"/>
    <n v="1"/>
    <n v="0"/>
    <n v="0"/>
    <n v="0"/>
    <x v="1"/>
    <n v="1"/>
    <x v="3"/>
    <x v="1"/>
    <s v="0-1 Years"/>
    <s v="Very High"/>
    <s v="Better"/>
  </r>
  <r>
    <x v="2"/>
    <s v="No"/>
    <s v="Travel_Frequently"/>
    <n v="319"/>
    <x v="0"/>
    <n v="4"/>
    <n v="4"/>
    <s v="Marketing"/>
    <n v="1"/>
    <n v="311"/>
    <n v="1"/>
    <x v="1"/>
    <n v="41"/>
    <n v="3"/>
    <n v="1"/>
    <x v="6"/>
    <n v="4"/>
    <s v="Divorced"/>
    <n v="2793"/>
    <n v="2539"/>
    <n v="4"/>
    <s v="Y"/>
    <x v="1"/>
    <n v="17"/>
    <n v="3"/>
    <n v="3"/>
    <n v="80"/>
    <n v="1"/>
    <n v="13"/>
    <n v="2"/>
    <n v="3"/>
    <n v="9"/>
    <n v="8"/>
    <n v="5"/>
    <n v="8"/>
    <x v="1"/>
    <n v="1"/>
    <x v="0"/>
    <x v="1"/>
    <s v="6-10 Years"/>
    <s v="Very High"/>
    <s v="Better"/>
  </r>
  <r>
    <x v="11"/>
    <s v="No"/>
    <s v="Travel_Frequently"/>
    <n v="1413"/>
    <x v="0"/>
    <n v="1"/>
    <n v="1"/>
    <s v="Medical"/>
    <n v="1"/>
    <n v="312"/>
    <n v="2"/>
    <x v="0"/>
    <n v="42"/>
    <n v="3"/>
    <n v="3"/>
    <x v="0"/>
    <n v="4"/>
    <s v="Married"/>
    <n v="7918"/>
    <n v="6599"/>
    <n v="1"/>
    <s v="Y"/>
    <x v="1"/>
    <n v="14"/>
    <n v="3"/>
    <n v="4"/>
    <n v="80"/>
    <n v="1"/>
    <n v="11"/>
    <n v="5"/>
    <n v="3"/>
    <n v="11"/>
    <n v="10"/>
    <n v="4"/>
    <n v="1"/>
    <x v="1"/>
    <n v="1"/>
    <x v="2"/>
    <x v="2"/>
    <s v="10+ Years"/>
    <s v="Very High"/>
    <s v="Better"/>
  </r>
  <r>
    <x v="10"/>
    <s v="No"/>
    <s v="Travel_Frequently"/>
    <n v="944"/>
    <x v="0"/>
    <n v="1"/>
    <n v="3"/>
    <s v="Marketing"/>
    <n v="1"/>
    <n v="314"/>
    <n v="3"/>
    <x v="0"/>
    <n v="92"/>
    <n v="3"/>
    <n v="3"/>
    <x v="0"/>
    <n v="3"/>
    <s v="Single"/>
    <n v="8789"/>
    <n v="9096"/>
    <n v="1"/>
    <s v="Y"/>
    <x v="1"/>
    <n v="14"/>
    <n v="3"/>
    <n v="1"/>
    <n v="80"/>
    <n v="0"/>
    <n v="10"/>
    <n v="3"/>
    <n v="4"/>
    <n v="10"/>
    <n v="7"/>
    <n v="0"/>
    <n v="8"/>
    <x v="1"/>
    <n v="1"/>
    <x v="0"/>
    <x v="2"/>
    <s v="6-10 Years"/>
    <s v="High"/>
    <s v="Best"/>
  </r>
  <r>
    <x v="11"/>
    <s v="Yes"/>
    <s v="Travel_Rarely"/>
    <n v="896"/>
    <x v="1"/>
    <n v="18"/>
    <n v="1"/>
    <s v="Medical"/>
    <n v="1"/>
    <n v="315"/>
    <n v="3"/>
    <x v="1"/>
    <n v="86"/>
    <n v="2"/>
    <n v="1"/>
    <x v="1"/>
    <n v="4"/>
    <s v="Single"/>
    <n v="2389"/>
    <n v="14961"/>
    <n v="1"/>
    <s v="Y"/>
    <x v="0"/>
    <n v="13"/>
    <n v="3"/>
    <n v="3"/>
    <n v="80"/>
    <n v="0"/>
    <n v="4"/>
    <n v="3"/>
    <n v="2"/>
    <n v="4"/>
    <n v="3"/>
    <n v="0"/>
    <n v="1"/>
    <x v="0"/>
    <n v="0"/>
    <x v="2"/>
    <x v="1"/>
    <s v="2-5 Years"/>
    <s v="Very High"/>
    <s v="Good"/>
  </r>
  <r>
    <x v="39"/>
    <s v="No"/>
    <s v="Travel_Rarely"/>
    <n v="1323"/>
    <x v="1"/>
    <n v="2"/>
    <n v="3"/>
    <s v="Life Sciences"/>
    <n v="1"/>
    <n v="316"/>
    <n v="3"/>
    <x v="0"/>
    <n v="89"/>
    <n v="2"/>
    <n v="1"/>
    <x v="2"/>
    <n v="4"/>
    <s v="Single"/>
    <n v="3212"/>
    <n v="3300"/>
    <n v="7"/>
    <s v="Y"/>
    <x v="1"/>
    <n v="15"/>
    <n v="3"/>
    <n v="2"/>
    <n v="80"/>
    <n v="0"/>
    <n v="6"/>
    <n v="3"/>
    <n v="2"/>
    <n v="2"/>
    <n v="2"/>
    <n v="2"/>
    <n v="2"/>
    <x v="1"/>
    <n v="1"/>
    <x v="1"/>
    <x v="0"/>
    <s v="2-5 Years"/>
    <s v="Very High"/>
    <s v="Good"/>
  </r>
  <r>
    <x v="19"/>
    <s v="No"/>
    <s v="Travel_Rarely"/>
    <n v="532"/>
    <x v="1"/>
    <n v="4"/>
    <n v="2"/>
    <s v="Technical Degree"/>
    <n v="1"/>
    <n v="319"/>
    <n v="3"/>
    <x v="1"/>
    <n v="58"/>
    <n v="3"/>
    <n v="5"/>
    <x v="5"/>
    <n v="4"/>
    <s v="Married"/>
    <n v="19232"/>
    <n v="4933"/>
    <n v="1"/>
    <s v="Y"/>
    <x v="1"/>
    <n v="11"/>
    <n v="3"/>
    <n v="4"/>
    <n v="80"/>
    <n v="0"/>
    <n v="22"/>
    <n v="3"/>
    <n v="3"/>
    <n v="22"/>
    <n v="17"/>
    <n v="11"/>
    <n v="15"/>
    <x v="1"/>
    <n v="1"/>
    <x v="0"/>
    <x v="2"/>
    <s v="10+ Years"/>
    <s v="Very High"/>
    <s v="Better"/>
  </r>
  <r>
    <x v="6"/>
    <s v="No"/>
    <s v="Travel_Rarely"/>
    <n v="818"/>
    <x v="2"/>
    <n v="6"/>
    <n v="2"/>
    <s v="Medical"/>
    <n v="1"/>
    <n v="321"/>
    <n v="2"/>
    <x v="1"/>
    <n v="52"/>
    <n v="3"/>
    <n v="1"/>
    <x v="8"/>
    <n v="3"/>
    <s v="Married"/>
    <n v="2267"/>
    <n v="25657"/>
    <n v="8"/>
    <s v="Y"/>
    <x v="1"/>
    <n v="17"/>
    <n v="3"/>
    <n v="4"/>
    <n v="80"/>
    <n v="0"/>
    <n v="7"/>
    <n v="2"/>
    <n v="2"/>
    <n v="2"/>
    <n v="2"/>
    <n v="2"/>
    <n v="2"/>
    <x v="1"/>
    <n v="1"/>
    <x v="3"/>
    <x v="1"/>
    <s v="2-5 Years"/>
    <s v="High"/>
    <s v="Good"/>
  </r>
  <r>
    <x v="24"/>
    <s v="No"/>
    <s v="Travel_Rarely"/>
    <n v="854"/>
    <x v="0"/>
    <n v="1"/>
    <n v="4"/>
    <s v="Medical"/>
    <n v="1"/>
    <n v="323"/>
    <n v="4"/>
    <x v="0"/>
    <n v="68"/>
    <n v="3"/>
    <n v="5"/>
    <x v="5"/>
    <n v="4"/>
    <s v="Divorced"/>
    <n v="19517"/>
    <n v="24118"/>
    <n v="3"/>
    <s v="Y"/>
    <x v="1"/>
    <n v="11"/>
    <n v="3"/>
    <n v="3"/>
    <n v="80"/>
    <n v="1"/>
    <n v="32"/>
    <n v="3"/>
    <n v="2"/>
    <n v="7"/>
    <n v="0"/>
    <n v="0"/>
    <n v="6"/>
    <x v="1"/>
    <n v="1"/>
    <x v="1"/>
    <x v="2"/>
    <s v="6-10 Years"/>
    <s v="Very High"/>
    <s v="Good"/>
  </r>
  <r>
    <x v="3"/>
    <s v="Yes"/>
    <s v="Travel_Rarely"/>
    <n v="813"/>
    <x v="1"/>
    <n v="14"/>
    <n v="3"/>
    <s v="Medical"/>
    <n v="1"/>
    <n v="325"/>
    <n v="3"/>
    <x v="1"/>
    <n v="58"/>
    <n v="3"/>
    <n v="1"/>
    <x v="2"/>
    <n v="4"/>
    <s v="Married"/>
    <n v="2436"/>
    <n v="22149"/>
    <n v="5"/>
    <s v="Y"/>
    <x v="0"/>
    <n v="13"/>
    <n v="3"/>
    <n v="3"/>
    <n v="80"/>
    <n v="1"/>
    <n v="8"/>
    <n v="2"/>
    <n v="1"/>
    <n v="5"/>
    <n v="4"/>
    <n v="0"/>
    <n v="4"/>
    <x v="0"/>
    <n v="0"/>
    <x v="2"/>
    <x v="1"/>
    <s v="2-5 Years"/>
    <s v="Very High"/>
    <s v="Bad"/>
  </r>
  <r>
    <x v="23"/>
    <s v="No"/>
    <s v="Travel_Rarely"/>
    <n v="1034"/>
    <x v="0"/>
    <n v="16"/>
    <n v="3"/>
    <s v="Marketing"/>
    <n v="1"/>
    <n v="327"/>
    <n v="4"/>
    <x v="0"/>
    <n v="80"/>
    <n v="3"/>
    <n v="4"/>
    <x v="5"/>
    <n v="4"/>
    <s v="Married"/>
    <n v="16064"/>
    <n v="7744"/>
    <n v="5"/>
    <s v="Y"/>
    <x v="0"/>
    <n v="22"/>
    <n v="4"/>
    <n v="3"/>
    <n v="80"/>
    <n v="1"/>
    <n v="22"/>
    <n v="3"/>
    <n v="3"/>
    <n v="17"/>
    <n v="13"/>
    <n v="1"/>
    <n v="9"/>
    <x v="1"/>
    <n v="1"/>
    <x v="0"/>
    <x v="2"/>
    <s v="10+ Years"/>
    <s v="Very High"/>
    <s v="Better"/>
  </r>
  <r>
    <x v="3"/>
    <s v="Yes"/>
    <s v="Travel_Rarely"/>
    <n v="465"/>
    <x v="1"/>
    <n v="2"/>
    <n v="2"/>
    <s v="Life Sciences"/>
    <n v="1"/>
    <n v="328"/>
    <n v="1"/>
    <x v="0"/>
    <n v="39"/>
    <n v="3"/>
    <n v="1"/>
    <x v="2"/>
    <n v="1"/>
    <s v="Married"/>
    <n v="2707"/>
    <n v="21509"/>
    <n v="7"/>
    <s v="Y"/>
    <x v="1"/>
    <n v="20"/>
    <n v="4"/>
    <n v="1"/>
    <n v="80"/>
    <n v="0"/>
    <n v="13"/>
    <n v="3"/>
    <n v="4"/>
    <n v="9"/>
    <n v="7"/>
    <n v="1"/>
    <n v="7"/>
    <x v="0"/>
    <n v="0"/>
    <x v="2"/>
    <x v="1"/>
    <s v="6-10 Years"/>
    <s v="Low"/>
    <s v="Best"/>
  </r>
  <r>
    <x v="39"/>
    <s v="No"/>
    <s v="Non-Travel"/>
    <n v="771"/>
    <x v="0"/>
    <n v="2"/>
    <n v="4"/>
    <s v="Life Sciences"/>
    <n v="1"/>
    <n v="329"/>
    <n v="1"/>
    <x v="1"/>
    <n v="79"/>
    <n v="2"/>
    <n v="5"/>
    <x v="5"/>
    <n v="3"/>
    <s v="Single"/>
    <n v="19068"/>
    <n v="21030"/>
    <n v="1"/>
    <s v="Y"/>
    <x v="0"/>
    <n v="18"/>
    <n v="3"/>
    <n v="4"/>
    <n v="80"/>
    <n v="0"/>
    <n v="33"/>
    <n v="2"/>
    <n v="4"/>
    <n v="33"/>
    <n v="7"/>
    <n v="15"/>
    <n v="12"/>
    <x v="1"/>
    <n v="1"/>
    <x v="1"/>
    <x v="2"/>
    <s v="10+ Years"/>
    <s v="High"/>
    <s v="Best"/>
  </r>
  <r>
    <x v="5"/>
    <s v="No"/>
    <s v="Travel_Rarely"/>
    <n v="1401"/>
    <x v="0"/>
    <n v="4"/>
    <n v="2"/>
    <s v="Life Sciences"/>
    <n v="1"/>
    <n v="330"/>
    <n v="3"/>
    <x v="0"/>
    <n v="56"/>
    <n v="3"/>
    <n v="1"/>
    <x v="6"/>
    <n v="2"/>
    <s v="Married"/>
    <n v="3931"/>
    <n v="20990"/>
    <n v="2"/>
    <s v="Y"/>
    <x v="1"/>
    <n v="11"/>
    <n v="3"/>
    <n v="1"/>
    <n v="80"/>
    <n v="1"/>
    <n v="6"/>
    <n v="5"/>
    <n v="3"/>
    <n v="4"/>
    <n v="3"/>
    <n v="1"/>
    <n v="2"/>
    <x v="1"/>
    <n v="1"/>
    <x v="2"/>
    <x v="0"/>
    <s v="2-5 Years"/>
    <s v="Medium"/>
    <s v="Better"/>
  </r>
  <r>
    <x v="5"/>
    <s v="Yes"/>
    <s v="Travel_Rarely"/>
    <n v="515"/>
    <x v="1"/>
    <n v="1"/>
    <n v="3"/>
    <s v="Life Sciences"/>
    <n v="1"/>
    <n v="331"/>
    <n v="4"/>
    <x v="1"/>
    <n v="62"/>
    <n v="2"/>
    <n v="1"/>
    <x v="2"/>
    <n v="3"/>
    <s v="Single"/>
    <n v="3730"/>
    <n v="9571"/>
    <n v="0"/>
    <s v="Y"/>
    <x v="0"/>
    <n v="14"/>
    <n v="3"/>
    <n v="4"/>
    <n v="80"/>
    <n v="0"/>
    <n v="4"/>
    <n v="2"/>
    <n v="1"/>
    <n v="3"/>
    <n v="2"/>
    <n v="1"/>
    <n v="2"/>
    <x v="0"/>
    <n v="0"/>
    <x v="2"/>
    <x v="0"/>
    <s v="2-5 Years"/>
    <s v="High"/>
    <s v="Bad"/>
  </r>
  <r>
    <x v="22"/>
    <s v="No"/>
    <s v="Travel_Rarely"/>
    <n v="1431"/>
    <x v="1"/>
    <n v="1"/>
    <n v="4"/>
    <s v="Medical"/>
    <n v="1"/>
    <n v="332"/>
    <n v="3"/>
    <x v="0"/>
    <n v="96"/>
    <n v="3"/>
    <n v="1"/>
    <x v="2"/>
    <n v="3"/>
    <s v="Divorced"/>
    <n v="2232"/>
    <n v="15417"/>
    <n v="7"/>
    <s v="Y"/>
    <x v="1"/>
    <n v="14"/>
    <n v="3"/>
    <n v="3"/>
    <n v="80"/>
    <n v="3"/>
    <n v="7"/>
    <n v="1"/>
    <n v="3"/>
    <n v="3"/>
    <n v="2"/>
    <n v="1"/>
    <n v="2"/>
    <x v="1"/>
    <n v="1"/>
    <x v="0"/>
    <x v="1"/>
    <s v="2-5 Years"/>
    <s v="High"/>
    <s v="Better"/>
  </r>
  <r>
    <x v="5"/>
    <s v="No"/>
    <s v="Non-Travel"/>
    <n v="976"/>
    <x v="0"/>
    <n v="26"/>
    <n v="4"/>
    <s v="Marketing"/>
    <n v="1"/>
    <n v="333"/>
    <n v="3"/>
    <x v="1"/>
    <n v="100"/>
    <n v="3"/>
    <n v="2"/>
    <x v="0"/>
    <n v="4"/>
    <s v="Married"/>
    <n v="4465"/>
    <n v="12069"/>
    <n v="0"/>
    <s v="Y"/>
    <x v="1"/>
    <n v="18"/>
    <n v="3"/>
    <n v="1"/>
    <n v="80"/>
    <n v="0"/>
    <n v="4"/>
    <n v="2"/>
    <n v="3"/>
    <n v="3"/>
    <n v="2"/>
    <n v="2"/>
    <n v="2"/>
    <x v="1"/>
    <n v="1"/>
    <x v="2"/>
    <x v="0"/>
    <s v="2-5 Years"/>
    <s v="Very High"/>
    <s v="Better"/>
  </r>
  <r>
    <x v="0"/>
    <s v="No"/>
    <s v="Travel_Rarely"/>
    <n v="1411"/>
    <x v="1"/>
    <n v="19"/>
    <n v="2"/>
    <s v="Life Sciences"/>
    <n v="1"/>
    <n v="334"/>
    <n v="3"/>
    <x v="1"/>
    <n v="36"/>
    <n v="3"/>
    <n v="2"/>
    <x v="1"/>
    <n v="1"/>
    <s v="Divorced"/>
    <n v="3072"/>
    <n v="19877"/>
    <n v="2"/>
    <s v="Y"/>
    <x v="1"/>
    <n v="16"/>
    <n v="3"/>
    <n v="1"/>
    <n v="80"/>
    <n v="2"/>
    <n v="17"/>
    <n v="2"/>
    <n v="2"/>
    <n v="1"/>
    <n v="0"/>
    <n v="0"/>
    <n v="0"/>
    <x v="1"/>
    <n v="1"/>
    <x v="0"/>
    <x v="0"/>
    <s v="0-1 Years"/>
    <s v="Low"/>
    <s v="Good"/>
  </r>
  <r>
    <x v="32"/>
    <s v="No"/>
    <s v="Travel_Rarely"/>
    <n v="1300"/>
    <x v="1"/>
    <n v="24"/>
    <n v="2"/>
    <s v="Technical Degree"/>
    <n v="1"/>
    <n v="335"/>
    <n v="1"/>
    <x v="1"/>
    <n v="62"/>
    <n v="3"/>
    <n v="2"/>
    <x v="1"/>
    <n v="4"/>
    <s v="Divorced"/>
    <n v="3319"/>
    <n v="24447"/>
    <n v="1"/>
    <s v="Y"/>
    <x v="1"/>
    <n v="17"/>
    <n v="3"/>
    <n v="1"/>
    <n v="80"/>
    <n v="2"/>
    <n v="9"/>
    <n v="3"/>
    <n v="3"/>
    <n v="9"/>
    <n v="8"/>
    <n v="4"/>
    <n v="7"/>
    <x v="1"/>
    <n v="1"/>
    <x v="0"/>
    <x v="0"/>
    <s v="6-10 Years"/>
    <s v="Very High"/>
    <s v="Better"/>
  </r>
  <r>
    <x v="28"/>
    <s v="No"/>
    <s v="Travel_Rarely"/>
    <n v="252"/>
    <x v="1"/>
    <n v="1"/>
    <n v="3"/>
    <s v="Other"/>
    <n v="1"/>
    <n v="336"/>
    <n v="3"/>
    <x v="1"/>
    <n v="70"/>
    <n v="4"/>
    <n v="5"/>
    <x v="5"/>
    <n v="4"/>
    <s v="Married"/>
    <n v="19202"/>
    <n v="15970"/>
    <n v="0"/>
    <s v="Y"/>
    <x v="1"/>
    <n v="11"/>
    <n v="3"/>
    <n v="3"/>
    <n v="80"/>
    <n v="1"/>
    <n v="25"/>
    <n v="2"/>
    <n v="3"/>
    <n v="24"/>
    <n v="0"/>
    <n v="1"/>
    <n v="7"/>
    <x v="1"/>
    <n v="1"/>
    <x v="1"/>
    <x v="2"/>
    <s v="10+ Years"/>
    <s v="Very High"/>
    <s v="Better"/>
  </r>
  <r>
    <x v="12"/>
    <s v="No"/>
    <s v="Travel_Frequently"/>
    <n v="1327"/>
    <x v="1"/>
    <n v="3"/>
    <n v="4"/>
    <s v="Medical"/>
    <n v="1"/>
    <n v="337"/>
    <n v="2"/>
    <x v="1"/>
    <n v="73"/>
    <n v="3"/>
    <n v="3"/>
    <x v="7"/>
    <n v="3"/>
    <s v="Divorced"/>
    <n v="13675"/>
    <n v="13523"/>
    <n v="9"/>
    <s v="Y"/>
    <x v="1"/>
    <n v="12"/>
    <n v="3"/>
    <n v="1"/>
    <n v="80"/>
    <n v="1"/>
    <n v="9"/>
    <n v="3"/>
    <n v="3"/>
    <n v="2"/>
    <n v="2"/>
    <n v="2"/>
    <n v="2"/>
    <x v="1"/>
    <n v="1"/>
    <x v="2"/>
    <x v="2"/>
    <s v="2-5 Years"/>
    <s v="High"/>
    <s v="Better"/>
  </r>
  <r>
    <x v="3"/>
    <s v="No"/>
    <s v="Travel_Rarely"/>
    <n v="832"/>
    <x v="1"/>
    <n v="5"/>
    <n v="4"/>
    <s v="Life Sciences"/>
    <n v="1"/>
    <n v="338"/>
    <n v="3"/>
    <x v="0"/>
    <n v="63"/>
    <n v="2"/>
    <n v="1"/>
    <x v="1"/>
    <n v="4"/>
    <s v="Married"/>
    <n v="2911"/>
    <n v="14776"/>
    <n v="1"/>
    <s v="Y"/>
    <x v="1"/>
    <n v="13"/>
    <n v="3"/>
    <n v="3"/>
    <n v="80"/>
    <n v="1"/>
    <n v="2"/>
    <n v="2"/>
    <n v="2"/>
    <n v="2"/>
    <n v="2"/>
    <n v="0"/>
    <n v="2"/>
    <x v="1"/>
    <n v="1"/>
    <x v="2"/>
    <x v="1"/>
    <s v="2-5 Years"/>
    <s v="Very High"/>
    <s v="Good"/>
  </r>
  <r>
    <x v="13"/>
    <s v="No"/>
    <s v="Travel_Rarely"/>
    <n v="470"/>
    <x v="1"/>
    <n v="2"/>
    <n v="4"/>
    <s v="Life Sciences"/>
    <n v="1"/>
    <n v="339"/>
    <n v="4"/>
    <x v="1"/>
    <n v="84"/>
    <n v="2"/>
    <n v="2"/>
    <x v="3"/>
    <n v="1"/>
    <s v="Married"/>
    <n v="5957"/>
    <n v="23687"/>
    <n v="6"/>
    <s v="Y"/>
    <x v="1"/>
    <n v="13"/>
    <n v="3"/>
    <n v="2"/>
    <n v="80"/>
    <n v="1"/>
    <n v="13"/>
    <n v="3"/>
    <n v="3"/>
    <n v="11"/>
    <n v="9"/>
    <n v="5"/>
    <n v="9"/>
    <x v="1"/>
    <n v="1"/>
    <x v="2"/>
    <x v="0"/>
    <s v="10+ Years"/>
    <s v="Low"/>
    <s v="Better"/>
  </r>
  <r>
    <x v="2"/>
    <s v="No"/>
    <s v="Travel_Rarely"/>
    <n v="1017"/>
    <x v="1"/>
    <n v="1"/>
    <n v="2"/>
    <s v="Medical"/>
    <n v="1"/>
    <n v="340"/>
    <n v="3"/>
    <x v="0"/>
    <n v="83"/>
    <n v="2"/>
    <n v="1"/>
    <x v="1"/>
    <n v="1"/>
    <s v="Married"/>
    <n v="3920"/>
    <n v="18697"/>
    <n v="2"/>
    <s v="Y"/>
    <x v="1"/>
    <n v="14"/>
    <n v="3"/>
    <n v="1"/>
    <n v="80"/>
    <n v="1"/>
    <n v="17"/>
    <n v="2"/>
    <n v="2"/>
    <n v="3"/>
    <n v="1"/>
    <n v="0"/>
    <n v="2"/>
    <x v="1"/>
    <n v="1"/>
    <x v="0"/>
    <x v="0"/>
    <s v="2-5 Years"/>
    <s v="Low"/>
    <s v="Good"/>
  </r>
  <r>
    <x v="28"/>
    <s v="No"/>
    <s v="Travel_Frequently"/>
    <n v="1199"/>
    <x v="1"/>
    <n v="7"/>
    <n v="4"/>
    <s v="Life Sciences"/>
    <n v="1"/>
    <n v="341"/>
    <n v="1"/>
    <x v="1"/>
    <n v="77"/>
    <n v="4"/>
    <n v="2"/>
    <x v="3"/>
    <n v="3"/>
    <s v="Married"/>
    <n v="6434"/>
    <n v="5118"/>
    <n v="4"/>
    <s v="Y"/>
    <x v="1"/>
    <n v="17"/>
    <n v="3"/>
    <n v="4"/>
    <n v="80"/>
    <n v="1"/>
    <n v="9"/>
    <n v="1"/>
    <n v="3"/>
    <n v="3"/>
    <n v="2"/>
    <n v="0"/>
    <n v="2"/>
    <x v="1"/>
    <n v="1"/>
    <x v="1"/>
    <x v="0"/>
    <s v="2-5 Years"/>
    <s v="High"/>
    <s v="Better"/>
  </r>
  <r>
    <x v="2"/>
    <s v="Yes"/>
    <s v="Travel_Frequently"/>
    <n v="504"/>
    <x v="1"/>
    <n v="10"/>
    <n v="3"/>
    <s v="Medical"/>
    <n v="1"/>
    <n v="342"/>
    <n v="1"/>
    <x v="1"/>
    <n v="61"/>
    <n v="3"/>
    <n v="3"/>
    <x v="3"/>
    <n v="3"/>
    <s v="Divorced"/>
    <n v="10048"/>
    <n v="22573"/>
    <n v="6"/>
    <s v="Y"/>
    <x v="1"/>
    <n v="11"/>
    <n v="3"/>
    <n v="2"/>
    <n v="80"/>
    <n v="2"/>
    <n v="17"/>
    <n v="5"/>
    <n v="3"/>
    <n v="1"/>
    <n v="0"/>
    <n v="0"/>
    <n v="0"/>
    <x v="0"/>
    <n v="0"/>
    <x v="0"/>
    <x v="2"/>
    <s v="0-1 Years"/>
    <s v="High"/>
    <s v="Better"/>
  </r>
  <r>
    <x v="22"/>
    <s v="No"/>
    <s v="Travel_Frequently"/>
    <n v="505"/>
    <x v="1"/>
    <n v="2"/>
    <n v="4"/>
    <s v="Technical Degree"/>
    <n v="1"/>
    <n v="343"/>
    <n v="3"/>
    <x v="0"/>
    <n v="64"/>
    <n v="3"/>
    <n v="3"/>
    <x v="4"/>
    <n v="3"/>
    <s v="Single"/>
    <n v="10938"/>
    <n v="6420"/>
    <n v="0"/>
    <s v="Y"/>
    <x v="1"/>
    <n v="25"/>
    <n v="4"/>
    <n v="4"/>
    <n v="80"/>
    <n v="0"/>
    <n v="20"/>
    <n v="1"/>
    <n v="3"/>
    <n v="19"/>
    <n v="6"/>
    <n v="11"/>
    <n v="8"/>
    <x v="1"/>
    <n v="1"/>
    <x v="0"/>
    <x v="2"/>
    <s v="10+ Years"/>
    <s v="High"/>
    <s v="Better"/>
  </r>
  <r>
    <x v="11"/>
    <s v="No"/>
    <s v="Travel_Rarely"/>
    <n v="665"/>
    <x v="1"/>
    <n v="15"/>
    <n v="3"/>
    <s v="Life Sciences"/>
    <n v="1"/>
    <n v="346"/>
    <n v="3"/>
    <x v="1"/>
    <n v="60"/>
    <n v="3"/>
    <n v="1"/>
    <x v="1"/>
    <n v="4"/>
    <s v="Single"/>
    <n v="2340"/>
    <n v="22673"/>
    <n v="1"/>
    <s v="Y"/>
    <x v="1"/>
    <n v="19"/>
    <n v="3"/>
    <n v="1"/>
    <n v="80"/>
    <n v="0"/>
    <n v="6"/>
    <n v="1"/>
    <n v="3"/>
    <n v="6"/>
    <n v="5"/>
    <n v="1"/>
    <n v="5"/>
    <x v="1"/>
    <n v="1"/>
    <x v="2"/>
    <x v="1"/>
    <s v="6-10 Years"/>
    <s v="Very High"/>
    <s v="Better"/>
  </r>
  <r>
    <x v="19"/>
    <s v="No"/>
    <s v="Travel_Rarely"/>
    <n v="916"/>
    <x v="1"/>
    <n v="17"/>
    <n v="2"/>
    <s v="Life Sciences"/>
    <n v="1"/>
    <n v="347"/>
    <n v="4"/>
    <x v="0"/>
    <n v="82"/>
    <n v="4"/>
    <n v="2"/>
    <x v="1"/>
    <n v="1"/>
    <s v="Single"/>
    <n v="6545"/>
    <n v="23016"/>
    <n v="3"/>
    <s v="Y"/>
    <x v="0"/>
    <n v="13"/>
    <n v="3"/>
    <n v="3"/>
    <n v="80"/>
    <n v="0"/>
    <n v="10"/>
    <n v="1"/>
    <n v="3"/>
    <n v="3"/>
    <n v="2"/>
    <n v="0"/>
    <n v="2"/>
    <x v="1"/>
    <n v="1"/>
    <x v="0"/>
    <x v="0"/>
    <s v="2-5 Years"/>
    <s v="Low"/>
    <s v="Better"/>
  </r>
  <r>
    <x v="11"/>
    <s v="No"/>
    <s v="Travel_Rarely"/>
    <n v="1247"/>
    <x v="0"/>
    <n v="20"/>
    <n v="2"/>
    <s v="Marketing"/>
    <n v="1"/>
    <n v="349"/>
    <n v="4"/>
    <x v="1"/>
    <n v="45"/>
    <n v="3"/>
    <n v="2"/>
    <x v="0"/>
    <n v="4"/>
    <s v="Divorced"/>
    <n v="6931"/>
    <n v="10732"/>
    <n v="2"/>
    <s v="Y"/>
    <x v="1"/>
    <n v="14"/>
    <n v="3"/>
    <n v="4"/>
    <n v="80"/>
    <n v="1"/>
    <n v="10"/>
    <n v="2"/>
    <n v="3"/>
    <n v="3"/>
    <n v="2"/>
    <n v="0"/>
    <n v="2"/>
    <x v="1"/>
    <n v="1"/>
    <x v="2"/>
    <x v="0"/>
    <s v="2-5 Years"/>
    <s v="Very High"/>
    <s v="Better"/>
  </r>
  <r>
    <x v="36"/>
    <s v="No"/>
    <s v="Travel_Rarely"/>
    <n v="685"/>
    <x v="1"/>
    <n v="1"/>
    <n v="3"/>
    <s v="Life Sciences"/>
    <n v="1"/>
    <n v="350"/>
    <n v="1"/>
    <x v="0"/>
    <n v="62"/>
    <n v="3"/>
    <n v="2"/>
    <x v="3"/>
    <n v="3"/>
    <s v="Married"/>
    <n v="4898"/>
    <n v="7505"/>
    <n v="0"/>
    <s v="Y"/>
    <x v="1"/>
    <n v="12"/>
    <n v="3"/>
    <n v="4"/>
    <n v="80"/>
    <n v="2"/>
    <n v="5"/>
    <n v="3"/>
    <n v="3"/>
    <n v="4"/>
    <n v="2"/>
    <n v="1"/>
    <n v="2"/>
    <x v="1"/>
    <n v="1"/>
    <x v="2"/>
    <x v="0"/>
    <s v="2-5 Years"/>
    <s v="High"/>
    <s v="Better"/>
  </r>
  <r>
    <x v="19"/>
    <s v="No"/>
    <s v="Travel_Rarely"/>
    <n v="269"/>
    <x v="1"/>
    <n v="2"/>
    <n v="3"/>
    <s v="Medical"/>
    <n v="1"/>
    <n v="351"/>
    <n v="4"/>
    <x v="0"/>
    <n v="56"/>
    <n v="2"/>
    <n v="1"/>
    <x v="2"/>
    <n v="1"/>
    <s v="Divorced"/>
    <n v="2593"/>
    <n v="8007"/>
    <n v="0"/>
    <s v="Y"/>
    <x v="0"/>
    <n v="11"/>
    <n v="3"/>
    <n v="3"/>
    <n v="80"/>
    <n v="1"/>
    <n v="10"/>
    <n v="4"/>
    <n v="3"/>
    <n v="9"/>
    <n v="6"/>
    <n v="7"/>
    <n v="8"/>
    <x v="1"/>
    <n v="1"/>
    <x v="0"/>
    <x v="1"/>
    <s v="6-10 Years"/>
    <s v="Low"/>
    <s v="Better"/>
  </r>
  <r>
    <x v="32"/>
    <s v="No"/>
    <s v="Travel_Rarely"/>
    <n v="1416"/>
    <x v="1"/>
    <n v="2"/>
    <n v="2"/>
    <s v="Medical"/>
    <n v="1"/>
    <n v="352"/>
    <n v="1"/>
    <x v="1"/>
    <n v="49"/>
    <n v="3"/>
    <n v="5"/>
    <x v="7"/>
    <n v="3"/>
    <s v="Divorced"/>
    <n v="19436"/>
    <n v="5949"/>
    <n v="0"/>
    <s v="Y"/>
    <x v="1"/>
    <n v="19"/>
    <n v="3"/>
    <n v="4"/>
    <n v="80"/>
    <n v="1"/>
    <n v="22"/>
    <n v="5"/>
    <n v="3"/>
    <n v="21"/>
    <n v="7"/>
    <n v="3"/>
    <n v="9"/>
    <x v="1"/>
    <n v="1"/>
    <x v="0"/>
    <x v="2"/>
    <s v="10+ Years"/>
    <s v="High"/>
    <s v="Better"/>
  </r>
  <r>
    <x v="31"/>
    <s v="No"/>
    <s v="Travel_Rarely"/>
    <n v="833"/>
    <x v="1"/>
    <n v="1"/>
    <n v="3"/>
    <s v="Life Sciences"/>
    <n v="1"/>
    <n v="353"/>
    <n v="3"/>
    <x v="1"/>
    <n v="96"/>
    <n v="3"/>
    <n v="1"/>
    <x v="1"/>
    <n v="4"/>
    <s v="Married"/>
    <n v="2723"/>
    <n v="23231"/>
    <n v="1"/>
    <s v="Y"/>
    <x v="1"/>
    <n v="11"/>
    <n v="3"/>
    <n v="2"/>
    <n v="80"/>
    <n v="0"/>
    <n v="1"/>
    <n v="0"/>
    <n v="2"/>
    <n v="1"/>
    <n v="0"/>
    <n v="0"/>
    <n v="0"/>
    <x v="1"/>
    <n v="1"/>
    <x v="1"/>
    <x v="1"/>
    <s v="0-1 Years"/>
    <s v="Very High"/>
    <s v="Good"/>
  </r>
  <r>
    <x v="12"/>
    <s v="Yes"/>
    <s v="Travel_Frequently"/>
    <n v="307"/>
    <x v="1"/>
    <n v="29"/>
    <n v="2"/>
    <s v="Medical"/>
    <n v="1"/>
    <n v="355"/>
    <n v="3"/>
    <x v="1"/>
    <n v="71"/>
    <n v="2"/>
    <n v="1"/>
    <x v="2"/>
    <n v="2"/>
    <s v="Single"/>
    <n v="3479"/>
    <n v="11652"/>
    <n v="0"/>
    <s v="Y"/>
    <x v="1"/>
    <n v="11"/>
    <n v="3"/>
    <n v="2"/>
    <n v="80"/>
    <n v="0"/>
    <n v="6"/>
    <n v="2"/>
    <n v="4"/>
    <n v="5"/>
    <n v="4"/>
    <n v="1"/>
    <n v="4"/>
    <x v="0"/>
    <n v="0"/>
    <x v="2"/>
    <x v="0"/>
    <s v="2-5 Years"/>
    <s v="Medium"/>
    <s v="Best"/>
  </r>
  <r>
    <x v="5"/>
    <s v="No"/>
    <s v="Travel_Frequently"/>
    <n v="1311"/>
    <x v="1"/>
    <n v="7"/>
    <n v="3"/>
    <s v="Life Sciences"/>
    <n v="1"/>
    <n v="359"/>
    <n v="2"/>
    <x v="1"/>
    <n v="100"/>
    <n v="4"/>
    <n v="1"/>
    <x v="2"/>
    <n v="2"/>
    <s v="Married"/>
    <n v="2794"/>
    <n v="26062"/>
    <n v="1"/>
    <s v="Y"/>
    <x v="1"/>
    <n v="20"/>
    <n v="4"/>
    <n v="3"/>
    <n v="80"/>
    <n v="0"/>
    <n v="5"/>
    <n v="3"/>
    <n v="1"/>
    <n v="5"/>
    <n v="1"/>
    <n v="0"/>
    <n v="3"/>
    <x v="1"/>
    <n v="1"/>
    <x v="2"/>
    <x v="1"/>
    <s v="2-5 Years"/>
    <s v="Medium"/>
    <s v="Bad"/>
  </r>
  <r>
    <x v="8"/>
    <s v="No"/>
    <s v="Non-Travel"/>
    <n v="1327"/>
    <x v="0"/>
    <n v="2"/>
    <n v="2"/>
    <s v="Life Sciences"/>
    <n v="1"/>
    <n v="361"/>
    <n v="4"/>
    <x v="1"/>
    <n v="39"/>
    <n v="2"/>
    <n v="2"/>
    <x v="0"/>
    <n v="4"/>
    <s v="Married"/>
    <n v="5249"/>
    <n v="19682"/>
    <n v="3"/>
    <s v="Y"/>
    <x v="1"/>
    <n v="18"/>
    <n v="3"/>
    <n v="4"/>
    <n v="80"/>
    <n v="1"/>
    <n v="13"/>
    <n v="0"/>
    <n v="3"/>
    <n v="8"/>
    <n v="7"/>
    <n v="7"/>
    <n v="5"/>
    <x v="1"/>
    <n v="1"/>
    <x v="0"/>
    <x v="0"/>
    <s v="6-10 Years"/>
    <s v="Very High"/>
    <s v="Better"/>
  </r>
  <r>
    <x v="5"/>
    <s v="No"/>
    <s v="Travel_Rarely"/>
    <n v="128"/>
    <x v="1"/>
    <n v="2"/>
    <n v="1"/>
    <s v="Technical Degree"/>
    <n v="1"/>
    <n v="362"/>
    <n v="4"/>
    <x v="1"/>
    <n v="84"/>
    <n v="2"/>
    <n v="2"/>
    <x v="2"/>
    <n v="1"/>
    <s v="Single"/>
    <n v="2176"/>
    <n v="19737"/>
    <n v="4"/>
    <s v="Y"/>
    <x v="1"/>
    <n v="13"/>
    <n v="3"/>
    <n v="4"/>
    <n v="80"/>
    <n v="0"/>
    <n v="9"/>
    <n v="5"/>
    <n v="3"/>
    <n v="6"/>
    <n v="2"/>
    <n v="0"/>
    <n v="4"/>
    <x v="1"/>
    <n v="1"/>
    <x v="2"/>
    <x v="1"/>
    <s v="6-10 Years"/>
    <s v="Low"/>
    <s v="Better"/>
  </r>
  <r>
    <x v="21"/>
    <s v="No"/>
    <s v="Travel_Rarely"/>
    <n v="488"/>
    <x v="0"/>
    <n v="2"/>
    <n v="3"/>
    <s v="Technical Degree"/>
    <n v="1"/>
    <n v="363"/>
    <n v="3"/>
    <x v="0"/>
    <n v="75"/>
    <n v="1"/>
    <n v="4"/>
    <x v="5"/>
    <n v="2"/>
    <s v="Married"/>
    <n v="16872"/>
    <n v="14977"/>
    <n v="3"/>
    <s v="Y"/>
    <x v="0"/>
    <n v="12"/>
    <n v="3"/>
    <n v="2"/>
    <n v="80"/>
    <n v="1"/>
    <n v="28"/>
    <n v="2"/>
    <n v="2"/>
    <n v="7"/>
    <n v="7"/>
    <n v="7"/>
    <n v="7"/>
    <x v="1"/>
    <n v="1"/>
    <x v="1"/>
    <x v="2"/>
    <s v="6-10 Years"/>
    <s v="Medium"/>
    <s v="Good"/>
  </r>
  <r>
    <x v="14"/>
    <s v="Yes"/>
    <s v="Travel_Rarely"/>
    <n v="529"/>
    <x v="1"/>
    <n v="2"/>
    <n v="4"/>
    <s v="Life Sciences"/>
    <n v="1"/>
    <n v="364"/>
    <n v="1"/>
    <x v="1"/>
    <n v="79"/>
    <n v="3"/>
    <n v="1"/>
    <x v="2"/>
    <n v="3"/>
    <s v="Single"/>
    <n v="3485"/>
    <n v="14935"/>
    <n v="2"/>
    <s v="Y"/>
    <x v="1"/>
    <n v="11"/>
    <n v="3"/>
    <n v="3"/>
    <n v="80"/>
    <n v="0"/>
    <n v="5"/>
    <n v="5"/>
    <n v="1"/>
    <n v="0"/>
    <n v="0"/>
    <n v="0"/>
    <n v="0"/>
    <x v="0"/>
    <n v="0"/>
    <x v="2"/>
    <x v="0"/>
    <s v="0-1 Years"/>
    <s v="High"/>
    <s v="Bad"/>
  </r>
  <r>
    <x v="11"/>
    <s v="No"/>
    <s v="Travel_Rarely"/>
    <n v="1210"/>
    <x v="0"/>
    <n v="2"/>
    <n v="3"/>
    <s v="Medical"/>
    <n v="1"/>
    <n v="366"/>
    <n v="1"/>
    <x v="1"/>
    <n v="78"/>
    <n v="2"/>
    <n v="2"/>
    <x v="0"/>
    <n v="2"/>
    <s v="Married"/>
    <n v="6644"/>
    <n v="3687"/>
    <n v="2"/>
    <s v="Y"/>
    <x v="1"/>
    <n v="19"/>
    <n v="3"/>
    <n v="2"/>
    <n v="80"/>
    <n v="2"/>
    <n v="10"/>
    <n v="2"/>
    <n v="3"/>
    <n v="0"/>
    <n v="0"/>
    <n v="0"/>
    <n v="0"/>
    <x v="1"/>
    <n v="1"/>
    <x v="2"/>
    <x v="0"/>
    <s v="0-1 Years"/>
    <s v="Medium"/>
    <s v="Better"/>
  </r>
  <r>
    <x v="12"/>
    <s v="No"/>
    <s v="Travel_Rarely"/>
    <n v="1463"/>
    <x v="1"/>
    <n v="23"/>
    <n v="3"/>
    <s v="Medical"/>
    <n v="1"/>
    <n v="367"/>
    <n v="2"/>
    <x v="1"/>
    <n v="64"/>
    <n v="2"/>
    <n v="2"/>
    <x v="4"/>
    <n v="4"/>
    <s v="Married"/>
    <n v="5582"/>
    <n v="14408"/>
    <n v="0"/>
    <s v="Y"/>
    <x v="1"/>
    <n v="21"/>
    <n v="4"/>
    <n v="2"/>
    <n v="80"/>
    <n v="1"/>
    <n v="10"/>
    <n v="2"/>
    <n v="3"/>
    <n v="9"/>
    <n v="0"/>
    <n v="7"/>
    <n v="8"/>
    <x v="1"/>
    <n v="1"/>
    <x v="2"/>
    <x v="0"/>
    <s v="6-10 Years"/>
    <s v="Very High"/>
    <s v="Better"/>
  </r>
  <r>
    <x v="36"/>
    <s v="No"/>
    <s v="Non-Travel"/>
    <n v="675"/>
    <x v="1"/>
    <n v="5"/>
    <n v="2"/>
    <s v="Life Sciences"/>
    <n v="1"/>
    <n v="369"/>
    <n v="2"/>
    <x v="1"/>
    <n v="85"/>
    <n v="4"/>
    <n v="2"/>
    <x v="4"/>
    <n v="1"/>
    <s v="Divorced"/>
    <n v="4000"/>
    <n v="18384"/>
    <n v="1"/>
    <s v="Y"/>
    <x v="1"/>
    <n v="12"/>
    <n v="3"/>
    <n v="4"/>
    <n v="80"/>
    <n v="2"/>
    <n v="6"/>
    <n v="2"/>
    <n v="3"/>
    <n v="6"/>
    <n v="3"/>
    <n v="1"/>
    <n v="5"/>
    <x v="1"/>
    <n v="1"/>
    <x v="2"/>
    <x v="0"/>
    <s v="6-10 Years"/>
    <s v="Low"/>
    <s v="Better"/>
  </r>
  <r>
    <x v="28"/>
    <s v="No"/>
    <s v="Travel_Rarely"/>
    <n v="1385"/>
    <x v="1"/>
    <n v="20"/>
    <n v="2"/>
    <s v="Medical"/>
    <n v="1"/>
    <n v="372"/>
    <n v="3"/>
    <x v="1"/>
    <n v="79"/>
    <n v="3"/>
    <n v="4"/>
    <x v="4"/>
    <n v="4"/>
    <s v="Married"/>
    <n v="13496"/>
    <n v="7501"/>
    <n v="0"/>
    <s v="Y"/>
    <x v="0"/>
    <n v="14"/>
    <n v="3"/>
    <n v="2"/>
    <n v="80"/>
    <n v="0"/>
    <n v="21"/>
    <n v="2"/>
    <n v="3"/>
    <n v="20"/>
    <n v="7"/>
    <n v="4"/>
    <n v="10"/>
    <x v="1"/>
    <n v="1"/>
    <x v="1"/>
    <x v="2"/>
    <s v="10+ Years"/>
    <s v="Very High"/>
    <s v="Better"/>
  </r>
  <r>
    <x v="9"/>
    <s v="No"/>
    <s v="Travel_Rarely"/>
    <n v="1403"/>
    <x v="1"/>
    <n v="6"/>
    <n v="3"/>
    <s v="Life Sciences"/>
    <n v="1"/>
    <n v="373"/>
    <n v="4"/>
    <x v="1"/>
    <n v="47"/>
    <n v="3"/>
    <n v="1"/>
    <x v="2"/>
    <n v="4"/>
    <s v="Married"/>
    <n v="3210"/>
    <n v="20251"/>
    <n v="0"/>
    <s v="Y"/>
    <x v="1"/>
    <n v="11"/>
    <n v="3"/>
    <n v="3"/>
    <n v="80"/>
    <n v="1"/>
    <n v="16"/>
    <n v="4"/>
    <n v="3"/>
    <n v="15"/>
    <n v="13"/>
    <n v="10"/>
    <n v="11"/>
    <x v="1"/>
    <n v="1"/>
    <x v="0"/>
    <x v="0"/>
    <s v="10+ Years"/>
    <s v="Very High"/>
    <s v="Better"/>
  </r>
  <r>
    <x v="27"/>
    <s v="No"/>
    <s v="Travel_Rarely"/>
    <n v="452"/>
    <x v="1"/>
    <n v="1"/>
    <n v="3"/>
    <s v="Medical"/>
    <n v="1"/>
    <n v="374"/>
    <n v="4"/>
    <x v="1"/>
    <n v="81"/>
    <n v="3"/>
    <n v="5"/>
    <x v="5"/>
    <n v="1"/>
    <s v="Single"/>
    <n v="19045"/>
    <n v="18938"/>
    <n v="0"/>
    <s v="Y"/>
    <x v="0"/>
    <n v="14"/>
    <n v="3"/>
    <n v="3"/>
    <n v="80"/>
    <n v="0"/>
    <n v="37"/>
    <n v="2"/>
    <n v="3"/>
    <n v="36"/>
    <n v="10"/>
    <n v="4"/>
    <n v="13"/>
    <x v="1"/>
    <n v="1"/>
    <x v="3"/>
    <x v="2"/>
    <s v="10+ Years"/>
    <s v="Low"/>
    <s v="Better"/>
  </r>
  <r>
    <x v="40"/>
    <s v="Yes"/>
    <s v="Non-Travel"/>
    <n v="666"/>
    <x v="1"/>
    <n v="29"/>
    <n v="4"/>
    <s v="Life Sciences"/>
    <n v="1"/>
    <n v="376"/>
    <n v="1"/>
    <x v="1"/>
    <n v="88"/>
    <n v="3"/>
    <n v="3"/>
    <x v="5"/>
    <n v="2"/>
    <s v="Married"/>
    <n v="11849"/>
    <n v="10268"/>
    <n v="1"/>
    <s v="Y"/>
    <x v="0"/>
    <n v="12"/>
    <n v="3"/>
    <n v="4"/>
    <n v="80"/>
    <n v="1"/>
    <n v="10"/>
    <n v="2"/>
    <n v="2"/>
    <n v="10"/>
    <n v="7"/>
    <n v="9"/>
    <n v="9"/>
    <x v="0"/>
    <n v="0"/>
    <x v="1"/>
    <x v="2"/>
    <s v="6-10 Years"/>
    <s v="Medium"/>
    <s v="Good"/>
  </r>
  <r>
    <x v="14"/>
    <s v="No"/>
    <s v="Travel_Rarely"/>
    <n v="1158"/>
    <x v="1"/>
    <n v="9"/>
    <n v="3"/>
    <s v="Medical"/>
    <n v="1"/>
    <n v="377"/>
    <n v="4"/>
    <x v="1"/>
    <n v="94"/>
    <n v="3"/>
    <n v="1"/>
    <x v="1"/>
    <n v="4"/>
    <s v="Married"/>
    <n v="2070"/>
    <n v="2613"/>
    <n v="1"/>
    <s v="Y"/>
    <x v="1"/>
    <n v="23"/>
    <n v="4"/>
    <n v="4"/>
    <n v="80"/>
    <n v="1"/>
    <n v="5"/>
    <n v="3"/>
    <n v="2"/>
    <n v="5"/>
    <n v="2"/>
    <n v="0"/>
    <n v="4"/>
    <x v="1"/>
    <n v="1"/>
    <x v="2"/>
    <x v="1"/>
    <s v="2-5 Years"/>
    <s v="Very High"/>
    <s v="Good"/>
  </r>
  <r>
    <x v="2"/>
    <s v="No"/>
    <s v="Travel_Rarely"/>
    <n v="228"/>
    <x v="0"/>
    <n v="6"/>
    <n v="4"/>
    <s v="Medical"/>
    <n v="1"/>
    <n v="378"/>
    <n v="3"/>
    <x v="1"/>
    <n v="98"/>
    <n v="3"/>
    <n v="2"/>
    <x v="0"/>
    <n v="4"/>
    <s v="Married"/>
    <n v="6502"/>
    <n v="22825"/>
    <n v="4"/>
    <s v="Y"/>
    <x v="1"/>
    <n v="14"/>
    <n v="3"/>
    <n v="2"/>
    <n v="80"/>
    <n v="1"/>
    <n v="7"/>
    <n v="5"/>
    <n v="4"/>
    <n v="5"/>
    <n v="4"/>
    <n v="0"/>
    <n v="1"/>
    <x v="1"/>
    <n v="1"/>
    <x v="0"/>
    <x v="0"/>
    <s v="2-5 Years"/>
    <s v="Very High"/>
    <s v="Best"/>
  </r>
  <r>
    <x v="18"/>
    <s v="No"/>
    <s v="Travel_Rarely"/>
    <n v="996"/>
    <x v="1"/>
    <n v="3"/>
    <n v="2"/>
    <s v="Medical"/>
    <n v="1"/>
    <n v="379"/>
    <n v="4"/>
    <x v="1"/>
    <n v="100"/>
    <n v="2"/>
    <n v="1"/>
    <x v="1"/>
    <n v="3"/>
    <s v="Single"/>
    <n v="3230"/>
    <n v="10531"/>
    <n v="1"/>
    <s v="Y"/>
    <x v="1"/>
    <n v="17"/>
    <n v="3"/>
    <n v="1"/>
    <n v="80"/>
    <n v="0"/>
    <n v="3"/>
    <n v="4"/>
    <n v="4"/>
    <n v="3"/>
    <n v="2"/>
    <n v="1"/>
    <n v="0"/>
    <x v="1"/>
    <n v="1"/>
    <x v="4"/>
    <x v="0"/>
    <s v="2-5 Years"/>
    <s v="High"/>
    <s v="Best"/>
  </r>
  <r>
    <x v="2"/>
    <s v="No"/>
    <s v="Non-Travel"/>
    <n v="728"/>
    <x v="1"/>
    <n v="1"/>
    <n v="4"/>
    <s v="Medical"/>
    <n v="1"/>
    <n v="380"/>
    <n v="1"/>
    <x v="0"/>
    <n v="80"/>
    <n v="3"/>
    <n v="3"/>
    <x v="7"/>
    <n v="4"/>
    <s v="Divorced"/>
    <n v="13603"/>
    <n v="11677"/>
    <n v="2"/>
    <s v="Y"/>
    <x v="0"/>
    <n v="18"/>
    <n v="3"/>
    <n v="1"/>
    <n v="80"/>
    <n v="2"/>
    <n v="15"/>
    <n v="2"/>
    <n v="3"/>
    <n v="5"/>
    <n v="2"/>
    <n v="0"/>
    <n v="2"/>
    <x v="1"/>
    <n v="1"/>
    <x v="0"/>
    <x v="2"/>
    <s v="2-5 Years"/>
    <s v="Very High"/>
    <s v="Better"/>
  </r>
  <r>
    <x v="10"/>
    <s v="No"/>
    <s v="Travel_Rarely"/>
    <n v="1315"/>
    <x v="1"/>
    <n v="22"/>
    <n v="3"/>
    <s v="Life Sciences"/>
    <n v="1"/>
    <n v="381"/>
    <n v="2"/>
    <x v="0"/>
    <n v="71"/>
    <n v="4"/>
    <n v="3"/>
    <x v="5"/>
    <n v="2"/>
    <s v="Divorced"/>
    <n v="11996"/>
    <n v="19100"/>
    <n v="7"/>
    <s v="Y"/>
    <x v="1"/>
    <n v="18"/>
    <n v="3"/>
    <n v="2"/>
    <n v="80"/>
    <n v="1"/>
    <n v="10"/>
    <n v="6"/>
    <n v="2"/>
    <n v="7"/>
    <n v="7"/>
    <n v="6"/>
    <n v="2"/>
    <x v="1"/>
    <n v="1"/>
    <x v="0"/>
    <x v="2"/>
    <s v="6-10 Years"/>
    <s v="Medium"/>
    <s v="Good"/>
  </r>
  <r>
    <x v="8"/>
    <s v="No"/>
    <s v="Travel_Rarely"/>
    <n v="322"/>
    <x v="0"/>
    <n v="7"/>
    <n v="2"/>
    <s v="Medical"/>
    <n v="1"/>
    <n v="382"/>
    <n v="1"/>
    <x v="0"/>
    <n v="44"/>
    <n v="4"/>
    <n v="2"/>
    <x v="0"/>
    <n v="1"/>
    <s v="Divorced"/>
    <n v="5605"/>
    <n v="19191"/>
    <n v="1"/>
    <s v="Y"/>
    <x v="0"/>
    <n v="24"/>
    <n v="4"/>
    <n v="3"/>
    <n v="80"/>
    <n v="1"/>
    <n v="8"/>
    <n v="3"/>
    <n v="3"/>
    <n v="8"/>
    <n v="0"/>
    <n v="7"/>
    <n v="7"/>
    <x v="1"/>
    <n v="1"/>
    <x v="0"/>
    <x v="0"/>
    <s v="6-10 Years"/>
    <s v="Low"/>
    <s v="Better"/>
  </r>
  <r>
    <x v="25"/>
    <s v="No"/>
    <s v="Travel_Frequently"/>
    <n v="1479"/>
    <x v="1"/>
    <n v="1"/>
    <n v="3"/>
    <s v="Life Sciences"/>
    <n v="1"/>
    <n v="384"/>
    <n v="3"/>
    <x v="0"/>
    <n v="84"/>
    <n v="3"/>
    <n v="2"/>
    <x v="3"/>
    <n v="2"/>
    <s v="Divorced"/>
    <n v="6397"/>
    <n v="26767"/>
    <n v="1"/>
    <s v="Y"/>
    <x v="1"/>
    <n v="20"/>
    <n v="4"/>
    <n v="1"/>
    <n v="80"/>
    <n v="1"/>
    <n v="6"/>
    <n v="6"/>
    <n v="1"/>
    <n v="6"/>
    <n v="5"/>
    <n v="1"/>
    <n v="4"/>
    <x v="1"/>
    <n v="1"/>
    <x v="2"/>
    <x v="0"/>
    <s v="6-10 Years"/>
    <s v="Medium"/>
    <s v="Bad"/>
  </r>
  <r>
    <x v="24"/>
    <s v="No"/>
    <s v="Travel_Rarely"/>
    <n v="797"/>
    <x v="1"/>
    <n v="4"/>
    <n v="1"/>
    <s v="Life Sciences"/>
    <n v="1"/>
    <n v="385"/>
    <n v="1"/>
    <x v="1"/>
    <n v="96"/>
    <n v="3"/>
    <n v="5"/>
    <x v="7"/>
    <n v="2"/>
    <s v="Divorced"/>
    <n v="19144"/>
    <n v="15815"/>
    <n v="3"/>
    <s v="Y"/>
    <x v="1"/>
    <n v="14"/>
    <n v="3"/>
    <n v="1"/>
    <n v="80"/>
    <n v="2"/>
    <n v="28"/>
    <n v="4"/>
    <n v="2"/>
    <n v="10"/>
    <n v="4"/>
    <n v="1"/>
    <n v="6"/>
    <x v="1"/>
    <n v="1"/>
    <x v="1"/>
    <x v="2"/>
    <s v="6-10 Years"/>
    <s v="Medium"/>
    <s v="Good"/>
  </r>
  <r>
    <x v="16"/>
    <s v="No"/>
    <s v="Travel_Rarely"/>
    <n v="1070"/>
    <x v="1"/>
    <n v="3"/>
    <n v="4"/>
    <s v="Medical"/>
    <n v="1"/>
    <n v="386"/>
    <n v="3"/>
    <x v="1"/>
    <n v="45"/>
    <n v="3"/>
    <n v="4"/>
    <x v="7"/>
    <n v="3"/>
    <s v="Married"/>
    <n v="17584"/>
    <n v="21016"/>
    <n v="3"/>
    <s v="Y"/>
    <x v="0"/>
    <n v="16"/>
    <n v="3"/>
    <n v="4"/>
    <n v="80"/>
    <n v="3"/>
    <n v="21"/>
    <n v="5"/>
    <n v="2"/>
    <n v="5"/>
    <n v="3"/>
    <n v="1"/>
    <n v="3"/>
    <x v="1"/>
    <n v="1"/>
    <x v="1"/>
    <x v="2"/>
    <s v="2-5 Years"/>
    <s v="High"/>
    <s v="Good"/>
  </r>
  <r>
    <x v="19"/>
    <s v="No"/>
    <s v="Travel_Rarely"/>
    <n v="635"/>
    <x v="0"/>
    <n v="1"/>
    <n v="1"/>
    <s v="Life Sciences"/>
    <n v="1"/>
    <n v="387"/>
    <n v="2"/>
    <x v="1"/>
    <n v="99"/>
    <n v="3"/>
    <n v="2"/>
    <x v="0"/>
    <n v="3"/>
    <s v="Married"/>
    <n v="4907"/>
    <n v="24532"/>
    <n v="1"/>
    <s v="Y"/>
    <x v="1"/>
    <n v="25"/>
    <n v="4"/>
    <n v="3"/>
    <n v="80"/>
    <n v="0"/>
    <n v="20"/>
    <n v="3"/>
    <n v="3"/>
    <n v="20"/>
    <n v="16"/>
    <n v="11"/>
    <n v="6"/>
    <x v="1"/>
    <n v="1"/>
    <x v="0"/>
    <x v="0"/>
    <s v="10+ Years"/>
    <s v="High"/>
    <s v="Better"/>
  </r>
  <r>
    <x v="11"/>
    <s v="No"/>
    <s v="Travel_Frequently"/>
    <n v="442"/>
    <x v="0"/>
    <n v="2"/>
    <n v="2"/>
    <s v="Life Sciences"/>
    <n v="1"/>
    <n v="388"/>
    <n v="2"/>
    <x v="1"/>
    <n v="44"/>
    <n v="3"/>
    <n v="2"/>
    <x v="0"/>
    <n v="4"/>
    <s v="Single"/>
    <n v="4554"/>
    <n v="20260"/>
    <n v="1"/>
    <s v="Y"/>
    <x v="1"/>
    <n v="18"/>
    <n v="3"/>
    <n v="1"/>
    <n v="80"/>
    <n v="0"/>
    <n v="10"/>
    <n v="3"/>
    <n v="2"/>
    <n v="10"/>
    <n v="7"/>
    <n v="0"/>
    <n v="9"/>
    <x v="1"/>
    <n v="1"/>
    <x v="2"/>
    <x v="0"/>
    <s v="6-10 Years"/>
    <s v="Very High"/>
    <s v="Good"/>
  </r>
  <r>
    <x v="27"/>
    <s v="No"/>
    <s v="Travel_Rarely"/>
    <n v="147"/>
    <x v="1"/>
    <n v="20"/>
    <n v="2"/>
    <s v="Technical Degree"/>
    <n v="1"/>
    <n v="389"/>
    <n v="2"/>
    <x v="1"/>
    <n v="37"/>
    <n v="3"/>
    <n v="2"/>
    <x v="2"/>
    <n v="4"/>
    <s v="Married"/>
    <n v="5415"/>
    <n v="15972"/>
    <n v="3"/>
    <s v="Y"/>
    <x v="0"/>
    <n v="19"/>
    <n v="3"/>
    <n v="4"/>
    <n v="80"/>
    <n v="1"/>
    <n v="12"/>
    <n v="4"/>
    <n v="3"/>
    <n v="10"/>
    <n v="7"/>
    <n v="0"/>
    <n v="8"/>
    <x v="1"/>
    <n v="1"/>
    <x v="3"/>
    <x v="0"/>
    <s v="6-10 Years"/>
    <s v="Very High"/>
    <s v="Better"/>
  </r>
  <r>
    <x v="25"/>
    <s v="No"/>
    <s v="Travel_Frequently"/>
    <n v="496"/>
    <x v="1"/>
    <n v="11"/>
    <n v="2"/>
    <s v="Medical"/>
    <n v="1"/>
    <n v="390"/>
    <n v="1"/>
    <x v="1"/>
    <n v="60"/>
    <n v="3"/>
    <n v="2"/>
    <x v="4"/>
    <n v="1"/>
    <s v="Married"/>
    <n v="4741"/>
    <n v="22722"/>
    <n v="1"/>
    <s v="Y"/>
    <x v="0"/>
    <n v="13"/>
    <n v="3"/>
    <n v="3"/>
    <n v="80"/>
    <n v="1"/>
    <n v="5"/>
    <n v="3"/>
    <n v="3"/>
    <n v="5"/>
    <n v="3"/>
    <n v="3"/>
    <n v="3"/>
    <x v="1"/>
    <n v="1"/>
    <x v="2"/>
    <x v="0"/>
    <s v="2-5 Years"/>
    <s v="Low"/>
    <s v="Better"/>
  </r>
  <r>
    <x v="2"/>
    <s v="No"/>
    <s v="Travel_Rarely"/>
    <n v="1372"/>
    <x v="1"/>
    <n v="1"/>
    <n v="3"/>
    <s v="Life Sciences"/>
    <n v="1"/>
    <n v="391"/>
    <n v="4"/>
    <x v="0"/>
    <n v="42"/>
    <n v="3"/>
    <n v="1"/>
    <x v="1"/>
    <n v="4"/>
    <s v="Single"/>
    <n v="2115"/>
    <n v="15881"/>
    <n v="1"/>
    <s v="Y"/>
    <x v="1"/>
    <n v="12"/>
    <n v="3"/>
    <n v="2"/>
    <n v="80"/>
    <n v="0"/>
    <n v="17"/>
    <n v="3"/>
    <n v="3"/>
    <n v="17"/>
    <n v="12"/>
    <n v="5"/>
    <n v="7"/>
    <x v="1"/>
    <n v="1"/>
    <x v="0"/>
    <x v="1"/>
    <s v="10+ Years"/>
    <s v="Very High"/>
    <s v="Better"/>
  </r>
  <r>
    <x v="20"/>
    <s v="Yes"/>
    <s v="Travel_Frequently"/>
    <n v="920"/>
    <x v="1"/>
    <n v="24"/>
    <n v="3"/>
    <s v="Life Sciences"/>
    <n v="1"/>
    <n v="392"/>
    <n v="4"/>
    <x v="1"/>
    <n v="43"/>
    <n v="3"/>
    <n v="1"/>
    <x v="2"/>
    <n v="3"/>
    <s v="Divorced"/>
    <n v="3161"/>
    <n v="19920"/>
    <n v="3"/>
    <s v="Y"/>
    <x v="0"/>
    <n v="22"/>
    <n v="4"/>
    <n v="4"/>
    <n v="80"/>
    <n v="1"/>
    <n v="19"/>
    <n v="0"/>
    <n v="1"/>
    <n v="1"/>
    <n v="0"/>
    <n v="0"/>
    <n v="0"/>
    <x v="0"/>
    <n v="0"/>
    <x v="0"/>
    <x v="0"/>
    <s v="0-1 Years"/>
    <s v="High"/>
    <s v="Bad"/>
  </r>
  <r>
    <x v="8"/>
    <s v="No"/>
    <s v="Travel_Rarely"/>
    <n v="688"/>
    <x v="1"/>
    <n v="23"/>
    <n v="4"/>
    <s v="Life Sciences"/>
    <n v="1"/>
    <n v="393"/>
    <n v="4"/>
    <x v="1"/>
    <n v="82"/>
    <n v="3"/>
    <n v="2"/>
    <x v="4"/>
    <n v="4"/>
    <s v="Divorced"/>
    <n v="5745"/>
    <n v="18899"/>
    <n v="9"/>
    <s v="Y"/>
    <x v="1"/>
    <n v="14"/>
    <n v="3"/>
    <n v="2"/>
    <n v="80"/>
    <n v="1"/>
    <n v="10"/>
    <n v="2"/>
    <n v="3"/>
    <n v="2"/>
    <n v="2"/>
    <n v="1"/>
    <n v="2"/>
    <x v="1"/>
    <n v="1"/>
    <x v="0"/>
    <x v="0"/>
    <s v="2-5 Years"/>
    <s v="Very High"/>
    <s v="Better"/>
  </r>
  <r>
    <x v="25"/>
    <s v="Yes"/>
    <s v="Travel_Rarely"/>
    <n v="1449"/>
    <x v="1"/>
    <n v="16"/>
    <n v="4"/>
    <s v="Medical"/>
    <n v="1"/>
    <n v="394"/>
    <n v="1"/>
    <x v="1"/>
    <n v="45"/>
    <n v="3"/>
    <n v="1"/>
    <x v="2"/>
    <n v="2"/>
    <s v="Divorced"/>
    <n v="2373"/>
    <n v="14180"/>
    <n v="2"/>
    <s v="Y"/>
    <x v="0"/>
    <n v="13"/>
    <n v="3"/>
    <n v="4"/>
    <n v="80"/>
    <n v="1"/>
    <n v="5"/>
    <n v="2"/>
    <n v="3"/>
    <n v="3"/>
    <n v="2"/>
    <n v="0"/>
    <n v="2"/>
    <x v="0"/>
    <n v="0"/>
    <x v="2"/>
    <x v="1"/>
    <s v="2-5 Years"/>
    <s v="Medium"/>
    <s v="Better"/>
  </r>
  <r>
    <x v="14"/>
    <s v="No"/>
    <s v="Travel_Rarely"/>
    <n v="1117"/>
    <x v="1"/>
    <n v="8"/>
    <n v="2"/>
    <s v="Life Sciences"/>
    <n v="1"/>
    <n v="395"/>
    <n v="4"/>
    <x v="0"/>
    <n v="66"/>
    <n v="3"/>
    <n v="1"/>
    <x v="1"/>
    <n v="4"/>
    <s v="Single"/>
    <n v="3310"/>
    <n v="4488"/>
    <n v="1"/>
    <s v="Y"/>
    <x v="1"/>
    <n v="21"/>
    <n v="4"/>
    <n v="4"/>
    <n v="80"/>
    <n v="0"/>
    <n v="5"/>
    <n v="3"/>
    <n v="3"/>
    <n v="5"/>
    <n v="3"/>
    <n v="0"/>
    <n v="2"/>
    <x v="1"/>
    <n v="1"/>
    <x v="2"/>
    <x v="0"/>
    <s v="2-5 Years"/>
    <s v="Very High"/>
    <s v="Better"/>
  </r>
  <r>
    <x v="1"/>
    <s v="No"/>
    <s v="Travel_Frequently"/>
    <n v="636"/>
    <x v="1"/>
    <n v="10"/>
    <n v="4"/>
    <s v="Life Sciences"/>
    <n v="1"/>
    <n v="396"/>
    <n v="3"/>
    <x v="0"/>
    <n v="35"/>
    <n v="3"/>
    <n v="5"/>
    <x v="7"/>
    <n v="1"/>
    <s v="Single"/>
    <n v="18665"/>
    <n v="25594"/>
    <n v="9"/>
    <s v="Y"/>
    <x v="0"/>
    <n v="11"/>
    <n v="3"/>
    <n v="4"/>
    <n v="80"/>
    <n v="0"/>
    <n v="22"/>
    <n v="4"/>
    <n v="3"/>
    <n v="3"/>
    <n v="2"/>
    <n v="1"/>
    <n v="2"/>
    <x v="1"/>
    <n v="1"/>
    <x v="1"/>
    <x v="2"/>
    <s v="2-5 Years"/>
    <s v="Low"/>
    <s v="Better"/>
  </r>
  <r>
    <x v="9"/>
    <s v="No"/>
    <s v="Travel_Rarely"/>
    <n v="506"/>
    <x v="1"/>
    <n v="3"/>
    <n v="3"/>
    <s v="Technical Degree"/>
    <n v="1"/>
    <n v="397"/>
    <n v="3"/>
    <x v="1"/>
    <n v="30"/>
    <n v="3"/>
    <n v="2"/>
    <x v="1"/>
    <n v="2"/>
    <s v="Single"/>
    <n v="4485"/>
    <n v="26285"/>
    <n v="4"/>
    <s v="Y"/>
    <x v="1"/>
    <n v="12"/>
    <n v="3"/>
    <n v="4"/>
    <n v="80"/>
    <n v="0"/>
    <n v="10"/>
    <n v="2"/>
    <n v="3"/>
    <n v="8"/>
    <n v="0"/>
    <n v="7"/>
    <n v="7"/>
    <x v="1"/>
    <n v="1"/>
    <x v="0"/>
    <x v="0"/>
    <s v="6-10 Years"/>
    <s v="Medium"/>
    <s v="Better"/>
  </r>
  <r>
    <x v="12"/>
    <s v="No"/>
    <s v="Travel_Frequently"/>
    <n v="444"/>
    <x v="0"/>
    <n v="5"/>
    <n v="3"/>
    <s v="Marketing"/>
    <n v="1"/>
    <n v="399"/>
    <n v="4"/>
    <x v="0"/>
    <n v="84"/>
    <n v="3"/>
    <n v="1"/>
    <x v="6"/>
    <n v="2"/>
    <s v="Divorced"/>
    <n v="2789"/>
    <n v="3909"/>
    <n v="1"/>
    <s v="Y"/>
    <x v="1"/>
    <n v="11"/>
    <n v="3"/>
    <n v="3"/>
    <n v="80"/>
    <n v="1"/>
    <n v="2"/>
    <n v="5"/>
    <n v="2"/>
    <n v="2"/>
    <n v="2"/>
    <n v="2"/>
    <n v="2"/>
    <x v="1"/>
    <n v="1"/>
    <x v="2"/>
    <x v="1"/>
    <s v="2-5 Years"/>
    <s v="Medium"/>
    <s v="Good"/>
  </r>
  <r>
    <x v="25"/>
    <s v="Yes"/>
    <s v="Travel_Rarely"/>
    <n v="950"/>
    <x v="0"/>
    <n v="4"/>
    <n v="4"/>
    <s v="Marketing"/>
    <n v="1"/>
    <n v="401"/>
    <n v="4"/>
    <x v="1"/>
    <n v="48"/>
    <n v="2"/>
    <n v="2"/>
    <x v="0"/>
    <n v="4"/>
    <s v="Single"/>
    <n v="5828"/>
    <n v="8450"/>
    <n v="1"/>
    <s v="Y"/>
    <x v="0"/>
    <n v="12"/>
    <n v="3"/>
    <n v="2"/>
    <n v="80"/>
    <n v="0"/>
    <n v="8"/>
    <n v="0"/>
    <n v="3"/>
    <n v="8"/>
    <n v="7"/>
    <n v="7"/>
    <n v="4"/>
    <x v="0"/>
    <n v="0"/>
    <x v="2"/>
    <x v="0"/>
    <s v="6-10 Years"/>
    <s v="Very High"/>
    <s v="Better"/>
  </r>
  <r>
    <x v="2"/>
    <s v="No"/>
    <s v="Travel_Frequently"/>
    <n v="889"/>
    <x v="1"/>
    <n v="9"/>
    <n v="3"/>
    <s v="Medical"/>
    <n v="1"/>
    <n v="403"/>
    <n v="2"/>
    <x v="1"/>
    <n v="53"/>
    <n v="3"/>
    <n v="1"/>
    <x v="1"/>
    <n v="4"/>
    <s v="Married"/>
    <n v="2326"/>
    <n v="11411"/>
    <n v="1"/>
    <s v="Y"/>
    <x v="0"/>
    <n v="12"/>
    <n v="3"/>
    <n v="3"/>
    <n v="80"/>
    <n v="3"/>
    <n v="4"/>
    <n v="3"/>
    <n v="2"/>
    <n v="4"/>
    <n v="2"/>
    <n v="1"/>
    <n v="2"/>
    <x v="1"/>
    <n v="1"/>
    <x v="0"/>
    <x v="1"/>
    <s v="2-5 Years"/>
    <s v="Very High"/>
    <s v="Good"/>
  </r>
  <r>
    <x v="19"/>
    <s v="No"/>
    <s v="Travel_Frequently"/>
    <n v="555"/>
    <x v="0"/>
    <n v="26"/>
    <n v="3"/>
    <s v="Marketing"/>
    <n v="1"/>
    <n v="404"/>
    <n v="3"/>
    <x v="0"/>
    <n v="77"/>
    <n v="3"/>
    <n v="4"/>
    <x v="0"/>
    <n v="2"/>
    <s v="Married"/>
    <n v="13525"/>
    <n v="14864"/>
    <n v="5"/>
    <s v="Y"/>
    <x v="1"/>
    <n v="14"/>
    <n v="3"/>
    <n v="4"/>
    <n v="80"/>
    <n v="1"/>
    <n v="23"/>
    <n v="2"/>
    <n v="4"/>
    <n v="20"/>
    <n v="4"/>
    <n v="4"/>
    <n v="8"/>
    <x v="1"/>
    <n v="1"/>
    <x v="0"/>
    <x v="2"/>
    <s v="10+ Years"/>
    <s v="Medium"/>
    <s v="Best"/>
  </r>
  <r>
    <x v="41"/>
    <s v="Yes"/>
    <s v="Travel_Rarely"/>
    <n v="230"/>
    <x v="1"/>
    <n v="3"/>
    <n v="3"/>
    <s v="Life Sciences"/>
    <n v="1"/>
    <n v="405"/>
    <n v="3"/>
    <x v="1"/>
    <n v="54"/>
    <n v="3"/>
    <n v="1"/>
    <x v="2"/>
    <n v="3"/>
    <s v="Single"/>
    <n v="1420"/>
    <n v="25233"/>
    <n v="1"/>
    <s v="Y"/>
    <x v="1"/>
    <n v="13"/>
    <n v="3"/>
    <n v="3"/>
    <n v="80"/>
    <n v="0"/>
    <n v="0"/>
    <n v="2"/>
    <n v="3"/>
    <n v="0"/>
    <n v="0"/>
    <n v="0"/>
    <n v="0"/>
    <x v="0"/>
    <n v="0"/>
    <x v="4"/>
    <x v="1"/>
    <s v="0-1 Years"/>
    <s v="High"/>
    <s v="Better"/>
  </r>
  <r>
    <x v="10"/>
    <s v="No"/>
    <s v="Travel_Rarely"/>
    <n v="1232"/>
    <x v="0"/>
    <n v="16"/>
    <n v="3"/>
    <s v="Marketing"/>
    <n v="1"/>
    <n v="406"/>
    <n v="3"/>
    <x v="1"/>
    <n v="96"/>
    <n v="3"/>
    <n v="3"/>
    <x v="0"/>
    <n v="2"/>
    <s v="Married"/>
    <n v="8020"/>
    <n v="5100"/>
    <n v="0"/>
    <s v="Y"/>
    <x v="1"/>
    <n v="15"/>
    <n v="3"/>
    <n v="3"/>
    <n v="80"/>
    <n v="2"/>
    <n v="12"/>
    <n v="3"/>
    <n v="2"/>
    <n v="11"/>
    <n v="9"/>
    <n v="6"/>
    <n v="9"/>
    <x v="1"/>
    <n v="1"/>
    <x v="0"/>
    <x v="2"/>
    <s v="10+ Years"/>
    <s v="Medium"/>
    <s v="Good"/>
  </r>
  <r>
    <x v="9"/>
    <s v="No"/>
    <s v="Travel_Frequently"/>
    <n v="566"/>
    <x v="1"/>
    <n v="18"/>
    <n v="4"/>
    <s v="Life Sciences"/>
    <n v="1"/>
    <n v="407"/>
    <n v="3"/>
    <x v="1"/>
    <n v="81"/>
    <n v="4"/>
    <n v="1"/>
    <x v="2"/>
    <n v="4"/>
    <s v="Married"/>
    <n v="3688"/>
    <n v="7122"/>
    <n v="4"/>
    <s v="Y"/>
    <x v="1"/>
    <n v="18"/>
    <n v="3"/>
    <n v="4"/>
    <n v="80"/>
    <n v="2"/>
    <n v="4"/>
    <n v="2"/>
    <n v="3"/>
    <n v="1"/>
    <n v="0"/>
    <n v="0"/>
    <n v="0"/>
    <x v="1"/>
    <n v="1"/>
    <x v="0"/>
    <x v="0"/>
    <s v="0-1 Years"/>
    <s v="Very High"/>
    <s v="Better"/>
  </r>
  <r>
    <x v="31"/>
    <s v="No"/>
    <s v="Travel_Rarely"/>
    <n v="1302"/>
    <x v="1"/>
    <n v="2"/>
    <n v="3"/>
    <s v="Medical"/>
    <n v="1"/>
    <n v="408"/>
    <n v="4"/>
    <x v="1"/>
    <n v="84"/>
    <n v="1"/>
    <n v="2"/>
    <x v="3"/>
    <n v="2"/>
    <s v="Divorced"/>
    <n v="5482"/>
    <n v="16321"/>
    <n v="5"/>
    <s v="Y"/>
    <x v="1"/>
    <n v="18"/>
    <n v="3"/>
    <n v="4"/>
    <n v="80"/>
    <n v="1"/>
    <n v="13"/>
    <n v="3"/>
    <n v="3"/>
    <n v="4"/>
    <n v="1"/>
    <n v="1"/>
    <n v="2"/>
    <x v="1"/>
    <n v="1"/>
    <x v="1"/>
    <x v="0"/>
    <s v="2-5 Years"/>
    <s v="Medium"/>
    <s v="Better"/>
  </r>
  <r>
    <x v="0"/>
    <s v="No"/>
    <s v="Travel_Rarely"/>
    <n v="334"/>
    <x v="0"/>
    <n v="2"/>
    <n v="4"/>
    <s v="Life Sciences"/>
    <n v="1"/>
    <n v="410"/>
    <n v="4"/>
    <x v="1"/>
    <n v="88"/>
    <n v="3"/>
    <n v="4"/>
    <x v="5"/>
    <n v="2"/>
    <s v="Single"/>
    <n v="16015"/>
    <n v="15896"/>
    <n v="1"/>
    <s v="Y"/>
    <x v="1"/>
    <n v="19"/>
    <n v="3"/>
    <n v="2"/>
    <n v="80"/>
    <n v="0"/>
    <n v="22"/>
    <n v="2"/>
    <n v="3"/>
    <n v="22"/>
    <n v="10"/>
    <n v="0"/>
    <n v="4"/>
    <x v="1"/>
    <n v="1"/>
    <x v="0"/>
    <x v="2"/>
    <s v="10+ Years"/>
    <s v="Medium"/>
    <s v="Better"/>
  </r>
  <r>
    <x v="41"/>
    <s v="No"/>
    <s v="Travel_Rarely"/>
    <n v="812"/>
    <x v="0"/>
    <n v="10"/>
    <n v="3"/>
    <s v="Medical"/>
    <n v="1"/>
    <n v="411"/>
    <n v="4"/>
    <x v="0"/>
    <n v="69"/>
    <n v="2"/>
    <n v="1"/>
    <x v="6"/>
    <n v="3"/>
    <s v="Single"/>
    <n v="1200"/>
    <n v="9724"/>
    <n v="1"/>
    <s v="Y"/>
    <x v="1"/>
    <n v="12"/>
    <n v="3"/>
    <n v="1"/>
    <n v="80"/>
    <n v="0"/>
    <n v="0"/>
    <n v="2"/>
    <n v="3"/>
    <n v="0"/>
    <n v="0"/>
    <n v="0"/>
    <n v="0"/>
    <x v="1"/>
    <n v="1"/>
    <x v="4"/>
    <x v="1"/>
    <s v="0-1 Years"/>
    <s v="High"/>
    <s v="Better"/>
  </r>
  <r>
    <x v="14"/>
    <s v="No"/>
    <s v="Travel_Rarely"/>
    <n v="1476"/>
    <x v="1"/>
    <n v="16"/>
    <n v="2"/>
    <s v="Medical"/>
    <n v="1"/>
    <n v="412"/>
    <n v="2"/>
    <x v="1"/>
    <n v="68"/>
    <n v="4"/>
    <n v="2"/>
    <x v="4"/>
    <n v="1"/>
    <s v="Single"/>
    <n v="5661"/>
    <n v="4824"/>
    <n v="0"/>
    <s v="Y"/>
    <x v="1"/>
    <n v="19"/>
    <n v="3"/>
    <n v="3"/>
    <n v="80"/>
    <n v="0"/>
    <n v="9"/>
    <n v="2"/>
    <n v="3"/>
    <n v="8"/>
    <n v="3"/>
    <n v="0"/>
    <n v="7"/>
    <x v="1"/>
    <n v="1"/>
    <x v="2"/>
    <x v="0"/>
    <s v="6-10 Years"/>
    <s v="Low"/>
    <s v="Better"/>
  </r>
  <r>
    <x v="12"/>
    <s v="No"/>
    <s v="Travel_Rarely"/>
    <n v="218"/>
    <x v="0"/>
    <n v="7"/>
    <n v="3"/>
    <s v="Technical Degree"/>
    <n v="1"/>
    <n v="416"/>
    <n v="2"/>
    <x v="1"/>
    <n v="100"/>
    <n v="4"/>
    <n v="2"/>
    <x v="0"/>
    <n v="4"/>
    <s v="Married"/>
    <n v="6929"/>
    <n v="12241"/>
    <n v="4"/>
    <s v="Y"/>
    <x v="1"/>
    <n v="11"/>
    <n v="3"/>
    <n v="2"/>
    <n v="80"/>
    <n v="1"/>
    <n v="10"/>
    <n v="3"/>
    <n v="2"/>
    <n v="8"/>
    <n v="7"/>
    <n v="7"/>
    <n v="7"/>
    <x v="1"/>
    <n v="1"/>
    <x v="2"/>
    <x v="0"/>
    <s v="6-10 Years"/>
    <s v="Very High"/>
    <s v="Good"/>
  </r>
  <r>
    <x v="22"/>
    <s v="No"/>
    <s v="Travel_Rarely"/>
    <n v="1132"/>
    <x v="1"/>
    <n v="1"/>
    <n v="3"/>
    <s v="Medical"/>
    <n v="1"/>
    <n v="417"/>
    <n v="3"/>
    <x v="1"/>
    <n v="48"/>
    <n v="4"/>
    <n v="3"/>
    <x v="4"/>
    <n v="4"/>
    <s v="Divorced"/>
    <n v="9613"/>
    <n v="10942"/>
    <n v="0"/>
    <s v="Y"/>
    <x v="1"/>
    <n v="17"/>
    <n v="3"/>
    <n v="1"/>
    <n v="80"/>
    <n v="3"/>
    <n v="19"/>
    <n v="5"/>
    <n v="2"/>
    <n v="18"/>
    <n v="10"/>
    <n v="3"/>
    <n v="7"/>
    <x v="1"/>
    <n v="1"/>
    <x v="0"/>
    <x v="2"/>
    <s v="10+ Years"/>
    <s v="Very High"/>
    <s v="Good"/>
  </r>
  <r>
    <x v="9"/>
    <s v="No"/>
    <s v="Non-Travel"/>
    <n v="1105"/>
    <x v="1"/>
    <n v="24"/>
    <n v="4"/>
    <s v="Life Sciences"/>
    <n v="1"/>
    <n v="419"/>
    <n v="2"/>
    <x v="0"/>
    <n v="47"/>
    <n v="3"/>
    <n v="2"/>
    <x v="2"/>
    <n v="2"/>
    <s v="Married"/>
    <n v="5674"/>
    <n v="6927"/>
    <n v="7"/>
    <s v="Y"/>
    <x v="1"/>
    <n v="15"/>
    <n v="3"/>
    <n v="3"/>
    <n v="80"/>
    <n v="1"/>
    <n v="11"/>
    <n v="3"/>
    <n v="3"/>
    <n v="9"/>
    <n v="8"/>
    <n v="0"/>
    <n v="8"/>
    <x v="1"/>
    <n v="1"/>
    <x v="0"/>
    <x v="0"/>
    <s v="6-10 Years"/>
    <s v="Medium"/>
    <s v="Better"/>
  </r>
  <r>
    <x v="5"/>
    <s v="No"/>
    <s v="Travel_Rarely"/>
    <n v="906"/>
    <x v="0"/>
    <n v="7"/>
    <n v="3"/>
    <s v="Life Sciences"/>
    <n v="1"/>
    <n v="420"/>
    <n v="4"/>
    <x v="1"/>
    <n v="91"/>
    <n v="2"/>
    <n v="2"/>
    <x v="0"/>
    <n v="3"/>
    <s v="Married"/>
    <n v="5484"/>
    <n v="16985"/>
    <n v="1"/>
    <s v="Y"/>
    <x v="1"/>
    <n v="14"/>
    <n v="3"/>
    <n v="3"/>
    <n v="80"/>
    <n v="1"/>
    <n v="13"/>
    <n v="3"/>
    <n v="2"/>
    <n v="13"/>
    <n v="8"/>
    <n v="4"/>
    <n v="8"/>
    <x v="1"/>
    <n v="1"/>
    <x v="2"/>
    <x v="0"/>
    <s v="10+ Years"/>
    <s v="High"/>
    <s v="Good"/>
  </r>
  <r>
    <x v="8"/>
    <s v="No"/>
    <s v="Travel_Rarely"/>
    <n v="849"/>
    <x v="1"/>
    <n v="25"/>
    <n v="2"/>
    <s v="Life Sciences"/>
    <n v="1"/>
    <n v="421"/>
    <n v="1"/>
    <x v="0"/>
    <n v="81"/>
    <n v="2"/>
    <n v="3"/>
    <x v="7"/>
    <n v="2"/>
    <s v="Married"/>
    <n v="12061"/>
    <n v="26707"/>
    <n v="3"/>
    <s v="Y"/>
    <x v="1"/>
    <n v="17"/>
    <n v="3"/>
    <n v="3"/>
    <n v="80"/>
    <n v="1"/>
    <n v="19"/>
    <n v="2"/>
    <n v="3"/>
    <n v="10"/>
    <n v="8"/>
    <n v="0"/>
    <n v="1"/>
    <x v="1"/>
    <n v="1"/>
    <x v="0"/>
    <x v="2"/>
    <s v="6-10 Years"/>
    <s v="Medium"/>
    <s v="Better"/>
  </r>
  <r>
    <x v="34"/>
    <s v="No"/>
    <s v="Non-Travel"/>
    <n v="390"/>
    <x v="1"/>
    <n v="1"/>
    <n v="4"/>
    <s v="Life Sciences"/>
    <n v="1"/>
    <n v="422"/>
    <n v="4"/>
    <x v="1"/>
    <n v="32"/>
    <n v="1"/>
    <n v="2"/>
    <x v="4"/>
    <n v="3"/>
    <s v="Divorced"/>
    <n v="5660"/>
    <n v="17056"/>
    <n v="2"/>
    <s v="Y"/>
    <x v="0"/>
    <n v="13"/>
    <n v="3"/>
    <n v="4"/>
    <n v="80"/>
    <n v="1"/>
    <n v="12"/>
    <n v="2"/>
    <n v="3"/>
    <n v="5"/>
    <n v="3"/>
    <n v="1"/>
    <n v="2"/>
    <x v="1"/>
    <n v="1"/>
    <x v="3"/>
    <x v="0"/>
    <s v="2-5 Years"/>
    <s v="High"/>
    <s v="Better"/>
  </r>
  <r>
    <x v="12"/>
    <s v="No"/>
    <s v="Travel_Rarely"/>
    <n v="691"/>
    <x v="1"/>
    <n v="5"/>
    <n v="4"/>
    <s v="Technical Degree"/>
    <n v="1"/>
    <n v="423"/>
    <n v="3"/>
    <x v="1"/>
    <n v="86"/>
    <n v="3"/>
    <n v="1"/>
    <x v="1"/>
    <n v="4"/>
    <s v="Married"/>
    <n v="4821"/>
    <n v="10077"/>
    <n v="0"/>
    <s v="Y"/>
    <x v="0"/>
    <n v="12"/>
    <n v="3"/>
    <n v="3"/>
    <n v="80"/>
    <n v="1"/>
    <n v="6"/>
    <n v="4"/>
    <n v="3"/>
    <n v="5"/>
    <n v="2"/>
    <n v="0"/>
    <n v="3"/>
    <x v="1"/>
    <n v="1"/>
    <x v="2"/>
    <x v="0"/>
    <s v="2-5 Years"/>
    <s v="Very High"/>
    <s v="Better"/>
  </r>
  <r>
    <x v="12"/>
    <s v="No"/>
    <s v="Travel_Rarely"/>
    <n v="106"/>
    <x v="2"/>
    <n v="2"/>
    <n v="3"/>
    <s v="Human Resources"/>
    <n v="1"/>
    <n v="424"/>
    <n v="1"/>
    <x v="1"/>
    <n v="62"/>
    <n v="2"/>
    <n v="2"/>
    <x v="8"/>
    <n v="1"/>
    <s v="Married"/>
    <n v="6410"/>
    <n v="17822"/>
    <n v="3"/>
    <s v="Y"/>
    <x v="1"/>
    <n v="12"/>
    <n v="3"/>
    <n v="4"/>
    <n v="80"/>
    <n v="0"/>
    <n v="9"/>
    <n v="1"/>
    <n v="3"/>
    <n v="2"/>
    <n v="2"/>
    <n v="1"/>
    <n v="0"/>
    <x v="1"/>
    <n v="1"/>
    <x v="2"/>
    <x v="0"/>
    <s v="2-5 Years"/>
    <s v="Low"/>
    <s v="Better"/>
  </r>
  <r>
    <x v="28"/>
    <s v="No"/>
    <s v="Travel_Frequently"/>
    <n v="1249"/>
    <x v="1"/>
    <n v="7"/>
    <n v="3"/>
    <s v="Life Sciences"/>
    <n v="1"/>
    <n v="425"/>
    <n v="1"/>
    <x v="1"/>
    <n v="97"/>
    <n v="3"/>
    <n v="3"/>
    <x v="2"/>
    <n v="1"/>
    <s v="Divorced"/>
    <n v="5210"/>
    <n v="20308"/>
    <n v="1"/>
    <s v="Y"/>
    <x v="1"/>
    <n v="18"/>
    <n v="3"/>
    <n v="1"/>
    <n v="80"/>
    <n v="1"/>
    <n v="24"/>
    <n v="2"/>
    <n v="3"/>
    <n v="24"/>
    <n v="9"/>
    <n v="9"/>
    <n v="11"/>
    <x v="1"/>
    <n v="1"/>
    <x v="1"/>
    <x v="0"/>
    <s v="10+ Years"/>
    <s v="Low"/>
    <s v="Better"/>
  </r>
  <r>
    <x v="12"/>
    <s v="No"/>
    <s v="Travel_Rarely"/>
    <n v="192"/>
    <x v="1"/>
    <n v="2"/>
    <n v="4"/>
    <s v="Life Sciences"/>
    <n v="1"/>
    <n v="426"/>
    <n v="3"/>
    <x v="1"/>
    <n v="32"/>
    <n v="3"/>
    <n v="1"/>
    <x v="1"/>
    <n v="4"/>
    <s v="Divorced"/>
    <n v="2695"/>
    <n v="7747"/>
    <n v="0"/>
    <s v="Y"/>
    <x v="0"/>
    <n v="18"/>
    <n v="3"/>
    <n v="2"/>
    <n v="80"/>
    <n v="1"/>
    <n v="3"/>
    <n v="2"/>
    <n v="1"/>
    <n v="2"/>
    <n v="2"/>
    <n v="2"/>
    <n v="2"/>
    <x v="1"/>
    <n v="1"/>
    <x v="2"/>
    <x v="1"/>
    <s v="2-5 Years"/>
    <s v="Very High"/>
    <s v="Bad"/>
  </r>
  <r>
    <x v="3"/>
    <s v="No"/>
    <s v="Travel_Frequently"/>
    <n v="553"/>
    <x v="1"/>
    <n v="5"/>
    <n v="4"/>
    <s v="Life Sciences"/>
    <n v="1"/>
    <n v="428"/>
    <n v="4"/>
    <x v="0"/>
    <n v="74"/>
    <n v="3"/>
    <n v="3"/>
    <x v="5"/>
    <n v="2"/>
    <s v="Married"/>
    <n v="11878"/>
    <n v="23364"/>
    <n v="6"/>
    <s v="Y"/>
    <x v="1"/>
    <n v="11"/>
    <n v="3"/>
    <n v="2"/>
    <n v="80"/>
    <n v="2"/>
    <n v="12"/>
    <n v="2"/>
    <n v="3"/>
    <n v="10"/>
    <n v="6"/>
    <n v="8"/>
    <n v="8"/>
    <x v="1"/>
    <n v="1"/>
    <x v="2"/>
    <x v="2"/>
    <s v="6-10 Years"/>
    <s v="Medium"/>
    <s v="Better"/>
  </r>
  <r>
    <x v="22"/>
    <s v="No"/>
    <s v="Travel_Rarely"/>
    <n v="117"/>
    <x v="1"/>
    <n v="10"/>
    <n v="1"/>
    <s v="Medical"/>
    <n v="1"/>
    <n v="429"/>
    <n v="3"/>
    <x v="1"/>
    <n v="99"/>
    <n v="3"/>
    <n v="4"/>
    <x v="5"/>
    <n v="1"/>
    <s v="Married"/>
    <n v="17068"/>
    <n v="5355"/>
    <n v="1"/>
    <s v="Y"/>
    <x v="0"/>
    <n v="14"/>
    <n v="3"/>
    <n v="4"/>
    <n v="80"/>
    <n v="0"/>
    <n v="21"/>
    <n v="3"/>
    <n v="3"/>
    <n v="21"/>
    <n v="9"/>
    <n v="11"/>
    <n v="10"/>
    <x v="1"/>
    <n v="1"/>
    <x v="0"/>
    <x v="2"/>
    <s v="10+ Years"/>
    <s v="Low"/>
    <s v="Better"/>
  </r>
  <r>
    <x v="23"/>
    <s v="No"/>
    <s v="Travel_Frequently"/>
    <n v="185"/>
    <x v="1"/>
    <n v="10"/>
    <n v="4"/>
    <s v="Life Sciences"/>
    <n v="1"/>
    <n v="430"/>
    <n v="3"/>
    <x v="0"/>
    <n v="33"/>
    <n v="3"/>
    <n v="1"/>
    <x v="2"/>
    <n v="4"/>
    <s v="Single"/>
    <n v="2455"/>
    <n v="10675"/>
    <n v="0"/>
    <s v="Y"/>
    <x v="1"/>
    <n v="19"/>
    <n v="3"/>
    <n v="1"/>
    <n v="80"/>
    <n v="0"/>
    <n v="9"/>
    <n v="5"/>
    <n v="3"/>
    <n v="8"/>
    <n v="7"/>
    <n v="1"/>
    <n v="7"/>
    <x v="1"/>
    <n v="1"/>
    <x v="0"/>
    <x v="1"/>
    <s v="6-10 Years"/>
    <s v="Very High"/>
    <s v="Better"/>
  </r>
  <r>
    <x v="1"/>
    <s v="No"/>
    <s v="Travel_Rarely"/>
    <n v="1091"/>
    <x v="1"/>
    <n v="1"/>
    <n v="2"/>
    <s v="Technical Degree"/>
    <n v="1"/>
    <n v="431"/>
    <n v="3"/>
    <x v="0"/>
    <n v="90"/>
    <n v="2"/>
    <n v="4"/>
    <x v="4"/>
    <n v="3"/>
    <s v="Single"/>
    <n v="13964"/>
    <n v="17810"/>
    <n v="7"/>
    <s v="Y"/>
    <x v="0"/>
    <n v="12"/>
    <n v="3"/>
    <n v="4"/>
    <n v="80"/>
    <n v="0"/>
    <n v="25"/>
    <n v="2"/>
    <n v="3"/>
    <n v="7"/>
    <n v="1"/>
    <n v="0"/>
    <n v="7"/>
    <x v="1"/>
    <n v="1"/>
    <x v="1"/>
    <x v="2"/>
    <s v="6-10 Years"/>
    <s v="High"/>
    <s v="Better"/>
  </r>
  <r>
    <x v="39"/>
    <s v="Yes"/>
    <s v="Travel_Rarely"/>
    <n v="723"/>
    <x v="1"/>
    <n v="8"/>
    <n v="4"/>
    <s v="Medical"/>
    <n v="1"/>
    <n v="433"/>
    <n v="3"/>
    <x v="1"/>
    <n v="85"/>
    <n v="2"/>
    <n v="2"/>
    <x v="1"/>
    <n v="2"/>
    <s v="Married"/>
    <n v="4941"/>
    <n v="17747"/>
    <n v="2"/>
    <s v="Y"/>
    <x v="1"/>
    <n v="15"/>
    <n v="3"/>
    <n v="1"/>
    <n v="80"/>
    <n v="0"/>
    <n v="11"/>
    <n v="3"/>
    <n v="2"/>
    <n v="8"/>
    <n v="2"/>
    <n v="7"/>
    <n v="7"/>
    <x v="0"/>
    <n v="0"/>
    <x v="1"/>
    <x v="0"/>
    <s v="6-10 Years"/>
    <s v="Medium"/>
    <s v="Good"/>
  </r>
  <r>
    <x v="4"/>
    <s v="No"/>
    <s v="Travel_Rarely"/>
    <n v="1220"/>
    <x v="1"/>
    <n v="5"/>
    <n v="3"/>
    <s v="Life Sciences"/>
    <n v="1"/>
    <n v="434"/>
    <n v="3"/>
    <x v="0"/>
    <n v="85"/>
    <n v="3"/>
    <n v="1"/>
    <x v="1"/>
    <n v="2"/>
    <s v="Single"/>
    <n v="2478"/>
    <n v="20938"/>
    <n v="1"/>
    <s v="Y"/>
    <x v="0"/>
    <n v="12"/>
    <n v="3"/>
    <n v="2"/>
    <n v="80"/>
    <n v="0"/>
    <n v="4"/>
    <n v="2"/>
    <n v="2"/>
    <n v="4"/>
    <n v="3"/>
    <n v="1"/>
    <n v="2"/>
    <x v="1"/>
    <n v="1"/>
    <x v="2"/>
    <x v="1"/>
    <s v="2-5 Years"/>
    <s v="Medium"/>
    <s v="Good"/>
  </r>
  <r>
    <x v="5"/>
    <s v="No"/>
    <s v="Travel_Rarely"/>
    <n v="588"/>
    <x v="0"/>
    <n v="8"/>
    <n v="2"/>
    <s v="Technical Degree"/>
    <n v="1"/>
    <n v="436"/>
    <n v="3"/>
    <x v="0"/>
    <n v="65"/>
    <n v="2"/>
    <n v="2"/>
    <x v="0"/>
    <n v="2"/>
    <s v="Married"/>
    <n v="5228"/>
    <n v="24624"/>
    <n v="1"/>
    <s v="Y"/>
    <x v="0"/>
    <n v="11"/>
    <n v="3"/>
    <n v="4"/>
    <n v="80"/>
    <n v="0"/>
    <n v="13"/>
    <n v="2"/>
    <n v="3"/>
    <n v="13"/>
    <n v="12"/>
    <n v="11"/>
    <n v="9"/>
    <x v="1"/>
    <n v="1"/>
    <x v="2"/>
    <x v="0"/>
    <s v="10+ Years"/>
    <s v="Medium"/>
    <s v="Better"/>
  </r>
  <r>
    <x v="4"/>
    <s v="No"/>
    <s v="Travel_Rarely"/>
    <n v="1377"/>
    <x v="0"/>
    <n v="2"/>
    <n v="3"/>
    <s v="Life Sciences"/>
    <n v="1"/>
    <n v="437"/>
    <n v="4"/>
    <x v="1"/>
    <n v="74"/>
    <n v="3"/>
    <n v="2"/>
    <x v="0"/>
    <n v="3"/>
    <s v="Single"/>
    <n v="4478"/>
    <n v="5242"/>
    <n v="1"/>
    <s v="Y"/>
    <x v="0"/>
    <n v="11"/>
    <n v="3"/>
    <n v="1"/>
    <n v="80"/>
    <n v="0"/>
    <n v="5"/>
    <n v="3"/>
    <n v="3"/>
    <n v="5"/>
    <n v="4"/>
    <n v="0"/>
    <n v="4"/>
    <x v="1"/>
    <n v="1"/>
    <x v="2"/>
    <x v="0"/>
    <s v="2-5 Years"/>
    <s v="High"/>
    <s v="Better"/>
  </r>
  <r>
    <x v="12"/>
    <s v="No"/>
    <s v="Travel_Rarely"/>
    <n v="691"/>
    <x v="0"/>
    <n v="7"/>
    <n v="3"/>
    <s v="Marketing"/>
    <n v="1"/>
    <n v="438"/>
    <n v="4"/>
    <x v="1"/>
    <n v="73"/>
    <n v="3"/>
    <n v="2"/>
    <x v="0"/>
    <n v="4"/>
    <s v="Divorced"/>
    <n v="7547"/>
    <n v="7143"/>
    <n v="4"/>
    <s v="Y"/>
    <x v="1"/>
    <n v="12"/>
    <n v="3"/>
    <n v="4"/>
    <n v="80"/>
    <n v="3"/>
    <n v="13"/>
    <n v="3"/>
    <n v="3"/>
    <n v="7"/>
    <n v="7"/>
    <n v="1"/>
    <n v="7"/>
    <x v="1"/>
    <n v="1"/>
    <x v="2"/>
    <x v="2"/>
    <s v="6-10 Years"/>
    <s v="Very High"/>
    <s v="Better"/>
  </r>
  <r>
    <x v="5"/>
    <s v="No"/>
    <s v="Travel_Rarely"/>
    <n v="1018"/>
    <x v="1"/>
    <n v="2"/>
    <n v="4"/>
    <s v="Medical"/>
    <n v="1"/>
    <n v="439"/>
    <n v="1"/>
    <x v="0"/>
    <n v="74"/>
    <n v="4"/>
    <n v="2"/>
    <x v="1"/>
    <n v="4"/>
    <s v="Single"/>
    <n v="5055"/>
    <n v="10557"/>
    <n v="7"/>
    <s v="Y"/>
    <x v="1"/>
    <n v="16"/>
    <n v="3"/>
    <n v="3"/>
    <n v="80"/>
    <n v="0"/>
    <n v="10"/>
    <n v="0"/>
    <n v="2"/>
    <n v="7"/>
    <n v="7"/>
    <n v="0"/>
    <n v="7"/>
    <x v="1"/>
    <n v="1"/>
    <x v="2"/>
    <x v="0"/>
    <s v="6-10 Years"/>
    <s v="Very High"/>
    <s v="Good"/>
  </r>
  <r>
    <x v="14"/>
    <s v="Yes"/>
    <s v="Travel_Rarely"/>
    <n v="1157"/>
    <x v="1"/>
    <n v="2"/>
    <n v="4"/>
    <s v="Medical"/>
    <n v="1"/>
    <n v="440"/>
    <n v="1"/>
    <x v="1"/>
    <n v="84"/>
    <n v="1"/>
    <n v="1"/>
    <x v="1"/>
    <n v="4"/>
    <s v="Married"/>
    <n v="3464"/>
    <n v="24737"/>
    <n v="5"/>
    <s v="Y"/>
    <x v="0"/>
    <n v="13"/>
    <n v="3"/>
    <n v="4"/>
    <n v="80"/>
    <n v="0"/>
    <n v="5"/>
    <n v="4"/>
    <n v="2"/>
    <n v="3"/>
    <n v="2"/>
    <n v="2"/>
    <n v="2"/>
    <x v="0"/>
    <n v="0"/>
    <x v="2"/>
    <x v="0"/>
    <s v="2-5 Years"/>
    <s v="Very High"/>
    <s v="Good"/>
  </r>
  <r>
    <x v="7"/>
    <s v="No"/>
    <s v="Travel_Rarely"/>
    <n v="1275"/>
    <x v="1"/>
    <n v="28"/>
    <n v="2"/>
    <s v="Medical"/>
    <n v="1"/>
    <n v="441"/>
    <n v="4"/>
    <x v="0"/>
    <n v="64"/>
    <n v="3"/>
    <n v="2"/>
    <x v="1"/>
    <n v="4"/>
    <s v="Married"/>
    <n v="5775"/>
    <n v="11934"/>
    <n v="1"/>
    <s v="Y"/>
    <x v="1"/>
    <n v="13"/>
    <n v="3"/>
    <n v="4"/>
    <n v="80"/>
    <n v="2"/>
    <n v="11"/>
    <n v="2"/>
    <n v="3"/>
    <n v="10"/>
    <n v="8"/>
    <n v="1"/>
    <n v="9"/>
    <x v="1"/>
    <n v="1"/>
    <x v="2"/>
    <x v="0"/>
    <s v="6-10 Years"/>
    <s v="Very High"/>
    <s v="Better"/>
  </r>
  <r>
    <x v="12"/>
    <s v="No"/>
    <s v="Travel_Frequently"/>
    <n v="798"/>
    <x v="1"/>
    <n v="7"/>
    <n v="2"/>
    <s v="Life Sciences"/>
    <n v="1"/>
    <n v="442"/>
    <n v="3"/>
    <x v="0"/>
    <n v="48"/>
    <n v="2"/>
    <n v="3"/>
    <x v="3"/>
    <n v="3"/>
    <s v="Married"/>
    <n v="8943"/>
    <n v="14034"/>
    <n v="1"/>
    <s v="Y"/>
    <x v="1"/>
    <n v="24"/>
    <n v="4"/>
    <n v="1"/>
    <n v="80"/>
    <n v="1"/>
    <n v="10"/>
    <n v="2"/>
    <n v="3"/>
    <n v="10"/>
    <n v="9"/>
    <n v="8"/>
    <n v="9"/>
    <x v="1"/>
    <n v="1"/>
    <x v="2"/>
    <x v="2"/>
    <s v="6-10 Years"/>
    <s v="High"/>
    <s v="Better"/>
  </r>
  <r>
    <x v="22"/>
    <s v="No"/>
    <s v="Travel_Frequently"/>
    <n v="672"/>
    <x v="1"/>
    <n v="7"/>
    <n v="2"/>
    <s v="Medical"/>
    <n v="1"/>
    <n v="444"/>
    <n v="3"/>
    <x v="1"/>
    <n v="54"/>
    <n v="2"/>
    <n v="5"/>
    <x v="5"/>
    <n v="4"/>
    <s v="Married"/>
    <n v="19272"/>
    <n v="21141"/>
    <n v="1"/>
    <s v="Y"/>
    <x v="1"/>
    <n v="15"/>
    <n v="3"/>
    <n v="1"/>
    <n v="80"/>
    <n v="1"/>
    <n v="21"/>
    <n v="2"/>
    <n v="3"/>
    <n v="21"/>
    <n v="9"/>
    <n v="13"/>
    <n v="3"/>
    <x v="1"/>
    <n v="1"/>
    <x v="0"/>
    <x v="2"/>
    <s v="10+ Years"/>
    <s v="Very High"/>
    <s v="Better"/>
  </r>
  <r>
    <x v="22"/>
    <s v="Yes"/>
    <s v="Travel_Rarely"/>
    <n v="1162"/>
    <x v="0"/>
    <n v="3"/>
    <n v="2"/>
    <s v="Medical"/>
    <n v="1"/>
    <n v="445"/>
    <n v="4"/>
    <x v="0"/>
    <n v="41"/>
    <n v="3"/>
    <n v="2"/>
    <x v="0"/>
    <n v="3"/>
    <s v="Married"/>
    <n v="5238"/>
    <n v="17778"/>
    <n v="4"/>
    <s v="Y"/>
    <x v="0"/>
    <n v="18"/>
    <n v="3"/>
    <n v="1"/>
    <n v="80"/>
    <n v="0"/>
    <n v="12"/>
    <n v="3"/>
    <n v="2"/>
    <n v="1"/>
    <n v="0"/>
    <n v="0"/>
    <n v="0"/>
    <x v="0"/>
    <n v="0"/>
    <x v="0"/>
    <x v="0"/>
    <s v="0-1 Years"/>
    <s v="High"/>
    <s v="Good"/>
  </r>
  <r>
    <x v="3"/>
    <s v="No"/>
    <s v="Travel_Frequently"/>
    <n v="508"/>
    <x v="0"/>
    <n v="10"/>
    <n v="3"/>
    <s v="Marketing"/>
    <n v="1"/>
    <n v="446"/>
    <n v="2"/>
    <x v="1"/>
    <n v="46"/>
    <n v="2"/>
    <n v="2"/>
    <x v="0"/>
    <n v="4"/>
    <s v="Single"/>
    <n v="4682"/>
    <n v="4317"/>
    <n v="3"/>
    <s v="Y"/>
    <x v="1"/>
    <n v="14"/>
    <n v="3"/>
    <n v="3"/>
    <n v="80"/>
    <n v="0"/>
    <n v="9"/>
    <n v="6"/>
    <n v="2"/>
    <n v="7"/>
    <n v="7"/>
    <n v="0"/>
    <n v="1"/>
    <x v="1"/>
    <n v="1"/>
    <x v="2"/>
    <x v="0"/>
    <s v="6-10 Years"/>
    <s v="Very High"/>
    <s v="Good"/>
  </r>
  <r>
    <x v="40"/>
    <s v="No"/>
    <s v="Travel_Rarely"/>
    <n v="1482"/>
    <x v="1"/>
    <n v="5"/>
    <n v="5"/>
    <s v="Life Sciences"/>
    <n v="1"/>
    <n v="447"/>
    <n v="4"/>
    <x v="1"/>
    <n v="42"/>
    <n v="3"/>
    <n v="5"/>
    <x v="7"/>
    <n v="3"/>
    <s v="Married"/>
    <n v="18300"/>
    <n v="16375"/>
    <n v="4"/>
    <s v="Y"/>
    <x v="1"/>
    <n v="11"/>
    <n v="3"/>
    <n v="2"/>
    <n v="80"/>
    <n v="1"/>
    <n v="21"/>
    <n v="2"/>
    <n v="3"/>
    <n v="3"/>
    <n v="2"/>
    <n v="1"/>
    <n v="1"/>
    <x v="1"/>
    <n v="1"/>
    <x v="1"/>
    <x v="2"/>
    <s v="2-5 Years"/>
    <s v="High"/>
    <s v="Better"/>
  </r>
  <r>
    <x v="23"/>
    <s v="No"/>
    <s v="Travel_Frequently"/>
    <n v="559"/>
    <x v="1"/>
    <n v="10"/>
    <n v="4"/>
    <s v="Life Sciences"/>
    <n v="1"/>
    <n v="448"/>
    <n v="3"/>
    <x v="0"/>
    <n v="82"/>
    <n v="2"/>
    <n v="2"/>
    <x v="2"/>
    <n v="3"/>
    <s v="Divorced"/>
    <n v="5257"/>
    <n v="6227"/>
    <n v="1"/>
    <s v="Y"/>
    <x v="1"/>
    <n v="11"/>
    <n v="3"/>
    <n v="2"/>
    <n v="80"/>
    <n v="1"/>
    <n v="9"/>
    <n v="3"/>
    <n v="4"/>
    <n v="9"/>
    <n v="7"/>
    <n v="0"/>
    <n v="0"/>
    <x v="1"/>
    <n v="1"/>
    <x v="0"/>
    <x v="0"/>
    <s v="6-10 Years"/>
    <s v="High"/>
    <s v="Best"/>
  </r>
  <r>
    <x v="4"/>
    <s v="No"/>
    <s v="Non-Travel"/>
    <n v="210"/>
    <x v="0"/>
    <n v="1"/>
    <n v="1"/>
    <s v="Marketing"/>
    <n v="1"/>
    <n v="449"/>
    <n v="3"/>
    <x v="1"/>
    <n v="73"/>
    <n v="3"/>
    <n v="2"/>
    <x v="0"/>
    <n v="2"/>
    <s v="Married"/>
    <n v="6349"/>
    <n v="22107"/>
    <n v="0"/>
    <s v="Y"/>
    <x v="0"/>
    <n v="13"/>
    <n v="3"/>
    <n v="4"/>
    <n v="80"/>
    <n v="1"/>
    <n v="6"/>
    <n v="0"/>
    <n v="3"/>
    <n v="5"/>
    <n v="4"/>
    <n v="1"/>
    <n v="4"/>
    <x v="1"/>
    <n v="1"/>
    <x v="2"/>
    <x v="0"/>
    <s v="2-5 Years"/>
    <s v="Medium"/>
    <s v="Better"/>
  </r>
  <r>
    <x v="33"/>
    <s v="No"/>
    <s v="Travel_Frequently"/>
    <n v="928"/>
    <x v="1"/>
    <n v="20"/>
    <n v="4"/>
    <s v="Life Sciences"/>
    <n v="1"/>
    <n v="450"/>
    <n v="4"/>
    <x v="0"/>
    <n v="31"/>
    <n v="3"/>
    <n v="2"/>
    <x v="1"/>
    <n v="3"/>
    <s v="Single"/>
    <n v="4869"/>
    <n v="16885"/>
    <n v="3"/>
    <s v="Y"/>
    <x v="1"/>
    <n v="12"/>
    <n v="3"/>
    <n v="4"/>
    <n v="80"/>
    <n v="0"/>
    <n v="20"/>
    <n v="4"/>
    <n v="2"/>
    <n v="4"/>
    <n v="3"/>
    <n v="0"/>
    <n v="3"/>
    <x v="1"/>
    <n v="1"/>
    <x v="1"/>
    <x v="0"/>
    <s v="2-5 Years"/>
    <s v="High"/>
    <s v="Good"/>
  </r>
  <r>
    <x v="23"/>
    <s v="No"/>
    <s v="Travel_Rarely"/>
    <n v="1001"/>
    <x v="1"/>
    <n v="7"/>
    <n v="3"/>
    <s v="Life Sciences"/>
    <n v="1"/>
    <n v="451"/>
    <n v="3"/>
    <x v="0"/>
    <n v="43"/>
    <n v="3"/>
    <n v="3"/>
    <x v="4"/>
    <n v="1"/>
    <s v="Married"/>
    <n v="9985"/>
    <n v="9262"/>
    <n v="8"/>
    <s v="Y"/>
    <x v="1"/>
    <n v="16"/>
    <n v="3"/>
    <n v="1"/>
    <n v="80"/>
    <n v="1"/>
    <n v="10"/>
    <n v="1"/>
    <n v="2"/>
    <n v="1"/>
    <n v="0"/>
    <n v="0"/>
    <n v="0"/>
    <x v="1"/>
    <n v="1"/>
    <x v="0"/>
    <x v="2"/>
    <s v="0-1 Years"/>
    <s v="Low"/>
    <s v="Good"/>
  </r>
  <r>
    <x v="28"/>
    <s v="No"/>
    <s v="Travel_Rarely"/>
    <n v="549"/>
    <x v="1"/>
    <n v="8"/>
    <n v="4"/>
    <s v="Other"/>
    <n v="1"/>
    <n v="452"/>
    <n v="4"/>
    <x v="1"/>
    <n v="75"/>
    <n v="3"/>
    <n v="2"/>
    <x v="1"/>
    <n v="4"/>
    <s v="Married"/>
    <n v="3697"/>
    <n v="9278"/>
    <n v="9"/>
    <s v="Y"/>
    <x v="1"/>
    <n v="14"/>
    <n v="3"/>
    <n v="1"/>
    <n v="80"/>
    <n v="2"/>
    <n v="12"/>
    <n v="3"/>
    <n v="3"/>
    <n v="10"/>
    <n v="9"/>
    <n v="9"/>
    <n v="8"/>
    <x v="1"/>
    <n v="1"/>
    <x v="1"/>
    <x v="0"/>
    <s v="6-10 Years"/>
    <s v="Very High"/>
    <s v="Better"/>
  </r>
  <r>
    <x v="32"/>
    <s v="No"/>
    <s v="Travel_Rarely"/>
    <n v="1124"/>
    <x v="0"/>
    <n v="1"/>
    <n v="2"/>
    <s v="Medical"/>
    <n v="1"/>
    <n v="453"/>
    <n v="2"/>
    <x v="1"/>
    <n v="57"/>
    <n v="1"/>
    <n v="2"/>
    <x v="0"/>
    <n v="4"/>
    <s v="Married"/>
    <n v="7457"/>
    <n v="13273"/>
    <n v="2"/>
    <s v="Y"/>
    <x v="0"/>
    <n v="22"/>
    <n v="4"/>
    <n v="3"/>
    <n v="80"/>
    <n v="3"/>
    <n v="6"/>
    <n v="2"/>
    <n v="2"/>
    <n v="4"/>
    <n v="3"/>
    <n v="0"/>
    <n v="2"/>
    <x v="1"/>
    <n v="1"/>
    <x v="0"/>
    <x v="2"/>
    <s v="2-5 Years"/>
    <s v="Very High"/>
    <s v="Good"/>
  </r>
  <r>
    <x v="11"/>
    <s v="Yes"/>
    <s v="Travel_Rarely"/>
    <n v="318"/>
    <x v="1"/>
    <n v="8"/>
    <n v="4"/>
    <s v="Other"/>
    <n v="1"/>
    <n v="454"/>
    <n v="2"/>
    <x v="1"/>
    <n v="77"/>
    <n v="1"/>
    <n v="1"/>
    <x v="2"/>
    <n v="1"/>
    <s v="Married"/>
    <n v="2119"/>
    <n v="4759"/>
    <n v="1"/>
    <s v="Y"/>
    <x v="0"/>
    <n v="11"/>
    <n v="3"/>
    <n v="4"/>
    <n v="80"/>
    <n v="0"/>
    <n v="7"/>
    <n v="4"/>
    <n v="2"/>
    <n v="7"/>
    <n v="7"/>
    <n v="0"/>
    <n v="7"/>
    <x v="0"/>
    <n v="0"/>
    <x v="2"/>
    <x v="1"/>
    <s v="6-10 Years"/>
    <s v="Low"/>
    <s v="Good"/>
  </r>
  <r>
    <x v="11"/>
    <s v="No"/>
    <s v="Travel_Rarely"/>
    <n v="738"/>
    <x v="1"/>
    <n v="9"/>
    <n v="5"/>
    <s v="Other"/>
    <n v="1"/>
    <n v="455"/>
    <n v="2"/>
    <x v="1"/>
    <n v="30"/>
    <n v="2"/>
    <n v="1"/>
    <x v="2"/>
    <n v="4"/>
    <s v="Single"/>
    <n v="3983"/>
    <n v="7621"/>
    <n v="0"/>
    <s v="Y"/>
    <x v="1"/>
    <n v="17"/>
    <n v="3"/>
    <n v="3"/>
    <n v="80"/>
    <n v="0"/>
    <n v="4"/>
    <n v="2"/>
    <n v="3"/>
    <n v="3"/>
    <n v="2"/>
    <n v="2"/>
    <n v="2"/>
    <x v="1"/>
    <n v="1"/>
    <x v="2"/>
    <x v="0"/>
    <s v="2-5 Years"/>
    <s v="Very High"/>
    <s v="Better"/>
  </r>
  <r>
    <x v="7"/>
    <s v="No"/>
    <s v="Travel_Rarely"/>
    <n v="570"/>
    <x v="0"/>
    <n v="5"/>
    <n v="3"/>
    <s v="Marketing"/>
    <n v="1"/>
    <n v="456"/>
    <n v="4"/>
    <x v="0"/>
    <n v="30"/>
    <n v="2"/>
    <n v="2"/>
    <x v="0"/>
    <n v="3"/>
    <s v="Divorced"/>
    <n v="6118"/>
    <n v="5431"/>
    <n v="1"/>
    <s v="Y"/>
    <x v="1"/>
    <n v="13"/>
    <n v="3"/>
    <n v="3"/>
    <n v="80"/>
    <n v="3"/>
    <n v="10"/>
    <n v="2"/>
    <n v="3"/>
    <n v="10"/>
    <n v="9"/>
    <n v="1"/>
    <n v="2"/>
    <x v="1"/>
    <n v="1"/>
    <x v="2"/>
    <x v="0"/>
    <s v="6-10 Years"/>
    <s v="High"/>
    <s v="Better"/>
  </r>
  <r>
    <x v="4"/>
    <s v="No"/>
    <s v="Travel_Rarely"/>
    <n v="1130"/>
    <x v="0"/>
    <n v="8"/>
    <n v="4"/>
    <s v="Marketing"/>
    <n v="1"/>
    <n v="458"/>
    <n v="2"/>
    <x v="0"/>
    <n v="56"/>
    <n v="3"/>
    <n v="2"/>
    <x v="0"/>
    <n v="2"/>
    <s v="Married"/>
    <n v="6214"/>
    <n v="3415"/>
    <n v="1"/>
    <s v="Y"/>
    <x v="1"/>
    <n v="18"/>
    <n v="3"/>
    <n v="1"/>
    <n v="80"/>
    <n v="1"/>
    <n v="8"/>
    <n v="3"/>
    <n v="3"/>
    <n v="8"/>
    <n v="7"/>
    <n v="0"/>
    <n v="7"/>
    <x v="1"/>
    <n v="1"/>
    <x v="2"/>
    <x v="0"/>
    <s v="6-10 Years"/>
    <s v="Medium"/>
    <s v="Better"/>
  </r>
  <r>
    <x v="2"/>
    <s v="No"/>
    <s v="Travel_Rarely"/>
    <n v="1192"/>
    <x v="1"/>
    <n v="5"/>
    <n v="2"/>
    <s v="Medical"/>
    <n v="1"/>
    <n v="460"/>
    <n v="4"/>
    <x v="1"/>
    <n v="61"/>
    <n v="3"/>
    <n v="2"/>
    <x v="3"/>
    <n v="4"/>
    <s v="Divorced"/>
    <n v="6347"/>
    <n v="23177"/>
    <n v="7"/>
    <s v="Y"/>
    <x v="1"/>
    <n v="16"/>
    <n v="3"/>
    <n v="3"/>
    <n v="80"/>
    <n v="2"/>
    <n v="8"/>
    <n v="2"/>
    <n v="2"/>
    <n v="6"/>
    <n v="2"/>
    <n v="0"/>
    <n v="4"/>
    <x v="1"/>
    <n v="1"/>
    <x v="0"/>
    <x v="0"/>
    <s v="6-10 Years"/>
    <s v="Very High"/>
    <s v="Good"/>
  </r>
  <r>
    <x v="8"/>
    <s v="No"/>
    <s v="Travel_Rarely"/>
    <n v="343"/>
    <x v="1"/>
    <n v="15"/>
    <n v="2"/>
    <s v="Life Sciences"/>
    <n v="1"/>
    <n v="461"/>
    <n v="3"/>
    <x v="1"/>
    <n v="92"/>
    <n v="2"/>
    <n v="3"/>
    <x v="7"/>
    <n v="4"/>
    <s v="Divorced"/>
    <n v="11510"/>
    <n v="15682"/>
    <n v="0"/>
    <s v="Y"/>
    <x v="0"/>
    <n v="14"/>
    <n v="3"/>
    <n v="2"/>
    <n v="80"/>
    <n v="1"/>
    <n v="12"/>
    <n v="3"/>
    <n v="3"/>
    <n v="11"/>
    <n v="10"/>
    <n v="2"/>
    <n v="9"/>
    <x v="1"/>
    <n v="1"/>
    <x v="0"/>
    <x v="2"/>
    <s v="10+ Years"/>
    <s v="Very High"/>
    <s v="Better"/>
  </r>
  <r>
    <x v="12"/>
    <s v="No"/>
    <s v="Travel_Rarely"/>
    <n v="1232"/>
    <x v="1"/>
    <n v="7"/>
    <n v="4"/>
    <s v="Medical"/>
    <n v="1"/>
    <n v="462"/>
    <n v="3"/>
    <x v="0"/>
    <n v="39"/>
    <n v="3"/>
    <n v="3"/>
    <x v="3"/>
    <n v="4"/>
    <s v="Single"/>
    <n v="7143"/>
    <n v="25713"/>
    <n v="1"/>
    <s v="Y"/>
    <x v="0"/>
    <n v="14"/>
    <n v="3"/>
    <n v="3"/>
    <n v="80"/>
    <n v="0"/>
    <n v="11"/>
    <n v="2"/>
    <n v="2"/>
    <n v="11"/>
    <n v="9"/>
    <n v="4"/>
    <n v="10"/>
    <x v="1"/>
    <n v="1"/>
    <x v="2"/>
    <x v="2"/>
    <s v="10+ Years"/>
    <s v="Very High"/>
    <s v="Good"/>
  </r>
  <r>
    <x v="11"/>
    <s v="No"/>
    <s v="Travel_Rarely"/>
    <n v="144"/>
    <x v="0"/>
    <n v="10"/>
    <n v="1"/>
    <s v="Marketing"/>
    <n v="1"/>
    <n v="463"/>
    <n v="4"/>
    <x v="0"/>
    <n v="39"/>
    <n v="2"/>
    <n v="2"/>
    <x v="0"/>
    <n v="2"/>
    <s v="Divorced"/>
    <n v="8268"/>
    <n v="11866"/>
    <n v="1"/>
    <s v="Y"/>
    <x v="0"/>
    <n v="14"/>
    <n v="3"/>
    <n v="1"/>
    <n v="80"/>
    <n v="2"/>
    <n v="7"/>
    <n v="2"/>
    <n v="3"/>
    <n v="7"/>
    <n v="7"/>
    <n v="1"/>
    <n v="7"/>
    <x v="1"/>
    <n v="1"/>
    <x v="2"/>
    <x v="2"/>
    <s v="6-10 Years"/>
    <s v="Medium"/>
    <s v="Better"/>
  </r>
  <r>
    <x v="10"/>
    <s v="No"/>
    <s v="Travel_Rarely"/>
    <n v="1296"/>
    <x v="1"/>
    <n v="5"/>
    <n v="4"/>
    <s v="Technical Degree"/>
    <n v="1"/>
    <n v="464"/>
    <n v="3"/>
    <x v="1"/>
    <n v="62"/>
    <n v="3"/>
    <n v="3"/>
    <x v="3"/>
    <n v="2"/>
    <s v="Single"/>
    <n v="8095"/>
    <n v="18264"/>
    <n v="0"/>
    <s v="Y"/>
    <x v="1"/>
    <n v="13"/>
    <n v="3"/>
    <n v="4"/>
    <n v="80"/>
    <n v="0"/>
    <n v="17"/>
    <n v="5"/>
    <n v="3"/>
    <n v="16"/>
    <n v="6"/>
    <n v="0"/>
    <n v="13"/>
    <x v="1"/>
    <n v="1"/>
    <x v="0"/>
    <x v="2"/>
    <s v="10+ Years"/>
    <s v="Medium"/>
    <s v="Better"/>
  </r>
  <r>
    <x v="30"/>
    <s v="No"/>
    <s v="Travel_Rarely"/>
    <n v="1309"/>
    <x v="1"/>
    <n v="26"/>
    <n v="1"/>
    <s v="Life Sciences"/>
    <n v="1"/>
    <n v="465"/>
    <n v="3"/>
    <x v="1"/>
    <n v="83"/>
    <n v="3"/>
    <n v="1"/>
    <x v="1"/>
    <n v="4"/>
    <s v="Divorced"/>
    <n v="2904"/>
    <n v="16092"/>
    <n v="1"/>
    <s v="Y"/>
    <x v="1"/>
    <n v="12"/>
    <n v="3"/>
    <n v="3"/>
    <n v="80"/>
    <n v="2"/>
    <n v="4"/>
    <n v="2"/>
    <n v="2"/>
    <n v="4"/>
    <n v="2"/>
    <n v="0"/>
    <n v="2"/>
    <x v="1"/>
    <n v="1"/>
    <x v="4"/>
    <x v="1"/>
    <s v="2-5 Years"/>
    <s v="Very High"/>
    <s v="Good"/>
  </r>
  <r>
    <x v="0"/>
    <s v="No"/>
    <s v="Travel_Rarely"/>
    <n v="483"/>
    <x v="1"/>
    <n v="6"/>
    <n v="3"/>
    <s v="Medical"/>
    <n v="1"/>
    <n v="466"/>
    <n v="4"/>
    <x v="1"/>
    <n v="95"/>
    <n v="2"/>
    <n v="2"/>
    <x v="3"/>
    <n v="2"/>
    <s v="Single"/>
    <n v="6032"/>
    <n v="10110"/>
    <n v="6"/>
    <s v="Y"/>
    <x v="0"/>
    <n v="15"/>
    <n v="3"/>
    <n v="4"/>
    <n v="80"/>
    <n v="0"/>
    <n v="8"/>
    <n v="3"/>
    <n v="3"/>
    <n v="5"/>
    <n v="4"/>
    <n v="1"/>
    <n v="2"/>
    <x v="1"/>
    <n v="1"/>
    <x v="0"/>
    <x v="0"/>
    <s v="2-5 Years"/>
    <s v="Medium"/>
    <s v="Better"/>
  </r>
  <r>
    <x v="40"/>
    <s v="No"/>
    <s v="Travel_Frequently"/>
    <n v="1309"/>
    <x v="0"/>
    <n v="4"/>
    <n v="1"/>
    <s v="Medical"/>
    <n v="1"/>
    <n v="467"/>
    <n v="2"/>
    <x v="1"/>
    <n v="99"/>
    <n v="3"/>
    <n v="2"/>
    <x v="6"/>
    <n v="3"/>
    <s v="Single"/>
    <n v="2976"/>
    <n v="25751"/>
    <n v="3"/>
    <s v="Y"/>
    <x v="1"/>
    <n v="19"/>
    <n v="3"/>
    <n v="1"/>
    <n v="80"/>
    <n v="0"/>
    <n v="5"/>
    <n v="3"/>
    <n v="3"/>
    <n v="0"/>
    <n v="0"/>
    <n v="0"/>
    <n v="0"/>
    <x v="1"/>
    <n v="1"/>
    <x v="1"/>
    <x v="1"/>
    <s v="0-1 Years"/>
    <s v="High"/>
    <s v="Better"/>
  </r>
  <r>
    <x v="19"/>
    <s v="No"/>
    <s v="Travel_Rarely"/>
    <n v="810"/>
    <x v="1"/>
    <n v="23"/>
    <n v="5"/>
    <s v="Life Sciences"/>
    <n v="1"/>
    <n v="468"/>
    <n v="1"/>
    <x v="0"/>
    <n v="44"/>
    <n v="3"/>
    <n v="4"/>
    <x v="7"/>
    <n v="4"/>
    <s v="Single"/>
    <n v="15992"/>
    <n v="15901"/>
    <n v="2"/>
    <s v="Y"/>
    <x v="1"/>
    <n v="14"/>
    <n v="3"/>
    <n v="2"/>
    <n v="80"/>
    <n v="0"/>
    <n v="16"/>
    <n v="2"/>
    <n v="3"/>
    <n v="1"/>
    <n v="0"/>
    <n v="0"/>
    <n v="0"/>
    <x v="1"/>
    <n v="1"/>
    <x v="0"/>
    <x v="2"/>
    <s v="0-1 Years"/>
    <s v="Very High"/>
    <s v="Better"/>
  </r>
  <r>
    <x v="11"/>
    <s v="No"/>
    <s v="Non-Travel"/>
    <n v="746"/>
    <x v="0"/>
    <n v="2"/>
    <n v="3"/>
    <s v="Life Sciences"/>
    <n v="1"/>
    <n v="469"/>
    <n v="4"/>
    <x v="1"/>
    <n v="61"/>
    <n v="3"/>
    <n v="2"/>
    <x v="0"/>
    <n v="3"/>
    <s v="Married"/>
    <n v="4649"/>
    <n v="16928"/>
    <n v="1"/>
    <s v="Y"/>
    <x v="1"/>
    <n v="14"/>
    <n v="3"/>
    <n v="1"/>
    <n v="80"/>
    <n v="1"/>
    <n v="4"/>
    <n v="3"/>
    <n v="2"/>
    <n v="4"/>
    <n v="3"/>
    <n v="0"/>
    <n v="2"/>
    <x v="1"/>
    <n v="1"/>
    <x v="2"/>
    <x v="0"/>
    <s v="2-5 Years"/>
    <s v="High"/>
    <s v="Good"/>
  </r>
  <r>
    <x v="19"/>
    <s v="No"/>
    <s v="Travel_Rarely"/>
    <n v="544"/>
    <x v="2"/>
    <n v="2"/>
    <n v="1"/>
    <s v="Technical Degree"/>
    <n v="1"/>
    <n v="470"/>
    <n v="3"/>
    <x v="1"/>
    <n v="52"/>
    <n v="3"/>
    <n v="1"/>
    <x v="8"/>
    <n v="3"/>
    <s v="Divorced"/>
    <n v="2696"/>
    <n v="24017"/>
    <n v="0"/>
    <s v="Y"/>
    <x v="0"/>
    <n v="11"/>
    <n v="3"/>
    <n v="3"/>
    <n v="80"/>
    <n v="1"/>
    <n v="4"/>
    <n v="5"/>
    <n v="3"/>
    <n v="3"/>
    <n v="2"/>
    <n v="1"/>
    <n v="0"/>
    <x v="1"/>
    <n v="1"/>
    <x v="0"/>
    <x v="1"/>
    <s v="2-5 Years"/>
    <s v="High"/>
    <s v="Better"/>
  </r>
  <r>
    <x v="5"/>
    <s v="No"/>
    <s v="Travel_Rarely"/>
    <n v="1062"/>
    <x v="1"/>
    <n v="2"/>
    <n v="3"/>
    <s v="Medical"/>
    <n v="1"/>
    <n v="471"/>
    <n v="3"/>
    <x v="0"/>
    <n v="75"/>
    <n v="3"/>
    <n v="1"/>
    <x v="2"/>
    <n v="2"/>
    <s v="Married"/>
    <n v="2370"/>
    <n v="3956"/>
    <n v="1"/>
    <s v="Y"/>
    <x v="1"/>
    <n v="13"/>
    <n v="3"/>
    <n v="3"/>
    <n v="80"/>
    <n v="1"/>
    <n v="8"/>
    <n v="4"/>
    <n v="3"/>
    <n v="8"/>
    <n v="0"/>
    <n v="0"/>
    <n v="7"/>
    <x v="1"/>
    <n v="1"/>
    <x v="2"/>
    <x v="1"/>
    <s v="6-10 Years"/>
    <s v="Medium"/>
    <s v="Better"/>
  </r>
  <r>
    <x v="26"/>
    <s v="No"/>
    <s v="Travel_Rarely"/>
    <n v="530"/>
    <x v="0"/>
    <n v="29"/>
    <n v="1"/>
    <s v="Medical"/>
    <n v="1"/>
    <n v="473"/>
    <n v="1"/>
    <x v="0"/>
    <n v="91"/>
    <n v="3"/>
    <n v="3"/>
    <x v="5"/>
    <n v="3"/>
    <s v="Married"/>
    <n v="12504"/>
    <n v="23978"/>
    <n v="3"/>
    <s v="Y"/>
    <x v="1"/>
    <n v="21"/>
    <n v="4"/>
    <n v="2"/>
    <n v="80"/>
    <n v="1"/>
    <n v="15"/>
    <n v="3"/>
    <n v="1"/>
    <n v="0"/>
    <n v="0"/>
    <n v="0"/>
    <n v="0"/>
    <x v="1"/>
    <n v="1"/>
    <x v="1"/>
    <x v="2"/>
    <s v="0-1 Years"/>
    <s v="High"/>
    <s v="Bad"/>
  </r>
  <r>
    <x v="2"/>
    <s v="No"/>
    <s v="Travel_Rarely"/>
    <n v="1319"/>
    <x v="1"/>
    <n v="6"/>
    <n v="3"/>
    <s v="Medical"/>
    <n v="1"/>
    <n v="474"/>
    <n v="3"/>
    <x v="1"/>
    <n v="51"/>
    <n v="4"/>
    <n v="2"/>
    <x v="1"/>
    <n v="1"/>
    <s v="Divorced"/>
    <n v="5974"/>
    <n v="17001"/>
    <n v="4"/>
    <s v="Y"/>
    <x v="0"/>
    <n v="13"/>
    <n v="3"/>
    <n v="1"/>
    <n v="80"/>
    <n v="2"/>
    <n v="13"/>
    <n v="2"/>
    <n v="3"/>
    <n v="7"/>
    <n v="7"/>
    <n v="6"/>
    <n v="7"/>
    <x v="1"/>
    <n v="1"/>
    <x v="0"/>
    <x v="0"/>
    <s v="6-10 Years"/>
    <s v="Low"/>
    <s v="Better"/>
  </r>
  <r>
    <x v="7"/>
    <s v="No"/>
    <s v="Non-Travel"/>
    <n v="641"/>
    <x v="0"/>
    <n v="25"/>
    <n v="2"/>
    <s v="Technical Degree"/>
    <n v="1"/>
    <n v="475"/>
    <n v="4"/>
    <x v="0"/>
    <n v="85"/>
    <n v="3"/>
    <n v="2"/>
    <x v="0"/>
    <n v="3"/>
    <s v="Married"/>
    <n v="4736"/>
    <n v="6069"/>
    <n v="7"/>
    <s v="Y"/>
    <x v="0"/>
    <n v="12"/>
    <n v="3"/>
    <n v="2"/>
    <n v="80"/>
    <n v="1"/>
    <n v="4"/>
    <n v="2"/>
    <n v="4"/>
    <n v="2"/>
    <n v="2"/>
    <n v="2"/>
    <n v="2"/>
    <x v="1"/>
    <n v="1"/>
    <x v="2"/>
    <x v="0"/>
    <s v="2-5 Years"/>
    <s v="High"/>
    <s v="Best"/>
  </r>
  <r>
    <x v="25"/>
    <s v="No"/>
    <s v="Travel_Rarely"/>
    <n v="933"/>
    <x v="0"/>
    <n v="1"/>
    <n v="3"/>
    <s v="Life Sciences"/>
    <n v="1"/>
    <n v="476"/>
    <n v="3"/>
    <x v="1"/>
    <n v="57"/>
    <n v="3"/>
    <n v="2"/>
    <x v="0"/>
    <n v="3"/>
    <s v="Married"/>
    <n v="5296"/>
    <n v="20156"/>
    <n v="1"/>
    <s v="Y"/>
    <x v="1"/>
    <n v="17"/>
    <n v="3"/>
    <n v="2"/>
    <n v="80"/>
    <n v="1"/>
    <n v="8"/>
    <n v="3"/>
    <n v="3"/>
    <n v="8"/>
    <n v="7"/>
    <n v="7"/>
    <n v="7"/>
    <x v="1"/>
    <n v="1"/>
    <x v="2"/>
    <x v="0"/>
    <s v="6-10 Years"/>
    <s v="High"/>
    <s v="Better"/>
  </r>
  <r>
    <x v="19"/>
    <s v="No"/>
    <s v="Travel_Rarely"/>
    <n v="1332"/>
    <x v="1"/>
    <n v="2"/>
    <n v="4"/>
    <s v="Other"/>
    <n v="1"/>
    <n v="477"/>
    <n v="1"/>
    <x v="1"/>
    <n v="98"/>
    <n v="2"/>
    <n v="2"/>
    <x v="4"/>
    <n v="4"/>
    <s v="Single"/>
    <n v="6781"/>
    <n v="17078"/>
    <n v="3"/>
    <s v="Y"/>
    <x v="1"/>
    <n v="23"/>
    <n v="4"/>
    <n v="2"/>
    <n v="80"/>
    <n v="0"/>
    <n v="14"/>
    <n v="6"/>
    <n v="3"/>
    <n v="1"/>
    <n v="0"/>
    <n v="0"/>
    <n v="0"/>
    <x v="1"/>
    <n v="1"/>
    <x v="0"/>
    <x v="0"/>
    <s v="0-1 Years"/>
    <s v="Very High"/>
    <s v="Better"/>
  </r>
  <r>
    <x v="18"/>
    <s v="Yes"/>
    <s v="Travel_Frequently"/>
    <n v="756"/>
    <x v="0"/>
    <n v="1"/>
    <n v="1"/>
    <s v="Technical Degree"/>
    <n v="1"/>
    <n v="478"/>
    <n v="1"/>
    <x v="0"/>
    <n v="99"/>
    <n v="2"/>
    <n v="1"/>
    <x v="6"/>
    <n v="2"/>
    <s v="Single"/>
    <n v="2174"/>
    <n v="9150"/>
    <n v="1"/>
    <s v="Y"/>
    <x v="0"/>
    <n v="11"/>
    <n v="3"/>
    <n v="3"/>
    <n v="80"/>
    <n v="0"/>
    <n v="3"/>
    <n v="3"/>
    <n v="3"/>
    <n v="3"/>
    <n v="2"/>
    <n v="1"/>
    <n v="2"/>
    <x v="0"/>
    <n v="0"/>
    <x v="4"/>
    <x v="1"/>
    <s v="2-5 Years"/>
    <s v="Medium"/>
    <s v="Better"/>
  </r>
  <r>
    <x v="9"/>
    <s v="No"/>
    <s v="Non-Travel"/>
    <n v="845"/>
    <x v="0"/>
    <n v="1"/>
    <n v="5"/>
    <s v="Medical"/>
    <n v="1"/>
    <n v="479"/>
    <n v="4"/>
    <x v="0"/>
    <n v="45"/>
    <n v="3"/>
    <n v="2"/>
    <x v="0"/>
    <n v="4"/>
    <s v="Single"/>
    <n v="6653"/>
    <n v="15276"/>
    <n v="4"/>
    <s v="Y"/>
    <x v="1"/>
    <n v="15"/>
    <n v="3"/>
    <n v="2"/>
    <n v="80"/>
    <n v="0"/>
    <n v="7"/>
    <n v="6"/>
    <n v="3"/>
    <n v="1"/>
    <n v="0"/>
    <n v="0"/>
    <n v="0"/>
    <x v="1"/>
    <n v="1"/>
    <x v="0"/>
    <x v="0"/>
    <s v="0-1 Years"/>
    <s v="Very High"/>
    <s v="Better"/>
  </r>
  <r>
    <x v="9"/>
    <s v="No"/>
    <s v="Travel_Frequently"/>
    <n v="541"/>
    <x v="0"/>
    <n v="3"/>
    <n v="4"/>
    <s v="Medical"/>
    <n v="1"/>
    <n v="481"/>
    <n v="1"/>
    <x v="1"/>
    <n v="48"/>
    <n v="2"/>
    <n v="3"/>
    <x v="0"/>
    <n v="4"/>
    <s v="Married"/>
    <n v="9699"/>
    <n v="7246"/>
    <n v="4"/>
    <s v="Y"/>
    <x v="1"/>
    <n v="11"/>
    <n v="3"/>
    <n v="1"/>
    <n v="80"/>
    <n v="1"/>
    <n v="16"/>
    <n v="2"/>
    <n v="3"/>
    <n v="13"/>
    <n v="9"/>
    <n v="1"/>
    <n v="12"/>
    <x v="1"/>
    <n v="1"/>
    <x v="0"/>
    <x v="2"/>
    <s v="10+ Years"/>
    <s v="Very High"/>
    <s v="Better"/>
  </r>
  <r>
    <x v="38"/>
    <s v="No"/>
    <s v="Travel_Rarely"/>
    <n v="593"/>
    <x v="1"/>
    <n v="1"/>
    <n v="4"/>
    <s v="Medical"/>
    <n v="1"/>
    <n v="482"/>
    <n v="4"/>
    <x v="1"/>
    <n v="88"/>
    <n v="3"/>
    <n v="2"/>
    <x v="4"/>
    <n v="3"/>
    <s v="Married"/>
    <n v="6755"/>
    <n v="2967"/>
    <n v="2"/>
    <s v="Y"/>
    <x v="1"/>
    <n v="11"/>
    <n v="3"/>
    <n v="3"/>
    <n v="80"/>
    <n v="0"/>
    <n v="15"/>
    <n v="2"/>
    <n v="3"/>
    <n v="3"/>
    <n v="2"/>
    <n v="1"/>
    <n v="2"/>
    <x v="1"/>
    <n v="1"/>
    <x v="3"/>
    <x v="0"/>
    <s v="2-5 Years"/>
    <s v="High"/>
    <s v="Better"/>
  </r>
  <r>
    <x v="32"/>
    <s v="No"/>
    <s v="Travel_Rarely"/>
    <n v="1171"/>
    <x v="1"/>
    <n v="10"/>
    <n v="4"/>
    <s v="Life Sciences"/>
    <n v="1"/>
    <n v="483"/>
    <n v="4"/>
    <x v="0"/>
    <n v="46"/>
    <n v="4"/>
    <n v="1"/>
    <x v="2"/>
    <n v="3"/>
    <s v="Married"/>
    <n v="2213"/>
    <n v="22495"/>
    <n v="3"/>
    <s v="Y"/>
    <x v="0"/>
    <n v="13"/>
    <n v="3"/>
    <n v="3"/>
    <n v="80"/>
    <n v="1"/>
    <n v="10"/>
    <n v="3"/>
    <n v="3"/>
    <n v="7"/>
    <n v="7"/>
    <n v="1"/>
    <n v="7"/>
    <x v="1"/>
    <n v="1"/>
    <x v="0"/>
    <x v="1"/>
    <s v="6-10 Years"/>
    <s v="High"/>
    <s v="Better"/>
  </r>
  <r>
    <x v="18"/>
    <s v="No"/>
    <s v="Non-Travel"/>
    <n v="895"/>
    <x v="0"/>
    <n v="9"/>
    <n v="2"/>
    <s v="Medical"/>
    <n v="1"/>
    <n v="484"/>
    <n v="1"/>
    <x v="1"/>
    <n v="39"/>
    <n v="3"/>
    <n v="1"/>
    <x v="6"/>
    <n v="4"/>
    <s v="Single"/>
    <n v="2610"/>
    <n v="2851"/>
    <n v="1"/>
    <s v="Y"/>
    <x v="1"/>
    <n v="24"/>
    <n v="4"/>
    <n v="3"/>
    <n v="80"/>
    <n v="0"/>
    <n v="3"/>
    <n v="3"/>
    <n v="2"/>
    <n v="3"/>
    <n v="2"/>
    <n v="2"/>
    <n v="2"/>
    <x v="1"/>
    <n v="1"/>
    <x v="4"/>
    <x v="1"/>
    <s v="2-5 Years"/>
    <s v="Very High"/>
    <s v="Good"/>
  </r>
  <r>
    <x v="3"/>
    <s v="Yes"/>
    <s v="Travel_Rarely"/>
    <n v="350"/>
    <x v="0"/>
    <n v="5"/>
    <n v="3"/>
    <s v="Marketing"/>
    <n v="1"/>
    <n v="485"/>
    <n v="4"/>
    <x v="0"/>
    <n v="34"/>
    <n v="3"/>
    <n v="1"/>
    <x v="6"/>
    <n v="3"/>
    <s v="Single"/>
    <n v="2851"/>
    <n v="9150"/>
    <n v="1"/>
    <s v="Y"/>
    <x v="0"/>
    <n v="13"/>
    <n v="3"/>
    <n v="2"/>
    <n v="80"/>
    <n v="0"/>
    <n v="1"/>
    <n v="2"/>
    <n v="3"/>
    <n v="1"/>
    <n v="0"/>
    <n v="0"/>
    <n v="0"/>
    <x v="0"/>
    <n v="0"/>
    <x v="2"/>
    <x v="1"/>
    <s v="0-1 Years"/>
    <s v="High"/>
    <s v="Better"/>
  </r>
  <r>
    <x v="2"/>
    <s v="No"/>
    <s v="Travel_Rarely"/>
    <n v="921"/>
    <x v="1"/>
    <n v="10"/>
    <n v="3"/>
    <s v="Medical"/>
    <n v="1"/>
    <n v="486"/>
    <n v="3"/>
    <x v="0"/>
    <n v="98"/>
    <n v="3"/>
    <n v="1"/>
    <x v="2"/>
    <n v="1"/>
    <s v="Married"/>
    <n v="3452"/>
    <n v="17663"/>
    <n v="6"/>
    <s v="Y"/>
    <x v="1"/>
    <n v="20"/>
    <n v="4"/>
    <n v="2"/>
    <n v="80"/>
    <n v="1"/>
    <n v="17"/>
    <n v="3"/>
    <n v="3"/>
    <n v="5"/>
    <n v="4"/>
    <n v="0"/>
    <n v="3"/>
    <x v="1"/>
    <n v="1"/>
    <x v="0"/>
    <x v="0"/>
    <s v="2-5 Years"/>
    <s v="Low"/>
    <s v="Better"/>
  </r>
  <r>
    <x v="21"/>
    <s v="No"/>
    <s v="Non-Travel"/>
    <n v="1144"/>
    <x v="1"/>
    <n v="7"/>
    <n v="4"/>
    <s v="Medical"/>
    <n v="1"/>
    <n v="487"/>
    <n v="3"/>
    <x v="0"/>
    <n v="30"/>
    <n v="3"/>
    <n v="2"/>
    <x v="3"/>
    <n v="3"/>
    <s v="Married"/>
    <n v="5258"/>
    <n v="16044"/>
    <n v="2"/>
    <s v="Y"/>
    <x v="1"/>
    <n v="14"/>
    <n v="3"/>
    <n v="3"/>
    <n v="80"/>
    <n v="0"/>
    <n v="7"/>
    <n v="2"/>
    <n v="4"/>
    <n v="1"/>
    <n v="0"/>
    <n v="0"/>
    <n v="0"/>
    <x v="1"/>
    <n v="1"/>
    <x v="1"/>
    <x v="0"/>
    <s v="0-1 Years"/>
    <s v="High"/>
    <s v="Best"/>
  </r>
  <r>
    <x v="0"/>
    <s v="Yes"/>
    <s v="Travel_Frequently"/>
    <n v="143"/>
    <x v="0"/>
    <n v="4"/>
    <n v="3"/>
    <s v="Marketing"/>
    <n v="1"/>
    <n v="488"/>
    <n v="1"/>
    <x v="1"/>
    <n v="56"/>
    <n v="3"/>
    <n v="2"/>
    <x v="0"/>
    <n v="2"/>
    <s v="Single"/>
    <n v="9355"/>
    <n v="9558"/>
    <n v="1"/>
    <s v="Y"/>
    <x v="1"/>
    <n v="18"/>
    <n v="3"/>
    <n v="3"/>
    <n v="80"/>
    <n v="0"/>
    <n v="8"/>
    <n v="5"/>
    <n v="3"/>
    <n v="8"/>
    <n v="7"/>
    <n v="7"/>
    <n v="7"/>
    <x v="0"/>
    <n v="0"/>
    <x v="0"/>
    <x v="2"/>
    <s v="6-10 Years"/>
    <s v="Medium"/>
    <s v="Better"/>
  </r>
  <r>
    <x v="24"/>
    <s v="No"/>
    <s v="Travel_Rarely"/>
    <n v="1046"/>
    <x v="1"/>
    <n v="10"/>
    <n v="3"/>
    <s v="Technical Degree"/>
    <n v="1"/>
    <n v="491"/>
    <n v="4"/>
    <x v="1"/>
    <n v="100"/>
    <n v="2"/>
    <n v="3"/>
    <x v="4"/>
    <n v="4"/>
    <s v="Single"/>
    <n v="10496"/>
    <n v="2755"/>
    <n v="6"/>
    <s v="Y"/>
    <x v="1"/>
    <n v="15"/>
    <n v="3"/>
    <n v="4"/>
    <n v="80"/>
    <n v="0"/>
    <n v="20"/>
    <n v="2"/>
    <n v="3"/>
    <n v="4"/>
    <n v="3"/>
    <n v="1"/>
    <n v="3"/>
    <x v="1"/>
    <n v="1"/>
    <x v="1"/>
    <x v="2"/>
    <s v="2-5 Years"/>
    <s v="Very High"/>
    <s v="Better"/>
  </r>
  <r>
    <x v="32"/>
    <s v="Yes"/>
    <s v="Travel_Rarely"/>
    <n v="575"/>
    <x v="0"/>
    <n v="22"/>
    <n v="2"/>
    <s v="Marketing"/>
    <n v="1"/>
    <n v="492"/>
    <n v="3"/>
    <x v="1"/>
    <n v="68"/>
    <n v="2"/>
    <n v="2"/>
    <x v="0"/>
    <n v="3"/>
    <s v="Married"/>
    <n v="6380"/>
    <n v="6110"/>
    <n v="2"/>
    <s v="Y"/>
    <x v="0"/>
    <n v="12"/>
    <n v="3"/>
    <n v="1"/>
    <n v="80"/>
    <n v="2"/>
    <n v="8"/>
    <n v="6"/>
    <n v="3"/>
    <n v="6"/>
    <n v="4"/>
    <n v="1"/>
    <n v="0"/>
    <x v="0"/>
    <n v="0"/>
    <x v="0"/>
    <x v="0"/>
    <s v="6-10 Years"/>
    <s v="High"/>
    <s v="Better"/>
  </r>
  <r>
    <x v="12"/>
    <s v="No"/>
    <s v="Travel_Rarely"/>
    <n v="408"/>
    <x v="1"/>
    <n v="9"/>
    <n v="4"/>
    <s v="Life Sciences"/>
    <n v="1"/>
    <n v="493"/>
    <n v="3"/>
    <x v="1"/>
    <n v="42"/>
    <n v="2"/>
    <n v="1"/>
    <x v="1"/>
    <n v="2"/>
    <s v="Single"/>
    <n v="2657"/>
    <n v="7551"/>
    <n v="0"/>
    <s v="Y"/>
    <x v="0"/>
    <n v="16"/>
    <n v="3"/>
    <n v="4"/>
    <n v="80"/>
    <n v="0"/>
    <n v="3"/>
    <n v="5"/>
    <n v="3"/>
    <n v="2"/>
    <n v="2"/>
    <n v="2"/>
    <n v="2"/>
    <x v="1"/>
    <n v="1"/>
    <x v="2"/>
    <x v="1"/>
    <s v="2-5 Years"/>
    <s v="Medium"/>
    <s v="Better"/>
  </r>
  <r>
    <x v="18"/>
    <s v="Yes"/>
    <s v="Travel_Rarely"/>
    <n v="156"/>
    <x v="0"/>
    <n v="12"/>
    <n v="3"/>
    <s v="Life Sciences"/>
    <n v="1"/>
    <n v="494"/>
    <n v="3"/>
    <x v="0"/>
    <n v="90"/>
    <n v="4"/>
    <n v="1"/>
    <x v="6"/>
    <n v="2"/>
    <s v="Single"/>
    <n v="2716"/>
    <n v="25422"/>
    <n v="1"/>
    <s v="Y"/>
    <x v="1"/>
    <n v="15"/>
    <n v="3"/>
    <n v="4"/>
    <n v="80"/>
    <n v="0"/>
    <n v="1"/>
    <n v="0"/>
    <n v="3"/>
    <n v="1"/>
    <n v="0"/>
    <n v="0"/>
    <n v="0"/>
    <x v="0"/>
    <n v="0"/>
    <x v="4"/>
    <x v="1"/>
    <s v="0-1 Years"/>
    <s v="Medium"/>
    <s v="Better"/>
  </r>
  <r>
    <x v="11"/>
    <s v="No"/>
    <s v="Travel_Rarely"/>
    <n v="1283"/>
    <x v="1"/>
    <n v="23"/>
    <n v="3"/>
    <s v="Life Sciences"/>
    <n v="1"/>
    <n v="495"/>
    <n v="4"/>
    <x v="1"/>
    <n v="54"/>
    <n v="3"/>
    <n v="1"/>
    <x v="1"/>
    <n v="4"/>
    <s v="Single"/>
    <n v="2201"/>
    <n v="18168"/>
    <n v="9"/>
    <s v="Y"/>
    <x v="1"/>
    <n v="16"/>
    <n v="3"/>
    <n v="4"/>
    <n v="80"/>
    <n v="0"/>
    <n v="6"/>
    <n v="4"/>
    <n v="3"/>
    <n v="3"/>
    <n v="2"/>
    <n v="1"/>
    <n v="2"/>
    <x v="1"/>
    <n v="1"/>
    <x v="2"/>
    <x v="1"/>
    <s v="2-5 Years"/>
    <s v="Very High"/>
    <s v="Better"/>
  </r>
  <r>
    <x v="10"/>
    <s v="No"/>
    <s v="Travel_Rarely"/>
    <n v="755"/>
    <x v="1"/>
    <n v="9"/>
    <n v="4"/>
    <s v="Life Sciences"/>
    <n v="1"/>
    <n v="496"/>
    <n v="3"/>
    <x v="1"/>
    <n v="97"/>
    <n v="2"/>
    <n v="2"/>
    <x v="4"/>
    <n v="2"/>
    <s v="Single"/>
    <n v="6540"/>
    <n v="19394"/>
    <n v="9"/>
    <s v="Y"/>
    <x v="1"/>
    <n v="19"/>
    <n v="3"/>
    <n v="3"/>
    <n v="80"/>
    <n v="0"/>
    <n v="10"/>
    <n v="5"/>
    <n v="3"/>
    <n v="1"/>
    <n v="1"/>
    <n v="0"/>
    <n v="0"/>
    <x v="1"/>
    <n v="1"/>
    <x v="0"/>
    <x v="0"/>
    <s v="0-1 Years"/>
    <s v="Medium"/>
    <s v="Better"/>
  </r>
  <r>
    <x v="4"/>
    <s v="No"/>
    <s v="Travel_Rarely"/>
    <n v="1469"/>
    <x v="1"/>
    <n v="1"/>
    <n v="2"/>
    <s v="Medical"/>
    <n v="1"/>
    <n v="497"/>
    <n v="4"/>
    <x v="1"/>
    <n v="82"/>
    <n v="3"/>
    <n v="1"/>
    <x v="2"/>
    <n v="2"/>
    <s v="Divorced"/>
    <n v="3816"/>
    <n v="17881"/>
    <n v="1"/>
    <s v="Y"/>
    <x v="1"/>
    <n v="11"/>
    <n v="3"/>
    <n v="2"/>
    <n v="80"/>
    <n v="1"/>
    <n v="5"/>
    <n v="2"/>
    <n v="3"/>
    <n v="5"/>
    <n v="2"/>
    <n v="0"/>
    <n v="4"/>
    <x v="1"/>
    <n v="1"/>
    <x v="2"/>
    <x v="0"/>
    <s v="2-5 Years"/>
    <s v="Medium"/>
    <s v="Better"/>
  </r>
  <r>
    <x v="14"/>
    <s v="No"/>
    <s v="Travel_Rarely"/>
    <n v="304"/>
    <x v="0"/>
    <n v="9"/>
    <n v="4"/>
    <s v="Life Sciences"/>
    <n v="1"/>
    <n v="498"/>
    <n v="2"/>
    <x v="1"/>
    <n v="92"/>
    <n v="3"/>
    <n v="2"/>
    <x v="0"/>
    <n v="4"/>
    <s v="Single"/>
    <n v="5253"/>
    <n v="20750"/>
    <n v="1"/>
    <s v="Y"/>
    <x v="1"/>
    <n v="16"/>
    <n v="3"/>
    <n v="4"/>
    <n v="80"/>
    <n v="0"/>
    <n v="7"/>
    <n v="1"/>
    <n v="3"/>
    <n v="7"/>
    <n v="5"/>
    <n v="0"/>
    <n v="7"/>
    <x v="1"/>
    <n v="1"/>
    <x v="2"/>
    <x v="0"/>
    <s v="6-10 Years"/>
    <s v="Very High"/>
    <s v="Better"/>
  </r>
  <r>
    <x v="1"/>
    <s v="No"/>
    <s v="Travel_Rarely"/>
    <n v="1261"/>
    <x v="1"/>
    <n v="7"/>
    <n v="3"/>
    <s v="Other"/>
    <n v="1"/>
    <n v="499"/>
    <n v="2"/>
    <x v="1"/>
    <n v="31"/>
    <n v="2"/>
    <n v="3"/>
    <x v="4"/>
    <n v="3"/>
    <s v="Single"/>
    <n v="10965"/>
    <n v="12066"/>
    <n v="8"/>
    <s v="Y"/>
    <x v="1"/>
    <n v="24"/>
    <n v="4"/>
    <n v="3"/>
    <n v="80"/>
    <n v="0"/>
    <n v="26"/>
    <n v="2"/>
    <n v="3"/>
    <n v="5"/>
    <n v="2"/>
    <n v="0"/>
    <n v="0"/>
    <x v="1"/>
    <n v="1"/>
    <x v="1"/>
    <x v="2"/>
    <s v="2-5 Years"/>
    <s v="High"/>
    <s v="Better"/>
  </r>
  <r>
    <x v="31"/>
    <s v="No"/>
    <s v="Travel_Rarely"/>
    <n v="1178"/>
    <x v="0"/>
    <n v="14"/>
    <n v="2"/>
    <s v="Life Sciences"/>
    <n v="1"/>
    <n v="500"/>
    <n v="3"/>
    <x v="0"/>
    <n v="87"/>
    <n v="3"/>
    <n v="2"/>
    <x v="0"/>
    <n v="4"/>
    <s v="Married"/>
    <n v="4936"/>
    <n v="14862"/>
    <n v="4"/>
    <s v="Y"/>
    <x v="1"/>
    <n v="11"/>
    <n v="3"/>
    <n v="3"/>
    <n v="80"/>
    <n v="1"/>
    <n v="18"/>
    <n v="2"/>
    <n v="2"/>
    <n v="7"/>
    <n v="7"/>
    <n v="0"/>
    <n v="7"/>
    <x v="1"/>
    <n v="1"/>
    <x v="1"/>
    <x v="0"/>
    <s v="6-10 Years"/>
    <s v="Very High"/>
    <s v="Good"/>
  </r>
  <r>
    <x v="9"/>
    <s v="No"/>
    <s v="Travel_Rarely"/>
    <n v="329"/>
    <x v="1"/>
    <n v="2"/>
    <n v="3"/>
    <s v="Life Sciences"/>
    <n v="1"/>
    <n v="501"/>
    <n v="4"/>
    <x v="0"/>
    <n v="96"/>
    <n v="3"/>
    <n v="1"/>
    <x v="1"/>
    <n v="3"/>
    <s v="Married"/>
    <n v="2543"/>
    <n v="11868"/>
    <n v="4"/>
    <s v="Y"/>
    <x v="1"/>
    <n v="13"/>
    <n v="3"/>
    <n v="2"/>
    <n v="80"/>
    <n v="1"/>
    <n v="6"/>
    <n v="3"/>
    <n v="3"/>
    <n v="2"/>
    <n v="2"/>
    <n v="2"/>
    <n v="2"/>
    <x v="1"/>
    <n v="1"/>
    <x v="0"/>
    <x v="1"/>
    <s v="2-5 Years"/>
    <s v="High"/>
    <s v="Better"/>
  </r>
  <r>
    <x v="13"/>
    <s v="Yes"/>
    <s v="Non-Travel"/>
    <n v="1362"/>
    <x v="0"/>
    <n v="19"/>
    <n v="3"/>
    <s v="Marketing"/>
    <n v="1"/>
    <n v="502"/>
    <n v="1"/>
    <x v="1"/>
    <n v="67"/>
    <n v="4"/>
    <n v="2"/>
    <x v="0"/>
    <n v="4"/>
    <s v="Single"/>
    <n v="5304"/>
    <n v="4652"/>
    <n v="8"/>
    <s v="Y"/>
    <x v="0"/>
    <n v="13"/>
    <n v="3"/>
    <n v="2"/>
    <n v="80"/>
    <n v="0"/>
    <n v="9"/>
    <n v="3"/>
    <n v="2"/>
    <n v="5"/>
    <n v="2"/>
    <n v="0"/>
    <n v="4"/>
    <x v="0"/>
    <n v="0"/>
    <x v="2"/>
    <x v="0"/>
    <s v="2-5 Years"/>
    <s v="Very High"/>
    <s v="Good"/>
  </r>
  <r>
    <x v="27"/>
    <s v="No"/>
    <s v="Travel_Rarely"/>
    <n v="1311"/>
    <x v="1"/>
    <n v="2"/>
    <n v="3"/>
    <s v="Life Sciences"/>
    <n v="1"/>
    <n v="505"/>
    <n v="3"/>
    <x v="0"/>
    <n v="97"/>
    <n v="3"/>
    <n v="4"/>
    <x v="5"/>
    <n v="4"/>
    <s v="Single"/>
    <n v="16659"/>
    <n v="23258"/>
    <n v="2"/>
    <s v="Y"/>
    <x v="0"/>
    <n v="13"/>
    <n v="3"/>
    <n v="3"/>
    <n v="80"/>
    <n v="0"/>
    <n v="30"/>
    <n v="2"/>
    <n v="3"/>
    <n v="5"/>
    <n v="4"/>
    <n v="1"/>
    <n v="2"/>
    <x v="1"/>
    <n v="1"/>
    <x v="3"/>
    <x v="2"/>
    <s v="2-5 Years"/>
    <s v="Very High"/>
    <s v="Better"/>
  </r>
  <r>
    <x v="17"/>
    <s v="No"/>
    <s v="Travel_Rarely"/>
    <n v="1371"/>
    <x v="0"/>
    <n v="10"/>
    <n v="4"/>
    <s v="Marketing"/>
    <n v="1"/>
    <n v="507"/>
    <n v="4"/>
    <x v="0"/>
    <n v="77"/>
    <n v="3"/>
    <n v="2"/>
    <x v="0"/>
    <n v="3"/>
    <s v="Divorced"/>
    <n v="4260"/>
    <n v="5915"/>
    <n v="1"/>
    <s v="Y"/>
    <x v="0"/>
    <n v="12"/>
    <n v="3"/>
    <n v="4"/>
    <n v="80"/>
    <n v="1"/>
    <n v="5"/>
    <n v="2"/>
    <n v="4"/>
    <n v="5"/>
    <n v="2"/>
    <n v="0"/>
    <n v="3"/>
    <x v="1"/>
    <n v="1"/>
    <x v="4"/>
    <x v="0"/>
    <s v="2-5 Years"/>
    <s v="High"/>
    <s v="Best"/>
  </r>
  <r>
    <x v="7"/>
    <s v="No"/>
    <s v="Travel_Rarely"/>
    <n v="202"/>
    <x v="0"/>
    <n v="2"/>
    <n v="1"/>
    <s v="Technical Degree"/>
    <n v="1"/>
    <n v="508"/>
    <n v="3"/>
    <x v="1"/>
    <n v="72"/>
    <n v="3"/>
    <n v="1"/>
    <x v="6"/>
    <n v="2"/>
    <s v="Married"/>
    <n v="2476"/>
    <n v="17434"/>
    <n v="1"/>
    <s v="Y"/>
    <x v="1"/>
    <n v="18"/>
    <n v="3"/>
    <n v="1"/>
    <n v="80"/>
    <n v="1"/>
    <n v="1"/>
    <n v="3"/>
    <n v="3"/>
    <n v="1"/>
    <n v="0"/>
    <n v="0"/>
    <n v="0"/>
    <x v="1"/>
    <n v="1"/>
    <x v="2"/>
    <x v="1"/>
    <s v="0-1 Years"/>
    <s v="Medium"/>
    <s v="Better"/>
  </r>
  <r>
    <x v="25"/>
    <s v="Yes"/>
    <s v="Travel_Frequently"/>
    <n v="575"/>
    <x v="1"/>
    <n v="3"/>
    <n v="1"/>
    <s v="Technical Degree"/>
    <n v="1"/>
    <n v="510"/>
    <n v="3"/>
    <x v="1"/>
    <n v="73"/>
    <n v="3"/>
    <n v="1"/>
    <x v="1"/>
    <n v="1"/>
    <s v="Single"/>
    <n v="3102"/>
    <n v="6582"/>
    <n v="0"/>
    <s v="Y"/>
    <x v="1"/>
    <n v="22"/>
    <n v="4"/>
    <n v="3"/>
    <n v="80"/>
    <n v="0"/>
    <n v="7"/>
    <n v="2"/>
    <n v="3"/>
    <n v="6"/>
    <n v="4"/>
    <n v="0"/>
    <n v="4"/>
    <x v="0"/>
    <n v="0"/>
    <x v="2"/>
    <x v="0"/>
    <s v="6-10 Years"/>
    <s v="Low"/>
    <s v="Better"/>
  </r>
  <r>
    <x v="15"/>
    <s v="No"/>
    <s v="Travel_Rarely"/>
    <n v="253"/>
    <x v="1"/>
    <n v="11"/>
    <n v="3"/>
    <s v="Medical"/>
    <n v="1"/>
    <n v="511"/>
    <n v="1"/>
    <x v="0"/>
    <n v="43"/>
    <n v="3"/>
    <n v="1"/>
    <x v="1"/>
    <n v="2"/>
    <s v="Married"/>
    <n v="2244"/>
    <n v="24440"/>
    <n v="1"/>
    <s v="Y"/>
    <x v="1"/>
    <n v="13"/>
    <n v="3"/>
    <n v="4"/>
    <n v="80"/>
    <n v="1"/>
    <n v="2"/>
    <n v="1"/>
    <n v="3"/>
    <n v="2"/>
    <n v="1"/>
    <n v="1"/>
    <n v="2"/>
    <x v="1"/>
    <n v="1"/>
    <x v="4"/>
    <x v="1"/>
    <s v="2-5 Years"/>
    <s v="Medium"/>
    <s v="Better"/>
  </r>
  <r>
    <x v="9"/>
    <s v="No"/>
    <s v="Travel_Rarely"/>
    <n v="164"/>
    <x v="0"/>
    <n v="2"/>
    <n v="2"/>
    <s v="Medical"/>
    <n v="1"/>
    <n v="513"/>
    <n v="2"/>
    <x v="1"/>
    <n v="61"/>
    <n v="2"/>
    <n v="3"/>
    <x v="0"/>
    <n v="3"/>
    <s v="Married"/>
    <n v="7596"/>
    <n v="3809"/>
    <n v="1"/>
    <s v="Y"/>
    <x v="1"/>
    <n v="13"/>
    <n v="3"/>
    <n v="2"/>
    <n v="80"/>
    <n v="2"/>
    <n v="10"/>
    <n v="2"/>
    <n v="3"/>
    <n v="10"/>
    <n v="9"/>
    <n v="9"/>
    <n v="0"/>
    <x v="1"/>
    <n v="1"/>
    <x v="0"/>
    <x v="2"/>
    <s v="6-10 Years"/>
    <s v="High"/>
    <s v="Better"/>
  </r>
  <r>
    <x v="7"/>
    <s v="Yes"/>
    <s v="Travel_Frequently"/>
    <n v="464"/>
    <x v="1"/>
    <n v="4"/>
    <n v="3"/>
    <s v="Technical Degree"/>
    <n v="1"/>
    <n v="514"/>
    <n v="3"/>
    <x v="1"/>
    <n v="40"/>
    <n v="3"/>
    <n v="1"/>
    <x v="1"/>
    <n v="4"/>
    <s v="Single"/>
    <n v="2285"/>
    <n v="3427"/>
    <n v="9"/>
    <s v="Y"/>
    <x v="0"/>
    <n v="23"/>
    <n v="4"/>
    <n v="3"/>
    <n v="80"/>
    <n v="0"/>
    <n v="3"/>
    <n v="4"/>
    <n v="3"/>
    <n v="1"/>
    <n v="0"/>
    <n v="0"/>
    <n v="0"/>
    <x v="0"/>
    <n v="0"/>
    <x v="2"/>
    <x v="1"/>
    <s v="0-1 Years"/>
    <s v="Very High"/>
    <s v="Better"/>
  </r>
  <r>
    <x v="2"/>
    <s v="No"/>
    <s v="Travel_Rarely"/>
    <n v="1107"/>
    <x v="1"/>
    <n v="14"/>
    <n v="3"/>
    <s v="Life Sciences"/>
    <n v="1"/>
    <n v="515"/>
    <n v="4"/>
    <x v="0"/>
    <n v="95"/>
    <n v="3"/>
    <n v="1"/>
    <x v="2"/>
    <n v="1"/>
    <s v="Divorced"/>
    <n v="3034"/>
    <n v="26914"/>
    <n v="1"/>
    <s v="Y"/>
    <x v="1"/>
    <n v="12"/>
    <n v="3"/>
    <n v="3"/>
    <n v="80"/>
    <n v="1"/>
    <n v="18"/>
    <n v="2"/>
    <n v="2"/>
    <n v="18"/>
    <n v="7"/>
    <n v="12"/>
    <n v="17"/>
    <x v="1"/>
    <n v="1"/>
    <x v="0"/>
    <x v="0"/>
    <s v="10+ Years"/>
    <s v="Low"/>
    <s v="Good"/>
  </r>
  <r>
    <x v="32"/>
    <s v="No"/>
    <s v="Travel_Rarely"/>
    <n v="759"/>
    <x v="0"/>
    <n v="2"/>
    <n v="2"/>
    <s v="Marketing"/>
    <n v="1"/>
    <n v="516"/>
    <n v="4"/>
    <x v="0"/>
    <n v="46"/>
    <n v="3"/>
    <n v="2"/>
    <x v="0"/>
    <n v="2"/>
    <s v="Divorced"/>
    <n v="5715"/>
    <n v="22553"/>
    <n v="7"/>
    <s v="Y"/>
    <x v="1"/>
    <n v="12"/>
    <n v="3"/>
    <n v="3"/>
    <n v="80"/>
    <n v="2"/>
    <n v="8"/>
    <n v="5"/>
    <n v="3"/>
    <n v="5"/>
    <n v="4"/>
    <n v="1"/>
    <n v="3"/>
    <x v="1"/>
    <n v="1"/>
    <x v="0"/>
    <x v="0"/>
    <s v="2-5 Years"/>
    <s v="Medium"/>
    <s v="Better"/>
  </r>
  <r>
    <x v="19"/>
    <s v="No"/>
    <s v="Travel_Rarely"/>
    <n v="201"/>
    <x v="1"/>
    <n v="1"/>
    <n v="4"/>
    <s v="Life Sciences"/>
    <n v="1"/>
    <n v="517"/>
    <n v="2"/>
    <x v="0"/>
    <n v="95"/>
    <n v="3"/>
    <n v="1"/>
    <x v="2"/>
    <n v="1"/>
    <s v="Divorced"/>
    <n v="2576"/>
    <n v="20490"/>
    <n v="3"/>
    <s v="Y"/>
    <x v="1"/>
    <n v="16"/>
    <n v="3"/>
    <n v="2"/>
    <n v="80"/>
    <n v="1"/>
    <n v="8"/>
    <n v="5"/>
    <n v="3"/>
    <n v="5"/>
    <n v="2"/>
    <n v="1"/>
    <n v="2"/>
    <x v="1"/>
    <n v="1"/>
    <x v="0"/>
    <x v="1"/>
    <s v="2-5 Years"/>
    <s v="Low"/>
    <s v="Better"/>
  </r>
  <r>
    <x v="2"/>
    <s v="No"/>
    <s v="Travel_Rarely"/>
    <n v="1305"/>
    <x v="1"/>
    <n v="10"/>
    <n v="4"/>
    <s v="Life Sciences"/>
    <n v="1"/>
    <n v="518"/>
    <n v="3"/>
    <x v="1"/>
    <n v="49"/>
    <n v="3"/>
    <n v="2"/>
    <x v="3"/>
    <n v="2"/>
    <s v="Single"/>
    <n v="4197"/>
    <n v="21123"/>
    <n v="2"/>
    <s v="Y"/>
    <x v="0"/>
    <n v="12"/>
    <n v="3"/>
    <n v="4"/>
    <n v="80"/>
    <n v="0"/>
    <n v="18"/>
    <n v="2"/>
    <n v="2"/>
    <n v="1"/>
    <n v="0"/>
    <n v="0"/>
    <n v="1"/>
    <x v="1"/>
    <n v="1"/>
    <x v="0"/>
    <x v="0"/>
    <s v="0-1 Years"/>
    <s v="Medium"/>
    <s v="Good"/>
  </r>
  <r>
    <x v="23"/>
    <s v="No"/>
    <s v="Travel_Rarely"/>
    <n v="982"/>
    <x v="1"/>
    <n v="12"/>
    <n v="3"/>
    <s v="Life Sciences"/>
    <n v="1"/>
    <n v="520"/>
    <n v="1"/>
    <x v="1"/>
    <n v="59"/>
    <n v="2"/>
    <n v="4"/>
    <x v="7"/>
    <n v="2"/>
    <s v="Divorced"/>
    <n v="14336"/>
    <n v="4345"/>
    <n v="1"/>
    <s v="Y"/>
    <x v="1"/>
    <n v="11"/>
    <n v="3"/>
    <n v="3"/>
    <n v="80"/>
    <n v="1"/>
    <n v="25"/>
    <n v="3"/>
    <n v="3"/>
    <n v="25"/>
    <n v="10"/>
    <n v="3"/>
    <n v="9"/>
    <x v="1"/>
    <n v="1"/>
    <x v="0"/>
    <x v="2"/>
    <s v="10+ Years"/>
    <s v="Medium"/>
    <s v="Better"/>
  </r>
  <r>
    <x v="32"/>
    <s v="No"/>
    <s v="Travel_Rarely"/>
    <n v="555"/>
    <x v="1"/>
    <n v="2"/>
    <n v="3"/>
    <s v="Medical"/>
    <n v="1"/>
    <n v="521"/>
    <n v="2"/>
    <x v="0"/>
    <n v="78"/>
    <n v="2"/>
    <n v="2"/>
    <x v="2"/>
    <n v="3"/>
    <s v="Married"/>
    <n v="3448"/>
    <n v="13436"/>
    <n v="6"/>
    <s v="Y"/>
    <x v="1"/>
    <n v="22"/>
    <n v="4"/>
    <n v="2"/>
    <n v="80"/>
    <n v="1"/>
    <n v="20"/>
    <n v="3"/>
    <n v="3"/>
    <n v="1"/>
    <n v="0"/>
    <n v="0"/>
    <n v="0"/>
    <x v="1"/>
    <n v="1"/>
    <x v="0"/>
    <x v="0"/>
    <s v="0-1 Years"/>
    <s v="High"/>
    <s v="Better"/>
  </r>
  <r>
    <x v="33"/>
    <s v="No"/>
    <s v="Travel_Rarely"/>
    <n v="821"/>
    <x v="1"/>
    <n v="5"/>
    <n v="2"/>
    <s v="Medical"/>
    <n v="1"/>
    <n v="522"/>
    <n v="1"/>
    <x v="1"/>
    <n v="86"/>
    <n v="3"/>
    <n v="5"/>
    <x v="7"/>
    <n v="1"/>
    <s v="Married"/>
    <n v="19406"/>
    <n v="8509"/>
    <n v="4"/>
    <s v="Y"/>
    <x v="1"/>
    <n v="11"/>
    <n v="3"/>
    <n v="3"/>
    <n v="80"/>
    <n v="1"/>
    <n v="24"/>
    <n v="4"/>
    <n v="2"/>
    <n v="4"/>
    <n v="2"/>
    <n v="1"/>
    <n v="2"/>
    <x v="1"/>
    <n v="1"/>
    <x v="1"/>
    <x v="2"/>
    <s v="2-5 Years"/>
    <s v="Low"/>
    <s v="Good"/>
  </r>
  <r>
    <x v="13"/>
    <s v="No"/>
    <s v="Non-Travel"/>
    <n v="1381"/>
    <x v="0"/>
    <n v="4"/>
    <n v="4"/>
    <s v="Marketing"/>
    <n v="1"/>
    <n v="523"/>
    <n v="3"/>
    <x v="0"/>
    <n v="72"/>
    <n v="3"/>
    <n v="2"/>
    <x v="0"/>
    <n v="3"/>
    <s v="Married"/>
    <n v="6538"/>
    <n v="12740"/>
    <n v="9"/>
    <s v="Y"/>
    <x v="1"/>
    <n v="15"/>
    <n v="3"/>
    <n v="1"/>
    <n v="80"/>
    <n v="1"/>
    <n v="6"/>
    <n v="3"/>
    <n v="3"/>
    <n v="3"/>
    <n v="2"/>
    <n v="1"/>
    <n v="2"/>
    <x v="1"/>
    <n v="1"/>
    <x v="2"/>
    <x v="0"/>
    <s v="2-5 Years"/>
    <s v="High"/>
    <s v="Better"/>
  </r>
  <r>
    <x v="12"/>
    <s v="No"/>
    <s v="Travel_Rarely"/>
    <n v="480"/>
    <x v="1"/>
    <n v="7"/>
    <n v="2"/>
    <s v="Medical"/>
    <n v="1"/>
    <n v="524"/>
    <n v="2"/>
    <x v="0"/>
    <n v="31"/>
    <n v="3"/>
    <n v="2"/>
    <x v="3"/>
    <n v="1"/>
    <s v="Married"/>
    <n v="4306"/>
    <n v="4156"/>
    <n v="1"/>
    <s v="Y"/>
    <x v="1"/>
    <n v="12"/>
    <n v="3"/>
    <n v="2"/>
    <n v="80"/>
    <n v="1"/>
    <n v="13"/>
    <n v="5"/>
    <n v="1"/>
    <n v="13"/>
    <n v="10"/>
    <n v="3"/>
    <n v="12"/>
    <x v="1"/>
    <n v="1"/>
    <x v="2"/>
    <x v="0"/>
    <s v="10+ Years"/>
    <s v="Low"/>
    <s v="Bad"/>
  </r>
  <r>
    <x v="23"/>
    <s v="No"/>
    <s v="Travel_Frequently"/>
    <n v="313"/>
    <x v="1"/>
    <n v="21"/>
    <n v="3"/>
    <s v="Medical"/>
    <n v="1"/>
    <n v="525"/>
    <n v="4"/>
    <x v="1"/>
    <n v="61"/>
    <n v="3"/>
    <n v="1"/>
    <x v="2"/>
    <n v="4"/>
    <s v="Married"/>
    <n v="2258"/>
    <n v="15238"/>
    <n v="7"/>
    <s v="Y"/>
    <x v="1"/>
    <n v="20"/>
    <n v="4"/>
    <n v="1"/>
    <n v="80"/>
    <n v="1"/>
    <n v="8"/>
    <n v="1"/>
    <n v="3"/>
    <n v="3"/>
    <n v="2"/>
    <n v="1"/>
    <n v="2"/>
    <x v="1"/>
    <n v="1"/>
    <x v="0"/>
    <x v="1"/>
    <s v="2-5 Years"/>
    <s v="Very High"/>
    <s v="Better"/>
  </r>
  <r>
    <x v="23"/>
    <s v="No"/>
    <s v="Travel_Rarely"/>
    <n v="1473"/>
    <x v="1"/>
    <n v="8"/>
    <n v="4"/>
    <s v="Other"/>
    <n v="1"/>
    <n v="526"/>
    <n v="3"/>
    <x v="0"/>
    <n v="74"/>
    <n v="3"/>
    <n v="2"/>
    <x v="4"/>
    <n v="3"/>
    <s v="Divorced"/>
    <n v="4522"/>
    <n v="2227"/>
    <n v="4"/>
    <s v="Y"/>
    <x v="0"/>
    <n v="14"/>
    <n v="3"/>
    <n v="4"/>
    <n v="80"/>
    <n v="0"/>
    <n v="8"/>
    <n v="3"/>
    <n v="3"/>
    <n v="5"/>
    <n v="2"/>
    <n v="0"/>
    <n v="2"/>
    <x v="1"/>
    <n v="1"/>
    <x v="0"/>
    <x v="0"/>
    <s v="2-5 Years"/>
    <s v="High"/>
    <s v="Better"/>
  </r>
  <r>
    <x v="36"/>
    <s v="No"/>
    <s v="Travel_Rarely"/>
    <n v="891"/>
    <x v="0"/>
    <n v="4"/>
    <n v="2"/>
    <s v="Life Sciences"/>
    <n v="1"/>
    <n v="527"/>
    <n v="2"/>
    <x v="0"/>
    <n v="99"/>
    <n v="2"/>
    <n v="2"/>
    <x v="0"/>
    <n v="4"/>
    <s v="Single"/>
    <n v="4487"/>
    <n v="12090"/>
    <n v="1"/>
    <s v="Y"/>
    <x v="0"/>
    <n v="11"/>
    <n v="3"/>
    <n v="2"/>
    <n v="80"/>
    <n v="0"/>
    <n v="5"/>
    <n v="3"/>
    <n v="3"/>
    <n v="5"/>
    <n v="4"/>
    <n v="1"/>
    <n v="3"/>
    <x v="1"/>
    <n v="1"/>
    <x v="2"/>
    <x v="0"/>
    <s v="2-5 Years"/>
    <s v="Very High"/>
    <s v="Better"/>
  </r>
  <r>
    <x v="2"/>
    <s v="No"/>
    <s v="Non-Travel"/>
    <n v="1063"/>
    <x v="1"/>
    <n v="25"/>
    <n v="5"/>
    <s v="Medical"/>
    <n v="1"/>
    <n v="529"/>
    <n v="2"/>
    <x v="0"/>
    <n v="72"/>
    <n v="3"/>
    <n v="2"/>
    <x v="1"/>
    <n v="3"/>
    <s v="Married"/>
    <n v="4449"/>
    <n v="23866"/>
    <n v="3"/>
    <s v="Y"/>
    <x v="0"/>
    <n v="15"/>
    <n v="3"/>
    <n v="1"/>
    <n v="80"/>
    <n v="2"/>
    <n v="15"/>
    <n v="2"/>
    <n v="3"/>
    <n v="13"/>
    <n v="11"/>
    <n v="10"/>
    <n v="7"/>
    <x v="1"/>
    <n v="1"/>
    <x v="0"/>
    <x v="0"/>
    <s v="10+ Years"/>
    <s v="High"/>
    <s v="Better"/>
  </r>
  <r>
    <x v="12"/>
    <s v="No"/>
    <s v="Travel_Rarely"/>
    <n v="329"/>
    <x v="1"/>
    <n v="1"/>
    <n v="2"/>
    <s v="Life Sciences"/>
    <n v="1"/>
    <n v="530"/>
    <n v="4"/>
    <x v="1"/>
    <n v="98"/>
    <n v="2"/>
    <n v="1"/>
    <x v="2"/>
    <n v="1"/>
    <s v="Married"/>
    <n v="2218"/>
    <n v="16193"/>
    <n v="1"/>
    <s v="Y"/>
    <x v="1"/>
    <n v="12"/>
    <n v="3"/>
    <n v="3"/>
    <n v="80"/>
    <n v="1"/>
    <n v="4"/>
    <n v="3"/>
    <n v="3"/>
    <n v="4"/>
    <n v="2"/>
    <n v="3"/>
    <n v="2"/>
    <x v="1"/>
    <n v="1"/>
    <x v="2"/>
    <x v="1"/>
    <s v="2-5 Years"/>
    <s v="Low"/>
    <s v="Better"/>
  </r>
  <r>
    <x v="22"/>
    <s v="No"/>
    <s v="Travel_Frequently"/>
    <n v="1218"/>
    <x v="1"/>
    <n v="1"/>
    <n v="1"/>
    <s v="Life Sciences"/>
    <n v="1"/>
    <n v="531"/>
    <n v="2"/>
    <x v="1"/>
    <n v="52"/>
    <n v="3"/>
    <n v="5"/>
    <x v="5"/>
    <n v="3"/>
    <s v="Divorced"/>
    <n v="19197"/>
    <n v="8213"/>
    <n v="1"/>
    <s v="Y"/>
    <x v="0"/>
    <n v="14"/>
    <n v="3"/>
    <n v="3"/>
    <n v="80"/>
    <n v="1"/>
    <n v="21"/>
    <n v="3"/>
    <n v="3"/>
    <n v="21"/>
    <n v="8"/>
    <n v="1"/>
    <n v="6"/>
    <x v="1"/>
    <n v="1"/>
    <x v="0"/>
    <x v="2"/>
    <s v="10+ Years"/>
    <s v="High"/>
    <s v="Better"/>
  </r>
  <r>
    <x v="29"/>
    <s v="No"/>
    <s v="Travel_Frequently"/>
    <n v="906"/>
    <x v="0"/>
    <n v="6"/>
    <n v="3"/>
    <s v="Life Sciences"/>
    <n v="1"/>
    <n v="532"/>
    <n v="3"/>
    <x v="0"/>
    <n v="86"/>
    <n v="4"/>
    <n v="4"/>
    <x v="0"/>
    <n v="1"/>
    <s v="Married"/>
    <n v="13212"/>
    <n v="18256"/>
    <n v="9"/>
    <s v="Y"/>
    <x v="1"/>
    <n v="11"/>
    <n v="3"/>
    <n v="4"/>
    <n v="80"/>
    <n v="3"/>
    <n v="36"/>
    <n v="0"/>
    <n v="2"/>
    <n v="7"/>
    <n v="7"/>
    <n v="7"/>
    <n v="7"/>
    <x v="1"/>
    <n v="1"/>
    <x v="3"/>
    <x v="2"/>
    <s v="6-10 Years"/>
    <s v="Low"/>
    <s v="Good"/>
  </r>
  <r>
    <x v="7"/>
    <s v="No"/>
    <s v="Travel_Rarely"/>
    <n v="1082"/>
    <x v="0"/>
    <n v="12"/>
    <n v="3"/>
    <s v="Technical Degree"/>
    <n v="1"/>
    <n v="533"/>
    <n v="2"/>
    <x v="0"/>
    <n v="83"/>
    <n v="3"/>
    <n v="2"/>
    <x v="0"/>
    <n v="3"/>
    <s v="Single"/>
    <n v="6577"/>
    <n v="19558"/>
    <n v="0"/>
    <s v="Y"/>
    <x v="1"/>
    <n v="11"/>
    <n v="3"/>
    <n v="2"/>
    <n v="80"/>
    <n v="0"/>
    <n v="6"/>
    <n v="6"/>
    <n v="3"/>
    <n v="5"/>
    <n v="4"/>
    <n v="4"/>
    <n v="4"/>
    <x v="1"/>
    <n v="1"/>
    <x v="2"/>
    <x v="0"/>
    <s v="2-5 Years"/>
    <s v="High"/>
    <s v="Better"/>
  </r>
  <r>
    <x v="0"/>
    <s v="No"/>
    <s v="Travel_Rarely"/>
    <n v="645"/>
    <x v="0"/>
    <n v="1"/>
    <n v="3"/>
    <s v="Marketing"/>
    <n v="1"/>
    <n v="534"/>
    <n v="2"/>
    <x v="1"/>
    <n v="49"/>
    <n v="4"/>
    <n v="3"/>
    <x v="0"/>
    <n v="1"/>
    <s v="Married"/>
    <n v="8392"/>
    <n v="19566"/>
    <n v="1"/>
    <s v="Y"/>
    <x v="1"/>
    <n v="16"/>
    <n v="3"/>
    <n v="3"/>
    <n v="80"/>
    <n v="1"/>
    <n v="10"/>
    <n v="2"/>
    <n v="3"/>
    <n v="10"/>
    <n v="7"/>
    <n v="0"/>
    <n v="7"/>
    <x v="1"/>
    <n v="1"/>
    <x v="0"/>
    <x v="2"/>
    <s v="6-10 Years"/>
    <s v="Low"/>
    <s v="Better"/>
  </r>
  <r>
    <x v="14"/>
    <s v="No"/>
    <s v="Travel_Rarely"/>
    <n v="1300"/>
    <x v="1"/>
    <n v="17"/>
    <n v="2"/>
    <s v="Medical"/>
    <n v="1"/>
    <n v="536"/>
    <n v="3"/>
    <x v="1"/>
    <n v="79"/>
    <n v="3"/>
    <n v="2"/>
    <x v="2"/>
    <n v="1"/>
    <s v="Divorced"/>
    <n v="4558"/>
    <n v="13535"/>
    <n v="1"/>
    <s v="Y"/>
    <x v="1"/>
    <n v="12"/>
    <n v="3"/>
    <n v="4"/>
    <n v="80"/>
    <n v="1"/>
    <n v="10"/>
    <n v="2"/>
    <n v="3"/>
    <n v="10"/>
    <n v="0"/>
    <n v="1"/>
    <n v="8"/>
    <x v="1"/>
    <n v="1"/>
    <x v="2"/>
    <x v="0"/>
    <s v="6-10 Years"/>
    <s v="Low"/>
    <s v="Better"/>
  </r>
  <r>
    <x v="36"/>
    <s v="Yes"/>
    <s v="Travel_Rarely"/>
    <n v="688"/>
    <x v="1"/>
    <n v="3"/>
    <n v="3"/>
    <s v="Medical"/>
    <n v="1"/>
    <n v="538"/>
    <n v="1"/>
    <x v="1"/>
    <n v="91"/>
    <n v="3"/>
    <n v="1"/>
    <x v="2"/>
    <n v="1"/>
    <s v="Married"/>
    <n v="4031"/>
    <n v="9396"/>
    <n v="5"/>
    <s v="Y"/>
    <x v="1"/>
    <n v="13"/>
    <n v="3"/>
    <n v="3"/>
    <n v="80"/>
    <n v="1"/>
    <n v="6"/>
    <n v="5"/>
    <n v="3"/>
    <n v="2"/>
    <n v="2"/>
    <n v="0"/>
    <n v="2"/>
    <x v="0"/>
    <n v="0"/>
    <x v="2"/>
    <x v="0"/>
    <s v="2-5 Years"/>
    <s v="Low"/>
    <s v="Better"/>
  </r>
  <r>
    <x v="39"/>
    <s v="No"/>
    <s v="Travel_Rarely"/>
    <n v="319"/>
    <x v="1"/>
    <n v="3"/>
    <n v="3"/>
    <s v="Medical"/>
    <n v="1"/>
    <n v="543"/>
    <n v="4"/>
    <x v="1"/>
    <n v="39"/>
    <n v="2"/>
    <n v="3"/>
    <x v="3"/>
    <n v="3"/>
    <s v="Married"/>
    <n v="7969"/>
    <n v="19609"/>
    <n v="2"/>
    <s v="Y"/>
    <x v="0"/>
    <n v="14"/>
    <n v="3"/>
    <n v="3"/>
    <n v="80"/>
    <n v="0"/>
    <n v="28"/>
    <n v="4"/>
    <n v="3"/>
    <n v="5"/>
    <n v="4"/>
    <n v="0"/>
    <n v="4"/>
    <x v="1"/>
    <n v="1"/>
    <x v="1"/>
    <x v="2"/>
    <s v="2-5 Years"/>
    <s v="High"/>
    <s v="Better"/>
  </r>
  <r>
    <x v="28"/>
    <s v="No"/>
    <s v="Travel_Rarely"/>
    <n v="192"/>
    <x v="1"/>
    <n v="10"/>
    <n v="2"/>
    <s v="Life Sciences"/>
    <n v="1"/>
    <n v="544"/>
    <n v="1"/>
    <x v="1"/>
    <n v="69"/>
    <n v="3"/>
    <n v="1"/>
    <x v="1"/>
    <n v="4"/>
    <s v="Married"/>
    <n v="2654"/>
    <n v="9655"/>
    <n v="3"/>
    <s v="Y"/>
    <x v="1"/>
    <n v="21"/>
    <n v="4"/>
    <n v="4"/>
    <n v="80"/>
    <n v="2"/>
    <n v="8"/>
    <n v="3"/>
    <n v="2"/>
    <n v="2"/>
    <n v="2"/>
    <n v="0"/>
    <n v="2"/>
    <x v="1"/>
    <n v="1"/>
    <x v="1"/>
    <x v="1"/>
    <s v="2-5 Years"/>
    <s v="Very High"/>
    <s v="Good"/>
  </r>
  <r>
    <x v="39"/>
    <s v="No"/>
    <s v="Travel_Rarely"/>
    <n v="1490"/>
    <x v="1"/>
    <n v="4"/>
    <n v="2"/>
    <s v="Life Sciences"/>
    <n v="1"/>
    <n v="546"/>
    <n v="4"/>
    <x v="0"/>
    <n v="30"/>
    <n v="3"/>
    <n v="4"/>
    <x v="5"/>
    <n v="4"/>
    <s v="Married"/>
    <n v="16555"/>
    <n v="10310"/>
    <n v="2"/>
    <s v="Y"/>
    <x v="1"/>
    <n v="13"/>
    <n v="3"/>
    <n v="4"/>
    <n v="80"/>
    <n v="0"/>
    <n v="31"/>
    <n v="2"/>
    <n v="1"/>
    <n v="5"/>
    <n v="2"/>
    <n v="1"/>
    <n v="4"/>
    <x v="1"/>
    <n v="1"/>
    <x v="1"/>
    <x v="2"/>
    <s v="2-5 Years"/>
    <s v="Very High"/>
    <s v="Bad"/>
  </r>
  <r>
    <x v="19"/>
    <s v="No"/>
    <s v="Travel_Frequently"/>
    <n v="532"/>
    <x v="1"/>
    <n v="29"/>
    <n v="2"/>
    <s v="Life Sciences"/>
    <n v="1"/>
    <n v="547"/>
    <n v="1"/>
    <x v="0"/>
    <n v="92"/>
    <n v="3"/>
    <n v="2"/>
    <x v="1"/>
    <n v="3"/>
    <s v="Divorced"/>
    <n v="4556"/>
    <n v="12932"/>
    <n v="2"/>
    <s v="Y"/>
    <x v="1"/>
    <n v="11"/>
    <n v="3"/>
    <n v="2"/>
    <n v="80"/>
    <n v="1"/>
    <n v="19"/>
    <n v="3"/>
    <n v="3"/>
    <n v="5"/>
    <n v="4"/>
    <n v="0"/>
    <n v="2"/>
    <x v="1"/>
    <n v="1"/>
    <x v="0"/>
    <x v="0"/>
    <s v="2-5 Years"/>
    <s v="High"/>
    <s v="Better"/>
  </r>
  <r>
    <x v="7"/>
    <s v="No"/>
    <s v="Travel_Rarely"/>
    <n v="317"/>
    <x v="1"/>
    <n v="2"/>
    <n v="3"/>
    <s v="Life Sciences"/>
    <n v="1"/>
    <n v="548"/>
    <n v="3"/>
    <x v="0"/>
    <n v="43"/>
    <n v="1"/>
    <n v="2"/>
    <x v="3"/>
    <n v="4"/>
    <s v="Single"/>
    <n v="6091"/>
    <n v="24793"/>
    <n v="2"/>
    <s v="Y"/>
    <x v="1"/>
    <n v="20"/>
    <n v="4"/>
    <n v="3"/>
    <n v="80"/>
    <n v="0"/>
    <n v="11"/>
    <n v="2"/>
    <n v="3"/>
    <n v="5"/>
    <n v="4"/>
    <n v="0"/>
    <n v="2"/>
    <x v="1"/>
    <n v="1"/>
    <x v="2"/>
    <x v="0"/>
    <s v="2-5 Years"/>
    <s v="Very High"/>
    <s v="Better"/>
  </r>
  <r>
    <x v="42"/>
    <s v="No"/>
    <s v="Travel_Rarely"/>
    <n v="422"/>
    <x v="1"/>
    <n v="7"/>
    <n v="3"/>
    <s v="Life Sciences"/>
    <n v="1"/>
    <n v="549"/>
    <n v="1"/>
    <x v="0"/>
    <n v="41"/>
    <n v="3"/>
    <n v="5"/>
    <x v="5"/>
    <n v="1"/>
    <s v="Married"/>
    <n v="19566"/>
    <n v="3854"/>
    <n v="5"/>
    <s v="Y"/>
    <x v="1"/>
    <n v="11"/>
    <n v="3"/>
    <n v="4"/>
    <n v="80"/>
    <n v="0"/>
    <n v="33"/>
    <n v="5"/>
    <n v="1"/>
    <n v="29"/>
    <n v="8"/>
    <n v="11"/>
    <n v="10"/>
    <x v="1"/>
    <n v="1"/>
    <x v="3"/>
    <x v="2"/>
    <s v="10+ Years"/>
    <s v="Low"/>
    <s v="Bad"/>
  </r>
  <r>
    <x v="21"/>
    <s v="No"/>
    <s v="Travel_Rarely"/>
    <n v="1485"/>
    <x v="1"/>
    <n v="18"/>
    <n v="3"/>
    <s v="Medical"/>
    <n v="1"/>
    <n v="550"/>
    <n v="3"/>
    <x v="0"/>
    <n v="87"/>
    <n v="3"/>
    <n v="2"/>
    <x v="3"/>
    <n v="3"/>
    <s v="Divorced"/>
    <n v="4810"/>
    <n v="26314"/>
    <n v="2"/>
    <s v="Y"/>
    <x v="1"/>
    <n v="14"/>
    <n v="3"/>
    <n v="3"/>
    <n v="80"/>
    <n v="1"/>
    <n v="19"/>
    <n v="5"/>
    <n v="2"/>
    <n v="10"/>
    <n v="7"/>
    <n v="0"/>
    <n v="8"/>
    <x v="1"/>
    <n v="1"/>
    <x v="1"/>
    <x v="0"/>
    <s v="6-10 Years"/>
    <s v="High"/>
    <s v="Good"/>
  </r>
  <r>
    <x v="19"/>
    <s v="No"/>
    <s v="Travel_Frequently"/>
    <n v="1368"/>
    <x v="1"/>
    <n v="28"/>
    <n v="4"/>
    <s v="Technical Degree"/>
    <n v="1"/>
    <n v="551"/>
    <n v="4"/>
    <x v="0"/>
    <n v="88"/>
    <n v="2"/>
    <n v="2"/>
    <x v="4"/>
    <n v="4"/>
    <s v="Married"/>
    <n v="4523"/>
    <n v="4386"/>
    <n v="0"/>
    <s v="Y"/>
    <x v="1"/>
    <n v="11"/>
    <n v="3"/>
    <n v="4"/>
    <n v="80"/>
    <n v="3"/>
    <n v="7"/>
    <n v="4"/>
    <n v="4"/>
    <n v="6"/>
    <n v="5"/>
    <n v="0"/>
    <n v="4"/>
    <x v="1"/>
    <n v="1"/>
    <x v="0"/>
    <x v="0"/>
    <s v="6-10 Years"/>
    <s v="Very High"/>
    <s v="Best"/>
  </r>
  <r>
    <x v="17"/>
    <s v="Yes"/>
    <s v="Travel_Rarely"/>
    <n v="1448"/>
    <x v="0"/>
    <n v="1"/>
    <n v="1"/>
    <s v="Technical Degree"/>
    <n v="1"/>
    <n v="554"/>
    <n v="1"/>
    <x v="0"/>
    <n v="62"/>
    <n v="3"/>
    <n v="1"/>
    <x v="6"/>
    <n v="2"/>
    <s v="Single"/>
    <n v="3202"/>
    <n v="21972"/>
    <n v="1"/>
    <s v="Y"/>
    <x v="0"/>
    <n v="16"/>
    <n v="3"/>
    <n v="2"/>
    <n v="80"/>
    <n v="0"/>
    <n v="6"/>
    <n v="4"/>
    <n v="3"/>
    <n v="5"/>
    <n v="3"/>
    <n v="1"/>
    <n v="4"/>
    <x v="0"/>
    <n v="0"/>
    <x v="4"/>
    <x v="0"/>
    <s v="2-5 Years"/>
    <s v="Medium"/>
    <s v="Better"/>
  </r>
  <r>
    <x v="13"/>
    <s v="Yes"/>
    <s v="Travel_Frequently"/>
    <n v="296"/>
    <x v="0"/>
    <n v="6"/>
    <n v="2"/>
    <s v="Marketing"/>
    <n v="1"/>
    <n v="555"/>
    <n v="4"/>
    <x v="0"/>
    <n v="33"/>
    <n v="1"/>
    <n v="1"/>
    <x v="6"/>
    <n v="3"/>
    <s v="Divorced"/>
    <n v="2351"/>
    <n v="12253"/>
    <n v="0"/>
    <s v="Y"/>
    <x v="1"/>
    <n v="16"/>
    <n v="3"/>
    <n v="4"/>
    <n v="80"/>
    <n v="1"/>
    <n v="3"/>
    <n v="3"/>
    <n v="2"/>
    <n v="2"/>
    <n v="2"/>
    <n v="1"/>
    <n v="0"/>
    <x v="0"/>
    <n v="0"/>
    <x v="2"/>
    <x v="1"/>
    <s v="2-5 Years"/>
    <s v="High"/>
    <s v="Good"/>
  </r>
  <r>
    <x v="8"/>
    <s v="No"/>
    <s v="Travel_Frequently"/>
    <n v="1490"/>
    <x v="1"/>
    <n v="2"/>
    <n v="2"/>
    <s v="Life Sciences"/>
    <n v="1"/>
    <n v="556"/>
    <n v="4"/>
    <x v="1"/>
    <n v="42"/>
    <n v="3"/>
    <n v="1"/>
    <x v="2"/>
    <n v="4"/>
    <s v="Married"/>
    <n v="1702"/>
    <n v="12106"/>
    <n v="1"/>
    <s v="Y"/>
    <x v="0"/>
    <n v="23"/>
    <n v="4"/>
    <n v="3"/>
    <n v="80"/>
    <n v="1"/>
    <n v="1"/>
    <n v="3"/>
    <n v="3"/>
    <n v="1"/>
    <n v="0"/>
    <n v="0"/>
    <n v="0"/>
    <x v="1"/>
    <n v="1"/>
    <x v="0"/>
    <x v="1"/>
    <s v="0-1 Years"/>
    <s v="Very High"/>
    <s v="Better"/>
  </r>
  <r>
    <x v="32"/>
    <s v="No"/>
    <s v="Travel_Rarely"/>
    <n v="1398"/>
    <x v="0"/>
    <n v="2"/>
    <n v="4"/>
    <s v="Life Sciences"/>
    <n v="1"/>
    <n v="558"/>
    <n v="3"/>
    <x v="0"/>
    <n v="79"/>
    <n v="3"/>
    <n v="5"/>
    <x v="5"/>
    <n v="3"/>
    <s v="Married"/>
    <n v="18041"/>
    <n v="13022"/>
    <n v="0"/>
    <s v="Y"/>
    <x v="1"/>
    <n v="14"/>
    <n v="3"/>
    <n v="4"/>
    <n v="80"/>
    <n v="0"/>
    <n v="21"/>
    <n v="2"/>
    <n v="3"/>
    <n v="20"/>
    <n v="15"/>
    <n v="1"/>
    <n v="12"/>
    <x v="1"/>
    <n v="1"/>
    <x v="0"/>
    <x v="2"/>
    <s v="10+ Years"/>
    <s v="High"/>
    <s v="Better"/>
  </r>
  <r>
    <x v="25"/>
    <s v="No"/>
    <s v="Travel_Rarely"/>
    <n v="1349"/>
    <x v="1"/>
    <n v="23"/>
    <n v="3"/>
    <s v="Life Sciences"/>
    <n v="1"/>
    <n v="560"/>
    <n v="1"/>
    <x v="0"/>
    <n v="90"/>
    <n v="3"/>
    <n v="1"/>
    <x v="1"/>
    <n v="4"/>
    <s v="Divorced"/>
    <n v="2886"/>
    <n v="3032"/>
    <n v="1"/>
    <s v="Y"/>
    <x v="1"/>
    <n v="22"/>
    <n v="4"/>
    <n v="2"/>
    <n v="80"/>
    <n v="2"/>
    <n v="3"/>
    <n v="3"/>
    <n v="1"/>
    <n v="3"/>
    <n v="2"/>
    <n v="0"/>
    <n v="2"/>
    <x v="1"/>
    <n v="1"/>
    <x v="2"/>
    <x v="1"/>
    <s v="2-5 Years"/>
    <s v="Very High"/>
    <s v="Bad"/>
  </r>
  <r>
    <x v="7"/>
    <s v="No"/>
    <s v="Non-Travel"/>
    <n v="1400"/>
    <x v="1"/>
    <n v="3"/>
    <n v="3"/>
    <s v="Life Sciences"/>
    <n v="1"/>
    <n v="562"/>
    <n v="3"/>
    <x v="1"/>
    <n v="53"/>
    <n v="3"/>
    <n v="1"/>
    <x v="2"/>
    <n v="4"/>
    <s v="Married"/>
    <n v="2097"/>
    <n v="16734"/>
    <n v="4"/>
    <s v="Y"/>
    <x v="1"/>
    <n v="15"/>
    <n v="3"/>
    <n v="3"/>
    <n v="80"/>
    <n v="1"/>
    <n v="9"/>
    <n v="3"/>
    <n v="1"/>
    <n v="5"/>
    <n v="3"/>
    <n v="1"/>
    <n v="4"/>
    <x v="1"/>
    <n v="1"/>
    <x v="2"/>
    <x v="1"/>
    <s v="2-5 Years"/>
    <s v="Very High"/>
    <s v="Bad"/>
  </r>
  <r>
    <x v="11"/>
    <s v="No"/>
    <s v="Travel_Rarely"/>
    <n v="986"/>
    <x v="1"/>
    <n v="3"/>
    <n v="4"/>
    <s v="Medical"/>
    <n v="1"/>
    <n v="564"/>
    <n v="2"/>
    <x v="1"/>
    <n v="93"/>
    <n v="2"/>
    <n v="3"/>
    <x v="7"/>
    <n v="3"/>
    <s v="Married"/>
    <n v="11935"/>
    <n v="21526"/>
    <n v="1"/>
    <s v="Y"/>
    <x v="1"/>
    <n v="18"/>
    <n v="3"/>
    <n v="3"/>
    <n v="80"/>
    <n v="0"/>
    <n v="10"/>
    <n v="2"/>
    <n v="3"/>
    <n v="10"/>
    <n v="2"/>
    <n v="0"/>
    <n v="7"/>
    <x v="1"/>
    <n v="1"/>
    <x v="2"/>
    <x v="2"/>
    <s v="6-10 Years"/>
    <s v="High"/>
    <s v="Better"/>
  </r>
  <r>
    <x v="11"/>
    <s v="Yes"/>
    <s v="Travel_Rarely"/>
    <n v="408"/>
    <x v="1"/>
    <n v="25"/>
    <n v="5"/>
    <s v="Technical Degree"/>
    <n v="1"/>
    <n v="565"/>
    <n v="3"/>
    <x v="0"/>
    <n v="71"/>
    <n v="2"/>
    <n v="1"/>
    <x v="1"/>
    <n v="2"/>
    <s v="Married"/>
    <n v="2546"/>
    <n v="18300"/>
    <n v="5"/>
    <s v="Y"/>
    <x v="1"/>
    <n v="16"/>
    <n v="3"/>
    <n v="2"/>
    <n v="80"/>
    <n v="0"/>
    <n v="6"/>
    <n v="2"/>
    <n v="4"/>
    <n v="2"/>
    <n v="2"/>
    <n v="1"/>
    <n v="1"/>
    <x v="0"/>
    <n v="0"/>
    <x v="2"/>
    <x v="1"/>
    <s v="2-5 Years"/>
    <s v="Medium"/>
    <s v="Best"/>
  </r>
  <r>
    <x v="37"/>
    <s v="Yes"/>
    <s v="Travel_Rarely"/>
    <n v="489"/>
    <x v="2"/>
    <n v="2"/>
    <n v="2"/>
    <s v="Technical Degree"/>
    <n v="1"/>
    <n v="566"/>
    <n v="1"/>
    <x v="1"/>
    <n v="52"/>
    <n v="2"/>
    <n v="1"/>
    <x v="8"/>
    <n v="4"/>
    <s v="Single"/>
    <n v="2564"/>
    <n v="18437"/>
    <n v="1"/>
    <s v="Y"/>
    <x v="1"/>
    <n v="12"/>
    <n v="3"/>
    <n v="3"/>
    <n v="80"/>
    <n v="0"/>
    <n v="1"/>
    <n v="3"/>
    <n v="4"/>
    <n v="1"/>
    <n v="0"/>
    <n v="0"/>
    <n v="0"/>
    <x v="0"/>
    <n v="0"/>
    <x v="4"/>
    <x v="1"/>
    <s v="0-1 Years"/>
    <s v="Very High"/>
    <s v="Best"/>
  </r>
  <r>
    <x v="7"/>
    <s v="No"/>
    <s v="Non-Travel"/>
    <n v="1398"/>
    <x v="0"/>
    <n v="22"/>
    <n v="4"/>
    <s v="Other"/>
    <n v="1"/>
    <n v="567"/>
    <n v="3"/>
    <x v="0"/>
    <n v="69"/>
    <n v="3"/>
    <n v="3"/>
    <x v="0"/>
    <n v="1"/>
    <s v="Married"/>
    <n v="8412"/>
    <n v="2890"/>
    <n v="0"/>
    <s v="Y"/>
    <x v="1"/>
    <n v="11"/>
    <n v="3"/>
    <n v="3"/>
    <n v="80"/>
    <n v="0"/>
    <n v="10"/>
    <n v="3"/>
    <n v="3"/>
    <n v="9"/>
    <n v="8"/>
    <n v="7"/>
    <n v="8"/>
    <x v="1"/>
    <n v="1"/>
    <x v="2"/>
    <x v="2"/>
    <s v="6-10 Years"/>
    <s v="Low"/>
    <s v="Better"/>
  </r>
  <r>
    <x v="38"/>
    <s v="No"/>
    <s v="Travel_Rarely"/>
    <n v="210"/>
    <x v="0"/>
    <n v="29"/>
    <n v="3"/>
    <s v="Marketing"/>
    <n v="1"/>
    <n v="568"/>
    <n v="1"/>
    <x v="1"/>
    <n v="56"/>
    <n v="2"/>
    <n v="4"/>
    <x v="5"/>
    <n v="4"/>
    <s v="Divorced"/>
    <n v="14118"/>
    <n v="22102"/>
    <n v="3"/>
    <s v="Y"/>
    <x v="1"/>
    <n v="12"/>
    <n v="3"/>
    <n v="3"/>
    <n v="80"/>
    <n v="1"/>
    <n v="32"/>
    <n v="3"/>
    <n v="2"/>
    <n v="1"/>
    <n v="0"/>
    <n v="0"/>
    <n v="0"/>
    <x v="1"/>
    <n v="1"/>
    <x v="3"/>
    <x v="2"/>
    <s v="0-1 Years"/>
    <s v="Very High"/>
    <s v="Good"/>
  </r>
  <r>
    <x v="24"/>
    <s v="No"/>
    <s v="Travel_Rarely"/>
    <n v="1099"/>
    <x v="1"/>
    <n v="29"/>
    <n v="4"/>
    <s v="Life Sciences"/>
    <n v="1"/>
    <n v="569"/>
    <n v="2"/>
    <x v="1"/>
    <n v="88"/>
    <n v="2"/>
    <n v="4"/>
    <x v="5"/>
    <n v="3"/>
    <s v="Married"/>
    <n v="17046"/>
    <n v="9314"/>
    <n v="0"/>
    <s v="Y"/>
    <x v="1"/>
    <n v="15"/>
    <n v="3"/>
    <n v="2"/>
    <n v="80"/>
    <n v="1"/>
    <n v="28"/>
    <n v="2"/>
    <n v="3"/>
    <n v="27"/>
    <n v="10"/>
    <n v="15"/>
    <n v="7"/>
    <x v="1"/>
    <n v="1"/>
    <x v="1"/>
    <x v="2"/>
    <s v="10+ Years"/>
    <s v="High"/>
    <s v="Better"/>
  </r>
  <r>
    <x v="7"/>
    <s v="No"/>
    <s v="Non-Travel"/>
    <n v="1116"/>
    <x v="1"/>
    <n v="2"/>
    <n v="3"/>
    <s v="Medical"/>
    <n v="1"/>
    <n v="571"/>
    <n v="3"/>
    <x v="0"/>
    <n v="49"/>
    <n v="3"/>
    <n v="1"/>
    <x v="2"/>
    <n v="4"/>
    <s v="Single"/>
    <n v="2564"/>
    <n v="7181"/>
    <n v="0"/>
    <s v="Y"/>
    <x v="1"/>
    <n v="14"/>
    <n v="3"/>
    <n v="3"/>
    <n v="80"/>
    <n v="0"/>
    <n v="12"/>
    <n v="2"/>
    <n v="2"/>
    <n v="11"/>
    <n v="7"/>
    <n v="6"/>
    <n v="7"/>
    <x v="1"/>
    <n v="1"/>
    <x v="2"/>
    <x v="1"/>
    <s v="10+ Years"/>
    <s v="Very High"/>
    <s v="Good"/>
  </r>
  <r>
    <x v="42"/>
    <s v="No"/>
    <s v="Travel_Frequently"/>
    <n v="1499"/>
    <x v="0"/>
    <n v="28"/>
    <n v="3"/>
    <s v="Marketing"/>
    <n v="1"/>
    <n v="573"/>
    <n v="3"/>
    <x v="0"/>
    <n v="80"/>
    <n v="2"/>
    <n v="3"/>
    <x v="0"/>
    <n v="1"/>
    <s v="Married"/>
    <n v="10266"/>
    <n v="2845"/>
    <n v="4"/>
    <s v="Y"/>
    <x v="1"/>
    <n v="19"/>
    <n v="3"/>
    <n v="4"/>
    <n v="80"/>
    <n v="0"/>
    <n v="22"/>
    <n v="5"/>
    <n v="4"/>
    <n v="18"/>
    <n v="13"/>
    <n v="13"/>
    <n v="11"/>
    <x v="1"/>
    <n v="1"/>
    <x v="3"/>
    <x v="2"/>
    <s v="10+ Years"/>
    <s v="Low"/>
    <s v="Best"/>
  </r>
  <r>
    <x v="40"/>
    <s v="No"/>
    <s v="Travel_Rarely"/>
    <n v="983"/>
    <x v="1"/>
    <n v="2"/>
    <n v="2"/>
    <s v="Medical"/>
    <n v="1"/>
    <n v="574"/>
    <n v="1"/>
    <x v="0"/>
    <n v="65"/>
    <n v="3"/>
    <n v="2"/>
    <x v="3"/>
    <n v="4"/>
    <s v="Divorced"/>
    <n v="5070"/>
    <n v="7389"/>
    <n v="5"/>
    <s v="Y"/>
    <x v="1"/>
    <n v="13"/>
    <n v="3"/>
    <n v="3"/>
    <n v="80"/>
    <n v="3"/>
    <n v="20"/>
    <n v="2"/>
    <n v="3"/>
    <n v="5"/>
    <n v="0"/>
    <n v="0"/>
    <n v="4"/>
    <x v="1"/>
    <n v="1"/>
    <x v="1"/>
    <x v="0"/>
    <s v="2-5 Years"/>
    <s v="Very High"/>
    <s v="Better"/>
  </r>
  <r>
    <x v="21"/>
    <s v="No"/>
    <s v="Travel_Rarely"/>
    <n v="1009"/>
    <x v="1"/>
    <n v="2"/>
    <n v="3"/>
    <s v="Life Sciences"/>
    <n v="1"/>
    <n v="575"/>
    <n v="1"/>
    <x v="1"/>
    <n v="51"/>
    <n v="3"/>
    <n v="4"/>
    <x v="7"/>
    <n v="3"/>
    <s v="Married"/>
    <n v="17861"/>
    <n v="2288"/>
    <n v="6"/>
    <s v="Y"/>
    <x v="1"/>
    <n v="13"/>
    <n v="3"/>
    <n v="3"/>
    <n v="80"/>
    <n v="0"/>
    <n v="26"/>
    <n v="2"/>
    <n v="1"/>
    <n v="3"/>
    <n v="2"/>
    <n v="0"/>
    <n v="1"/>
    <x v="1"/>
    <n v="1"/>
    <x v="1"/>
    <x v="2"/>
    <s v="2-5 Years"/>
    <s v="High"/>
    <s v="Bad"/>
  </r>
  <r>
    <x v="10"/>
    <s v="No"/>
    <s v="Travel_Rarely"/>
    <n v="144"/>
    <x v="1"/>
    <n v="22"/>
    <n v="3"/>
    <s v="Life Sciences"/>
    <n v="1"/>
    <n v="577"/>
    <n v="4"/>
    <x v="1"/>
    <n v="46"/>
    <n v="1"/>
    <n v="1"/>
    <x v="2"/>
    <n v="3"/>
    <s v="Single"/>
    <n v="4230"/>
    <n v="19225"/>
    <n v="0"/>
    <s v="Y"/>
    <x v="1"/>
    <n v="15"/>
    <n v="3"/>
    <n v="3"/>
    <n v="80"/>
    <n v="0"/>
    <n v="6"/>
    <n v="2"/>
    <n v="3"/>
    <n v="5"/>
    <n v="4"/>
    <n v="4"/>
    <n v="3"/>
    <x v="1"/>
    <n v="1"/>
    <x v="0"/>
    <x v="0"/>
    <s v="2-5 Years"/>
    <s v="High"/>
    <s v="Better"/>
  </r>
  <r>
    <x v="33"/>
    <s v="No"/>
    <s v="Travel_Rarely"/>
    <n v="548"/>
    <x v="1"/>
    <n v="8"/>
    <n v="4"/>
    <s v="Life Sciences"/>
    <n v="1"/>
    <n v="578"/>
    <n v="3"/>
    <x v="0"/>
    <n v="42"/>
    <n v="3"/>
    <n v="2"/>
    <x v="2"/>
    <n v="3"/>
    <s v="Single"/>
    <n v="3780"/>
    <n v="23428"/>
    <n v="7"/>
    <s v="Y"/>
    <x v="1"/>
    <n v="11"/>
    <n v="3"/>
    <n v="3"/>
    <n v="80"/>
    <n v="0"/>
    <n v="19"/>
    <n v="3"/>
    <n v="3"/>
    <n v="1"/>
    <n v="0"/>
    <n v="0"/>
    <n v="0"/>
    <x v="1"/>
    <n v="1"/>
    <x v="1"/>
    <x v="0"/>
    <s v="0-1 Years"/>
    <s v="High"/>
    <s v="Better"/>
  </r>
  <r>
    <x v="13"/>
    <s v="No"/>
    <s v="Travel_Rarely"/>
    <n v="1303"/>
    <x v="1"/>
    <n v="2"/>
    <n v="4"/>
    <s v="Life Sciences"/>
    <n v="1"/>
    <n v="579"/>
    <n v="4"/>
    <x v="1"/>
    <n v="62"/>
    <n v="2"/>
    <n v="1"/>
    <x v="1"/>
    <n v="3"/>
    <s v="Divorced"/>
    <n v="2768"/>
    <n v="8416"/>
    <n v="3"/>
    <s v="Y"/>
    <x v="1"/>
    <n v="12"/>
    <n v="3"/>
    <n v="3"/>
    <n v="80"/>
    <n v="1"/>
    <n v="14"/>
    <n v="3"/>
    <n v="3"/>
    <n v="7"/>
    <n v="3"/>
    <n v="5"/>
    <n v="7"/>
    <x v="1"/>
    <n v="1"/>
    <x v="2"/>
    <x v="1"/>
    <s v="6-10 Years"/>
    <s v="High"/>
    <s v="Better"/>
  </r>
  <r>
    <x v="21"/>
    <s v="No"/>
    <s v="Travel_Rarely"/>
    <n v="1125"/>
    <x v="0"/>
    <n v="10"/>
    <n v="3"/>
    <s v="Marketing"/>
    <n v="1"/>
    <n v="580"/>
    <n v="3"/>
    <x v="0"/>
    <n v="94"/>
    <n v="2"/>
    <n v="3"/>
    <x v="0"/>
    <n v="4"/>
    <s v="Married"/>
    <n v="9071"/>
    <n v="11563"/>
    <n v="2"/>
    <s v="Y"/>
    <x v="0"/>
    <n v="19"/>
    <n v="3"/>
    <n v="3"/>
    <n v="80"/>
    <n v="1"/>
    <n v="15"/>
    <n v="3"/>
    <n v="3"/>
    <n v="3"/>
    <n v="2"/>
    <n v="1"/>
    <n v="2"/>
    <x v="1"/>
    <n v="1"/>
    <x v="1"/>
    <x v="2"/>
    <s v="2-5 Years"/>
    <s v="Very High"/>
    <s v="Better"/>
  </r>
  <r>
    <x v="12"/>
    <s v="No"/>
    <s v="Travel_Rarely"/>
    <n v="1274"/>
    <x v="1"/>
    <n v="9"/>
    <n v="1"/>
    <s v="Life Sciences"/>
    <n v="1"/>
    <n v="581"/>
    <n v="3"/>
    <x v="1"/>
    <n v="33"/>
    <n v="3"/>
    <n v="3"/>
    <x v="3"/>
    <n v="2"/>
    <s v="Divorced"/>
    <n v="10648"/>
    <n v="14394"/>
    <n v="1"/>
    <s v="Y"/>
    <x v="1"/>
    <n v="25"/>
    <n v="4"/>
    <n v="4"/>
    <n v="80"/>
    <n v="1"/>
    <n v="13"/>
    <n v="6"/>
    <n v="4"/>
    <n v="13"/>
    <n v="8"/>
    <n v="0"/>
    <n v="8"/>
    <x v="1"/>
    <n v="1"/>
    <x v="2"/>
    <x v="2"/>
    <s v="10+ Years"/>
    <s v="Medium"/>
    <s v="Best"/>
  </r>
  <r>
    <x v="3"/>
    <s v="Yes"/>
    <s v="Travel_Rarely"/>
    <n v="1277"/>
    <x v="1"/>
    <n v="15"/>
    <n v="1"/>
    <s v="Medical"/>
    <n v="1"/>
    <n v="582"/>
    <n v="2"/>
    <x v="1"/>
    <n v="56"/>
    <n v="3"/>
    <n v="3"/>
    <x v="5"/>
    <n v="3"/>
    <s v="Married"/>
    <n v="13610"/>
    <n v="24619"/>
    <n v="7"/>
    <s v="Y"/>
    <x v="0"/>
    <n v="12"/>
    <n v="3"/>
    <n v="4"/>
    <n v="80"/>
    <n v="0"/>
    <n v="15"/>
    <n v="2"/>
    <n v="4"/>
    <n v="7"/>
    <n v="6"/>
    <n v="7"/>
    <n v="7"/>
    <x v="0"/>
    <n v="0"/>
    <x v="2"/>
    <x v="2"/>
    <s v="6-10 Years"/>
    <s v="High"/>
    <s v="Best"/>
  </r>
  <r>
    <x v="3"/>
    <s v="Yes"/>
    <s v="Travel_Rarely"/>
    <n v="587"/>
    <x v="1"/>
    <n v="10"/>
    <n v="1"/>
    <s v="Medical"/>
    <n v="1"/>
    <n v="584"/>
    <n v="1"/>
    <x v="1"/>
    <n v="38"/>
    <n v="1"/>
    <n v="1"/>
    <x v="2"/>
    <n v="4"/>
    <s v="Divorced"/>
    <n v="3408"/>
    <n v="6705"/>
    <n v="7"/>
    <s v="Y"/>
    <x v="1"/>
    <n v="13"/>
    <n v="3"/>
    <n v="1"/>
    <n v="80"/>
    <n v="3"/>
    <n v="8"/>
    <n v="2"/>
    <n v="3"/>
    <n v="4"/>
    <n v="3"/>
    <n v="1"/>
    <n v="3"/>
    <x v="0"/>
    <n v="0"/>
    <x v="2"/>
    <x v="0"/>
    <s v="2-5 Years"/>
    <s v="Very High"/>
    <s v="Better"/>
  </r>
  <r>
    <x v="7"/>
    <s v="No"/>
    <s v="Travel_Rarely"/>
    <n v="413"/>
    <x v="0"/>
    <n v="7"/>
    <n v="1"/>
    <s v="Marketing"/>
    <n v="1"/>
    <n v="585"/>
    <n v="4"/>
    <x v="1"/>
    <n v="57"/>
    <n v="3"/>
    <n v="1"/>
    <x v="6"/>
    <n v="2"/>
    <s v="Single"/>
    <n v="2983"/>
    <n v="18398"/>
    <n v="0"/>
    <s v="Y"/>
    <x v="1"/>
    <n v="14"/>
    <n v="3"/>
    <n v="1"/>
    <n v="80"/>
    <n v="0"/>
    <n v="4"/>
    <n v="3"/>
    <n v="3"/>
    <n v="3"/>
    <n v="2"/>
    <n v="1"/>
    <n v="2"/>
    <x v="1"/>
    <n v="1"/>
    <x v="2"/>
    <x v="1"/>
    <s v="2-5 Years"/>
    <s v="Medium"/>
    <s v="Better"/>
  </r>
  <r>
    <x v="10"/>
    <s v="No"/>
    <s v="Travel_Rarely"/>
    <n v="1276"/>
    <x v="1"/>
    <n v="16"/>
    <n v="3"/>
    <s v="Life Sciences"/>
    <n v="1"/>
    <n v="586"/>
    <n v="4"/>
    <x v="1"/>
    <n v="72"/>
    <n v="3"/>
    <n v="3"/>
    <x v="4"/>
    <n v="3"/>
    <s v="Married"/>
    <n v="7632"/>
    <n v="14295"/>
    <n v="4"/>
    <s v="Y"/>
    <x v="0"/>
    <n v="12"/>
    <n v="3"/>
    <n v="3"/>
    <n v="80"/>
    <n v="0"/>
    <n v="10"/>
    <n v="2"/>
    <n v="3"/>
    <n v="8"/>
    <n v="7"/>
    <n v="0"/>
    <n v="0"/>
    <x v="1"/>
    <n v="1"/>
    <x v="0"/>
    <x v="2"/>
    <s v="6-10 Years"/>
    <s v="High"/>
    <s v="Better"/>
  </r>
  <r>
    <x v="12"/>
    <s v="Yes"/>
    <s v="Travel_Frequently"/>
    <n v="534"/>
    <x v="1"/>
    <n v="20"/>
    <n v="3"/>
    <s v="Life Sciences"/>
    <n v="1"/>
    <n v="587"/>
    <n v="1"/>
    <x v="1"/>
    <n v="66"/>
    <n v="3"/>
    <n v="3"/>
    <x v="4"/>
    <n v="3"/>
    <s v="Married"/>
    <n v="9824"/>
    <n v="22908"/>
    <n v="3"/>
    <s v="Y"/>
    <x v="1"/>
    <n v="12"/>
    <n v="3"/>
    <n v="1"/>
    <n v="80"/>
    <n v="0"/>
    <n v="12"/>
    <n v="2"/>
    <n v="3"/>
    <n v="1"/>
    <n v="0"/>
    <n v="0"/>
    <n v="0"/>
    <x v="0"/>
    <n v="0"/>
    <x v="2"/>
    <x v="2"/>
    <s v="0-1 Years"/>
    <s v="High"/>
    <s v="Better"/>
  </r>
  <r>
    <x v="13"/>
    <s v="Yes"/>
    <s v="Travel_Frequently"/>
    <n v="988"/>
    <x v="2"/>
    <n v="23"/>
    <n v="3"/>
    <s v="Human Resources"/>
    <n v="1"/>
    <n v="590"/>
    <n v="2"/>
    <x v="0"/>
    <n v="43"/>
    <n v="3"/>
    <n v="3"/>
    <x v="8"/>
    <n v="1"/>
    <s v="Divorced"/>
    <n v="9950"/>
    <n v="11533"/>
    <n v="9"/>
    <s v="Y"/>
    <x v="0"/>
    <n v="15"/>
    <n v="3"/>
    <n v="3"/>
    <n v="80"/>
    <n v="3"/>
    <n v="11"/>
    <n v="2"/>
    <n v="3"/>
    <n v="3"/>
    <n v="2"/>
    <n v="0"/>
    <n v="2"/>
    <x v="0"/>
    <n v="0"/>
    <x v="2"/>
    <x v="2"/>
    <s v="2-5 Years"/>
    <s v="Low"/>
    <s v="Better"/>
  </r>
  <r>
    <x v="19"/>
    <s v="No"/>
    <s v="Travel_Frequently"/>
    <n v="1474"/>
    <x v="1"/>
    <n v="5"/>
    <n v="2"/>
    <s v="Other"/>
    <n v="1"/>
    <n v="591"/>
    <n v="2"/>
    <x v="1"/>
    <n v="97"/>
    <n v="3"/>
    <n v="1"/>
    <x v="2"/>
    <n v="3"/>
    <s v="Married"/>
    <n v="2093"/>
    <n v="9260"/>
    <n v="4"/>
    <s v="Y"/>
    <x v="1"/>
    <n v="17"/>
    <n v="3"/>
    <n v="4"/>
    <n v="80"/>
    <n v="1"/>
    <n v="8"/>
    <n v="4"/>
    <n v="3"/>
    <n v="2"/>
    <n v="2"/>
    <n v="2"/>
    <n v="0"/>
    <x v="1"/>
    <n v="1"/>
    <x v="0"/>
    <x v="1"/>
    <s v="2-5 Years"/>
    <s v="High"/>
    <s v="Better"/>
  </r>
  <r>
    <x v="9"/>
    <s v="No"/>
    <s v="Non-Travel"/>
    <n v="635"/>
    <x v="0"/>
    <n v="10"/>
    <n v="4"/>
    <s v="Medical"/>
    <n v="1"/>
    <n v="592"/>
    <n v="2"/>
    <x v="1"/>
    <n v="32"/>
    <n v="3"/>
    <n v="3"/>
    <x v="0"/>
    <n v="4"/>
    <s v="Single"/>
    <n v="9980"/>
    <n v="15318"/>
    <n v="1"/>
    <s v="Y"/>
    <x v="1"/>
    <n v="14"/>
    <n v="3"/>
    <n v="4"/>
    <n v="80"/>
    <n v="0"/>
    <n v="10"/>
    <n v="3"/>
    <n v="2"/>
    <n v="10"/>
    <n v="3"/>
    <n v="9"/>
    <n v="7"/>
    <x v="1"/>
    <n v="1"/>
    <x v="0"/>
    <x v="2"/>
    <s v="6-10 Years"/>
    <s v="Very High"/>
    <s v="Good"/>
  </r>
  <r>
    <x v="15"/>
    <s v="Yes"/>
    <s v="Travel_Frequently"/>
    <n v="1368"/>
    <x v="1"/>
    <n v="4"/>
    <n v="1"/>
    <s v="Technical Degree"/>
    <n v="1"/>
    <n v="593"/>
    <n v="3"/>
    <x v="1"/>
    <n v="99"/>
    <n v="2"/>
    <n v="1"/>
    <x v="2"/>
    <n v="3"/>
    <s v="Single"/>
    <n v="3894"/>
    <n v="9129"/>
    <n v="5"/>
    <s v="Y"/>
    <x v="1"/>
    <n v="16"/>
    <n v="3"/>
    <n v="3"/>
    <n v="80"/>
    <n v="0"/>
    <n v="4"/>
    <n v="3"/>
    <n v="3"/>
    <n v="2"/>
    <n v="2"/>
    <n v="1"/>
    <n v="2"/>
    <x v="0"/>
    <n v="0"/>
    <x v="4"/>
    <x v="0"/>
    <s v="2-5 Years"/>
    <s v="High"/>
    <s v="Better"/>
  </r>
  <r>
    <x v="26"/>
    <s v="No"/>
    <s v="Travel_Rarely"/>
    <n v="163"/>
    <x v="0"/>
    <n v="2"/>
    <n v="5"/>
    <s v="Marketing"/>
    <n v="1"/>
    <n v="595"/>
    <n v="2"/>
    <x v="0"/>
    <n v="37"/>
    <n v="3"/>
    <n v="2"/>
    <x v="0"/>
    <n v="4"/>
    <s v="Married"/>
    <n v="4051"/>
    <n v="19658"/>
    <n v="2"/>
    <s v="Y"/>
    <x v="1"/>
    <n v="14"/>
    <n v="3"/>
    <n v="1"/>
    <n v="80"/>
    <n v="1"/>
    <n v="14"/>
    <n v="2"/>
    <n v="3"/>
    <n v="9"/>
    <n v="7"/>
    <n v="6"/>
    <n v="7"/>
    <x v="1"/>
    <n v="1"/>
    <x v="1"/>
    <x v="0"/>
    <s v="6-10 Years"/>
    <s v="Very High"/>
    <s v="Better"/>
  </r>
  <r>
    <x v="27"/>
    <s v="No"/>
    <s v="Travel_Rarely"/>
    <n v="1117"/>
    <x v="0"/>
    <n v="18"/>
    <n v="5"/>
    <s v="Life Sciences"/>
    <n v="1"/>
    <n v="597"/>
    <n v="1"/>
    <x v="0"/>
    <n v="83"/>
    <n v="3"/>
    <n v="4"/>
    <x v="5"/>
    <n v="2"/>
    <s v="Single"/>
    <n v="16835"/>
    <n v="9873"/>
    <n v="3"/>
    <s v="Y"/>
    <x v="1"/>
    <n v="23"/>
    <n v="4"/>
    <n v="4"/>
    <n v="80"/>
    <n v="0"/>
    <n v="37"/>
    <n v="2"/>
    <n v="3"/>
    <n v="10"/>
    <n v="9"/>
    <n v="7"/>
    <n v="7"/>
    <x v="1"/>
    <n v="1"/>
    <x v="3"/>
    <x v="2"/>
    <s v="6-10 Years"/>
    <s v="Medium"/>
    <s v="Better"/>
  </r>
  <r>
    <x v="0"/>
    <s v="No"/>
    <s v="Non-Travel"/>
    <n v="267"/>
    <x v="0"/>
    <n v="10"/>
    <n v="2"/>
    <s v="Life Sciences"/>
    <n v="1"/>
    <n v="599"/>
    <n v="4"/>
    <x v="1"/>
    <n v="56"/>
    <n v="3"/>
    <n v="2"/>
    <x v="0"/>
    <n v="4"/>
    <s v="Single"/>
    <n v="6230"/>
    <n v="13430"/>
    <n v="7"/>
    <s v="Y"/>
    <x v="1"/>
    <n v="14"/>
    <n v="3"/>
    <n v="4"/>
    <n v="80"/>
    <n v="0"/>
    <n v="16"/>
    <n v="3"/>
    <n v="3"/>
    <n v="14"/>
    <n v="3"/>
    <n v="1"/>
    <n v="10"/>
    <x v="1"/>
    <n v="1"/>
    <x v="0"/>
    <x v="0"/>
    <s v="10+ Years"/>
    <s v="Very High"/>
    <s v="Better"/>
  </r>
  <r>
    <x v="10"/>
    <s v="No"/>
    <s v="Travel_Rarely"/>
    <n v="619"/>
    <x v="0"/>
    <n v="1"/>
    <n v="3"/>
    <s v="Marketing"/>
    <n v="1"/>
    <n v="600"/>
    <n v="2"/>
    <x v="1"/>
    <n v="85"/>
    <n v="3"/>
    <n v="2"/>
    <x v="0"/>
    <n v="3"/>
    <s v="Married"/>
    <n v="4717"/>
    <n v="18659"/>
    <n v="9"/>
    <s v="Y"/>
    <x v="1"/>
    <n v="11"/>
    <n v="3"/>
    <n v="3"/>
    <n v="80"/>
    <n v="0"/>
    <n v="15"/>
    <n v="2"/>
    <n v="3"/>
    <n v="11"/>
    <n v="9"/>
    <n v="6"/>
    <n v="9"/>
    <x v="1"/>
    <n v="1"/>
    <x v="0"/>
    <x v="0"/>
    <s v="10+ Years"/>
    <s v="High"/>
    <s v="Better"/>
  </r>
  <r>
    <x v="32"/>
    <s v="No"/>
    <s v="Travel_Rarely"/>
    <n v="302"/>
    <x v="1"/>
    <n v="6"/>
    <n v="3"/>
    <s v="Life Sciences"/>
    <n v="1"/>
    <n v="601"/>
    <n v="2"/>
    <x v="0"/>
    <n v="75"/>
    <n v="3"/>
    <n v="4"/>
    <x v="3"/>
    <n v="3"/>
    <s v="Single"/>
    <n v="13237"/>
    <n v="20364"/>
    <n v="7"/>
    <s v="Y"/>
    <x v="1"/>
    <n v="15"/>
    <n v="3"/>
    <n v="3"/>
    <n v="80"/>
    <n v="0"/>
    <n v="22"/>
    <n v="3"/>
    <n v="3"/>
    <n v="20"/>
    <n v="6"/>
    <n v="5"/>
    <n v="13"/>
    <x v="1"/>
    <n v="1"/>
    <x v="0"/>
    <x v="2"/>
    <s v="10+ Years"/>
    <s v="High"/>
    <s v="Better"/>
  </r>
  <r>
    <x v="22"/>
    <s v="No"/>
    <s v="Travel_Frequently"/>
    <n v="443"/>
    <x v="1"/>
    <n v="8"/>
    <n v="1"/>
    <s v="Life Sciences"/>
    <n v="1"/>
    <n v="602"/>
    <n v="3"/>
    <x v="0"/>
    <n v="48"/>
    <n v="3"/>
    <n v="1"/>
    <x v="2"/>
    <n v="3"/>
    <s v="Married"/>
    <n v="3755"/>
    <n v="17872"/>
    <n v="1"/>
    <s v="Y"/>
    <x v="1"/>
    <n v="11"/>
    <n v="3"/>
    <n v="1"/>
    <n v="80"/>
    <n v="1"/>
    <n v="8"/>
    <n v="3"/>
    <n v="3"/>
    <n v="8"/>
    <n v="3"/>
    <n v="0"/>
    <n v="7"/>
    <x v="1"/>
    <n v="1"/>
    <x v="0"/>
    <x v="0"/>
    <s v="6-10 Years"/>
    <s v="High"/>
    <s v="Better"/>
  </r>
  <r>
    <x v="12"/>
    <s v="No"/>
    <s v="Travel_Rarely"/>
    <n v="828"/>
    <x v="0"/>
    <n v="2"/>
    <n v="1"/>
    <s v="Life Sciences"/>
    <n v="1"/>
    <n v="604"/>
    <n v="2"/>
    <x v="1"/>
    <n v="77"/>
    <n v="3"/>
    <n v="2"/>
    <x v="0"/>
    <n v="4"/>
    <s v="Single"/>
    <n v="6582"/>
    <n v="8346"/>
    <n v="4"/>
    <s v="Y"/>
    <x v="0"/>
    <n v="13"/>
    <n v="3"/>
    <n v="3"/>
    <n v="80"/>
    <n v="0"/>
    <n v="10"/>
    <n v="2"/>
    <n v="4"/>
    <n v="6"/>
    <n v="5"/>
    <n v="0"/>
    <n v="5"/>
    <x v="1"/>
    <n v="1"/>
    <x v="2"/>
    <x v="0"/>
    <s v="6-10 Years"/>
    <s v="Very High"/>
    <s v="Best"/>
  </r>
  <r>
    <x v="19"/>
    <s v="No"/>
    <s v="Travel_Rarely"/>
    <n v="319"/>
    <x v="1"/>
    <n v="24"/>
    <n v="3"/>
    <s v="Medical"/>
    <n v="1"/>
    <n v="605"/>
    <n v="4"/>
    <x v="1"/>
    <n v="56"/>
    <n v="3"/>
    <n v="3"/>
    <x v="3"/>
    <n v="1"/>
    <s v="Married"/>
    <n v="7406"/>
    <n v="6950"/>
    <n v="1"/>
    <s v="Y"/>
    <x v="0"/>
    <n v="21"/>
    <n v="4"/>
    <n v="4"/>
    <n v="80"/>
    <n v="1"/>
    <n v="10"/>
    <n v="5"/>
    <n v="2"/>
    <n v="10"/>
    <n v="9"/>
    <n v="5"/>
    <n v="8"/>
    <x v="1"/>
    <n v="1"/>
    <x v="0"/>
    <x v="2"/>
    <s v="6-10 Years"/>
    <s v="Low"/>
    <s v="Good"/>
  </r>
  <r>
    <x v="28"/>
    <s v="No"/>
    <s v="Travel_Rarely"/>
    <n v="561"/>
    <x v="0"/>
    <n v="2"/>
    <n v="3"/>
    <s v="Other"/>
    <n v="1"/>
    <n v="606"/>
    <n v="4"/>
    <x v="1"/>
    <n v="61"/>
    <n v="3"/>
    <n v="2"/>
    <x v="0"/>
    <n v="2"/>
    <s v="Married"/>
    <n v="4805"/>
    <n v="16177"/>
    <n v="0"/>
    <s v="Y"/>
    <x v="1"/>
    <n v="19"/>
    <n v="3"/>
    <n v="2"/>
    <n v="80"/>
    <n v="1"/>
    <n v="9"/>
    <n v="3"/>
    <n v="4"/>
    <n v="8"/>
    <n v="7"/>
    <n v="3"/>
    <n v="7"/>
    <x v="1"/>
    <n v="1"/>
    <x v="1"/>
    <x v="0"/>
    <s v="6-10 Years"/>
    <s v="Medium"/>
    <s v="Best"/>
  </r>
  <r>
    <x v="25"/>
    <s v="Yes"/>
    <s v="Travel_Frequently"/>
    <n v="426"/>
    <x v="2"/>
    <n v="17"/>
    <n v="4"/>
    <s v="Life Sciences"/>
    <n v="1"/>
    <n v="608"/>
    <n v="2"/>
    <x v="0"/>
    <n v="58"/>
    <n v="3"/>
    <n v="1"/>
    <x v="8"/>
    <n v="3"/>
    <s v="Divorced"/>
    <n v="2741"/>
    <n v="22808"/>
    <n v="0"/>
    <s v="Y"/>
    <x v="0"/>
    <n v="11"/>
    <n v="3"/>
    <n v="2"/>
    <n v="80"/>
    <n v="1"/>
    <n v="8"/>
    <n v="2"/>
    <n v="2"/>
    <n v="7"/>
    <n v="7"/>
    <n v="1"/>
    <n v="0"/>
    <x v="0"/>
    <n v="0"/>
    <x v="2"/>
    <x v="1"/>
    <s v="6-10 Years"/>
    <s v="High"/>
    <s v="Good"/>
  </r>
  <r>
    <x v="11"/>
    <s v="No"/>
    <s v="Travel_Rarely"/>
    <n v="232"/>
    <x v="1"/>
    <n v="19"/>
    <n v="3"/>
    <s v="Technical Degree"/>
    <n v="1"/>
    <n v="611"/>
    <n v="4"/>
    <x v="1"/>
    <n v="34"/>
    <n v="3"/>
    <n v="2"/>
    <x v="3"/>
    <n v="4"/>
    <s v="Divorced"/>
    <n v="4262"/>
    <n v="22645"/>
    <n v="4"/>
    <s v="Y"/>
    <x v="1"/>
    <n v="12"/>
    <n v="3"/>
    <n v="2"/>
    <n v="80"/>
    <n v="2"/>
    <n v="8"/>
    <n v="2"/>
    <n v="4"/>
    <n v="3"/>
    <n v="2"/>
    <n v="1"/>
    <n v="2"/>
    <x v="1"/>
    <n v="1"/>
    <x v="2"/>
    <x v="0"/>
    <s v="2-5 Years"/>
    <s v="Very High"/>
    <s v="Best"/>
  </r>
  <r>
    <x v="3"/>
    <s v="No"/>
    <s v="Travel_Rarely"/>
    <n v="922"/>
    <x v="1"/>
    <n v="1"/>
    <n v="5"/>
    <s v="Medical"/>
    <n v="1"/>
    <n v="612"/>
    <n v="1"/>
    <x v="0"/>
    <n v="95"/>
    <n v="4"/>
    <n v="4"/>
    <x v="7"/>
    <n v="3"/>
    <s v="Divorced"/>
    <n v="16184"/>
    <n v="22578"/>
    <n v="4"/>
    <s v="Y"/>
    <x v="1"/>
    <n v="19"/>
    <n v="3"/>
    <n v="3"/>
    <n v="80"/>
    <n v="1"/>
    <n v="10"/>
    <n v="2"/>
    <n v="3"/>
    <n v="6"/>
    <n v="1"/>
    <n v="0"/>
    <n v="5"/>
    <x v="1"/>
    <n v="1"/>
    <x v="2"/>
    <x v="2"/>
    <s v="6-10 Years"/>
    <s v="High"/>
    <s v="Better"/>
  </r>
  <r>
    <x v="12"/>
    <s v="No"/>
    <s v="Travel_Rarely"/>
    <n v="688"/>
    <x v="0"/>
    <n v="7"/>
    <n v="3"/>
    <s v="Life Sciences"/>
    <n v="1"/>
    <n v="613"/>
    <n v="3"/>
    <x v="1"/>
    <n v="44"/>
    <n v="2"/>
    <n v="3"/>
    <x v="5"/>
    <n v="4"/>
    <s v="Divorced"/>
    <n v="11557"/>
    <n v="25291"/>
    <n v="9"/>
    <s v="Y"/>
    <x v="1"/>
    <n v="21"/>
    <n v="4"/>
    <n v="3"/>
    <n v="80"/>
    <n v="1"/>
    <n v="10"/>
    <n v="3"/>
    <n v="2"/>
    <n v="5"/>
    <n v="4"/>
    <n v="0"/>
    <n v="1"/>
    <x v="1"/>
    <n v="1"/>
    <x v="2"/>
    <x v="2"/>
    <s v="2-5 Years"/>
    <s v="Very High"/>
    <s v="Good"/>
  </r>
  <r>
    <x v="41"/>
    <s v="Yes"/>
    <s v="Travel_Frequently"/>
    <n v="1306"/>
    <x v="0"/>
    <n v="5"/>
    <n v="3"/>
    <s v="Marketing"/>
    <n v="1"/>
    <n v="614"/>
    <n v="2"/>
    <x v="1"/>
    <n v="69"/>
    <n v="3"/>
    <n v="1"/>
    <x v="6"/>
    <n v="2"/>
    <s v="Single"/>
    <n v="1878"/>
    <n v="8059"/>
    <n v="1"/>
    <s v="Y"/>
    <x v="0"/>
    <n v="14"/>
    <n v="3"/>
    <n v="4"/>
    <n v="80"/>
    <n v="0"/>
    <n v="0"/>
    <n v="3"/>
    <n v="3"/>
    <n v="0"/>
    <n v="0"/>
    <n v="0"/>
    <n v="0"/>
    <x v="0"/>
    <n v="0"/>
    <x v="4"/>
    <x v="1"/>
    <s v="0-1 Years"/>
    <s v="Medium"/>
    <s v="Better"/>
  </r>
  <r>
    <x v="32"/>
    <s v="No"/>
    <s v="Non-Travel"/>
    <n v="1094"/>
    <x v="0"/>
    <n v="28"/>
    <n v="3"/>
    <s v="Other"/>
    <n v="1"/>
    <n v="615"/>
    <n v="3"/>
    <x v="1"/>
    <n v="58"/>
    <n v="1"/>
    <n v="3"/>
    <x v="0"/>
    <n v="1"/>
    <s v="Divorced"/>
    <n v="10932"/>
    <n v="11373"/>
    <n v="3"/>
    <s v="Y"/>
    <x v="1"/>
    <n v="15"/>
    <n v="3"/>
    <n v="3"/>
    <n v="80"/>
    <n v="1"/>
    <n v="20"/>
    <n v="2"/>
    <n v="3"/>
    <n v="1"/>
    <n v="0"/>
    <n v="0"/>
    <n v="1"/>
    <x v="1"/>
    <n v="1"/>
    <x v="0"/>
    <x v="2"/>
    <s v="0-1 Years"/>
    <s v="Low"/>
    <s v="Better"/>
  </r>
  <r>
    <x v="0"/>
    <s v="No"/>
    <s v="Non-Travel"/>
    <n v="509"/>
    <x v="1"/>
    <n v="2"/>
    <n v="4"/>
    <s v="Other"/>
    <n v="1"/>
    <n v="616"/>
    <n v="1"/>
    <x v="0"/>
    <n v="62"/>
    <n v="2"/>
    <n v="2"/>
    <x v="4"/>
    <n v="3"/>
    <s v="Single"/>
    <n v="6811"/>
    <n v="2112"/>
    <n v="2"/>
    <s v="Y"/>
    <x v="0"/>
    <n v="17"/>
    <n v="3"/>
    <n v="1"/>
    <n v="80"/>
    <n v="0"/>
    <n v="10"/>
    <n v="3"/>
    <n v="3"/>
    <n v="8"/>
    <n v="7"/>
    <n v="0"/>
    <n v="7"/>
    <x v="1"/>
    <n v="1"/>
    <x v="0"/>
    <x v="0"/>
    <s v="6-10 Years"/>
    <s v="High"/>
    <s v="Better"/>
  </r>
  <r>
    <x v="25"/>
    <s v="No"/>
    <s v="Travel_Rarely"/>
    <n v="775"/>
    <x v="0"/>
    <n v="29"/>
    <n v="2"/>
    <s v="Medical"/>
    <n v="1"/>
    <n v="618"/>
    <n v="1"/>
    <x v="1"/>
    <n v="45"/>
    <n v="3"/>
    <n v="2"/>
    <x v="0"/>
    <n v="3"/>
    <s v="Divorced"/>
    <n v="4306"/>
    <n v="4267"/>
    <n v="5"/>
    <s v="Y"/>
    <x v="1"/>
    <n v="12"/>
    <n v="3"/>
    <n v="1"/>
    <n v="80"/>
    <n v="2"/>
    <n v="8"/>
    <n v="5"/>
    <n v="3"/>
    <n v="0"/>
    <n v="0"/>
    <n v="0"/>
    <n v="0"/>
    <x v="1"/>
    <n v="1"/>
    <x v="2"/>
    <x v="0"/>
    <s v="0-1 Years"/>
    <s v="High"/>
    <s v="Better"/>
  </r>
  <r>
    <x v="10"/>
    <s v="No"/>
    <s v="Travel_Rarely"/>
    <n v="195"/>
    <x v="0"/>
    <n v="1"/>
    <n v="3"/>
    <s v="Medical"/>
    <n v="1"/>
    <n v="620"/>
    <n v="1"/>
    <x v="0"/>
    <n v="80"/>
    <n v="3"/>
    <n v="2"/>
    <x v="0"/>
    <n v="3"/>
    <s v="Single"/>
    <n v="4859"/>
    <n v="6698"/>
    <n v="1"/>
    <s v="Y"/>
    <x v="1"/>
    <n v="16"/>
    <n v="3"/>
    <n v="4"/>
    <n v="80"/>
    <n v="0"/>
    <n v="5"/>
    <n v="3"/>
    <n v="3"/>
    <n v="5"/>
    <n v="4"/>
    <n v="0"/>
    <n v="3"/>
    <x v="1"/>
    <n v="1"/>
    <x v="0"/>
    <x v="0"/>
    <s v="2-5 Years"/>
    <s v="High"/>
    <s v="Better"/>
  </r>
  <r>
    <x v="13"/>
    <s v="No"/>
    <s v="Travel_Rarely"/>
    <n v="258"/>
    <x v="0"/>
    <n v="21"/>
    <n v="4"/>
    <s v="Life Sciences"/>
    <n v="1"/>
    <n v="621"/>
    <n v="4"/>
    <x v="1"/>
    <n v="74"/>
    <n v="4"/>
    <n v="2"/>
    <x v="0"/>
    <n v="4"/>
    <s v="Single"/>
    <n v="5337"/>
    <n v="19921"/>
    <n v="1"/>
    <s v="Y"/>
    <x v="1"/>
    <n v="12"/>
    <n v="3"/>
    <n v="4"/>
    <n v="80"/>
    <n v="0"/>
    <n v="10"/>
    <n v="3"/>
    <n v="3"/>
    <n v="10"/>
    <n v="7"/>
    <n v="5"/>
    <n v="7"/>
    <x v="1"/>
    <n v="1"/>
    <x v="2"/>
    <x v="0"/>
    <s v="6-10 Years"/>
    <s v="Very High"/>
    <s v="Better"/>
  </r>
  <r>
    <x v="25"/>
    <s v="Yes"/>
    <s v="Travel_Rarely"/>
    <n v="471"/>
    <x v="1"/>
    <n v="24"/>
    <n v="3"/>
    <s v="Technical Degree"/>
    <n v="1"/>
    <n v="622"/>
    <n v="3"/>
    <x v="1"/>
    <n v="66"/>
    <n v="1"/>
    <n v="1"/>
    <x v="2"/>
    <n v="4"/>
    <s v="Single"/>
    <n v="2340"/>
    <n v="23213"/>
    <n v="1"/>
    <s v="Y"/>
    <x v="0"/>
    <n v="18"/>
    <n v="3"/>
    <n v="2"/>
    <n v="80"/>
    <n v="0"/>
    <n v="1"/>
    <n v="3"/>
    <n v="1"/>
    <n v="1"/>
    <n v="0"/>
    <n v="0"/>
    <n v="0"/>
    <x v="0"/>
    <n v="0"/>
    <x v="2"/>
    <x v="1"/>
    <s v="0-1 Years"/>
    <s v="Very High"/>
    <s v="Bad"/>
  </r>
  <r>
    <x v="2"/>
    <s v="No"/>
    <s v="Travel_Rarely"/>
    <n v="799"/>
    <x v="1"/>
    <n v="1"/>
    <n v="3"/>
    <s v="Technical Degree"/>
    <n v="1"/>
    <n v="623"/>
    <n v="2"/>
    <x v="0"/>
    <n v="59"/>
    <n v="3"/>
    <n v="3"/>
    <x v="3"/>
    <n v="4"/>
    <s v="Single"/>
    <n v="7491"/>
    <n v="23848"/>
    <n v="4"/>
    <s v="Y"/>
    <x v="1"/>
    <n v="17"/>
    <n v="3"/>
    <n v="4"/>
    <n v="80"/>
    <n v="0"/>
    <n v="12"/>
    <n v="3"/>
    <n v="4"/>
    <n v="6"/>
    <n v="5"/>
    <n v="1"/>
    <n v="2"/>
    <x v="1"/>
    <n v="1"/>
    <x v="0"/>
    <x v="2"/>
    <s v="6-10 Years"/>
    <s v="Very High"/>
    <s v="Best"/>
  </r>
  <r>
    <x v="21"/>
    <s v="No"/>
    <s v="Travel_Frequently"/>
    <n v="1034"/>
    <x v="1"/>
    <n v="18"/>
    <n v="1"/>
    <s v="Medical"/>
    <n v="1"/>
    <n v="624"/>
    <n v="1"/>
    <x v="0"/>
    <n v="86"/>
    <n v="3"/>
    <n v="3"/>
    <x v="4"/>
    <n v="3"/>
    <s v="Married"/>
    <n v="10527"/>
    <n v="8984"/>
    <n v="5"/>
    <s v="Y"/>
    <x v="1"/>
    <n v="11"/>
    <n v="3"/>
    <n v="4"/>
    <n v="80"/>
    <n v="0"/>
    <n v="28"/>
    <n v="3"/>
    <n v="2"/>
    <n v="2"/>
    <n v="2"/>
    <n v="1"/>
    <n v="2"/>
    <x v="1"/>
    <n v="1"/>
    <x v="1"/>
    <x v="2"/>
    <s v="2-5 Years"/>
    <s v="High"/>
    <s v="Good"/>
  </r>
  <r>
    <x v="0"/>
    <s v="No"/>
    <s v="Travel_Rarely"/>
    <n v="1276"/>
    <x v="0"/>
    <n v="2"/>
    <n v="5"/>
    <s v="Life Sciences"/>
    <n v="1"/>
    <n v="625"/>
    <n v="2"/>
    <x v="0"/>
    <n v="91"/>
    <n v="3"/>
    <n v="4"/>
    <x v="5"/>
    <n v="1"/>
    <s v="Married"/>
    <n v="16595"/>
    <n v="5626"/>
    <n v="7"/>
    <s v="Y"/>
    <x v="1"/>
    <n v="16"/>
    <n v="3"/>
    <n v="2"/>
    <n v="80"/>
    <n v="1"/>
    <n v="22"/>
    <n v="2"/>
    <n v="3"/>
    <n v="18"/>
    <n v="16"/>
    <n v="11"/>
    <n v="8"/>
    <x v="1"/>
    <n v="1"/>
    <x v="0"/>
    <x v="2"/>
    <s v="10+ Years"/>
    <s v="Low"/>
    <s v="Better"/>
  </r>
  <r>
    <x v="2"/>
    <s v="No"/>
    <s v="Non-Travel"/>
    <n v="142"/>
    <x v="0"/>
    <n v="9"/>
    <n v="4"/>
    <s v="Medical"/>
    <n v="1"/>
    <n v="626"/>
    <n v="1"/>
    <x v="1"/>
    <n v="69"/>
    <n v="3"/>
    <n v="3"/>
    <x v="0"/>
    <n v="2"/>
    <s v="Divorced"/>
    <n v="8834"/>
    <n v="24666"/>
    <n v="1"/>
    <s v="Y"/>
    <x v="1"/>
    <n v="13"/>
    <n v="3"/>
    <n v="4"/>
    <n v="80"/>
    <n v="1"/>
    <n v="9"/>
    <n v="6"/>
    <n v="3"/>
    <n v="9"/>
    <n v="5"/>
    <n v="7"/>
    <n v="7"/>
    <x v="1"/>
    <n v="1"/>
    <x v="0"/>
    <x v="2"/>
    <s v="6-10 Years"/>
    <s v="Medium"/>
    <s v="Better"/>
  </r>
  <r>
    <x v="39"/>
    <s v="No"/>
    <s v="Travel_Rarely"/>
    <n v="956"/>
    <x v="1"/>
    <n v="6"/>
    <n v="2"/>
    <s v="Technical Degree"/>
    <n v="1"/>
    <n v="630"/>
    <n v="4"/>
    <x v="1"/>
    <n v="78"/>
    <n v="3"/>
    <n v="2"/>
    <x v="1"/>
    <n v="1"/>
    <s v="Divorced"/>
    <n v="5577"/>
    <n v="22087"/>
    <n v="3"/>
    <s v="Y"/>
    <x v="0"/>
    <n v="12"/>
    <n v="3"/>
    <n v="2"/>
    <n v="80"/>
    <n v="2"/>
    <n v="18"/>
    <n v="3"/>
    <n v="3"/>
    <n v="10"/>
    <n v="9"/>
    <n v="6"/>
    <n v="9"/>
    <x v="1"/>
    <n v="1"/>
    <x v="1"/>
    <x v="0"/>
    <s v="6-10 Years"/>
    <s v="Low"/>
    <s v="Better"/>
  </r>
  <r>
    <x v="5"/>
    <s v="Yes"/>
    <s v="Non-Travel"/>
    <n v="1474"/>
    <x v="0"/>
    <n v="11"/>
    <n v="4"/>
    <s v="Other"/>
    <n v="1"/>
    <n v="631"/>
    <n v="4"/>
    <x v="1"/>
    <n v="60"/>
    <n v="4"/>
    <n v="2"/>
    <x v="0"/>
    <n v="3"/>
    <s v="Married"/>
    <n v="4707"/>
    <n v="23914"/>
    <n v="8"/>
    <s v="Y"/>
    <x v="1"/>
    <n v="12"/>
    <n v="3"/>
    <n v="4"/>
    <n v="80"/>
    <n v="0"/>
    <n v="6"/>
    <n v="2"/>
    <n v="3"/>
    <n v="4"/>
    <n v="2"/>
    <n v="1"/>
    <n v="2"/>
    <x v="0"/>
    <n v="0"/>
    <x v="2"/>
    <x v="0"/>
    <s v="2-5 Years"/>
    <s v="High"/>
    <s v="Better"/>
  </r>
  <r>
    <x v="17"/>
    <s v="No"/>
    <s v="Travel_Frequently"/>
    <n v="535"/>
    <x v="0"/>
    <n v="24"/>
    <n v="3"/>
    <s v="Medical"/>
    <n v="1"/>
    <n v="632"/>
    <n v="4"/>
    <x v="1"/>
    <n v="38"/>
    <n v="3"/>
    <n v="1"/>
    <x v="6"/>
    <n v="4"/>
    <s v="Married"/>
    <n v="2400"/>
    <n v="5530"/>
    <n v="0"/>
    <s v="Y"/>
    <x v="1"/>
    <n v="13"/>
    <n v="3"/>
    <n v="3"/>
    <n v="80"/>
    <n v="2"/>
    <n v="3"/>
    <n v="3"/>
    <n v="3"/>
    <n v="2"/>
    <n v="2"/>
    <n v="2"/>
    <n v="1"/>
    <x v="1"/>
    <n v="1"/>
    <x v="4"/>
    <x v="1"/>
    <s v="2-5 Years"/>
    <s v="Very High"/>
    <s v="Better"/>
  </r>
  <r>
    <x v="8"/>
    <s v="No"/>
    <s v="Travel_Rarely"/>
    <n v="1495"/>
    <x v="1"/>
    <n v="10"/>
    <n v="3"/>
    <s v="Medical"/>
    <n v="1"/>
    <n v="634"/>
    <n v="3"/>
    <x v="0"/>
    <n v="76"/>
    <n v="3"/>
    <n v="2"/>
    <x v="4"/>
    <n v="3"/>
    <s v="Married"/>
    <n v="9824"/>
    <n v="22174"/>
    <n v="3"/>
    <s v="Y"/>
    <x v="1"/>
    <n v="19"/>
    <n v="3"/>
    <n v="3"/>
    <n v="80"/>
    <n v="1"/>
    <n v="18"/>
    <n v="4"/>
    <n v="3"/>
    <n v="1"/>
    <n v="0"/>
    <n v="0"/>
    <n v="0"/>
    <x v="1"/>
    <n v="1"/>
    <x v="0"/>
    <x v="2"/>
    <s v="0-1 Years"/>
    <s v="High"/>
    <s v="Better"/>
  </r>
  <r>
    <x v="2"/>
    <s v="No"/>
    <s v="Travel_Rarely"/>
    <n v="446"/>
    <x v="1"/>
    <n v="1"/>
    <n v="4"/>
    <s v="Life Sciences"/>
    <n v="1"/>
    <n v="635"/>
    <n v="2"/>
    <x v="0"/>
    <n v="65"/>
    <n v="3"/>
    <n v="2"/>
    <x v="3"/>
    <n v="2"/>
    <s v="Married"/>
    <n v="6447"/>
    <n v="15701"/>
    <n v="6"/>
    <s v="Y"/>
    <x v="1"/>
    <n v="12"/>
    <n v="3"/>
    <n v="2"/>
    <n v="80"/>
    <n v="1"/>
    <n v="8"/>
    <n v="2"/>
    <n v="2"/>
    <n v="6"/>
    <n v="5"/>
    <n v="4"/>
    <n v="3"/>
    <x v="1"/>
    <n v="1"/>
    <x v="0"/>
    <x v="0"/>
    <s v="6-10 Years"/>
    <s v="Medium"/>
    <s v="Good"/>
  </r>
  <r>
    <x v="1"/>
    <s v="No"/>
    <s v="Travel_Rarely"/>
    <n v="1245"/>
    <x v="1"/>
    <n v="18"/>
    <n v="4"/>
    <s v="Life Sciences"/>
    <n v="1"/>
    <n v="638"/>
    <n v="4"/>
    <x v="1"/>
    <n v="58"/>
    <n v="2"/>
    <n v="5"/>
    <x v="7"/>
    <n v="3"/>
    <s v="Divorced"/>
    <n v="19502"/>
    <n v="2125"/>
    <n v="1"/>
    <s v="Y"/>
    <x v="0"/>
    <n v="17"/>
    <n v="3"/>
    <n v="3"/>
    <n v="80"/>
    <n v="1"/>
    <n v="31"/>
    <n v="5"/>
    <n v="3"/>
    <n v="31"/>
    <n v="9"/>
    <n v="0"/>
    <n v="9"/>
    <x v="1"/>
    <n v="1"/>
    <x v="1"/>
    <x v="2"/>
    <s v="10+ Years"/>
    <s v="High"/>
    <s v="Better"/>
  </r>
  <r>
    <x v="17"/>
    <s v="No"/>
    <s v="Travel_Rarely"/>
    <n v="691"/>
    <x v="1"/>
    <n v="23"/>
    <n v="3"/>
    <s v="Medical"/>
    <n v="1"/>
    <n v="639"/>
    <n v="2"/>
    <x v="1"/>
    <n v="89"/>
    <n v="4"/>
    <n v="1"/>
    <x v="1"/>
    <n v="4"/>
    <s v="Married"/>
    <n v="2725"/>
    <n v="21630"/>
    <n v="1"/>
    <s v="Y"/>
    <x v="0"/>
    <n v="11"/>
    <n v="3"/>
    <n v="2"/>
    <n v="80"/>
    <n v="2"/>
    <n v="6"/>
    <n v="3"/>
    <n v="3"/>
    <n v="6"/>
    <n v="5"/>
    <n v="1"/>
    <n v="4"/>
    <x v="1"/>
    <n v="1"/>
    <x v="4"/>
    <x v="1"/>
    <s v="6-10 Years"/>
    <s v="Very High"/>
    <s v="Better"/>
  </r>
  <r>
    <x v="25"/>
    <s v="No"/>
    <s v="Travel_Rarely"/>
    <n v="703"/>
    <x v="0"/>
    <n v="28"/>
    <n v="2"/>
    <s v="Marketing"/>
    <n v="1"/>
    <n v="641"/>
    <n v="1"/>
    <x v="1"/>
    <n v="66"/>
    <n v="3"/>
    <n v="2"/>
    <x v="0"/>
    <n v="2"/>
    <s v="Married"/>
    <n v="6272"/>
    <n v="7428"/>
    <n v="1"/>
    <s v="Y"/>
    <x v="1"/>
    <n v="20"/>
    <n v="4"/>
    <n v="4"/>
    <n v="80"/>
    <n v="2"/>
    <n v="6"/>
    <n v="5"/>
    <n v="4"/>
    <n v="5"/>
    <n v="3"/>
    <n v="1"/>
    <n v="4"/>
    <x v="1"/>
    <n v="1"/>
    <x v="2"/>
    <x v="0"/>
    <s v="2-5 Years"/>
    <s v="Medium"/>
    <s v="Best"/>
  </r>
  <r>
    <x v="17"/>
    <s v="No"/>
    <s v="Travel_Rarely"/>
    <n v="823"/>
    <x v="1"/>
    <n v="17"/>
    <n v="2"/>
    <s v="Other"/>
    <n v="1"/>
    <n v="643"/>
    <n v="4"/>
    <x v="1"/>
    <n v="94"/>
    <n v="2"/>
    <n v="1"/>
    <x v="2"/>
    <n v="2"/>
    <s v="Married"/>
    <n v="2127"/>
    <n v="9100"/>
    <n v="1"/>
    <s v="Y"/>
    <x v="1"/>
    <n v="21"/>
    <n v="4"/>
    <n v="4"/>
    <n v="80"/>
    <n v="1"/>
    <n v="1"/>
    <n v="2"/>
    <n v="3"/>
    <n v="1"/>
    <n v="0"/>
    <n v="0"/>
    <n v="0"/>
    <x v="1"/>
    <n v="1"/>
    <x v="4"/>
    <x v="1"/>
    <s v="0-1 Years"/>
    <s v="Medium"/>
    <s v="Better"/>
  </r>
  <r>
    <x v="24"/>
    <s v="No"/>
    <s v="Travel_Frequently"/>
    <n v="1246"/>
    <x v="2"/>
    <n v="3"/>
    <n v="3"/>
    <s v="Medical"/>
    <n v="1"/>
    <n v="644"/>
    <n v="1"/>
    <x v="1"/>
    <n v="99"/>
    <n v="3"/>
    <n v="5"/>
    <x v="5"/>
    <n v="2"/>
    <s v="Married"/>
    <n v="18200"/>
    <n v="7999"/>
    <n v="1"/>
    <s v="Y"/>
    <x v="1"/>
    <n v="11"/>
    <n v="3"/>
    <n v="3"/>
    <n v="80"/>
    <n v="1"/>
    <n v="32"/>
    <n v="2"/>
    <n v="3"/>
    <n v="32"/>
    <n v="5"/>
    <n v="10"/>
    <n v="7"/>
    <x v="1"/>
    <n v="1"/>
    <x v="1"/>
    <x v="2"/>
    <s v="10+ Years"/>
    <s v="Medium"/>
    <s v="Better"/>
  </r>
  <r>
    <x v="36"/>
    <s v="No"/>
    <s v="Travel_Rarely"/>
    <n v="622"/>
    <x v="0"/>
    <n v="13"/>
    <n v="1"/>
    <s v="Medical"/>
    <n v="1"/>
    <n v="645"/>
    <n v="2"/>
    <x v="1"/>
    <n v="40"/>
    <n v="3"/>
    <n v="1"/>
    <x v="6"/>
    <n v="3"/>
    <s v="Married"/>
    <n v="2096"/>
    <n v="26376"/>
    <n v="1"/>
    <s v="Y"/>
    <x v="1"/>
    <n v="11"/>
    <n v="3"/>
    <n v="3"/>
    <n v="80"/>
    <n v="0"/>
    <n v="7"/>
    <n v="1"/>
    <n v="3"/>
    <n v="7"/>
    <n v="4"/>
    <n v="0"/>
    <n v="6"/>
    <x v="1"/>
    <n v="1"/>
    <x v="2"/>
    <x v="1"/>
    <s v="6-10 Years"/>
    <s v="High"/>
    <s v="Better"/>
  </r>
  <r>
    <x v="17"/>
    <s v="Yes"/>
    <s v="Travel_Frequently"/>
    <n v="1287"/>
    <x v="1"/>
    <n v="7"/>
    <n v="3"/>
    <s v="Life Sciences"/>
    <n v="1"/>
    <n v="647"/>
    <n v="1"/>
    <x v="0"/>
    <n v="55"/>
    <n v="3"/>
    <n v="1"/>
    <x v="2"/>
    <n v="3"/>
    <s v="Married"/>
    <n v="2886"/>
    <n v="14168"/>
    <n v="1"/>
    <s v="Y"/>
    <x v="0"/>
    <n v="16"/>
    <n v="3"/>
    <n v="4"/>
    <n v="80"/>
    <n v="1"/>
    <n v="6"/>
    <n v="4"/>
    <n v="3"/>
    <n v="6"/>
    <n v="3"/>
    <n v="1"/>
    <n v="2"/>
    <x v="0"/>
    <n v="0"/>
    <x v="4"/>
    <x v="1"/>
    <s v="6-10 Years"/>
    <s v="High"/>
    <s v="Better"/>
  </r>
  <r>
    <x v="7"/>
    <s v="Yes"/>
    <s v="Travel_Frequently"/>
    <n v="448"/>
    <x v="0"/>
    <n v="12"/>
    <n v="4"/>
    <s v="Life Sciences"/>
    <n v="1"/>
    <n v="648"/>
    <n v="2"/>
    <x v="1"/>
    <n v="74"/>
    <n v="2"/>
    <n v="1"/>
    <x v="6"/>
    <n v="1"/>
    <s v="Married"/>
    <n v="2033"/>
    <n v="14470"/>
    <n v="1"/>
    <s v="Y"/>
    <x v="1"/>
    <n v="18"/>
    <n v="3"/>
    <n v="3"/>
    <n v="80"/>
    <n v="1"/>
    <n v="1"/>
    <n v="2"/>
    <n v="4"/>
    <n v="1"/>
    <n v="0"/>
    <n v="0"/>
    <n v="0"/>
    <x v="0"/>
    <n v="0"/>
    <x v="2"/>
    <x v="1"/>
    <s v="0-1 Years"/>
    <s v="Low"/>
    <s v="Best"/>
  </r>
  <r>
    <x v="13"/>
    <s v="No"/>
    <s v="Travel_Rarely"/>
    <n v="254"/>
    <x v="1"/>
    <n v="1"/>
    <n v="2"/>
    <s v="Life Sciences"/>
    <n v="1"/>
    <n v="649"/>
    <n v="2"/>
    <x v="1"/>
    <n v="83"/>
    <n v="2"/>
    <n v="1"/>
    <x v="1"/>
    <n v="4"/>
    <s v="Married"/>
    <n v="3622"/>
    <n v="22794"/>
    <n v="1"/>
    <s v="Y"/>
    <x v="0"/>
    <n v="13"/>
    <n v="3"/>
    <n v="4"/>
    <n v="80"/>
    <n v="1"/>
    <n v="6"/>
    <n v="3"/>
    <n v="3"/>
    <n v="6"/>
    <n v="5"/>
    <n v="1"/>
    <n v="3"/>
    <x v="1"/>
    <n v="1"/>
    <x v="2"/>
    <x v="0"/>
    <s v="6-10 Years"/>
    <s v="Very High"/>
    <s v="Better"/>
  </r>
  <r>
    <x v="12"/>
    <s v="Yes"/>
    <s v="Travel_Rarely"/>
    <n v="1365"/>
    <x v="0"/>
    <n v="13"/>
    <n v="4"/>
    <s v="Medical"/>
    <n v="1"/>
    <n v="650"/>
    <n v="2"/>
    <x v="1"/>
    <n v="46"/>
    <n v="3"/>
    <n v="2"/>
    <x v="0"/>
    <n v="1"/>
    <s v="Divorced"/>
    <n v="4233"/>
    <n v="11512"/>
    <n v="2"/>
    <s v="Y"/>
    <x v="1"/>
    <n v="17"/>
    <n v="3"/>
    <n v="3"/>
    <n v="80"/>
    <n v="0"/>
    <n v="9"/>
    <n v="2"/>
    <n v="1"/>
    <n v="3"/>
    <n v="1"/>
    <n v="1"/>
    <n v="2"/>
    <x v="0"/>
    <n v="0"/>
    <x v="2"/>
    <x v="0"/>
    <s v="2-5 Years"/>
    <s v="Low"/>
    <s v="Bad"/>
  </r>
  <r>
    <x v="10"/>
    <s v="No"/>
    <s v="Travel_Rarely"/>
    <n v="538"/>
    <x v="1"/>
    <n v="25"/>
    <n v="2"/>
    <s v="Other"/>
    <n v="1"/>
    <n v="652"/>
    <n v="1"/>
    <x v="1"/>
    <n v="54"/>
    <n v="2"/>
    <n v="2"/>
    <x v="2"/>
    <n v="4"/>
    <s v="Single"/>
    <n v="3681"/>
    <n v="14004"/>
    <n v="4"/>
    <s v="Y"/>
    <x v="1"/>
    <n v="14"/>
    <n v="3"/>
    <n v="4"/>
    <n v="80"/>
    <n v="0"/>
    <n v="9"/>
    <n v="3"/>
    <n v="3"/>
    <n v="3"/>
    <n v="2"/>
    <n v="0"/>
    <n v="2"/>
    <x v="1"/>
    <n v="1"/>
    <x v="0"/>
    <x v="0"/>
    <s v="2-5 Years"/>
    <s v="Very High"/>
    <s v="Better"/>
  </r>
  <r>
    <x v="12"/>
    <s v="No"/>
    <s v="Travel_Rarely"/>
    <n v="525"/>
    <x v="0"/>
    <n v="6"/>
    <n v="4"/>
    <s v="Medical"/>
    <n v="1"/>
    <n v="653"/>
    <n v="1"/>
    <x v="1"/>
    <n v="66"/>
    <n v="4"/>
    <n v="2"/>
    <x v="0"/>
    <n v="4"/>
    <s v="Divorced"/>
    <n v="5460"/>
    <n v="6219"/>
    <n v="4"/>
    <s v="Y"/>
    <x v="1"/>
    <n v="22"/>
    <n v="4"/>
    <n v="4"/>
    <n v="80"/>
    <n v="2"/>
    <n v="13"/>
    <n v="4"/>
    <n v="4"/>
    <n v="7"/>
    <n v="7"/>
    <n v="5"/>
    <n v="7"/>
    <x v="1"/>
    <n v="1"/>
    <x v="2"/>
    <x v="0"/>
    <s v="6-10 Years"/>
    <s v="Very High"/>
    <s v="Best"/>
  </r>
  <r>
    <x v="4"/>
    <s v="No"/>
    <s v="Travel_Rarely"/>
    <n v="798"/>
    <x v="1"/>
    <n v="6"/>
    <n v="4"/>
    <s v="Medical"/>
    <n v="1"/>
    <n v="655"/>
    <n v="1"/>
    <x v="0"/>
    <n v="66"/>
    <n v="2"/>
    <n v="1"/>
    <x v="1"/>
    <n v="3"/>
    <s v="Divorced"/>
    <n v="2187"/>
    <n v="5013"/>
    <n v="0"/>
    <s v="Y"/>
    <x v="1"/>
    <n v="12"/>
    <n v="3"/>
    <n v="3"/>
    <n v="80"/>
    <n v="2"/>
    <n v="6"/>
    <n v="5"/>
    <n v="2"/>
    <n v="5"/>
    <n v="3"/>
    <n v="0"/>
    <n v="3"/>
    <x v="1"/>
    <n v="1"/>
    <x v="2"/>
    <x v="1"/>
    <s v="2-5 Years"/>
    <s v="High"/>
    <s v="Good"/>
  </r>
  <r>
    <x v="2"/>
    <s v="No"/>
    <s v="Travel_Rarely"/>
    <n v="558"/>
    <x v="0"/>
    <n v="2"/>
    <n v="3"/>
    <s v="Marketing"/>
    <n v="1"/>
    <n v="656"/>
    <n v="4"/>
    <x v="1"/>
    <n v="75"/>
    <n v="3"/>
    <n v="2"/>
    <x v="0"/>
    <n v="3"/>
    <s v="Married"/>
    <n v="9602"/>
    <n v="3010"/>
    <n v="4"/>
    <s v="Y"/>
    <x v="0"/>
    <n v="11"/>
    <n v="3"/>
    <n v="3"/>
    <n v="80"/>
    <n v="1"/>
    <n v="17"/>
    <n v="3"/>
    <n v="2"/>
    <n v="3"/>
    <n v="0"/>
    <n v="1"/>
    <n v="0"/>
    <x v="1"/>
    <n v="1"/>
    <x v="0"/>
    <x v="2"/>
    <s v="2-5 Years"/>
    <s v="High"/>
    <s v="Good"/>
  </r>
  <r>
    <x v="35"/>
    <s v="No"/>
    <s v="Travel_Rarely"/>
    <n v="959"/>
    <x v="1"/>
    <n v="1"/>
    <n v="3"/>
    <s v="Life Sciences"/>
    <n v="1"/>
    <n v="657"/>
    <n v="4"/>
    <x v="0"/>
    <n v="83"/>
    <n v="2"/>
    <n v="1"/>
    <x v="1"/>
    <n v="2"/>
    <s v="Single"/>
    <n v="2836"/>
    <n v="11757"/>
    <n v="1"/>
    <s v="Y"/>
    <x v="1"/>
    <n v="13"/>
    <n v="3"/>
    <n v="4"/>
    <n v="80"/>
    <n v="0"/>
    <n v="1"/>
    <n v="0"/>
    <n v="4"/>
    <n v="1"/>
    <n v="0"/>
    <n v="0"/>
    <n v="0"/>
    <x v="1"/>
    <n v="1"/>
    <x v="4"/>
    <x v="1"/>
    <s v="0-1 Years"/>
    <s v="Medium"/>
    <s v="Best"/>
  </r>
  <r>
    <x v="19"/>
    <s v="No"/>
    <s v="Travel_Rarely"/>
    <n v="622"/>
    <x v="1"/>
    <n v="2"/>
    <n v="4"/>
    <s v="Life Sciences"/>
    <n v="1"/>
    <n v="659"/>
    <n v="3"/>
    <x v="0"/>
    <n v="81"/>
    <n v="3"/>
    <n v="2"/>
    <x v="4"/>
    <n v="4"/>
    <s v="Married"/>
    <n v="4089"/>
    <n v="5718"/>
    <n v="1"/>
    <s v="Y"/>
    <x v="1"/>
    <n v="13"/>
    <n v="3"/>
    <n v="2"/>
    <n v="80"/>
    <n v="2"/>
    <n v="10"/>
    <n v="4"/>
    <n v="3"/>
    <n v="10"/>
    <n v="2"/>
    <n v="2"/>
    <n v="2"/>
    <x v="1"/>
    <n v="1"/>
    <x v="0"/>
    <x v="0"/>
    <s v="6-10 Years"/>
    <s v="Very High"/>
    <s v="Better"/>
  </r>
  <r>
    <x v="23"/>
    <s v="No"/>
    <s v="Travel_Rarely"/>
    <n v="782"/>
    <x v="1"/>
    <n v="6"/>
    <n v="4"/>
    <s v="Other"/>
    <n v="1"/>
    <n v="661"/>
    <n v="2"/>
    <x v="1"/>
    <n v="50"/>
    <n v="2"/>
    <n v="4"/>
    <x v="7"/>
    <n v="4"/>
    <s v="Divorced"/>
    <n v="16627"/>
    <n v="2671"/>
    <n v="4"/>
    <s v="Y"/>
    <x v="0"/>
    <n v="14"/>
    <n v="3"/>
    <n v="3"/>
    <n v="80"/>
    <n v="1"/>
    <n v="21"/>
    <n v="3"/>
    <n v="2"/>
    <n v="1"/>
    <n v="0"/>
    <n v="0"/>
    <n v="0"/>
    <x v="1"/>
    <n v="1"/>
    <x v="0"/>
    <x v="2"/>
    <s v="0-1 Years"/>
    <s v="Very High"/>
    <s v="Good"/>
  </r>
  <r>
    <x v="8"/>
    <s v="No"/>
    <s v="Travel_Rarely"/>
    <n v="362"/>
    <x v="1"/>
    <n v="1"/>
    <n v="1"/>
    <s v="Life Sciences"/>
    <n v="1"/>
    <n v="662"/>
    <n v="3"/>
    <x v="0"/>
    <n v="43"/>
    <n v="3"/>
    <n v="1"/>
    <x v="1"/>
    <n v="1"/>
    <s v="Single"/>
    <n v="2619"/>
    <n v="14561"/>
    <n v="3"/>
    <s v="Y"/>
    <x v="1"/>
    <n v="17"/>
    <n v="3"/>
    <n v="4"/>
    <n v="80"/>
    <n v="0"/>
    <n v="8"/>
    <n v="3"/>
    <n v="2"/>
    <n v="0"/>
    <n v="0"/>
    <n v="0"/>
    <n v="0"/>
    <x v="1"/>
    <n v="1"/>
    <x v="0"/>
    <x v="1"/>
    <s v="0-1 Years"/>
    <s v="Low"/>
    <s v="Good"/>
  </r>
  <r>
    <x v="23"/>
    <s v="No"/>
    <s v="Travel_Frequently"/>
    <n v="1001"/>
    <x v="1"/>
    <n v="9"/>
    <n v="5"/>
    <s v="Medical"/>
    <n v="1"/>
    <n v="663"/>
    <n v="4"/>
    <x v="1"/>
    <n v="72"/>
    <n v="3"/>
    <n v="2"/>
    <x v="2"/>
    <n v="3"/>
    <s v="Divorced"/>
    <n v="5679"/>
    <n v="19627"/>
    <n v="3"/>
    <s v="Y"/>
    <x v="0"/>
    <n v="13"/>
    <n v="3"/>
    <n v="2"/>
    <n v="80"/>
    <n v="1"/>
    <n v="10"/>
    <n v="3"/>
    <n v="3"/>
    <n v="8"/>
    <n v="7"/>
    <n v="4"/>
    <n v="7"/>
    <x v="1"/>
    <n v="1"/>
    <x v="0"/>
    <x v="0"/>
    <s v="6-10 Years"/>
    <s v="High"/>
    <s v="Better"/>
  </r>
  <r>
    <x v="26"/>
    <s v="No"/>
    <s v="Travel_Rarely"/>
    <n v="1236"/>
    <x v="1"/>
    <n v="1"/>
    <n v="4"/>
    <s v="Life Sciences"/>
    <n v="1"/>
    <n v="664"/>
    <n v="4"/>
    <x v="0"/>
    <n v="40"/>
    <n v="2"/>
    <n v="4"/>
    <x v="5"/>
    <n v="1"/>
    <s v="Married"/>
    <n v="15402"/>
    <n v="17997"/>
    <n v="7"/>
    <s v="Y"/>
    <x v="1"/>
    <n v="11"/>
    <n v="3"/>
    <n v="1"/>
    <n v="80"/>
    <n v="1"/>
    <n v="21"/>
    <n v="3"/>
    <n v="1"/>
    <n v="3"/>
    <n v="2"/>
    <n v="0"/>
    <n v="2"/>
    <x v="1"/>
    <n v="1"/>
    <x v="1"/>
    <x v="2"/>
    <s v="2-5 Years"/>
    <s v="Low"/>
    <s v="Bad"/>
  </r>
  <r>
    <x v="20"/>
    <s v="No"/>
    <s v="Travel_Rarely"/>
    <n v="1112"/>
    <x v="2"/>
    <n v="1"/>
    <n v="4"/>
    <s v="Life Sciences"/>
    <n v="1"/>
    <n v="665"/>
    <n v="1"/>
    <x v="0"/>
    <n v="50"/>
    <n v="2"/>
    <n v="2"/>
    <x v="8"/>
    <n v="3"/>
    <s v="Single"/>
    <n v="5985"/>
    <n v="26894"/>
    <n v="4"/>
    <s v="Y"/>
    <x v="1"/>
    <n v="11"/>
    <n v="3"/>
    <n v="2"/>
    <n v="80"/>
    <n v="0"/>
    <n v="10"/>
    <n v="1"/>
    <n v="4"/>
    <n v="2"/>
    <n v="2"/>
    <n v="0"/>
    <n v="2"/>
    <x v="1"/>
    <n v="1"/>
    <x v="0"/>
    <x v="0"/>
    <s v="2-5 Years"/>
    <s v="High"/>
    <s v="Best"/>
  </r>
  <r>
    <x v="13"/>
    <s v="No"/>
    <s v="Travel_Rarely"/>
    <n v="204"/>
    <x v="0"/>
    <n v="14"/>
    <n v="3"/>
    <s v="Technical Degree"/>
    <n v="1"/>
    <n v="666"/>
    <n v="3"/>
    <x v="0"/>
    <n v="31"/>
    <n v="3"/>
    <n v="1"/>
    <x v="6"/>
    <n v="3"/>
    <s v="Divorced"/>
    <n v="2579"/>
    <n v="2912"/>
    <n v="1"/>
    <s v="Y"/>
    <x v="0"/>
    <n v="18"/>
    <n v="3"/>
    <n v="4"/>
    <n v="80"/>
    <n v="2"/>
    <n v="8"/>
    <n v="3"/>
    <n v="3"/>
    <n v="8"/>
    <n v="2"/>
    <n v="0"/>
    <n v="6"/>
    <x v="1"/>
    <n v="1"/>
    <x v="2"/>
    <x v="1"/>
    <s v="6-10 Years"/>
    <s v="High"/>
    <s v="Better"/>
  </r>
  <r>
    <x v="4"/>
    <s v="Yes"/>
    <s v="Travel_Rarely"/>
    <n v="1420"/>
    <x v="0"/>
    <n v="2"/>
    <n v="1"/>
    <s v="Marketing"/>
    <n v="1"/>
    <n v="667"/>
    <n v="3"/>
    <x v="1"/>
    <n v="85"/>
    <n v="3"/>
    <n v="1"/>
    <x v="6"/>
    <n v="1"/>
    <s v="Divorced"/>
    <n v="3041"/>
    <n v="16346"/>
    <n v="0"/>
    <s v="Y"/>
    <x v="1"/>
    <n v="11"/>
    <n v="3"/>
    <n v="2"/>
    <n v="80"/>
    <n v="1"/>
    <n v="5"/>
    <n v="3"/>
    <n v="3"/>
    <n v="4"/>
    <n v="3"/>
    <n v="0"/>
    <n v="2"/>
    <x v="0"/>
    <n v="0"/>
    <x v="2"/>
    <x v="0"/>
    <s v="2-5 Years"/>
    <s v="Low"/>
    <s v="Better"/>
  </r>
  <r>
    <x v="18"/>
    <s v="No"/>
    <s v="Travel_Rarely"/>
    <n v="1343"/>
    <x v="0"/>
    <n v="22"/>
    <n v="1"/>
    <s v="Technical Degree"/>
    <n v="1"/>
    <n v="669"/>
    <n v="3"/>
    <x v="1"/>
    <n v="49"/>
    <n v="3"/>
    <n v="1"/>
    <x v="6"/>
    <n v="3"/>
    <s v="Single"/>
    <n v="3447"/>
    <n v="24444"/>
    <n v="1"/>
    <s v="Y"/>
    <x v="1"/>
    <n v="11"/>
    <n v="3"/>
    <n v="3"/>
    <n v="80"/>
    <n v="0"/>
    <n v="3"/>
    <n v="2"/>
    <n v="3"/>
    <n v="3"/>
    <n v="2"/>
    <n v="1"/>
    <n v="2"/>
    <x v="1"/>
    <n v="1"/>
    <x v="4"/>
    <x v="0"/>
    <s v="2-5 Years"/>
    <s v="High"/>
    <s v="Better"/>
  </r>
  <r>
    <x v="20"/>
    <s v="No"/>
    <s v="Travel_Rarely"/>
    <n v="1315"/>
    <x v="1"/>
    <n v="3"/>
    <n v="4"/>
    <s v="Other"/>
    <n v="1"/>
    <n v="671"/>
    <n v="4"/>
    <x v="1"/>
    <n v="35"/>
    <n v="3"/>
    <n v="5"/>
    <x v="5"/>
    <n v="4"/>
    <s v="Married"/>
    <n v="19513"/>
    <n v="9358"/>
    <n v="4"/>
    <s v="Y"/>
    <x v="0"/>
    <n v="12"/>
    <n v="3"/>
    <n v="1"/>
    <n v="80"/>
    <n v="1"/>
    <n v="26"/>
    <n v="2"/>
    <n v="4"/>
    <n v="2"/>
    <n v="2"/>
    <n v="0"/>
    <n v="1"/>
    <x v="1"/>
    <n v="1"/>
    <x v="0"/>
    <x v="2"/>
    <s v="2-5 Years"/>
    <s v="Very High"/>
    <s v="Best"/>
  </r>
  <r>
    <x v="15"/>
    <s v="No"/>
    <s v="Travel_Rarely"/>
    <n v="604"/>
    <x v="1"/>
    <n v="6"/>
    <n v="1"/>
    <s v="Medical"/>
    <n v="1"/>
    <n v="675"/>
    <n v="1"/>
    <x v="1"/>
    <n v="69"/>
    <n v="3"/>
    <n v="1"/>
    <x v="1"/>
    <n v="3"/>
    <s v="Married"/>
    <n v="2773"/>
    <n v="12145"/>
    <n v="0"/>
    <s v="Y"/>
    <x v="1"/>
    <n v="20"/>
    <n v="4"/>
    <n v="4"/>
    <n v="80"/>
    <n v="0"/>
    <n v="3"/>
    <n v="3"/>
    <n v="3"/>
    <n v="2"/>
    <n v="2"/>
    <n v="2"/>
    <n v="2"/>
    <x v="1"/>
    <n v="1"/>
    <x v="4"/>
    <x v="1"/>
    <s v="2-5 Years"/>
    <s v="High"/>
    <s v="Better"/>
  </r>
  <r>
    <x v="3"/>
    <s v="No"/>
    <s v="Travel_Rarely"/>
    <n v="1216"/>
    <x v="0"/>
    <n v="8"/>
    <n v="4"/>
    <s v="Marketing"/>
    <n v="1"/>
    <n v="677"/>
    <n v="3"/>
    <x v="1"/>
    <n v="39"/>
    <n v="3"/>
    <n v="2"/>
    <x v="0"/>
    <n v="3"/>
    <s v="Divorced"/>
    <n v="7104"/>
    <n v="20431"/>
    <n v="0"/>
    <s v="Y"/>
    <x v="1"/>
    <n v="12"/>
    <n v="3"/>
    <n v="4"/>
    <n v="80"/>
    <n v="0"/>
    <n v="6"/>
    <n v="3"/>
    <n v="3"/>
    <n v="5"/>
    <n v="0"/>
    <n v="1"/>
    <n v="2"/>
    <x v="1"/>
    <n v="1"/>
    <x v="2"/>
    <x v="2"/>
    <s v="2-5 Years"/>
    <s v="High"/>
    <s v="Better"/>
  </r>
  <r>
    <x v="5"/>
    <s v="No"/>
    <s v="Travel_Rarely"/>
    <n v="646"/>
    <x v="1"/>
    <n v="9"/>
    <n v="4"/>
    <s v="Life Sciences"/>
    <n v="1"/>
    <n v="679"/>
    <n v="1"/>
    <x v="0"/>
    <n v="92"/>
    <n v="3"/>
    <n v="2"/>
    <x v="1"/>
    <n v="4"/>
    <s v="Married"/>
    <n v="6322"/>
    <n v="18089"/>
    <n v="1"/>
    <s v="Y"/>
    <x v="0"/>
    <n v="12"/>
    <n v="3"/>
    <n v="4"/>
    <n v="80"/>
    <n v="1"/>
    <n v="6"/>
    <n v="2"/>
    <n v="2"/>
    <n v="6"/>
    <n v="4"/>
    <n v="0"/>
    <n v="5"/>
    <x v="1"/>
    <n v="1"/>
    <x v="2"/>
    <x v="0"/>
    <s v="6-10 Years"/>
    <s v="Very High"/>
    <s v="Good"/>
  </r>
  <r>
    <x v="7"/>
    <s v="No"/>
    <s v="Travel_Frequently"/>
    <n v="160"/>
    <x v="1"/>
    <n v="3"/>
    <n v="3"/>
    <s v="Medical"/>
    <n v="1"/>
    <n v="680"/>
    <n v="3"/>
    <x v="0"/>
    <n v="71"/>
    <n v="3"/>
    <n v="1"/>
    <x v="1"/>
    <n v="3"/>
    <s v="Divorced"/>
    <n v="2083"/>
    <n v="22653"/>
    <n v="1"/>
    <s v="Y"/>
    <x v="1"/>
    <n v="20"/>
    <n v="4"/>
    <n v="3"/>
    <n v="80"/>
    <n v="1"/>
    <n v="1"/>
    <n v="2"/>
    <n v="3"/>
    <n v="1"/>
    <n v="0"/>
    <n v="0"/>
    <n v="0"/>
    <x v="1"/>
    <n v="1"/>
    <x v="2"/>
    <x v="1"/>
    <s v="0-1 Years"/>
    <s v="High"/>
    <s v="Better"/>
  </r>
  <r>
    <x v="16"/>
    <s v="No"/>
    <s v="Travel_Rarely"/>
    <n v="238"/>
    <x v="0"/>
    <n v="1"/>
    <n v="1"/>
    <s v="Medical"/>
    <n v="1"/>
    <n v="682"/>
    <n v="4"/>
    <x v="0"/>
    <n v="34"/>
    <n v="3"/>
    <n v="2"/>
    <x v="0"/>
    <n v="1"/>
    <s v="Single"/>
    <n v="8381"/>
    <n v="7507"/>
    <n v="7"/>
    <s v="Y"/>
    <x v="1"/>
    <n v="20"/>
    <n v="4"/>
    <n v="4"/>
    <n v="80"/>
    <n v="0"/>
    <n v="18"/>
    <n v="2"/>
    <n v="4"/>
    <n v="14"/>
    <n v="7"/>
    <n v="8"/>
    <n v="10"/>
    <x v="1"/>
    <n v="1"/>
    <x v="1"/>
    <x v="2"/>
    <s v="10+ Years"/>
    <s v="Low"/>
    <s v="Best"/>
  </r>
  <r>
    <x v="13"/>
    <s v="No"/>
    <s v="Travel_Rarely"/>
    <n v="1397"/>
    <x v="1"/>
    <n v="1"/>
    <n v="5"/>
    <s v="Life Sciences"/>
    <n v="1"/>
    <n v="683"/>
    <n v="2"/>
    <x v="1"/>
    <n v="42"/>
    <n v="3"/>
    <n v="1"/>
    <x v="1"/>
    <n v="4"/>
    <s v="Married"/>
    <n v="2691"/>
    <n v="7660"/>
    <n v="1"/>
    <s v="Y"/>
    <x v="1"/>
    <n v="12"/>
    <n v="3"/>
    <n v="4"/>
    <n v="80"/>
    <n v="1"/>
    <n v="10"/>
    <n v="4"/>
    <n v="2"/>
    <n v="10"/>
    <n v="9"/>
    <n v="8"/>
    <n v="8"/>
    <x v="1"/>
    <n v="1"/>
    <x v="2"/>
    <x v="1"/>
    <s v="6-10 Years"/>
    <s v="Very High"/>
    <s v="Good"/>
  </r>
  <r>
    <x v="28"/>
    <s v="Yes"/>
    <s v="Travel_Frequently"/>
    <n v="306"/>
    <x v="0"/>
    <n v="26"/>
    <n v="4"/>
    <s v="Life Sciences"/>
    <n v="1"/>
    <n v="684"/>
    <n v="1"/>
    <x v="0"/>
    <n v="100"/>
    <n v="3"/>
    <n v="2"/>
    <x v="0"/>
    <n v="1"/>
    <s v="Married"/>
    <n v="4286"/>
    <n v="5630"/>
    <n v="2"/>
    <s v="Y"/>
    <x v="1"/>
    <n v="14"/>
    <n v="3"/>
    <n v="4"/>
    <n v="80"/>
    <n v="2"/>
    <n v="5"/>
    <n v="4"/>
    <n v="3"/>
    <n v="1"/>
    <n v="1"/>
    <n v="0"/>
    <n v="0"/>
    <x v="0"/>
    <n v="0"/>
    <x v="1"/>
    <x v="0"/>
    <s v="0-1 Years"/>
    <s v="Low"/>
    <s v="Better"/>
  </r>
  <r>
    <x v="25"/>
    <s v="No"/>
    <s v="Travel_Rarely"/>
    <n v="991"/>
    <x v="1"/>
    <n v="6"/>
    <n v="3"/>
    <s v="Life Sciences"/>
    <n v="1"/>
    <n v="686"/>
    <n v="3"/>
    <x v="0"/>
    <n v="71"/>
    <n v="3"/>
    <n v="1"/>
    <x v="2"/>
    <n v="4"/>
    <s v="Married"/>
    <n v="2659"/>
    <n v="17759"/>
    <n v="1"/>
    <s v="Y"/>
    <x v="0"/>
    <n v="13"/>
    <n v="3"/>
    <n v="3"/>
    <n v="80"/>
    <n v="1"/>
    <n v="3"/>
    <n v="2"/>
    <n v="3"/>
    <n v="3"/>
    <n v="2"/>
    <n v="0"/>
    <n v="2"/>
    <x v="1"/>
    <n v="1"/>
    <x v="2"/>
    <x v="1"/>
    <s v="2-5 Years"/>
    <s v="Very High"/>
    <s v="Better"/>
  </r>
  <r>
    <x v="2"/>
    <s v="No"/>
    <s v="Travel_Rarely"/>
    <n v="482"/>
    <x v="1"/>
    <n v="3"/>
    <n v="3"/>
    <s v="Other"/>
    <n v="1"/>
    <n v="689"/>
    <n v="3"/>
    <x v="1"/>
    <n v="36"/>
    <n v="3"/>
    <n v="3"/>
    <x v="3"/>
    <n v="3"/>
    <s v="Married"/>
    <n v="9434"/>
    <n v="9606"/>
    <n v="1"/>
    <s v="Y"/>
    <x v="1"/>
    <n v="15"/>
    <n v="3"/>
    <n v="3"/>
    <n v="80"/>
    <n v="1"/>
    <n v="10"/>
    <n v="2"/>
    <n v="3"/>
    <n v="10"/>
    <n v="7"/>
    <n v="7"/>
    <n v="8"/>
    <x v="1"/>
    <n v="1"/>
    <x v="0"/>
    <x v="2"/>
    <s v="6-10 Years"/>
    <s v="High"/>
    <s v="Better"/>
  </r>
  <r>
    <x v="11"/>
    <s v="No"/>
    <s v="Travel_Rarely"/>
    <n v="1176"/>
    <x v="0"/>
    <n v="3"/>
    <n v="2"/>
    <s v="Medical"/>
    <n v="1"/>
    <n v="690"/>
    <n v="2"/>
    <x v="0"/>
    <n v="62"/>
    <n v="3"/>
    <n v="2"/>
    <x v="0"/>
    <n v="3"/>
    <s v="Married"/>
    <n v="5561"/>
    <n v="3487"/>
    <n v="1"/>
    <s v="Y"/>
    <x v="1"/>
    <n v="14"/>
    <n v="3"/>
    <n v="1"/>
    <n v="80"/>
    <n v="1"/>
    <n v="6"/>
    <n v="5"/>
    <n v="2"/>
    <n v="6"/>
    <n v="0"/>
    <n v="1"/>
    <n v="2"/>
    <x v="1"/>
    <n v="1"/>
    <x v="2"/>
    <x v="0"/>
    <s v="6-10 Years"/>
    <s v="High"/>
    <s v="Good"/>
  </r>
  <r>
    <x v="10"/>
    <s v="No"/>
    <s v="Travel_Rarely"/>
    <n v="1017"/>
    <x v="1"/>
    <n v="6"/>
    <n v="4"/>
    <s v="Life Sciences"/>
    <n v="1"/>
    <n v="691"/>
    <n v="2"/>
    <x v="1"/>
    <n v="82"/>
    <n v="1"/>
    <n v="2"/>
    <x v="1"/>
    <n v="4"/>
    <s v="Single"/>
    <n v="6646"/>
    <n v="19368"/>
    <n v="1"/>
    <s v="Y"/>
    <x v="1"/>
    <n v="13"/>
    <n v="3"/>
    <n v="2"/>
    <n v="80"/>
    <n v="0"/>
    <n v="17"/>
    <n v="3"/>
    <n v="3"/>
    <n v="17"/>
    <n v="11"/>
    <n v="11"/>
    <n v="8"/>
    <x v="1"/>
    <n v="1"/>
    <x v="0"/>
    <x v="0"/>
    <s v="10+ Years"/>
    <s v="Very High"/>
    <s v="Better"/>
  </r>
  <r>
    <x v="3"/>
    <s v="No"/>
    <s v="Travel_Frequently"/>
    <n v="1296"/>
    <x v="1"/>
    <n v="6"/>
    <n v="3"/>
    <s v="Life Sciences"/>
    <n v="1"/>
    <n v="692"/>
    <n v="3"/>
    <x v="1"/>
    <n v="30"/>
    <n v="3"/>
    <n v="2"/>
    <x v="4"/>
    <n v="4"/>
    <s v="Divorced"/>
    <n v="7725"/>
    <n v="5335"/>
    <n v="3"/>
    <s v="Y"/>
    <x v="1"/>
    <n v="23"/>
    <n v="4"/>
    <n v="3"/>
    <n v="80"/>
    <n v="1"/>
    <n v="15"/>
    <n v="2"/>
    <n v="1"/>
    <n v="13"/>
    <n v="11"/>
    <n v="4"/>
    <n v="7"/>
    <x v="1"/>
    <n v="1"/>
    <x v="2"/>
    <x v="2"/>
    <s v="10+ Years"/>
    <s v="Very High"/>
    <s v="Bad"/>
  </r>
  <r>
    <x v="33"/>
    <s v="No"/>
    <s v="Travel_Rarely"/>
    <n v="397"/>
    <x v="2"/>
    <n v="19"/>
    <n v="4"/>
    <s v="Medical"/>
    <n v="1"/>
    <n v="698"/>
    <n v="3"/>
    <x v="1"/>
    <n v="88"/>
    <n v="3"/>
    <n v="3"/>
    <x v="8"/>
    <n v="2"/>
    <s v="Married"/>
    <n v="10725"/>
    <n v="6729"/>
    <n v="2"/>
    <s v="Y"/>
    <x v="1"/>
    <n v="15"/>
    <n v="3"/>
    <n v="3"/>
    <n v="80"/>
    <n v="1"/>
    <n v="16"/>
    <n v="1"/>
    <n v="4"/>
    <n v="9"/>
    <n v="7"/>
    <n v="7"/>
    <n v="1"/>
    <x v="1"/>
    <n v="1"/>
    <x v="1"/>
    <x v="2"/>
    <s v="6-10 Years"/>
    <s v="Medium"/>
    <s v="Best"/>
  </r>
  <r>
    <x v="9"/>
    <s v="No"/>
    <s v="Travel_Rarely"/>
    <n v="913"/>
    <x v="1"/>
    <n v="9"/>
    <n v="2"/>
    <s v="Medical"/>
    <n v="1"/>
    <n v="699"/>
    <n v="2"/>
    <x v="1"/>
    <n v="48"/>
    <n v="2"/>
    <n v="2"/>
    <x v="3"/>
    <n v="2"/>
    <s v="Divorced"/>
    <n v="8847"/>
    <n v="13934"/>
    <n v="2"/>
    <s v="Y"/>
    <x v="0"/>
    <n v="11"/>
    <n v="3"/>
    <n v="3"/>
    <n v="80"/>
    <n v="1"/>
    <n v="13"/>
    <n v="2"/>
    <n v="3"/>
    <n v="3"/>
    <n v="2"/>
    <n v="0"/>
    <n v="2"/>
    <x v="1"/>
    <n v="1"/>
    <x v="0"/>
    <x v="2"/>
    <s v="2-5 Years"/>
    <s v="Medium"/>
    <s v="Better"/>
  </r>
  <r>
    <x v="4"/>
    <s v="No"/>
    <s v="Travel_Rarely"/>
    <n v="1115"/>
    <x v="1"/>
    <n v="3"/>
    <n v="4"/>
    <s v="Medical"/>
    <n v="1"/>
    <n v="700"/>
    <n v="1"/>
    <x v="1"/>
    <n v="54"/>
    <n v="2"/>
    <n v="1"/>
    <x v="1"/>
    <n v="4"/>
    <s v="Single"/>
    <n v="2045"/>
    <n v="15174"/>
    <n v="0"/>
    <s v="Y"/>
    <x v="1"/>
    <n v="13"/>
    <n v="3"/>
    <n v="4"/>
    <n v="80"/>
    <n v="0"/>
    <n v="5"/>
    <n v="0"/>
    <n v="3"/>
    <n v="4"/>
    <n v="2"/>
    <n v="1"/>
    <n v="1"/>
    <x v="1"/>
    <n v="1"/>
    <x v="2"/>
    <x v="1"/>
    <s v="2-5 Years"/>
    <s v="Very High"/>
    <s v="Better"/>
  </r>
  <r>
    <x v="35"/>
    <s v="Yes"/>
    <s v="Travel_Rarely"/>
    <n v="1362"/>
    <x v="1"/>
    <n v="10"/>
    <n v="1"/>
    <s v="Medical"/>
    <n v="1"/>
    <n v="701"/>
    <n v="4"/>
    <x v="1"/>
    <n v="32"/>
    <n v="3"/>
    <n v="1"/>
    <x v="1"/>
    <n v="3"/>
    <s v="Single"/>
    <n v="1009"/>
    <n v="26999"/>
    <n v="1"/>
    <s v="Y"/>
    <x v="0"/>
    <n v="11"/>
    <n v="3"/>
    <n v="4"/>
    <n v="80"/>
    <n v="0"/>
    <n v="1"/>
    <n v="5"/>
    <n v="3"/>
    <n v="1"/>
    <n v="0"/>
    <n v="1"/>
    <n v="1"/>
    <x v="0"/>
    <n v="0"/>
    <x v="4"/>
    <x v="1"/>
    <s v="0-1 Years"/>
    <s v="High"/>
    <s v="Better"/>
  </r>
  <r>
    <x v="3"/>
    <s v="Yes"/>
    <s v="Travel_Frequently"/>
    <n v="1076"/>
    <x v="1"/>
    <n v="3"/>
    <n v="3"/>
    <s v="Life Sciences"/>
    <n v="1"/>
    <n v="702"/>
    <n v="1"/>
    <x v="1"/>
    <n v="70"/>
    <n v="3"/>
    <n v="1"/>
    <x v="1"/>
    <n v="1"/>
    <s v="Single"/>
    <n v="3348"/>
    <n v="3164"/>
    <n v="1"/>
    <s v="Y"/>
    <x v="0"/>
    <n v="11"/>
    <n v="3"/>
    <n v="1"/>
    <n v="80"/>
    <n v="0"/>
    <n v="10"/>
    <n v="3"/>
    <n v="3"/>
    <n v="10"/>
    <n v="8"/>
    <n v="9"/>
    <n v="7"/>
    <x v="0"/>
    <n v="0"/>
    <x v="2"/>
    <x v="0"/>
    <s v="6-10 Years"/>
    <s v="Low"/>
    <s v="Better"/>
  </r>
  <r>
    <x v="10"/>
    <s v="No"/>
    <s v="Non-Travel"/>
    <n v="727"/>
    <x v="1"/>
    <n v="3"/>
    <n v="3"/>
    <s v="Life Sciences"/>
    <n v="1"/>
    <n v="704"/>
    <n v="3"/>
    <x v="1"/>
    <n v="41"/>
    <n v="2"/>
    <n v="1"/>
    <x v="2"/>
    <n v="3"/>
    <s v="Married"/>
    <n v="1281"/>
    <n v="16900"/>
    <n v="1"/>
    <s v="Y"/>
    <x v="1"/>
    <n v="18"/>
    <n v="3"/>
    <n v="3"/>
    <n v="80"/>
    <n v="2"/>
    <n v="1"/>
    <n v="3"/>
    <n v="3"/>
    <n v="1"/>
    <n v="0"/>
    <n v="0"/>
    <n v="0"/>
    <x v="1"/>
    <n v="1"/>
    <x v="0"/>
    <x v="1"/>
    <s v="0-1 Years"/>
    <s v="High"/>
    <s v="Better"/>
  </r>
  <r>
    <x v="30"/>
    <s v="No"/>
    <s v="Travel_Rarely"/>
    <n v="885"/>
    <x v="1"/>
    <n v="4"/>
    <n v="3"/>
    <s v="Medical"/>
    <n v="1"/>
    <n v="705"/>
    <n v="1"/>
    <x v="1"/>
    <n v="58"/>
    <n v="4"/>
    <n v="1"/>
    <x v="1"/>
    <n v="1"/>
    <s v="Married"/>
    <n v="2819"/>
    <n v="8544"/>
    <n v="2"/>
    <s v="Y"/>
    <x v="1"/>
    <n v="16"/>
    <n v="3"/>
    <n v="1"/>
    <n v="80"/>
    <n v="1"/>
    <n v="5"/>
    <n v="3"/>
    <n v="4"/>
    <n v="3"/>
    <n v="2"/>
    <n v="0"/>
    <n v="2"/>
    <x v="1"/>
    <n v="1"/>
    <x v="4"/>
    <x v="1"/>
    <s v="2-5 Years"/>
    <s v="Low"/>
    <s v="Best"/>
  </r>
  <r>
    <x v="36"/>
    <s v="No"/>
    <s v="Travel_Rarely"/>
    <n v="810"/>
    <x v="0"/>
    <n v="8"/>
    <n v="3"/>
    <s v="Life Sciences"/>
    <n v="1"/>
    <n v="707"/>
    <n v="4"/>
    <x v="1"/>
    <n v="57"/>
    <n v="4"/>
    <n v="2"/>
    <x v="0"/>
    <n v="2"/>
    <s v="Married"/>
    <n v="4851"/>
    <n v="15678"/>
    <n v="0"/>
    <s v="Y"/>
    <x v="1"/>
    <n v="22"/>
    <n v="4"/>
    <n v="3"/>
    <n v="80"/>
    <n v="1"/>
    <n v="4"/>
    <n v="4"/>
    <n v="3"/>
    <n v="3"/>
    <n v="2"/>
    <n v="1"/>
    <n v="2"/>
    <x v="1"/>
    <n v="1"/>
    <x v="2"/>
    <x v="0"/>
    <s v="2-5 Years"/>
    <s v="Medium"/>
    <s v="Better"/>
  </r>
  <r>
    <x v="8"/>
    <s v="No"/>
    <s v="Travel_Rarely"/>
    <n v="243"/>
    <x v="0"/>
    <n v="7"/>
    <n v="4"/>
    <s v="Marketing"/>
    <n v="1"/>
    <n v="709"/>
    <n v="4"/>
    <x v="0"/>
    <n v="46"/>
    <n v="2"/>
    <n v="2"/>
    <x v="0"/>
    <n v="4"/>
    <s v="Single"/>
    <n v="4028"/>
    <n v="7791"/>
    <n v="0"/>
    <s v="Y"/>
    <x v="1"/>
    <n v="20"/>
    <n v="4"/>
    <n v="1"/>
    <n v="80"/>
    <n v="0"/>
    <n v="8"/>
    <n v="2"/>
    <n v="3"/>
    <n v="7"/>
    <n v="7"/>
    <n v="0"/>
    <n v="5"/>
    <x v="1"/>
    <n v="1"/>
    <x v="0"/>
    <x v="0"/>
    <s v="6-10 Years"/>
    <s v="Very High"/>
    <s v="Better"/>
  </r>
  <r>
    <x v="11"/>
    <s v="No"/>
    <s v="Travel_Frequently"/>
    <n v="806"/>
    <x v="1"/>
    <n v="1"/>
    <n v="4"/>
    <s v="Life Sciences"/>
    <n v="1"/>
    <n v="710"/>
    <n v="2"/>
    <x v="1"/>
    <n v="76"/>
    <n v="1"/>
    <n v="1"/>
    <x v="1"/>
    <n v="4"/>
    <s v="Divorced"/>
    <n v="2720"/>
    <n v="18959"/>
    <n v="1"/>
    <s v="Y"/>
    <x v="1"/>
    <n v="18"/>
    <n v="3"/>
    <n v="4"/>
    <n v="80"/>
    <n v="1"/>
    <n v="10"/>
    <n v="5"/>
    <n v="3"/>
    <n v="10"/>
    <n v="7"/>
    <n v="2"/>
    <n v="8"/>
    <x v="1"/>
    <n v="1"/>
    <x v="2"/>
    <x v="1"/>
    <s v="6-10 Years"/>
    <s v="Very High"/>
    <s v="Better"/>
  </r>
  <r>
    <x v="26"/>
    <s v="No"/>
    <s v="Travel_Rarely"/>
    <n v="817"/>
    <x v="0"/>
    <n v="2"/>
    <n v="1"/>
    <s v="Marketing"/>
    <n v="1"/>
    <n v="712"/>
    <n v="2"/>
    <x v="1"/>
    <n v="56"/>
    <n v="4"/>
    <n v="2"/>
    <x v="0"/>
    <n v="2"/>
    <s v="Married"/>
    <n v="8120"/>
    <n v="18597"/>
    <n v="3"/>
    <s v="Y"/>
    <x v="1"/>
    <n v="12"/>
    <n v="3"/>
    <n v="4"/>
    <n v="80"/>
    <n v="0"/>
    <n v="12"/>
    <n v="3"/>
    <n v="3"/>
    <n v="2"/>
    <n v="2"/>
    <n v="2"/>
    <n v="2"/>
    <x v="1"/>
    <n v="1"/>
    <x v="1"/>
    <x v="2"/>
    <s v="2-5 Years"/>
    <s v="Medium"/>
    <s v="Better"/>
  </r>
  <r>
    <x v="4"/>
    <s v="No"/>
    <s v="Travel_Frequently"/>
    <n v="1410"/>
    <x v="0"/>
    <n v="3"/>
    <n v="1"/>
    <s v="Medical"/>
    <n v="1"/>
    <n v="714"/>
    <n v="4"/>
    <x v="0"/>
    <n v="71"/>
    <n v="4"/>
    <n v="2"/>
    <x v="0"/>
    <n v="4"/>
    <s v="Divorced"/>
    <n v="4647"/>
    <n v="16673"/>
    <n v="1"/>
    <s v="Y"/>
    <x v="0"/>
    <n v="20"/>
    <n v="4"/>
    <n v="2"/>
    <n v="80"/>
    <n v="2"/>
    <n v="6"/>
    <n v="3"/>
    <n v="3"/>
    <n v="6"/>
    <n v="5"/>
    <n v="0"/>
    <n v="4"/>
    <x v="1"/>
    <n v="1"/>
    <x v="2"/>
    <x v="0"/>
    <s v="6-10 Years"/>
    <s v="Very High"/>
    <s v="Better"/>
  </r>
  <r>
    <x v="2"/>
    <s v="No"/>
    <s v="Travel_Rarely"/>
    <n v="1225"/>
    <x v="1"/>
    <n v="10"/>
    <n v="2"/>
    <s v="Life Sciences"/>
    <n v="1"/>
    <n v="715"/>
    <n v="4"/>
    <x v="1"/>
    <n v="80"/>
    <n v="4"/>
    <n v="1"/>
    <x v="1"/>
    <n v="4"/>
    <s v="Single"/>
    <n v="4680"/>
    <n v="15232"/>
    <n v="3"/>
    <s v="Y"/>
    <x v="1"/>
    <n v="17"/>
    <n v="3"/>
    <n v="1"/>
    <n v="80"/>
    <n v="0"/>
    <n v="4"/>
    <n v="2"/>
    <n v="3"/>
    <n v="1"/>
    <n v="0"/>
    <n v="0"/>
    <n v="0"/>
    <x v="1"/>
    <n v="1"/>
    <x v="0"/>
    <x v="0"/>
    <s v="0-1 Years"/>
    <s v="Very High"/>
    <s v="Better"/>
  </r>
  <r>
    <x v="24"/>
    <s v="No"/>
    <s v="Travel_Rarely"/>
    <n v="1207"/>
    <x v="1"/>
    <n v="28"/>
    <n v="1"/>
    <s v="Medical"/>
    <n v="1"/>
    <n v="716"/>
    <n v="4"/>
    <x v="1"/>
    <n v="74"/>
    <n v="4"/>
    <n v="1"/>
    <x v="2"/>
    <n v="3"/>
    <s v="Married"/>
    <n v="3221"/>
    <n v="3297"/>
    <n v="1"/>
    <s v="Y"/>
    <x v="0"/>
    <n v="11"/>
    <n v="3"/>
    <n v="3"/>
    <n v="80"/>
    <n v="3"/>
    <n v="20"/>
    <n v="3"/>
    <n v="3"/>
    <n v="20"/>
    <n v="8"/>
    <n v="3"/>
    <n v="8"/>
    <x v="1"/>
    <n v="1"/>
    <x v="1"/>
    <x v="0"/>
    <s v="10+ Years"/>
    <s v="High"/>
    <s v="Better"/>
  </r>
  <r>
    <x v="13"/>
    <s v="No"/>
    <s v="Travel_Rarely"/>
    <n v="1442"/>
    <x v="1"/>
    <n v="9"/>
    <n v="3"/>
    <s v="Medical"/>
    <n v="1"/>
    <n v="717"/>
    <n v="4"/>
    <x v="0"/>
    <n v="46"/>
    <n v="2"/>
    <n v="3"/>
    <x v="4"/>
    <n v="2"/>
    <s v="Single"/>
    <n v="8621"/>
    <n v="17654"/>
    <n v="1"/>
    <s v="Y"/>
    <x v="1"/>
    <n v="14"/>
    <n v="3"/>
    <n v="2"/>
    <n v="80"/>
    <n v="0"/>
    <n v="9"/>
    <n v="3"/>
    <n v="4"/>
    <n v="8"/>
    <n v="7"/>
    <n v="7"/>
    <n v="7"/>
    <x v="1"/>
    <n v="1"/>
    <x v="2"/>
    <x v="2"/>
    <s v="6-10 Years"/>
    <s v="Medium"/>
    <s v="Best"/>
  </r>
  <r>
    <x v="17"/>
    <s v="Yes"/>
    <s v="Travel_Rarely"/>
    <n v="693"/>
    <x v="0"/>
    <n v="3"/>
    <n v="2"/>
    <s v="Life Sciences"/>
    <n v="1"/>
    <n v="720"/>
    <n v="1"/>
    <x v="0"/>
    <n v="65"/>
    <n v="3"/>
    <n v="2"/>
    <x v="0"/>
    <n v="3"/>
    <s v="Single"/>
    <n v="4577"/>
    <n v="24785"/>
    <n v="9"/>
    <s v="Y"/>
    <x v="1"/>
    <n v="14"/>
    <n v="3"/>
    <n v="1"/>
    <n v="80"/>
    <n v="0"/>
    <n v="4"/>
    <n v="3"/>
    <n v="3"/>
    <n v="2"/>
    <n v="2"/>
    <n v="2"/>
    <n v="0"/>
    <x v="0"/>
    <n v="0"/>
    <x v="4"/>
    <x v="0"/>
    <s v="2-5 Years"/>
    <s v="High"/>
    <s v="Better"/>
  </r>
  <r>
    <x v="22"/>
    <s v="No"/>
    <s v="Travel_Rarely"/>
    <n v="408"/>
    <x v="1"/>
    <n v="2"/>
    <n v="4"/>
    <s v="Technical Degree"/>
    <n v="1"/>
    <n v="721"/>
    <n v="4"/>
    <x v="0"/>
    <n v="80"/>
    <n v="2"/>
    <n v="2"/>
    <x v="4"/>
    <n v="3"/>
    <s v="Single"/>
    <n v="4553"/>
    <n v="20978"/>
    <n v="1"/>
    <s v="Y"/>
    <x v="1"/>
    <n v="11"/>
    <n v="3"/>
    <n v="1"/>
    <n v="80"/>
    <n v="0"/>
    <n v="20"/>
    <n v="4"/>
    <n v="3"/>
    <n v="20"/>
    <n v="7"/>
    <n v="11"/>
    <n v="10"/>
    <x v="1"/>
    <n v="1"/>
    <x v="0"/>
    <x v="0"/>
    <s v="10+ Years"/>
    <s v="High"/>
    <s v="Better"/>
  </r>
  <r>
    <x v="5"/>
    <s v="No"/>
    <s v="Travel_Rarely"/>
    <n v="929"/>
    <x v="0"/>
    <n v="10"/>
    <n v="3"/>
    <s v="Marketing"/>
    <n v="1"/>
    <n v="722"/>
    <n v="4"/>
    <x v="1"/>
    <n v="55"/>
    <n v="3"/>
    <n v="2"/>
    <x v="0"/>
    <n v="4"/>
    <s v="Single"/>
    <n v="5396"/>
    <n v="21703"/>
    <n v="1"/>
    <s v="Y"/>
    <x v="1"/>
    <n v="12"/>
    <n v="3"/>
    <n v="4"/>
    <n v="80"/>
    <n v="0"/>
    <n v="10"/>
    <n v="2"/>
    <n v="2"/>
    <n v="10"/>
    <n v="7"/>
    <n v="0"/>
    <n v="8"/>
    <x v="1"/>
    <n v="1"/>
    <x v="2"/>
    <x v="0"/>
    <s v="6-10 Years"/>
    <s v="Very High"/>
    <s v="Good"/>
  </r>
  <r>
    <x v="24"/>
    <s v="Yes"/>
    <s v="Travel_Frequently"/>
    <n v="562"/>
    <x v="0"/>
    <n v="8"/>
    <n v="2"/>
    <s v="Technical Degree"/>
    <n v="1"/>
    <n v="723"/>
    <n v="2"/>
    <x v="1"/>
    <n v="50"/>
    <n v="3"/>
    <n v="2"/>
    <x v="0"/>
    <n v="3"/>
    <s v="Married"/>
    <n v="6796"/>
    <n v="23452"/>
    <n v="3"/>
    <s v="Y"/>
    <x v="0"/>
    <n v="14"/>
    <n v="3"/>
    <n v="1"/>
    <n v="80"/>
    <n v="1"/>
    <n v="18"/>
    <n v="4"/>
    <n v="3"/>
    <n v="4"/>
    <n v="3"/>
    <n v="1"/>
    <n v="3"/>
    <x v="0"/>
    <n v="0"/>
    <x v="1"/>
    <x v="0"/>
    <s v="2-5 Years"/>
    <s v="High"/>
    <s v="Better"/>
  </r>
  <r>
    <x v="8"/>
    <s v="No"/>
    <s v="Travel_Rarely"/>
    <n v="827"/>
    <x v="1"/>
    <n v="1"/>
    <n v="4"/>
    <s v="Life Sciences"/>
    <n v="1"/>
    <n v="724"/>
    <n v="2"/>
    <x v="0"/>
    <n v="33"/>
    <n v="4"/>
    <n v="2"/>
    <x v="4"/>
    <n v="4"/>
    <s v="Single"/>
    <n v="7625"/>
    <n v="19383"/>
    <n v="0"/>
    <s v="Y"/>
    <x v="1"/>
    <n v="13"/>
    <n v="3"/>
    <n v="3"/>
    <n v="80"/>
    <n v="0"/>
    <n v="10"/>
    <n v="4"/>
    <n v="2"/>
    <n v="9"/>
    <n v="7"/>
    <n v="1"/>
    <n v="8"/>
    <x v="1"/>
    <n v="1"/>
    <x v="0"/>
    <x v="2"/>
    <s v="6-10 Years"/>
    <s v="Very High"/>
    <s v="Good"/>
  </r>
  <r>
    <x v="4"/>
    <s v="No"/>
    <s v="Travel_Rarely"/>
    <n v="608"/>
    <x v="1"/>
    <n v="1"/>
    <n v="2"/>
    <s v="Life Sciences"/>
    <n v="1"/>
    <n v="725"/>
    <n v="3"/>
    <x v="0"/>
    <n v="68"/>
    <n v="3"/>
    <n v="3"/>
    <x v="3"/>
    <n v="1"/>
    <s v="Married"/>
    <n v="7412"/>
    <n v="6009"/>
    <n v="1"/>
    <s v="Y"/>
    <x v="1"/>
    <n v="11"/>
    <n v="3"/>
    <n v="4"/>
    <n v="80"/>
    <n v="0"/>
    <n v="9"/>
    <n v="3"/>
    <n v="3"/>
    <n v="9"/>
    <n v="7"/>
    <n v="0"/>
    <n v="7"/>
    <x v="1"/>
    <n v="1"/>
    <x v="2"/>
    <x v="2"/>
    <s v="6-10 Years"/>
    <s v="Low"/>
    <s v="Better"/>
  </r>
  <r>
    <x v="5"/>
    <s v="No"/>
    <s v="Travel_Rarely"/>
    <n v="1018"/>
    <x v="1"/>
    <n v="3"/>
    <n v="2"/>
    <s v="Life Sciences"/>
    <n v="1"/>
    <n v="727"/>
    <n v="3"/>
    <x v="0"/>
    <n v="39"/>
    <n v="3"/>
    <n v="3"/>
    <x v="7"/>
    <n v="4"/>
    <s v="Single"/>
    <n v="11159"/>
    <n v="19373"/>
    <n v="3"/>
    <s v="Y"/>
    <x v="1"/>
    <n v="15"/>
    <n v="3"/>
    <n v="4"/>
    <n v="80"/>
    <n v="0"/>
    <n v="10"/>
    <n v="6"/>
    <n v="3"/>
    <n v="7"/>
    <n v="7"/>
    <n v="7"/>
    <n v="7"/>
    <x v="1"/>
    <n v="1"/>
    <x v="2"/>
    <x v="2"/>
    <s v="6-10 Years"/>
    <s v="Very High"/>
    <s v="Better"/>
  </r>
  <r>
    <x v="40"/>
    <s v="No"/>
    <s v="Travel_Rarely"/>
    <n v="703"/>
    <x v="0"/>
    <n v="14"/>
    <n v="4"/>
    <s v="Marketing"/>
    <n v="1"/>
    <n v="728"/>
    <n v="4"/>
    <x v="1"/>
    <n v="42"/>
    <n v="3"/>
    <n v="2"/>
    <x v="0"/>
    <n v="1"/>
    <s v="Single"/>
    <n v="4960"/>
    <n v="11825"/>
    <n v="2"/>
    <s v="Y"/>
    <x v="1"/>
    <n v="12"/>
    <n v="3"/>
    <n v="4"/>
    <n v="80"/>
    <n v="0"/>
    <n v="20"/>
    <n v="2"/>
    <n v="3"/>
    <n v="7"/>
    <n v="7"/>
    <n v="1"/>
    <n v="7"/>
    <x v="1"/>
    <n v="1"/>
    <x v="1"/>
    <x v="0"/>
    <s v="6-10 Years"/>
    <s v="Low"/>
    <s v="Better"/>
  </r>
  <r>
    <x v="32"/>
    <s v="No"/>
    <s v="Travel_Frequently"/>
    <n v="580"/>
    <x v="0"/>
    <n v="5"/>
    <n v="4"/>
    <s v="Life Sciences"/>
    <n v="1"/>
    <n v="729"/>
    <n v="4"/>
    <x v="1"/>
    <n v="48"/>
    <n v="2"/>
    <n v="3"/>
    <x v="0"/>
    <n v="1"/>
    <s v="Married"/>
    <n v="10475"/>
    <n v="23772"/>
    <n v="5"/>
    <s v="Y"/>
    <x v="0"/>
    <n v="21"/>
    <n v="4"/>
    <n v="3"/>
    <n v="80"/>
    <n v="1"/>
    <n v="20"/>
    <n v="2"/>
    <n v="3"/>
    <n v="18"/>
    <n v="13"/>
    <n v="1"/>
    <n v="12"/>
    <x v="1"/>
    <n v="1"/>
    <x v="0"/>
    <x v="2"/>
    <s v="10+ Years"/>
    <s v="Low"/>
    <s v="Better"/>
  </r>
  <r>
    <x v="16"/>
    <s v="No"/>
    <s v="Travel_Rarely"/>
    <n v="970"/>
    <x v="1"/>
    <n v="7"/>
    <n v="3"/>
    <s v="Life Sciences"/>
    <n v="1"/>
    <n v="730"/>
    <n v="3"/>
    <x v="1"/>
    <n v="59"/>
    <n v="4"/>
    <n v="4"/>
    <x v="7"/>
    <n v="3"/>
    <s v="Married"/>
    <n v="14814"/>
    <n v="13514"/>
    <n v="3"/>
    <s v="Y"/>
    <x v="1"/>
    <n v="19"/>
    <n v="3"/>
    <n v="3"/>
    <n v="80"/>
    <n v="0"/>
    <n v="32"/>
    <n v="3"/>
    <n v="3"/>
    <n v="5"/>
    <n v="1"/>
    <n v="1"/>
    <n v="3"/>
    <x v="1"/>
    <n v="1"/>
    <x v="1"/>
    <x v="2"/>
    <s v="2-5 Years"/>
    <s v="High"/>
    <s v="Better"/>
  </r>
  <r>
    <x v="0"/>
    <s v="No"/>
    <s v="Travel_Rarely"/>
    <n v="427"/>
    <x v="2"/>
    <n v="10"/>
    <n v="4"/>
    <s v="Human Resources"/>
    <n v="1"/>
    <n v="731"/>
    <n v="2"/>
    <x v="1"/>
    <n v="73"/>
    <n v="2"/>
    <n v="5"/>
    <x v="5"/>
    <n v="4"/>
    <s v="Divorced"/>
    <n v="19141"/>
    <n v="8861"/>
    <n v="3"/>
    <s v="Y"/>
    <x v="1"/>
    <n v="15"/>
    <n v="3"/>
    <n v="2"/>
    <n v="80"/>
    <n v="3"/>
    <n v="23"/>
    <n v="2"/>
    <n v="2"/>
    <n v="21"/>
    <n v="6"/>
    <n v="12"/>
    <n v="6"/>
    <x v="1"/>
    <n v="1"/>
    <x v="0"/>
    <x v="2"/>
    <s v="10+ Years"/>
    <s v="Very High"/>
    <s v="Good"/>
  </r>
  <r>
    <x v="42"/>
    <s v="No"/>
    <s v="Travel_Rarely"/>
    <n v="1179"/>
    <x v="0"/>
    <n v="16"/>
    <n v="4"/>
    <s v="Marketing"/>
    <n v="1"/>
    <n v="732"/>
    <n v="1"/>
    <x v="1"/>
    <n v="84"/>
    <n v="3"/>
    <n v="2"/>
    <x v="0"/>
    <n v="1"/>
    <s v="Single"/>
    <n v="5405"/>
    <n v="11924"/>
    <n v="8"/>
    <s v="Y"/>
    <x v="1"/>
    <n v="14"/>
    <n v="3"/>
    <n v="4"/>
    <n v="80"/>
    <n v="0"/>
    <n v="10"/>
    <n v="1"/>
    <n v="3"/>
    <n v="2"/>
    <n v="2"/>
    <n v="2"/>
    <n v="2"/>
    <x v="1"/>
    <n v="1"/>
    <x v="3"/>
    <x v="0"/>
    <s v="2-5 Years"/>
    <s v="Low"/>
    <s v="Better"/>
  </r>
  <r>
    <x v="4"/>
    <s v="No"/>
    <s v="Travel_Frequently"/>
    <n v="294"/>
    <x v="1"/>
    <n v="10"/>
    <n v="2"/>
    <s v="Life Sciences"/>
    <n v="1"/>
    <n v="733"/>
    <n v="4"/>
    <x v="1"/>
    <n v="32"/>
    <n v="3"/>
    <n v="3"/>
    <x v="3"/>
    <n v="1"/>
    <s v="Divorced"/>
    <n v="8793"/>
    <n v="4809"/>
    <n v="1"/>
    <s v="Y"/>
    <x v="1"/>
    <n v="21"/>
    <n v="4"/>
    <n v="3"/>
    <n v="80"/>
    <n v="2"/>
    <n v="9"/>
    <n v="4"/>
    <n v="2"/>
    <n v="9"/>
    <n v="7"/>
    <n v="1"/>
    <n v="7"/>
    <x v="1"/>
    <n v="1"/>
    <x v="2"/>
    <x v="2"/>
    <s v="6-10 Years"/>
    <s v="Low"/>
    <s v="Good"/>
  </r>
  <r>
    <x v="0"/>
    <s v="No"/>
    <s v="Travel_Rarely"/>
    <n v="314"/>
    <x v="2"/>
    <n v="1"/>
    <n v="3"/>
    <s v="Human Resources"/>
    <n v="1"/>
    <n v="734"/>
    <n v="4"/>
    <x v="1"/>
    <n v="59"/>
    <n v="2"/>
    <n v="5"/>
    <x v="5"/>
    <n v="3"/>
    <s v="Married"/>
    <n v="19189"/>
    <n v="19562"/>
    <n v="1"/>
    <s v="Y"/>
    <x v="1"/>
    <n v="12"/>
    <n v="3"/>
    <n v="2"/>
    <n v="80"/>
    <n v="1"/>
    <n v="22"/>
    <n v="3"/>
    <n v="3"/>
    <n v="22"/>
    <n v="7"/>
    <n v="2"/>
    <n v="10"/>
    <x v="1"/>
    <n v="1"/>
    <x v="0"/>
    <x v="2"/>
    <s v="10+ Years"/>
    <s v="High"/>
    <s v="Better"/>
  </r>
  <r>
    <x v="24"/>
    <s v="No"/>
    <s v="Travel_Rarely"/>
    <n v="316"/>
    <x v="0"/>
    <n v="8"/>
    <n v="4"/>
    <s v="Marketing"/>
    <n v="1"/>
    <n v="738"/>
    <n v="4"/>
    <x v="1"/>
    <n v="54"/>
    <n v="3"/>
    <n v="1"/>
    <x v="6"/>
    <n v="2"/>
    <s v="Married"/>
    <n v="3875"/>
    <n v="9983"/>
    <n v="7"/>
    <s v="Y"/>
    <x v="1"/>
    <n v="15"/>
    <n v="3"/>
    <n v="4"/>
    <n v="80"/>
    <n v="1"/>
    <n v="4"/>
    <n v="2"/>
    <n v="3"/>
    <n v="2"/>
    <n v="2"/>
    <n v="2"/>
    <n v="2"/>
    <x v="1"/>
    <n v="1"/>
    <x v="1"/>
    <x v="0"/>
    <s v="2-5 Years"/>
    <s v="Medium"/>
    <s v="Better"/>
  </r>
  <r>
    <x v="14"/>
    <s v="Yes"/>
    <s v="Travel_Rarely"/>
    <n v="654"/>
    <x v="1"/>
    <n v="1"/>
    <n v="2"/>
    <s v="Life Sciences"/>
    <n v="1"/>
    <n v="741"/>
    <n v="1"/>
    <x v="0"/>
    <n v="67"/>
    <n v="1"/>
    <n v="1"/>
    <x v="1"/>
    <n v="2"/>
    <s v="Single"/>
    <n v="2216"/>
    <n v="3872"/>
    <n v="7"/>
    <s v="Y"/>
    <x v="0"/>
    <n v="13"/>
    <n v="3"/>
    <n v="4"/>
    <n v="80"/>
    <n v="0"/>
    <n v="10"/>
    <n v="4"/>
    <n v="3"/>
    <n v="7"/>
    <n v="7"/>
    <n v="3"/>
    <n v="7"/>
    <x v="0"/>
    <n v="0"/>
    <x v="2"/>
    <x v="1"/>
    <s v="6-10 Years"/>
    <s v="Medium"/>
    <s v="Better"/>
  </r>
  <r>
    <x v="9"/>
    <s v="No"/>
    <s v="Non-Travel"/>
    <n v="427"/>
    <x v="1"/>
    <n v="8"/>
    <n v="3"/>
    <s v="Life Sciences"/>
    <n v="1"/>
    <n v="742"/>
    <n v="1"/>
    <x v="0"/>
    <n v="63"/>
    <n v="4"/>
    <n v="3"/>
    <x v="7"/>
    <n v="1"/>
    <s v="Married"/>
    <n v="11713"/>
    <n v="20335"/>
    <n v="9"/>
    <s v="Y"/>
    <x v="1"/>
    <n v="14"/>
    <n v="3"/>
    <n v="1"/>
    <n v="80"/>
    <n v="1"/>
    <n v="10"/>
    <n v="2"/>
    <n v="3"/>
    <n v="8"/>
    <n v="7"/>
    <n v="0"/>
    <n v="5"/>
    <x v="1"/>
    <n v="1"/>
    <x v="0"/>
    <x v="2"/>
    <s v="6-10 Years"/>
    <s v="Low"/>
    <s v="Better"/>
  </r>
  <r>
    <x v="8"/>
    <s v="No"/>
    <s v="Travel_Rarely"/>
    <n v="168"/>
    <x v="1"/>
    <n v="1"/>
    <n v="3"/>
    <s v="Life Sciences"/>
    <n v="1"/>
    <n v="743"/>
    <n v="3"/>
    <x v="0"/>
    <n v="81"/>
    <n v="3"/>
    <n v="3"/>
    <x v="3"/>
    <n v="3"/>
    <s v="Single"/>
    <n v="7861"/>
    <n v="15397"/>
    <n v="4"/>
    <s v="Y"/>
    <x v="0"/>
    <n v="14"/>
    <n v="3"/>
    <n v="4"/>
    <n v="80"/>
    <n v="0"/>
    <n v="10"/>
    <n v="4"/>
    <n v="4"/>
    <n v="1"/>
    <n v="0"/>
    <n v="0"/>
    <n v="0"/>
    <x v="1"/>
    <n v="1"/>
    <x v="0"/>
    <x v="2"/>
    <s v="0-1 Years"/>
    <s v="High"/>
    <s v="Best"/>
  </r>
  <r>
    <x v="20"/>
    <s v="No"/>
    <s v="Non-Travel"/>
    <n v="381"/>
    <x v="1"/>
    <n v="24"/>
    <n v="3"/>
    <s v="Medical"/>
    <n v="1"/>
    <n v="744"/>
    <n v="1"/>
    <x v="1"/>
    <n v="49"/>
    <n v="1"/>
    <n v="1"/>
    <x v="2"/>
    <n v="3"/>
    <s v="Single"/>
    <n v="3708"/>
    <n v="2104"/>
    <n v="2"/>
    <s v="Y"/>
    <x v="1"/>
    <n v="14"/>
    <n v="3"/>
    <n v="3"/>
    <n v="80"/>
    <n v="0"/>
    <n v="9"/>
    <n v="5"/>
    <n v="3"/>
    <n v="5"/>
    <n v="2"/>
    <n v="1"/>
    <n v="4"/>
    <x v="1"/>
    <n v="1"/>
    <x v="0"/>
    <x v="0"/>
    <s v="2-5 Years"/>
    <s v="High"/>
    <s v="Better"/>
  </r>
  <r>
    <x v="40"/>
    <s v="No"/>
    <s v="Travel_Frequently"/>
    <n v="217"/>
    <x v="0"/>
    <n v="3"/>
    <n v="3"/>
    <s v="Medical"/>
    <n v="1"/>
    <n v="746"/>
    <n v="4"/>
    <x v="0"/>
    <n v="49"/>
    <n v="3"/>
    <n v="4"/>
    <x v="0"/>
    <n v="3"/>
    <s v="Divorced"/>
    <n v="13770"/>
    <n v="10225"/>
    <n v="9"/>
    <s v="Y"/>
    <x v="0"/>
    <n v="12"/>
    <n v="3"/>
    <n v="4"/>
    <n v="80"/>
    <n v="2"/>
    <n v="28"/>
    <n v="2"/>
    <n v="2"/>
    <n v="22"/>
    <n v="2"/>
    <n v="11"/>
    <n v="13"/>
    <x v="1"/>
    <n v="1"/>
    <x v="1"/>
    <x v="2"/>
    <s v="10+ Years"/>
    <s v="High"/>
    <s v="Good"/>
  </r>
  <r>
    <x v="7"/>
    <s v="No"/>
    <s v="Travel_Rarely"/>
    <n v="501"/>
    <x v="0"/>
    <n v="27"/>
    <n v="5"/>
    <s v="Marketing"/>
    <n v="1"/>
    <n v="747"/>
    <n v="3"/>
    <x v="1"/>
    <n v="99"/>
    <n v="3"/>
    <n v="2"/>
    <x v="0"/>
    <n v="4"/>
    <s v="Divorced"/>
    <n v="5304"/>
    <n v="25275"/>
    <n v="7"/>
    <s v="Y"/>
    <x v="1"/>
    <n v="23"/>
    <n v="4"/>
    <n v="4"/>
    <n v="80"/>
    <n v="1"/>
    <n v="10"/>
    <n v="2"/>
    <n v="2"/>
    <n v="8"/>
    <n v="7"/>
    <n v="7"/>
    <n v="7"/>
    <x v="1"/>
    <n v="1"/>
    <x v="2"/>
    <x v="0"/>
    <s v="6-10 Years"/>
    <s v="Very High"/>
    <s v="Good"/>
  </r>
  <r>
    <x v="11"/>
    <s v="No"/>
    <s v="Travel_Rarely"/>
    <n v="1396"/>
    <x v="0"/>
    <n v="10"/>
    <n v="3"/>
    <s v="Life Sciences"/>
    <n v="1"/>
    <n v="749"/>
    <n v="3"/>
    <x v="1"/>
    <n v="99"/>
    <n v="3"/>
    <n v="1"/>
    <x v="6"/>
    <n v="3"/>
    <s v="Single"/>
    <n v="2642"/>
    <n v="2755"/>
    <n v="1"/>
    <s v="Y"/>
    <x v="1"/>
    <n v="11"/>
    <n v="3"/>
    <n v="3"/>
    <n v="80"/>
    <n v="0"/>
    <n v="1"/>
    <n v="6"/>
    <n v="3"/>
    <n v="1"/>
    <n v="0"/>
    <n v="0"/>
    <n v="0"/>
    <x v="1"/>
    <n v="1"/>
    <x v="2"/>
    <x v="1"/>
    <s v="0-1 Years"/>
    <s v="High"/>
    <s v="Better"/>
  </r>
  <r>
    <x v="19"/>
    <s v="Yes"/>
    <s v="Travel_Frequently"/>
    <n v="933"/>
    <x v="1"/>
    <n v="19"/>
    <n v="3"/>
    <s v="Medical"/>
    <n v="1"/>
    <n v="752"/>
    <n v="3"/>
    <x v="1"/>
    <n v="57"/>
    <n v="4"/>
    <n v="1"/>
    <x v="1"/>
    <n v="3"/>
    <s v="Divorced"/>
    <n v="2759"/>
    <n v="20366"/>
    <n v="6"/>
    <s v="Y"/>
    <x v="0"/>
    <n v="12"/>
    <n v="3"/>
    <n v="4"/>
    <n v="80"/>
    <n v="0"/>
    <n v="7"/>
    <n v="2"/>
    <n v="3"/>
    <n v="2"/>
    <n v="2"/>
    <n v="2"/>
    <n v="2"/>
    <x v="0"/>
    <n v="0"/>
    <x v="0"/>
    <x v="1"/>
    <s v="2-5 Years"/>
    <s v="High"/>
    <s v="Better"/>
  </r>
  <r>
    <x v="23"/>
    <s v="No"/>
    <s v="Travel_Frequently"/>
    <n v="775"/>
    <x v="0"/>
    <n v="15"/>
    <n v="3"/>
    <s v="Life Sciences"/>
    <n v="1"/>
    <n v="754"/>
    <n v="4"/>
    <x v="1"/>
    <n v="47"/>
    <n v="2"/>
    <n v="2"/>
    <x v="0"/>
    <n v="4"/>
    <s v="Married"/>
    <n v="6804"/>
    <n v="23683"/>
    <n v="3"/>
    <s v="Y"/>
    <x v="1"/>
    <n v="18"/>
    <n v="3"/>
    <n v="3"/>
    <n v="80"/>
    <n v="1"/>
    <n v="7"/>
    <n v="5"/>
    <n v="3"/>
    <n v="2"/>
    <n v="2"/>
    <n v="2"/>
    <n v="2"/>
    <x v="1"/>
    <n v="1"/>
    <x v="0"/>
    <x v="0"/>
    <s v="2-5 Years"/>
    <s v="Very High"/>
    <s v="Better"/>
  </r>
  <r>
    <x v="13"/>
    <s v="No"/>
    <s v="Travel_Rarely"/>
    <n v="970"/>
    <x v="1"/>
    <n v="8"/>
    <n v="2"/>
    <s v="Medical"/>
    <n v="1"/>
    <n v="757"/>
    <n v="2"/>
    <x v="0"/>
    <n v="96"/>
    <n v="3"/>
    <n v="2"/>
    <x v="4"/>
    <n v="3"/>
    <s v="Single"/>
    <n v="6142"/>
    <n v="7360"/>
    <n v="3"/>
    <s v="Y"/>
    <x v="1"/>
    <n v="11"/>
    <n v="3"/>
    <n v="4"/>
    <n v="80"/>
    <n v="0"/>
    <n v="10"/>
    <n v="2"/>
    <n v="3"/>
    <n v="5"/>
    <n v="1"/>
    <n v="4"/>
    <n v="3"/>
    <x v="1"/>
    <n v="1"/>
    <x v="2"/>
    <x v="0"/>
    <s v="2-5 Years"/>
    <s v="High"/>
    <s v="Better"/>
  </r>
  <r>
    <x v="30"/>
    <s v="No"/>
    <s v="Travel_Rarely"/>
    <n v="650"/>
    <x v="1"/>
    <n v="9"/>
    <n v="1"/>
    <s v="Medical"/>
    <n v="1"/>
    <n v="758"/>
    <n v="2"/>
    <x v="1"/>
    <n v="37"/>
    <n v="3"/>
    <n v="1"/>
    <x v="2"/>
    <n v="1"/>
    <s v="Married"/>
    <n v="2500"/>
    <n v="4344"/>
    <n v="1"/>
    <s v="Y"/>
    <x v="1"/>
    <n v="14"/>
    <n v="3"/>
    <n v="4"/>
    <n v="80"/>
    <n v="1"/>
    <n v="5"/>
    <n v="2"/>
    <n v="4"/>
    <n v="4"/>
    <n v="3"/>
    <n v="0"/>
    <n v="2"/>
    <x v="1"/>
    <n v="1"/>
    <x v="4"/>
    <x v="1"/>
    <s v="2-5 Years"/>
    <s v="Low"/>
    <s v="Best"/>
  </r>
  <r>
    <x v="22"/>
    <s v="No"/>
    <s v="Travel_Rarely"/>
    <n v="141"/>
    <x v="2"/>
    <n v="3"/>
    <n v="3"/>
    <s v="Human Resources"/>
    <n v="1"/>
    <n v="760"/>
    <n v="3"/>
    <x v="0"/>
    <n v="44"/>
    <n v="4"/>
    <n v="2"/>
    <x v="8"/>
    <n v="2"/>
    <s v="Married"/>
    <n v="6389"/>
    <n v="18767"/>
    <n v="9"/>
    <s v="Y"/>
    <x v="1"/>
    <n v="15"/>
    <n v="3"/>
    <n v="3"/>
    <n v="80"/>
    <n v="1"/>
    <n v="12"/>
    <n v="3"/>
    <n v="1"/>
    <n v="8"/>
    <n v="3"/>
    <n v="3"/>
    <n v="6"/>
    <x v="1"/>
    <n v="1"/>
    <x v="0"/>
    <x v="0"/>
    <s v="6-10 Years"/>
    <s v="Medium"/>
    <s v="Bad"/>
  </r>
  <r>
    <x v="29"/>
    <s v="No"/>
    <s v="Travel_Rarely"/>
    <n v="832"/>
    <x v="1"/>
    <n v="9"/>
    <n v="3"/>
    <s v="Medical"/>
    <n v="1"/>
    <n v="762"/>
    <n v="3"/>
    <x v="1"/>
    <n v="81"/>
    <n v="3"/>
    <n v="4"/>
    <x v="4"/>
    <n v="4"/>
    <s v="Married"/>
    <n v="11103"/>
    <n v="20420"/>
    <n v="7"/>
    <s v="Y"/>
    <x v="1"/>
    <n v="11"/>
    <n v="3"/>
    <n v="3"/>
    <n v="80"/>
    <n v="0"/>
    <n v="30"/>
    <n v="1"/>
    <n v="2"/>
    <n v="10"/>
    <n v="7"/>
    <n v="1"/>
    <n v="1"/>
    <x v="1"/>
    <n v="1"/>
    <x v="3"/>
    <x v="2"/>
    <s v="6-10 Years"/>
    <s v="Very High"/>
    <s v="Good"/>
  </r>
  <r>
    <x v="32"/>
    <s v="No"/>
    <s v="Travel_Rarely"/>
    <n v="804"/>
    <x v="1"/>
    <n v="2"/>
    <n v="1"/>
    <s v="Medical"/>
    <n v="1"/>
    <n v="763"/>
    <n v="4"/>
    <x v="0"/>
    <n v="86"/>
    <n v="2"/>
    <n v="1"/>
    <x v="1"/>
    <n v="4"/>
    <s v="Single"/>
    <n v="2342"/>
    <n v="22929"/>
    <n v="0"/>
    <s v="Y"/>
    <x v="0"/>
    <n v="20"/>
    <n v="4"/>
    <n v="4"/>
    <n v="80"/>
    <n v="0"/>
    <n v="5"/>
    <n v="2"/>
    <n v="2"/>
    <n v="4"/>
    <n v="2"/>
    <n v="2"/>
    <n v="3"/>
    <x v="1"/>
    <n v="1"/>
    <x v="0"/>
    <x v="1"/>
    <s v="2-5 Years"/>
    <s v="Very High"/>
    <s v="Good"/>
  </r>
  <r>
    <x v="4"/>
    <s v="No"/>
    <s v="Travel_Rarely"/>
    <n v="975"/>
    <x v="1"/>
    <n v="7"/>
    <n v="3"/>
    <s v="Medical"/>
    <n v="1"/>
    <n v="764"/>
    <n v="4"/>
    <x v="0"/>
    <n v="55"/>
    <n v="2"/>
    <n v="2"/>
    <x v="4"/>
    <n v="1"/>
    <s v="Single"/>
    <n v="6811"/>
    <n v="23398"/>
    <n v="8"/>
    <s v="Y"/>
    <x v="1"/>
    <n v="19"/>
    <n v="3"/>
    <n v="1"/>
    <n v="80"/>
    <n v="0"/>
    <n v="9"/>
    <n v="2"/>
    <n v="1"/>
    <n v="7"/>
    <n v="6"/>
    <n v="0"/>
    <n v="7"/>
    <x v="1"/>
    <n v="1"/>
    <x v="2"/>
    <x v="0"/>
    <s v="6-10 Years"/>
    <s v="Low"/>
    <s v="Bad"/>
  </r>
  <r>
    <x v="11"/>
    <s v="No"/>
    <s v="Travel_Rarely"/>
    <n v="1090"/>
    <x v="0"/>
    <n v="10"/>
    <n v="3"/>
    <s v="Marketing"/>
    <n v="1"/>
    <n v="766"/>
    <n v="4"/>
    <x v="1"/>
    <n v="83"/>
    <n v="3"/>
    <n v="1"/>
    <x v="6"/>
    <n v="2"/>
    <s v="Divorced"/>
    <n v="2297"/>
    <n v="17967"/>
    <n v="1"/>
    <s v="Y"/>
    <x v="1"/>
    <n v="14"/>
    <n v="3"/>
    <n v="4"/>
    <n v="80"/>
    <n v="2"/>
    <n v="2"/>
    <n v="2"/>
    <n v="3"/>
    <n v="2"/>
    <n v="2"/>
    <n v="2"/>
    <n v="2"/>
    <x v="1"/>
    <n v="1"/>
    <x v="2"/>
    <x v="1"/>
    <s v="2-5 Years"/>
    <s v="Medium"/>
    <s v="Better"/>
  </r>
  <r>
    <x v="16"/>
    <s v="No"/>
    <s v="Travel_Rarely"/>
    <n v="346"/>
    <x v="1"/>
    <n v="6"/>
    <n v="3"/>
    <s v="Life Sciences"/>
    <n v="1"/>
    <n v="769"/>
    <n v="4"/>
    <x v="1"/>
    <n v="86"/>
    <n v="3"/>
    <n v="2"/>
    <x v="2"/>
    <n v="4"/>
    <s v="Single"/>
    <n v="2450"/>
    <n v="10919"/>
    <n v="2"/>
    <s v="Y"/>
    <x v="1"/>
    <n v="17"/>
    <n v="3"/>
    <n v="4"/>
    <n v="80"/>
    <n v="0"/>
    <n v="19"/>
    <n v="4"/>
    <n v="3"/>
    <n v="2"/>
    <n v="2"/>
    <n v="2"/>
    <n v="2"/>
    <x v="1"/>
    <n v="1"/>
    <x v="1"/>
    <x v="1"/>
    <s v="2-5 Years"/>
    <s v="Very High"/>
    <s v="Better"/>
  </r>
  <r>
    <x v="10"/>
    <s v="No"/>
    <s v="Non-Travel"/>
    <n v="1225"/>
    <x v="1"/>
    <n v="2"/>
    <n v="4"/>
    <s v="Life Sciences"/>
    <n v="1"/>
    <n v="771"/>
    <n v="4"/>
    <x v="0"/>
    <n v="61"/>
    <n v="3"/>
    <n v="2"/>
    <x v="4"/>
    <n v="1"/>
    <s v="Divorced"/>
    <n v="5093"/>
    <n v="4761"/>
    <n v="2"/>
    <s v="Y"/>
    <x v="1"/>
    <n v="11"/>
    <n v="3"/>
    <n v="1"/>
    <n v="80"/>
    <n v="1"/>
    <n v="16"/>
    <n v="2"/>
    <n v="4"/>
    <n v="1"/>
    <n v="0"/>
    <n v="0"/>
    <n v="0"/>
    <x v="1"/>
    <n v="1"/>
    <x v="0"/>
    <x v="0"/>
    <s v="0-1 Years"/>
    <s v="Low"/>
    <s v="Best"/>
  </r>
  <r>
    <x v="5"/>
    <s v="No"/>
    <s v="Travel_Frequently"/>
    <n v="430"/>
    <x v="1"/>
    <n v="24"/>
    <n v="4"/>
    <s v="Life Sciences"/>
    <n v="1"/>
    <n v="772"/>
    <n v="1"/>
    <x v="1"/>
    <n v="80"/>
    <n v="3"/>
    <n v="2"/>
    <x v="2"/>
    <n v="4"/>
    <s v="Married"/>
    <n v="5309"/>
    <n v="21146"/>
    <n v="1"/>
    <s v="Y"/>
    <x v="1"/>
    <n v="15"/>
    <n v="3"/>
    <n v="4"/>
    <n v="80"/>
    <n v="2"/>
    <n v="10"/>
    <n v="2"/>
    <n v="3"/>
    <n v="10"/>
    <n v="8"/>
    <n v="4"/>
    <n v="7"/>
    <x v="1"/>
    <n v="1"/>
    <x v="2"/>
    <x v="0"/>
    <s v="6-10 Years"/>
    <s v="Very High"/>
    <s v="Better"/>
  </r>
  <r>
    <x v="8"/>
    <s v="No"/>
    <s v="Travel_Rarely"/>
    <n v="268"/>
    <x v="1"/>
    <n v="2"/>
    <n v="5"/>
    <s v="Medical"/>
    <n v="1"/>
    <n v="773"/>
    <n v="4"/>
    <x v="1"/>
    <n v="92"/>
    <n v="3"/>
    <n v="1"/>
    <x v="1"/>
    <n v="3"/>
    <s v="Married"/>
    <n v="3057"/>
    <n v="20471"/>
    <n v="6"/>
    <s v="Y"/>
    <x v="0"/>
    <n v="13"/>
    <n v="3"/>
    <n v="2"/>
    <n v="80"/>
    <n v="1"/>
    <n v="6"/>
    <n v="0"/>
    <n v="1"/>
    <n v="1"/>
    <n v="0"/>
    <n v="0"/>
    <n v="1"/>
    <x v="1"/>
    <n v="1"/>
    <x v="0"/>
    <x v="0"/>
    <s v="0-1 Years"/>
    <s v="High"/>
    <s v="Bad"/>
  </r>
  <r>
    <x v="13"/>
    <s v="No"/>
    <s v="Travel_Rarely"/>
    <n v="167"/>
    <x v="1"/>
    <n v="8"/>
    <n v="5"/>
    <s v="Life Sciences"/>
    <n v="1"/>
    <n v="775"/>
    <n v="2"/>
    <x v="0"/>
    <n v="32"/>
    <n v="3"/>
    <n v="2"/>
    <x v="3"/>
    <n v="1"/>
    <s v="Divorced"/>
    <n v="5121"/>
    <n v="4187"/>
    <n v="3"/>
    <s v="Y"/>
    <x v="1"/>
    <n v="14"/>
    <n v="3"/>
    <n v="3"/>
    <n v="80"/>
    <n v="1"/>
    <n v="7"/>
    <n v="3"/>
    <n v="3"/>
    <n v="0"/>
    <n v="0"/>
    <n v="0"/>
    <n v="0"/>
    <x v="1"/>
    <n v="1"/>
    <x v="2"/>
    <x v="0"/>
    <s v="0-1 Years"/>
    <s v="Low"/>
    <s v="Better"/>
  </r>
  <r>
    <x v="39"/>
    <s v="No"/>
    <s v="Travel_Rarely"/>
    <n v="621"/>
    <x v="0"/>
    <n v="3"/>
    <n v="4"/>
    <s v="Marketing"/>
    <n v="1"/>
    <n v="776"/>
    <n v="3"/>
    <x v="1"/>
    <n v="31"/>
    <n v="2"/>
    <n v="4"/>
    <x v="5"/>
    <n v="1"/>
    <s v="Married"/>
    <n v="16856"/>
    <n v="10084"/>
    <n v="1"/>
    <s v="Y"/>
    <x v="1"/>
    <n v="11"/>
    <n v="3"/>
    <n v="1"/>
    <n v="80"/>
    <n v="0"/>
    <n v="34"/>
    <n v="3"/>
    <n v="4"/>
    <n v="34"/>
    <n v="6"/>
    <n v="1"/>
    <n v="16"/>
    <x v="1"/>
    <n v="1"/>
    <x v="1"/>
    <x v="2"/>
    <s v="10+ Years"/>
    <s v="Low"/>
    <s v="Best"/>
  </r>
  <r>
    <x v="3"/>
    <s v="Yes"/>
    <s v="Travel_Rarely"/>
    <n v="527"/>
    <x v="1"/>
    <n v="1"/>
    <n v="4"/>
    <s v="Other"/>
    <n v="1"/>
    <n v="780"/>
    <n v="4"/>
    <x v="1"/>
    <n v="63"/>
    <n v="3"/>
    <n v="1"/>
    <x v="1"/>
    <n v="4"/>
    <s v="Single"/>
    <n v="2686"/>
    <n v="5207"/>
    <n v="1"/>
    <s v="Y"/>
    <x v="0"/>
    <n v="13"/>
    <n v="3"/>
    <n v="3"/>
    <n v="80"/>
    <n v="0"/>
    <n v="10"/>
    <n v="2"/>
    <n v="2"/>
    <n v="10"/>
    <n v="9"/>
    <n v="7"/>
    <n v="8"/>
    <x v="0"/>
    <n v="0"/>
    <x v="2"/>
    <x v="1"/>
    <s v="6-10 Years"/>
    <s v="Very High"/>
    <s v="Good"/>
  </r>
  <r>
    <x v="36"/>
    <s v="No"/>
    <s v="Travel_Rarely"/>
    <n v="883"/>
    <x v="0"/>
    <n v="26"/>
    <n v="1"/>
    <s v="Medical"/>
    <n v="1"/>
    <n v="781"/>
    <n v="3"/>
    <x v="0"/>
    <n v="32"/>
    <n v="3"/>
    <n v="2"/>
    <x v="0"/>
    <n v="4"/>
    <s v="Single"/>
    <n v="6180"/>
    <n v="22807"/>
    <n v="1"/>
    <s v="Y"/>
    <x v="1"/>
    <n v="23"/>
    <n v="4"/>
    <n v="2"/>
    <n v="80"/>
    <n v="0"/>
    <n v="6"/>
    <n v="5"/>
    <n v="2"/>
    <n v="6"/>
    <n v="5"/>
    <n v="1"/>
    <n v="4"/>
    <x v="1"/>
    <n v="1"/>
    <x v="2"/>
    <x v="0"/>
    <s v="6-10 Years"/>
    <s v="Very High"/>
    <s v="Good"/>
  </r>
  <r>
    <x v="28"/>
    <s v="No"/>
    <s v="Travel_Rarely"/>
    <n v="954"/>
    <x v="0"/>
    <n v="2"/>
    <n v="2"/>
    <s v="Technical Degree"/>
    <n v="1"/>
    <n v="783"/>
    <n v="2"/>
    <x v="1"/>
    <n v="46"/>
    <n v="1"/>
    <n v="2"/>
    <x v="6"/>
    <n v="3"/>
    <s v="Single"/>
    <n v="6632"/>
    <n v="12388"/>
    <n v="0"/>
    <s v="Y"/>
    <x v="1"/>
    <n v="13"/>
    <n v="3"/>
    <n v="1"/>
    <n v="80"/>
    <n v="0"/>
    <n v="9"/>
    <n v="3"/>
    <n v="3"/>
    <n v="8"/>
    <n v="7"/>
    <n v="3"/>
    <n v="1"/>
    <x v="1"/>
    <n v="1"/>
    <x v="1"/>
    <x v="0"/>
    <s v="6-10 Years"/>
    <s v="High"/>
    <s v="Better"/>
  </r>
  <r>
    <x v="30"/>
    <s v="No"/>
    <s v="Travel_Rarely"/>
    <n v="310"/>
    <x v="1"/>
    <n v="10"/>
    <n v="1"/>
    <s v="Medical"/>
    <n v="1"/>
    <n v="784"/>
    <n v="1"/>
    <x v="1"/>
    <n v="79"/>
    <n v="4"/>
    <n v="1"/>
    <x v="1"/>
    <n v="3"/>
    <s v="Single"/>
    <n v="3505"/>
    <n v="19630"/>
    <n v="1"/>
    <s v="Y"/>
    <x v="1"/>
    <n v="18"/>
    <n v="3"/>
    <n v="4"/>
    <n v="80"/>
    <n v="0"/>
    <n v="2"/>
    <n v="3"/>
    <n v="3"/>
    <n v="2"/>
    <n v="2"/>
    <n v="0"/>
    <n v="2"/>
    <x v="1"/>
    <n v="1"/>
    <x v="4"/>
    <x v="0"/>
    <s v="2-5 Years"/>
    <s v="High"/>
    <s v="Better"/>
  </r>
  <r>
    <x v="40"/>
    <s v="Yes"/>
    <s v="Travel_Frequently"/>
    <n v="719"/>
    <x v="0"/>
    <n v="27"/>
    <n v="2"/>
    <s v="Life Sciences"/>
    <n v="1"/>
    <n v="785"/>
    <n v="2"/>
    <x v="0"/>
    <n v="77"/>
    <n v="4"/>
    <n v="2"/>
    <x v="0"/>
    <n v="3"/>
    <s v="Single"/>
    <n v="6397"/>
    <n v="10339"/>
    <n v="4"/>
    <s v="Y"/>
    <x v="0"/>
    <n v="12"/>
    <n v="3"/>
    <n v="4"/>
    <n v="80"/>
    <n v="0"/>
    <n v="8"/>
    <n v="2"/>
    <n v="3"/>
    <n v="5"/>
    <n v="4"/>
    <n v="1"/>
    <n v="3"/>
    <x v="0"/>
    <n v="0"/>
    <x v="1"/>
    <x v="0"/>
    <s v="2-5 Years"/>
    <s v="High"/>
    <s v="Better"/>
  </r>
  <r>
    <x v="13"/>
    <s v="No"/>
    <s v="Travel_Rarely"/>
    <n v="304"/>
    <x v="0"/>
    <n v="2"/>
    <n v="3"/>
    <s v="Other"/>
    <n v="1"/>
    <n v="786"/>
    <n v="4"/>
    <x v="1"/>
    <n v="60"/>
    <n v="3"/>
    <n v="2"/>
    <x v="0"/>
    <n v="4"/>
    <s v="Single"/>
    <n v="6274"/>
    <n v="18686"/>
    <n v="1"/>
    <s v="Y"/>
    <x v="1"/>
    <n v="22"/>
    <n v="4"/>
    <n v="3"/>
    <n v="80"/>
    <n v="0"/>
    <n v="6"/>
    <n v="5"/>
    <n v="3"/>
    <n v="6"/>
    <n v="5"/>
    <n v="1"/>
    <n v="4"/>
    <x v="1"/>
    <n v="1"/>
    <x v="2"/>
    <x v="0"/>
    <s v="6-10 Years"/>
    <s v="Very High"/>
    <s v="Better"/>
  </r>
  <r>
    <x v="27"/>
    <s v="Yes"/>
    <s v="Travel_Rarely"/>
    <n v="725"/>
    <x v="1"/>
    <n v="2"/>
    <n v="3"/>
    <s v="Medical"/>
    <n v="1"/>
    <n v="787"/>
    <n v="4"/>
    <x v="1"/>
    <n v="78"/>
    <n v="3"/>
    <n v="5"/>
    <x v="5"/>
    <n v="1"/>
    <s v="Married"/>
    <n v="19859"/>
    <n v="21199"/>
    <n v="5"/>
    <s v="Y"/>
    <x v="0"/>
    <n v="13"/>
    <n v="3"/>
    <n v="4"/>
    <n v="80"/>
    <n v="1"/>
    <n v="24"/>
    <n v="2"/>
    <n v="3"/>
    <n v="5"/>
    <n v="2"/>
    <n v="1"/>
    <n v="4"/>
    <x v="0"/>
    <n v="0"/>
    <x v="3"/>
    <x v="2"/>
    <s v="2-5 Years"/>
    <s v="Low"/>
    <s v="Better"/>
  </r>
  <r>
    <x v="9"/>
    <s v="No"/>
    <s v="Non-Travel"/>
    <n v="1434"/>
    <x v="0"/>
    <n v="8"/>
    <n v="4"/>
    <s v="Life Sciences"/>
    <n v="1"/>
    <n v="789"/>
    <n v="1"/>
    <x v="1"/>
    <n v="76"/>
    <n v="2"/>
    <n v="3"/>
    <x v="0"/>
    <n v="1"/>
    <s v="Single"/>
    <n v="7587"/>
    <n v="14229"/>
    <n v="1"/>
    <s v="Y"/>
    <x v="1"/>
    <n v="15"/>
    <n v="3"/>
    <n v="2"/>
    <n v="80"/>
    <n v="0"/>
    <n v="10"/>
    <n v="1"/>
    <n v="3"/>
    <n v="10"/>
    <n v="7"/>
    <n v="0"/>
    <n v="9"/>
    <x v="1"/>
    <n v="1"/>
    <x v="0"/>
    <x v="2"/>
    <s v="6-10 Years"/>
    <s v="Low"/>
    <s v="Better"/>
  </r>
  <r>
    <x v="39"/>
    <s v="No"/>
    <s v="Non-Travel"/>
    <n v="715"/>
    <x v="1"/>
    <n v="19"/>
    <n v="4"/>
    <s v="Medical"/>
    <n v="1"/>
    <n v="791"/>
    <n v="4"/>
    <x v="1"/>
    <n v="41"/>
    <n v="3"/>
    <n v="1"/>
    <x v="1"/>
    <n v="4"/>
    <s v="Married"/>
    <n v="4258"/>
    <n v="26589"/>
    <n v="0"/>
    <s v="Y"/>
    <x v="1"/>
    <n v="18"/>
    <n v="3"/>
    <n v="1"/>
    <n v="80"/>
    <n v="1"/>
    <n v="5"/>
    <n v="3"/>
    <n v="3"/>
    <n v="4"/>
    <n v="3"/>
    <n v="1"/>
    <n v="2"/>
    <x v="1"/>
    <n v="1"/>
    <x v="1"/>
    <x v="0"/>
    <s v="2-5 Years"/>
    <s v="Very High"/>
    <s v="Better"/>
  </r>
  <r>
    <x v="25"/>
    <s v="No"/>
    <s v="Travel_Frequently"/>
    <n v="575"/>
    <x v="1"/>
    <n v="1"/>
    <n v="2"/>
    <s v="Life Sciences"/>
    <n v="1"/>
    <n v="792"/>
    <n v="1"/>
    <x v="0"/>
    <n v="71"/>
    <n v="1"/>
    <n v="1"/>
    <x v="2"/>
    <n v="4"/>
    <s v="Divorced"/>
    <n v="4364"/>
    <n v="5288"/>
    <n v="3"/>
    <s v="Y"/>
    <x v="1"/>
    <n v="14"/>
    <n v="3"/>
    <n v="1"/>
    <n v="80"/>
    <n v="1"/>
    <n v="5"/>
    <n v="2"/>
    <n v="3"/>
    <n v="2"/>
    <n v="2"/>
    <n v="2"/>
    <n v="0"/>
    <x v="1"/>
    <n v="1"/>
    <x v="2"/>
    <x v="0"/>
    <s v="2-5 Years"/>
    <s v="Very High"/>
    <s v="Better"/>
  </r>
  <r>
    <x v="11"/>
    <s v="No"/>
    <s v="Travel_Rarely"/>
    <n v="657"/>
    <x v="1"/>
    <n v="27"/>
    <n v="3"/>
    <s v="Medical"/>
    <n v="1"/>
    <n v="793"/>
    <n v="2"/>
    <x v="0"/>
    <n v="66"/>
    <n v="3"/>
    <n v="2"/>
    <x v="4"/>
    <n v="3"/>
    <s v="Married"/>
    <n v="4335"/>
    <n v="25549"/>
    <n v="4"/>
    <s v="Y"/>
    <x v="1"/>
    <n v="12"/>
    <n v="3"/>
    <n v="1"/>
    <n v="80"/>
    <n v="1"/>
    <n v="11"/>
    <n v="3"/>
    <n v="2"/>
    <n v="8"/>
    <n v="7"/>
    <n v="1"/>
    <n v="1"/>
    <x v="1"/>
    <n v="1"/>
    <x v="2"/>
    <x v="0"/>
    <s v="6-10 Years"/>
    <s v="High"/>
    <s v="Good"/>
  </r>
  <r>
    <x v="25"/>
    <s v="Yes"/>
    <s v="Travel_Rarely"/>
    <n v="1146"/>
    <x v="0"/>
    <n v="8"/>
    <n v="3"/>
    <s v="Technical Degree"/>
    <n v="1"/>
    <n v="796"/>
    <n v="4"/>
    <x v="1"/>
    <n v="38"/>
    <n v="2"/>
    <n v="2"/>
    <x v="0"/>
    <n v="1"/>
    <s v="Single"/>
    <n v="5326"/>
    <n v="3064"/>
    <n v="6"/>
    <s v="Y"/>
    <x v="1"/>
    <n v="17"/>
    <n v="3"/>
    <n v="3"/>
    <n v="80"/>
    <n v="0"/>
    <n v="6"/>
    <n v="2"/>
    <n v="2"/>
    <n v="4"/>
    <n v="3"/>
    <n v="1"/>
    <n v="2"/>
    <x v="0"/>
    <n v="0"/>
    <x v="2"/>
    <x v="0"/>
    <s v="2-5 Years"/>
    <s v="Low"/>
    <s v="Good"/>
  </r>
  <r>
    <x v="13"/>
    <s v="No"/>
    <s v="Travel_Rarely"/>
    <n v="182"/>
    <x v="1"/>
    <n v="1"/>
    <n v="4"/>
    <s v="Life Sciences"/>
    <n v="1"/>
    <n v="797"/>
    <n v="2"/>
    <x v="0"/>
    <n v="72"/>
    <n v="4"/>
    <n v="1"/>
    <x v="1"/>
    <n v="4"/>
    <s v="Single"/>
    <n v="3280"/>
    <n v="13551"/>
    <n v="2"/>
    <s v="Y"/>
    <x v="1"/>
    <n v="16"/>
    <n v="3"/>
    <n v="3"/>
    <n v="80"/>
    <n v="0"/>
    <n v="10"/>
    <n v="2"/>
    <n v="3"/>
    <n v="4"/>
    <n v="2"/>
    <n v="1"/>
    <n v="3"/>
    <x v="1"/>
    <n v="1"/>
    <x v="2"/>
    <x v="0"/>
    <s v="2-5 Years"/>
    <s v="Very High"/>
    <s v="Better"/>
  </r>
  <r>
    <x v="33"/>
    <s v="No"/>
    <s v="Travel_Rarely"/>
    <n v="376"/>
    <x v="1"/>
    <n v="19"/>
    <n v="4"/>
    <s v="Medical"/>
    <n v="1"/>
    <n v="799"/>
    <n v="4"/>
    <x v="0"/>
    <n v="95"/>
    <n v="3"/>
    <n v="2"/>
    <x v="3"/>
    <n v="1"/>
    <s v="Divorced"/>
    <n v="5485"/>
    <n v="22670"/>
    <n v="9"/>
    <s v="Y"/>
    <x v="0"/>
    <n v="11"/>
    <n v="3"/>
    <n v="2"/>
    <n v="80"/>
    <n v="2"/>
    <n v="9"/>
    <n v="4"/>
    <n v="3"/>
    <n v="5"/>
    <n v="3"/>
    <n v="1"/>
    <n v="4"/>
    <x v="1"/>
    <n v="1"/>
    <x v="1"/>
    <x v="0"/>
    <s v="2-5 Years"/>
    <s v="Low"/>
    <s v="Better"/>
  </r>
  <r>
    <x v="4"/>
    <s v="No"/>
    <s v="Travel_Frequently"/>
    <n v="829"/>
    <x v="0"/>
    <n v="8"/>
    <n v="1"/>
    <s v="Marketing"/>
    <n v="1"/>
    <n v="800"/>
    <n v="3"/>
    <x v="1"/>
    <n v="84"/>
    <n v="3"/>
    <n v="2"/>
    <x v="0"/>
    <n v="4"/>
    <s v="Married"/>
    <n v="4342"/>
    <n v="24008"/>
    <n v="0"/>
    <s v="Y"/>
    <x v="1"/>
    <n v="19"/>
    <n v="3"/>
    <n v="2"/>
    <n v="80"/>
    <n v="1"/>
    <n v="5"/>
    <n v="3"/>
    <n v="3"/>
    <n v="4"/>
    <n v="2"/>
    <n v="1"/>
    <n v="1"/>
    <x v="1"/>
    <n v="1"/>
    <x v="2"/>
    <x v="0"/>
    <s v="2-5 Years"/>
    <s v="Very High"/>
    <s v="Better"/>
  </r>
  <r>
    <x v="2"/>
    <s v="No"/>
    <s v="Travel_Rarely"/>
    <n v="571"/>
    <x v="1"/>
    <n v="10"/>
    <n v="1"/>
    <s v="Life Sciences"/>
    <n v="1"/>
    <n v="802"/>
    <n v="4"/>
    <x v="0"/>
    <n v="82"/>
    <n v="3"/>
    <n v="1"/>
    <x v="1"/>
    <n v="1"/>
    <s v="Divorced"/>
    <n v="2782"/>
    <n v="19905"/>
    <n v="0"/>
    <s v="Y"/>
    <x v="0"/>
    <n v="13"/>
    <n v="3"/>
    <n v="2"/>
    <n v="80"/>
    <n v="2"/>
    <n v="6"/>
    <n v="3"/>
    <n v="2"/>
    <n v="5"/>
    <n v="3"/>
    <n v="4"/>
    <n v="3"/>
    <x v="1"/>
    <n v="1"/>
    <x v="0"/>
    <x v="1"/>
    <s v="2-5 Years"/>
    <s v="Low"/>
    <s v="Good"/>
  </r>
  <r>
    <x v="8"/>
    <s v="No"/>
    <s v="Travel_Frequently"/>
    <n v="240"/>
    <x v="1"/>
    <n v="2"/>
    <n v="4"/>
    <s v="Life Sciences"/>
    <n v="1"/>
    <n v="803"/>
    <n v="1"/>
    <x v="0"/>
    <n v="75"/>
    <n v="4"/>
    <n v="2"/>
    <x v="3"/>
    <n v="1"/>
    <s v="Single"/>
    <n v="5980"/>
    <n v="26085"/>
    <n v="6"/>
    <s v="Y"/>
    <x v="0"/>
    <n v="12"/>
    <n v="3"/>
    <n v="4"/>
    <n v="80"/>
    <n v="0"/>
    <n v="17"/>
    <n v="2"/>
    <n v="3"/>
    <n v="15"/>
    <n v="7"/>
    <n v="4"/>
    <n v="12"/>
    <x v="1"/>
    <n v="1"/>
    <x v="0"/>
    <x v="0"/>
    <s v="10+ Years"/>
    <s v="Low"/>
    <s v="Better"/>
  </r>
  <r>
    <x v="13"/>
    <s v="No"/>
    <s v="Travel_Rarely"/>
    <n v="121"/>
    <x v="1"/>
    <n v="2"/>
    <n v="4"/>
    <s v="Medical"/>
    <n v="1"/>
    <n v="804"/>
    <n v="3"/>
    <x v="0"/>
    <n v="86"/>
    <n v="2"/>
    <n v="1"/>
    <x v="1"/>
    <n v="1"/>
    <s v="Single"/>
    <n v="4381"/>
    <n v="7530"/>
    <n v="1"/>
    <s v="Y"/>
    <x v="1"/>
    <n v="11"/>
    <n v="3"/>
    <n v="3"/>
    <n v="80"/>
    <n v="0"/>
    <n v="6"/>
    <n v="3"/>
    <n v="3"/>
    <n v="6"/>
    <n v="5"/>
    <n v="1"/>
    <n v="3"/>
    <x v="1"/>
    <n v="1"/>
    <x v="2"/>
    <x v="0"/>
    <s v="6-10 Years"/>
    <s v="Low"/>
    <s v="Better"/>
  </r>
  <r>
    <x v="10"/>
    <s v="No"/>
    <s v="Travel_Rarely"/>
    <n v="384"/>
    <x v="0"/>
    <n v="8"/>
    <n v="4"/>
    <s v="Life Sciences"/>
    <n v="1"/>
    <n v="805"/>
    <n v="1"/>
    <x v="0"/>
    <n v="72"/>
    <n v="3"/>
    <n v="1"/>
    <x v="6"/>
    <n v="4"/>
    <s v="Married"/>
    <n v="2572"/>
    <n v="20317"/>
    <n v="1"/>
    <s v="Y"/>
    <x v="1"/>
    <n v="16"/>
    <n v="3"/>
    <n v="2"/>
    <n v="80"/>
    <n v="1"/>
    <n v="3"/>
    <n v="1"/>
    <n v="2"/>
    <n v="3"/>
    <n v="2"/>
    <n v="0"/>
    <n v="2"/>
    <x v="1"/>
    <n v="1"/>
    <x v="0"/>
    <x v="1"/>
    <s v="2-5 Years"/>
    <s v="Very High"/>
    <s v="Good"/>
  </r>
  <r>
    <x v="7"/>
    <s v="No"/>
    <s v="Travel_Rarely"/>
    <n v="921"/>
    <x v="1"/>
    <n v="1"/>
    <n v="3"/>
    <s v="Life Sciences"/>
    <n v="1"/>
    <n v="806"/>
    <n v="4"/>
    <x v="1"/>
    <n v="38"/>
    <n v="1"/>
    <n v="1"/>
    <x v="2"/>
    <n v="3"/>
    <s v="Married"/>
    <n v="3833"/>
    <n v="24375"/>
    <n v="3"/>
    <s v="Y"/>
    <x v="1"/>
    <n v="21"/>
    <n v="4"/>
    <n v="3"/>
    <n v="80"/>
    <n v="2"/>
    <n v="7"/>
    <n v="2"/>
    <n v="3"/>
    <n v="2"/>
    <n v="2"/>
    <n v="0"/>
    <n v="2"/>
    <x v="1"/>
    <n v="1"/>
    <x v="2"/>
    <x v="0"/>
    <s v="2-5 Years"/>
    <s v="High"/>
    <s v="Better"/>
  </r>
  <r>
    <x v="32"/>
    <s v="No"/>
    <s v="Travel_Frequently"/>
    <n v="791"/>
    <x v="1"/>
    <n v="2"/>
    <n v="2"/>
    <s v="Medical"/>
    <n v="1"/>
    <n v="807"/>
    <n v="3"/>
    <x v="0"/>
    <n v="38"/>
    <n v="4"/>
    <n v="2"/>
    <x v="4"/>
    <n v="2"/>
    <s v="Married"/>
    <n v="4244"/>
    <n v="9931"/>
    <n v="1"/>
    <s v="Y"/>
    <x v="1"/>
    <n v="24"/>
    <n v="4"/>
    <n v="4"/>
    <n v="80"/>
    <n v="1"/>
    <n v="8"/>
    <n v="2"/>
    <n v="3"/>
    <n v="8"/>
    <n v="7"/>
    <n v="3"/>
    <n v="7"/>
    <x v="1"/>
    <n v="1"/>
    <x v="0"/>
    <x v="0"/>
    <s v="6-10 Years"/>
    <s v="Medium"/>
    <s v="Better"/>
  </r>
  <r>
    <x v="13"/>
    <s v="No"/>
    <s v="Travel_Rarely"/>
    <n v="1111"/>
    <x v="0"/>
    <n v="8"/>
    <n v="2"/>
    <s v="Life Sciences"/>
    <n v="1"/>
    <n v="808"/>
    <n v="3"/>
    <x v="0"/>
    <n v="93"/>
    <n v="3"/>
    <n v="2"/>
    <x v="0"/>
    <n v="1"/>
    <s v="Married"/>
    <n v="6500"/>
    <n v="13305"/>
    <n v="5"/>
    <s v="Y"/>
    <x v="1"/>
    <n v="17"/>
    <n v="3"/>
    <n v="2"/>
    <n v="80"/>
    <n v="1"/>
    <n v="6"/>
    <n v="1"/>
    <n v="3"/>
    <n v="3"/>
    <n v="2"/>
    <n v="1"/>
    <n v="2"/>
    <x v="1"/>
    <n v="1"/>
    <x v="2"/>
    <x v="0"/>
    <s v="2-5 Years"/>
    <s v="Low"/>
    <s v="Better"/>
  </r>
  <r>
    <x v="19"/>
    <s v="No"/>
    <s v="Travel_Frequently"/>
    <n v="570"/>
    <x v="1"/>
    <n v="8"/>
    <n v="3"/>
    <s v="Life Sciences"/>
    <n v="1"/>
    <n v="809"/>
    <n v="2"/>
    <x v="1"/>
    <n v="66"/>
    <n v="3"/>
    <n v="5"/>
    <x v="5"/>
    <n v="4"/>
    <s v="Divorced"/>
    <n v="18430"/>
    <n v="16225"/>
    <n v="1"/>
    <s v="Y"/>
    <x v="1"/>
    <n v="13"/>
    <n v="3"/>
    <n v="2"/>
    <n v="80"/>
    <n v="1"/>
    <n v="24"/>
    <n v="4"/>
    <n v="2"/>
    <n v="24"/>
    <n v="7"/>
    <n v="14"/>
    <n v="9"/>
    <x v="1"/>
    <n v="1"/>
    <x v="0"/>
    <x v="2"/>
    <s v="10+ Years"/>
    <s v="Very High"/>
    <s v="Good"/>
  </r>
  <r>
    <x v="30"/>
    <s v="Yes"/>
    <s v="Travel_Rarely"/>
    <n v="1243"/>
    <x v="1"/>
    <n v="6"/>
    <n v="3"/>
    <s v="Life Sciences"/>
    <n v="1"/>
    <n v="811"/>
    <n v="3"/>
    <x v="1"/>
    <n v="63"/>
    <n v="4"/>
    <n v="1"/>
    <x v="2"/>
    <n v="1"/>
    <s v="Married"/>
    <n v="1601"/>
    <n v="3445"/>
    <n v="1"/>
    <s v="Y"/>
    <x v="0"/>
    <n v="21"/>
    <n v="4"/>
    <n v="3"/>
    <n v="80"/>
    <n v="2"/>
    <n v="1"/>
    <n v="2"/>
    <n v="3"/>
    <n v="0"/>
    <n v="0"/>
    <n v="0"/>
    <n v="0"/>
    <x v="0"/>
    <n v="0"/>
    <x v="4"/>
    <x v="1"/>
    <s v="0-1 Years"/>
    <s v="Low"/>
    <s v="Better"/>
  </r>
  <r>
    <x v="17"/>
    <s v="No"/>
    <s v="Non-Travel"/>
    <n v="1092"/>
    <x v="1"/>
    <n v="9"/>
    <n v="3"/>
    <s v="Life Sciences"/>
    <n v="1"/>
    <n v="812"/>
    <n v="3"/>
    <x v="1"/>
    <n v="60"/>
    <n v="2"/>
    <n v="1"/>
    <x v="2"/>
    <n v="2"/>
    <s v="Divorced"/>
    <n v="2694"/>
    <n v="26551"/>
    <n v="1"/>
    <s v="Y"/>
    <x v="1"/>
    <n v="11"/>
    <n v="3"/>
    <n v="3"/>
    <n v="80"/>
    <n v="3"/>
    <n v="1"/>
    <n v="4"/>
    <n v="3"/>
    <n v="1"/>
    <n v="0"/>
    <n v="0"/>
    <n v="0"/>
    <x v="1"/>
    <n v="1"/>
    <x v="4"/>
    <x v="1"/>
    <s v="0-1 Years"/>
    <s v="Medium"/>
    <s v="Better"/>
  </r>
  <r>
    <x v="39"/>
    <s v="No"/>
    <s v="Travel_Rarely"/>
    <n v="1325"/>
    <x v="1"/>
    <n v="11"/>
    <n v="4"/>
    <s v="Life Sciences"/>
    <n v="1"/>
    <n v="813"/>
    <n v="4"/>
    <x v="0"/>
    <n v="82"/>
    <n v="3"/>
    <n v="2"/>
    <x v="2"/>
    <n v="3"/>
    <s v="Married"/>
    <n v="3149"/>
    <n v="21821"/>
    <n v="8"/>
    <s v="Y"/>
    <x v="1"/>
    <n v="20"/>
    <n v="4"/>
    <n v="2"/>
    <n v="80"/>
    <n v="1"/>
    <n v="9"/>
    <n v="3"/>
    <n v="3"/>
    <n v="5"/>
    <n v="2"/>
    <n v="1"/>
    <n v="4"/>
    <x v="1"/>
    <n v="1"/>
    <x v="1"/>
    <x v="0"/>
    <s v="2-5 Years"/>
    <s v="High"/>
    <s v="Better"/>
  </r>
  <r>
    <x v="24"/>
    <s v="No"/>
    <s v="Travel_Rarely"/>
    <n v="691"/>
    <x v="1"/>
    <n v="2"/>
    <n v="3"/>
    <s v="Medical"/>
    <n v="1"/>
    <n v="815"/>
    <n v="3"/>
    <x v="1"/>
    <n v="64"/>
    <n v="3"/>
    <n v="4"/>
    <x v="7"/>
    <n v="3"/>
    <s v="Married"/>
    <n v="17639"/>
    <n v="6881"/>
    <n v="5"/>
    <s v="Y"/>
    <x v="1"/>
    <n v="16"/>
    <n v="3"/>
    <n v="4"/>
    <n v="80"/>
    <n v="0"/>
    <n v="30"/>
    <n v="3"/>
    <n v="3"/>
    <n v="4"/>
    <n v="3"/>
    <n v="0"/>
    <n v="3"/>
    <x v="1"/>
    <n v="1"/>
    <x v="1"/>
    <x v="2"/>
    <s v="2-5 Years"/>
    <s v="High"/>
    <s v="Better"/>
  </r>
  <r>
    <x v="11"/>
    <s v="Yes"/>
    <s v="Travel_Rarely"/>
    <n v="805"/>
    <x v="1"/>
    <n v="1"/>
    <n v="2"/>
    <s v="Life Sciences"/>
    <n v="1"/>
    <n v="816"/>
    <n v="2"/>
    <x v="0"/>
    <n v="36"/>
    <n v="2"/>
    <n v="1"/>
    <x v="2"/>
    <n v="1"/>
    <s v="Married"/>
    <n v="2319"/>
    <n v="6689"/>
    <n v="1"/>
    <s v="Y"/>
    <x v="0"/>
    <n v="11"/>
    <n v="3"/>
    <n v="4"/>
    <n v="80"/>
    <n v="1"/>
    <n v="1"/>
    <n v="1"/>
    <n v="3"/>
    <n v="1"/>
    <n v="0"/>
    <n v="0"/>
    <n v="0"/>
    <x v="0"/>
    <n v="0"/>
    <x v="2"/>
    <x v="1"/>
    <s v="0-1 Years"/>
    <s v="Low"/>
    <s v="Better"/>
  </r>
  <r>
    <x v="3"/>
    <s v="No"/>
    <s v="Travel_Rarely"/>
    <n v="213"/>
    <x v="1"/>
    <n v="7"/>
    <n v="3"/>
    <s v="Medical"/>
    <n v="1"/>
    <n v="817"/>
    <n v="3"/>
    <x v="1"/>
    <n v="49"/>
    <n v="3"/>
    <n v="3"/>
    <x v="7"/>
    <n v="3"/>
    <s v="Married"/>
    <n v="11691"/>
    <n v="25995"/>
    <n v="0"/>
    <s v="Y"/>
    <x v="1"/>
    <n v="11"/>
    <n v="3"/>
    <n v="4"/>
    <n v="80"/>
    <n v="0"/>
    <n v="14"/>
    <n v="3"/>
    <n v="4"/>
    <n v="13"/>
    <n v="9"/>
    <n v="3"/>
    <n v="7"/>
    <x v="1"/>
    <n v="1"/>
    <x v="2"/>
    <x v="2"/>
    <s v="10+ Years"/>
    <s v="High"/>
    <s v="Best"/>
  </r>
  <r>
    <x v="3"/>
    <s v="Yes"/>
    <s v="Travel_Rarely"/>
    <n v="118"/>
    <x v="0"/>
    <n v="16"/>
    <n v="3"/>
    <s v="Marketing"/>
    <n v="1"/>
    <n v="819"/>
    <n v="1"/>
    <x v="0"/>
    <n v="69"/>
    <n v="3"/>
    <n v="2"/>
    <x v="0"/>
    <n v="1"/>
    <s v="Single"/>
    <n v="5324"/>
    <n v="26507"/>
    <n v="5"/>
    <s v="Y"/>
    <x v="1"/>
    <n v="15"/>
    <n v="3"/>
    <n v="3"/>
    <n v="80"/>
    <n v="0"/>
    <n v="6"/>
    <n v="3"/>
    <n v="3"/>
    <n v="3"/>
    <n v="2"/>
    <n v="0"/>
    <n v="2"/>
    <x v="0"/>
    <n v="0"/>
    <x v="2"/>
    <x v="0"/>
    <s v="2-5 Years"/>
    <s v="Low"/>
    <s v="Better"/>
  </r>
  <r>
    <x v="40"/>
    <s v="No"/>
    <s v="Travel_Rarely"/>
    <n v="202"/>
    <x v="1"/>
    <n v="2"/>
    <n v="2"/>
    <s v="Other"/>
    <n v="1"/>
    <n v="820"/>
    <n v="3"/>
    <x v="0"/>
    <n v="33"/>
    <n v="3"/>
    <n v="4"/>
    <x v="5"/>
    <n v="4"/>
    <s v="Married"/>
    <n v="16752"/>
    <n v="12982"/>
    <n v="1"/>
    <s v="Y"/>
    <x v="0"/>
    <n v="11"/>
    <n v="3"/>
    <n v="3"/>
    <n v="80"/>
    <n v="1"/>
    <n v="26"/>
    <n v="3"/>
    <n v="2"/>
    <n v="26"/>
    <n v="14"/>
    <n v="3"/>
    <n v="0"/>
    <x v="1"/>
    <n v="1"/>
    <x v="1"/>
    <x v="2"/>
    <s v="10+ Years"/>
    <s v="Very High"/>
    <s v="Good"/>
  </r>
  <r>
    <x v="9"/>
    <s v="No"/>
    <s v="Travel_Rarely"/>
    <n v="676"/>
    <x v="1"/>
    <n v="1"/>
    <n v="3"/>
    <s v="Other"/>
    <n v="1"/>
    <n v="823"/>
    <n v="3"/>
    <x v="0"/>
    <n v="35"/>
    <n v="3"/>
    <n v="2"/>
    <x v="3"/>
    <n v="2"/>
    <s v="Married"/>
    <n v="5228"/>
    <n v="23361"/>
    <n v="0"/>
    <s v="Y"/>
    <x v="1"/>
    <n v="15"/>
    <n v="3"/>
    <n v="1"/>
    <n v="80"/>
    <n v="1"/>
    <n v="10"/>
    <n v="2"/>
    <n v="3"/>
    <n v="9"/>
    <n v="7"/>
    <n v="0"/>
    <n v="5"/>
    <x v="1"/>
    <n v="1"/>
    <x v="0"/>
    <x v="0"/>
    <s v="6-10 Years"/>
    <s v="Medium"/>
    <s v="Better"/>
  </r>
  <r>
    <x v="11"/>
    <s v="No"/>
    <s v="Travel_Rarely"/>
    <n v="1252"/>
    <x v="1"/>
    <n v="23"/>
    <n v="2"/>
    <s v="Life Sciences"/>
    <n v="1"/>
    <n v="824"/>
    <n v="3"/>
    <x v="1"/>
    <n v="81"/>
    <n v="4"/>
    <n v="1"/>
    <x v="1"/>
    <n v="3"/>
    <s v="Married"/>
    <n v="2700"/>
    <n v="23779"/>
    <n v="1"/>
    <s v="Y"/>
    <x v="1"/>
    <n v="24"/>
    <n v="4"/>
    <n v="3"/>
    <n v="80"/>
    <n v="1"/>
    <n v="10"/>
    <n v="3"/>
    <n v="3"/>
    <n v="10"/>
    <n v="7"/>
    <n v="0"/>
    <n v="7"/>
    <x v="1"/>
    <n v="1"/>
    <x v="2"/>
    <x v="1"/>
    <s v="6-10 Years"/>
    <s v="High"/>
    <s v="Better"/>
  </r>
  <r>
    <x v="34"/>
    <s v="Yes"/>
    <s v="Travel_Rarely"/>
    <n v="286"/>
    <x v="1"/>
    <n v="2"/>
    <n v="4"/>
    <s v="Life Sciences"/>
    <n v="1"/>
    <n v="825"/>
    <n v="4"/>
    <x v="1"/>
    <n v="31"/>
    <n v="3"/>
    <n v="5"/>
    <x v="7"/>
    <n v="2"/>
    <s v="Single"/>
    <n v="19246"/>
    <n v="25761"/>
    <n v="7"/>
    <s v="Y"/>
    <x v="0"/>
    <n v="12"/>
    <n v="3"/>
    <n v="4"/>
    <n v="80"/>
    <n v="0"/>
    <n v="40"/>
    <n v="2"/>
    <n v="3"/>
    <n v="31"/>
    <n v="15"/>
    <n v="13"/>
    <n v="8"/>
    <x v="0"/>
    <n v="0"/>
    <x v="3"/>
    <x v="2"/>
    <s v="10+ Years"/>
    <s v="Medium"/>
    <s v="Better"/>
  </r>
  <r>
    <x v="10"/>
    <s v="No"/>
    <s v="Travel_Rarely"/>
    <n v="1258"/>
    <x v="1"/>
    <n v="1"/>
    <n v="4"/>
    <s v="Life Sciences"/>
    <n v="1"/>
    <n v="826"/>
    <n v="4"/>
    <x v="0"/>
    <n v="40"/>
    <n v="4"/>
    <n v="1"/>
    <x v="1"/>
    <n v="3"/>
    <s v="Single"/>
    <n v="2506"/>
    <n v="13301"/>
    <n v="3"/>
    <s v="Y"/>
    <x v="1"/>
    <n v="13"/>
    <n v="3"/>
    <n v="3"/>
    <n v="80"/>
    <n v="0"/>
    <n v="7"/>
    <n v="0"/>
    <n v="3"/>
    <n v="2"/>
    <n v="2"/>
    <n v="2"/>
    <n v="2"/>
    <x v="1"/>
    <n v="1"/>
    <x v="0"/>
    <x v="1"/>
    <s v="2-5 Years"/>
    <s v="High"/>
    <s v="Better"/>
  </r>
  <r>
    <x v="19"/>
    <s v="No"/>
    <s v="Travel_Rarely"/>
    <n v="932"/>
    <x v="1"/>
    <n v="1"/>
    <n v="2"/>
    <s v="Life Sciences"/>
    <n v="1"/>
    <n v="827"/>
    <n v="4"/>
    <x v="0"/>
    <n v="43"/>
    <n v="2"/>
    <n v="2"/>
    <x v="3"/>
    <n v="4"/>
    <s v="Married"/>
    <n v="6062"/>
    <n v="4051"/>
    <n v="9"/>
    <s v="Y"/>
    <x v="0"/>
    <n v="13"/>
    <n v="3"/>
    <n v="4"/>
    <n v="80"/>
    <n v="1"/>
    <n v="8"/>
    <n v="4"/>
    <n v="3"/>
    <n v="4"/>
    <n v="3"/>
    <n v="0"/>
    <n v="2"/>
    <x v="1"/>
    <n v="1"/>
    <x v="0"/>
    <x v="0"/>
    <s v="2-5 Years"/>
    <s v="Very High"/>
    <s v="Better"/>
  </r>
  <r>
    <x v="14"/>
    <s v="Yes"/>
    <s v="Travel_Rarely"/>
    <n v="890"/>
    <x v="1"/>
    <n v="2"/>
    <n v="4"/>
    <s v="Medical"/>
    <n v="1"/>
    <n v="828"/>
    <n v="3"/>
    <x v="1"/>
    <n v="46"/>
    <n v="3"/>
    <n v="1"/>
    <x v="1"/>
    <n v="3"/>
    <s v="Single"/>
    <n v="4382"/>
    <n v="16374"/>
    <n v="6"/>
    <s v="Y"/>
    <x v="1"/>
    <n v="17"/>
    <n v="3"/>
    <n v="4"/>
    <n v="80"/>
    <n v="0"/>
    <n v="5"/>
    <n v="3"/>
    <n v="2"/>
    <n v="2"/>
    <n v="2"/>
    <n v="2"/>
    <n v="1"/>
    <x v="0"/>
    <n v="0"/>
    <x v="2"/>
    <x v="0"/>
    <s v="2-5 Years"/>
    <s v="High"/>
    <s v="Good"/>
  </r>
  <r>
    <x v="9"/>
    <s v="No"/>
    <s v="Travel_Rarely"/>
    <n v="1041"/>
    <x v="2"/>
    <n v="13"/>
    <n v="3"/>
    <s v="Human Resources"/>
    <n v="1"/>
    <n v="829"/>
    <n v="3"/>
    <x v="1"/>
    <n v="36"/>
    <n v="3"/>
    <n v="1"/>
    <x v="8"/>
    <n v="2"/>
    <s v="Married"/>
    <n v="2143"/>
    <n v="25527"/>
    <n v="4"/>
    <s v="Y"/>
    <x v="1"/>
    <n v="13"/>
    <n v="3"/>
    <n v="2"/>
    <n v="80"/>
    <n v="1"/>
    <n v="8"/>
    <n v="2"/>
    <n v="3"/>
    <n v="5"/>
    <n v="2"/>
    <n v="0"/>
    <n v="4"/>
    <x v="1"/>
    <n v="1"/>
    <x v="0"/>
    <x v="1"/>
    <s v="2-5 Years"/>
    <s v="Medium"/>
    <s v="Better"/>
  </r>
  <r>
    <x v="5"/>
    <s v="No"/>
    <s v="Travel_Rarely"/>
    <n v="859"/>
    <x v="1"/>
    <n v="4"/>
    <n v="3"/>
    <s v="Life Sciences"/>
    <n v="1"/>
    <n v="830"/>
    <n v="3"/>
    <x v="0"/>
    <n v="98"/>
    <n v="2"/>
    <n v="2"/>
    <x v="3"/>
    <n v="3"/>
    <s v="Married"/>
    <n v="6162"/>
    <n v="19124"/>
    <n v="1"/>
    <s v="Y"/>
    <x v="1"/>
    <n v="12"/>
    <n v="3"/>
    <n v="3"/>
    <n v="80"/>
    <n v="1"/>
    <n v="14"/>
    <n v="3"/>
    <n v="3"/>
    <n v="14"/>
    <n v="13"/>
    <n v="6"/>
    <n v="8"/>
    <x v="1"/>
    <n v="1"/>
    <x v="2"/>
    <x v="0"/>
    <s v="10+ Years"/>
    <s v="High"/>
    <s v="Better"/>
  </r>
  <r>
    <x v="32"/>
    <s v="No"/>
    <s v="Travel_Frequently"/>
    <n v="720"/>
    <x v="1"/>
    <n v="16"/>
    <n v="4"/>
    <s v="Medical"/>
    <n v="1"/>
    <n v="832"/>
    <n v="1"/>
    <x v="1"/>
    <n v="51"/>
    <n v="2"/>
    <n v="2"/>
    <x v="2"/>
    <n v="3"/>
    <s v="Single"/>
    <n v="5094"/>
    <n v="11983"/>
    <n v="6"/>
    <s v="Y"/>
    <x v="1"/>
    <n v="14"/>
    <n v="3"/>
    <n v="4"/>
    <n v="80"/>
    <n v="0"/>
    <n v="10"/>
    <n v="6"/>
    <n v="3"/>
    <n v="1"/>
    <n v="0"/>
    <n v="0"/>
    <n v="0"/>
    <x v="1"/>
    <n v="1"/>
    <x v="0"/>
    <x v="0"/>
    <s v="0-1 Years"/>
    <s v="High"/>
    <s v="Better"/>
  </r>
  <r>
    <x v="7"/>
    <s v="No"/>
    <s v="Travel_Rarely"/>
    <n v="946"/>
    <x v="1"/>
    <n v="2"/>
    <n v="3"/>
    <s v="Medical"/>
    <n v="1"/>
    <n v="833"/>
    <n v="3"/>
    <x v="0"/>
    <n v="52"/>
    <n v="2"/>
    <n v="2"/>
    <x v="3"/>
    <n v="4"/>
    <s v="Single"/>
    <n v="6877"/>
    <n v="20234"/>
    <n v="5"/>
    <s v="Y"/>
    <x v="0"/>
    <n v="24"/>
    <n v="4"/>
    <n v="2"/>
    <n v="80"/>
    <n v="0"/>
    <n v="12"/>
    <n v="4"/>
    <n v="2"/>
    <n v="0"/>
    <n v="0"/>
    <n v="0"/>
    <n v="0"/>
    <x v="1"/>
    <n v="1"/>
    <x v="2"/>
    <x v="0"/>
    <s v="0-1 Years"/>
    <s v="Very High"/>
    <s v="Good"/>
  </r>
  <r>
    <x v="28"/>
    <s v="No"/>
    <s v="Travel_Rarely"/>
    <n v="252"/>
    <x v="1"/>
    <n v="2"/>
    <n v="3"/>
    <s v="Life Sciences"/>
    <n v="1"/>
    <n v="834"/>
    <n v="2"/>
    <x v="0"/>
    <n v="95"/>
    <n v="2"/>
    <n v="1"/>
    <x v="1"/>
    <n v="3"/>
    <s v="Single"/>
    <n v="2274"/>
    <n v="6153"/>
    <n v="1"/>
    <s v="Y"/>
    <x v="1"/>
    <n v="14"/>
    <n v="3"/>
    <n v="4"/>
    <n v="80"/>
    <n v="0"/>
    <n v="1"/>
    <n v="3"/>
    <n v="3"/>
    <n v="1"/>
    <n v="0"/>
    <n v="0"/>
    <n v="0"/>
    <x v="1"/>
    <n v="1"/>
    <x v="1"/>
    <x v="1"/>
    <s v="0-1 Years"/>
    <s v="High"/>
    <s v="Better"/>
  </r>
  <r>
    <x v="19"/>
    <s v="No"/>
    <s v="Travel_Rarely"/>
    <n v="933"/>
    <x v="1"/>
    <n v="29"/>
    <n v="3"/>
    <s v="Life Sciences"/>
    <n v="1"/>
    <n v="836"/>
    <n v="2"/>
    <x v="1"/>
    <n v="98"/>
    <n v="3"/>
    <n v="2"/>
    <x v="3"/>
    <n v="2"/>
    <s v="Married"/>
    <n v="4434"/>
    <n v="11806"/>
    <n v="1"/>
    <s v="Y"/>
    <x v="1"/>
    <n v="13"/>
    <n v="3"/>
    <n v="4"/>
    <n v="80"/>
    <n v="1"/>
    <n v="10"/>
    <n v="3"/>
    <n v="2"/>
    <n v="9"/>
    <n v="8"/>
    <n v="7"/>
    <n v="8"/>
    <x v="1"/>
    <n v="1"/>
    <x v="0"/>
    <x v="0"/>
    <s v="6-10 Years"/>
    <s v="Medium"/>
    <s v="Good"/>
  </r>
  <r>
    <x v="8"/>
    <s v="No"/>
    <s v="Travel_Frequently"/>
    <n v="471"/>
    <x v="1"/>
    <n v="12"/>
    <n v="3"/>
    <s v="Life Sciences"/>
    <n v="1"/>
    <n v="837"/>
    <n v="1"/>
    <x v="1"/>
    <n v="45"/>
    <n v="2"/>
    <n v="2"/>
    <x v="4"/>
    <n v="1"/>
    <s v="Divorced"/>
    <n v="6288"/>
    <n v="4284"/>
    <n v="2"/>
    <s v="Y"/>
    <x v="1"/>
    <n v="15"/>
    <n v="3"/>
    <n v="3"/>
    <n v="80"/>
    <n v="1"/>
    <n v="13"/>
    <n v="3"/>
    <n v="2"/>
    <n v="4"/>
    <n v="3"/>
    <n v="1"/>
    <n v="2"/>
    <x v="1"/>
    <n v="1"/>
    <x v="0"/>
    <x v="0"/>
    <s v="2-5 Years"/>
    <s v="Low"/>
    <s v="Good"/>
  </r>
  <r>
    <x v="13"/>
    <s v="No"/>
    <s v="Travel_Frequently"/>
    <n v="702"/>
    <x v="1"/>
    <n v="16"/>
    <n v="4"/>
    <s v="Life Sciences"/>
    <n v="1"/>
    <n v="838"/>
    <n v="3"/>
    <x v="0"/>
    <n v="100"/>
    <n v="2"/>
    <n v="1"/>
    <x v="1"/>
    <n v="4"/>
    <s v="Single"/>
    <n v="2553"/>
    <n v="8306"/>
    <n v="1"/>
    <s v="Y"/>
    <x v="1"/>
    <n v="16"/>
    <n v="3"/>
    <n v="3"/>
    <n v="80"/>
    <n v="0"/>
    <n v="6"/>
    <n v="3"/>
    <n v="3"/>
    <n v="5"/>
    <n v="2"/>
    <n v="1"/>
    <n v="3"/>
    <x v="1"/>
    <n v="1"/>
    <x v="2"/>
    <x v="1"/>
    <s v="2-5 Years"/>
    <s v="Very High"/>
    <s v="Better"/>
  </r>
  <r>
    <x v="1"/>
    <s v="Yes"/>
    <s v="Travel_Rarely"/>
    <n v="1184"/>
    <x v="0"/>
    <n v="11"/>
    <n v="3"/>
    <s v="Marketing"/>
    <n v="1"/>
    <n v="840"/>
    <n v="3"/>
    <x v="0"/>
    <n v="43"/>
    <n v="3"/>
    <n v="3"/>
    <x v="0"/>
    <n v="4"/>
    <s v="Married"/>
    <n v="7654"/>
    <n v="5860"/>
    <n v="1"/>
    <s v="Y"/>
    <x v="1"/>
    <n v="18"/>
    <n v="3"/>
    <n v="1"/>
    <n v="80"/>
    <n v="2"/>
    <n v="9"/>
    <n v="3"/>
    <n v="4"/>
    <n v="9"/>
    <n v="8"/>
    <n v="7"/>
    <n v="7"/>
    <x v="0"/>
    <n v="0"/>
    <x v="1"/>
    <x v="2"/>
    <s v="6-10 Years"/>
    <s v="Very High"/>
    <s v="Best"/>
  </r>
  <r>
    <x v="27"/>
    <s v="Yes"/>
    <s v="Travel_Rarely"/>
    <n v="436"/>
    <x v="0"/>
    <n v="2"/>
    <n v="1"/>
    <s v="Medical"/>
    <n v="1"/>
    <n v="842"/>
    <n v="3"/>
    <x v="1"/>
    <n v="37"/>
    <n v="3"/>
    <n v="2"/>
    <x v="0"/>
    <n v="4"/>
    <s v="Single"/>
    <n v="5160"/>
    <n v="21519"/>
    <n v="4"/>
    <s v="Y"/>
    <x v="1"/>
    <n v="16"/>
    <n v="3"/>
    <n v="3"/>
    <n v="80"/>
    <n v="0"/>
    <n v="12"/>
    <n v="3"/>
    <n v="2"/>
    <n v="9"/>
    <n v="7"/>
    <n v="7"/>
    <n v="3"/>
    <x v="0"/>
    <n v="0"/>
    <x v="3"/>
    <x v="0"/>
    <s v="6-10 Years"/>
    <s v="Very High"/>
    <s v="Good"/>
  </r>
  <r>
    <x v="23"/>
    <s v="No"/>
    <s v="Travel_Rarely"/>
    <n v="589"/>
    <x v="1"/>
    <n v="14"/>
    <n v="2"/>
    <s v="Life Sciences"/>
    <n v="1"/>
    <n v="843"/>
    <n v="2"/>
    <x v="1"/>
    <n v="94"/>
    <n v="3"/>
    <n v="4"/>
    <x v="7"/>
    <n v="1"/>
    <s v="Married"/>
    <n v="17159"/>
    <n v="5200"/>
    <n v="6"/>
    <s v="Y"/>
    <x v="1"/>
    <n v="24"/>
    <n v="4"/>
    <n v="3"/>
    <n v="80"/>
    <n v="1"/>
    <n v="22"/>
    <n v="3"/>
    <n v="3"/>
    <n v="4"/>
    <n v="1"/>
    <n v="1"/>
    <n v="0"/>
    <x v="1"/>
    <n v="1"/>
    <x v="0"/>
    <x v="2"/>
    <s v="2-5 Years"/>
    <s v="Low"/>
    <s v="Better"/>
  </r>
  <r>
    <x v="4"/>
    <s v="No"/>
    <s v="Travel_Rarely"/>
    <n v="269"/>
    <x v="1"/>
    <n v="5"/>
    <n v="1"/>
    <s v="Technical Degree"/>
    <n v="1"/>
    <n v="844"/>
    <n v="3"/>
    <x v="1"/>
    <n v="42"/>
    <n v="2"/>
    <n v="3"/>
    <x v="7"/>
    <n v="4"/>
    <s v="Divorced"/>
    <n v="12808"/>
    <n v="8842"/>
    <n v="1"/>
    <s v="Y"/>
    <x v="0"/>
    <n v="16"/>
    <n v="3"/>
    <n v="2"/>
    <n v="80"/>
    <n v="1"/>
    <n v="9"/>
    <n v="3"/>
    <n v="3"/>
    <n v="9"/>
    <n v="8"/>
    <n v="0"/>
    <n v="8"/>
    <x v="1"/>
    <n v="1"/>
    <x v="2"/>
    <x v="2"/>
    <s v="6-10 Years"/>
    <s v="Very High"/>
    <s v="Better"/>
  </r>
  <r>
    <x v="10"/>
    <s v="No"/>
    <s v="Travel_Rarely"/>
    <n v="950"/>
    <x v="1"/>
    <n v="7"/>
    <n v="3"/>
    <s v="Other"/>
    <n v="1"/>
    <n v="845"/>
    <n v="3"/>
    <x v="1"/>
    <n v="59"/>
    <n v="3"/>
    <n v="3"/>
    <x v="3"/>
    <n v="3"/>
    <s v="Single"/>
    <n v="10221"/>
    <n v="18869"/>
    <n v="3"/>
    <s v="Y"/>
    <x v="1"/>
    <n v="21"/>
    <n v="4"/>
    <n v="2"/>
    <n v="80"/>
    <n v="0"/>
    <n v="17"/>
    <n v="3"/>
    <n v="4"/>
    <n v="8"/>
    <n v="5"/>
    <n v="1"/>
    <n v="6"/>
    <x v="1"/>
    <n v="1"/>
    <x v="0"/>
    <x v="2"/>
    <s v="6-10 Years"/>
    <s v="High"/>
    <s v="Best"/>
  </r>
  <r>
    <x v="14"/>
    <s v="No"/>
    <s v="Travel_Rarely"/>
    <n v="760"/>
    <x v="0"/>
    <n v="2"/>
    <n v="4"/>
    <s v="Marketing"/>
    <n v="1"/>
    <n v="846"/>
    <n v="2"/>
    <x v="0"/>
    <n v="81"/>
    <n v="3"/>
    <n v="2"/>
    <x v="0"/>
    <n v="2"/>
    <s v="Married"/>
    <n v="4779"/>
    <n v="3698"/>
    <n v="1"/>
    <s v="Y"/>
    <x v="0"/>
    <n v="20"/>
    <n v="4"/>
    <n v="1"/>
    <n v="80"/>
    <n v="0"/>
    <n v="8"/>
    <n v="2"/>
    <n v="3"/>
    <n v="8"/>
    <n v="7"/>
    <n v="7"/>
    <n v="5"/>
    <x v="1"/>
    <n v="1"/>
    <x v="2"/>
    <x v="0"/>
    <s v="6-10 Years"/>
    <s v="Medium"/>
    <s v="Better"/>
  </r>
  <r>
    <x v="13"/>
    <s v="No"/>
    <s v="Travel_Rarely"/>
    <n v="829"/>
    <x v="2"/>
    <n v="3"/>
    <n v="2"/>
    <s v="Human Resources"/>
    <n v="1"/>
    <n v="847"/>
    <n v="3"/>
    <x v="1"/>
    <n v="88"/>
    <n v="3"/>
    <n v="1"/>
    <x v="8"/>
    <n v="4"/>
    <s v="Married"/>
    <n v="3737"/>
    <n v="2243"/>
    <n v="0"/>
    <s v="Y"/>
    <x v="1"/>
    <n v="19"/>
    <n v="3"/>
    <n v="3"/>
    <n v="80"/>
    <n v="1"/>
    <n v="4"/>
    <n v="1"/>
    <n v="1"/>
    <n v="3"/>
    <n v="2"/>
    <n v="0"/>
    <n v="2"/>
    <x v="1"/>
    <n v="1"/>
    <x v="2"/>
    <x v="0"/>
    <s v="2-5 Years"/>
    <s v="Very High"/>
    <s v="Bad"/>
  </r>
  <r>
    <x v="25"/>
    <s v="Yes"/>
    <s v="Travel_Frequently"/>
    <n v="887"/>
    <x v="1"/>
    <n v="5"/>
    <n v="2"/>
    <s v="Medical"/>
    <n v="1"/>
    <n v="848"/>
    <n v="3"/>
    <x v="0"/>
    <n v="88"/>
    <n v="2"/>
    <n v="1"/>
    <x v="1"/>
    <n v="3"/>
    <s v="Married"/>
    <n v="2366"/>
    <n v="20898"/>
    <n v="1"/>
    <s v="Y"/>
    <x v="0"/>
    <n v="14"/>
    <n v="3"/>
    <n v="1"/>
    <n v="80"/>
    <n v="1"/>
    <n v="8"/>
    <n v="2"/>
    <n v="3"/>
    <n v="8"/>
    <n v="7"/>
    <n v="1"/>
    <n v="7"/>
    <x v="0"/>
    <n v="0"/>
    <x v="2"/>
    <x v="1"/>
    <s v="6-10 Years"/>
    <s v="High"/>
    <s v="Better"/>
  </r>
  <r>
    <x v="4"/>
    <s v="No"/>
    <s v="Non-Travel"/>
    <n v="443"/>
    <x v="1"/>
    <n v="3"/>
    <n v="3"/>
    <s v="Medical"/>
    <n v="1"/>
    <n v="850"/>
    <n v="4"/>
    <x v="1"/>
    <n v="50"/>
    <n v="3"/>
    <n v="1"/>
    <x v="1"/>
    <n v="4"/>
    <s v="Married"/>
    <n v="1706"/>
    <n v="16571"/>
    <n v="1"/>
    <s v="Y"/>
    <x v="1"/>
    <n v="11"/>
    <n v="3"/>
    <n v="3"/>
    <n v="80"/>
    <n v="3"/>
    <n v="0"/>
    <n v="6"/>
    <n v="2"/>
    <n v="0"/>
    <n v="0"/>
    <n v="0"/>
    <n v="0"/>
    <x v="1"/>
    <n v="1"/>
    <x v="2"/>
    <x v="1"/>
    <s v="0-1 Years"/>
    <s v="Very High"/>
    <s v="Good"/>
  </r>
  <r>
    <x v="31"/>
    <s v="No"/>
    <s v="Travel_Rarely"/>
    <n v="1318"/>
    <x v="0"/>
    <n v="26"/>
    <n v="4"/>
    <s v="Marketing"/>
    <n v="1"/>
    <n v="851"/>
    <n v="1"/>
    <x v="0"/>
    <n v="66"/>
    <n v="3"/>
    <n v="4"/>
    <x v="5"/>
    <n v="3"/>
    <s v="Married"/>
    <n v="16307"/>
    <n v="5594"/>
    <n v="2"/>
    <s v="Y"/>
    <x v="1"/>
    <n v="14"/>
    <n v="3"/>
    <n v="3"/>
    <n v="80"/>
    <n v="1"/>
    <n v="29"/>
    <n v="2"/>
    <n v="2"/>
    <n v="20"/>
    <n v="6"/>
    <n v="4"/>
    <n v="17"/>
    <x v="1"/>
    <n v="1"/>
    <x v="1"/>
    <x v="2"/>
    <s v="10+ Years"/>
    <s v="High"/>
    <s v="Good"/>
  </r>
  <r>
    <x v="20"/>
    <s v="No"/>
    <s v="Travel_Rarely"/>
    <n v="625"/>
    <x v="1"/>
    <n v="4"/>
    <n v="3"/>
    <s v="Medical"/>
    <n v="1"/>
    <n v="852"/>
    <n v="4"/>
    <x v="1"/>
    <n v="50"/>
    <n v="3"/>
    <n v="2"/>
    <x v="4"/>
    <n v="2"/>
    <s v="Single"/>
    <n v="5933"/>
    <n v="5197"/>
    <n v="9"/>
    <s v="Y"/>
    <x v="1"/>
    <n v="12"/>
    <n v="3"/>
    <n v="4"/>
    <n v="80"/>
    <n v="0"/>
    <n v="10"/>
    <n v="2"/>
    <n v="2"/>
    <n v="5"/>
    <n v="2"/>
    <n v="2"/>
    <n v="3"/>
    <x v="1"/>
    <n v="1"/>
    <x v="0"/>
    <x v="0"/>
    <s v="2-5 Years"/>
    <s v="Medium"/>
    <s v="Good"/>
  </r>
  <r>
    <x v="36"/>
    <s v="No"/>
    <s v="Travel_Rarely"/>
    <n v="180"/>
    <x v="1"/>
    <n v="2"/>
    <n v="1"/>
    <s v="Medical"/>
    <n v="1"/>
    <n v="854"/>
    <n v="1"/>
    <x v="1"/>
    <n v="65"/>
    <n v="4"/>
    <n v="1"/>
    <x v="1"/>
    <n v="1"/>
    <s v="Single"/>
    <n v="3424"/>
    <n v="21632"/>
    <n v="7"/>
    <s v="Y"/>
    <x v="1"/>
    <n v="13"/>
    <n v="3"/>
    <n v="3"/>
    <n v="80"/>
    <n v="0"/>
    <n v="6"/>
    <n v="3"/>
    <n v="2"/>
    <n v="4"/>
    <n v="3"/>
    <n v="0"/>
    <n v="1"/>
    <x v="1"/>
    <n v="1"/>
    <x v="2"/>
    <x v="0"/>
    <s v="2-5 Years"/>
    <s v="Low"/>
    <s v="Good"/>
  </r>
  <r>
    <x v="3"/>
    <s v="No"/>
    <s v="Travel_Rarely"/>
    <n v="586"/>
    <x v="0"/>
    <n v="1"/>
    <n v="3"/>
    <s v="Medical"/>
    <n v="1"/>
    <n v="855"/>
    <n v="1"/>
    <x v="1"/>
    <n v="48"/>
    <n v="4"/>
    <n v="2"/>
    <x v="0"/>
    <n v="1"/>
    <s v="Divorced"/>
    <n v="4037"/>
    <n v="21816"/>
    <n v="1"/>
    <s v="Y"/>
    <x v="1"/>
    <n v="22"/>
    <n v="4"/>
    <n v="1"/>
    <n v="80"/>
    <n v="1"/>
    <n v="9"/>
    <n v="5"/>
    <n v="3"/>
    <n v="9"/>
    <n v="8"/>
    <n v="0"/>
    <n v="8"/>
    <x v="1"/>
    <n v="1"/>
    <x v="2"/>
    <x v="0"/>
    <s v="6-10 Years"/>
    <s v="Low"/>
    <s v="Better"/>
  </r>
  <r>
    <x v="10"/>
    <s v="No"/>
    <s v="Travel_Rarely"/>
    <n v="1343"/>
    <x v="1"/>
    <n v="27"/>
    <n v="1"/>
    <s v="Medical"/>
    <n v="1"/>
    <n v="856"/>
    <n v="3"/>
    <x v="0"/>
    <n v="53"/>
    <n v="2"/>
    <n v="1"/>
    <x v="1"/>
    <n v="1"/>
    <s v="Single"/>
    <n v="2559"/>
    <n v="17852"/>
    <n v="1"/>
    <s v="Y"/>
    <x v="1"/>
    <n v="11"/>
    <n v="3"/>
    <n v="4"/>
    <n v="80"/>
    <n v="0"/>
    <n v="6"/>
    <n v="3"/>
    <n v="2"/>
    <n v="6"/>
    <n v="5"/>
    <n v="1"/>
    <n v="1"/>
    <x v="1"/>
    <n v="1"/>
    <x v="0"/>
    <x v="1"/>
    <s v="6-10 Years"/>
    <s v="Low"/>
    <s v="Good"/>
  </r>
  <r>
    <x v="9"/>
    <s v="No"/>
    <s v="Travel_Rarely"/>
    <n v="928"/>
    <x v="0"/>
    <n v="1"/>
    <n v="2"/>
    <s v="Life Sciences"/>
    <n v="1"/>
    <n v="857"/>
    <n v="2"/>
    <x v="1"/>
    <n v="56"/>
    <n v="3"/>
    <n v="2"/>
    <x v="0"/>
    <n v="4"/>
    <s v="Married"/>
    <n v="6201"/>
    <n v="2823"/>
    <n v="1"/>
    <s v="Y"/>
    <x v="0"/>
    <n v="14"/>
    <n v="3"/>
    <n v="4"/>
    <n v="80"/>
    <n v="1"/>
    <n v="18"/>
    <n v="1"/>
    <n v="2"/>
    <n v="18"/>
    <n v="14"/>
    <n v="4"/>
    <n v="11"/>
    <x v="1"/>
    <n v="1"/>
    <x v="0"/>
    <x v="0"/>
    <s v="10+ Years"/>
    <s v="Very High"/>
    <s v="Good"/>
  </r>
  <r>
    <x v="5"/>
    <s v="No"/>
    <s v="Travel_Rarely"/>
    <n v="117"/>
    <x v="0"/>
    <n v="13"/>
    <n v="4"/>
    <s v="Life Sciences"/>
    <n v="1"/>
    <n v="859"/>
    <n v="2"/>
    <x v="1"/>
    <n v="73"/>
    <n v="3"/>
    <n v="2"/>
    <x v="0"/>
    <n v="4"/>
    <s v="Divorced"/>
    <n v="4403"/>
    <n v="9250"/>
    <n v="2"/>
    <s v="Y"/>
    <x v="1"/>
    <n v="11"/>
    <n v="3"/>
    <n v="3"/>
    <n v="80"/>
    <n v="1"/>
    <n v="8"/>
    <n v="3"/>
    <n v="2"/>
    <n v="5"/>
    <n v="2"/>
    <n v="0"/>
    <n v="3"/>
    <x v="1"/>
    <n v="1"/>
    <x v="2"/>
    <x v="0"/>
    <s v="2-5 Years"/>
    <s v="Very High"/>
    <s v="Good"/>
  </r>
  <r>
    <x v="7"/>
    <s v="No"/>
    <s v="Travel_Frequently"/>
    <n v="1012"/>
    <x v="1"/>
    <n v="5"/>
    <n v="4"/>
    <s v="Life Sciences"/>
    <n v="1"/>
    <n v="861"/>
    <n v="2"/>
    <x v="1"/>
    <n v="75"/>
    <n v="2"/>
    <n v="1"/>
    <x v="1"/>
    <n v="4"/>
    <s v="Divorced"/>
    <n v="3761"/>
    <n v="2373"/>
    <n v="9"/>
    <s v="Y"/>
    <x v="1"/>
    <n v="12"/>
    <n v="3"/>
    <n v="2"/>
    <n v="80"/>
    <n v="1"/>
    <n v="10"/>
    <n v="3"/>
    <n v="2"/>
    <n v="5"/>
    <n v="4"/>
    <n v="0"/>
    <n v="3"/>
    <x v="1"/>
    <n v="1"/>
    <x v="2"/>
    <x v="0"/>
    <s v="2-5 Years"/>
    <s v="Very High"/>
    <s v="Good"/>
  </r>
  <r>
    <x v="16"/>
    <s v="No"/>
    <s v="Travel_Rarely"/>
    <n v="661"/>
    <x v="0"/>
    <n v="7"/>
    <n v="2"/>
    <s v="Marketing"/>
    <n v="1"/>
    <n v="862"/>
    <n v="1"/>
    <x v="0"/>
    <n v="78"/>
    <n v="2"/>
    <n v="3"/>
    <x v="0"/>
    <n v="4"/>
    <s v="Married"/>
    <n v="10934"/>
    <n v="20715"/>
    <n v="7"/>
    <s v="Y"/>
    <x v="0"/>
    <n v="18"/>
    <n v="3"/>
    <n v="4"/>
    <n v="80"/>
    <n v="1"/>
    <n v="35"/>
    <n v="3"/>
    <n v="3"/>
    <n v="5"/>
    <n v="2"/>
    <n v="0"/>
    <n v="4"/>
    <x v="1"/>
    <n v="1"/>
    <x v="1"/>
    <x v="2"/>
    <s v="2-5 Years"/>
    <s v="Very High"/>
    <s v="Better"/>
  </r>
  <r>
    <x v="28"/>
    <s v="No"/>
    <s v="Travel_Rarely"/>
    <n v="930"/>
    <x v="0"/>
    <n v="9"/>
    <n v="3"/>
    <s v="Marketing"/>
    <n v="1"/>
    <n v="864"/>
    <n v="4"/>
    <x v="1"/>
    <n v="74"/>
    <n v="3"/>
    <n v="3"/>
    <x v="0"/>
    <n v="1"/>
    <s v="Divorced"/>
    <n v="10761"/>
    <n v="19239"/>
    <n v="4"/>
    <s v="Y"/>
    <x v="0"/>
    <n v="12"/>
    <n v="3"/>
    <n v="3"/>
    <n v="80"/>
    <n v="1"/>
    <n v="18"/>
    <n v="2"/>
    <n v="3"/>
    <n v="5"/>
    <n v="4"/>
    <n v="0"/>
    <n v="2"/>
    <x v="1"/>
    <n v="1"/>
    <x v="1"/>
    <x v="2"/>
    <s v="2-5 Years"/>
    <s v="Low"/>
    <s v="Better"/>
  </r>
  <r>
    <x v="5"/>
    <s v="No"/>
    <s v="Travel_Rarely"/>
    <n v="638"/>
    <x v="1"/>
    <n v="8"/>
    <n v="2"/>
    <s v="Medical"/>
    <n v="1"/>
    <n v="865"/>
    <n v="3"/>
    <x v="0"/>
    <n v="91"/>
    <n v="4"/>
    <n v="2"/>
    <x v="1"/>
    <n v="3"/>
    <s v="Married"/>
    <n v="5175"/>
    <n v="22162"/>
    <n v="5"/>
    <s v="Y"/>
    <x v="1"/>
    <n v="12"/>
    <n v="3"/>
    <n v="3"/>
    <n v="80"/>
    <n v="1"/>
    <n v="9"/>
    <n v="3"/>
    <n v="2"/>
    <n v="5"/>
    <n v="3"/>
    <n v="1"/>
    <n v="3"/>
    <x v="1"/>
    <n v="1"/>
    <x v="2"/>
    <x v="0"/>
    <s v="2-5 Years"/>
    <s v="High"/>
    <s v="Good"/>
  </r>
  <r>
    <x v="39"/>
    <s v="No"/>
    <s v="Travel_Frequently"/>
    <n v="890"/>
    <x v="1"/>
    <n v="25"/>
    <n v="4"/>
    <s v="Medical"/>
    <n v="1"/>
    <n v="867"/>
    <n v="3"/>
    <x v="0"/>
    <n v="81"/>
    <n v="2"/>
    <n v="4"/>
    <x v="3"/>
    <n v="4"/>
    <s v="Married"/>
    <n v="13826"/>
    <n v="19028"/>
    <n v="3"/>
    <s v="Y"/>
    <x v="1"/>
    <n v="22"/>
    <n v="4"/>
    <n v="3"/>
    <n v="80"/>
    <n v="0"/>
    <n v="31"/>
    <n v="3"/>
    <n v="3"/>
    <n v="9"/>
    <n v="8"/>
    <n v="0"/>
    <n v="0"/>
    <x v="1"/>
    <n v="1"/>
    <x v="1"/>
    <x v="2"/>
    <s v="6-10 Years"/>
    <s v="Very High"/>
    <s v="Better"/>
  </r>
  <r>
    <x v="2"/>
    <s v="No"/>
    <s v="Travel_Rarely"/>
    <n v="342"/>
    <x v="0"/>
    <n v="16"/>
    <n v="4"/>
    <s v="Marketing"/>
    <n v="1"/>
    <n v="868"/>
    <n v="4"/>
    <x v="1"/>
    <n v="66"/>
    <n v="2"/>
    <n v="2"/>
    <x v="0"/>
    <n v="3"/>
    <s v="Divorced"/>
    <n v="6334"/>
    <n v="24558"/>
    <n v="4"/>
    <s v="Y"/>
    <x v="1"/>
    <n v="19"/>
    <n v="3"/>
    <n v="4"/>
    <n v="80"/>
    <n v="2"/>
    <n v="9"/>
    <n v="2"/>
    <n v="3"/>
    <n v="1"/>
    <n v="0"/>
    <n v="0"/>
    <n v="0"/>
    <x v="1"/>
    <n v="1"/>
    <x v="0"/>
    <x v="0"/>
    <s v="0-1 Years"/>
    <s v="High"/>
    <s v="Better"/>
  </r>
  <r>
    <x v="14"/>
    <s v="No"/>
    <s v="Travel_Rarely"/>
    <n v="1169"/>
    <x v="2"/>
    <n v="8"/>
    <n v="2"/>
    <s v="Medical"/>
    <n v="1"/>
    <n v="869"/>
    <n v="2"/>
    <x v="1"/>
    <n v="63"/>
    <n v="2"/>
    <n v="1"/>
    <x v="8"/>
    <n v="4"/>
    <s v="Divorced"/>
    <n v="4936"/>
    <n v="23965"/>
    <n v="1"/>
    <s v="Y"/>
    <x v="1"/>
    <n v="13"/>
    <n v="3"/>
    <n v="4"/>
    <n v="80"/>
    <n v="1"/>
    <n v="6"/>
    <n v="6"/>
    <n v="3"/>
    <n v="5"/>
    <n v="1"/>
    <n v="0"/>
    <n v="4"/>
    <x v="1"/>
    <n v="1"/>
    <x v="2"/>
    <x v="0"/>
    <s v="2-5 Years"/>
    <s v="Very High"/>
    <s v="Better"/>
  </r>
  <r>
    <x v="15"/>
    <s v="No"/>
    <s v="Travel_Rarely"/>
    <n v="1230"/>
    <x v="1"/>
    <n v="1"/>
    <n v="2"/>
    <s v="Life Sciences"/>
    <n v="1"/>
    <n v="872"/>
    <n v="4"/>
    <x v="1"/>
    <n v="33"/>
    <n v="2"/>
    <n v="2"/>
    <x v="3"/>
    <n v="4"/>
    <s v="Married"/>
    <n v="4775"/>
    <n v="19146"/>
    <n v="6"/>
    <s v="Y"/>
    <x v="1"/>
    <n v="22"/>
    <n v="4"/>
    <n v="1"/>
    <n v="80"/>
    <n v="2"/>
    <n v="4"/>
    <n v="2"/>
    <n v="1"/>
    <n v="2"/>
    <n v="2"/>
    <n v="2"/>
    <n v="2"/>
    <x v="1"/>
    <n v="1"/>
    <x v="4"/>
    <x v="0"/>
    <s v="2-5 Years"/>
    <s v="Very High"/>
    <s v="Bad"/>
  </r>
  <r>
    <x v="20"/>
    <s v="No"/>
    <s v="Travel_Rarely"/>
    <n v="986"/>
    <x v="1"/>
    <n v="8"/>
    <n v="4"/>
    <s v="Life Sciences"/>
    <n v="1"/>
    <n v="874"/>
    <n v="1"/>
    <x v="1"/>
    <n v="62"/>
    <n v="4"/>
    <n v="1"/>
    <x v="2"/>
    <n v="4"/>
    <s v="Married"/>
    <n v="2818"/>
    <n v="5044"/>
    <n v="2"/>
    <s v="Y"/>
    <x v="0"/>
    <n v="24"/>
    <n v="4"/>
    <n v="3"/>
    <n v="80"/>
    <n v="1"/>
    <n v="10"/>
    <n v="2"/>
    <n v="2"/>
    <n v="3"/>
    <n v="2"/>
    <n v="0"/>
    <n v="2"/>
    <x v="1"/>
    <n v="1"/>
    <x v="0"/>
    <x v="1"/>
    <s v="2-5 Years"/>
    <s v="Very High"/>
    <s v="Good"/>
  </r>
  <r>
    <x v="19"/>
    <s v="No"/>
    <s v="Travel_Frequently"/>
    <n v="1271"/>
    <x v="1"/>
    <n v="2"/>
    <n v="1"/>
    <s v="Medical"/>
    <n v="1"/>
    <n v="875"/>
    <n v="2"/>
    <x v="1"/>
    <n v="35"/>
    <n v="3"/>
    <n v="1"/>
    <x v="1"/>
    <n v="4"/>
    <s v="Single"/>
    <n v="2515"/>
    <n v="9068"/>
    <n v="5"/>
    <s v="Y"/>
    <x v="0"/>
    <n v="14"/>
    <n v="3"/>
    <n v="4"/>
    <n v="80"/>
    <n v="0"/>
    <n v="8"/>
    <n v="2"/>
    <n v="3"/>
    <n v="2"/>
    <n v="1"/>
    <n v="2"/>
    <n v="2"/>
    <x v="1"/>
    <n v="1"/>
    <x v="0"/>
    <x v="1"/>
    <s v="2-5 Years"/>
    <s v="Very High"/>
    <s v="Better"/>
  </r>
  <r>
    <x v="9"/>
    <s v="No"/>
    <s v="Travel_Rarely"/>
    <n v="1278"/>
    <x v="2"/>
    <n v="8"/>
    <n v="3"/>
    <s v="Life Sciences"/>
    <n v="1"/>
    <n v="878"/>
    <n v="1"/>
    <x v="1"/>
    <n v="77"/>
    <n v="2"/>
    <n v="1"/>
    <x v="8"/>
    <n v="1"/>
    <s v="Married"/>
    <n v="2342"/>
    <n v="8635"/>
    <n v="0"/>
    <s v="Y"/>
    <x v="1"/>
    <n v="21"/>
    <n v="4"/>
    <n v="3"/>
    <n v="80"/>
    <n v="0"/>
    <n v="6"/>
    <n v="3"/>
    <n v="3"/>
    <n v="5"/>
    <n v="4"/>
    <n v="0"/>
    <n v="3"/>
    <x v="1"/>
    <n v="1"/>
    <x v="0"/>
    <x v="1"/>
    <s v="2-5 Years"/>
    <s v="Low"/>
    <s v="Better"/>
  </r>
  <r>
    <x v="36"/>
    <s v="No"/>
    <s v="Travel_Rarely"/>
    <n v="141"/>
    <x v="0"/>
    <n v="3"/>
    <n v="1"/>
    <s v="Other"/>
    <n v="1"/>
    <n v="879"/>
    <n v="3"/>
    <x v="1"/>
    <n v="98"/>
    <n v="3"/>
    <n v="2"/>
    <x v="0"/>
    <n v="1"/>
    <s v="Married"/>
    <n v="4194"/>
    <n v="14363"/>
    <n v="1"/>
    <s v="Y"/>
    <x v="0"/>
    <n v="18"/>
    <n v="3"/>
    <n v="4"/>
    <n v="80"/>
    <n v="0"/>
    <n v="5"/>
    <n v="3"/>
    <n v="3"/>
    <n v="5"/>
    <n v="3"/>
    <n v="0"/>
    <n v="3"/>
    <x v="1"/>
    <n v="1"/>
    <x v="2"/>
    <x v="0"/>
    <s v="2-5 Years"/>
    <s v="Low"/>
    <s v="Better"/>
  </r>
  <r>
    <x v="10"/>
    <s v="No"/>
    <s v="Travel_Rarely"/>
    <n v="607"/>
    <x v="1"/>
    <n v="9"/>
    <n v="3"/>
    <s v="Life Sciences"/>
    <n v="1"/>
    <n v="880"/>
    <n v="4"/>
    <x v="0"/>
    <n v="66"/>
    <n v="2"/>
    <n v="3"/>
    <x v="3"/>
    <n v="3"/>
    <s v="Married"/>
    <n v="10685"/>
    <n v="23457"/>
    <n v="1"/>
    <s v="Y"/>
    <x v="0"/>
    <n v="20"/>
    <n v="4"/>
    <n v="2"/>
    <n v="80"/>
    <n v="1"/>
    <n v="17"/>
    <n v="2"/>
    <n v="3"/>
    <n v="17"/>
    <n v="14"/>
    <n v="5"/>
    <n v="15"/>
    <x v="1"/>
    <n v="1"/>
    <x v="0"/>
    <x v="2"/>
    <s v="10+ Years"/>
    <s v="High"/>
    <s v="Better"/>
  </r>
  <r>
    <x v="10"/>
    <s v="Yes"/>
    <s v="Travel_Frequently"/>
    <n v="130"/>
    <x v="1"/>
    <n v="25"/>
    <n v="4"/>
    <s v="Life Sciences"/>
    <n v="1"/>
    <n v="881"/>
    <n v="4"/>
    <x v="0"/>
    <n v="96"/>
    <n v="3"/>
    <n v="1"/>
    <x v="1"/>
    <n v="2"/>
    <s v="Divorced"/>
    <n v="2022"/>
    <n v="16612"/>
    <n v="1"/>
    <s v="Y"/>
    <x v="0"/>
    <n v="19"/>
    <n v="3"/>
    <n v="1"/>
    <n v="80"/>
    <n v="1"/>
    <n v="10"/>
    <n v="3"/>
    <n v="2"/>
    <n v="10"/>
    <n v="2"/>
    <n v="7"/>
    <n v="8"/>
    <x v="0"/>
    <n v="0"/>
    <x v="0"/>
    <x v="1"/>
    <s v="6-10 Years"/>
    <s v="Medium"/>
    <s v="Good"/>
  </r>
  <r>
    <x v="5"/>
    <s v="No"/>
    <s v="Non-Travel"/>
    <n v="300"/>
    <x v="1"/>
    <n v="1"/>
    <n v="3"/>
    <s v="Life Sciences"/>
    <n v="1"/>
    <n v="882"/>
    <n v="4"/>
    <x v="1"/>
    <n v="61"/>
    <n v="3"/>
    <n v="1"/>
    <x v="2"/>
    <n v="4"/>
    <s v="Divorced"/>
    <n v="2314"/>
    <n v="9148"/>
    <n v="0"/>
    <s v="Y"/>
    <x v="1"/>
    <n v="12"/>
    <n v="3"/>
    <n v="2"/>
    <n v="80"/>
    <n v="1"/>
    <n v="4"/>
    <n v="2"/>
    <n v="3"/>
    <n v="3"/>
    <n v="0"/>
    <n v="0"/>
    <n v="2"/>
    <x v="1"/>
    <n v="1"/>
    <x v="2"/>
    <x v="1"/>
    <s v="2-5 Years"/>
    <s v="Very High"/>
    <s v="Better"/>
  </r>
  <r>
    <x v="36"/>
    <s v="No"/>
    <s v="Travel_Rarely"/>
    <n v="583"/>
    <x v="0"/>
    <n v="4"/>
    <n v="1"/>
    <s v="Marketing"/>
    <n v="1"/>
    <n v="885"/>
    <n v="3"/>
    <x v="1"/>
    <n v="87"/>
    <n v="2"/>
    <n v="2"/>
    <x v="0"/>
    <n v="1"/>
    <s v="Married"/>
    <n v="4256"/>
    <n v="18154"/>
    <n v="1"/>
    <s v="Y"/>
    <x v="1"/>
    <n v="12"/>
    <n v="3"/>
    <n v="1"/>
    <n v="80"/>
    <n v="0"/>
    <n v="5"/>
    <n v="1"/>
    <n v="4"/>
    <n v="5"/>
    <n v="2"/>
    <n v="0"/>
    <n v="3"/>
    <x v="1"/>
    <n v="1"/>
    <x v="2"/>
    <x v="0"/>
    <s v="2-5 Years"/>
    <s v="Low"/>
    <s v="Best"/>
  </r>
  <r>
    <x v="1"/>
    <s v="No"/>
    <s v="Travel_Rarely"/>
    <n v="1418"/>
    <x v="1"/>
    <n v="1"/>
    <n v="3"/>
    <s v="Technical Degree"/>
    <n v="1"/>
    <n v="887"/>
    <n v="3"/>
    <x v="0"/>
    <n v="36"/>
    <n v="3"/>
    <n v="1"/>
    <x v="1"/>
    <n v="1"/>
    <s v="Married"/>
    <n v="3580"/>
    <n v="10554"/>
    <n v="2"/>
    <s v="Y"/>
    <x v="1"/>
    <n v="16"/>
    <n v="3"/>
    <n v="2"/>
    <n v="80"/>
    <n v="1"/>
    <n v="7"/>
    <n v="2"/>
    <n v="3"/>
    <n v="4"/>
    <n v="2"/>
    <n v="0"/>
    <n v="2"/>
    <x v="1"/>
    <n v="1"/>
    <x v="1"/>
    <x v="0"/>
    <s v="2-5 Years"/>
    <s v="Low"/>
    <s v="Better"/>
  </r>
  <r>
    <x v="17"/>
    <s v="No"/>
    <s v="Non-Travel"/>
    <n v="1269"/>
    <x v="1"/>
    <n v="4"/>
    <n v="1"/>
    <s v="Life Sciences"/>
    <n v="1"/>
    <n v="888"/>
    <n v="1"/>
    <x v="1"/>
    <n v="46"/>
    <n v="2"/>
    <n v="1"/>
    <x v="2"/>
    <n v="4"/>
    <s v="Married"/>
    <n v="3162"/>
    <n v="10778"/>
    <n v="0"/>
    <s v="Y"/>
    <x v="1"/>
    <n v="17"/>
    <n v="3"/>
    <n v="4"/>
    <n v="80"/>
    <n v="0"/>
    <n v="6"/>
    <n v="2"/>
    <n v="2"/>
    <n v="5"/>
    <n v="2"/>
    <n v="3"/>
    <n v="4"/>
    <x v="1"/>
    <n v="1"/>
    <x v="4"/>
    <x v="0"/>
    <s v="2-5 Years"/>
    <s v="Very High"/>
    <s v="Good"/>
  </r>
  <r>
    <x v="5"/>
    <s v="No"/>
    <s v="Travel_Frequently"/>
    <n v="379"/>
    <x v="0"/>
    <n v="5"/>
    <n v="2"/>
    <s v="Life Sciences"/>
    <n v="1"/>
    <n v="889"/>
    <n v="2"/>
    <x v="1"/>
    <n v="48"/>
    <n v="3"/>
    <n v="2"/>
    <x v="0"/>
    <n v="2"/>
    <s v="Married"/>
    <n v="6524"/>
    <n v="8891"/>
    <n v="1"/>
    <s v="Y"/>
    <x v="1"/>
    <n v="14"/>
    <n v="3"/>
    <n v="4"/>
    <n v="80"/>
    <n v="1"/>
    <n v="10"/>
    <n v="3"/>
    <n v="3"/>
    <n v="10"/>
    <n v="8"/>
    <n v="5"/>
    <n v="3"/>
    <x v="1"/>
    <n v="1"/>
    <x v="2"/>
    <x v="0"/>
    <s v="6-10 Years"/>
    <s v="Medium"/>
    <s v="Better"/>
  </r>
  <r>
    <x v="8"/>
    <s v="No"/>
    <s v="Travel_Rarely"/>
    <n v="395"/>
    <x v="0"/>
    <n v="9"/>
    <n v="3"/>
    <s v="Marketing"/>
    <n v="1"/>
    <n v="893"/>
    <n v="2"/>
    <x v="1"/>
    <n v="98"/>
    <n v="2"/>
    <n v="1"/>
    <x v="6"/>
    <n v="2"/>
    <s v="Married"/>
    <n v="2899"/>
    <n v="12102"/>
    <n v="0"/>
    <s v="Y"/>
    <x v="1"/>
    <n v="19"/>
    <n v="3"/>
    <n v="4"/>
    <n v="80"/>
    <n v="1"/>
    <n v="3"/>
    <n v="3"/>
    <n v="3"/>
    <n v="2"/>
    <n v="2"/>
    <n v="1"/>
    <n v="2"/>
    <x v="1"/>
    <n v="1"/>
    <x v="0"/>
    <x v="1"/>
    <s v="2-5 Years"/>
    <s v="Medium"/>
    <s v="Better"/>
  </r>
  <r>
    <x v="19"/>
    <s v="No"/>
    <s v="Travel_Rarely"/>
    <n v="1265"/>
    <x v="1"/>
    <n v="3"/>
    <n v="3"/>
    <s v="Life Sciences"/>
    <n v="1"/>
    <n v="894"/>
    <n v="3"/>
    <x v="0"/>
    <n v="95"/>
    <n v="4"/>
    <n v="2"/>
    <x v="2"/>
    <n v="4"/>
    <s v="Married"/>
    <n v="5231"/>
    <n v="23726"/>
    <n v="2"/>
    <s v="Y"/>
    <x v="0"/>
    <n v="13"/>
    <n v="3"/>
    <n v="2"/>
    <n v="80"/>
    <n v="1"/>
    <n v="17"/>
    <n v="1"/>
    <n v="2"/>
    <n v="5"/>
    <n v="3"/>
    <n v="1"/>
    <n v="3"/>
    <x v="1"/>
    <n v="1"/>
    <x v="0"/>
    <x v="0"/>
    <s v="2-5 Years"/>
    <s v="Very High"/>
    <s v="Good"/>
  </r>
  <r>
    <x v="12"/>
    <s v="No"/>
    <s v="Travel_Rarely"/>
    <n v="1222"/>
    <x v="1"/>
    <n v="11"/>
    <n v="4"/>
    <s v="Life Sciences"/>
    <n v="1"/>
    <n v="895"/>
    <n v="4"/>
    <x v="1"/>
    <n v="48"/>
    <n v="3"/>
    <n v="1"/>
    <x v="1"/>
    <n v="4"/>
    <s v="Married"/>
    <n v="2356"/>
    <n v="14871"/>
    <n v="3"/>
    <s v="Y"/>
    <x v="0"/>
    <n v="19"/>
    <n v="3"/>
    <n v="2"/>
    <n v="80"/>
    <n v="1"/>
    <n v="8"/>
    <n v="2"/>
    <n v="3"/>
    <n v="6"/>
    <n v="4"/>
    <n v="0"/>
    <n v="2"/>
    <x v="1"/>
    <n v="1"/>
    <x v="2"/>
    <x v="1"/>
    <s v="6-10 Years"/>
    <s v="Very High"/>
    <s v="Better"/>
  </r>
  <r>
    <x v="11"/>
    <s v="Yes"/>
    <s v="Travel_Rarely"/>
    <n v="341"/>
    <x v="0"/>
    <n v="1"/>
    <n v="3"/>
    <s v="Medical"/>
    <n v="1"/>
    <n v="896"/>
    <n v="2"/>
    <x v="0"/>
    <n v="48"/>
    <n v="2"/>
    <n v="1"/>
    <x v="6"/>
    <n v="3"/>
    <s v="Divorced"/>
    <n v="2800"/>
    <n v="23522"/>
    <n v="6"/>
    <s v="Y"/>
    <x v="0"/>
    <n v="19"/>
    <n v="3"/>
    <n v="3"/>
    <n v="80"/>
    <n v="3"/>
    <n v="5"/>
    <n v="3"/>
    <n v="3"/>
    <n v="3"/>
    <n v="2"/>
    <n v="0"/>
    <n v="2"/>
    <x v="0"/>
    <n v="0"/>
    <x v="2"/>
    <x v="1"/>
    <s v="2-5 Years"/>
    <s v="High"/>
    <s v="Better"/>
  </r>
  <r>
    <x v="16"/>
    <s v="No"/>
    <s v="Travel_Rarely"/>
    <n v="868"/>
    <x v="0"/>
    <n v="8"/>
    <n v="3"/>
    <s v="Marketing"/>
    <n v="1"/>
    <n v="897"/>
    <n v="1"/>
    <x v="1"/>
    <n v="73"/>
    <n v="3"/>
    <n v="4"/>
    <x v="0"/>
    <n v="4"/>
    <s v="Married"/>
    <n v="11836"/>
    <n v="22789"/>
    <n v="5"/>
    <s v="Y"/>
    <x v="1"/>
    <n v="14"/>
    <n v="3"/>
    <n v="3"/>
    <n v="80"/>
    <n v="1"/>
    <n v="28"/>
    <n v="3"/>
    <n v="3"/>
    <n v="2"/>
    <n v="0"/>
    <n v="2"/>
    <n v="2"/>
    <x v="1"/>
    <n v="1"/>
    <x v="1"/>
    <x v="2"/>
    <s v="2-5 Years"/>
    <s v="Very High"/>
    <s v="Better"/>
  </r>
  <r>
    <x v="10"/>
    <s v="No"/>
    <s v="Travel_Rarely"/>
    <n v="672"/>
    <x v="1"/>
    <n v="25"/>
    <n v="3"/>
    <s v="Technical Degree"/>
    <n v="1"/>
    <n v="899"/>
    <n v="4"/>
    <x v="1"/>
    <n v="78"/>
    <n v="2"/>
    <n v="3"/>
    <x v="3"/>
    <n v="2"/>
    <s v="Married"/>
    <n v="10903"/>
    <n v="9129"/>
    <n v="3"/>
    <s v="Y"/>
    <x v="1"/>
    <n v="16"/>
    <n v="3"/>
    <n v="1"/>
    <n v="80"/>
    <n v="0"/>
    <n v="16"/>
    <n v="2"/>
    <n v="3"/>
    <n v="13"/>
    <n v="10"/>
    <n v="4"/>
    <n v="8"/>
    <x v="1"/>
    <n v="1"/>
    <x v="0"/>
    <x v="2"/>
    <s v="10+ Years"/>
    <s v="Medium"/>
    <s v="Better"/>
  </r>
  <r>
    <x v="2"/>
    <s v="No"/>
    <s v="Travel_Frequently"/>
    <n v="1231"/>
    <x v="0"/>
    <n v="21"/>
    <n v="2"/>
    <s v="Medical"/>
    <n v="1"/>
    <n v="900"/>
    <n v="3"/>
    <x v="0"/>
    <n v="54"/>
    <n v="3"/>
    <n v="1"/>
    <x v="6"/>
    <n v="4"/>
    <s v="Married"/>
    <n v="2973"/>
    <n v="21222"/>
    <n v="5"/>
    <s v="Y"/>
    <x v="1"/>
    <n v="15"/>
    <n v="3"/>
    <n v="2"/>
    <n v="80"/>
    <n v="1"/>
    <n v="10"/>
    <n v="3"/>
    <n v="3"/>
    <n v="5"/>
    <n v="4"/>
    <n v="0"/>
    <n v="0"/>
    <x v="1"/>
    <n v="1"/>
    <x v="0"/>
    <x v="1"/>
    <s v="2-5 Years"/>
    <s v="Very High"/>
    <s v="Better"/>
  </r>
  <r>
    <x v="16"/>
    <s v="No"/>
    <s v="Travel_Rarely"/>
    <n v="102"/>
    <x v="1"/>
    <n v="23"/>
    <n v="4"/>
    <s v="Life Sciences"/>
    <n v="1"/>
    <n v="901"/>
    <n v="4"/>
    <x v="0"/>
    <n v="72"/>
    <n v="3"/>
    <n v="4"/>
    <x v="7"/>
    <n v="4"/>
    <s v="Single"/>
    <n v="14275"/>
    <n v="20206"/>
    <n v="6"/>
    <s v="Y"/>
    <x v="1"/>
    <n v="18"/>
    <n v="3"/>
    <n v="3"/>
    <n v="80"/>
    <n v="0"/>
    <n v="33"/>
    <n v="0"/>
    <n v="3"/>
    <n v="12"/>
    <n v="9"/>
    <n v="3"/>
    <n v="8"/>
    <x v="1"/>
    <n v="1"/>
    <x v="1"/>
    <x v="2"/>
    <s v="10+ Years"/>
    <s v="Very High"/>
    <s v="Better"/>
  </r>
  <r>
    <x v="23"/>
    <s v="No"/>
    <s v="Travel_Frequently"/>
    <n v="422"/>
    <x v="1"/>
    <n v="1"/>
    <n v="3"/>
    <s v="Life Sciences"/>
    <n v="1"/>
    <n v="902"/>
    <n v="4"/>
    <x v="0"/>
    <n v="33"/>
    <n v="3"/>
    <n v="2"/>
    <x v="4"/>
    <n v="4"/>
    <s v="Married"/>
    <n v="5562"/>
    <n v="21782"/>
    <n v="4"/>
    <s v="Y"/>
    <x v="1"/>
    <n v="13"/>
    <n v="3"/>
    <n v="2"/>
    <n v="80"/>
    <n v="1"/>
    <n v="12"/>
    <n v="2"/>
    <n v="2"/>
    <n v="5"/>
    <n v="2"/>
    <n v="2"/>
    <n v="2"/>
    <x v="1"/>
    <n v="1"/>
    <x v="0"/>
    <x v="0"/>
    <s v="2-5 Years"/>
    <s v="Very High"/>
    <s v="Good"/>
  </r>
  <r>
    <x v="40"/>
    <s v="No"/>
    <s v="Travel_Rarely"/>
    <n v="249"/>
    <x v="0"/>
    <n v="2"/>
    <n v="2"/>
    <s v="Marketing"/>
    <n v="1"/>
    <n v="903"/>
    <n v="3"/>
    <x v="0"/>
    <n v="35"/>
    <n v="3"/>
    <n v="2"/>
    <x v="0"/>
    <n v="4"/>
    <s v="Married"/>
    <n v="4537"/>
    <n v="17783"/>
    <n v="0"/>
    <s v="Y"/>
    <x v="0"/>
    <n v="22"/>
    <n v="4"/>
    <n v="1"/>
    <n v="80"/>
    <n v="1"/>
    <n v="8"/>
    <n v="2"/>
    <n v="3"/>
    <n v="7"/>
    <n v="6"/>
    <n v="7"/>
    <n v="7"/>
    <x v="1"/>
    <n v="1"/>
    <x v="1"/>
    <x v="0"/>
    <s v="6-10 Years"/>
    <s v="Very High"/>
    <s v="Better"/>
  </r>
  <r>
    <x v="2"/>
    <s v="No"/>
    <s v="Non-Travel"/>
    <n v="1252"/>
    <x v="0"/>
    <n v="19"/>
    <n v="2"/>
    <s v="Medical"/>
    <n v="1"/>
    <n v="904"/>
    <n v="1"/>
    <x v="1"/>
    <n v="32"/>
    <n v="3"/>
    <n v="3"/>
    <x v="0"/>
    <n v="2"/>
    <s v="Single"/>
    <n v="7642"/>
    <n v="4814"/>
    <n v="1"/>
    <s v="Y"/>
    <x v="0"/>
    <n v="13"/>
    <n v="3"/>
    <n v="4"/>
    <n v="80"/>
    <n v="0"/>
    <n v="10"/>
    <n v="2"/>
    <n v="3"/>
    <n v="10"/>
    <n v="0"/>
    <n v="0"/>
    <n v="9"/>
    <x v="1"/>
    <n v="1"/>
    <x v="0"/>
    <x v="2"/>
    <s v="6-10 Years"/>
    <s v="Medium"/>
    <s v="Better"/>
  </r>
  <r>
    <x v="24"/>
    <s v="No"/>
    <s v="Non-Travel"/>
    <n v="881"/>
    <x v="1"/>
    <n v="2"/>
    <n v="4"/>
    <s v="Life Sciences"/>
    <n v="1"/>
    <n v="905"/>
    <n v="1"/>
    <x v="1"/>
    <n v="98"/>
    <n v="3"/>
    <n v="4"/>
    <x v="5"/>
    <n v="1"/>
    <s v="Divorced"/>
    <n v="17924"/>
    <n v="4544"/>
    <n v="1"/>
    <s v="Y"/>
    <x v="1"/>
    <n v="11"/>
    <n v="3"/>
    <n v="4"/>
    <n v="80"/>
    <n v="1"/>
    <n v="31"/>
    <n v="3"/>
    <n v="3"/>
    <n v="31"/>
    <n v="6"/>
    <n v="14"/>
    <n v="7"/>
    <x v="1"/>
    <n v="1"/>
    <x v="1"/>
    <x v="2"/>
    <s v="10+ Years"/>
    <s v="Low"/>
    <s v="Better"/>
  </r>
  <r>
    <x v="22"/>
    <s v="No"/>
    <s v="Travel_Rarely"/>
    <n v="1383"/>
    <x v="2"/>
    <n v="2"/>
    <n v="3"/>
    <s v="Life Sciences"/>
    <n v="1"/>
    <n v="909"/>
    <n v="4"/>
    <x v="0"/>
    <n v="42"/>
    <n v="2"/>
    <n v="2"/>
    <x v="8"/>
    <n v="4"/>
    <s v="Married"/>
    <n v="5204"/>
    <n v="7790"/>
    <n v="8"/>
    <s v="Y"/>
    <x v="1"/>
    <n v="11"/>
    <n v="3"/>
    <n v="3"/>
    <n v="80"/>
    <n v="2"/>
    <n v="13"/>
    <n v="2"/>
    <n v="3"/>
    <n v="5"/>
    <n v="4"/>
    <n v="0"/>
    <n v="4"/>
    <x v="1"/>
    <n v="1"/>
    <x v="0"/>
    <x v="0"/>
    <s v="2-5 Years"/>
    <s v="Very High"/>
    <s v="Better"/>
  </r>
  <r>
    <x v="3"/>
    <s v="No"/>
    <s v="Travel_Rarely"/>
    <n v="1075"/>
    <x v="2"/>
    <n v="3"/>
    <n v="2"/>
    <s v="Human Resources"/>
    <n v="1"/>
    <n v="910"/>
    <n v="4"/>
    <x v="1"/>
    <n v="57"/>
    <n v="3"/>
    <n v="1"/>
    <x v="8"/>
    <n v="2"/>
    <s v="Divorced"/>
    <n v="2277"/>
    <n v="22650"/>
    <n v="3"/>
    <s v="Y"/>
    <x v="0"/>
    <n v="11"/>
    <n v="3"/>
    <n v="3"/>
    <n v="80"/>
    <n v="1"/>
    <n v="7"/>
    <n v="4"/>
    <n v="4"/>
    <n v="4"/>
    <n v="3"/>
    <n v="0"/>
    <n v="3"/>
    <x v="1"/>
    <n v="1"/>
    <x v="2"/>
    <x v="1"/>
    <s v="2-5 Years"/>
    <s v="Medium"/>
    <s v="Best"/>
  </r>
  <r>
    <x v="5"/>
    <s v="Yes"/>
    <s v="Travel_Rarely"/>
    <n v="374"/>
    <x v="1"/>
    <n v="25"/>
    <n v="4"/>
    <s v="Life Sciences"/>
    <n v="1"/>
    <n v="911"/>
    <n v="1"/>
    <x v="1"/>
    <n v="87"/>
    <n v="3"/>
    <n v="1"/>
    <x v="2"/>
    <n v="4"/>
    <s v="Single"/>
    <n v="2795"/>
    <n v="18016"/>
    <n v="1"/>
    <s v="Y"/>
    <x v="0"/>
    <n v="24"/>
    <n v="4"/>
    <n v="3"/>
    <n v="80"/>
    <n v="0"/>
    <n v="1"/>
    <n v="2"/>
    <n v="1"/>
    <n v="1"/>
    <n v="0"/>
    <n v="0"/>
    <n v="1"/>
    <x v="0"/>
    <n v="0"/>
    <x v="2"/>
    <x v="1"/>
    <s v="0-1 Years"/>
    <s v="Very High"/>
    <s v="Bad"/>
  </r>
  <r>
    <x v="11"/>
    <s v="No"/>
    <s v="Travel_Rarely"/>
    <n v="1086"/>
    <x v="1"/>
    <n v="7"/>
    <n v="1"/>
    <s v="Medical"/>
    <n v="1"/>
    <n v="912"/>
    <n v="1"/>
    <x v="0"/>
    <n v="62"/>
    <n v="2"/>
    <n v="1"/>
    <x v="2"/>
    <n v="4"/>
    <s v="Divorced"/>
    <n v="2532"/>
    <n v="6054"/>
    <n v="6"/>
    <s v="Y"/>
    <x v="1"/>
    <n v="14"/>
    <n v="3"/>
    <n v="3"/>
    <n v="80"/>
    <n v="3"/>
    <n v="8"/>
    <n v="5"/>
    <n v="3"/>
    <n v="4"/>
    <n v="3"/>
    <n v="0"/>
    <n v="3"/>
    <x v="1"/>
    <n v="1"/>
    <x v="2"/>
    <x v="1"/>
    <s v="2-5 Years"/>
    <s v="Very High"/>
    <s v="Better"/>
  </r>
  <r>
    <x v="20"/>
    <s v="No"/>
    <s v="Travel_Rarely"/>
    <n v="661"/>
    <x v="1"/>
    <n v="9"/>
    <n v="2"/>
    <s v="Life Sciences"/>
    <n v="1"/>
    <n v="913"/>
    <n v="2"/>
    <x v="1"/>
    <n v="61"/>
    <n v="3"/>
    <n v="1"/>
    <x v="1"/>
    <n v="1"/>
    <s v="Married"/>
    <n v="2559"/>
    <n v="7508"/>
    <n v="1"/>
    <s v="Y"/>
    <x v="0"/>
    <n v="13"/>
    <n v="3"/>
    <n v="4"/>
    <n v="80"/>
    <n v="0"/>
    <n v="8"/>
    <n v="0"/>
    <n v="3"/>
    <n v="8"/>
    <n v="7"/>
    <n v="7"/>
    <n v="1"/>
    <x v="1"/>
    <n v="1"/>
    <x v="0"/>
    <x v="1"/>
    <s v="6-10 Years"/>
    <s v="Low"/>
    <s v="Better"/>
  </r>
  <r>
    <x v="14"/>
    <s v="No"/>
    <s v="Travel_Rarely"/>
    <n v="821"/>
    <x v="0"/>
    <n v="5"/>
    <n v="4"/>
    <s v="Medical"/>
    <n v="1"/>
    <n v="916"/>
    <n v="1"/>
    <x v="1"/>
    <n v="98"/>
    <n v="3"/>
    <n v="2"/>
    <x v="0"/>
    <n v="4"/>
    <s v="Single"/>
    <n v="4908"/>
    <n v="24252"/>
    <n v="1"/>
    <s v="Y"/>
    <x v="1"/>
    <n v="14"/>
    <n v="3"/>
    <n v="2"/>
    <n v="80"/>
    <n v="0"/>
    <n v="4"/>
    <n v="3"/>
    <n v="3"/>
    <n v="4"/>
    <n v="2"/>
    <n v="0"/>
    <n v="2"/>
    <x v="1"/>
    <n v="1"/>
    <x v="2"/>
    <x v="0"/>
    <s v="2-5 Years"/>
    <s v="Very High"/>
    <s v="Better"/>
  </r>
  <r>
    <x v="34"/>
    <s v="Yes"/>
    <s v="Travel_Frequently"/>
    <n v="781"/>
    <x v="1"/>
    <n v="2"/>
    <n v="1"/>
    <s v="Life Sciences"/>
    <n v="1"/>
    <n v="918"/>
    <n v="4"/>
    <x v="1"/>
    <n v="57"/>
    <n v="2"/>
    <n v="1"/>
    <x v="2"/>
    <n v="4"/>
    <s v="Divorced"/>
    <n v="2380"/>
    <n v="13384"/>
    <n v="9"/>
    <s v="Y"/>
    <x v="0"/>
    <n v="14"/>
    <n v="3"/>
    <n v="4"/>
    <n v="80"/>
    <n v="1"/>
    <n v="3"/>
    <n v="3"/>
    <n v="2"/>
    <n v="1"/>
    <n v="0"/>
    <n v="0"/>
    <n v="0"/>
    <x v="0"/>
    <n v="0"/>
    <x v="3"/>
    <x v="1"/>
    <s v="0-1 Years"/>
    <s v="Very High"/>
    <s v="Good"/>
  </r>
  <r>
    <x v="23"/>
    <s v="No"/>
    <s v="Travel_Rarely"/>
    <n v="177"/>
    <x v="1"/>
    <n v="8"/>
    <n v="3"/>
    <s v="Life Sciences"/>
    <n v="1"/>
    <n v="920"/>
    <n v="1"/>
    <x v="0"/>
    <n v="55"/>
    <n v="3"/>
    <n v="2"/>
    <x v="3"/>
    <n v="2"/>
    <s v="Divorced"/>
    <n v="4765"/>
    <n v="23814"/>
    <n v="4"/>
    <s v="Y"/>
    <x v="1"/>
    <n v="21"/>
    <n v="4"/>
    <n v="3"/>
    <n v="80"/>
    <n v="1"/>
    <n v="4"/>
    <n v="2"/>
    <n v="4"/>
    <n v="1"/>
    <n v="0"/>
    <n v="0"/>
    <n v="0"/>
    <x v="1"/>
    <n v="1"/>
    <x v="0"/>
    <x v="0"/>
    <s v="0-1 Years"/>
    <s v="Medium"/>
    <s v="Best"/>
  </r>
  <r>
    <x v="35"/>
    <s v="Yes"/>
    <s v="Travel_Rarely"/>
    <n v="500"/>
    <x v="0"/>
    <n v="2"/>
    <n v="3"/>
    <s v="Medical"/>
    <n v="1"/>
    <n v="922"/>
    <n v="3"/>
    <x v="0"/>
    <n v="49"/>
    <n v="2"/>
    <n v="1"/>
    <x v="6"/>
    <n v="3"/>
    <s v="Single"/>
    <n v="2044"/>
    <n v="22052"/>
    <n v="1"/>
    <s v="Y"/>
    <x v="1"/>
    <n v="13"/>
    <n v="3"/>
    <n v="4"/>
    <n v="80"/>
    <n v="0"/>
    <n v="2"/>
    <n v="3"/>
    <n v="2"/>
    <n v="2"/>
    <n v="2"/>
    <n v="0"/>
    <n v="2"/>
    <x v="0"/>
    <n v="0"/>
    <x v="4"/>
    <x v="1"/>
    <s v="2-5 Years"/>
    <s v="High"/>
    <s v="Good"/>
  </r>
  <r>
    <x v="18"/>
    <s v="Yes"/>
    <s v="Travel_Rarely"/>
    <n v="1427"/>
    <x v="1"/>
    <n v="18"/>
    <n v="1"/>
    <s v="Other"/>
    <n v="1"/>
    <n v="923"/>
    <n v="4"/>
    <x v="0"/>
    <n v="65"/>
    <n v="3"/>
    <n v="1"/>
    <x v="1"/>
    <n v="4"/>
    <s v="Single"/>
    <n v="2693"/>
    <n v="8870"/>
    <n v="1"/>
    <s v="Y"/>
    <x v="1"/>
    <n v="19"/>
    <n v="3"/>
    <n v="1"/>
    <n v="80"/>
    <n v="0"/>
    <n v="1"/>
    <n v="3"/>
    <n v="2"/>
    <n v="1"/>
    <n v="0"/>
    <n v="0"/>
    <n v="0"/>
    <x v="0"/>
    <n v="0"/>
    <x v="4"/>
    <x v="1"/>
    <s v="0-1 Years"/>
    <s v="Very High"/>
    <s v="Good"/>
  </r>
  <r>
    <x v="9"/>
    <s v="No"/>
    <s v="Travel_Rarely"/>
    <n v="1425"/>
    <x v="1"/>
    <n v="14"/>
    <n v="1"/>
    <s v="Life Sciences"/>
    <n v="1"/>
    <n v="924"/>
    <n v="3"/>
    <x v="1"/>
    <n v="68"/>
    <n v="3"/>
    <n v="2"/>
    <x v="4"/>
    <n v="4"/>
    <s v="Married"/>
    <n v="6586"/>
    <n v="4821"/>
    <n v="0"/>
    <s v="Y"/>
    <x v="0"/>
    <n v="17"/>
    <n v="3"/>
    <n v="1"/>
    <n v="80"/>
    <n v="1"/>
    <n v="17"/>
    <n v="2"/>
    <n v="2"/>
    <n v="16"/>
    <n v="8"/>
    <n v="4"/>
    <n v="11"/>
    <x v="1"/>
    <n v="1"/>
    <x v="0"/>
    <x v="0"/>
    <s v="10+ Years"/>
    <s v="Very High"/>
    <s v="Good"/>
  </r>
  <r>
    <x v="40"/>
    <s v="No"/>
    <s v="Travel_Rarely"/>
    <n v="1454"/>
    <x v="0"/>
    <n v="2"/>
    <n v="4"/>
    <s v="Life Sciences"/>
    <n v="1"/>
    <n v="925"/>
    <n v="4"/>
    <x v="0"/>
    <n v="65"/>
    <n v="2"/>
    <n v="1"/>
    <x v="6"/>
    <n v="4"/>
    <s v="Single"/>
    <n v="3294"/>
    <n v="13137"/>
    <n v="1"/>
    <s v="Y"/>
    <x v="0"/>
    <n v="18"/>
    <n v="3"/>
    <n v="1"/>
    <n v="80"/>
    <n v="0"/>
    <n v="3"/>
    <n v="3"/>
    <n v="2"/>
    <n v="3"/>
    <n v="2"/>
    <n v="1"/>
    <n v="2"/>
    <x v="1"/>
    <n v="1"/>
    <x v="1"/>
    <x v="0"/>
    <s v="2-5 Years"/>
    <s v="Very High"/>
    <s v="Good"/>
  </r>
  <r>
    <x v="15"/>
    <s v="Yes"/>
    <s v="Travel_Rarely"/>
    <n v="617"/>
    <x v="1"/>
    <n v="3"/>
    <n v="1"/>
    <s v="Life Sciences"/>
    <n v="1"/>
    <n v="926"/>
    <n v="2"/>
    <x v="0"/>
    <n v="34"/>
    <n v="3"/>
    <n v="2"/>
    <x v="3"/>
    <n v="3"/>
    <s v="Married"/>
    <n v="4171"/>
    <n v="10022"/>
    <n v="0"/>
    <s v="Y"/>
    <x v="0"/>
    <n v="19"/>
    <n v="3"/>
    <n v="1"/>
    <n v="80"/>
    <n v="1"/>
    <n v="4"/>
    <n v="3"/>
    <n v="4"/>
    <n v="3"/>
    <n v="2"/>
    <n v="0"/>
    <n v="2"/>
    <x v="0"/>
    <n v="0"/>
    <x v="4"/>
    <x v="0"/>
    <s v="2-5 Years"/>
    <s v="High"/>
    <s v="Best"/>
  </r>
  <r>
    <x v="0"/>
    <s v="Yes"/>
    <s v="Travel_Rarely"/>
    <n v="1085"/>
    <x v="1"/>
    <n v="2"/>
    <n v="4"/>
    <s v="Life Sciences"/>
    <n v="1"/>
    <n v="927"/>
    <n v="2"/>
    <x v="0"/>
    <n v="57"/>
    <n v="1"/>
    <n v="1"/>
    <x v="2"/>
    <n v="4"/>
    <s v="Divorced"/>
    <n v="2778"/>
    <n v="17725"/>
    <n v="4"/>
    <s v="Y"/>
    <x v="0"/>
    <n v="13"/>
    <n v="3"/>
    <n v="3"/>
    <n v="80"/>
    <n v="1"/>
    <n v="10"/>
    <n v="1"/>
    <n v="2"/>
    <n v="7"/>
    <n v="7"/>
    <n v="1"/>
    <n v="0"/>
    <x v="0"/>
    <n v="0"/>
    <x v="0"/>
    <x v="1"/>
    <s v="6-10 Years"/>
    <s v="Very High"/>
    <s v="Good"/>
  </r>
  <r>
    <x v="14"/>
    <s v="No"/>
    <s v="Travel_Rarely"/>
    <n v="995"/>
    <x v="1"/>
    <n v="9"/>
    <n v="3"/>
    <s v="Medical"/>
    <n v="1"/>
    <n v="930"/>
    <n v="3"/>
    <x v="0"/>
    <n v="77"/>
    <n v="3"/>
    <n v="1"/>
    <x v="1"/>
    <n v="3"/>
    <s v="Divorced"/>
    <n v="2377"/>
    <n v="9834"/>
    <n v="5"/>
    <s v="Y"/>
    <x v="1"/>
    <n v="18"/>
    <n v="3"/>
    <n v="2"/>
    <n v="80"/>
    <n v="1"/>
    <n v="6"/>
    <n v="2"/>
    <n v="3"/>
    <n v="2"/>
    <n v="2"/>
    <n v="2"/>
    <n v="2"/>
    <x v="1"/>
    <n v="1"/>
    <x v="2"/>
    <x v="1"/>
    <s v="2-5 Years"/>
    <s v="High"/>
    <s v="Better"/>
  </r>
  <r>
    <x v="22"/>
    <s v="Yes"/>
    <s v="Travel_Rarely"/>
    <n v="1122"/>
    <x v="1"/>
    <n v="6"/>
    <n v="3"/>
    <s v="Medical"/>
    <n v="1"/>
    <n v="932"/>
    <n v="4"/>
    <x v="1"/>
    <n v="70"/>
    <n v="3"/>
    <n v="1"/>
    <x v="2"/>
    <n v="1"/>
    <s v="Married"/>
    <n v="2404"/>
    <n v="4303"/>
    <n v="7"/>
    <s v="Y"/>
    <x v="0"/>
    <n v="21"/>
    <n v="4"/>
    <n v="4"/>
    <n v="80"/>
    <n v="0"/>
    <n v="8"/>
    <n v="2"/>
    <n v="1"/>
    <n v="2"/>
    <n v="2"/>
    <n v="2"/>
    <n v="2"/>
    <x v="0"/>
    <n v="0"/>
    <x v="0"/>
    <x v="1"/>
    <s v="2-5 Years"/>
    <s v="Low"/>
    <s v="Bad"/>
  </r>
  <r>
    <x v="4"/>
    <s v="No"/>
    <s v="Travel_Rarely"/>
    <n v="618"/>
    <x v="1"/>
    <n v="4"/>
    <n v="3"/>
    <s v="Life Sciences"/>
    <n v="1"/>
    <n v="933"/>
    <n v="2"/>
    <x v="0"/>
    <n v="76"/>
    <n v="3"/>
    <n v="1"/>
    <x v="1"/>
    <n v="3"/>
    <s v="Single"/>
    <n v="2318"/>
    <n v="17808"/>
    <n v="1"/>
    <s v="Y"/>
    <x v="1"/>
    <n v="19"/>
    <n v="3"/>
    <n v="3"/>
    <n v="80"/>
    <n v="0"/>
    <n v="1"/>
    <n v="2"/>
    <n v="3"/>
    <n v="1"/>
    <n v="1"/>
    <n v="0"/>
    <n v="0"/>
    <x v="1"/>
    <n v="1"/>
    <x v="2"/>
    <x v="1"/>
    <s v="0-1 Years"/>
    <s v="High"/>
    <s v="Better"/>
  </r>
  <r>
    <x v="13"/>
    <s v="No"/>
    <s v="Travel_Rarely"/>
    <n v="546"/>
    <x v="1"/>
    <n v="10"/>
    <n v="3"/>
    <s v="Life Sciences"/>
    <n v="1"/>
    <n v="934"/>
    <n v="2"/>
    <x v="1"/>
    <n v="83"/>
    <n v="3"/>
    <n v="1"/>
    <x v="2"/>
    <n v="2"/>
    <s v="Divorced"/>
    <n v="2008"/>
    <n v="6896"/>
    <n v="1"/>
    <s v="Y"/>
    <x v="1"/>
    <n v="14"/>
    <n v="3"/>
    <n v="2"/>
    <n v="80"/>
    <n v="2"/>
    <n v="1"/>
    <n v="3"/>
    <n v="3"/>
    <n v="1"/>
    <n v="0"/>
    <n v="1"/>
    <n v="0"/>
    <x v="1"/>
    <n v="1"/>
    <x v="2"/>
    <x v="1"/>
    <s v="0-1 Years"/>
    <s v="Medium"/>
    <s v="Better"/>
  </r>
  <r>
    <x v="19"/>
    <s v="No"/>
    <s v="Travel_Rarely"/>
    <n v="462"/>
    <x v="0"/>
    <n v="14"/>
    <n v="2"/>
    <s v="Medical"/>
    <n v="1"/>
    <n v="936"/>
    <n v="3"/>
    <x v="0"/>
    <n v="68"/>
    <n v="2"/>
    <n v="2"/>
    <x v="0"/>
    <n v="3"/>
    <s v="Single"/>
    <n v="6244"/>
    <n v="7824"/>
    <n v="7"/>
    <s v="Y"/>
    <x v="1"/>
    <n v="17"/>
    <n v="3"/>
    <n v="1"/>
    <n v="80"/>
    <n v="0"/>
    <n v="10"/>
    <n v="6"/>
    <n v="3"/>
    <n v="5"/>
    <n v="4"/>
    <n v="0"/>
    <n v="3"/>
    <x v="1"/>
    <n v="1"/>
    <x v="0"/>
    <x v="0"/>
    <s v="2-5 Years"/>
    <s v="High"/>
    <s v="Better"/>
  </r>
  <r>
    <x v="3"/>
    <s v="No"/>
    <s v="Travel_Rarely"/>
    <n v="1198"/>
    <x v="1"/>
    <n v="1"/>
    <n v="4"/>
    <s v="Other"/>
    <n v="1"/>
    <n v="939"/>
    <n v="3"/>
    <x v="1"/>
    <n v="100"/>
    <n v="2"/>
    <n v="1"/>
    <x v="1"/>
    <n v="1"/>
    <s v="Single"/>
    <n v="2799"/>
    <n v="3339"/>
    <n v="3"/>
    <s v="Y"/>
    <x v="0"/>
    <n v="11"/>
    <n v="3"/>
    <n v="2"/>
    <n v="80"/>
    <n v="0"/>
    <n v="6"/>
    <n v="1"/>
    <n v="3"/>
    <n v="3"/>
    <n v="2"/>
    <n v="0"/>
    <n v="2"/>
    <x v="1"/>
    <n v="1"/>
    <x v="2"/>
    <x v="1"/>
    <s v="2-5 Years"/>
    <s v="Low"/>
    <s v="Better"/>
  </r>
  <r>
    <x v="34"/>
    <s v="No"/>
    <s v="Travel_Rarely"/>
    <n v="1272"/>
    <x v="1"/>
    <n v="5"/>
    <n v="3"/>
    <s v="Technical Degree"/>
    <n v="1"/>
    <n v="940"/>
    <n v="3"/>
    <x v="0"/>
    <n v="37"/>
    <n v="2"/>
    <n v="3"/>
    <x v="4"/>
    <n v="2"/>
    <s v="Divorced"/>
    <n v="10552"/>
    <n v="9255"/>
    <n v="2"/>
    <s v="Y"/>
    <x v="0"/>
    <n v="13"/>
    <n v="3"/>
    <n v="4"/>
    <n v="80"/>
    <n v="1"/>
    <n v="24"/>
    <n v="3"/>
    <n v="3"/>
    <n v="6"/>
    <n v="0"/>
    <n v="0"/>
    <n v="4"/>
    <x v="1"/>
    <n v="1"/>
    <x v="3"/>
    <x v="2"/>
    <s v="6-10 Years"/>
    <s v="Medium"/>
    <s v="Better"/>
  </r>
  <r>
    <x v="12"/>
    <s v="No"/>
    <s v="Travel_Rarely"/>
    <n v="154"/>
    <x v="0"/>
    <n v="7"/>
    <n v="4"/>
    <s v="Life Sciences"/>
    <n v="1"/>
    <n v="941"/>
    <n v="2"/>
    <x v="1"/>
    <n v="41"/>
    <n v="2"/>
    <n v="1"/>
    <x v="6"/>
    <n v="3"/>
    <s v="Married"/>
    <n v="2329"/>
    <n v="11737"/>
    <n v="3"/>
    <s v="Y"/>
    <x v="1"/>
    <n v="15"/>
    <n v="3"/>
    <n v="2"/>
    <n v="80"/>
    <n v="0"/>
    <n v="13"/>
    <n v="2"/>
    <n v="4"/>
    <n v="7"/>
    <n v="7"/>
    <n v="5"/>
    <n v="2"/>
    <x v="1"/>
    <n v="1"/>
    <x v="2"/>
    <x v="1"/>
    <s v="6-10 Years"/>
    <s v="High"/>
    <s v="Best"/>
  </r>
  <r>
    <x v="10"/>
    <s v="No"/>
    <s v="Travel_Rarely"/>
    <n v="1137"/>
    <x v="1"/>
    <n v="21"/>
    <n v="1"/>
    <s v="Life Sciences"/>
    <n v="1"/>
    <n v="942"/>
    <n v="4"/>
    <x v="0"/>
    <n v="51"/>
    <n v="3"/>
    <n v="2"/>
    <x v="4"/>
    <n v="4"/>
    <s v="Married"/>
    <n v="4014"/>
    <n v="19170"/>
    <n v="1"/>
    <s v="Y"/>
    <x v="0"/>
    <n v="25"/>
    <n v="4"/>
    <n v="4"/>
    <n v="80"/>
    <n v="1"/>
    <n v="10"/>
    <n v="2"/>
    <n v="1"/>
    <n v="10"/>
    <n v="6"/>
    <n v="0"/>
    <n v="7"/>
    <x v="1"/>
    <n v="1"/>
    <x v="0"/>
    <x v="0"/>
    <s v="6-10 Years"/>
    <s v="Very High"/>
    <s v="Bad"/>
  </r>
  <r>
    <x v="1"/>
    <s v="No"/>
    <s v="Travel_Rarely"/>
    <n v="527"/>
    <x v="1"/>
    <n v="8"/>
    <n v="2"/>
    <s v="Other"/>
    <n v="1"/>
    <n v="944"/>
    <n v="1"/>
    <x v="0"/>
    <n v="51"/>
    <n v="3"/>
    <n v="3"/>
    <x v="2"/>
    <n v="2"/>
    <s v="Married"/>
    <n v="7403"/>
    <n v="22477"/>
    <n v="4"/>
    <s v="Y"/>
    <x v="1"/>
    <n v="11"/>
    <n v="3"/>
    <n v="3"/>
    <n v="80"/>
    <n v="1"/>
    <n v="29"/>
    <n v="3"/>
    <n v="2"/>
    <n v="26"/>
    <n v="9"/>
    <n v="1"/>
    <n v="7"/>
    <x v="1"/>
    <n v="1"/>
    <x v="1"/>
    <x v="2"/>
    <s v="10+ Years"/>
    <s v="Medium"/>
    <s v="Good"/>
  </r>
  <r>
    <x v="26"/>
    <s v="No"/>
    <s v="Travel_Rarely"/>
    <n v="1469"/>
    <x v="1"/>
    <n v="20"/>
    <n v="4"/>
    <s v="Medical"/>
    <n v="1"/>
    <n v="945"/>
    <n v="4"/>
    <x v="1"/>
    <n v="51"/>
    <n v="3"/>
    <n v="1"/>
    <x v="1"/>
    <n v="3"/>
    <s v="Married"/>
    <n v="2259"/>
    <n v="5543"/>
    <n v="4"/>
    <s v="Y"/>
    <x v="1"/>
    <n v="17"/>
    <n v="3"/>
    <n v="1"/>
    <n v="80"/>
    <n v="2"/>
    <n v="13"/>
    <n v="2"/>
    <n v="2"/>
    <n v="0"/>
    <n v="0"/>
    <n v="0"/>
    <n v="0"/>
    <x v="1"/>
    <n v="1"/>
    <x v="1"/>
    <x v="1"/>
    <s v="0-1 Years"/>
    <s v="High"/>
    <s v="Good"/>
  </r>
  <r>
    <x v="12"/>
    <s v="No"/>
    <s v="Non-Travel"/>
    <n v="1188"/>
    <x v="0"/>
    <n v="20"/>
    <n v="2"/>
    <s v="Marketing"/>
    <n v="1"/>
    <n v="947"/>
    <n v="4"/>
    <x v="0"/>
    <n v="45"/>
    <n v="3"/>
    <n v="2"/>
    <x v="0"/>
    <n v="3"/>
    <s v="Married"/>
    <n v="6932"/>
    <n v="24406"/>
    <n v="1"/>
    <s v="Y"/>
    <x v="1"/>
    <n v="13"/>
    <n v="3"/>
    <n v="4"/>
    <n v="80"/>
    <n v="1"/>
    <n v="9"/>
    <n v="2"/>
    <n v="2"/>
    <n v="9"/>
    <n v="8"/>
    <n v="0"/>
    <n v="0"/>
    <x v="1"/>
    <n v="1"/>
    <x v="2"/>
    <x v="0"/>
    <s v="6-10 Years"/>
    <s v="High"/>
    <s v="Good"/>
  </r>
  <r>
    <x v="9"/>
    <s v="No"/>
    <s v="Travel_Rarely"/>
    <n v="188"/>
    <x v="1"/>
    <n v="7"/>
    <n v="4"/>
    <s v="Other"/>
    <n v="1"/>
    <n v="949"/>
    <n v="2"/>
    <x v="1"/>
    <n v="65"/>
    <n v="3"/>
    <n v="1"/>
    <x v="1"/>
    <n v="4"/>
    <s v="Single"/>
    <n v="4678"/>
    <n v="23293"/>
    <n v="2"/>
    <s v="Y"/>
    <x v="1"/>
    <n v="18"/>
    <n v="3"/>
    <n v="3"/>
    <n v="80"/>
    <n v="0"/>
    <n v="8"/>
    <n v="6"/>
    <n v="3"/>
    <n v="6"/>
    <n v="2"/>
    <n v="0"/>
    <n v="1"/>
    <x v="1"/>
    <n v="1"/>
    <x v="0"/>
    <x v="0"/>
    <s v="6-10 Years"/>
    <s v="Very High"/>
    <s v="Better"/>
  </r>
  <r>
    <x v="8"/>
    <s v="No"/>
    <s v="Travel_Rarely"/>
    <n v="1333"/>
    <x v="1"/>
    <n v="1"/>
    <n v="3"/>
    <s v="Technical Degree"/>
    <n v="1"/>
    <n v="950"/>
    <n v="4"/>
    <x v="0"/>
    <n v="80"/>
    <n v="3"/>
    <n v="3"/>
    <x v="7"/>
    <n v="1"/>
    <s v="Married"/>
    <n v="13582"/>
    <n v="16292"/>
    <n v="1"/>
    <s v="Y"/>
    <x v="1"/>
    <n v="13"/>
    <n v="3"/>
    <n v="2"/>
    <n v="80"/>
    <n v="1"/>
    <n v="15"/>
    <n v="3"/>
    <n v="3"/>
    <n v="15"/>
    <n v="12"/>
    <n v="5"/>
    <n v="11"/>
    <x v="1"/>
    <n v="1"/>
    <x v="0"/>
    <x v="2"/>
    <s v="10+ Years"/>
    <s v="Low"/>
    <s v="Better"/>
  </r>
  <r>
    <x v="5"/>
    <s v="No"/>
    <s v="Non-Travel"/>
    <n v="1184"/>
    <x v="1"/>
    <n v="1"/>
    <n v="3"/>
    <s v="Life Sciences"/>
    <n v="1"/>
    <n v="951"/>
    <n v="3"/>
    <x v="0"/>
    <n v="70"/>
    <n v="2"/>
    <n v="1"/>
    <x v="2"/>
    <n v="2"/>
    <s v="Married"/>
    <n v="2332"/>
    <n v="3974"/>
    <n v="6"/>
    <s v="Y"/>
    <x v="1"/>
    <n v="20"/>
    <n v="4"/>
    <n v="3"/>
    <n v="80"/>
    <n v="0"/>
    <n v="5"/>
    <n v="3"/>
    <n v="3"/>
    <n v="3"/>
    <n v="0"/>
    <n v="0"/>
    <n v="2"/>
    <x v="1"/>
    <n v="1"/>
    <x v="2"/>
    <x v="1"/>
    <s v="2-5 Years"/>
    <s v="Medium"/>
    <s v="Better"/>
  </r>
  <r>
    <x v="36"/>
    <s v="Yes"/>
    <s v="Travel_Rarely"/>
    <n v="867"/>
    <x v="0"/>
    <n v="19"/>
    <n v="2"/>
    <s v="Marketing"/>
    <n v="1"/>
    <n v="952"/>
    <n v="3"/>
    <x v="1"/>
    <n v="36"/>
    <n v="2"/>
    <n v="1"/>
    <x v="6"/>
    <n v="2"/>
    <s v="Married"/>
    <n v="2413"/>
    <n v="18798"/>
    <n v="1"/>
    <s v="Y"/>
    <x v="0"/>
    <n v="18"/>
    <n v="3"/>
    <n v="3"/>
    <n v="80"/>
    <n v="3"/>
    <n v="1"/>
    <n v="2"/>
    <n v="3"/>
    <n v="1"/>
    <n v="0"/>
    <n v="0"/>
    <n v="0"/>
    <x v="0"/>
    <n v="0"/>
    <x v="2"/>
    <x v="1"/>
    <s v="0-1 Years"/>
    <s v="Medium"/>
    <s v="Better"/>
  </r>
  <r>
    <x v="32"/>
    <s v="No"/>
    <s v="Travel_Rarely"/>
    <n v="658"/>
    <x v="0"/>
    <n v="10"/>
    <n v="4"/>
    <s v="Marketing"/>
    <n v="1"/>
    <n v="954"/>
    <n v="1"/>
    <x v="1"/>
    <n v="67"/>
    <n v="2"/>
    <n v="3"/>
    <x v="0"/>
    <n v="2"/>
    <s v="Divorced"/>
    <n v="9705"/>
    <n v="20652"/>
    <n v="2"/>
    <s v="Y"/>
    <x v="1"/>
    <n v="12"/>
    <n v="3"/>
    <n v="2"/>
    <n v="80"/>
    <n v="1"/>
    <n v="11"/>
    <n v="2"/>
    <n v="2"/>
    <n v="1"/>
    <n v="0"/>
    <n v="0"/>
    <n v="0"/>
    <x v="1"/>
    <n v="1"/>
    <x v="0"/>
    <x v="2"/>
    <s v="0-1 Years"/>
    <s v="Medium"/>
    <s v="Good"/>
  </r>
  <r>
    <x v="25"/>
    <s v="No"/>
    <s v="Travel_Frequently"/>
    <n v="1283"/>
    <x v="0"/>
    <n v="1"/>
    <n v="3"/>
    <s v="Medical"/>
    <n v="1"/>
    <n v="956"/>
    <n v="3"/>
    <x v="1"/>
    <n v="52"/>
    <n v="2"/>
    <n v="2"/>
    <x v="0"/>
    <n v="1"/>
    <s v="Single"/>
    <n v="4294"/>
    <n v="11148"/>
    <n v="1"/>
    <s v="Y"/>
    <x v="1"/>
    <n v="12"/>
    <n v="3"/>
    <n v="2"/>
    <n v="80"/>
    <n v="0"/>
    <n v="7"/>
    <n v="2"/>
    <n v="3"/>
    <n v="7"/>
    <n v="7"/>
    <n v="0"/>
    <n v="7"/>
    <x v="1"/>
    <n v="1"/>
    <x v="2"/>
    <x v="0"/>
    <s v="6-10 Years"/>
    <s v="Low"/>
    <s v="Better"/>
  </r>
  <r>
    <x v="0"/>
    <s v="No"/>
    <s v="Travel_Rarely"/>
    <n v="263"/>
    <x v="1"/>
    <n v="6"/>
    <n v="3"/>
    <s v="Medical"/>
    <n v="1"/>
    <n v="957"/>
    <n v="4"/>
    <x v="1"/>
    <n v="59"/>
    <n v="3"/>
    <n v="1"/>
    <x v="2"/>
    <n v="1"/>
    <s v="Single"/>
    <n v="4721"/>
    <n v="3119"/>
    <n v="2"/>
    <s v="Y"/>
    <x v="0"/>
    <n v="13"/>
    <n v="3"/>
    <n v="3"/>
    <n v="80"/>
    <n v="0"/>
    <n v="20"/>
    <n v="3"/>
    <n v="3"/>
    <n v="18"/>
    <n v="13"/>
    <n v="2"/>
    <n v="17"/>
    <x v="1"/>
    <n v="1"/>
    <x v="0"/>
    <x v="0"/>
    <s v="10+ Years"/>
    <s v="Low"/>
    <s v="Better"/>
  </r>
  <r>
    <x v="9"/>
    <s v="No"/>
    <s v="Travel_Rarely"/>
    <n v="938"/>
    <x v="1"/>
    <n v="2"/>
    <n v="4"/>
    <s v="Medical"/>
    <n v="1"/>
    <n v="958"/>
    <n v="3"/>
    <x v="1"/>
    <n v="79"/>
    <n v="3"/>
    <n v="1"/>
    <x v="2"/>
    <n v="3"/>
    <s v="Single"/>
    <n v="2519"/>
    <n v="12287"/>
    <n v="4"/>
    <s v="Y"/>
    <x v="1"/>
    <n v="21"/>
    <n v="4"/>
    <n v="3"/>
    <n v="80"/>
    <n v="0"/>
    <n v="16"/>
    <n v="6"/>
    <n v="3"/>
    <n v="11"/>
    <n v="8"/>
    <n v="3"/>
    <n v="9"/>
    <x v="1"/>
    <n v="1"/>
    <x v="0"/>
    <x v="1"/>
    <s v="10+ Years"/>
    <s v="High"/>
    <s v="Better"/>
  </r>
  <r>
    <x v="37"/>
    <s v="Yes"/>
    <s v="Travel_Rarely"/>
    <n v="419"/>
    <x v="0"/>
    <n v="21"/>
    <n v="3"/>
    <s v="Other"/>
    <n v="1"/>
    <n v="959"/>
    <n v="4"/>
    <x v="1"/>
    <n v="37"/>
    <n v="2"/>
    <n v="1"/>
    <x v="6"/>
    <n v="2"/>
    <s v="Single"/>
    <n v="2121"/>
    <n v="9947"/>
    <n v="1"/>
    <s v="Y"/>
    <x v="0"/>
    <n v="13"/>
    <n v="3"/>
    <n v="2"/>
    <n v="80"/>
    <n v="0"/>
    <n v="1"/>
    <n v="3"/>
    <n v="4"/>
    <n v="1"/>
    <n v="0"/>
    <n v="0"/>
    <n v="0"/>
    <x v="0"/>
    <n v="0"/>
    <x v="4"/>
    <x v="1"/>
    <s v="0-1 Years"/>
    <s v="Medium"/>
    <s v="Best"/>
  </r>
  <r>
    <x v="35"/>
    <s v="Yes"/>
    <s v="Travel_Rarely"/>
    <n v="129"/>
    <x v="1"/>
    <n v="4"/>
    <n v="3"/>
    <s v="Technical Degree"/>
    <n v="1"/>
    <n v="960"/>
    <n v="1"/>
    <x v="1"/>
    <n v="84"/>
    <n v="3"/>
    <n v="1"/>
    <x v="2"/>
    <n v="1"/>
    <s v="Single"/>
    <n v="2973"/>
    <n v="13008"/>
    <n v="1"/>
    <s v="Y"/>
    <x v="1"/>
    <n v="19"/>
    <n v="3"/>
    <n v="2"/>
    <n v="80"/>
    <n v="0"/>
    <n v="1"/>
    <n v="2"/>
    <n v="3"/>
    <n v="1"/>
    <n v="0"/>
    <n v="0"/>
    <n v="0"/>
    <x v="0"/>
    <n v="0"/>
    <x v="4"/>
    <x v="1"/>
    <s v="0-1 Years"/>
    <s v="Low"/>
    <s v="Better"/>
  </r>
  <r>
    <x v="12"/>
    <s v="No"/>
    <s v="Travel_Rarely"/>
    <n v="616"/>
    <x v="1"/>
    <n v="12"/>
    <n v="3"/>
    <s v="Medical"/>
    <n v="1"/>
    <n v="961"/>
    <n v="4"/>
    <x v="0"/>
    <n v="41"/>
    <n v="3"/>
    <n v="2"/>
    <x v="4"/>
    <n v="4"/>
    <s v="Married"/>
    <n v="5855"/>
    <n v="17369"/>
    <n v="0"/>
    <s v="Y"/>
    <x v="0"/>
    <n v="11"/>
    <n v="3"/>
    <n v="3"/>
    <n v="80"/>
    <n v="2"/>
    <n v="10"/>
    <n v="2"/>
    <n v="1"/>
    <n v="9"/>
    <n v="7"/>
    <n v="8"/>
    <n v="5"/>
    <x v="1"/>
    <n v="1"/>
    <x v="2"/>
    <x v="0"/>
    <s v="6-10 Years"/>
    <s v="Very High"/>
    <s v="Bad"/>
  </r>
  <r>
    <x v="32"/>
    <s v="No"/>
    <s v="Travel_Frequently"/>
    <n v="1469"/>
    <x v="1"/>
    <n v="9"/>
    <n v="4"/>
    <s v="Medical"/>
    <n v="1"/>
    <n v="964"/>
    <n v="4"/>
    <x v="1"/>
    <n v="35"/>
    <n v="3"/>
    <n v="1"/>
    <x v="1"/>
    <n v="2"/>
    <s v="Divorced"/>
    <n v="3617"/>
    <n v="25063"/>
    <n v="8"/>
    <s v="Y"/>
    <x v="0"/>
    <n v="14"/>
    <n v="3"/>
    <n v="4"/>
    <n v="80"/>
    <n v="1"/>
    <n v="3"/>
    <n v="2"/>
    <n v="3"/>
    <n v="1"/>
    <n v="1"/>
    <n v="0"/>
    <n v="0"/>
    <x v="1"/>
    <n v="1"/>
    <x v="0"/>
    <x v="0"/>
    <s v="0-1 Years"/>
    <s v="Medium"/>
    <s v="Better"/>
  </r>
  <r>
    <x v="5"/>
    <s v="No"/>
    <s v="Travel_Rarely"/>
    <n v="498"/>
    <x v="1"/>
    <n v="3"/>
    <n v="4"/>
    <s v="Medical"/>
    <n v="1"/>
    <n v="966"/>
    <n v="3"/>
    <x v="0"/>
    <n v="93"/>
    <n v="3"/>
    <n v="2"/>
    <x v="3"/>
    <n v="1"/>
    <s v="Married"/>
    <n v="6725"/>
    <n v="13554"/>
    <n v="1"/>
    <s v="Y"/>
    <x v="1"/>
    <n v="12"/>
    <n v="3"/>
    <n v="3"/>
    <n v="80"/>
    <n v="1"/>
    <n v="8"/>
    <n v="2"/>
    <n v="4"/>
    <n v="8"/>
    <n v="7"/>
    <n v="6"/>
    <n v="3"/>
    <x v="1"/>
    <n v="1"/>
    <x v="2"/>
    <x v="0"/>
    <s v="6-10 Years"/>
    <s v="Low"/>
    <s v="Best"/>
  </r>
  <r>
    <x v="9"/>
    <s v="Yes"/>
    <s v="Travel_Rarely"/>
    <n v="530"/>
    <x v="0"/>
    <n v="3"/>
    <n v="1"/>
    <s v="Life Sciences"/>
    <n v="1"/>
    <n v="967"/>
    <n v="3"/>
    <x v="1"/>
    <n v="51"/>
    <n v="2"/>
    <n v="3"/>
    <x v="0"/>
    <n v="4"/>
    <s v="Married"/>
    <n v="10325"/>
    <n v="5518"/>
    <n v="1"/>
    <s v="Y"/>
    <x v="0"/>
    <n v="11"/>
    <n v="3"/>
    <n v="1"/>
    <n v="80"/>
    <n v="1"/>
    <n v="16"/>
    <n v="6"/>
    <n v="3"/>
    <n v="16"/>
    <n v="7"/>
    <n v="3"/>
    <n v="7"/>
    <x v="0"/>
    <n v="0"/>
    <x v="0"/>
    <x v="2"/>
    <s v="10+ Years"/>
    <s v="Very High"/>
    <s v="Better"/>
  </r>
  <r>
    <x v="3"/>
    <s v="No"/>
    <s v="Travel_Rarely"/>
    <n v="1069"/>
    <x v="1"/>
    <n v="1"/>
    <n v="3"/>
    <s v="Life Sciences"/>
    <n v="1"/>
    <n v="969"/>
    <n v="2"/>
    <x v="0"/>
    <n v="42"/>
    <n v="2"/>
    <n v="2"/>
    <x v="4"/>
    <n v="4"/>
    <s v="Single"/>
    <n v="6949"/>
    <n v="12291"/>
    <n v="0"/>
    <s v="Y"/>
    <x v="1"/>
    <n v="14"/>
    <n v="3"/>
    <n v="1"/>
    <n v="80"/>
    <n v="0"/>
    <n v="6"/>
    <n v="3"/>
    <n v="3"/>
    <n v="5"/>
    <n v="0"/>
    <n v="1"/>
    <n v="4"/>
    <x v="1"/>
    <n v="1"/>
    <x v="2"/>
    <x v="0"/>
    <s v="2-5 Years"/>
    <s v="Very High"/>
    <s v="Better"/>
  </r>
  <r>
    <x v="2"/>
    <s v="Yes"/>
    <s v="Travel_Rarely"/>
    <n v="625"/>
    <x v="0"/>
    <n v="1"/>
    <n v="4"/>
    <s v="Life Sciences"/>
    <n v="1"/>
    <n v="970"/>
    <n v="1"/>
    <x v="1"/>
    <n v="46"/>
    <n v="2"/>
    <n v="3"/>
    <x v="0"/>
    <n v="3"/>
    <s v="Married"/>
    <n v="10609"/>
    <n v="14922"/>
    <n v="5"/>
    <s v="Y"/>
    <x v="1"/>
    <n v="11"/>
    <n v="3"/>
    <n v="3"/>
    <n v="80"/>
    <n v="0"/>
    <n v="17"/>
    <n v="2"/>
    <n v="1"/>
    <n v="14"/>
    <n v="1"/>
    <n v="11"/>
    <n v="7"/>
    <x v="0"/>
    <n v="0"/>
    <x v="0"/>
    <x v="2"/>
    <s v="10+ Years"/>
    <s v="High"/>
    <s v="Bad"/>
  </r>
  <r>
    <x v="28"/>
    <s v="No"/>
    <s v="Non-Travel"/>
    <n v="805"/>
    <x v="1"/>
    <n v="4"/>
    <n v="2"/>
    <s v="Life Sciences"/>
    <n v="1"/>
    <n v="972"/>
    <n v="3"/>
    <x v="1"/>
    <n v="57"/>
    <n v="3"/>
    <n v="2"/>
    <x v="2"/>
    <n v="2"/>
    <s v="Married"/>
    <n v="4447"/>
    <n v="23163"/>
    <n v="1"/>
    <s v="Y"/>
    <x v="1"/>
    <n v="12"/>
    <n v="3"/>
    <n v="2"/>
    <n v="80"/>
    <n v="0"/>
    <n v="9"/>
    <n v="5"/>
    <n v="2"/>
    <n v="9"/>
    <n v="7"/>
    <n v="0"/>
    <n v="8"/>
    <x v="1"/>
    <n v="1"/>
    <x v="1"/>
    <x v="0"/>
    <s v="6-10 Years"/>
    <s v="Medium"/>
    <s v="Good"/>
  </r>
  <r>
    <x v="11"/>
    <s v="No"/>
    <s v="Travel_Frequently"/>
    <n v="1404"/>
    <x v="0"/>
    <n v="20"/>
    <n v="3"/>
    <s v="Technical Degree"/>
    <n v="1"/>
    <n v="974"/>
    <n v="3"/>
    <x v="0"/>
    <n v="84"/>
    <n v="3"/>
    <n v="1"/>
    <x v="6"/>
    <n v="4"/>
    <s v="Married"/>
    <n v="2157"/>
    <n v="18203"/>
    <n v="1"/>
    <s v="Y"/>
    <x v="1"/>
    <n v="15"/>
    <n v="3"/>
    <n v="2"/>
    <n v="80"/>
    <n v="1"/>
    <n v="3"/>
    <n v="5"/>
    <n v="3"/>
    <n v="3"/>
    <n v="1"/>
    <n v="0"/>
    <n v="2"/>
    <x v="1"/>
    <n v="1"/>
    <x v="2"/>
    <x v="1"/>
    <s v="2-5 Years"/>
    <s v="Very High"/>
    <s v="Better"/>
  </r>
  <r>
    <x v="10"/>
    <s v="No"/>
    <s v="Travel_Rarely"/>
    <n v="1219"/>
    <x v="0"/>
    <n v="18"/>
    <n v="3"/>
    <s v="Medical"/>
    <n v="1"/>
    <n v="975"/>
    <n v="3"/>
    <x v="0"/>
    <n v="86"/>
    <n v="3"/>
    <n v="2"/>
    <x v="0"/>
    <n v="3"/>
    <s v="Married"/>
    <n v="4601"/>
    <n v="6179"/>
    <n v="1"/>
    <s v="Y"/>
    <x v="1"/>
    <n v="16"/>
    <n v="3"/>
    <n v="2"/>
    <n v="80"/>
    <n v="0"/>
    <n v="5"/>
    <n v="3"/>
    <n v="3"/>
    <n v="5"/>
    <n v="2"/>
    <n v="1"/>
    <n v="0"/>
    <x v="1"/>
    <n v="1"/>
    <x v="0"/>
    <x v="0"/>
    <s v="2-5 Years"/>
    <s v="High"/>
    <s v="Better"/>
  </r>
  <r>
    <x v="39"/>
    <s v="No"/>
    <s v="Travel_Rarely"/>
    <n v="1053"/>
    <x v="1"/>
    <n v="1"/>
    <n v="2"/>
    <s v="Life Sciences"/>
    <n v="1"/>
    <n v="976"/>
    <n v="4"/>
    <x v="1"/>
    <n v="70"/>
    <n v="3"/>
    <n v="4"/>
    <x v="5"/>
    <n v="4"/>
    <s v="Married"/>
    <n v="17099"/>
    <n v="13829"/>
    <n v="2"/>
    <s v="Y"/>
    <x v="1"/>
    <n v="15"/>
    <n v="3"/>
    <n v="2"/>
    <n v="80"/>
    <n v="1"/>
    <n v="26"/>
    <n v="2"/>
    <n v="2"/>
    <n v="9"/>
    <n v="8"/>
    <n v="7"/>
    <n v="8"/>
    <x v="1"/>
    <n v="1"/>
    <x v="1"/>
    <x v="2"/>
    <s v="6-10 Years"/>
    <s v="Very High"/>
    <s v="Good"/>
  </r>
  <r>
    <x v="34"/>
    <s v="Yes"/>
    <s v="Travel_Rarely"/>
    <n v="289"/>
    <x v="1"/>
    <n v="2"/>
    <n v="3"/>
    <s v="Technical Degree"/>
    <n v="1"/>
    <n v="977"/>
    <n v="4"/>
    <x v="1"/>
    <n v="51"/>
    <n v="3"/>
    <n v="1"/>
    <x v="1"/>
    <n v="3"/>
    <s v="Single"/>
    <n v="2479"/>
    <n v="26227"/>
    <n v="4"/>
    <s v="Y"/>
    <x v="1"/>
    <n v="24"/>
    <n v="4"/>
    <n v="1"/>
    <n v="80"/>
    <n v="0"/>
    <n v="7"/>
    <n v="4"/>
    <n v="3"/>
    <n v="1"/>
    <n v="0"/>
    <n v="0"/>
    <n v="0"/>
    <x v="0"/>
    <n v="0"/>
    <x v="3"/>
    <x v="1"/>
    <s v="0-1 Years"/>
    <s v="High"/>
    <s v="Better"/>
  </r>
  <r>
    <x v="16"/>
    <s v="No"/>
    <s v="Travel_Rarely"/>
    <n v="1376"/>
    <x v="0"/>
    <n v="2"/>
    <n v="2"/>
    <s v="Medical"/>
    <n v="1"/>
    <n v="981"/>
    <n v="3"/>
    <x v="1"/>
    <n v="45"/>
    <n v="3"/>
    <n v="4"/>
    <x v="5"/>
    <n v="3"/>
    <s v="Divorced"/>
    <n v="14852"/>
    <n v="13938"/>
    <n v="6"/>
    <s v="Y"/>
    <x v="1"/>
    <n v="13"/>
    <n v="3"/>
    <n v="3"/>
    <n v="80"/>
    <n v="1"/>
    <n v="22"/>
    <n v="3"/>
    <n v="4"/>
    <n v="17"/>
    <n v="13"/>
    <n v="15"/>
    <n v="2"/>
    <x v="1"/>
    <n v="1"/>
    <x v="1"/>
    <x v="2"/>
    <s v="10+ Years"/>
    <s v="High"/>
    <s v="Best"/>
  </r>
  <r>
    <x v="7"/>
    <s v="No"/>
    <s v="Travel_Rarely"/>
    <n v="231"/>
    <x v="0"/>
    <n v="8"/>
    <n v="2"/>
    <s v="Other"/>
    <n v="1"/>
    <n v="982"/>
    <n v="3"/>
    <x v="1"/>
    <n v="62"/>
    <n v="3"/>
    <n v="3"/>
    <x v="0"/>
    <n v="3"/>
    <s v="Divorced"/>
    <n v="7264"/>
    <n v="9977"/>
    <n v="5"/>
    <s v="Y"/>
    <x v="1"/>
    <n v="11"/>
    <n v="3"/>
    <n v="1"/>
    <n v="80"/>
    <n v="1"/>
    <n v="10"/>
    <n v="2"/>
    <n v="4"/>
    <n v="8"/>
    <n v="4"/>
    <n v="7"/>
    <n v="7"/>
    <x v="1"/>
    <n v="1"/>
    <x v="2"/>
    <x v="2"/>
    <s v="6-10 Years"/>
    <s v="High"/>
    <s v="Best"/>
  </r>
  <r>
    <x v="8"/>
    <s v="No"/>
    <s v="Non-Travel"/>
    <n v="152"/>
    <x v="0"/>
    <n v="10"/>
    <n v="3"/>
    <s v="Technical Degree"/>
    <n v="1"/>
    <n v="983"/>
    <n v="3"/>
    <x v="0"/>
    <n v="85"/>
    <n v="3"/>
    <n v="2"/>
    <x v="0"/>
    <n v="4"/>
    <s v="Single"/>
    <n v="5666"/>
    <n v="19899"/>
    <n v="1"/>
    <s v="Y"/>
    <x v="0"/>
    <n v="13"/>
    <n v="3"/>
    <n v="2"/>
    <n v="80"/>
    <n v="0"/>
    <n v="6"/>
    <n v="1"/>
    <n v="3"/>
    <n v="5"/>
    <n v="3"/>
    <n v="1"/>
    <n v="3"/>
    <x v="1"/>
    <n v="1"/>
    <x v="0"/>
    <x v="0"/>
    <s v="2-5 Years"/>
    <s v="Very High"/>
    <s v="Better"/>
  </r>
  <r>
    <x v="10"/>
    <s v="No"/>
    <s v="Travel_Rarely"/>
    <n v="882"/>
    <x v="0"/>
    <n v="3"/>
    <n v="4"/>
    <s v="Life Sciences"/>
    <n v="1"/>
    <n v="984"/>
    <n v="4"/>
    <x v="1"/>
    <n v="92"/>
    <n v="3"/>
    <n v="3"/>
    <x v="0"/>
    <n v="4"/>
    <s v="Divorced"/>
    <n v="7823"/>
    <n v="6812"/>
    <n v="6"/>
    <s v="Y"/>
    <x v="1"/>
    <n v="13"/>
    <n v="3"/>
    <n v="2"/>
    <n v="80"/>
    <n v="1"/>
    <n v="12"/>
    <n v="2"/>
    <n v="3"/>
    <n v="10"/>
    <n v="9"/>
    <n v="0"/>
    <n v="8"/>
    <x v="1"/>
    <n v="1"/>
    <x v="0"/>
    <x v="2"/>
    <s v="6-10 Years"/>
    <s v="Very High"/>
    <s v="Better"/>
  </r>
  <r>
    <x v="22"/>
    <s v="No"/>
    <s v="Travel_Rarely"/>
    <n v="903"/>
    <x v="0"/>
    <n v="2"/>
    <n v="5"/>
    <s v="Life Sciences"/>
    <n v="1"/>
    <n v="985"/>
    <n v="1"/>
    <x v="1"/>
    <n v="41"/>
    <n v="4"/>
    <n v="3"/>
    <x v="0"/>
    <n v="3"/>
    <s v="Single"/>
    <n v="7880"/>
    <n v="2560"/>
    <n v="0"/>
    <s v="Y"/>
    <x v="1"/>
    <n v="18"/>
    <n v="3"/>
    <n v="4"/>
    <n v="80"/>
    <n v="0"/>
    <n v="9"/>
    <n v="3"/>
    <n v="3"/>
    <n v="8"/>
    <n v="7"/>
    <n v="0"/>
    <n v="7"/>
    <x v="1"/>
    <n v="1"/>
    <x v="0"/>
    <x v="2"/>
    <s v="6-10 Years"/>
    <s v="High"/>
    <s v="Better"/>
  </r>
  <r>
    <x v="32"/>
    <s v="Yes"/>
    <s v="Non-Travel"/>
    <n v="1479"/>
    <x v="0"/>
    <n v="24"/>
    <n v="3"/>
    <s v="Life Sciences"/>
    <n v="1"/>
    <n v="986"/>
    <n v="2"/>
    <x v="0"/>
    <n v="100"/>
    <n v="4"/>
    <n v="4"/>
    <x v="0"/>
    <n v="2"/>
    <s v="Single"/>
    <n v="13194"/>
    <n v="17071"/>
    <n v="4"/>
    <s v="Y"/>
    <x v="0"/>
    <n v="16"/>
    <n v="3"/>
    <n v="4"/>
    <n v="80"/>
    <n v="0"/>
    <n v="22"/>
    <n v="2"/>
    <n v="2"/>
    <n v="1"/>
    <n v="0"/>
    <n v="0"/>
    <n v="0"/>
    <x v="0"/>
    <n v="0"/>
    <x v="0"/>
    <x v="2"/>
    <s v="0-1 Years"/>
    <s v="Medium"/>
    <s v="Good"/>
  </r>
  <r>
    <x v="40"/>
    <s v="No"/>
    <s v="Travel_Frequently"/>
    <n v="1379"/>
    <x v="1"/>
    <n v="16"/>
    <n v="4"/>
    <s v="Medical"/>
    <n v="1"/>
    <n v="987"/>
    <n v="3"/>
    <x v="1"/>
    <n v="64"/>
    <n v="4"/>
    <n v="2"/>
    <x v="3"/>
    <n v="3"/>
    <s v="Divorced"/>
    <n v="5067"/>
    <n v="6759"/>
    <n v="1"/>
    <s v="Y"/>
    <x v="0"/>
    <n v="19"/>
    <n v="3"/>
    <n v="3"/>
    <n v="80"/>
    <n v="0"/>
    <n v="20"/>
    <n v="3"/>
    <n v="4"/>
    <n v="19"/>
    <n v="10"/>
    <n v="2"/>
    <n v="7"/>
    <x v="1"/>
    <n v="1"/>
    <x v="1"/>
    <x v="0"/>
    <s v="10+ Years"/>
    <s v="High"/>
    <s v="Best"/>
  </r>
  <r>
    <x v="9"/>
    <s v="No"/>
    <s v="Non-Travel"/>
    <n v="1229"/>
    <x v="0"/>
    <n v="8"/>
    <n v="4"/>
    <s v="Technical Degree"/>
    <n v="1"/>
    <n v="990"/>
    <n v="1"/>
    <x v="1"/>
    <n v="84"/>
    <n v="3"/>
    <n v="2"/>
    <x v="0"/>
    <n v="4"/>
    <s v="Divorced"/>
    <n v="5079"/>
    <n v="25952"/>
    <n v="4"/>
    <s v="Y"/>
    <x v="1"/>
    <n v="13"/>
    <n v="3"/>
    <n v="4"/>
    <n v="80"/>
    <n v="2"/>
    <n v="12"/>
    <n v="3"/>
    <n v="3"/>
    <n v="7"/>
    <n v="7"/>
    <n v="0"/>
    <n v="7"/>
    <x v="1"/>
    <n v="1"/>
    <x v="0"/>
    <x v="0"/>
    <s v="6-10 Years"/>
    <s v="Very High"/>
    <s v="Better"/>
  </r>
  <r>
    <x v="12"/>
    <s v="Yes"/>
    <s v="Non-Travel"/>
    <n v="335"/>
    <x v="1"/>
    <n v="9"/>
    <n v="2"/>
    <s v="Medical"/>
    <n v="1"/>
    <n v="991"/>
    <n v="3"/>
    <x v="1"/>
    <n v="46"/>
    <n v="2"/>
    <n v="1"/>
    <x v="1"/>
    <n v="1"/>
    <s v="Single"/>
    <n v="2321"/>
    <n v="10322"/>
    <n v="0"/>
    <s v="Y"/>
    <x v="0"/>
    <n v="22"/>
    <n v="4"/>
    <n v="1"/>
    <n v="80"/>
    <n v="0"/>
    <n v="4"/>
    <n v="0"/>
    <n v="3"/>
    <n v="3"/>
    <n v="2"/>
    <n v="1"/>
    <n v="2"/>
    <x v="0"/>
    <n v="0"/>
    <x v="2"/>
    <x v="1"/>
    <s v="2-5 Years"/>
    <s v="Low"/>
    <s v="Better"/>
  </r>
  <r>
    <x v="3"/>
    <s v="No"/>
    <s v="Non-Travel"/>
    <n v="722"/>
    <x v="0"/>
    <n v="17"/>
    <n v="3"/>
    <s v="Life Sciences"/>
    <n v="1"/>
    <n v="992"/>
    <n v="4"/>
    <x v="1"/>
    <n v="38"/>
    <n v="3"/>
    <n v="4"/>
    <x v="5"/>
    <n v="3"/>
    <s v="Single"/>
    <n v="17444"/>
    <n v="20489"/>
    <n v="1"/>
    <s v="Y"/>
    <x v="1"/>
    <n v="11"/>
    <n v="3"/>
    <n v="4"/>
    <n v="80"/>
    <n v="0"/>
    <n v="10"/>
    <n v="2"/>
    <n v="3"/>
    <n v="10"/>
    <n v="8"/>
    <n v="6"/>
    <n v="0"/>
    <x v="1"/>
    <n v="1"/>
    <x v="2"/>
    <x v="2"/>
    <s v="6-10 Years"/>
    <s v="High"/>
    <s v="Better"/>
  </r>
  <r>
    <x v="11"/>
    <s v="Yes"/>
    <s v="Travel_Rarely"/>
    <n v="906"/>
    <x v="1"/>
    <n v="10"/>
    <n v="3"/>
    <s v="Life Sciences"/>
    <n v="1"/>
    <n v="994"/>
    <n v="4"/>
    <x v="0"/>
    <n v="92"/>
    <n v="2"/>
    <n v="1"/>
    <x v="1"/>
    <n v="1"/>
    <s v="Single"/>
    <n v="2404"/>
    <n v="11479"/>
    <n v="6"/>
    <s v="Y"/>
    <x v="0"/>
    <n v="20"/>
    <n v="4"/>
    <n v="3"/>
    <n v="80"/>
    <n v="0"/>
    <n v="3"/>
    <n v="5"/>
    <n v="3"/>
    <n v="0"/>
    <n v="0"/>
    <n v="0"/>
    <n v="0"/>
    <x v="0"/>
    <n v="0"/>
    <x v="2"/>
    <x v="1"/>
    <s v="0-1 Years"/>
    <s v="Low"/>
    <s v="Better"/>
  </r>
  <r>
    <x v="3"/>
    <s v="No"/>
    <s v="Travel_Rarely"/>
    <n v="461"/>
    <x v="1"/>
    <n v="13"/>
    <n v="1"/>
    <s v="Life Sciences"/>
    <n v="1"/>
    <n v="995"/>
    <n v="2"/>
    <x v="0"/>
    <n v="53"/>
    <n v="3"/>
    <n v="1"/>
    <x v="1"/>
    <n v="4"/>
    <s v="Single"/>
    <n v="3452"/>
    <n v="17241"/>
    <n v="3"/>
    <s v="Y"/>
    <x v="1"/>
    <n v="18"/>
    <n v="3"/>
    <n v="1"/>
    <n v="80"/>
    <n v="0"/>
    <n v="5"/>
    <n v="4"/>
    <n v="3"/>
    <n v="3"/>
    <n v="2"/>
    <n v="0"/>
    <n v="2"/>
    <x v="1"/>
    <n v="1"/>
    <x v="2"/>
    <x v="0"/>
    <s v="2-5 Years"/>
    <s v="Very High"/>
    <s v="Better"/>
  </r>
  <r>
    <x v="28"/>
    <s v="No"/>
    <s v="Travel_Rarely"/>
    <n v="974"/>
    <x v="1"/>
    <n v="1"/>
    <n v="4"/>
    <s v="Medical"/>
    <n v="1"/>
    <n v="996"/>
    <n v="4"/>
    <x v="0"/>
    <n v="91"/>
    <n v="3"/>
    <n v="1"/>
    <x v="2"/>
    <n v="4"/>
    <s v="Divorced"/>
    <n v="2270"/>
    <n v="11005"/>
    <n v="3"/>
    <s v="Y"/>
    <x v="1"/>
    <n v="14"/>
    <n v="3"/>
    <n v="4"/>
    <n v="80"/>
    <n v="2"/>
    <n v="8"/>
    <n v="2"/>
    <n v="3"/>
    <n v="5"/>
    <n v="3"/>
    <n v="0"/>
    <n v="2"/>
    <x v="1"/>
    <n v="1"/>
    <x v="1"/>
    <x v="1"/>
    <s v="2-5 Years"/>
    <s v="Very High"/>
    <s v="Better"/>
  </r>
  <r>
    <x v="24"/>
    <s v="No"/>
    <s v="Travel_Rarely"/>
    <n v="1126"/>
    <x v="1"/>
    <n v="1"/>
    <n v="2"/>
    <s v="Medical"/>
    <n v="1"/>
    <n v="997"/>
    <n v="4"/>
    <x v="1"/>
    <n v="66"/>
    <n v="3"/>
    <n v="4"/>
    <x v="7"/>
    <n v="4"/>
    <s v="Divorced"/>
    <n v="17399"/>
    <n v="6615"/>
    <n v="9"/>
    <s v="Y"/>
    <x v="1"/>
    <n v="22"/>
    <n v="4"/>
    <n v="3"/>
    <n v="80"/>
    <n v="1"/>
    <n v="32"/>
    <n v="1"/>
    <n v="2"/>
    <n v="5"/>
    <n v="4"/>
    <n v="1"/>
    <n v="3"/>
    <x v="1"/>
    <n v="1"/>
    <x v="1"/>
    <x v="2"/>
    <s v="2-5 Years"/>
    <s v="Very High"/>
    <s v="Good"/>
  </r>
  <r>
    <x v="3"/>
    <s v="No"/>
    <s v="Travel_Frequently"/>
    <n v="827"/>
    <x v="1"/>
    <n v="1"/>
    <n v="4"/>
    <s v="Other"/>
    <n v="1"/>
    <n v="998"/>
    <n v="3"/>
    <x v="0"/>
    <n v="84"/>
    <n v="4"/>
    <n v="2"/>
    <x v="4"/>
    <n v="2"/>
    <s v="Married"/>
    <n v="5488"/>
    <n v="20161"/>
    <n v="1"/>
    <s v="Y"/>
    <x v="0"/>
    <n v="13"/>
    <n v="3"/>
    <n v="1"/>
    <n v="80"/>
    <n v="1"/>
    <n v="6"/>
    <n v="2"/>
    <n v="3"/>
    <n v="6"/>
    <n v="5"/>
    <n v="1"/>
    <n v="2"/>
    <x v="1"/>
    <n v="1"/>
    <x v="2"/>
    <x v="0"/>
    <s v="6-10 Years"/>
    <s v="Medium"/>
    <s v="Better"/>
  </r>
  <r>
    <x v="0"/>
    <s v="No"/>
    <s v="Travel_Frequently"/>
    <n v="840"/>
    <x v="1"/>
    <n v="9"/>
    <n v="3"/>
    <s v="Medical"/>
    <n v="1"/>
    <n v="999"/>
    <n v="1"/>
    <x v="1"/>
    <n v="64"/>
    <n v="3"/>
    <n v="5"/>
    <x v="7"/>
    <n v="3"/>
    <s v="Divorced"/>
    <n v="19419"/>
    <n v="3735"/>
    <n v="2"/>
    <s v="Y"/>
    <x v="1"/>
    <n v="17"/>
    <n v="3"/>
    <n v="2"/>
    <n v="80"/>
    <n v="1"/>
    <n v="21"/>
    <n v="2"/>
    <n v="4"/>
    <n v="18"/>
    <n v="16"/>
    <n v="0"/>
    <n v="11"/>
    <x v="1"/>
    <n v="1"/>
    <x v="0"/>
    <x v="2"/>
    <s v="10+ Years"/>
    <s v="High"/>
    <s v="Best"/>
  </r>
  <r>
    <x v="4"/>
    <s v="No"/>
    <s v="Travel_Rarely"/>
    <n v="1134"/>
    <x v="1"/>
    <n v="16"/>
    <n v="4"/>
    <s v="Technical Degree"/>
    <n v="1"/>
    <n v="1001"/>
    <n v="3"/>
    <x v="0"/>
    <n v="37"/>
    <n v="3"/>
    <n v="1"/>
    <x v="2"/>
    <n v="2"/>
    <s v="Married"/>
    <n v="2811"/>
    <n v="12086"/>
    <n v="9"/>
    <s v="Y"/>
    <x v="1"/>
    <n v="14"/>
    <n v="3"/>
    <n v="2"/>
    <n v="80"/>
    <n v="1"/>
    <n v="4"/>
    <n v="2"/>
    <n v="3"/>
    <n v="2"/>
    <n v="2"/>
    <n v="2"/>
    <n v="2"/>
    <x v="1"/>
    <n v="1"/>
    <x v="2"/>
    <x v="1"/>
    <s v="2-5 Years"/>
    <s v="Medium"/>
    <s v="Better"/>
  </r>
  <r>
    <x v="28"/>
    <s v="No"/>
    <s v="Non-Travel"/>
    <n v="248"/>
    <x v="1"/>
    <n v="23"/>
    <n v="2"/>
    <s v="Life Sciences"/>
    <n v="1"/>
    <n v="1002"/>
    <n v="4"/>
    <x v="1"/>
    <n v="42"/>
    <n v="3"/>
    <n v="2"/>
    <x v="2"/>
    <n v="1"/>
    <s v="Married"/>
    <n v="3633"/>
    <n v="14039"/>
    <n v="1"/>
    <s v="Y"/>
    <x v="0"/>
    <n v="15"/>
    <n v="3"/>
    <n v="3"/>
    <n v="80"/>
    <n v="1"/>
    <n v="9"/>
    <n v="2"/>
    <n v="3"/>
    <n v="9"/>
    <n v="8"/>
    <n v="0"/>
    <n v="8"/>
    <x v="1"/>
    <n v="1"/>
    <x v="1"/>
    <x v="0"/>
    <s v="6-10 Years"/>
    <s v="Low"/>
    <s v="Better"/>
  </r>
  <r>
    <x v="40"/>
    <s v="No"/>
    <s v="Travel_Rarely"/>
    <n v="955"/>
    <x v="0"/>
    <n v="4"/>
    <n v="2"/>
    <s v="Life Sciences"/>
    <n v="1"/>
    <n v="1003"/>
    <n v="4"/>
    <x v="0"/>
    <n v="83"/>
    <n v="3"/>
    <n v="2"/>
    <x v="0"/>
    <n v="4"/>
    <s v="Single"/>
    <n v="4163"/>
    <n v="8571"/>
    <n v="1"/>
    <s v="Y"/>
    <x v="0"/>
    <n v="17"/>
    <n v="3"/>
    <n v="3"/>
    <n v="80"/>
    <n v="0"/>
    <n v="9"/>
    <n v="0"/>
    <n v="3"/>
    <n v="9"/>
    <n v="0"/>
    <n v="0"/>
    <n v="7"/>
    <x v="1"/>
    <n v="1"/>
    <x v="1"/>
    <x v="0"/>
    <s v="6-10 Years"/>
    <s v="Very High"/>
    <s v="Better"/>
  </r>
  <r>
    <x v="7"/>
    <s v="Yes"/>
    <s v="Travel_Rarely"/>
    <n v="138"/>
    <x v="1"/>
    <n v="22"/>
    <n v="3"/>
    <s v="Life Sciences"/>
    <n v="1"/>
    <n v="1004"/>
    <n v="1"/>
    <x v="0"/>
    <n v="48"/>
    <n v="3"/>
    <n v="1"/>
    <x v="1"/>
    <n v="3"/>
    <s v="Married"/>
    <n v="2132"/>
    <n v="11539"/>
    <n v="4"/>
    <s v="Y"/>
    <x v="0"/>
    <n v="11"/>
    <n v="3"/>
    <n v="2"/>
    <n v="80"/>
    <n v="0"/>
    <n v="7"/>
    <n v="2"/>
    <n v="3"/>
    <n v="5"/>
    <n v="2"/>
    <n v="0"/>
    <n v="1"/>
    <x v="0"/>
    <n v="0"/>
    <x v="2"/>
    <x v="1"/>
    <s v="2-5 Years"/>
    <s v="High"/>
    <s v="Better"/>
  </r>
  <r>
    <x v="24"/>
    <s v="No"/>
    <s v="Travel_Rarely"/>
    <n v="939"/>
    <x v="1"/>
    <n v="24"/>
    <n v="3"/>
    <s v="Life Sciences"/>
    <n v="1"/>
    <n v="1005"/>
    <n v="4"/>
    <x v="1"/>
    <n v="95"/>
    <n v="3"/>
    <n v="4"/>
    <x v="3"/>
    <n v="3"/>
    <s v="Married"/>
    <n v="13973"/>
    <n v="4161"/>
    <n v="3"/>
    <s v="Y"/>
    <x v="0"/>
    <n v="18"/>
    <n v="3"/>
    <n v="4"/>
    <n v="80"/>
    <n v="1"/>
    <n v="22"/>
    <n v="2"/>
    <n v="3"/>
    <n v="12"/>
    <n v="11"/>
    <n v="1"/>
    <n v="5"/>
    <x v="1"/>
    <n v="1"/>
    <x v="1"/>
    <x v="2"/>
    <s v="10+ Years"/>
    <s v="High"/>
    <s v="Better"/>
  </r>
  <r>
    <x v="8"/>
    <s v="No"/>
    <s v="Travel_Frequently"/>
    <n v="1391"/>
    <x v="1"/>
    <n v="10"/>
    <n v="1"/>
    <s v="Medical"/>
    <n v="1"/>
    <n v="1006"/>
    <n v="3"/>
    <x v="1"/>
    <n v="66"/>
    <n v="3"/>
    <n v="1"/>
    <x v="1"/>
    <n v="3"/>
    <s v="Married"/>
    <n v="2684"/>
    <n v="12127"/>
    <n v="0"/>
    <s v="Y"/>
    <x v="1"/>
    <n v="17"/>
    <n v="3"/>
    <n v="2"/>
    <n v="80"/>
    <n v="1"/>
    <n v="3"/>
    <n v="0"/>
    <n v="2"/>
    <n v="2"/>
    <n v="1"/>
    <n v="0"/>
    <n v="2"/>
    <x v="1"/>
    <n v="1"/>
    <x v="0"/>
    <x v="1"/>
    <s v="2-5 Years"/>
    <s v="High"/>
    <s v="Good"/>
  </r>
  <r>
    <x v="21"/>
    <s v="No"/>
    <s v="Travel_Rarely"/>
    <n v="566"/>
    <x v="1"/>
    <n v="7"/>
    <n v="2"/>
    <s v="Medical"/>
    <n v="1"/>
    <n v="1007"/>
    <n v="4"/>
    <x v="1"/>
    <n v="75"/>
    <n v="3"/>
    <n v="3"/>
    <x v="3"/>
    <n v="3"/>
    <s v="Divorced"/>
    <n v="10845"/>
    <n v="24208"/>
    <n v="6"/>
    <s v="Y"/>
    <x v="1"/>
    <n v="13"/>
    <n v="3"/>
    <n v="2"/>
    <n v="80"/>
    <n v="1"/>
    <n v="13"/>
    <n v="3"/>
    <n v="3"/>
    <n v="8"/>
    <n v="7"/>
    <n v="0"/>
    <n v="7"/>
    <x v="1"/>
    <n v="1"/>
    <x v="1"/>
    <x v="2"/>
    <s v="6-10 Years"/>
    <s v="High"/>
    <s v="Better"/>
  </r>
  <r>
    <x v="17"/>
    <s v="No"/>
    <s v="Travel_Rarely"/>
    <n v="1206"/>
    <x v="1"/>
    <n v="17"/>
    <n v="1"/>
    <s v="Medical"/>
    <n v="1"/>
    <n v="1009"/>
    <n v="4"/>
    <x v="0"/>
    <n v="41"/>
    <n v="2"/>
    <n v="2"/>
    <x v="3"/>
    <n v="3"/>
    <s v="Divorced"/>
    <n v="4377"/>
    <n v="24117"/>
    <n v="1"/>
    <s v="Y"/>
    <x v="1"/>
    <n v="15"/>
    <n v="3"/>
    <n v="2"/>
    <n v="80"/>
    <n v="2"/>
    <n v="5"/>
    <n v="6"/>
    <n v="3"/>
    <n v="4"/>
    <n v="2"/>
    <n v="3"/>
    <n v="2"/>
    <x v="1"/>
    <n v="1"/>
    <x v="4"/>
    <x v="0"/>
    <s v="2-5 Years"/>
    <s v="High"/>
    <s v="Better"/>
  </r>
  <r>
    <x v="10"/>
    <s v="Yes"/>
    <s v="Travel_Rarely"/>
    <n v="622"/>
    <x v="1"/>
    <n v="14"/>
    <n v="4"/>
    <s v="Other"/>
    <n v="1"/>
    <n v="1010"/>
    <n v="3"/>
    <x v="1"/>
    <n v="39"/>
    <n v="2"/>
    <n v="1"/>
    <x v="2"/>
    <n v="2"/>
    <s v="Divorced"/>
    <n v="3743"/>
    <n v="10074"/>
    <n v="1"/>
    <s v="Y"/>
    <x v="0"/>
    <n v="24"/>
    <n v="4"/>
    <n v="4"/>
    <n v="80"/>
    <n v="1"/>
    <n v="5"/>
    <n v="2"/>
    <n v="1"/>
    <n v="4"/>
    <n v="2"/>
    <n v="0"/>
    <n v="2"/>
    <x v="0"/>
    <n v="0"/>
    <x v="0"/>
    <x v="0"/>
    <s v="2-5 Years"/>
    <s v="Medium"/>
    <s v="Bad"/>
  </r>
  <r>
    <x v="12"/>
    <s v="No"/>
    <s v="Travel_Frequently"/>
    <n v="853"/>
    <x v="1"/>
    <n v="1"/>
    <n v="1"/>
    <s v="Life Sciences"/>
    <n v="1"/>
    <n v="1011"/>
    <n v="3"/>
    <x v="0"/>
    <n v="96"/>
    <n v="3"/>
    <n v="2"/>
    <x v="3"/>
    <n v="1"/>
    <s v="Married"/>
    <n v="4148"/>
    <n v="11275"/>
    <n v="1"/>
    <s v="Y"/>
    <x v="1"/>
    <n v="12"/>
    <n v="3"/>
    <n v="3"/>
    <n v="80"/>
    <n v="1"/>
    <n v="4"/>
    <n v="1"/>
    <n v="3"/>
    <n v="4"/>
    <n v="3"/>
    <n v="0"/>
    <n v="3"/>
    <x v="1"/>
    <n v="1"/>
    <x v="2"/>
    <x v="0"/>
    <s v="2-5 Years"/>
    <s v="Low"/>
    <s v="Better"/>
  </r>
  <r>
    <x v="41"/>
    <s v="No"/>
    <s v="Non-Travel"/>
    <n v="287"/>
    <x v="1"/>
    <n v="5"/>
    <n v="2"/>
    <s v="Life Sciences"/>
    <n v="1"/>
    <n v="1012"/>
    <n v="2"/>
    <x v="1"/>
    <n v="73"/>
    <n v="3"/>
    <n v="1"/>
    <x v="1"/>
    <n v="4"/>
    <s v="Single"/>
    <n v="1051"/>
    <n v="13493"/>
    <n v="1"/>
    <s v="Y"/>
    <x v="1"/>
    <n v="15"/>
    <n v="3"/>
    <n v="4"/>
    <n v="80"/>
    <n v="0"/>
    <n v="0"/>
    <n v="2"/>
    <n v="3"/>
    <n v="0"/>
    <n v="0"/>
    <n v="0"/>
    <n v="0"/>
    <x v="1"/>
    <n v="1"/>
    <x v="4"/>
    <x v="1"/>
    <s v="0-1 Years"/>
    <s v="Very High"/>
    <s v="Better"/>
  </r>
  <r>
    <x v="33"/>
    <s v="No"/>
    <s v="Travel_Rarely"/>
    <n v="1441"/>
    <x v="1"/>
    <n v="17"/>
    <n v="3"/>
    <s v="Technical Degree"/>
    <n v="1"/>
    <n v="1013"/>
    <n v="3"/>
    <x v="0"/>
    <n v="56"/>
    <n v="3"/>
    <n v="3"/>
    <x v="3"/>
    <n v="3"/>
    <s v="Married"/>
    <n v="10739"/>
    <n v="13943"/>
    <n v="8"/>
    <s v="Y"/>
    <x v="1"/>
    <n v="11"/>
    <n v="3"/>
    <n v="3"/>
    <n v="80"/>
    <n v="1"/>
    <n v="22"/>
    <n v="2"/>
    <n v="3"/>
    <n v="10"/>
    <n v="7"/>
    <n v="0"/>
    <n v="8"/>
    <x v="1"/>
    <n v="1"/>
    <x v="1"/>
    <x v="2"/>
    <s v="6-10 Years"/>
    <s v="High"/>
    <s v="Better"/>
  </r>
  <r>
    <x v="10"/>
    <s v="No"/>
    <s v="Travel_Rarely"/>
    <n v="583"/>
    <x v="1"/>
    <n v="25"/>
    <n v="4"/>
    <s v="Medical"/>
    <n v="1"/>
    <n v="1014"/>
    <n v="3"/>
    <x v="0"/>
    <n v="57"/>
    <n v="3"/>
    <n v="3"/>
    <x v="4"/>
    <n v="3"/>
    <s v="Divorced"/>
    <n v="10388"/>
    <n v="6975"/>
    <n v="1"/>
    <s v="Y"/>
    <x v="0"/>
    <n v="11"/>
    <n v="3"/>
    <n v="3"/>
    <n v="80"/>
    <n v="1"/>
    <n v="16"/>
    <n v="3"/>
    <n v="2"/>
    <n v="16"/>
    <n v="10"/>
    <n v="10"/>
    <n v="1"/>
    <x v="1"/>
    <n v="1"/>
    <x v="0"/>
    <x v="2"/>
    <s v="10+ Years"/>
    <s v="High"/>
    <s v="Good"/>
  </r>
  <r>
    <x v="7"/>
    <s v="No"/>
    <s v="Travel_Rarely"/>
    <n v="153"/>
    <x v="1"/>
    <n v="8"/>
    <n v="2"/>
    <s v="Life Sciences"/>
    <n v="1"/>
    <n v="1015"/>
    <n v="2"/>
    <x v="0"/>
    <n v="73"/>
    <n v="4"/>
    <n v="3"/>
    <x v="7"/>
    <n v="1"/>
    <s v="Married"/>
    <n v="11416"/>
    <n v="17802"/>
    <n v="0"/>
    <s v="Y"/>
    <x v="0"/>
    <n v="12"/>
    <n v="3"/>
    <n v="3"/>
    <n v="80"/>
    <n v="3"/>
    <n v="9"/>
    <n v="4"/>
    <n v="2"/>
    <n v="8"/>
    <n v="7"/>
    <n v="1"/>
    <n v="7"/>
    <x v="1"/>
    <n v="1"/>
    <x v="2"/>
    <x v="2"/>
    <s v="6-10 Years"/>
    <s v="Low"/>
    <s v="Good"/>
  </r>
  <r>
    <x v="35"/>
    <s v="Yes"/>
    <s v="Travel_Rarely"/>
    <n v="1097"/>
    <x v="1"/>
    <n v="11"/>
    <n v="3"/>
    <s v="Medical"/>
    <n v="1"/>
    <n v="1016"/>
    <n v="4"/>
    <x v="0"/>
    <n v="98"/>
    <n v="2"/>
    <n v="1"/>
    <x v="1"/>
    <n v="1"/>
    <s v="Single"/>
    <n v="2600"/>
    <n v="18275"/>
    <n v="1"/>
    <s v="Y"/>
    <x v="0"/>
    <n v="15"/>
    <n v="3"/>
    <n v="1"/>
    <n v="80"/>
    <n v="0"/>
    <n v="1"/>
    <n v="2"/>
    <n v="3"/>
    <n v="1"/>
    <n v="0"/>
    <n v="0"/>
    <n v="0"/>
    <x v="0"/>
    <n v="0"/>
    <x v="4"/>
    <x v="1"/>
    <s v="0-1 Years"/>
    <s v="Low"/>
    <s v="Better"/>
  </r>
  <r>
    <x v="7"/>
    <s v="Yes"/>
    <s v="Travel_Frequently"/>
    <n v="109"/>
    <x v="1"/>
    <n v="5"/>
    <n v="3"/>
    <s v="Medical"/>
    <n v="1"/>
    <n v="1017"/>
    <n v="2"/>
    <x v="0"/>
    <n v="60"/>
    <n v="3"/>
    <n v="1"/>
    <x v="2"/>
    <n v="2"/>
    <s v="Single"/>
    <n v="2422"/>
    <n v="25725"/>
    <n v="0"/>
    <s v="Y"/>
    <x v="1"/>
    <n v="17"/>
    <n v="3"/>
    <n v="1"/>
    <n v="80"/>
    <n v="0"/>
    <n v="4"/>
    <n v="3"/>
    <n v="3"/>
    <n v="3"/>
    <n v="2"/>
    <n v="1"/>
    <n v="2"/>
    <x v="0"/>
    <n v="0"/>
    <x v="2"/>
    <x v="1"/>
    <s v="2-5 Years"/>
    <s v="Medium"/>
    <s v="Better"/>
  </r>
  <r>
    <x v="25"/>
    <s v="No"/>
    <s v="Travel_Rarely"/>
    <n v="1066"/>
    <x v="1"/>
    <n v="2"/>
    <n v="2"/>
    <s v="Medical"/>
    <n v="1"/>
    <n v="1018"/>
    <n v="4"/>
    <x v="1"/>
    <n v="32"/>
    <n v="4"/>
    <n v="2"/>
    <x v="3"/>
    <n v="4"/>
    <s v="Married"/>
    <n v="5472"/>
    <n v="3334"/>
    <n v="1"/>
    <s v="Y"/>
    <x v="1"/>
    <n v="12"/>
    <n v="3"/>
    <n v="2"/>
    <n v="80"/>
    <n v="0"/>
    <n v="8"/>
    <n v="2"/>
    <n v="3"/>
    <n v="8"/>
    <n v="7"/>
    <n v="1"/>
    <n v="3"/>
    <x v="1"/>
    <n v="1"/>
    <x v="2"/>
    <x v="0"/>
    <s v="6-10 Years"/>
    <s v="Very High"/>
    <s v="Better"/>
  </r>
  <r>
    <x v="15"/>
    <s v="No"/>
    <s v="Travel_Rarely"/>
    <n v="217"/>
    <x v="1"/>
    <n v="8"/>
    <n v="1"/>
    <s v="Life Sciences"/>
    <n v="1"/>
    <n v="1019"/>
    <n v="2"/>
    <x v="1"/>
    <n v="94"/>
    <n v="1"/>
    <n v="1"/>
    <x v="2"/>
    <n v="1"/>
    <s v="Married"/>
    <n v="2451"/>
    <n v="6881"/>
    <n v="1"/>
    <s v="Y"/>
    <x v="1"/>
    <n v="15"/>
    <n v="3"/>
    <n v="1"/>
    <n v="80"/>
    <n v="1"/>
    <n v="4"/>
    <n v="3"/>
    <n v="2"/>
    <n v="4"/>
    <n v="3"/>
    <n v="1"/>
    <n v="1"/>
    <x v="1"/>
    <n v="1"/>
    <x v="4"/>
    <x v="1"/>
    <s v="2-5 Years"/>
    <s v="Low"/>
    <s v="Good"/>
  </r>
  <r>
    <x v="26"/>
    <s v="No"/>
    <s v="Travel_Rarely"/>
    <n v="277"/>
    <x v="1"/>
    <n v="6"/>
    <n v="3"/>
    <s v="Life Sciences"/>
    <n v="1"/>
    <n v="1022"/>
    <n v="1"/>
    <x v="1"/>
    <n v="97"/>
    <n v="2"/>
    <n v="2"/>
    <x v="4"/>
    <n v="3"/>
    <s v="Single"/>
    <n v="4240"/>
    <n v="13119"/>
    <n v="2"/>
    <s v="Y"/>
    <x v="1"/>
    <n v="13"/>
    <n v="3"/>
    <n v="4"/>
    <n v="80"/>
    <n v="0"/>
    <n v="19"/>
    <n v="0"/>
    <n v="3"/>
    <n v="2"/>
    <n v="2"/>
    <n v="2"/>
    <n v="2"/>
    <x v="1"/>
    <n v="1"/>
    <x v="1"/>
    <x v="0"/>
    <s v="2-5 Years"/>
    <s v="High"/>
    <s v="Better"/>
  </r>
  <r>
    <x v="26"/>
    <s v="No"/>
    <s v="Travel_Rarely"/>
    <n v="1355"/>
    <x v="1"/>
    <n v="4"/>
    <n v="4"/>
    <s v="Life Sciences"/>
    <n v="1"/>
    <n v="1024"/>
    <n v="3"/>
    <x v="1"/>
    <n v="78"/>
    <n v="2"/>
    <n v="3"/>
    <x v="4"/>
    <n v="3"/>
    <s v="Single"/>
    <n v="10999"/>
    <n v="22245"/>
    <n v="7"/>
    <s v="Y"/>
    <x v="1"/>
    <n v="14"/>
    <n v="3"/>
    <n v="2"/>
    <n v="80"/>
    <n v="0"/>
    <n v="27"/>
    <n v="3"/>
    <n v="3"/>
    <n v="15"/>
    <n v="11"/>
    <n v="4"/>
    <n v="8"/>
    <x v="1"/>
    <n v="1"/>
    <x v="1"/>
    <x v="2"/>
    <s v="10+ Years"/>
    <s v="High"/>
    <s v="Better"/>
  </r>
  <r>
    <x v="0"/>
    <s v="No"/>
    <s v="Travel_Rarely"/>
    <n v="549"/>
    <x v="1"/>
    <n v="7"/>
    <n v="2"/>
    <s v="Medical"/>
    <n v="1"/>
    <n v="1025"/>
    <n v="4"/>
    <x v="0"/>
    <n v="42"/>
    <n v="3"/>
    <n v="2"/>
    <x v="3"/>
    <n v="3"/>
    <s v="Single"/>
    <n v="5003"/>
    <n v="23371"/>
    <n v="6"/>
    <s v="Y"/>
    <x v="1"/>
    <n v="14"/>
    <n v="3"/>
    <n v="2"/>
    <n v="80"/>
    <n v="0"/>
    <n v="8"/>
    <n v="6"/>
    <n v="3"/>
    <n v="2"/>
    <n v="2"/>
    <n v="2"/>
    <n v="1"/>
    <x v="1"/>
    <n v="1"/>
    <x v="0"/>
    <x v="0"/>
    <s v="2-5 Years"/>
    <s v="High"/>
    <s v="Better"/>
  </r>
  <r>
    <x v="22"/>
    <s v="No"/>
    <s v="Travel_Rarely"/>
    <n v="466"/>
    <x v="1"/>
    <n v="1"/>
    <n v="1"/>
    <s v="Life Sciences"/>
    <n v="1"/>
    <n v="1026"/>
    <n v="4"/>
    <x v="0"/>
    <n v="65"/>
    <n v="2"/>
    <n v="4"/>
    <x v="3"/>
    <n v="4"/>
    <s v="Married"/>
    <n v="12742"/>
    <n v="7060"/>
    <n v="1"/>
    <s v="Y"/>
    <x v="1"/>
    <n v="16"/>
    <n v="3"/>
    <n v="3"/>
    <n v="80"/>
    <n v="1"/>
    <n v="21"/>
    <n v="3"/>
    <n v="3"/>
    <n v="21"/>
    <n v="6"/>
    <n v="11"/>
    <n v="8"/>
    <x v="1"/>
    <n v="1"/>
    <x v="0"/>
    <x v="2"/>
    <s v="10+ Years"/>
    <s v="Very High"/>
    <s v="Better"/>
  </r>
  <r>
    <x v="4"/>
    <s v="No"/>
    <s v="Travel_Rarely"/>
    <n v="1055"/>
    <x v="1"/>
    <n v="2"/>
    <n v="4"/>
    <s v="Life Sciences"/>
    <n v="1"/>
    <n v="1027"/>
    <n v="1"/>
    <x v="0"/>
    <n v="47"/>
    <n v="3"/>
    <n v="2"/>
    <x v="3"/>
    <n v="4"/>
    <s v="Married"/>
    <n v="4227"/>
    <n v="4658"/>
    <n v="0"/>
    <s v="Y"/>
    <x v="1"/>
    <n v="18"/>
    <n v="3"/>
    <n v="2"/>
    <n v="80"/>
    <n v="1"/>
    <n v="4"/>
    <n v="2"/>
    <n v="3"/>
    <n v="3"/>
    <n v="2"/>
    <n v="2"/>
    <n v="2"/>
    <x v="1"/>
    <n v="1"/>
    <x v="2"/>
    <x v="0"/>
    <s v="2-5 Years"/>
    <s v="Very High"/>
    <s v="Better"/>
  </r>
  <r>
    <x v="10"/>
    <s v="No"/>
    <s v="Travel_Rarely"/>
    <n v="802"/>
    <x v="1"/>
    <n v="10"/>
    <n v="3"/>
    <s v="Other"/>
    <n v="1"/>
    <n v="1028"/>
    <n v="2"/>
    <x v="1"/>
    <n v="45"/>
    <n v="3"/>
    <n v="1"/>
    <x v="2"/>
    <n v="4"/>
    <s v="Divorced"/>
    <n v="3917"/>
    <n v="9541"/>
    <n v="1"/>
    <s v="Y"/>
    <x v="1"/>
    <n v="20"/>
    <n v="4"/>
    <n v="1"/>
    <n v="80"/>
    <n v="1"/>
    <n v="3"/>
    <n v="4"/>
    <n v="2"/>
    <n v="3"/>
    <n v="2"/>
    <n v="1"/>
    <n v="2"/>
    <x v="1"/>
    <n v="1"/>
    <x v="0"/>
    <x v="0"/>
    <s v="2-5 Years"/>
    <s v="Very High"/>
    <s v="Good"/>
  </r>
  <r>
    <x v="19"/>
    <s v="No"/>
    <s v="Travel_Rarely"/>
    <n v="265"/>
    <x v="0"/>
    <n v="5"/>
    <n v="2"/>
    <s v="Marketing"/>
    <n v="1"/>
    <n v="1029"/>
    <n v="4"/>
    <x v="1"/>
    <n v="90"/>
    <n v="3"/>
    <n v="5"/>
    <x v="5"/>
    <n v="3"/>
    <s v="Married"/>
    <n v="18303"/>
    <n v="7770"/>
    <n v="6"/>
    <s v="Y"/>
    <x v="1"/>
    <n v="13"/>
    <n v="3"/>
    <n v="2"/>
    <n v="80"/>
    <n v="0"/>
    <n v="21"/>
    <n v="3"/>
    <n v="4"/>
    <n v="1"/>
    <n v="0"/>
    <n v="0"/>
    <n v="0"/>
    <x v="1"/>
    <n v="1"/>
    <x v="0"/>
    <x v="2"/>
    <s v="0-1 Years"/>
    <s v="High"/>
    <s v="Best"/>
  </r>
  <r>
    <x v="24"/>
    <s v="No"/>
    <s v="Travel_Rarely"/>
    <n v="804"/>
    <x v="1"/>
    <n v="9"/>
    <n v="3"/>
    <s v="Life Sciences"/>
    <n v="1"/>
    <n v="1030"/>
    <n v="1"/>
    <x v="1"/>
    <n v="64"/>
    <n v="3"/>
    <n v="1"/>
    <x v="2"/>
    <n v="4"/>
    <s v="Married"/>
    <n v="2380"/>
    <n v="20165"/>
    <n v="4"/>
    <s v="Y"/>
    <x v="1"/>
    <n v="18"/>
    <n v="3"/>
    <n v="2"/>
    <n v="80"/>
    <n v="0"/>
    <n v="8"/>
    <n v="5"/>
    <n v="3"/>
    <n v="1"/>
    <n v="0"/>
    <n v="0"/>
    <n v="0"/>
    <x v="1"/>
    <n v="1"/>
    <x v="1"/>
    <x v="1"/>
    <s v="0-1 Years"/>
    <s v="Very High"/>
    <s v="Better"/>
  </r>
  <r>
    <x v="6"/>
    <s v="No"/>
    <s v="Travel_Rarely"/>
    <n v="715"/>
    <x v="1"/>
    <n v="2"/>
    <n v="3"/>
    <s v="Life Sciences"/>
    <n v="1"/>
    <n v="1032"/>
    <n v="3"/>
    <x v="0"/>
    <n v="69"/>
    <n v="2"/>
    <n v="4"/>
    <x v="3"/>
    <n v="4"/>
    <s v="Single"/>
    <n v="13726"/>
    <n v="21829"/>
    <n v="3"/>
    <s v="Y"/>
    <x v="0"/>
    <n v="13"/>
    <n v="3"/>
    <n v="1"/>
    <n v="80"/>
    <n v="0"/>
    <n v="30"/>
    <n v="4"/>
    <n v="3"/>
    <n v="5"/>
    <n v="3"/>
    <n v="4"/>
    <n v="3"/>
    <x v="1"/>
    <n v="1"/>
    <x v="3"/>
    <x v="2"/>
    <s v="2-5 Years"/>
    <s v="Very High"/>
    <s v="Better"/>
  </r>
  <r>
    <x v="2"/>
    <s v="Yes"/>
    <s v="Travel_Rarely"/>
    <n v="1141"/>
    <x v="1"/>
    <n v="11"/>
    <n v="2"/>
    <s v="Medical"/>
    <n v="1"/>
    <n v="1033"/>
    <n v="1"/>
    <x v="0"/>
    <n v="61"/>
    <n v="1"/>
    <n v="2"/>
    <x v="4"/>
    <n v="2"/>
    <s v="Married"/>
    <n v="4777"/>
    <n v="14382"/>
    <n v="5"/>
    <s v="Y"/>
    <x v="1"/>
    <n v="15"/>
    <n v="3"/>
    <n v="1"/>
    <n v="80"/>
    <n v="0"/>
    <n v="15"/>
    <n v="2"/>
    <n v="1"/>
    <n v="1"/>
    <n v="0"/>
    <n v="0"/>
    <n v="0"/>
    <x v="0"/>
    <n v="0"/>
    <x v="0"/>
    <x v="0"/>
    <s v="0-1 Years"/>
    <s v="Medium"/>
    <s v="Bad"/>
  </r>
  <r>
    <x v="27"/>
    <s v="No"/>
    <s v="Travel_Frequently"/>
    <n v="135"/>
    <x v="1"/>
    <n v="18"/>
    <n v="4"/>
    <s v="Medical"/>
    <n v="1"/>
    <n v="1034"/>
    <n v="3"/>
    <x v="1"/>
    <n v="62"/>
    <n v="3"/>
    <n v="2"/>
    <x v="4"/>
    <n v="2"/>
    <s v="Married"/>
    <n v="6385"/>
    <n v="12992"/>
    <n v="3"/>
    <s v="Y"/>
    <x v="0"/>
    <n v="14"/>
    <n v="3"/>
    <n v="4"/>
    <n v="80"/>
    <n v="2"/>
    <n v="17"/>
    <n v="3"/>
    <n v="3"/>
    <n v="8"/>
    <n v="7"/>
    <n v="6"/>
    <n v="7"/>
    <x v="1"/>
    <n v="1"/>
    <x v="3"/>
    <x v="0"/>
    <s v="6-10 Years"/>
    <s v="Medium"/>
    <s v="Better"/>
  </r>
  <r>
    <x v="0"/>
    <s v="No"/>
    <s v="Non-Travel"/>
    <n v="247"/>
    <x v="1"/>
    <n v="7"/>
    <n v="1"/>
    <s v="Life Sciences"/>
    <n v="1"/>
    <n v="1035"/>
    <n v="2"/>
    <x v="0"/>
    <n v="55"/>
    <n v="1"/>
    <n v="5"/>
    <x v="7"/>
    <n v="3"/>
    <s v="Divorced"/>
    <n v="19973"/>
    <n v="20284"/>
    <n v="1"/>
    <s v="Y"/>
    <x v="1"/>
    <n v="22"/>
    <n v="4"/>
    <n v="2"/>
    <n v="80"/>
    <n v="2"/>
    <n v="21"/>
    <n v="3"/>
    <n v="3"/>
    <n v="21"/>
    <n v="16"/>
    <n v="5"/>
    <n v="10"/>
    <x v="1"/>
    <n v="1"/>
    <x v="0"/>
    <x v="2"/>
    <s v="10+ Years"/>
    <s v="High"/>
    <s v="Better"/>
  </r>
  <r>
    <x v="8"/>
    <s v="No"/>
    <s v="Travel_Rarely"/>
    <n v="1035"/>
    <x v="0"/>
    <n v="3"/>
    <n v="4"/>
    <s v="Life Sciences"/>
    <n v="1"/>
    <n v="1036"/>
    <n v="2"/>
    <x v="1"/>
    <n v="42"/>
    <n v="3"/>
    <n v="2"/>
    <x v="0"/>
    <n v="4"/>
    <s v="Single"/>
    <n v="6861"/>
    <n v="4981"/>
    <n v="8"/>
    <s v="Y"/>
    <x v="0"/>
    <n v="12"/>
    <n v="3"/>
    <n v="3"/>
    <n v="80"/>
    <n v="0"/>
    <n v="19"/>
    <n v="1"/>
    <n v="3"/>
    <n v="1"/>
    <n v="0"/>
    <n v="0"/>
    <n v="0"/>
    <x v="1"/>
    <n v="1"/>
    <x v="0"/>
    <x v="0"/>
    <s v="0-1 Years"/>
    <s v="Very High"/>
    <s v="Better"/>
  </r>
  <r>
    <x v="25"/>
    <s v="Yes"/>
    <s v="Non-Travel"/>
    <n v="265"/>
    <x v="0"/>
    <n v="29"/>
    <n v="2"/>
    <s v="Medical"/>
    <n v="1"/>
    <n v="1037"/>
    <n v="2"/>
    <x v="1"/>
    <n v="79"/>
    <n v="1"/>
    <n v="2"/>
    <x v="0"/>
    <n v="1"/>
    <s v="Single"/>
    <n v="4969"/>
    <n v="21813"/>
    <n v="8"/>
    <s v="Y"/>
    <x v="1"/>
    <n v="18"/>
    <n v="3"/>
    <n v="4"/>
    <n v="80"/>
    <n v="0"/>
    <n v="7"/>
    <n v="6"/>
    <n v="3"/>
    <n v="2"/>
    <n v="2"/>
    <n v="2"/>
    <n v="2"/>
    <x v="0"/>
    <n v="0"/>
    <x v="2"/>
    <x v="0"/>
    <s v="2-5 Years"/>
    <s v="Low"/>
    <s v="Better"/>
  </r>
  <r>
    <x v="39"/>
    <s v="Yes"/>
    <s v="Travel_Rarely"/>
    <n v="266"/>
    <x v="0"/>
    <n v="2"/>
    <n v="1"/>
    <s v="Marketing"/>
    <n v="1"/>
    <n v="1038"/>
    <n v="1"/>
    <x v="0"/>
    <n v="57"/>
    <n v="1"/>
    <n v="5"/>
    <x v="5"/>
    <n v="4"/>
    <s v="Married"/>
    <n v="19845"/>
    <n v="25846"/>
    <n v="1"/>
    <s v="Y"/>
    <x v="1"/>
    <n v="15"/>
    <n v="3"/>
    <n v="4"/>
    <n v="80"/>
    <n v="1"/>
    <n v="33"/>
    <n v="3"/>
    <n v="3"/>
    <n v="32"/>
    <n v="14"/>
    <n v="6"/>
    <n v="9"/>
    <x v="0"/>
    <n v="0"/>
    <x v="1"/>
    <x v="2"/>
    <s v="10+ Years"/>
    <s v="Very High"/>
    <s v="Better"/>
  </r>
  <r>
    <x v="20"/>
    <s v="No"/>
    <s v="Travel_Rarely"/>
    <n v="1448"/>
    <x v="0"/>
    <n v="28"/>
    <n v="3"/>
    <s v="Medical"/>
    <n v="1"/>
    <n v="1039"/>
    <n v="4"/>
    <x v="0"/>
    <n v="53"/>
    <n v="4"/>
    <n v="4"/>
    <x v="0"/>
    <n v="4"/>
    <s v="Married"/>
    <n v="13320"/>
    <n v="11737"/>
    <n v="3"/>
    <s v="Y"/>
    <x v="0"/>
    <n v="18"/>
    <n v="3"/>
    <n v="3"/>
    <n v="80"/>
    <n v="1"/>
    <n v="23"/>
    <n v="2"/>
    <n v="3"/>
    <n v="12"/>
    <n v="11"/>
    <n v="11"/>
    <n v="11"/>
    <x v="1"/>
    <n v="1"/>
    <x v="0"/>
    <x v="2"/>
    <s v="10+ Years"/>
    <s v="Very High"/>
    <s v="Better"/>
  </r>
  <r>
    <x v="24"/>
    <s v="No"/>
    <s v="Non-Travel"/>
    <n v="145"/>
    <x v="0"/>
    <n v="1"/>
    <n v="3"/>
    <s v="Life Sciences"/>
    <n v="1"/>
    <n v="1040"/>
    <n v="4"/>
    <x v="0"/>
    <n v="95"/>
    <n v="3"/>
    <n v="2"/>
    <x v="0"/>
    <n v="3"/>
    <s v="Married"/>
    <n v="6347"/>
    <n v="24920"/>
    <n v="0"/>
    <s v="Y"/>
    <x v="1"/>
    <n v="12"/>
    <n v="3"/>
    <n v="1"/>
    <n v="80"/>
    <n v="1"/>
    <n v="19"/>
    <n v="3"/>
    <n v="3"/>
    <n v="18"/>
    <n v="7"/>
    <n v="0"/>
    <n v="13"/>
    <x v="1"/>
    <n v="1"/>
    <x v="1"/>
    <x v="0"/>
    <s v="10+ Years"/>
    <s v="High"/>
    <s v="Better"/>
  </r>
  <r>
    <x v="9"/>
    <s v="Yes"/>
    <s v="Travel_Rarely"/>
    <n v="885"/>
    <x v="1"/>
    <n v="16"/>
    <n v="4"/>
    <s v="Life Sciences"/>
    <n v="1"/>
    <n v="1042"/>
    <n v="3"/>
    <x v="0"/>
    <n v="43"/>
    <n v="4"/>
    <n v="1"/>
    <x v="2"/>
    <n v="1"/>
    <s v="Single"/>
    <n v="2743"/>
    <n v="8269"/>
    <n v="1"/>
    <s v="Y"/>
    <x v="1"/>
    <n v="16"/>
    <n v="3"/>
    <n v="3"/>
    <n v="80"/>
    <n v="0"/>
    <n v="18"/>
    <n v="1"/>
    <n v="3"/>
    <n v="17"/>
    <n v="13"/>
    <n v="15"/>
    <n v="14"/>
    <x v="0"/>
    <n v="0"/>
    <x v="0"/>
    <x v="1"/>
    <s v="10+ Years"/>
    <s v="Low"/>
    <s v="Better"/>
  </r>
  <r>
    <x v="22"/>
    <s v="No"/>
    <s v="Travel_Frequently"/>
    <n v="945"/>
    <x v="1"/>
    <n v="22"/>
    <n v="3"/>
    <s v="Medical"/>
    <n v="1"/>
    <n v="1043"/>
    <n v="4"/>
    <x v="0"/>
    <n v="82"/>
    <n v="3"/>
    <n v="3"/>
    <x v="3"/>
    <n v="1"/>
    <s v="Single"/>
    <n v="10880"/>
    <n v="5083"/>
    <n v="1"/>
    <s v="Y"/>
    <x v="0"/>
    <n v="13"/>
    <n v="3"/>
    <n v="3"/>
    <n v="80"/>
    <n v="0"/>
    <n v="21"/>
    <n v="2"/>
    <n v="3"/>
    <n v="21"/>
    <n v="6"/>
    <n v="2"/>
    <n v="8"/>
    <x v="1"/>
    <n v="1"/>
    <x v="0"/>
    <x v="2"/>
    <s v="10+ Years"/>
    <s v="Low"/>
    <s v="Better"/>
  </r>
  <r>
    <x v="3"/>
    <s v="No"/>
    <s v="Non-Travel"/>
    <n v="1038"/>
    <x v="0"/>
    <n v="8"/>
    <n v="1"/>
    <s v="Life Sciences"/>
    <n v="1"/>
    <n v="1044"/>
    <n v="2"/>
    <x v="0"/>
    <n v="88"/>
    <n v="2"/>
    <n v="1"/>
    <x v="6"/>
    <n v="4"/>
    <s v="Single"/>
    <n v="2342"/>
    <n v="21437"/>
    <n v="0"/>
    <s v="Y"/>
    <x v="1"/>
    <n v="19"/>
    <n v="3"/>
    <n v="4"/>
    <n v="80"/>
    <n v="0"/>
    <n v="3"/>
    <n v="2"/>
    <n v="2"/>
    <n v="2"/>
    <n v="2"/>
    <n v="2"/>
    <n v="2"/>
    <x v="1"/>
    <n v="1"/>
    <x v="2"/>
    <x v="1"/>
    <s v="2-5 Years"/>
    <s v="Very High"/>
    <s v="Good"/>
  </r>
  <r>
    <x v="28"/>
    <s v="No"/>
    <s v="Travel_Rarely"/>
    <n v="1234"/>
    <x v="0"/>
    <n v="11"/>
    <n v="2"/>
    <s v="Life Sciences"/>
    <n v="1"/>
    <n v="1045"/>
    <n v="4"/>
    <x v="0"/>
    <n v="90"/>
    <n v="3"/>
    <n v="4"/>
    <x v="5"/>
    <n v="4"/>
    <s v="Married"/>
    <n v="17650"/>
    <n v="5404"/>
    <n v="3"/>
    <s v="Y"/>
    <x v="1"/>
    <n v="13"/>
    <n v="3"/>
    <n v="2"/>
    <n v="80"/>
    <n v="1"/>
    <n v="26"/>
    <n v="4"/>
    <n v="4"/>
    <n v="9"/>
    <n v="3"/>
    <n v="1"/>
    <n v="1"/>
    <x v="1"/>
    <n v="1"/>
    <x v="1"/>
    <x v="2"/>
    <s v="6-10 Years"/>
    <s v="Very High"/>
    <s v="Best"/>
  </r>
  <r>
    <x v="5"/>
    <s v="No"/>
    <s v="Non-Travel"/>
    <n v="1109"/>
    <x v="1"/>
    <n v="29"/>
    <n v="4"/>
    <s v="Medical"/>
    <n v="1"/>
    <n v="1046"/>
    <n v="4"/>
    <x v="0"/>
    <n v="69"/>
    <n v="3"/>
    <n v="1"/>
    <x v="2"/>
    <n v="3"/>
    <s v="Single"/>
    <n v="4025"/>
    <n v="11135"/>
    <n v="9"/>
    <s v="Y"/>
    <x v="1"/>
    <n v="12"/>
    <n v="3"/>
    <n v="2"/>
    <n v="80"/>
    <n v="0"/>
    <n v="10"/>
    <n v="2"/>
    <n v="3"/>
    <n v="8"/>
    <n v="7"/>
    <n v="7"/>
    <n v="7"/>
    <x v="1"/>
    <n v="1"/>
    <x v="2"/>
    <x v="0"/>
    <s v="6-10 Years"/>
    <s v="High"/>
    <s v="Better"/>
  </r>
  <r>
    <x v="13"/>
    <s v="No"/>
    <s v="Travel_Rarely"/>
    <n v="216"/>
    <x v="0"/>
    <n v="1"/>
    <n v="4"/>
    <s v="Marketing"/>
    <n v="1"/>
    <n v="1047"/>
    <n v="2"/>
    <x v="1"/>
    <n v="75"/>
    <n v="4"/>
    <n v="2"/>
    <x v="0"/>
    <n v="4"/>
    <s v="Divorced"/>
    <n v="9725"/>
    <n v="12278"/>
    <n v="0"/>
    <s v="Y"/>
    <x v="1"/>
    <n v="11"/>
    <n v="3"/>
    <n v="4"/>
    <n v="80"/>
    <n v="1"/>
    <n v="16"/>
    <n v="2"/>
    <n v="2"/>
    <n v="15"/>
    <n v="1"/>
    <n v="0"/>
    <n v="9"/>
    <x v="1"/>
    <n v="1"/>
    <x v="2"/>
    <x v="2"/>
    <s v="10+ Years"/>
    <s v="Very High"/>
    <s v="Good"/>
  </r>
  <r>
    <x v="6"/>
    <s v="No"/>
    <s v="Travel_Rarely"/>
    <n v="1089"/>
    <x v="0"/>
    <n v="1"/>
    <n v="2"/>
    <s v="Technical Degree"/>
    <n v="1"/>
    <n v="1048"/>
    <n v="2"/>
    <x v="1"/>
    <n v="66"/>
    <n v="3"/>
    <n v="3"/>
    <x v="5"/>
    <n v="4"/>
    <s v="Married"/>
    <n v="11904"/>
    <n v="11038"/>
    <n v="3"/>
    <s v="Y"/>
    <x v="0"/>
    <n v="14"/>
    <n v="3"/>
    <n v="3"/>
    <n v="80"/>
    <n v="1"/>
    <n v="14"/>
    <n v="1"/>
    <n v="1"/>
    <n v="6"/>
    <n v="4"/>
    <n v="0"/>
    <n v="4"/>
    <x v="1"/>
    <n v="1"/>
    <x v="3"/>
    <x v="2"/>
    <s v="6-10 Years"/>
    <s v="Very High"/>
    <s v="Bad"/>
  </r>
  <r>
    <x v="28"/>
    <s v="No"/>
    <s v="Travel_Rarely"/>
    <n v="788"/>
    <x v="2"/>
    <n v="24"/>
    <n v="4"/>
    <s v="Medical"/>
    <n v="1"/>
    <n v="1049"/>
    <n v="2"/>
    <x v="1"/>
    <n v="36"/>
    <n v="3"/>
    <n v="1"/>
    <x v="8"/>
    <n v="2"/>
    <s v="Single"/>
    <n v="2177"/>
    <n v="8318"/>
    <n v="1"/>
    <s v="Y"/>
    <x v="1"/>
    <n v="16"/>
    <n v="3"/>
    <n v="1"/>
    <n v="80"/>
    <n v="0"/>
    <n v="6"/>
    <n v="3"/>
    <n v="3"/>
    <n v="6"/>
    <n v="3"/>
    <n v="0"/>
    <n v="4"/>
    <x v="1"/>
    <n v="1"/>
    <x v="1"/>
    <x v="1"/>
    <s v="6-10 Years"/>
    <s v="Medium"/>
    <s v="Better"/>
  </r>
  <r>
    <x v="16"/>
    <s v="No"/>
    <s v="Travel_Frequently"/>
    <n v="124"/>
    <x v="0"/>
    <n v="2"/>
    <n v="3"/>
    <s v="Marketing"/>
    <n v="1"/>
    <n v="1050"/>
    <n v="3"/>
    <x v="0"/>
    <n v="38"/>
    <n v="2"/>
    <n v="3"/>
    <x v="0"/>
    <n v="2"/>
    <s v="Married"/>
    <n v="7525"/>
    <n v="23537"/>
    <n v="2"/>
    <s v="Y"/>
    <x v="1"/>
    <n v="12"/>
    <n v="3"/>
    <n v="1"/>
    <n v="80"/>
    <n v="1"/>
    <n v="30"/>
    <n v="2"/>
    <n v="3"/>
    <n v="15"/>
    <n v="7"/>
    <n v="6"/>
    <n v="12"/>
    <x v="1"/>
    <n v="1"/>
    <x v="1"/>
    <x v="2"/>
    <s v="10+ Years"/>
    <s v="Medium"/>
    <s v="Better"/>
  </r>
  <r>
    <x v="9"/>
    <s v="Yes"/>
    <s v="Travel_Rarely"/>
    <n v="660"/>
    <x v="1"/>
    <n v="15"/>
    <n v="3"/>
    <s v="Other"/>
    <n v="1"/>
    <n v="1052"/>
    <n v="1"/>
    <x v="1"/>
    <n v="81"/>
    <n v="3"/>
    <n v="2"/>
    <x v="2"/>
    <n v="3"/>
    <s v="Divorced"/>
    <n v="4834"/>
    <n v="7858"/>
    <n v="7"/>
    <s v="Y"/>
    <x v="1"/>
    <n v="14"/>
    <n v="3"/>
    <n v="2"/>
    <n v="80"/>
    <n v="1"/>
    <n v="9"/>
    <n v="3"/>
    <n v="2"/>
    <n v="1"/>
    <n v="0"/>
    <n v="0"/>
    <n v="0"/>
    <x v="0"/>
    <n v="0"/>
    <x v="0"/>
    <x v="0"/>
    <s v="0-1 Years"/>
    <s v="High"/>
    <s v="Good"/>
  </r>
  <r>
    <x v="25"/>
    <s v="Yes"/>
    <s v="Travel_Frequently"/>
    <n v="342"/>
    <x v="1"/>
    <n v="2"/>
    <n v="3"/>
    <s v="Life Sciences"/>
    <n v="1"/>
    <n v="1053"/>
    <n v="1"/>
    <x v="1"/>
    <n v="57"/>
    <n v="3"/>
    <n v="1"/>
    <x v="1"/>
    <n v="1"/>
    <s v="Married"/>
    <n v="2042"/>
    <n v="15346"/>
    <n v="6"/>
    <s v="Y"/>
    <x v="0"/>
    <n v="14"/>
    <n v="3"/>
    <n v="2"/>
    <n v="80"/>
    <n v="1"/>
    <n v="6"/>
    <n v="2"/>
    <n v="3"/>
    <n v="3"/>
    <n v="2"/>
    <n v="1"/>
    <n v="2"/>
    <x v="0"/>
    <n v="0"/>
    <x v="2"/>
    <x v="1"/>
    <s v="2-5 Years"/>
    <s v="Low"/>
    <s v="Better"/>
  </r>
  <r>
    <x v="13"/>
    <s v="No"/>
    <s v="Travel_Rarely"/>
    <n v="1333"/>
    <x v="0"/>
    <n v="10"/>
    <n v="4"/>
    <s v="Life Sciences"/>
    <n v="1"/>
    <n v="1055"/>
    <n v="3"/>
    <x v="0"/>
    <n v="87"/>
    <n v="3"/>
    <n v="1"/>
    <x v="6"/>
    <n v="3"/>
    <s v="Married"/>
    <n v="2220"/>
    <n v="18410"/>
    <n v="1"/>
    <s v="Y"/>
    <x v="0"/>
    <n v="19"/>
    <n v="3"/>
    <n v="4"/>
    <n v="80"/>
    <n v="1"/>
    <n v="1"/>
    <n v="2"/>
    <n v="3"/>
    <n v="1"/>
    <n v="1"/>
    <n v="0"/>
    <n v="0"/>
    <x v="1"/>
    <n v="1"/>
    <x v="2"/>
    <x v="1"/>
    <s v="0-1 Years"/>
    <s v="High"/>
    <s v="Better"/>
  </r>
  <r>
    <x v="14"/>
    <s v="No"/>
    <s v="Travel_Rarely"/>
    <n v="1144"/>
    <x v="0"/>
    <n v="10"/>
    <n v="1"/>
    <s v="Medical"/>
    <n v="1"/>
    <n v="1056"/>
    <n v="4"/>
    <x v="1"/>
    <n v="74"/>
    <n v="3"/>
    <n v="1"/>
    <x v="6"/>
    <n v="2"/>
    <s v="Married"/>
    <n v="1052"/>
    <n v="23384"/>
    <n v="1"/>
    <s v="Y"/>
    <x v="1"/>
    <n v="22"/>
    <n v="4"/>
    <n v="2"/>
    <n v="80"/>
    <n v="0"/>
    <n v="1"/>
    <n v="5"/>
    <n v="3"/>
    <n v="1"/>
    <n v="0"/>
    <n v="0"/>
    <n v="0"/>
    <x v="1"/>
    <n v="1"/>
    <x v="2"/>
    <x v="1"/>
    <s v="0-1 Years"/>
    <s v="Medium"/>
    <s v="Better"/>
  </r>
  <r>
    <x v="8"/>
    <s v="No"/>
    <s v="Travel_Frequently"/>
    <n v="1186"/>
    <x v="1"/>
    <n v="3"/>
    <n v="4"/>
    <s v="Other"/>
    <n v="1"/>
    <n v="1060"/>
    <n v="3"/>
    <x v="1"/>
    <n v="44"/>
    <n v="3"/>
    <n v="1"/>
    <x v="1"/>
    <n v="3"/>
    <s v="Married"/>
    <n v="2821"/>
    <n v="2997"/>
    <n v="3"/>
    <s v="Y"/>
    <x v="1"/>
    <n v="16"/>
    <n v="3"/>
    <n v="1"/>
    <n v="80"/>
    <n v="1"/>
    <n v="8"/>
    <n v="2"/>
    <n v="3"/>
    <n v="2"/>
    <n v="2"/>
    <n v="2"/>
    <n v="2"/>
    <x v="1"/>
    <n v="1"/>
    <x v="0"/>
    <x v="1"/>
    <s v="2-5 Years"/>
    <s v="High"/>
    <s v="Better"/>
  </r>
  <r>
    <x v="24"/>
    <s v="No"/>
    <s v="Travel_Rarely"/>
    <n v="1464"/>
    <x v="1"/>
    <n v="2"/>
    <n v="4"/>
    <s v="Medical"/>
    <n v="1"/>
    <n v="1061"/>
    <n v="2"/>
    <x v="1"/>
    <n v="62"/>
    <n v="3"/>
    <n v="5"/>
    <x v="7"/>
    <n v="3"/>
    <s v="Married"/>
    <n v="19237"/>
    <n v="12853"/>
    <n v="2"/>
    <s v="Y"/>
    <x v="0"/>
    <n v="11"/>
    <n v="3"/>
    <n v="4"/>
    <n v="80"/>
    <n v="1"/>
    <n v="29"/>
    <n v="2"/>
    <n v="2"/>
    <n v="8"/>
    <n v="1"/>
    <n v="7"/>
    <n v="7"/>
    <x v="1"/>
    <n v="1"/>
    <x v="1"/>
    <x v="2"/>
    <s v="6-10 Years"/>
    <s v="High"/>
    <s v="Good"/>
  </r>
  <r>
    <x v="2"/>
    <s v="No"/>
    <s v="Travel_Rarely"/>
    <n v="124"/>
    <x v="1"/>
    <n v="3"/>
    <n v="3"/>
    <s v="Other"/>
    <n v="1"/>
    <n v="1062"/>
    <n v="4"/>
    <x v="0"/>
    <n v="35"/>
    <n v="3"/>
    <n v="2"/>
    <x v="4"/>
    <n v="2"/>
    <s v="Single"/>
    <n v="4107"/>
    <n v="13848"/>
    <n v="3"/>
    <s v="Y"/>
    <x v="1"/>
    <n v="15"/>
    <n v="3"/>
    <n v="1"/>
    <n v="80"/>
    <n v="0"/>
    <n v="8"/>
    <n v="3"/>
    <n v="2"/>
    <n v="4"/>
    <n v="3"/>
    <n v="0"/>
    <n v="1"/>
    <x v="1"/>
    <n v="1"/>
    <x v="0"/>
    <x v="0"/>
    <s v="2-5 Years"/>
    <s v="Medium"/>
    <s v="Good"/>
  </r>
  <r>
    <x v="32"/>
    <s v="No"/>
    <s v="Travel_Rarely"/>
    <n v="300"/>
    <x v="0"/>
    <n v="26"/>
    <n v="3"/>
    <s v="Marketing"/>
    <n v="1"/>
    <n v="1066"/>
    <n v="3"/>
    <x v="1"/>
    <n v="74"/>
    <n v="3"/>
    <n v="2"/>
    <x v="0"/>
    <n v="1"/>
    <s v="Married"/>
    <n v="8396"/>
    <n v="22217"/>
    <n v="1"/>
    <s v="Y"/>
    <x v="1"/>
    <n v="14"/>
    <n v="3"/>
    <n v="2"/>
    <n v="80"/>
    <n v="1"/>
    <n v="8"/>
    <n v="3"/>
    <n v="2"/>
    <n v="7"/>
    <n v="7"/>
    <n v="7"/>
    <n v="5"/>
    <x v="1"/>
    <n v="1"/>
    <x v="0"/>
    <x v="2"/>
    <s v="6-10 Years"/>
    <s v="Low"/>
    <s v="Good"/>
  </r>
  <r>
    <x v="25"/>
    <s v="No"/>
    <s v="Travel_Frequently"/>
    <n v="921"/>
    <x v="1"/>
    <n v="1"/>
    <n v="1"/>
    <s v="Medical"/>
    <n v="1"/>
    <n v="1068"/>
    <n v="1"/>
    <x v="0"/>
    <n v="66"/>
    <n v="2"/>
    <n v="1"/>
    <x v="1"/>
    <n v="3"/>
    <s v="Divorced"/>
    <n v="2007"/>
    <n v="25265"/>
    <n v="1"/>
    <s v="Y"/>
    <x v="1"/>
    <n v="13"/>
    <n v="3"/>
    <n v="3"/>
    <n v="80"/>
    <n v="2"/>
    <n v="5"/>
    <n v="5"/>
    <n v="3"/>
    <n v="5"/>
    <n v="3"/>
    <n v="1"/>
    <n v="3"/>
    <x v="1"/>
    <n v="1"/>
    <x v="2"/>
    <x v="1"/>
    <s v="2-5 Years"/>
    <s v="High"/>
    <s v="Better"/>
  </r>
  <r>
    <x v="21"/>
    <s v="No"/>
    <s v="Travel_Rarely"/>
    <n v="430"/>
    <x v="1"/>
    <n v="1"/>
    <n v="4"/>
    <s v="Medical"/>
    <n v="1"/>
    <n v="1069"/>
    <n v="4"/>
    <x v="1"/>
    <n v="40"/>
    <n v="3"/>
    <n v="5"/>
    <x v="7"/>
    <n v="4"/>
    <s v="Divorced"/>
    <n v="19627"/>
    <n v="21445"/>
    <n v="9"/>
    <s v="Y"/>
    <x v="1"/>
    <n v="17"/>
    <n v="3"/>
    <n v="4"/>
    <n v="80"/>
    <n v="2"/>
    <n v="23"/>
    <n v="0"/>
    <n v="3"/>
    <n v="2"/>
    <n v="2"/>
    <n v="2"/>
    <n v="2"/>
    <x v="1"/>
    <n v="1"/>
    <x v="1"/>
    <x v="2"/>
    <s v="2-5 Years"/>
    <s v="Very High"/>
    <s v="Better"/>
  </r>
  <r>
    <x v="33"/>
    <s v="No"/>
    <s v="Travel_Rarely"/>
    <n v="1082"/>
    <x v="0"/>
    <n v="2"/>
    <n v="4"/>
    <s v="Life Sciences"/>
    <n v="1"/>
    <n v="1070"/>
    <n v="3"/>
    <x v="0"/>
    <n v="41"/>
    <n v="2"/>
    <n v="3"/>
    <x v="0"/>
    <n v="3"/>
    <s v="Married"/>
    <n v="10686"/>
    <n v="8392"/>
    <n v="6"/>
    <s v="Y"/>
    <x v="1"/>
    <n v="11"/>
    <n v="3"/>
    <n v="2"/>
    <n v="80"/>
    <n v="1"/>
    <n v="13"/>
    <n v="4"/>
    <n v="3"/>
    <n v="9"/>
    <n v="4"/>
    <n v="7"/>
    <n v="0"/>
    <x v="1"/>
    <n v="1"/>
    <x v="1"/>
    <x v="2"/>
    <s v="6-10 Years"/>
    <s v="High"/>
    <s v="Better"/>
  </r>
  <r>
    <x v="29"/>
    <s v="No"/>
    <s v="Travel_Frequently"/>
    <n v="1240"/>
    <x v="1"/>
    <n v="9"/>
    <n v="3"/>
    <s v="Medical"/>
    <n v="1"/>
    <n v="1071"/>
    <n v="1"/>
    <x v="0"/>
    <n v="63"/>
    <n v="3"/>
    <n v="1"/>
    <x v="1"/>
    <n v="3"/>
    <s v="Married"/>
    <n v="2942"/>
    <n v="12154"/>
    <n v="2"/>
    <s v="Y"/>
    <x v="1"/>
    <n v="19"/>
    <n v="3"/>
    <n v="2"/>
    <n v="80"/>
    <n v="1"/>
    <n v="18"/>
    <n v="4"/>
    <n v="3"/>
    <n v="5"/>
    <n v="4"/>
    <n v="0"/>
    <n v="3"/>
    <x v="1"/>
    <n v="1"/>
    <x v="3"/>
    <x v="1"/>
    <s v="2-5 Years"/>
    <s v="High"/>
    <s v="Better"/>
  </r>
  <r>
    <x v="9"/>
    <s v="No"/>
    <s v="Travel_Rarely"/>
    <n v="796"/>
    <x v="1"/>
    <n v="12"/>
    <n v="5"/>
    <s v="Medical"/>
    <n v="1"/>
    <n v="1073"/>
    <n v="4"/>
    <x v="0"/>
    <n v="51"/>
    <n v="2"/>
    <n v="3"/>
    <x v="3"/>
    <n v="4"/>
    <s v="Single"/>
    <n v="8858"/>
    <n v="15669"/>
    <n v="0"/>
    <s v="Y"/>
    <x v="1"/>
    <n v="11"/>
    <n v="3"/>
    <n v="2"/>
    <n v="80"/>
    <n v="0"/>
    <n v="15"/>
    <n v="2"/>
    <n v="2"/>
    <n v="14"/>
    <n v="8"/>
    <n v="7"/>
    <n v="8"/>
    <x v="1"/>
    <n v="1"/>
    <x v="0"/>
    <x v="2"/>
    <s v="10+ Years"/>
    <s v="Very High"/>
    <s v="Good"/>
  </r>
  <r>
    <x v="27"/>
    <s v="No"/>
    <s v="Non-Travel"/>
    <n v="444"/>
    <x v="1"/>
    <n v="2"/>
    <n v="1"/>
    <s v="Medical"/>
    <n v="1"/>
    <n v="1074"/>
    <n v="3"/>
    <x v="1"/>
    <n v="40"/>
    <n v="2"/>
    <n v="4"/>
    <x v="5"/>
    <n v="1"/>
    <s v="Single"/>
    <n v="16756"/>
    <n v="17323"/>
    <n v="7"/>
    <s v="Y"/>
    <x v="1"/>
    <n v="15"/>
    <n v="3"/>
    <n v="2"/>
    <n v="80"/>
    <n v="0"/>
    <n v="31"/>
    <n v="3"/>
    <n v="4"/>
    <n v="9"/>
    <n v="7"/>
    <n v="6"/>
    <n v="2"/>
    <x v="1"/>
    <n v="1"/>
    <x v="3"/>
    <x v="2"/>
    <s v="6-10 Years"/>
    <s v="Low"/>
    <s v="Best"/>
  </r>
  <r>
    <x v="23"/>
    <s v="No"/>
    <s v="Travel_Rarely"/>
    <n v="415"/>
    <x v="0"/>
    <n v="25"/>
    <n v="3"/>
    <s v="Medical"/>
    <n v="1"/>
    <n v="1076"/>
    <n v="3"/>
    <x v="1"/>
    <n v="79"/>
    <n v="2"/>
    <n v="3"/>
    <x v="0"/>
    <n v="4"/>
    <s v="Divorced"/>
    <n v="10798"/>
    <n v="5268"/>
    <n v="5"/>
    <s v="Y"/>
    <x v="1"/>
    <n v="13"/>
    <n v="3"/>
    <n v="3"/>
    <n v="80"/>
    <n v="1"/>
    <n v="18"/>
    <n v="5"/>
    <n v="3"/>
    <n v="1"/>
    <n v="0"/>
    <n v="0"/>
    <n v="0"/>
    <x v="1"/>
    <n v="1"/>
    <x v="0"/>
    <x v="2"/>
    <s v="0-1 Years"/>
    <s v="Very High"/>
    <s v="Better"/>
  </r>
  <r>
    <x v="35"/>
    <s v="Yes"/>
    <s v="Travel_Frequently"/>
    <n v="769"/>
    <x v="0"/>
    <n v="9"/>
    <n v="3"/>
    <s v="Marketing"/>
    <n v="1"/>
    <n v="1077"/>
    <n v="4"/>
    <x v="0"/>
    <n v="54"/>
    <n v="3"/>
    <n v="1"/>
    <x v="6"/>
    <n v="4"/>
    <s v="Single"/>
    <n v="2323"/>
    <n v="17205"/>
    <n v="1"/>
    <s v="Y"/>
    <x v="0"/>
    <n v="14"/>
    <n v="3"/>
    <n v="2"/>
    <n v="80"/>
    <n v="0"/>
    <n v="2"/>
    <n v="3"/>
    <n v="3"/>
    <n v="2"/>
    <n v="2"/>
    <n v="0"/>
    <n v="2"/>
    <x v="0"/>
    <n v="0"/>
    <x v="4"/>
    <x v="1"/>
    <s v="2-5 Years"/>
    <s v="Very High"/>
    <s v="Better"/>
  </r>
  <r>
    <x v="18"/>
    <s v="Yes"/>
    <s v="Travel_Rarely"/>
    <n v="1334"/>
    <x v="1"/>
    <n v="10"/>
    <n v="3"/>
    <s v="Life Sciences"/>
    <n v="1"/>
    <n v="1079"/>
    <n v="3"/>
    <x v="0"/>
    <n v="36"/>
    <n v="2"/>
    <n v="1"/>
    <x v="2"/>
    <n v="1"/>
    <s v="Single"/>
    <n v="1416"/>
    <n v="17258"/>
    <n v="1"/>
    <s v="Y"/>
    <x v="1"/>
    <n v="13"/>
    <n v="3"/>
    <n v="1"/>
    <n v="80"/>
    <n v="0"/>
    <n v="1"/>
    <n v="6"/>
    <n v="2"/>
    <n v="1"/>
    <n v="0"/>
    <n v="1"/>
    <n v="0"/>
    <x v="0"/>
    <n v="0"/>
    <x v="4"/>
    <x v="1"/>
    <s v="0-1 Years"/>
    <s v="Low"/>
    <s v="Good"/>
  </r>
  <r>
    <x v="21"/>
    <s v="No"/>
    <s v="Travel_Rarely"/>
    <n v="1003"/>
    <x v="1"/>
    <n v="8"/>
    <n v="4"/>
    <s v="Life Sciences"/>
    <n v="1"/>
    <n v="1080"/>
    <n v="4"/>
    <x v="0"/>
    <n v="74"/>
    <n v="2"/>
    <n v="2"/>
    <x v="1"/>
    <n v="1"/>
    <s v="Divorced"/>
    <n v="4615"/>
    <n v="21029"/>
    <n v="8"/>
    <s v="Y"/>
    <x v="0"/>
    <n v="23"/>
    <n v="4"/>
    <n v="1"/>
    <n v="80"/>
    <n v="3"/>
    <n v="19"/>
    <n v="2"/>
    <n v="3"/>
    <n v="16"/>
    <n v="13"/>
    <n v="1"/>
    <n v="7"/>
    <x v="1"/>
    <n v="1"/>
    <x v="1"/>
    <x v="0"/>
    <s v="10+ Years"/>
    <s v="Low"/>
    <s v="Better"/>
  </r>
  <r>
    <x v="31"/>
    <s v="Yes"/>
    <s v="Travel_Rarely"/>
    <n v="1323"/>
    <x v="1"/>
    <n v="4"/>
    <n v="4"/>
    <s v="Life Sciences"/>
    <n v="1"/>
    <n v="1081"/>
    <n v="1"/>
    <x v="1"/>
    <n v="34"/>
    <n v="3"/>
    <n v="1"/>
    <x v="1"/>
    <n v="3"/>
    <s v="Married"/>
    <n v="2461"/>
    <n v="10332"/>
    <n v="9"/>
    <s v="Y"/>
    <x v="0"/>
    <n v="12"/>
    <n v="3"/>
    <n v="3"/>
    <n v="80"/>
    <n v="3"/>
    <n v="18"/>
    <n v="2"/>
    <n v="4"/>
    <n v="10"/>
    <n v="0"/>
    <n v="2"/>
    <n v="7"/>
    <x v="0"/>
    <n v="0"/>
    <x v="1"/>
    <x v="1"/>
    <s v="6-10 Years"/>
    <s v="High"/>
    <s v="Best"/>
  </r>
  <r>
    <x v="14"/>
    <s v="Yes"/>
    <s v="Non-Travel"/>
    <n v="1366"/>
    <x v="1"/>
    <n v="24"/>
    <n v="2"/>
    <s v="Technical Degree"/>
    <n v="1"/>
    <n v="1082"/>
    <n v="2"/>
    <x v="1"/>
    <n v="72"/>
    <n v="2"/>
    <n v="3"/>
    <x v="4"/>
    <n v="1"/>
    <s v="Single"/>
    <n v="8722"/>
    <n v="12355"/>
    <n v="1"/>
    <s v="Y"/>
    <x v="1"/>
    <n v="12"/>
    <n v="3"/>
    <n v="1"/>
    <n v="80"/>
    <n v="0"/>
    <n v="10"/>
    <n v="2"/>
    <n v="2"/>
    <n v="10"/>
    <n v="7"/>
    <n v="1"/>
    <n v="9"/>
    <x v="0"/>
    <n v="0"/>
    <x v="2"/>
    <x v="2"/>
    <s v="6-10 Years"/>
    <s v="Low"/>
    <s v="Good"/>
  </r>
  <r>
    <x v="25"/>
    <s v="No"/>
    <s v="Travel_Rarely"/>
    <n v="192"/>
    <x v="1"/>
    <n v="1"/>
    <n v="2"/>
    <s v="Medical"/>
    <n v="1"/>
    <n v="1083"/>
    <n v="1"/>
    <x v="1"/>
    <n v="59"/>
    <n v="2"/>
    <n v="1"/>
    <x v="2"/>
    <n v="1"/>
    <s v="Married"/>
    <n v="3955"/>
    <n v="11141"/>
    <n v="1"/>
    <s v="Y"/>
    <x v="1"/>
    <n v="16"/>
    <n v="3"/>
    <n v="1"/>
    <n v="80"/>
    <n v="2"/>
    <n v="6"/>
    <n v="2"/>
    <n v="3"/>
    <n v="5"/>
    <n v="3"/>
    <n v="1"/>
    <n v="3"/>
    <x v="1"/>
    <n v="1"/>
    <x v="2"/>
    <x v="0"/>
    <s v="2-5 Years"/>
    <s v="Low"/>
    <s v="Better"/>
  </r>
  <r>
    <x v="7"/>
    <s v="No"/>
    <s v="Travel_Rarely"/>
    <n v="1176"/>
    <x v="1"/>
    <n v="20"/>
    <n v="3"/>
    <s v="Other"/>
    <n v="1"/>
    <n v="1084"/>
    <n v="3"/>
    <x v="1"/>
    <n v="85"/>
    <n v="3"/>
    <n v="2"/>
    <x v="3"/>
    <n v="1"/>
    <s v="Married"/>
    <n v="9957"/>
    <n v="9096"/>
    <n v="0"/>
    <s v="Y"/>
    <x v="1"/>
    <n v="15"/>
    <n v="3"/>
    <n v="3"/>
    <n v="80"/>
    <n v="1"/>
    <n v="7"/>
    <n v="1"/>
    <n v="2"/>
    <n v="6"/>
    <n v="2"/>
    <n v="0"/>
    <n v="2"/>
    <x v="1"/>
    <n v="1"/>
    <x v="2"/>
    <x v="2"/>
    <s v="6-10 Years"/>
    <s v="Low"/>
    <s v="Good"/>
  </r>
  <r>
    <x v="0"/>
    <s v="No"/>
    <s v="Travel_Rarely"/>
    <n v="509"/>
    <x v="1"/>
    <n v="7"/>
    <n v="2"/>
    <s v="Technical Degree"/>
    <n v="1"/>
    <n v="1085"/>
    <n v="2"/>
    <x v="0"/>
    <n v="43"/>
    <n v="4"/>
    <n v="1"/>
    <x v="1"/>
    <n v="3"/>
    <s v="Married"/>
    <n v="3376"/>
    <n v="18863"/>
    <n v="1"/>
    <s v="Y"/>
    <x v="1"/>
    <n v="13"/>
    <n v="3"/>
    <n v="3"/>
    <n v="80"/>
    <n v="0"/>
    <n v="10"/>
    <n v="3"/>
    <n v="3"/>
    <n v="10"/>
    <n v="6"/>
    <n v="0"/>
    <n v="8"/>
    <x v="1"/>
    <n v="1"/>
    <x v="0"/>
    <x v="0"/>
    <s v="6-10 Years"/>
    <s v="High"/>
    <s v="Better"/>
  </r>
  <r>
    <x v="8"/>
    <s v="No"/>
    <s v="Travel_Rarely"/>
    <n v="330"/>
    <x v="1"/>
    <n v="17"/>
    <n v="1"/>
    <s v="Life Sciences"/>
    <n v="1"/>
    <n v="1088"/>
    <n v="3"/>
    <x v="0"/>
    <n v="65"/>
    <n v="2"/>
    <n v="3"/>
    <x v="4"/>
    <n v="3"/>
    <s v="Married"/>
    <n v="8823"/>
    <n v="24608"/>
    <n v="0"/>
    <s v="Y"/>
    <x v="1"/>
    <n v="18"/>
    <n v="3"/>
    <n v="1"/>
    <n v="80"/>
    <n v="1"/>
    <n v="20"/>
    <n v="4"/>
    <n v="2"/>
    <n v="19"/>
    <n v="9"/>
    <n v="1"/>
    <n v="9"/>
    <x v="1"/>
    <n v="1"/>
    <x v="0"/>
    <x v="2"/>
    <s v="10+ Years"/>
    <s v="High"/>
    <s v="Good"/>
  </r>
  <r>
    <x v="32"/>
    <s v="No"/>
    <s v="Travel_Rarely"/>
    <n v="1492"/>
    <x v="1"/>
    <n v="20"/>
    <n v="4"/>
    <s v="Technical Degree"/>
    <n v="1"/>
    <n v="1092"/>
    <n v="1"/>
    <x v="1"/>
    <n v="61"/>
    <n v="3"/>
    <n v="3"/>
    <x v="4"/>
    <n v="4"/>
    <s v="Married"/>
    <n v="10322"/>
    <n v="26542"/>
    <n v="4"/>
    <s v="Y"/>
    <x v="1"/>
    <n v="20"/>
    <n v="4"/>
    <n v="4"/>
    <n v="80"/>
    <n v="1"/>
    <n v="14"/>
    <n v="6"/>
    <n v="3"/>
    <n v="11"/>
    <n v="10"/>
    <n v="11"/>
    <n v="1"/>
    <x v="1"/>
    <n v="1"/>
    <x v="0"/>
    <x v="2"/>
    <s v="10+ Years"/>
    <s v="Very High"/>
    <s v="Better"/>
  </r>
  <r>
    <x v="4"/>
    <s v="No"/>
    <s v="Non-Travel"/>
    <n v="1277"/>
    <x v="1"/>
    <n v="8"/>
    <n v="5"/>
    <s v="Life Sciences"/>
    <n v="1"/>
    <n v="1094"/>
    <n v="1"/>
    <x v="1"/>
    <n v="87"/>
    <n v="1"/>
    <n v="1"/>
    <x v="2"/>
    <n v="3"/>
    <s v="Married"/>
    <n v="4621"/>
    <n v="5869"/>
    <n v="1"/>
    <s v="Y"/>
    <x v="1"/>
    <n v="19"/>
    <n v="3"/>
    <n v="4"/>
    <n v="80"/>
    <n v="3"/>
    <n v="3"/>
    <n v="4"/>
    <n v="3"/>
    <n v="3"/>
    <n v="2"/>
    <n v="1"/>
    <n v="2"/>
    <x v="1"/>
    <n v="1"/>
    <x v="2"/>
    <x v="0"/>
    <s v="2-5 Years"/>
    <s v="High"/>
    <s v="Better"/>
  </r>
  <r>
    <x v="27"/>
    <s v="No"/>
    <s v="Travel_Frequently"/>
    <n v="1091"/>
    <x v="1"/>
    <n v="2"/>
    <n v="1"/>
    <s v="Life Sciences"/>
    <n v="1"/>
    <n v="1096"/>
    <n v="4"/>
    <x v="1"/>
    <n v="65"/>
    <n v="3"/>
    <n v="3"/>
    <x v="3"/>
    <n v="2"/>
    <s v="Married"/>
    <n v="10976"/>
    <n v="15813"/>
    <n v="3"/>
    <s v="Y"/>
    <x v="1"/>
    <n v="18"/>
    <n v="3"/>
    <n v="2"/>
    <n v="80"/>
    <n v="1"/>
    <n v="23"/>
    <n v="4"/>
    <n v="3"/>
    <n v="3"/>
    <n v="2"/>
    <n v="1"/>
    <n v="2"/>
    <x v="1"/>
    <n v="1"/>
    <x v="3"/>
    <x v="2"/>
    <s v="2-5 Years"/>
    <s v="Medium"/>
    <s v="Better"/>
  </r>
  <r>
    <x v="14"/>
    <s v="No"/>
    <s v="Travel_Rarely"/>
    <n v="857"/>
    <x v="1"/>
    <n v="10"/>
    <n v="3"/>
    <s v="Other"/>
    <n v="1"/>
    <n v="1097"/>
    <n v="3"/>
    <x v="0"/>
    <n v="59"/>
    <n v="3"/>
    <n v="2"/>
    <x v="1"/>
    <n v="3"/>
    <s v="Single"/>
    <n v="3660"/>
    <n v="7909"/>
    <n v="3"/>
    <s v="Y"/>
    <x v="1"/>
    <n v="13"/>
    <n v="3"/>
    <n v="4"/>
    <n v="80"/>
    <n v="0"/>
    <n v="10"/>
    <n v="4"/>
    <n v="4"/>
    <n v="8"/>
    <n v="7"/>
    <n v="1"/>
    <n v="7"/>
    <x v="1"/>
    <n v="1"/>
    <x v="2"/>
    <x v="0"/>
    <s v="6-10 Years"/>
    <s v="High"/>
    <s v="Best"/>
  </r>
  <r>
    <x v="20"/>
    <s v="Yes"/>
    <s v="Travel_Rarely"/>
    <n v="1376"/>
    <x v="2"/>
    <n v="1"/>
    <n v="2"/>
    <s v="Medical"/>
    <n v="1"/>
    <n v="1098"/>
    <n v="2"/>
    <x v="1"/>
    <n v="91"/>
    <n v="2"/>
    <n v="3"/>
    <x v="8"/>
    <n v="1"/>
    <s v="Married"/>
    <n v="10482"/>
    <n v="2326"/>
    <n v="9"/>
    <s v="Y"/>
    <x v="1"/>
    <n v="14"/>
    <n v="3"/>
    <n v="4"/>
    <n v="80"/>
    <n v="1"/>
    <n v="24"/>
    <n v="1"/>
    <n v="3"/>
    <n v="20"/>
    <n v="6"/>
    <n v="3"/>
    <n v="6"/>
    <x v="0"/>
    <n v="0"/>
    <x v="0"/>
    <x v="2"/>
    <s v="10+ Years"/>
    <s v="Low"/>
    <s v="Better"/>
  </r>
  <r>
    <x v="3"/>
    <s v="No"/>
    <s v="Travel_Rarely"/>
    <n v="654"/>
    <x v="1"/>
    <n v="5"/>
    <n v="3"/>
    <s v="Life Sciences"/>
    <n v="1"/>
    <n v="1099"/>
    <n v="4"/>
    <x v="1"/>
    <n v="34"/>
    <n v="2"/>
    <n v="3"/>
    <x v="4"/>
    <n v="4"/>
    <s v="Divorced"/>
    <n v="7119"/>
    <n v="21214"/>
    <n v="4"/>
    <s v="Y"/>
    <x v="1"/>
    <n v="15"/>
    <n v="3"/>
    <n v="3"/>
    <n v="80"/>
    <n v="1"/>
    <n v="9"/>
    <n v="2"/>
    <n v="3"/>
    <n v="3"/>
    <n v="2"/>
    <n v="1"/>
    <n v="2"/>
    <x v="1"/>
    <n v="1"/>
    <x v="2"/>
    <x v="2"/>
    <s v="2-5 Years"/>
    <s v="Very High"/>
    <s v="Better"/>
  </r>
  <r>
    <x v="10"/>
    <s v="Yes"/>
    <s v="Travel_Rarely"/>
    <n v="1204"/>
    <x v="0"/>
    <n v="4"/>
    <n v="3"/>
    <s v="Technical Degree"/>
    <n v="1"/>
    <n v="1100"/>
    <n v="4"/>
    <x v="1"/>
    <n v="86"/>
    <n v="3"/>
    <n v="3"/>
    <x v="0"/>
    <n v="1"/>
    <s v="Single"/>
    <n v="9582"/>
    <n v="10333"/>
    <n v="0"/>
    <s v="Y"/>
    <x v="0"/>
    <n v="22"/>
    <n v="4"/>
    <n v="1"/>
    <n v="80"/>
    <n v="0"/>
    <n v="9"/>
    <n v="2"/>
    <n v="3"/>
    <n v="8"/>
    <n v="7"/>
    <n v="4"/>
    <n v="7"/>
    <x v="0"/>
    <n v="0"/>
    <x v="0"/>
    <x v="2"/>
    <s v="6-10 Years"/>
    <s v="Low"/>
    <s v="Better"/>
  </r>
  <r>
    <x v="3"/>
    <s v="Yes"/>
    <s v="Travel_Frequently"/>
    <n v="827"/>
    <x v="1"/>
    <n v="29"/>
    <n v="4"/>
    <s v="Medical"/>
    <n v="1"/>
    <n v="1101"/>
    <n v="1"/>
    <x v="0"/>
    <n v="54"/>
    <n v="2"/>
    <n v="2"/>
    <x v="1"/>
    <n v="3"/>
    <s v="Single"/>
    <n v="4508"/>
    <n v="3129"/>
    <n v="1"/>
    <s v="Y"/>
    <x v="1"/>
    <n v="22"/>
    <n v="4"/>
    <n v="2"/>
    <n v="80"/>
    <n v="0"/>
    <n v="14"/>
    <n v="4"/>
    <n v="3"/>
    <n v="13"/>
    <n v="7"/>
    <n v="3"/>
    <n v="8"/>
    <x v="0"/>
    <n v="0"/>
    <x v="2"/>
    <x v="0"/>
    <s v="10+ Years"/>
    <s v="High"/>
    <s v="Better"/>
  </r>
  <r>
    <x v="14"/>
    <s v="No"/>
    <s v="Travel_Rarely"/>
    <n v="895"/>
    <x v="1"/>
    <n v="15"/>
    <n v="2"/>
    <s v="Life Sciences"/>
    <n v="1"/>
    <n v="1102"/>
    <n v="1"/>
    <x v="1"/>
    <n v="50"/>
    <n v="3"/>
    <n v="1"/>
    <x v="2"/>
    <n v="3"/>
    <s v="Divorced"/>
    <n v="2207"/>
    <n v="22482"/>
    <n v="1"/>
    <s v="Y"/>
    <x v="1"/>
    <n v="16"/>
    <n v="3"/>
    <n v="4"/>
    <n v="80"/>
    <n v="1"/>
    <n v="4"/>
    <n v="5"/>
    <n v="2"/>
    <n v="4"/>
    <n v="2"/>
    <n v="2"/>
    <n v="2"/>
    <x v="1"/>
    <n v="1"/>
    <x v="2"/>
    <x v="1"/>
    <s v="2-5 Years"/>
    <s v="High"/>
    <s v="Good"/>
  </r>
  <r>
    <x v="13"/>
    <s v="No"/>
    <s v="Travel_Frequently"/>
    <n v="618"/>
    <x v="1"/>
    <n v="3"/>
    <n v="1"/>
    <s v="Life Sciences"/>
    <n v="1"/>
    <n v="1103"/>
    <n v="1"/>
    <x v="1"/>
    <n v="45"/>
    <n v="3"/>
    <n v="2"/>
    <x v="4"/>
    <n v="4"/>
    <s v="Single"/>
    <n v="7756"/>
    <n v="22266"/>
    <n v="0"/>
    <s v="Y"/>
    <x v="1"/>
    <n v="17"/>
    <n v="3"/>
    <n v="3"/>
    <n v="80"/>
    <n v="0"/>
    <n v="7"/>
    <n v="1"/>
    <n v="2"/>
    <n v="6"/>
    <n v="2"/>
    <n v="0"/>
    <n v="4"/>
    <x v="1"/>
    <n v="1"/>
    <x v="2"/>
    <x v="2"/>
    <s v="6-10 Years"/>
    <s v="Very High"/>
    <s v="Good"/>
  </r>
  <r>
    <x v="2"/>
    <s v="No"/>
    <s v="Travel_Rarely"/>
    <n v="309"/>
    <x v="0"/>
    <n v="10"/>
    <n v="4"/>
    <s v="Life Sciences"/>
    <n v="1"/>
    <n v="1105"/>
    <n v="4"/>
    <x v="0"/>
    <n v="88"/>
    <n v="2"/>
    <n v="2"/>
    <x v="0"/>
    <n v="4"/>
    <s v="Divorced"/>
    <n v="6694"/>
    <n v="24223"/>
    <n v="2"/>
    <s v="Y"/>
    <x v="0"/>
    <n v="14"/>
    <n v="3"/>
    <n v="3"/>
    <n v="80"/>
    <n v="3"/>
    <n v="8"/>
    <n v="5"/>
    <n v="3"/>
    <n v="1"/>
    <n v="0"/>
    <n v="0"/>
    <n v="0"/>
    <x v="1"/>
    <n v="1"/>
    <x v="0"/>
    <x v="0"/>
    <s v="0-1 Years"/>
    <s v="Very High"/>
    <s v="Better"/>
  </r>
  <r>
    <x v="36"/>
    <s v="Yes"/>
    <s v="Travel_Rarely"/>
    <n v="1219"/>
    <x v="1"/>
    <n v="4"/>
    <n v="1"/>
    <s v="Technical Degree"/>
    <n v="1"/>
    <n v="1106"/>
    <n v="4"/>
    <x v="1"/>
    <n v="32"/>
    <n v="3"/>
    <n v="1"/>
    <x v="2"/>
    <n v="4"/>
    <s v="Married"/>
    <n v="3691"/>
    <n v="4605"/>
    <n v="1"/>
    <s v="Y"/>
    <x v="0"/>
    <n v="15"/>
    <n v="3"/>
    <n v="2"/>
    <n v="80"/>
    <n v="1"/>
    <n v="7"/>
    <n v="3"/>
    <n v="4"/>
    <n v="7"/>
    <n v="7"/>
    <n v="5"/>
    <n v="6"/>
    <x v="0"/>
    <n v="0"/>
    <x v="2"/>
    <x v="0"/>
    <s v="6-10 Years"/>
    <s v="Very High"/>
    <s v="Best"/>
  </r>
  <r>
    <x v="25"/>
    <s v="Yes"/>
    <s v="Travel_Rarely"/>
    <n v="1330"/>
    <x v="1"/>
    <n v="21"/>
    <n v="3"/>
    <s v="Medical"/>
    <n v="1"/>
    <n v="1107"/>
    <n v="1"/>
    <x v="1"/>
    <n v="37"/>
    <n v="3"/>
    <n v="1"/>
    <x v="2"/>
    <n v="3"/>
    <s v="Divorced"/>
    <n v="2377"/>
    <n v="19373"/>
    <n v="1"/>
    <s v="Y"/>
    <x v="1"/>
    <n v="20"/>
    <n v="4"/>
    <n v="3"/>
    <n v="80"/>
    <n v="1"/>
    <n v="1"/>
    <n v="0"/>
    <n v="2"/>
    <n v="1"/>
    <n v="1"/>
    <n v="0"/>
    <n v="0"/>
    <x v="0"/>
    <n v="0"/>
    <x v="2"/>
    <x v="1"/>
    <s v="0-1 Years"/>
    <s v="High"/>
    <s v="Good"/>
  </r>
  <r>
    <x v="3"/>
    <s v="Yes"/>
    <s v="Travel_Rarely"/>
    <n v="1017"/>
    <x v="1"/>
    <n v="25"/>
    <n v="3"/>
    <s v="Medical"/>
    <n v="1"/>
    <n v="1108"/>
    <n v="1"/>
    <x v="1"/>
    <n v="55"/>
    <n v="2"/>
    <n v="1"/>
    <x v="1"/>
    <n v="2"/>
    <s v="Single"/>
    <n v="2313"/>
    <n v="2993"/>
    <n v="4"/>
    <s v="Y"/>
    <x v="0"/>
    <n v="20"/>
    <n v="4"/>
    <n v="2"/>
    <n v="80"/>
    <n v="0"/>
    <n v="5"/>
    <n v="0"/>
    <n v="3"/>
    <n v="2"/>
    <n v="2"/>
    <n v="2"/>
    <n v="2"/>
    <x v="0"/>
    <n v="0"/>
    <x v="2"/>
    <x v="1"/>
    <s v="2-5 Years"/>
    <s v="Medium"/>
    <s v="Better"/>
  </r>
  <r>
    <x v="19"/>
    <s v="No"/>
    <s v="Travel_Rarely"/>
    <n v="469"/>
    <x v="1"/>
    <n v="2"/>
    <n v="2"/>
    <s v="Medical"/>
    <n v="1"/>
    <n v="1109"/>
    <n v="4"/>
    <x v="1"/>
    <n v="35"/>
    <n v="3"/>
    <n v="4"/>
    <x v="5"/>
    <n v="1"/>
    <s v="Married"/>
    <n v="17665"/>
    <n v="14399"/>
    <n v="0"/>
    <s v="Y"/>
    <x v="1"/>
    <n v="17"/>
    <n v="3"/>
    <n v="4"/>
    <n v="80"/>
    <n v="1"/>
    <n v="23"/>
    <n v="3"/>
    <n v="3"/>
    <n v="22"/>
    <n v="6"/>
    <n v="13"/>
    <n v="7"/>
    <x v="1"/>
    <n v="1"/>
    <x v="0"/>
    <x v="2"/>
    <s v="10+ Years"/>
    <s v="Low"/>
    <s v="Better"/>
  </r>
  <r>
    <x v="14"/>
    <s v="Yes"/>
    <s v="Travel_Frequently"/>
    <n v="1009"/>
    <x v="1"/>
    <n v="1"/>
    <n v="3"/>
    <s v="Medical"/>
    <n v="1"/>
    <n v="1111"/>
    <n v="1"/>
    <x v="1"/>
    <n v="45"/>
    <n v="2"/>
    <n v="1"/>
    <x v="2"/>
    <n v="2"/>
    <s v="Divorced"/>
    <n v="2596"/>
    <n v="7160"/>
    <n v="1"/>
    <s v="Y"/>
    <x v="1"/>
    <n v="15"/>
    <n v="3"/>
    <n v="1"/>
    <n v="80"/>
    <n v="2"/>
    <n v="1"/>
    <n v="2"/>
    <n v="3"/>
    <n v="1"/>
    <n v="0"/>
    <n v="0"/>
    <n v="0"/>
    <x v="0"/>
    <n v="0"/>
    <x v="2"/>
    <x v="1"/>
    <s v="0-1 Years"/>
    <s v="Medium"/>
    <s v="Better"/>
  </r>
  <r>
    <x v="24"/>
    <s v="Yes"/>
    <s v="Travel_Frequently"/>
    <n v="959"/>
    <x v="0"/>
    <n v="1"/>
    <n v="4"/>
    <s v="Other"/>
    <n v="1"/>
    <n v="1113"/>
    <n v="4"/>
    <x v="1"/>
    <n v="81"/>
    <n v="3"/>
    <n v="2"/>
    <x v="0"/>
    <n v="3"/>
    <s v="Single"/>
    <n v="4728"/>
    <n v="17251"/>
    <n v="3"/>
    <s v="Y"/>
    <x v="0"/>
    <n v="14"/>
    <n v="3"/>
    <n v="4"/>
    <n v="80"/>
    <n v="0"/>
    <n v="5"/>
    <n v="4"/>
    <n v="3"/>
    <n v="0"/>
    <n v="0"/>
    <n v="0"/>
    <n v="0"/>
    <x v="0"/>
    <n v="0"/>
    <x v="1"/>
    <x v="0"/>
    <s v="0-1 Years"/>
    <s v="High"/>
    <s v="Better"/>
  </r>
  <r>
    <x v="3"/>
    <s v="No"/>
    <s v="Travel_Frequently"/>
    <n v="970"/>
    <x v="0"/>
    <n v="7"/>
    <n v="3"/>
    <s v="Life Sciences"/>
    <n v="1"/>
    <n v="1114"/>
    <n v="4"/>
    <x v="0"/>
    <n v="30"/>
    <n v="3"/>
    <n v="2"/>
    <x v="0"/>
    <n v="2"/>
    <s v="Married"/>
    <n v="4302"/>
    <n v="13401"/>
    <n v="0"/>
    <s v="Y"/>
    <x v="1"/>
    <n v="17"/>
    <n v="3"/>
    <n v="3"/>
    <n v="80"/>
    <n v="1"/>
    <n v="4"/>
    <n v="3"/>
    <n v="3"/>
    <n v="3"/>
    <n v="2"/>
    <n v="0"/>
    <n v="2"/>
    <x v="1"/>
    <n v="1"/>
    <x v="2"/>
    <x v="0"/>
    <s v="2-5 Years"/>
    <s v="Medium"/>
    <s v="Better"/>
  </r>
  <r>
    <x v="13"/>
    <s v="No"/>
    <s v="Non-Travel"/>
    <n v="697"/>
    <x v="1"/>
    <n v="3"/>
    <n v="4"/>
    <s v="Life Sciences"/>
    <n v="1"/>
    <n v="1115"/>
    <n v="3"/>
    <x v="1"/>
    <n v="40"/>
    <n v="2"/>
    <n v="1"/>
    <x v="1"/>
    <n v="4"/>
    <s v="Married"/>
    <n v="2979"/>
    <n v="22478"/>
    <n v="3"/>
    <s v="Y"/>
    <x v="1"/>
    <n v="17"/>
    <n v="3"/>
    <n v="4"/>
    <n v="80"/>
    <n v="3"/>
    <n v="6"/>
    <n v="2"/>
    <n v="3"/>
    <n v="0"/>
    <n v="0"/>
    <n v="0"/>
    <n v="0"/>
    <x v="1"/>
    <n v="1"/>
    <x v="2"/>
    <x v="1"/>
    <s v="0-1 Years"/>
    <s v="Very High"/>
    <s v="Better"/>
  </r>
  <r>
    <x v="26"/>
    <s v="No"/>
    <s v="Non-Travel"/>
    <n v="1262"/>
    <x v="1"/>
    <n v="1"/>
    <n v="4"/>
    <s v="Medical"/>
    <n v="1"/>
    <n v="1116"/>
    <n v="1"/>
    <x v="1"/>
    <n v="35"/>
    <n v="4"/>
    <n v="4"/>
    <x v="5"/>
    <n v="4"/>
    <s v="Single"/>
    <n v="16885"/>
    <n v="16154"/>
    <n v="2"/>
    <s v="Y"/>
    <x v="1"/>
    <n v="22"/>
    <n v="4"/>
    <n v="3"/>
    <n v="80"/>
    <n v="0"/>
    <n v="27"/>
    <n v="3"/>
    <n v="2"/>
    <n v="5"/>
    <n v="4"/>
    <n v="2"/>
    <n v="1"/>
    <x v="1"/>
    <n v="1"/>
    <x v="1"/>
    <x v="2"/>
    <s v="2-5 Years"/>
    <s v="Very High"/>
    <s v="Good"/>
  </r>
  <r>
    <x v="28"/>
    <s v="No"/>
    <s v="Non-Travel"/>
    <n v="1050"/>
    <x v="0"/>
    <n v="9"/>
    <n v="4"/>
    <s v="Life Sciences"/>
    <n v="1"/>
    <n v="1117"/>
    <n v="2"/>
    <x v="0"/>
    <n v="65"/>
    <n v="2"/>
    <n v="2"/>
    <x v="0"/>
    <n v="3"/>
    <s v="Married"/>
    <n v="5593"/>
    <n v="17970"/>
    <n v="1"/>
    <s v="Y"/>
    <x v="1"/>
    <n v="13"/>
    <n v="3"/>
    <n v="4"/>
    <n v="80"/>
    <n v="1"/>
    <n v="15"/>
    <n v="2"/>
    <n v="3"/>
    <n v="15"/>
    <n v="10"/>
    <n v="4"/>
    <n v="12"/>
    <x v="1"/>
    <n v="1"/>
    <x v="1"/>
    <x v="0"/>
    <s v="10+ Years"/>
    <s v="High"/>
    <s v="Better"/>
  </r>
  <r>
    <x v="39"/>
    <s v="No"/>
    <s v="Travel_Rarely"/>
    <n v="994"/>
    <x v="1"/>
    <n v="7"/>
    <n v="4"/>
    <s v="Life Sciences"/>
    <n v="1"/>
    <n v="1118"/>
    <n v="2"/>
    <x v="1"/>
    <n v="87"/>
    <n v="3"/>
    <n v="3"/>
    <x v="4"/>
    <n v="2"/>
    <s v="Single"/>
    <n v="10445"/>
    <n v="15322"/>
    <n v="7"/>
    <s v="Y"/>
    <x v="1"/>
    <n v="19"/>
    <n v="3"/>
    <n v="4"/>
    <n v="80"/>
    <n v="0"/>
    <n v="18"/>
    <n v="4"/>
    <n v="3"/>
    <n v="8"/>
    <n v="6"/>
    <n v="4"/>
    <n v="0"/>
    <x v="1"/>
    <n v="1"/>
    <x v="1"/>
    <x v="2"/>
    <s v="6-10 Years"/>
    <s v="Medium"/>
    <s v="Better"/>
  </r>
  <r>
    <x v="8"/>
    <s v="No"/>
    <s v="Travel_Rarely"/>
    <n v="770"/>
    <x v="0"/>
    <n v="10"/>
    <n v="4"/>
    <s v="Marketing"/>
    <n v="1"/>
    <n v="1119"/>
    <n v="3"/>
    <x v="1"/>
    <n v="73"/>
    <n v="2"/>
    <n v="3"/>
    <x v="0"/>
    <n v="3"/>
    <s v="Divorced"/>
    <n v="8740"/>
    <n v="5569"/>
    <n v="0"/>
    <s v="Y"/>
    <x v="0"/>
    <n v="14"/>
    <n v="3"/>
    <n v="2"/>
    <n v="80"/>
    <n v="2"/>
    <n v="9"/>
    <n v="2"/>
    <n v="3"/>
    <n v="8"/>
    <n v="7"/>
    <n v="2"/>
    <n v="7"/>
    <x v="1"/>
    <n v="1"/>
    <x v="0"/>
    <x v="2"/>
    <s v="6-10 Years"/>
    <s v="High"/>
    <s v="Better"/>
  </r>
  <r>
    <x v="11"/>
    <s v="No"/>
    <s v="Travel_Rarely"/>
    <n v="1107"/>
    <x v="1"/>
    <n v="28"/>
    <n v="4"/>
    <s v="Life Sciences"/>
    <n v="1"/>
    <n v="1120"/>
    <n v="3"/>
    <x v="0"/>
    <n v="93"/>
    <n v="3"/>
    <n v="1"/>
    <x v="1"/>
    <n v="4"/>
    <s v="Divorced"/>
    <n v="2514"/>
    <n v="26968"/>
    <n v="4"/>
    <s v="Y"/>
    <x v="1"/>
    <n v="22"/>
    <n v="4"/>
    <n v="1"/>
    <n v="80"/>
    <n v="1"/>
    <n v="11"/>
    <n v="1"/>
    <n v="3"/>
    <n v="7"/>
    <n v="5"/>
    <n v="1"/>
    <n v="7"/>
    <x v="1"/>
    <n v="1"/>
    <x v="2"/>
    <x v="1"/>
    <s v="6-10 Years"/>
    <s v="Very High"/>
    <s v="Better"/>
  </r>
  <r>
    <x v="14"/>
    <s v="No"/>
    <s v="Travel_Rarely"/>
    <n v="950"/>
    <x v="1"/>
    <n v="3"/>
    <n v="3"/>
    <s v="Medical"/>
    <n v="1"/>
    <n v="1121"/>
    <n v="4"/>
    <x v="0"/>
    <n v="93"/>
    <n v="3"/>
    <n v="3"/>
    <x v="3"/>
    <n v="2"/>
    <s v="Divorced"/>
    <n v="7655"/>
    <n v="8039"/>
    <n v="0"/>
    <s v="Y"/>
    <x v="1"/>
    <n v="17"/>
    <n v="3"/>
    <n v="2"/>
    <n v="80"/>
    <n v="3"/>
    <n v="10"/>
    <n v="3"/>
    <n v="2"/>
    <n v="9"/>
    <n v="7"/>
    <n v="1"/>
    <n v="7"/>
    <x v="1"/>
    <n v="1"/>
    <x v="2"/>
    <x v="2"/>
    <s v="6-10 Years"/>
    <s v="Medium"/>
    <s v="Good"/>
  </r>
  <r>
    <x v="21"/>
    <s v="No"/>
    <s v="Travel_Rarely"/>
    <n v="406"/>
    <x v="0"/>
    <n v="3"/>
    <n v="1"/>
    <s v="Marketing"/>
    <n v="1"/>
    <n v="1124"/>
    <n v="1"/>
    <x v="1"/>
    <n v="52"/>
    <n v="3"/>
    <n v="4"/>
    <x v="5"/>
    <n v="3"/>
    <s v="Married"/>
    <n v="17465"/>
    <n v="15596"/>
    <n v="3"/>
    <s v="Y"/>
    <x v="1"/>
    <n v="12"/>
    <n v="3"/>
    <n v="4"/>
    <n v="80"/>
    <n v="1"/>
    <n v="23"/>
    <n v="3"/>
    <n v="3"/>
    <n v="12"/>
    <n v="9"/>
    <n v="4"/>
    <n v="9"/>
    <x v="1"/>
    <n v="1"/>
    <x v="1"/>
    <x v="2"/>
    <s v="10+ Years"/>
    <s v="High"/>
    <s v="Better"/>
  </r>
  <r>
    <x v="8"/>
    <s v="No"/>
    <s v="Travel_Rarely"/>
    <n v="130"/>
    <x v="0"/>
    <n v="2"/>
    <n v="2"/>
    <s v="Marketing"/>
    <n v="1"/>
    <n v="1125"/>
    <n v="4"/>
    <x v="1"/>
    <n v="32"/>
    <n v="3"/>
    <n v="3"/>
    <x v="0"/>
    <n v="2"/>
    <s v="Single"/>
    <n v="7351"/>
    <n v="20619"/>
    <n v="7"/>
    <s v="Y"/>
    <x v="1"/>
    <n v="16"/>
    <n v="3"/>
    <n v="3"/>
    <n v="80"/>
    <n v="0"/>
    <n v="10"/>
    <n v="2"/>
    <n v="3"/>
    <n v="1"/>
    <n v="0"/>
    <n v="0"/>
    <n v="0"/>
    <x v="1"/>
    <n v="1"/>
    <x v="0"/>
    <x v="2"/>
    <s v="0-1 Years"/>
    <s v="Medium"/>
    <s v="Better"/>
  </r>
  <r>
    <x v="23"/>
    <s v="No"/>
    <s v="Travel_Frequently"/>
    <n v="1082"/>
    <x v="1"/>
    <n v="27"/>
    <n v="3"/>
    <s v="Life Sciences"/>
    <n v="1"/>
    <n v="1126"/>
    <n v="3"/>
    <x v="0"/>
    <n v="83"/>
    <n v="3"/>
    <n v="3"/>
    <x v="3"/>
    <n v="1"/>
    <s v="Married"/>
    <n v="10820"/>
    <n v="11535"/>
    <n v="8"/>
    <s v="Y"/>
    <x v="1"/>
    <n v="11"/>
    <n v="3"/>
    <n v="3"/>
    <n v="80"/>
    <n v="1"/>
    <n v="18"/>
    <n v="1"/>
    <n v="3"/>
    <n v="8"/>
    <n v="7"/>
    <n v="0"/>
    <n v="1"/>
    <x v="1"/>
    <n v="1"/>
    <x v="0"/>
    <x v="2"/>
    <s v="6-10 Years"/>
    <s v="Low"/>
    <s v="Better"/>
  </r>
  <r>
    <x v="22"/>
    <s v="Yes"/>
    <s v="Travel_Frequently"/>
    <n v="203"/>
    <x v="1"/>
    <n v="2"/>
    <n v="3"/>
    <s v="Life Sciences"/>
    <n v="1"/>
    <n v="1127"/>
    <n v="1"/>
    <x v="1"/>
    <n v="84"/>
    <n v="3"/>
    <n v="4"/>
    <x v="4"/>
    <n v="4"/>
    <s v="Divorced"/>
    <n v="12169"/>
    <n v="13547"/>
    <n v="7"/>
    <s v="Y"/>
    <x v="1"/>
    <n v="11"/>
    <n v="3"/>
    <n v="4"/>
    <n v="80"/>
    <n v="3"/>
    <n v="21"/>
    <n v="4"/>
    <n v="3"/>
    <n v="18"/>
    <n v="7"/>
    <n v="11"/>
    <n v="5"/>
    <x v="0"/>
    <n v="0"/>
    <x v="0"/>
    <x v="2"/>
    <s v="10+ Years"/>
    <s v="Very High"/>
    <s v="Better"/>
  </r>
  <r>
    <x v="32"/>
    <s v="No"/>
    <s v="Travel_Rarely"/>
    <n v="1308"/>
    <x v="1"/>
    <n v="14"/>
    <n v="3"/>
    <s v="Medical"/>
    <n v="1"/>
    <n v="1128"/>
    <n v="3"/>
    <x v="1"/>
    <n v="44"/>
    <n v="2"/>
    <n v="5"/>
    <x v="7"/>
    <n v="3"/>
    <s v="Single"/>
    <n v="19626"/>
    <n v="17544"/>
    <n v="1"/>
    <s v="Y"/>
    <x v="1"/>
    <n v="14"/>
    <n v="3"/>
    <n v="1"/>
    <n v="80"/>
    <n v="0"/>
    <n v="21"/>
    <n v="2"/>
    <n v="4"/>
    <n v="20"/>
    <n v="7"/>
    <n v="4"/>
    <n v="9"/>
    <x v="1"/>
    <n v="1"/>
    <x v="0"/>
    <x v="2"/>
    <s v="10+ Years"/>
    <s v="High"/>
    <s v="Best"/>
  </r>
  <r>
    <x v="18"/>
    <s v="No"/>
    <s v="Travel_Rarely"/>
    <n v="984"/>
    <x v="1"/>
    <n v="1"/>
    <n v="1"/>
    <s v="Technical Degree"/>
    <n v="1"/>
    <n v="1131"/>
    <n v="4"/>
    <x v="0"/>
    <n v="70"/>
    <n v="2"/>
    <n v="1"/>
    <x v="1"/>
    <n v="2"/>
    <s v="Single"/>
    <n v="2070"/>
    <n v="25326"/>
    <n v="1"/>
    <s v="Y"/>
    <x v="0"/>
    <n v="11"/>
    <n v="3"/>
    <n v="3"/>
    <n v="80"/>
    <n v="0"/>
    <n v="2"/>
    <n v="6"/>
    <n v="4"/>
    <n v="2"/>
    <n v="2"/>
    <n v="2"/>
    <n v="2"/>
    <x v="1"/>
    <n v="1"/>
    <x v="4"/>
    <x v="1"/>
    <s v="2-5 Years"/>
    <s v="Medium"/>
    <s v="Best"/>
  </r>
  <r>
    <x v="22"/>
    <s v="No"/>
    <s v="Non-Travel"/>
    <n v="439"/>
    <x v="1"/>
    <n v="9"/>
    <n v="3"/>
    <s v="Life Sciences"/>
    <n v="1"/>
    <n v="1132"/>
    <n v="3"/>
    <x v="1"/>
    <n v="70"/>
    <n v="3"/>
    <n v="2"/>
    <x v="2"/>
    <n v="2"/>
    <s v="Single"/>
    <n v="6782"/>
    <n v="8770"/>
    <n v="9"/>
    <s v="Y"/>
    <x v="1"/>
    <n v="15"/>
    <n v="3"/>
    <n v="3"/>
    <n v="80"/>
    <n v="0"/>
    <n v="9"/>
    <n v="2"/>
    <n v="2"/>
    <n v="5"/>
    <n v="4"/>
    <n v="0"/>
    <n v="3"/>
    <x v="1"/>
    <n v="1"/>
    <x v="0"/>
    <x v="0"/>
    <s v="2-5 Years"/>
    <s v="Medium"/>
    <s v="Good"/>
  </r>
  <r>
    <x v="9"/>
    <s v="No"/>
    <s v="Non-Travel"/>
    <n v="217"/>
    <x v="1"/>
    <n v="18"/>
    <n v="4"/>
    <s v="Life Sciences"/>
    <n v="1"/>
    <n v="1133"/>
    <n v="1"/>
    <x v="1"/>
    <n v="78"/>
    <n v="3"/>
    <n v="2"/>
    <x v="3"/>
    <n v="4"/>
    <s v="Single"/>
    <n v="7779"/>
    <n v="23238"/>
    <n v="2"/>
    <s v="Y"/>
    <x v="1"/>
    <n v="20"/>
    <n v="4"/>
    <n v="1"/>
    <n v="80"/>
    <n v="0"/>
    <n v="18"/>
    <n v="0"/>
    <n v="3"/>
    <n v="11"/>
    <n v="9"/>
    <n v="0"/>
    <n v="9"/>
    <x v="1"/>
    <n v="1"/>
    <x v="0"/>
    <x v="2"/>
    <s v="10+ Years"/>
    <s v="Very High"/>
    <s v="Better"/>
  </r>
  <r>
    <x v="12"/>
    <s v="No"/>
    <s v="Travel_Frequently"/>
    <n v="793"/>
    <x v="0"/>
    <n v="20"/>
    <n v="3"/>
    <s v="Life Sciences"/>
    <n v="1"/>
    <n v="1135"/>
    <n v="3"/>
    <x v="1"/>
    <n v="67"/>
    <n v="4"/>
    <n v="1"/>
    <x v="6"/>
    <n v="4"/>
    <s v="Married"/>
    <n v="2791"/>
    <n v="21981"/>
    <n v="0"/>
    <s v="Y"/>
    <x v="1"/>
    <n v="12"/>
    <n v="3"/>
    <n v="1"/>
    <n v="80"/>
    <n v="1"/>
    <n v="3"/>
    <n v="4"/>
    <n v="3"/>
    <n v="2"/>
    <n v="2"/>
    <n v="2"/>
    <n v="2"/>
    <x v="1"/>
    <n v="1"/>
    <x v="2"/>
    <x v="1"/>
    <s v="2-5 Years"/>
    <s v="Very High"/>
    <s v="Better"/>
  </r>
  <r>
    <x v="14"/>
    <s v="No"/>
    <s v="Travel_Rarely"/>
    <n v="1451"/>
    <x v="1"/>
    <n v="2"/>
    <n v="1"/>
    <s v="Life Sciences"/>
    <n v="1"/>
    <n v="1136"/>
    <n v="1"/>
    <x v="1"/>
    <n v="67"/>
    <n v="2"/>
    <n v="1"/>
    <x v="1"/>
    <n v="2"/>
    <s v="Married"/>
    <n v="3201"/>
    <n v="19911"/>
    <n v="0"/>
    <s v="Y"/>
    <x v="1"/>
    <n v="17"/>
    <n v="3"/>
    <n v="1"/>
    <n v="80"/>
    <n v="0"/>
    <n v="6"/>
    <n v="2"/>
    <n v="1"/>
    <n v="5"/>
    <n v="3"/>
    <n v="0"/>
    <n v="4"/>
    <x v="1"/>
    <n v="1"/>
    <x v="2"/>
    <x v="0"/>
    <s v="2-5 Years"/>
    <s v="Medium"/>
    <s v="Bad"/>
  </r>
  <r>
    <x v="10"/>
    <s v="No"/>
    <s v="Travel_Frequently"/>
    <n v="1182"/>
    <x v="0"/>
    <n v="11"/>
    <n v="2"/>
    <s v="Marketing"/>
    <n v="1"/>
    <n v="1137"/>
    <n v="4"/>
    <x v="1"/>
    <n v="54"/>
    <n v="3"/>
    <n v="2"/>
    <x v="0"/>
    <n v="4"/>
    <s v="Divorced"/>
    <n v="4968"/>
    <n v="18500"/>
    <n v="1"/>
    <s v="Y"/>
    <x v="1"/>
    <n v="11"/>
    <n v="3"/>
    <n v="4"/>
    <n v="80"/>
    <n v="1"/>
    <n v="5"/>
    <n v="3"/>
    <n v="3"/>
    <n v="5"/>
    <n v="2"/>
    <n v="0"/>
    <n v="2"/>
    <x v="1"/>
    <n v="1"/>
    <x v="0"/>
    <x v="0"/>
    <s v="2-5 Years"/>
    <s v="Very High"/>
    <s v="Better"/>
  </r>
  <r>
    <x v="1"/>
    <s v="No"/>
    <s v="Travel_Rarely"/>
    <n v="174"/>
    <x v="0"/>
    <n v="8"/>
    <n v="4"/>
    <s v="Technical Degree"/>
    <n v="1"/>
    <n v="1138"/>
    <n v="4"/>
    <x v="1"/>
    <n v="56"/>
    <n v="2"/>
    <n v="4"/>
    <x v="0"/>
    <n v="2"/>
    <s v="Married"/>
    <n v="13120"/>
    <n v="11879"/>
    <n v="6"/>
    <s v="Y"/>
    <x v="1"/>
    <n v="17"/>
    <n v="3"/>
    <n v="2"/>
    <n v="80"/>
    <n v="1"/>
    <n v="22"/>
    <n v="3"/>
    <n v="3"/>
    <n v="9"/>
    <n v="8"/>
    <n v="2"/>
    <n v="3"/>
    <x v="1"/>
    <n v="1"/>
    <x v="1"/>
    <x v="2"/>
    <s v="6-10 Years"/>
    <s v="Medium"/>
    <s v="Better"/>
  </r>
  <r>
    <x v="13"/>
    <s v="No"/>
    <s v="Travel_Frequently"/>
    <n v="1003"/>
    <x v="1"/>
    <n v="2"/>
    <n v="2"/>
    <s v="Life Sciences"/>
    <n v="1"/>
    <n v="1140"/>
    <n v="4"/>
    <x v="1"/>
    <n v="95"/>
    <n v="3"/>
    <n v="2"/>
    <x v="3"/>
    <n v="3"/>
    <s v="Single"/>
    <n v="4033"/>
    <n v="15834"/>
    <n v="2"/>
    <s v="Y"/>
    <x v="1"/>
    <n v="11"/>
    <n v="3"/>
    <n v="4"/>
    <n v="80"/>
    <n v="0"/>
    <n v="5"/>
    <n v="3"/>
    <n v="2"/>
    <n v="3"/>
    <n v="2"/>
    <n v="0"/>
    <n v="2"/>
    <x v="1"/>
    <n v="1"/>
    <x v="2"/>
    <x v="0"/>
    <s v="2-5 Years"/>
    <s v="High"/>
    <s v="Good"/>
  </r>
  <r>
    <x v="11"/>
    <s v="No"/>
    <s v="Travel_Frequently"/>
    <n v="490"/>
    <x v="1"/>
    <n v="10"/>
    <n v="3"/>
    <s v="Life Sciences"/>
    <n v="1"/>
    <n v="1143"/>
    <n v="4"/>
    <x v="0"/>
    <n v="61"/>
    <n v="3"/>
    <n v="1"/>
    <x v="1"/>
    <n v="2"/>
    <s v="Divorced"/>
    <n v="3291"/>
    <n v="17940"/>
    <n v="0"/>
    <s v="Y"/>
    <x v="1"/>
    <n v="14"/>
    <n v="3"/>
    <n v="4"/>
    <n v="80"/>
    <n v="2"/>
    <n v="8"/>
    <n v="2"/>
    <n v="2"/>
    <n v="7"/>
    <n v="5"/>
    <n v="1"/>
    <n v="1"/>
    <x v="1"/>
    <n v="1"/>
    <x v="2"/>
    <x v="0"/>
    <s v="6-10 Years"/>
    <s v="Medium"/>
    <s v="Good"/>
  </r>
  <r>
    <x v="19"/>
    <s v="No"/>
    <s v="Travel_Rarely"/>
    <n v="188"/>
    <x v="1"/>
    <n v="29"/>
    <n v="3"/>
    <s v="Medical"/>
    <n v="1"/>
    <n v="1148"/>
    <n v="2"/>
    <x v="1"/>
    <n v="56"/>
    <n v="1"/>
    <n v="2"/>
    <x v="2"/>
    <n v="4"/>
    <s v="Single"/>
    <n v="4272"/>
    <n v="9558"/>
    <n v="4"/>
    <s v="Y"/>
    <x v="1"/>
    <n v="19"/>
    <n v="3"/>
    <n v="1"/>
    <n v="80"/>
    <n v="0"/>
    <n v="16"/>
    <n v="3"/>
    <n v="3"/>
    <n v="1"/>
    <n v="0"/>
    <n v="0"/>
    <n v="0"/>
    <x v="1"/>
    <n v="1"/>
    <x v="0"/>
    <x v="0"/>
    <s v="0-1 Years"/>
    <s v="Very High"/>
    <s v="Better"/>
  </r>
  <r>
    <x v="11"/>
    <s v="No"/>
    <s v="Travel_Rarely"/>
    <n v="718"/>
    <x v="1"/>
    <n v="8"/>
    <n v="1"/>
    <s v="Medical"/>
    <n v="1"/>
    <n v="1150"/>
    <n v="2"/>
    <x v="1"/>
    <n v="79"/>
    <n v="2"/>
    <n v="2"/>
    <x v="3"/>
    <n v="4"/>
    <s v="Married"/>
    <n v="5056"/>
    <n v="17689"/>
    <n v="1"/>
    <s v="Y"/>
    <x v="0"/>
    <n v="15"/>
    <n v="3"/>
    <n v="3"/>
    <n v="80"/>
    <n v="1"/>
    <n v="10"/>
    <n v="2"/>
    <n v="2"/>
    <n v="10"/>
    <n v="7"/>
    <n v="1"/>
    <n v="2"/>
    <x v="1"/>
    <n v="1"/>
    <x v="2"/>
    <x v="0"/>
    <s v="6-10 Years"/>
    <s v="Very High"/>
    <s v="Good"/>
  </r>
  <r>
    <x v="8"/>
    <s v="No"/>
    <s v="Travel_Rarely"/>
    <n v="433"/>
    <x v="2"/>
    <n v="1"/>
    <n v="3"/>
    <s v="Human Resources"/>
    <n v="1"/>
    <n v="1152"/>
    <n v="3"/>
    <x v="1"/>
    <n v="37"/>
    <n v="4"/>
    <n v="1"/>
    <x v="8"/>
    <n v="3"/>
    <s v="Married"/>
    <n v="2844"/>
    <n v="6004"/>
    <n v="1"/>
    <s v="Y"/>
    <x v="1"/>
    <n v="13"/>
    <n v="3"/>
    <n v="4"/>
    <n v="80"/>
    <n v="1"/>
    <n v="7"/>
    <n v="2"/>
    <n v="4"/>
    <n v="7"/>
    <n v="6"/>
    <n v="5"/>
    <n v="0"/>
    <x v="1"/>
    <n v="1"/>
    <x v="0"/>
    <x v="1"/>
    <s v="6-10 Years"/>
    <s v="High"/>
    <s v="Best"/>
  </r>
  <r>
    <x v="14"/>
    <s v="No"/>
    <s v="Travel_Frequently"/>
    <n v="773"/>
    <x v="1"/>
    <n v="6"/>
    <n v="3"/>
    <s v="Life Sciences"/>
    <n v="1"/>
    <n v="1154"/>
    <n v="3"/>
    <x v="1"/>
    <n v="39"/>
    <n v="2"/>
    <n v="1"/>
    <x v="1"/>
    <n v="3"/>
    <s v="Divorced"/>
    <n v="2703"/>
    <n v="22088"/>
    <n v="1"/>
    <s v="Y"/>
    <x v="0"/>
    <n v="14"/>
    <n v="3"/>
    <n v="4"/>
    <n v="80"/>
    <n v="1"/>
    <n v="3"/>
    <n v="2"/>
    <n v="3"/>
    <n v="3"/>
    <n v="1"/>
    <n v="0"/>
    <n v="2"/>
    <x v="1"/>
    <n v="1"/>
    <x v="2"/>
    <x v="1"/>
    <s v="2-5 Years"/>
    <s v="High"/>
    <s v="Better"/>
  </r>
  <r>
    <x v="41"/>
    <s v="Yes"/>
    <s v="Non-Travel"/>
    <n v="247"/>
    <x v="1"/>
    <n v="8"/>
    <n v="1"/>
    <s v="Medical"/>
    <n v="1"/>
    <n v="1156"/>
    <n v="3"/>
    <x v="1"/>
    <n v="80"/>
    <n v="3"/>
    <n v="1"/>
    <x v="2"/>
    <n v="3"/>
    <s v="Single"/>
    <n v="1904"/>
    <n v="13556"/>
    <n v="1"/>
    <s v="Y"/>
    <x v="1"/>
    <n v="12"/>
    <n v="3"/>
    <n v="4"/>
    <n v="80"/>
    <n v="0"/>
    <n v="0"/>
    <n v="0"/>
    <n v="3"/>
    <n v="0"/>
    <n v="0"/>
    <n v="0"/>
    <n v="0"/>
    <x v="0"/>
    <n v="0"/>
    <x v="4"/>
    <x v="1"/>
    <s v="0-1 Years"/>
    <s v="High"/>
    <s v="Better"/>
  </r>
  <r>
    <x v="3"/>
    <s v="Yes"/>
    <s v="Travel_Rarely"/>
    <n v="603"/>
    <x v="0"/>
    <n v="9"/>
    <n v="4"/>
    <s v="Marketing"/>
    <n v="1"/>
    <n v="1157"/>
    <n v="1"/>
    <x v="0"/>
    <n v="77"/>
    <n v="3"/>
    <n v="2"/>
    <x v="0"/>
    <n v="1"/>
    <s v="Single"/>
    <n v="8224"/>
    <n v="18385"/>
    <n v="0"/>
    <s v="Y"/>
    <x v="0"/>
    <n v="17"/>
    <n v="3"/>
    <n v="1"/>
    <n v="80"/>
    <n v="0"/>
    <n v="6"/>
    <n v="3"/>
    <n v="3"/>
    <n v="5"/>
    <n v="2"/>
    <n v="0"/>
    <n v="3"/>
    <x v="0"/>
    <n v="0"/>
    <x v="2"/>
    <x v="2"/>
    <s v="2-5 Years"/>
    <s v="Low"/>
    <s v="Better"/>
  </r>
  <r>
    <x v="0"/>
    <s v="No"/>
    <s v="Travel_Rarely"/>
    <n v="167"/>
    <x v="1"/>
    <n v="12"/>
    <n v="4"/>
    <s v="Life Sciences"/>
    <n v="1"/>
    <n v="1158"/>
    <n v="2"/>
    <x v="1"/>
    <n v="46"/>
    <n v="3"/>
    <n v="1"/>
    <x v="2"/>
    <n v="4"/>
    <s v="Married"/>
    <n v="4766"/>
    <n v="9051"/>
    <n v="3"/>
    <s v="Y"/>
    <x v="0"/>
    <n v="11"/>
    <n v="3"/>
    <n v="1"/>
    <n v="80"/>
    <n v="1"/>
    <n v="6"/>
    <n v="4"/>
    <n v="3"/>
    <n v="1"/>
    <n v="0"/>
    <n v="0"/>
    <n v="0"/>
    <x v="1"/>
    <n v="1"/>
    <x v="0"/>
    <x v="0"/>
    <s v="0-1 Years"/>
    <s v="Very High"/>
    <s v="Better"/>
  </r>
  <r>
    <x v="12"/>
    <s v="Yes"/>
    <s v="Travel_Frequently"/>
    <n v="874"/>
    <x v="1"/>
    <n v="15"/>
    <n v="3"/>
    <s v="Medical"/>
    <n v="1"/>
    <n v="1160"/>
    <n v="3"/>
    <x v="1"/>
    <n v="72"/>
    <n v="3"/>
    <n v="1"/>
    <x v="2"/>
    <n v="3"/>
    <s v="Married"/>
    <n v="2610"/>
    <n v="6233"/>
    <n v="1"/>
    <s v="Y"/>
    <x v="1"/>
    <n v="12"/>
    <n v="3"/>
    <n v="3"/>
    <n v="80"/>
    <n v="1"/>
    <n v="2"/>
    <n v="5"/>
    <n v="2"/>
    <n v="2"/>
    <n v="2"/>
    <n v="2"/>
    <n v="2"/>
    <x v="0"/>
    <n v="0"/>
    <x v="2"/>
    <x v="1"/>
    <s v="2-5 Years"/>
    <s v="High"/>
    <s v="Good"/>
  </r>
  <r>
    <x v="2"/>
    <s v="No"/>
    <s v="Travel_Rarely"/>
    <n v="367"/>
    <x v="1"/>
    <n v="25"/>
    <n v="2"/>
    <s v="Medical"/>
    <n v="1"/>
    <n v="1161"/>
    <n v="3"/>
    <x v="0"/>
    <n v="52"/>
    <n v="2"/>
    <n v="2"/>
    <x v="4"/>
    <n v="4"/>
    <s v="Divorced"/>
    <n v="5731"/>
    <n v="17171"/>
    <n v="7"/>
    <s v="Y"/>
    <x v="1"/>
    <n v="13"/>
    <n v="3"/>
    <n v="3"/>
    <n v="80"/>
    <n v="2"/>
    <n v="9"/>
    <n v="2"/>
    <n v="3"/>
    <n v="6"/>
    <n v="2"/>
    <n v="1"/>
    <n v="3"/>
    <x v="1"/>
    <n v="1"/>
    <x v="0"/>
    <x v="0"/>
    <s v="6-10 Years"/>
    <s v="Very High"/>
    <s v="Better"/>
  </r>
  <r>
    <x v="4"/>
    <s v="No"/>
    <s v="Travel_Rarely"/>
    <n v="199"/>
    <x v="1"/>
    <n v="6"/>
    <n v="3"/>
    <s v="Life Sciences"/>
    <n v="1"/>
    <n v="1162"/>
    <n v="4"/>
    <x v="1"/>
    <n v="55"/>
    <n v="2"/>
    <n v="1"/>
    <x v="1"/>
    <n v="3"/>
    <s v="Married"/>
    <n v="2539"/>
    <n v="7950"/>
    <n v="1"/>
    <s v="Y"/>
    <x v="1"/>
    <n v="13"/>
    <n v="3"/>
    <n v="3"/>
    <n v="80"/>
    <n v="1"/>
    <n v="4"/>
    <n v="0"/>
    <n v="3"/>
    <n v="4"/>
    <n v="2"/>
    <n v="2"/>
    <n v="2"/>
    <x v="1"/>
    <n v="1"/>
    <x v="2"/>
    <x v="1"/>
    <s v="2-5 Years"/>
    <s v="High"/>
    <s v="Better"/>
  </r>
  <r>
    <x v="13"/>
    <s v="No"/>
    <s v="Travel_Rarely"/>
    <n v="1400"/>
    <x v="0"/>
    <n v="9"/>
    <n v="1"/>
    <s v="Life Sciences"/>
    <n v="1"/>
    <n v="1163"/>
    <n v="2"/>
    <x v="0"/>
    <n v="70"/>
    <n v="3"/>
    <n v="2"/>
    <x v="0"/>
    <n v="3"/>
    <s v="Married"/>
    <n v="5714"/>
    <n v="5829"/>
    <n v="1"/>
    <s v="Y"/>
    <x v="1"/>
    <n v="20"/>
    <n v="4"/>
    <n v="1"/>
    <n v="80"/>
    <n v="0"/>
    <n v="6"/>
    <n v="3"/>
    <n v="2"/>
    <n v="6"/>
    <n v="5"/>
    <n v="1"/>
    <n v="3"/>
    <x v="1"/>
    <n v="1"/>
    <x v="2"/>
    <x v="0"/>
    <s v="6-10 Years"/>
    <s v="High"/>
    <s v="Good"/>
  </r>
  <r>
    <x v="10"/>
    <s v="No"/>
    <s v="Travel_Rarely"/>
    <n v="528"/>
    <x v="2"/>
    <n v="8"/>
    <n v="4"/>
    <s v="Technical Degree"/>
    <n v="1"/>
    <n v="1164"/>
    <n v="3"/>
    <x v="1"/>
    <n v="100"/>
    <n v="3"/>
    <n v="1"/>
    <x v="8"/>
    <n v="3"/>
    <s v="Single"/>
    <n v="4323"/>
    <n v="7108"/>
    <n v="1"/>
    <s v="Y"/>
    <x v="1"/>
    <n v="17"/>
    <n v="3"/>
    <n v="2"/>
    <n v="80"/>
    <n v="0"/>
    <n v="6"/>
    <n v="2"/>
    <n v="1"/>
    <n v="5"/>
    <n v="4"/>
    <n v="1"/>
    <n v="4"/>
    <x v="1"/>
    <n v="1"/>
    <x v="0"/>
    <x v="0"/>
    <s v="2-5 Years"/>
    <s v="High"/>
    <s v="Bad"/>
  </r>
  <r>
    <x v="11"/>
    <s v="Yes"/>
    <s v="Travel_Rarely"/>
    <n v="408"/>
    <x v="0"/>
    <n v="23"/>
    <n v="1"/>
    <s v="Life Sciences"/>
    <n v="1"/>
    <n v="1165"/>
    <n v="4"/>
    <x v="0"/>
    <n v="45"/>
    <n v="2"/>
    <n v="3"/>
    <x v="0"/>
    <n v="1"/>
    <s v="Married"/>
    <n v="7336"/>
    <n v="11162"/>
    <n v="1"/>
    <s v="Y"/>
    <x v="1"/>
    <n v="13"/>
    <n v="3"/>
    <n v="1"/>
    <n v="80"/>
    <n v="1"/>
    <n v="11"/>
    <n v="3"/>
    <n v="1"/>
    <n v="11"/>
    <n v="8"/>
    <n v="3"/>
    <n v="10"/>
    <x v="0"/>
    <n v="0"/>
    <x v="2"/>
    <x v="2"/>
    <s v="10+ Years"/>
    <s v="Low"/>
    <s v="Bad"/>
  </r>
  <r>
    <x v="32"/>
    <s v="No"/>
    <s v="Travel_Frequently"/>
    <n v="593"/>
    <x v="1"/>
    <n v="9"/>
    <n v="4"/>
    <s v="Medical"/>
    <n v="1"/>
    <n v="1166"/>
    <n v="2"/>
    <x v="0"/>
    <n v="88"/>
    <n v="3"/>
    <n v="3"/>
    <x v="7"/>
    <n v="3"/>
    <s v="Single"/>
    <n v="13499"/>
    <n v="13782"/>
    <n v="9"/>
    <s v="Y"/>
    <x v="1"/>
    <n v="17"/>
    <n v="3"/>
    <n v="3"/>
    <n v="80"/>
    <n v="0"/>
    <n v="20"/>
    <n v="3"/>
    <n v="2"/>
    <n v="18"/>
    <n v="7"/>
    <n v="2"/>
    <n v="13"/>
    <x v="1"/>
    <n v="1"/>
    <x v="0"/>
    <x v="2"/>
    <s v="10+ Years"/>
    <s v="High"/>
    <s v="Good"/>
  </r>
  <r>
    <x v="19"/>
    <s v="Yes"/>
    <s v="Travel_Frequently"/>
    <n v="481"/>
    <x v="0"/>
    <n v="12"/>
    <n v="3"/>
    <s v="Life Sciences"/>
    <n v="1"/>
    <n v="1167"/>
    <n v="3"/>
    <x v="1"/>
    <n v="44"/>
    <n v="3"/>
    <n v="4"/>
    <x v="0"/>
    <n v="1"/>
    <s v="Single"/>
    <n v="13758"/>
    <n v="2447"/>
    <n v="0"/>
    <s v="Y"/>
    <x v="0"/>
    <n v="12"/>
    <n v="3"/>
    <n v="2"/>
    <n v="80"/>
    <n v="0"/>
    <n v="22"/>
    <n v="2"/>
    <n v="2"/>
    <n v="21"/>
    <n v="9"/>
    <n v="13"/>
    <n v="14"/>
    <x v="0"/>
    <n v="0"/>
    <x v="0"/>
    <x v="2"/>
    <s v="10+ Years"/>
    <s v="Low"/>
    <s v="Good"/>
  </r>
  <r>
    <x v="19"/>
    <s v="No"/>
    <s v="Travel_Rarely"/>
    <n v="647"/>
    <x v="0"/>
    <n v="4"/>
    <n v="4"/>
    <s v="Marketing"/>
    <n v="1"/>
    <n v="1171"/>
    <n v="2"/>
    <x v="1"/>
    <n v="45"/>
    <n v="3"/>
    <n v="2"/>
    <x v="0"/>
    <n v="1"/>
    <s v="Single"/>
    <n v="5155"/>
    <n v="2253"/>
    <n v="7"/>
    <s v="Y"/>
    <x v="1"/>
    <n v="13"/>
    <n v="3"/>
    <n v="4"/>
    <n v="80"/>
    <n v="0"/>
    <n v="9"/>
    <n v="3"/>
    <n v="4"/>
    <n v="6"/>
    <n v="4"/>
    <n v="1"/>
    <n v="5"/>
    <x v="1"/>
    <n v="1"/>
    <x v="0"/>
    <x v="0"/>
    <s v="6-10 Years"/>
    <s v="Low"/>
    <s v="Best"/>
  </r>
  <r>
    <x v="10"/>
    <s v="No"/>
    <s v="Travel_Rarely"/>
    <n v="982"/>
    <x v="1"/>
    <n v="1"/>
    <n v="4"/>
    <s v="Medical"/>
    <n v="1"/>
    <n v="1172"/>
    <n v="4"/>
    <x v="1"/>
    <n v="58"/>
    <n v="2"/>
    <n v="1"/>
    <x v="2"/>
    <n v="3"/>
    <s v="Married"/>
    <n v="2258"/>
    <n v="16340"/>
    <n v="6"/>
    <s v="Y"/>
    <x v="1"/>
    <n v="12"/>
    <n v="3"/>
    <n v="2"/>
    <n v="80"/>
    <n v="1"/>
    <n v="10"/>
    <n v="2"/>
    <n v="3"/>
    <n v="8"/>
    <n v="0"/>
    <n v="1"/>
    <n v="7"/>
    <x v="1"/>
    <n v="1"/>
    <x v="0"/>
    <x v="1"/>
    <s v="6-10 Years"/>
    <s v="High"/>
    <s v="Better"/>
  </r>
  <r>
    <x v="17"/>
    <s v="No"/>
    <s v="Travel_Rarely"/>
    <n v="477"/>
    <x v="1"/>
    <n v="24"/>
    <n v="3"/>
    <s v="Medical"/>
    <n v="1"/>
    <n v="1173"/>
    <n v="4"/>
    <x v="1"/>
    <n v="49"/>
    <n v="3"/>
    <n v="1"/>
    <x v="2"/>
    <n v="2"/>
    <s v="Single"/>
    <n v="3597"/>
    <n v="6409"/>
    <n v="8"/>
    <s v="Y"/>
    <x v="1"/>
    <n v="22"/>
    <n v="4"/>
    <n v="4"/>
    <n v="80"/>
    <n v="0"/>
    <n v="6"/>
    <n v="2"/>
    <n v="3"/>
    <n v="4"/>
    <n v="3"/>
    <n v="1"/>
    <n v="2"/>
    <x v="1"/>
    <n v="1"/>
    <x v="4"/>
    <x v="0"/>
    <s v="2-5 Years"/>
    <s v="Medium"/>
    <s v="Better"/>
  </r>
  <r>
    <x v="14"/>
    <s v="Yes"/>
    <s v="Travel_Rarely"/>
    <n v="1485"/>
    <x v="1"/>
    <n v="12"/>
    <n v="1"/>
    <s v="Life Sciences"/>
    <n v="1"/>
    <n v="1175"/>
    <n v="3"/>
    <x v="0"/>
    <n v="79"/>
    <n v="3"/>
    <n v="1"/>
    <x v="2"/>
    <n v="4"/>
    <s v="Married"/>
    <n v="2515"/>
    <n v="22955"/>
    <n v="1"/>
    <s v="Y"/>
    <x v="0"/>
    <n v="11"/>
    <n v="3"/>
    <n v="4"/>
    <n v="80"/>
    <n v="0"/>
    <n v="1"/>
    <n v="4"/>
    <n v="2"/>
    <n v="1"/>
    <n v="1"/>
    <n v="0"/>
    <n v="0"/>
    <x v="0"/>
    <n v="0"/>
    <x v="2"/>
    <x v="1"/>
    <s v="0-1 Years"/>
    <s v="Very High"/>
    <s v="Good"/>
  </r>
  <r>
    <x v="25"/>
    <s v="No"/>
    <s v="Travel_Rarely"/>
    <n v="1384"/>
    <x v="1"/>
    <n v="3"/>
    <n v="4"/>
    <s v="Medical"/>
    <n v="1"/>
    <n v="1177"/>
    <n v="1"/>
    <x v="1"/>
    <n v="82"/>
    <n v="4"/>
    <n v="1"/>
    <x v="2"/>
    <n v="4"/>
    <s v="Married"/>
    <n v="4420"/>
    <n v="13421"/>
    <n v="1"/>
    <s v="Y"/>
    <x v="1"/>
    <n v="22"/>
    <n v="4"/>
    <n v="2"/>
    <n v="80"/>
    <n v="1"/>
    <n v="8"/>
    <n v="2"/>
    <n v="3"/>
    <n v="8"/>
    <n v="7"/>
    <n v="0"/>
    <n v="7"/>
    <x v="1"/>
    <n v="1"/>
    <x v="2"/>
    <x v="0"/>
    <s v="6-10 Years"/>
    <s v="Very High"/>
    <s v="Better"/>
  </r>
  <r>
    <x v="7"/>
    <s v="No"/>
    <s v="Travel_Rarely"/>
    <n v="852"/>
    <x v="0"/>
    <n v="10"/>
    <n v="3"/>
    <s v="Marketing"/>
    <n v="1"/>
    <n v="1179"/>
    <n v="3"/>
    <x v="1"/>
    <n v="72"/>
    <n v="2"/>
    <n v="2"/>
    <x v="0"/>
    <n v="3"/>
    <s v="Married"/>
    <n v="6578"/>
    <n v="2706"/>
    <n v="1"/>
    <s v="Y"/>
    <x v="1"/>
    <n v="18"/>
    <n v="3"/>
    <n v="1"/>
    <n v="80"/>
    <n v="1"/>
    <n v="10"/>
    <n v="3"/>
    <n v="3"/>
    <n v="10"/>
    <n v="3"/>
    <n v="1"/>
    <n v="4"/>
    <x v="1"/>
    <n v="1"/>
    <x v="2"/>
    <x v="0"/>
    <s v="6-10 Years"/>
    <s v="High"/>
    <s v="Better"/>
  </r>
  <r>
    <x v="32"/>
    <s v="No"/>
    <s v="Travel_Frequently"/>
    <n v="902"/>
    <x v="1"/>
    <n v="26"/>
    <n v="2"/>
    <s v="Medical"/>
    <n v="1"/>
    <n v="1180"/>
    <n v="3"/>
    <x v="0"/>
    <n v="92"/>
    <n v="2"/>
    <n v="2"/>
    <x v="1"/>
    <n v="4"/>
    <s v="Married"/>
    <n v="4422"/>
    <n v="21203"/>
    <n v="3"/>
    <s v="Y"/>
    <x v="0"/>
    <n v="13"/>
    <n v="3"/>
    <n v="4"/>
    <n v="80"/>
    <n v="1"/>
    <n v="16"/>
    <n v="3"/>
    <n v="1"/>
    <n v="1"/>
    <n v="1"/>
    <n v="0"/>
    <n v="0"/>
    <x v="1"/>
    <n v="1"/>
    <x v="0"/>
    <x v="0"/>
    <s v="0-1 Years"/>
    <s v="Very High"/>
    <s v="Bad"/>
  </r>
  <r>
    <x v="10"/>
    <s v="No"/>
    <s v="Travel_Rarely"/>
    <n v="819"/>
    <x v="1"/>
    <n v="2"/>
    <n v="3"/>
    <s v="Life Sciences"/>
    <n v="1"/>
    <n v="1182"/>
    <n v="3"/>
    <x v="1"/>
    <n v="44"/>
    <n v="2"/>
    <n v="3"/>
    <x v="3"/>
    <n v="2"/>
    <s v="Divorced"/>
    <n v="10274"/>
    <n v="19588"/>
    <n v="2"/>
    <s v="Y"/>
    <x v="1"/>
    <n v="18"/>
    <n v="3"/>
    <n v="2"/>
    <n v="80"/>
    <n v="1"/>
    <n v="15"/>
    <n v="2"/>
    <n v="4"/>
    <n v="7"/>
    <n v="7"/>
    <n v="6"/>
    <n v="4"/>
    <x v="1"/>
    <n v="1"/>
    <x v="0"/>
    <x v="2"/>
    <s v="6-10 Years"/>
    <s v="Medium"/>
    <s v="Best"/>
  </r>
  <r>
    <x v="13"/>
    <s v="No"/>
    <s v="Travel_Frequently"/>
    <n v="669"/>
    <x v="1"/>
    <n v="1"/>
    <n v="3"/>
    <s v="Medical"/>
    <n v="1"/>
    <n v="1184"/>
    <n v="4"/>
    <x v="1"/>
    <n v="97"/>
    <n v="2"/>
    <n v="2"/>
    <x v="4"/>
    <n v="1"/>
    <s v="Single"/>
    <n v="5343"/>
    <n v="25755"/>
    <n v="0"/>
    <s v="Y"/>
    <x v="1"/>
    <n v="20"/>
    <n v="4"/>
    <n v="3"/>
    <n v="80"/>
    <n v="0"/>
    <n v="14"/>
    <n v="3"/>
    <n v="3"/>
    <n v="13"/>
    <n v="9"/>
    <n v="4"/>
    <n v="9"/>
    <x v="1"/>
    <n v="1"/>
    <x v="2"/>
    <x v="0"/>
    <s v="10+ Years"/>
    <s v="Low"/>
    <s v="Better"/>
  </r>
  <r>
    <x v="10"/>
    <s v="No"/>
    <s v="Travel_Frequently"/>
    <n v="636"/>
    <x v="1"/>
    <n v="4"/>
    <n v="4"/>
    <s v="Other"/>
    <n v="1"/>
    <n v="1185"/>
    <n v="4"/>
    <x v="1"/>
    <n v="47"/>
    <n v="2"/>
    <n v="1"/>
    <x v="2"/>
    <n v="4"/>
    <s v="Married"/>
    <n v="2376"/>
    <n v="26537"/>
    <n v="1"/>
    <s v="Y"/>
    <x v="1"/>
    <n v="13"/>
    <n v="3"/>
    <n v="2"/>
    <n v="80"/>
    <n v="1"/>
    <n v="2"/>
    <n v="2"/>
    <n v="4"/>
    <n v="2"/>
    <n v="2"/>
    <n v="2"/>
    <n v="2"/>
    <x v="1"/>
    <n v="1"/>
    <x v="0"/>
    <x v="1"/>
    <s v="2-5 Years"/>
    <s v="Very High"/>
    <s v="Best"/>
  </r>
  <r>
    <x v="23"/>
    <s v="Yes"/>
    <s v="Travel_Rarely"/>
    <n v="1372"/>
    <x v="0"/>
    <n v="9"/>
    <n v="3"/>
    <s v="Marketing"/>
    <n v="1"/>
    <n v="1188"/>
    <n v="1"/>
    <x v="0"/>
    <n v="85"/>
    <n v="1"/>
    <n v="2"/>
    <x v="0"/>
    <n v="3"/>
    <s v="Single"/>
    <n v="5346"/>
    <n v="9489"/>
    <n v="8"/>
    <s v="Y"/>
    <x v="1"/>
    <n v="13"/>
    <n v="3"/>
    <n v="2"/>
    <n v="80"/>
    <n v="0"/>
    <n v="7"/>
    <n v="2"/>
    <n v="2"/>
    <n v="4"/>
    <n v="3"/>
    <n v="1"/>
    <n v="3"/>
    <x v="0"/>
    <n v="0"/>
    <x v="0"/>
    <x v="0"/>
    <s v="2-5 Years"/>
    <s v="High"/>
    <s v="Good"/>
  </r>
  <r>
    <x v="5"/>
    <s v="No"/>
    <s v="Non-Travel"/>
    <n v="862"/>
    <x v="0"/>
    <n v="2"/>
    <n v="1"/>
    <s v="Life Sciences"/>
    <n v="1"/>
    <n v="1190"/>
    <n v="3"/>
    <x v="0"/>
    <n v="76"/>
    <n v="3"/>
    <n v="1"/>
    <x v="6"/>
    <n v="1"/>
    <s v="Divorced"/>
    <n v="2827"/>
    <n v="14947"/>
    <n v="1"/>
    <s v="Y"/>
    <x v="1"/>
    <n v="12"/>
    <n v="3"/>
    <n v="3"/>
    <n v="80"/>
    <n v="3"/>
    <n v="1"/>
    <n v="3"/>
    <n v="3"/>
    <n v="1"/>
    <n v="0"/>
    <n v="0"/>
    <n v="0"/>
    <x v="1"/>
    <n v="1"/>
    <x v="2"/>
    <x v="1"/>
    <s v="0-1 Years"/>
    <s v="Low"/>
    <s v="Better"/>
  </r>
  <r>
    <x v="29"/>
    <s v="No"/>
    <s v="Travel_Rarely"/>
    <n v="718"/>
    <x v="1"/>
    <n v="4"/>
    <n v="4"/>
    <s v="Technical Degree"/>
    <n v="1"/>
    <n v="1191"/>
    <n v="4"/>
    <x v="0"/>
    <n v="92"/>
    <n v="3"/>
    <n v="5"/>
    <x v="5"/>
    <n v="1"/>
    <s v="Divorced"/>
    <n v="19943"/>
    <n v="18575"/>
    <n v="4"/>
    <s v="Y"/>
    <x v="1"/>
    <n v="13"/>
    <n v="3"/>
    <n v="4"/>
    <n v="80"/>
    <n v="1"/>
    <n v="28"/>
    <n v="2"/>
    <n v="3"/>
    <n v="5"/>
    <n v="2"/>
    <n v="4"/>
    <n v="2"/>
    <x v="1"/>
    <n v="1"/>
    <x v="3"/>
    <x v="2"/>
    <s v="2-5 Years"/>
    <s v="Low"/>
    <s v="Better"/>
  </r>
  <r>
    <x v="11"/>
    <s v="No"/>
    <s v="Travel_Rarely"/>
    <n v="1401"/>
    <x v="1"/>
    <n v="6"/>
    <n v="1"/>
    <s v="Medical"/>
    <n v="1"/>
    <n v="1192"/>
    <n v="2"/>
    <x v="0"/>
    <n v="54"/>
    <n v="3"/>
    <n v="1"/>
    <x v="2"/>
    <n v="4"/>
    <s v="Married"/>
    <n v="3131"/>
    <n v="26342"/>
    <n v="1"/>
    <s v="Y"/>
    <x v="1"/>
    <n v="13"/>
    <n v="3"/>
    <n v="1"/>
    <n v="80"/>
    <n v="1"/>
    <n v="10"/>
    <n v="5"/>
    <n v="3"/>
    <n v="10"/>
    <n v="8"/>
    <n v="0"/>
    <n v="8"/>
    <x v="1"/>
    <n v="1"/>
    <x v="2"/>
    <x v="0"/>
    <s v="6-10 Years"/>
    <s v="Very High"/>
    <s v="Better"/>
  </r>
  <r>
    <x v="37"/>
    <s v="No"/>
    <s v="Travel_Rarely"/>
    <n v="645"/>
    <x v="1"/>
    <n v="9"/>
    <n v="2"/>
    <s v="Life Sciences"/>
    <n v="1"/>
    <n v="1193"/>
    <n v="3"/>
    <x v="1"/>
    <n v="54"/>
    <n v="3"/>
    <n v="1"/>
    <x v="1"/>
    <n v="1"/>
    <s v="Single"/>
    <n v="2552"/>
    <n v="7172"/>
    <n v="1"/>
    <s v="Y"/>
    <x v="1"/>
    <n v="25"/>
    <n v="4"/>
    <n v="3"/>
    <n v="80"/>
    <n v="0"/>
    <n v="1"/>
    <n v="4"/>
    <n v="3"/>
    <n v="1"/>
    <n v="1"/>
    <n v="0"/>
    <n v="0"/>
    <x v="1"/>
    <n v="1"/>
    <x v="4"/>
    <x v="1"/>
    <s v="0-1 Years"/>
    <s v="Low"/>
    <s v="Better"/>
  </r>
  <r>
    <x v="28"/>
    <s v="No"/>
    <s v="Travel_Rarely"/>
    <n v="1457"/>
    <x v="1"/>
    <n v="7"/>
    <n v="3"/>
    <s v="Medical"/>
    <n v="1"/>
    <n v="1195"/>
    <n v="1"/>
    <x v="0"/>
    <n v="83"/>
    <n v="3"/>
    <n v="1"/>
    <x v="1"/>
    <n v="3"/>
    <s v="Married"/>
    <n v="4477"/>
    <n v="20100"/>
    <n v="4"/>
    <s v="Y"/>
    <x v="0"/>
    <n v="19"/>
    <n v="3"/>
    <n v="3"/>
    <n v="80"/>
    <n v="1"/>
    <n v="7"/>
    <n v="2"/>
    <n v="2"/>
    <n v="3"/>
    <n v="2"/>
    <n v="0"/>
    <n v="2"/>
    <x v="1"/>
    <n v="1"/>
    <x v="1"/>
    <x v="0"/>
    <s v="2-5 Years"/>
    <s v="High"/>
    <s v="Good"/>
  </r>
  <r>
    <x v="2"/>
    <s v="No"/>
    <s v="Travel_Rarely"/>
    <n v="977"/>
    <x v="1"/>
    <n v="1"/>
    <n v="3"/>
    <s v="Life Sciences"/>
    <n v="1"/>
    <n v="1196"/>
    <n v="4"/>
    <x v="0"/>
    <n v="56"/>
    <n v="2"/>
    <n v="2"/>
    <x v="3"/>
    <n v="4"/>
    <s v="Married"/>
    <n v="6474"/>
    <n v="9961"/>
    <n v="1"/>
    <s v="Y"/>
    <x v="1"/>
    <n v="13"/>
    <n v="3"/>
    <n v="2"/>
    <n v="80"/>
    <n v="1"/>
    <n v="14"/>
    <n v="2"/>
    <n v="2"/>
    <n v="14"/>
    <n v="8"/>
    <n v="3"/>
    <n v="11"/>
    <x v="1"/>
    <n v="1"/>
    <x v="0"/>
    <x v="0"/>
    <s v="10+ Years"/>
    <s v="Very High"/>
    <s v="Good"/>
  </r>
  <r>
    <x v="35"/>
    <s v="No"/>
    <s v="Travel_Rarely"/>
    <n v="805"/>
    <x v="1"/>
    <n v="3"/>
    <n v="3"/>
    <s v="Life Sciences"/>
    <n v="1"/>
    <n v="1198"/>
    <n v="1"/>
    <x v="1"/>
    <n v="87"/>
    <n v="2"/>
    <n v="1"/>
    <x v="2"/>
    <n v="3"/>
    <s v="Single"/>
    <n v="3033"/>
    <n v="12828"/>
    <n v="1"/>
    <s v="Y"/>
    <x v="1"/>
    <n v="12"/>
    <n v="3"/>
    <n v="1"/>
    <n v="80"/>
    <n v="0"/>
    <n v="2"/>
    <n v="2"/>
    <n v="2"/>
    <n v="2"/>
    <n v="2"/>
    <n v="1"/>
    <n v="2"/>
    <x v="1"/>
    <n v="1"/>
    <x v="4"/>
    <x v="0"/>
    <s v="2-5 Years"/>
    <s v="High"/>
    <s v="Good"/>
  </r>
  <r>
    <x v="20"/>
    <s v="Yes"/>
    <s v="Travel_Rarely"/>
    <n v="1097"/>
    <x v="1"/>
    <n v="10"/>
    <n v="4"/>
    <s v="Life Sciences"/>
    <n v="1"/>
    <n v="1200"/>
    <n v="3"/>
    <x v="1"/>
    <n v="96"/>
    <n v="3"/>
    <n v="1"/>
    <x v="1"/>
    <n v="3"/>
    <s v="Single"/>
    <n v="2936"/>
    <n v="10826"/>
    <n v="1"/>
    <s v="Y"/>
    <x v="0"/>
    <n v="11"/>
    <n v="3"/>
    <n v="3"/>
    <n v="80"/>
    <n v="0"/>
    <n v="6"/>
    <n v="4"/>
    <n v="3"/>
    <n v="6"/>
    <n v="4"/>
    <n v="0"/>
    <n v="2"/>
    <x v="0"/>
    <n v="0"/>
    <x v="0"/>
    <x v="1"/>
    <s v="6-10 Years"/>
    <s v="High"/>
    <s v="Better"/>
  </r>
  <r>
    <x v="16"/>
    <s v="No"/>
    <s v="Travel_Rarely"/>
    <n v="1223"/>
    <x v="1"/>
    <n v="7"/>
    <n v="2"/>
    <s v="Medical"/>
    <n v="1"/>
    <n v="1201"/>
    <n v="4"/>
    <x v="0"/>
    <n v="50"/>
    <n v="3"/>
    <n v="5"/>
    <x v="5"/>
    <n v="3"/>
    <s v="Divorced"/>
    <n v="18606"/>
    <n v="18640"/>
    <n v="3"/>
    <s v="Y"/>
    <x v="1"/>
    <n v="18"/>
    <n v="3"/>
    <n v="2"/>
    <n v="80"/>
    <n v="1"/>
    <n v="26"/>
    <n v="6"/>
    <n v="3"/>
    <n v="7"/>
    <n v="7"/>
    <n v="4"/>
    <n v="7"/>
    <x v="1"/>
    <n v="1"/>
    <x v="1"/>
    <x v="2"/>
    <s v="6-10 Years"/>
    <s v="High"/>
    <s v="Better"/>
  </r>
  <r>
    <x v="11"/>
    <s v="No"/>
    <s v="Travel_Rarely"/>
    <n v="942"/>
    <x v="1"/>
    <n v="15"/>
    <n v="1"/>
    <s v="Life Sciences"/>
    <n v="1"/>
    <n v="1202"/>
    <n v="2"/>
    <x v="0"/>
    <n v="69"/>
    <n v="1"/>
    <n v="1"/>
    <x v="1"/>
    <n v="4"/>
    <s v="Married"/>
    <n v="2168"/>
    <n v="26933"/>
    <n v="0"/>
    <s v="Y"/>
    <x v="0"/>
    <n v="18"/>
    <n v="3"/>
    <n v="1"/>
    <n v="80"/>
    <n v="1"/>
    <n v="6"/>
    <n v="2"/>
    <n v="2"/>
    <n v="5"/>
    <n v="4"/>
    <n v="1"/>
    <n v="3"/>
    <x v="1"/>
    <n v="1"/>
    <x v="2"/>
    <x v="1"/>
    <s v="2-5 Years"/>
    <s v="Very High"/>
    <s v="Good"/>
  </r>
  <r>
    <x v="15"/>
    <s v="Yes"/>
    <s v="Travel_Frequently"/>
    <n v="1256"/>
    <x v="1"/>
    <n v="3"/>
    <n v="4"/>
    <s v="Life Sciences"/>
    <n v="1"/>
    <n v="1203"/>
    <n v="3"/>
    <x v="1"/>
    <n v="48"/>
    <n v="2"/>
    <n v="1"/>
    <x v="1"/>
    <n v="4"/>
    <s v="Married"/>
    <n v="2853"/>
    <n v="4223"/>
    <n v="0"/>
    <s v="Y"/>
    <x v="0"/>
    <n v="11"/>
    <n v="3"/>
    <n v="2"/>
    <n v="80"/>
    <n v="1"/>
    <n v="1"/>
    <n v="5"/>
    <n v="3"/>
    <n v="0"/>
    <n v="0"/>
    <n v="0"/>
    <n v="0"/>
    <x v="0"/>
    <n v="0"/>
    <x v="4"/>
    <x v="1"/>
    <s v="0-1 Years"/>
    <s v="Very High"/>
    <s v="Better"/>
  </r>
  <r>
    <x v="21"/>
    <s v="No"/>
    <s v="Travel_Rarely"/>
    <n v="1402"/>
    <x v="0"/>
    <n v="2"/>
    <n v="3"/>
    <s v="Marketing"/>
    <n v="1"/>
    <n v="1204"/>
    <n v="3"/>
    <x v="0"/>
    <n v="69"/>
    <n v="3"/>
    <n v="4"/>
    <x v="5"/>
    <n v="1"/>
    <s v="Married"/>
    <n v="17048"/>
    <n v="24097"/>
    <n v="8"/>
    <s v="Y"/>
    <x v="1"/>
    <n v="23"/>
    <n v="4"/>
    <n v="1"/>
    <n v="80"/>
    <n v="0"/>
    <n v="28"/>
    <n v="2"/>
    <n v="3"/>
    <n v="26"/>
    <n v="15"/>
    <n v="15"/>
    <n v="9"/>
    <x v="1"/>
    <n v="1"/>
    <x v="1"/>
    <x v="2"/>
    <s v="10+ Years"/>
    <s v="Low"/>
    <s v="Better"/>
  </r>
  <r>
    <x v="20"/>
    <s v="No"/>
    <s v="Non-Travel"/>
    <n v="111"/>
    <x v="1"/>
    <n v="17"/>
    <n v="3"/>
    <s v="Life Sciences"/>
    <n v="1"/>
    <n v="1206"/>
    <n v="4"/>
    <x v="1"/>
    <n v="74"/>
    <n v="1"/>
    <n v="1"/>
    <x v="1"/>
    <n v="3"/>
    <s v="Single"/>
    <n v="2290"/>
    <n v="4279"/>
    <n v="2"/>
    <s v="Y"/>
    <x v="1"/>
    <n v="13"/>
    <n v="3"/>
    <n v="4"/>
    <n v="80"/>
    <n v="0"/>
    <n v="6"/>
    <n v="3"/>
    <n v="3"/>
    <n v="0"/>
    <n v="0"/>
    <n v="0"/>
    <n v="0"/>
    <x v="1"/>
    <n v="1"/>
    <x v="0"/>
    <x v="1"/>
    <s v="0-1 Years"/>
    <s v="High"/>
    <s v="Better"/>
  </r>
  <r>
    <x v="3"/>
    <s v="No"/>
    <s v="Travel_Rarely"/>
    <n v="147"/>
    <x v="2"/>
    <n v="2"/>
    <n v="3"/>
    <s v="Human Resources"/>
    <n v="1"/>
    <n v="1207"/>
    <n v="2"/>
    <x v="1"/>
    <n v="99"/>
    <n v="3"/>
    <n v="1"/>
    <x v="8"/>
    <n v="3"/>
    <s v="Married"/>
    <n v="3600"/>
    <n v="8429"/>
    <n v="1"/>
    <s v="Y"/>
    <x v="1"/>
    <n v="13"/>
    <n v="3"/>
    <n v="4"/>
    <n v="80"/>
    <n v="1"/>
    <n v="5"/>
    <n v="2"/>
    <n v="3"/>
    <n v="5"/>
    <n v="4"/>
    <n v="1"/>
    <n v="4"/>
    <x v="1"/>
    <n v="1"/>
    <x v="2"/>
    <x v="0"/>
    <s v="2-5 Years"/>
    <s v="High"/>
    <s v="Better"/>
  </r>
  <r>
    <x v="0"/>
    <s v="Yes"/>
    <s v="Non-Travel"/>
    <n v="906"/>
    <x v="1"/>
    <n v="5"/>
    <n v="2"/>
    <s v="Life Sciences"/>
    <n v="1"/>
    <n v="1210"/>
    <n v="1"/>
    <x v="1"/>
    <n v="95"/>
    <n v="2"/>
    <n v="1"/>
    <x v="1"/>
    <n v="1"/>
    <s v="Divorced"/>
    <n v="2107"/>
    <n v="20293"/>
    <n v="6"/>
    <s v="Y"/>
    <x v="1"/>
    <n v="17"/>
    <n v="3"/>
    <n v="1"/>
    <n v="80"/>
    <n v="1"/>
    <n v="5"/>
    <n v="2"/>
    <n v="1"/>
    <n v="1"/>
    <n v="0"/>
    <n v="0"/>
    <n v="0"/>
    <x v="0"/>
    <n v="0"/>
    <x v="0"/>
    <x v="1"/>
    <s v="0-1 Years"/>
    <s v="Low"/>
    <s v="Bad"/>
  </r>
  <r>
    <x v="7"/>
    <s v="No"/>
    <s v="Travel_Rarely"/>
    <n v="1329"/>
    <x v="0"/>
    <n v="29"/>
    <n v="4"/>
    <s v="Life Sciences"/>
    <n v="1"/>
    <n v="1211"/>
    <n v="3"/>
    <x v="1"/>
    <n v="61"/>
    <n v="3"/>
    <n v="2"/>
    <x v="0"/>
    <n v="1"/>
    <s v="Divorced"/>
    <n v="4115"/>
    <n v="13192"/>
    <n v="8"/>
    <s v="Y"/>
    <x v="1"/>
    <n v="19"/>
    <n v="3"/>
    <n v="3"/>
    <n v="80"/>
    <n v="3"/>
    <n v="8"/>
    <n v="3"/>
    <n v="3"/>
    <n v="4"/>
    <n v="3"/>
    <n v="0"/>
    <n v="3"/>
    <x v="1"/>
    <n v="1"/>
    <x v="2"/>
    <x v="0"/>
    <s v="2-5 Years"/>
    <s v="Low"/>
    <s v="Better"/>
  </r>
  <r>
    <x v="32"/>
    <s v="No"/>
    <s v="Travel_Frequently"/>
    <n v="1184"/>
    <x v="0"/>
    <n v="2"/>
    <n v="4"/>
    <s v="Medical"/>
    <n v="1"/>
    <n v="1212"/>
    <n v="2"/>
    <x v="1"/>
    <n v="62"/>
    <n v="3"/>
    <n v="2"/>
    <x v="0"/>
    <n v="2"/>
    <s v="Married"/>
    <n v="4327"/>
    <n v="25440"/>
    <n v="5"/>
    <s v="Y"/>
    <x v="1"/>
    <n v="12"/>
    <n v="3"/>
    <n v="4"/>
    <n v="80"/>
    <n v="3"/>
    <n v="5"/>
    <n v="2"/>
    <n v="3"/>
    <n v="0"/>
    <n v="0"/>
    <n v="0"/>
    <n v="0"/>
    <x v="1"/>
    <n v="1"/>
    <x v="0"/>
    <x v="0"/>
    <s v="0-1 Years"/>
    <s v="Medium"/>
    <s v="Better"/>
  </r>
  <r>
    <x v="24"/>
    <s v="No"/>
    <s v="Travel_Frequently"/>
    <n v="1421"/>
    <x v="1"/>
    <n v="2"/>
    <n v="3"/>
    <s v="Medical"/>
    <n v="1"/>
    <n v="1215"/>
    <n v="4"/>
    <x v="0"/>
    <n v="30"/>
    <n v="3"/>
    <n v="4"/>
    <x v="5"/>
    <n v="1"/>
    <s v="Married"/>
    <n v="17856"/>
    <n v="9490"/>
    <n v="2"/>
    <s v="Y"/>
    <x v="1"/>
    <n v="22"/>
    <n v="4"/>
    <n v="3"/>
    <n v="80"/>
    <n v="1"/>
    <n v="32"/>
    <n v="3"/>
    <n v="3"/>
    <n v="2"/>
    <n v="2"/>
    <n v="2"/>
    <n v="2"/>
    <x v="1"/>
    <n v="1"/>
    <x v="1"/>
    <x v="2"/>
    <s v="2-5 Years"/>
    <s v="Low"/>
    <s v="Better"/>
  </r>
  <r>
    <x v="14"/>
    <s v="No"/>
    <s v="Travel_Rarely"/>
    <n v="1179"/>
    <x v="1"/>
    <n v="19"/>
    <n v="4"/>
    <s v="Medical"/>
    <n v="1"/>
    <n v="1216"/>
    <n v="4"/>
    <x v="1"/>
    <n v="78"/>
    <n v="2"/>
    <n v="1"/>
    <x v="2"/>
    <n v="1"/>
    <s v="Married"/>
    <n v="3196"/>
    <n v="12449"/>
    <n v="1"/>
    <s v="Y"/>
    <x v="1"/>
    <n v="12"/>
    <n v="3"/>
    <n v="3"/>
    <n v="80"/>
    <n v="3"/>
    <n v="6"/>
    <n v="2"/>
    <n v="3"/>
    <n v="6"/>
    <n v="5"/>
    <n v="3"/>
    <n v="3"/>
    <x v="1"/>
    <n v="1"/>
    <x v="2"/>
    <x v="0"/>
    <s v="6-10 Years"/>
    <s v="Low"/>
    <s v="Better"/>
  </r>
  <r>
    <x v="21"/>
    <s v="No"/>
    <s v="Travel_Rarely"/>
    <n v="1450"/>
    <x v="1"/>
    <n v="15"/>
    <n v="2"/>
    <s v="Life Sciences"/>
    <n v="1"/>
    <n v="1217"/>
    <n v="4"/>
    <x v="1"/>
    <n v="52"/>
    <n v="3"/>
    <n v="5"/>
    <x v="7"/>
    <n v="2"/>
    <s v="Married"/>
    <n v="19081"/>
    <n v="10849"/>
    <n v="5"/>
    <s v="Y"/>
    <x v="1"/>
    <n v="11"/>
    <n v="3"/>
    <n v="1"/>
    <n v="80"/>
    <n v="1"/>
    <n v="25"/>
    <n v="2"/>
    <n v="3"/>
    <n v="4"/>
    <n v="2"/>
    <n v="0"/>
    <n v="3"/>
    <x v="1"/>
    <n v="1"/>
    <x v="1"/>
    <x v="2"/>
    <s v="2-5 Years"/>
    <s v="Medium"/>
    <s v="Better"/>
  </r>
  <r>
    <x v="10"/>
    <s v="No"/>
    <s v="Travel_Rarely"/>
    <n v="1361"/>
    <x v="0"/>
    <n v="17"/>
    <n v="4"/>
    <s v="Life Sciences"/>
    <n v="1"/>
    <n v="1218"/>
    <n v="3"/>
    <x v="1"/>
    <n v="94"/>
    <n v="3"/>
    <n v="2"/>
    <x v="0"/>
    <n v="1"/>
    <s v="Married"/>
    <n v="8966"/>
    <n v="21026"/>
    <n v="3"/>
    <s v="Y"/>
    <x v="0"/>
    <n v="15"/>
    <n v="3"/>
    <n v="4"/>
    <n v="80"/>
    <n v="3"/>
    <n v="15"/>
    <n v="2"/>
    <n v="3"/>
    <n v="7"/>
    <n v="7"/>
    <n v="1"/>
    <n v="7"/>
    <x v="1"/>
    <n v="1"/>
    <x v="0"/>
    <x v="2"/>
    <s v="6-10 Years"/>
    <s v="Low"/>
    <s v="Better"/>
  </r>
  <r>
    <x v="17"/>
    <s v="Yes"/>
    <s v="Travel_Rarely"/>
    <n v="984"/>
    <x v="1"/>
    <n v="17"/>
    <n v="2"/>
    <s v="Life Sciences"/>
    <n v="1"/>
    <n v="1219"/>
    <n v="4"/>
    <x v="0"/>
    <n v="97"/>
    <n v="3"/>
    <n v="1"/>
    <x v="2"/>
    <n v="2"/>
    <s v="Married"/>
    <n v="2210"/>
    <n v="3372"/>
    <n v="1"/>
    <s v="Y"/>
    <x v="1"/>
    <n v="13"/>
    <n v="3"/>
    <n v="1"/>
    <n v="80"/>
    <n v="1"/>
    <n v="1"/>
    <n v="3"/>
    <n v="1"/>
    <n v="1"/>
    <n v="0"/>
    <n v="0"/>
    <n v="0"/>
    <x v="0"/>
    <n v="0"/>
    <x v="4"/>
    <x v="1"/>
    <s v="0-1 Years"/>
    <s v="Medium"/>
    <s v="Bad"/>
  </r>
  <r>
    <x v="3"/>
    <s v="No"/>
    <s v="Travel_Frequently"/>
    <n v="1146"/>
    <x v="0"/>
    <n v="25"/>
    <n v="3"/>
    <s v="Medical"/>
    <n v="1"/>
    <n v="1220"/>
    <n v="2"/>
    <x v="0"/>
    <n v="82"/>
    <n v="3"/>
    <n v="2"/>
    <x v="0"/>
    <n v="3"/>
    <s v="Married"/>
    <n v="4539"/>
    <n v="4905"/>
    <n v="1"/>
    <s v="Y"/>
    <x v="1"/>
    <n v="12"/>
    <n v="3"/>
    <n v="1"/>
    <n v="80"/>
    <n v="1"/>
    <n v="10"/>
    <n v="3"/>
    <n v="2"/>
    <n v="10"/>
    <n v="7"/>
    <n v="0"/>
    <n v="1"/>
    <x v="1"/>
    <n v="1"/>
    <x v="2"/>
    <x v="0"/>
    <s v="6-10 Years"/>
    <s v="High"/>
    <s v="Good"/>
  </r>
  <r>
    <x v="9"/>
    <s v="No"/>
    <s v="Travel_Rarely"/>
    <n v="917"/>
    <x v="1"/>
    <n v="6"/>
    <n v="4"/>
    <s v="Life Sciences"/>
    <n v="1"/>
    <n v="1221"/>
    <n v="3"/>
    <x v="1"/>
    <n v="60"/>
    <n v="1"/>
    <n v="1"/>
    <x v="2"/>
    <n v="3"/>
    <s v="Divorced"/>
    <n v="2741"/>
    <n v="6865"/>
    <n v="1"/>
    <s v="Y"/>
    <x v="1"/>
    <n v="14"/>
    <n v="3"/>
    <n v="3"/>
    <n v="80"/>
    <n v="1"/>
    <n v="7"/>
    <n v="4"/>
    <n v="3"/>
    <n v="7"/>
    <n v="7"/>
    <n v="1"/>
    <n v="7"/>
    <x v="1"/>
    <n v="1"/>
    <x v="0"/>
    <x v="1"/>
    <s v="6-10 Years"/>
    <s v="High"/>
    <s v="Better"/>
  </r>
  <r>
    <x v="7"/>
    <s v="No"/>
    <s v="Travel_Rarely"/>
    <n v="853"/>
    <x v="1"/>
    <n v="7"/>
    <n v="4"/>
    <s v="Life Sciences"/>
    <n v="1"/>
    <n v="1224"/>
    <n v="3"/>
    <x v="1"/>
    <n v="49"/>
    <n v="3"/>
    <n v="2"/>
    <x v="2"/>
    <n v="3"/>
    <s v="Divorced"/>
    <n v="3491"/>
    <n v="11309"/>
    <n v="1"/>
    <s v="Y"/>
    <x v="1"/>
    <n v="13"/>
    <n v="3"/>
    <n v="1"/>
    <n v="80"/>
    <n v="3"/>
    <n v="10"/>
    <n v="4"/>
    <n v="2"/>
    <n v="10"/>
    <n v="7"/>
    <n v="8"/>
    <n v="9"/>
    <x v="1"/>
    <n v="1"/>
    <x v="2"/>
    <x v="0"/>
    <s v="6-10 Years"/>
    <s v="High"/>
    <s v="Good"/>
  </r>
  <r>
    <x v="20"/>
    <s v="No"/>
    <s v="Travel_Rarely"/>
    <n v="200"/>
    <x v="1"/>
    <n v="29"/>
    <n v="4"/>
    <s v="Other"/>
    <n v="1"/>
    <n v="1225"/>
    <n v="4"/>
    <x v="1"/>
    <n v="32"/>
    <n v="3"/>
    <n v="2"/>
    <x v="1"/>
    <n v="4"/>
    <s v="Single"/>
    <n v="4541"/>
    <n v="7744"/>
    <n v="1"/>
    <s v="Y"/>
    <x v="1"/>
    <n v="25"/>
    <n v="4"/>
    <n v="2"/>
    <n v="80"/>
    <n v="0"/>
    <n v="20"/>
    <n v="3"/>
    <n v="3"/>
    <n v="20"/>
    <n v="11"/>
    <n v="13"/>
    <n v="17"/>
    <x v="1"/>
    <n v="1"/>
    <x v="0"/>
    <x v="0"/>
    <s v="10+ Years"/>
    <s v="Very High"/>
    <s v="Better"/>
  </r>
  <r>
    <x v="35"/>
    <s v="No"/>
    <s v="Travel_Rarely"/>
    <n v="654"/>
    <x v="0"/>
    <n v="21"/>
    <n v="3"/>
    <s v="Marketing"/>
    <n v="1"/>
    <n v="1226"/>
    <n v="3"/>
    <x v="1"/>
    <n v="43"/>
    <n v="4"/>
    <n v="1"/>
    <x v="6"/>
    <n v="4"/>
    <s v="Single"/>
    <n v="2678"/>
    <n v="5050"/>
    <n v="1"/>
    <s v="Y"/>
    <x v="1"/>
    <n v="17"/>
    <n v="3"/>
    <n v="4"/>
    <n v="80"/>
    <n v="0"/>
    <n v="2"/>
    <n v="2"/>
    <n v="3"/>
    <n v="2"/>
    <n v="1"/>
    <n v="2"/>
    <n v="2"/>
    <x v="1"/>
    <n v="1"/>
    <x v="4"/>
    <x v="1"/>
    <s v="2-5 Years"/>
    <s v="Very High"/>
    <s v="Better"/>
  </r>
  <r>
    <x v="21"/>
    <s v="No"/>
    <s v="Travel_Rarely"/>
    <n v="150"/>
    <x v="1"/>
    <n v="2"/>
    <n v="4"/>
    <s v="Technical Degree"/>
    <n v="1"/>
    <n v="1228"/>
    <n v="4"/>
    <x v="1"/>
    <n v="60"/>
    <n v="3"/>
    <n v="2"/>
    <x v="3"/>
    <n v="4"/>
    <s v="Divorced"/>
    <n v="7379"/>
    <n v="17433"/>
    <n v="2"/>
    <s v="Y"/>
    <x v="1"/>
    <n v="11"/>
    <n v="3"/>
    <n v="3"/>
    <n v="80"/>
    <n v="1"/>
    <n v="12"/>
    <n v="3"/>
    <n v="2"/>
    <n v="6"/>
    <n v="3"/>
    <n v="1"/>
    <n v="4"/>
    <x v="1"/>
    <n v="1"/>
    <x v="1"/>
    <x v="2"/>
    <s v="6-10 Years"/>
    <s v="Very High"/>
    <s v="Good"/>
  </r>
  <r>
    <x v="19"/>
    <s v="No"/>
    <s v="Non-Travel"/>
    <n v="179"/>
    <x v="2"/>
    <n v="2"/>
    <n v="5"/>
    <s v="Medical"/>
    <n v="1"/>
    <n v="1231"/>
    <n v="4"/>
    <x v="1"/>
    <n v="79"/>
    <n v="4"/>
    <n v="2"/>
    <x v="8"/>
    <n v="1"/>
    <s v="Married"/>
    <n v="6272"/>
    <n v="12858"/>
    <n v="7"/>
    <s v="Y"/>
    <x v="1"/>
    <n v="16"/>
    <n v="3"/>
    <n v="1"/>
    <n v="80"/>
    <n v="1"/>
    <n v="10"/>
    <n v="3"/>
    <n v="4"/>
    <n v="4"/>
    <n v="3"/>
    <n v="0"/>
    <n v="3"/>
    <x v="1"/>
    <n v="1"/>
    <x v="0"/>
    <x v="0"/>
    <s v="2-5 Years"/>
    <s v="Low"/>
    <s v="Best"/>
  </r>
  <r>
    <x v="42"/>
    <s v="No"/>
    <s v="Travel_Rarely"/>
    <n v="696"/>
    <x v="0"/>
    <n v="7"/>
    <n v="4"/>
    <s v="Marketing"/>
    <n v="1"/>
    <n v="1233"/>
    <n v="2"/>
    <x v="1"/>
    <n v="52"/>
    <n v="4"/>
    <n v="2"/>
    <x v="0"/>
    <n v="4"/>
    <s v="Divorced"/>
    <n v="5220"/>
    <n v="10893"/>
    <n v="0"/>
    <s v="Y"/>
    <x v="0"/>
    <n v="18"/>
    <n v="3"/>
    <n v="2"/>
    <n v="80"/>
    <n v="1"/>
    <n v="12"/>
    <n v="3"/>
    <n v="3"/>
    <n v="11"/>
    <n v="7"/>
    <n v="1"/>
    <n v="9"/>
    <x v="1"/>
    <n v="1"/>
    <x v="3"/>
    <x v="0"/>
    <s v="10+ Years"/>
    <s v="Very High"/>
    <s v="Better"/>
  </r>
  <r>
    <x v="5"/>
    <s v="No"/>
    <s v="Travel_Frequently"/>
    <n v="116"/>
    <x v="1"/>
    <n v="13"/>
    <n v="3"/>
    <s v="Other"/>
    <n v="1"/>
    <n v="1234"/>
    <n v="3"/>
    <x v="0"/>
    <n v="77"/>
    <n v="2"/>
    <n v="1"/>
    <x v="2"/>
    <n v="2"/>
    <s v="Married"/>
    <n v="2743"/>
    <n v="7331"/>
    <n v="1"/>
    <s v="Y"/>
    <x v="1"/>
    <n v="20"/>
    <n v="4"/>
    <n v="3"/>
    <n v="80"/>
    <n v="1"/>
    <n v="2"/>
    <n v="2"/>
    <n v="3"/>
    <n v="2"/>
    <n v="2"/>
    <n v="2"/>
    <n v="2"/>
    <x v="1"/>
    <n v="1"/>
    <x v="2"/>
    <x v="1"/>
    <s v="2-5 Years"/>
    <s v="Medium"/>
    <s v="Better"/>
  </r>
  <r>
    <x v="5"/>
    <s v="No"/>
    <s v="Travel_Frequently"/>
    <n v="1316"/>
    <x v="1"/>
    <n v="2"/>
    <n v="2"/>
    <s v="Life Sciences"/>
    <n v="1"/>
    <n v="1235"/>
    <n v="4"/>
    <x v="0"/>
    <n v="38"/>
    <n v="3"/>
    <n v="2"/>
    <x v="1"/>
    <n v="3"/>
    <s v="Single"/>
    <n v="4998"/>
    <n v="2338"/>
    <n v="4"/>
    <s v="Y"/>
    <x v="0"/>
    <n v="14"/>
    <n v="3"/>
    <n v="4"/>
    <n v="80"/>
    <n v="0"/>
    <n v="10"/>
    <n v="2"/>
    <n v="3"/>
    <n v="8"/>
    <n v="7"/>
    <n v="0"/>
    <n v="7"/>
    <x v="1"/>
    <n v="1"/>
    <x v="2"/>
    <x v="0"/>
    <s v="6-10 Years"/>
    <s v="High"/>
    <s v="Better"/>
  </r>
  <r>
    <x v="9"/>
    <s v="No"/>
    <s v="Travel_Rarely"/>
    <n v="363"/>
    <x v="1"/>
    <n v="1"/>
    <n v="3"/>
    <s v="Technical Degree"/>
    <n v="1"/>
    <n v="1237"/>
    <n v="3"/>
    <x v="0"/>
    <n v="77"/>
    <n v="1"/>
    <n v="3"/>
    <x v="3"/>
    <n v="1"/>
    <s v="Divorced"/>
    <n v="10252"/>
    <n v="4235"/>
    <n v="2"/>
    <s v="Y"/>
    <x v="0"/>
    <n v="21"/>
    <n v="4"/>
    <n v="3"/>
    <n v="80"/>
    <n v="1"/>
    <n v="17"/>
    <n v="2"/>
    <n v="3"/>
    <n v="7"/>
    <n v="7"/>
    <n v="7"/>
    <n v="7"/>
    <x v="1"/>
    <n v="1"/>
    <x v="0"/>
    <x v="2"/>
    <s v="6-10 Years"/>
    <s v="Low"/>
    <s v="Better"/>
  </r>
  <r>
    <x v="3"/>
    <s v="No"/>
    <s v="Travel_Rarely"/>
    <n v="117"/>
    <x v="1"/>
    <n v="9"/>
    <n v="3"/>
    <s v="Medical"/>
    <n v="1"/>
    <n v="1238"/>
    <n v="1"/>
    <x v="1"/>
    <n v="60"/>
    <n v="3"/>
    <n v="1"/>
    <x v="1"/>
    <n v="4"/>
    <s v="Married"/>
    <n v="2781"/>
    <n v="6311"/>
    <n v="0"/>
    <s v="Y"/>
    <x v="1"/>
    <n v="13"/>
    <n v="3"/>
    <n v="2"/>
    <n v="80"/>
    <n v="1"/>
    <n v="15"/>
    <n v="5"/>
    <n v="3"/>
    <n v="14"/>
    <n v="10"/>
    <n v="4"/>
    <n v="10"/>
    <x v="1"/>
    <n v="1"/>
    <x v="2"/>
    <x v="1"/>
    <s v="10+ Years"/>
    <s v="Very High"/>
    <s v="Better"/>
  </r>
  <r>
    <x v="32"/>
    <s v="No"/>
    <s v="Travel_Rarely"/>
    <n v="107"/>
    <x v="0"/>
    <n v="10"/>
    <n v="3"/>
    <s v="Technical Degree"/>
    <n v="1"/>
    <n v="1239"/>
    <n v="2"/>
    <x v="0"/>
    <n v="84"/>
    <n v="2"/>
    <n v="2"/>
    <x v="0"/>
    <n v="2"/>
    <s v="Divorced"/>
    <n v="6852"/>
    <n v="11591"/>
    <n v="7"/>
    <s v="Y"/>
    <x v="1"/>
    <n v="12"/>
    <n v="3"/>
    <n v="2"/>
    <n v="80"/>
    <n v="1"/>
    <n v="7"/>
    <n v="2"/>
    <n v="4"/>
    <n v="5"/>
    <n v="1"/>
    <n v="1"/>
    <n v="3"/>
    <x v="1"/>
    <n v="1"/>
    <x v="0"/>
    <x v="0"/>
    <s v="2-5 Years"/>
    <s v="Medium"/>
    <s v="Best"/>
  </r>
  <r>
    <x v="36"/>
    <s v="No"/>
    <s v="Travel_Rarely"/>
    <n v="1356"/>
    <x v="0"/>
    <n v="10"/>
    <n v="4"/>
    <s v="Life Sciences"/>
    <n v="1"/>
    <n v="1240"/>
    <n v="3"/>
    <x v="1"/>
    <n v="57"/>
    <n v="3"/>
    <n v="2"/>
    <x v="0"/>
    <n v="4"/>
    <s v="Single"/>
    <n v="4950"/>
    <n v="20623"/>
    <n v="0"/>
    <s v="Y"/>
    <x v="1"/>
    <n v="14"/>
    <n v="3"/>
    <n v="2"/>
    <n v="80"/>
    <n v="0"/>
    <n v="5"/>
    <n v="4"/>
    <n v="3"/>
    <n v="4"/>
    <n v="3"/>
    <n v="1"/>
    <n v="1"/>
    <x v="1"/>
    <n v="1"/>
    <x v="2"/>
    <x v="0"/>
    <s v="2-5 Years"/>
    <s v="Very High"/>
    <s v="Better"/>
  </r>
  <r>
    <x v="7"/>
    <s v="No"/>
    <s v="Travel_Rarely"/>
    <n v="1465"/>
    <x v="1"/>
    <n v="1"/>
    <n v="3"/>
    <s v="Medical"/>
    <n v="1"/>
    <n v="1241"/>
    <n v="4"/>
    <x v="1"/>
    <n v="63"/>
    <n v="3"/>
    <n v="1"/>
    <x v="1"/>
    <n v="2"/>
    <s v="Married"/>
    <n v="3579"/>
    <n v="9369"/>
    <n v="0"/>
    <s v="Y"/>
    <x v="0"/>
    <n v="21"/>
    <n v="4"/>
    <n v="1"/>
    <n v="80"/>
    <n v="1"/>
    <n v="12"/>
    <n v="2"/>
    <n v="3"/>
    <n v="11"/>
    <n v="9"/>
    <n v="5"/>
    <n v="7"/>
    <x v="1"/>
    <n v="1"/>
    <x v="2"/>
    <x v="0"/>
    <s v="10+ Years"/>
    <s v="Medium"/>
    <s v="Better"/>
  </r>
  <r>
    <x v="19"/>
    <s v="No"/>
    <s v="Travel_Frequently"/>
    <n v="458"/>
    <x v="1"/>
    <n v="26"/>
    <n v="5"/>
    <s v="Medical"/>
    <n v="1"/>
    <n v="1242"/>
    <n v="1"/>
    <x v="0"/>
    <n v="60"/>
    <n v="3"/>
    <n v="3"/>
    <x v="7"/>
    <n v="1"/>
    <s v="Married"/>
    <n v="13191"/>
    <n v="23281"/>
    <n v="3"/>
    <s v="Y"/>
    <x v="0"/>
    <n v="17"/>
    <n v="3"/>
    <n v="3"/>
    <n v="80"/>
    <n v="0"/>
    <n v="20"/>
    <n v="6"/>
    <n v="3"/>
    <n v="1"/>
    <n v="0"/>
    <n v="0"/>
    <n v="0"/>
    <x v="1"/>
    <n v="1"/>
    <x v="0"/>
    <x v="2"/>
    <s v="0-1 Years"/>
    <s v="Low"/>
    <s v="Better"/>
  </r>
  <r>
    <x v="10"/>
    <s v="No"/>
    <s v="Non-Travel"/>
    <n v="1212"/>
    <x v="0"/>
    <n v="8"/>
    <n v="2"/>
    <s v="Marketing"/>
    <n v="1"/>
    <n v="1243"/>
    <n v="3"/>
    <x v="0"/>
    <n v="78"/>
    <n v="2"/>
    <n v="3"/>
    <x v="0"/>
    <n v="4"/>
    <s v="Married"/>
    <n v="10377"/>
    <n v="13755"/>
    <n v="4"/>
    <s v="Y"/>
    <x v="0"/>
    <n v="11"/>
    <n v="3"/>
    <n v="2"/>
    <n v="80"/>
    <n v="1"/>
    <n v="16"/>
    <n v="6"/>
    <n v="2"/>
    <n v="13"/>
    <n v="2"/>
    <n v="4"/>
    <n v="12"/>
    <x v="1"/>
    <n v="1"/>
    <x v="0"/>
    <x v="2"/>
    <s v="10+ Years"/>
    <s v="Very High"/>
    <s v="Good"/>
  </r>
  <r>
    <x v="4"/>
    <s v="No"/>
    <s v="Travel_Rarely"/>
    <n v="1103"/>
    <x v="1"/>
    <n v="14"/>
    <n v="3"/>
    <s v="Life Sciences"/>
    <n v="1"/>
    <n v="1244"/>
    <n v="1"/>
    <x v="1"/>
    <n v="42"/>
    <n v="3"/>
    <n v="1"/>
    <x v="1"/>
    <n v="1"/>
    <s v="Married"/>
    <n v="2235"/>
    <n v="14377"/>
    <n v="1"/>
    <s v="Y"/>
    <x v="0"/>
    <n v="14"/>
    <n v="3"/>
    <n v="4"/>
    <n v="80"/>
    <n v="2"/>
    <n v="9"/>
    <n v="3"/>
    <n v="2"/>
    <n v="9"/>
    <n v="7"/>
    <n v="6"/>
    <n v="8"/>
    <x v="1"/>
    <n v="1"/>
    <x v="2"/>
    <x v="1"/>
    <s v="6-10 Years"/>
    <s v="Low"/>
    <s v="Good"/>
  </r>
  <r>
    <x v="33"/>
    <s v="No"/>
    <s v="Travel_Frequently"/>
    <n v="966"/>
    <x v="1"/>
    <n v="1"/>
    <n v="4"/>
    <s v="Life Sciences"/>
    <n v="1"/>
    <n v="1245"/>
    <n v="4"/>
    <x v="0"/>
    <n v="53"/>
    <n v="3"/>
    <n v="3"/>
    <x v="3"/>
    <n v="3"/>
    <s v="Divorced"/>
    <n v="10502"/>
    <n v="9659"/>
    <n v="7"/>
    <s v="Y"/>
    <x v="1"/>
    <n v="17"/>
    <n v="3"/>
    <n v="1"/>
    <n v="80"/>
    <n v="1"/>
    <n v="33"/>
    <n v="2"/>
    <n v="1"/>
    <n v="5"/>
    <n v="4"/>
    <n v="1"/>
    <n v="4"/>
    <x v="1"/>
    <n v="1"/>
    <x v="1"/>
    <x v="2"/>
    <s v="2-5 Years"/>
    <s v="High"/>
    <s v="Bad"/>
  </r>
  <r>
    <x v="20"/>
    <s v="No"/>
    <s v="Travel_Rarely"/>
    <n v="1117"/>
    <x v="1"/>
    <n v="2"/>
    <n v="1"/>
    <s v="Life Sciences"/>
    <n v="1"/>
    <n v="1246"/>
    <n v="1"/>
    <x v="0"/>
    <n v="72"/>
    <n v="4"/>
    <n v="1"/>
    <x v="1"/>
    <n v="4"/>
    <s v="Married"/>
    <n v="2011"/>
    <n v="19982"/>
    <n v="1"/>
    <s v="Y"/>
    <x v="1"/>
    <n v="13"/>
    <n v="3"/>
    <n v="4"/>
    <n v="80"/>
    <n v="1"/>
    <n v="10"/>
    <n v="5"/>
    <n v="3"/>
    <n v="10"/>
    <n v="5"/>
    <n v="7"/>
    <n v="7"/>
    <x v="1"/>
    <n v="1"/>
    <x v="0"/>
    <x v="1"/>
    <s v="6-10 Years"/>
    <s v="Very High"/>
    <s v="Better"/>
  </r>
  <r>
    <x v="37"/>
    <s v="Yes"/>
    <s v="Non-Travel"/>
    <n v="504"/>
    <x v="1"/>
    <n v="10"/>
    <n v="3"/>
    <s v="Medical"/>
    <n v="1"/>
    <n v="1248"/>
    <n v="1"/>
    <x v="0"/>
    <n v="96"/>
    <n v="2"/>
    <n v="1"/>
    <x v="1"/>
    <n v="2"/>
    <s v="Single"/>
    <n v="1859"/>
    <n v="6148"/>
    <n v="1"/>
    <s v="Y"/>
    <x v="0"/>
    <n v="25"/>
    <n v="4"/>
    <n v="2"/>
    <n v="80"/>
    <n v="0"/>
    <n v="1"/>
    <n v="2"/>
    <n v="4"/>
    <n v="1"/>
    <n v="1"/>
    <n v="0"/>
    <n v="0"/>
    <x v="0"/>
    <n v="0"/>
    <x v="4"/>
    <x v="1"/>
    <s v="0-1 Years"/>
    <s v="Medium"/>
    <s v="Best"/>
  </r>
  <r>
    <x v="11"/>
    <s v="No"/>
    <s v="Travel_Rarely"/>
    <n v="1010"/>
    <x v="1"/>
    <n v="1"/>
    <n v="3"/>
    <s v="Life Sciences"/>
    <n v="1"/>
    <n v="1249"/>
    <n v="1"/>
    <x v="0"/>
    <n v="97"/>
    <n v="3"/>
    <n v="1"/>
    <x v="1"/>
    <n v="4"/>
    <s v="Divorced"/>
    <n v="3760"/>
    <n v="5598"/>
    <n v="1"/>
    <s v="Y"/>
    <x v="1"/>
    <n v="15"/>
    <n v="3"/>
    <n v="1"/>
    <n v="80"/>
    <n v="3"/>
    <n v="3"/>
    <n v="5"/>
    <n v="3"/>
    <n v="3"/>
    <n v="2"/>
    <n v="1"/>
    <n v="2"/>
    <x v="1"/>
    <n v="1"/>
    <x v="2"/>
    <x v="0"/>
    <s v="2-5 Years"/>
    <s v="Very High"/>
    <s v="Better"/>
  </r>
  <r>
    <x v="33"/>
    <s v="No"/>
    <s v="Travel_Rarely"/>
    <n v="685"/>
    <x v="1"/>
    <n v="3"/>
    <n v="3"/>
    <s v="Life Sciences"/>
    <n v="1"/>
    <n v="1250"/>
    <n v="4"/>
    <x v="1"/>
    <n v="85"/>
    <n v="3"/>
    <n v="4"/>
    <x v="7"/>
    <n v="4"/>
    <s v="Married"/>
    <n v="17779"/>
    <n v="23474"/>
    <n v="3"/>
    <s v="Y"/>
    <x v="1"/>
    <n v="14"/>
    <n v="3"/>
    <n v="1"/>
    <n v="80"/>
    <n v="0"/>
    <n v="36"/>
    <n v="2"/>
    <n v="3"/>
    <n v="10"/>
    <n v="9"/>
    <n v="0"/>
    <n v="9"/>
    <x v="1"/>
    <n v="1"/>
    <x v="1"/>
    <x v="2"/>
    <s v="6-10 Years"/>
    <s v="Very High"/>
    <s v="Better"/>
  </r>
  <r>
    <x v="12"/>
    <s v="No"/>
    <s v="Travel_Rarely"/>
    <n v="1332"/>
    <x v="1"/>
    <n v="11"/>
    <n v="2"/>
    <s v="Medical"/>
    <n v="1"/>
    <n v="1251"/>
    <n v="3"/>
    <x v="1"/>
    <n v="80"/>
    <n v="3"/>
    <n v="2"/>
    <x v="4"/>
    <n v="1"/>
    <s v="Married"/>
    <n v="6833"/>
    <n v="17089"/>
    <n v="1"/>
    <s v="Y"/>
    <x v="0"/>
    <n v="12"/>
    <n v="3"/>
    <n v="4"/>
    <n v="80"/>
    <n v="0"/>
    <n v="6"/>
    <n v="2"/>
    <n v="2"/>
    <n v="6"/>
    <n v="5"/>
    <n v="0"/>
    <n v="1"/>
    <x v="1"/>
    <n v="1"/>
    <x v="2"/>
    <x v="0"/>
    <s v="6-10 Years"/>
    <s v="Low"/>
    <s v="Good"/>
  </r>
  <r>
    <x v="12"/>
    <s v="No"/>
    <s v="Travel_Rarely"/>
    <n v="1062"/>
    <x v="1"/>
    <n v="24"/>
    <n v="3"/>
    <s v="Medical"/>
    <n v="1"/>
    <n v="1252"/>
    <n v="3"/>
    <x v="0"/>
    <n v="96"/>
    <n v="2"/>
    <n v="2"/>
    <x v="4"/>
    <n v="1"/>
    <s v="Single"/>
    <n v="6812"/>
    <n v="17198"/>
    <n v="1"/>
    <s v="Y"/>
    <x v="1"/>
    <n v="19"/>
    <n v="3"/>
    <n v="2"/>
    <n v="80"/>
    <n v="0"/>
    <n v="10"/>
    <n v="2"/>
    <n v="3"/>
    <n v="10"/>
    <n v="9"/>
    <n v="1"/>
    <n v="8"/>
    <x v="1"/>
    <n v="1"/>
    <x v="2"/>
    <x v="0"/>
    <s v="6-10 Years"/>
    <s v="Low"/>
    <s v="Better"/>
  </r>
  <r>
    <x v="6"/>
    <s v="No"/>
    <s v="Travel_Rarely"/>
    <n v="326"/>
    <x v="0"/>
    <n v="3"/>
    <n v="3"/>
    <s v="Life Sciences"/>
    <n v="1"/>
    <n v="1254"/>
    <n v="3"/>
    <x v="0"/>
    <n v="48"/>
    <n v="2"/>
    <n v="2"/>
    <x v="0"/>
    <n v="4"/>
    <s v="Single"/>
    <n v="5171"/>
    <n v="16490"/>
    <n v="5"/>
    <s v="Y"/>
    <x v="1"/>
    <n v="17"/>
    <n v="3"/>
    <n v="4"/>
    <n v="80"/>
    <n v="0"/>
    <n v="13"/>
    <n v="2"/>
    <n v="3"/>
    <n v="6"/>
    <n v="1"/>
    <n v="0"/>
    <n v="5"/>
    <x v="1"/>
    <n v="1"/>
    <x v="3"/>
    <x v="0"/>
    <s v="6-10 Years"/>
    <s v="Very High"/>
    <s v="Better"/>
  </r>
  <r>
    <x v="23"/>
    <s v="No"/>
    <s v="Travel_Rarely"/>
    <n v="920"/>
    <x v="1"/>
    <n v="3"/>
    <n v="3"/>
    <s v="Life Sciences"/>
    <n v="1"/>
    <n v="1255"/>
    <n v="3"/>
    <x v="1"/>
    <n v="96"/>
    <n v="1"/>
    <n v="5"/>
    <x v="7"/>
    <n v="4"/>
    <s v="Married"/>
    <n v="19740"/>
    <n v="18625"/>
    <n v="3"/>
    <s v="Y"/>
    <x v="1"/>
    <n v="14"/>
    <n v="3"/>
    <n v="2"/>
    <n v="80"/>
    <n v="1"/>
    <n v="25"/>
    <n v="2"/>
    <n v="3"/>
    <n v="8"/>
    <n v="7"/>
    <n v="0"/>
    <n v="7"/>
    <x v="1"/>
    <n v="1"/>
    <x v="0"/>
    <x v="2"/>
    <s v="6-10 Years"/>
    <s v="Very High"/>
    <s v="Better"/>
  </r>
  <r>
    <x v="1"/>
    <s v="No"/>
    <s v="Travel_Rarely"/>
    <n v="1098"/>
    <x v="1"/>
    <n v="4"/>
    <n v="2"/>
    <s v="Medical"/>
    <n v="1"/>
    <n v="1256"/>
    <n v="1"/>
    <x v="1"/>
    <n v="85"/>
    <n v="2"/>
    <n v="5"/>
    <x v="5"/>
    <n v="3"/>
    <s v="Married"/>
    <n v="18711"/>
    <n v="12124"/>
    <n v="2"/>
    <s v="Y"/>
    <x v="1"/>
    <n v="13"/>
    <n v="3"/>
    <n v="3"/>
    <n v="80"/>
    <n v="1"/>
    <n v="23"/>
    <n v="2"/>
    <n v="4"/>
    <n v="1"/>
    <n v="0"/>
    <n v="0"/>
    <n v="0"/>
    <x v="1"/>
    <n v="1"/>
    <x v="1"/>
    <x v="2"/>
    <s v="0-1 Years"/>
    <s v="High"/>
    <s v="Best"/>
  </r>
  <r>
    <x v="9"/>
    <s v="No"/>
    <s v="Travel_Frequently"/>
    <n v="469"/>
    <x v="1"/>
    <n v="3"/>
    <n v="3"/>
    <s v="Technical Degree"/>
    <n v="1"/>
    <n v="1257"/>
    <n v="3"/>
    <x v="1"/>
    <n v="46"/>
    <n v="3"/>
    <n v="1"/>
    <x v="1"/>
    <n v="2"/>
    <s v="Married"/>
    <n v="3692"/>
    <n v="9256"/>
    <n v="1"/>
    <s v="Y"/>
    <x v="1"/>
    <n v="12"/>
    <n v="3"/>
    <n v="3"/>
    <n v="80"/>
    <n v="0"/>
    <n v="12"/>
    <n v="2"/>
    <n v="2"/>
    <n v="11"/>
    <n v="10"/>
    <n v="0"/>
    <n v="7"/>
    <x v="1"/>
    <n v="1"/>
    <x v="0"/>
    <x v="0"/>
    <s v="10+ Years"/>
    <s v="Medium"/>
    <s v="Good"/>
  </r>
  <r>
    <x v="26"/>
    <s v="No"/>
    <s v="Travel_Rarely"/>
    <n v="969"/>
    <x v="1"/>
    <n v="2"/>
    <n v="2"/>
    <s v="Technical Degree"/>
    <n v="1"/>
    <n v="1258"/>
    <n v="4"/>
    <x v="1"/>
    <n v="76"/>
    <n v="4"/>
    <n v="1"/>
    <x v="2"/>
    <n v="2"/>
    <s v="Single"/>
    <n v="2559"/>
    <n v="16620"/>
    <n v="5"/>
    <s v="Y"/>
    <x v="1"/>
    <n v="11"/>
    <n v="3"/>
    <n v="3"/>
    <n v="80"/>
    <n v="0"/>
    <n v="7"/>
    <n v="4"/>
    <n v="2"/>
    <n v="1"/>
    <n v="0"/>
    <n v="0"/>
    <n v="0"/>
    <x v="1"/>
    <n v="1"/>
    <x v="1"/>
    <x v="1"/>
    <s v="0-1 Years"/>
    <s v="Medium"/>
    <s v="Good"/>
  </r>
  <r>
    <x v="4"/>
    <s v="No"/>
    <s v="Travel_Rarely"/>
    <n v="1167"/>
    <x v="1"/>
    <n v="4"/>
    <n v="2"/>
    <s v="Life Sciences"/>
    <n v="1"/>
    <n v="1259"/>
    <n v="1"/>
    <x v="1"/>
    <n v="76"/>
    <n v="3"/>
    <n v="1"/>
    <x v="1"/>
    <n v="3"/>
    <s v="Divorced"/>
    <n v="2517"/>
    <n v="3208"/>
    <n v="1"/>
    <s v="Y"/>
    <x v="1"/>
    <n v="11"/>
    <n v="3"/>
    <n v="2"/>
    <n v="80"/>
    <n v="3"/>
    <n v="5"/>
    <n v="2"/>
    <n v="3"/>
    <n v="5"/>
    <n v="3"/>
    <n v="0"/>
    <n v="3"/>
    <x v="1"/>
    <n v="1"/>
    <x v="2"/>
    <x v="1"/>
    <s v="2-5 Years"/>
    <s v="High"/>
    <s v="Better"/>
  </r>
  <r>
    <x v="11"/>
    <s v="No"/>
    <s v="Travel_Rarely"/>
    <n v="1329"/>
    <x v="1"/>
    <n v="7"/>
    <n v="3"/>
    <s v="Life Sciences"/>
    <n v="1"/>
    <n v="1260"/>
    <n v="3"/>
    <x v="1"/>
    <n v="82"/>
    <n v="3"/>
    <n v="2"/>
    <x v="4"/>
    <n v="4"/>
    <s v="Divorced"/>
    <n v="6623"/>
    <n v="4204"/>
    <n v="1"/>
    <s v="Y"/>
    <x v="0"/>
    <n v="11"/>
    <n v="3"/>
    <n v="2"/>
    <n v="80"/>
    <n v="2"/>
    <n v="6"/>
    <n v="2"/>
    <n v="3"/>
    <n v="6"/>
    <n v="0"/>
    <n v="1"/>
    <n v="0"/>
    <x v="1"/>
    <n v="1"/>
    <x v="2"/>
    <x v="0"/>
    <s v="6-10 Years"/>
    <s v="Very High"/>
    <s v="Better"/>
  </r>
  <r>
    <x v="26"/>
    <s v="No"/>
    <s v="Travel_Rarely"/>
    <n v="715"/>
    <x v="1"/>
    <n v="1"/>
    <n v="3"/>
    <s v="Life Sciences"/>
    <n v="1"/>
    <n v="1263"/>
    <n v="4"/>
    <x v="1"/>
    <n v="76"/>
    <n v="2"/>
    <n v="5"/>
    <x v="7"/>
    <n v="4"/>
    <s v="Single"/>
    <n v="18265"/>
    <n v="8733"/>
    <n v="6"/>
    <s v="Y"/>
    <x v="1"/>
    <n v="12"/>
    <n v="3"/>
    <n v="3"/>
    <n v="80"/>
    <n v="0"/>
    <n v="25"/>
    <n v="3"/>
    <n v="4"/>
    <n v="1"/>
    <n v="0"/>
    <n v="0"/>
    <n v="0"/>
    <x v="1"/>
    <n v="1"/>
    <x v="1"/>
    <x v="2"/>
    <s v="0-1 Years"/>
    <s v="Very High"/>
    <s v="Best"/>
  </r>
  <r>
    <x v="11"/>
    <s v="No"/>
    <s v="Travel_Rarely"/>
    <n v="694"/>
    <x v="1"/>
    <n v="1"/>
    <n v="3"/>
    <s v="Life Sciences"/>
    <n v="1"/>
    <n v="1264"/>
    <n v="4"/>
    <x v="0"/>
    <n v="87"/>
    <n v="2"/>
    <n v="4"/>
    <x v="7"/>
    <n v="4"/>
    <s v="Divorced"/>
    <n v="16124"/>
    <n v="3423"/>
    <n v="3"/>
    <s v="Y"/>
    <x v="1"/>
    <n v="14"/>
    <n v="3"/>
    <n v="2"/>
    <n v="80"/>
    <n v="2"/>
    <n v="9"/>
    <n v="2"/>
    <n v="2"/>
    <n v="7"/>
    <n v="7"/>
    <n v="1"/>
    <n v="7"/>
    <x v="1"/>
    <n v="1"/>
    <x v="2"/>
    <x v="2"/>
    <s v="6-10 Years"/>
    <s v="Very High"/>
    <s v="Good"/>
  </r>
  <r>
    <x v="13"/>
    <s v="No"/>
    <s v="Travel_Rarely"/>
    <n v="1320"/>
    <x v="1"/>
    <n v="20"/>
    <n v="3"/>
    <s v="Technical Degree"/>
    <n v="1"/>
    <n v="1265"/>
    <n v="3"/>
    <x v="0"/>
    <n v="89"/>
    <n v="4"/>
    <n v="1"/>
    <x v="1"/>
    <n v="3"/>
    <s v="Married"/>
    <n v="2585"/>
    <n v="21643"/>
    <n v="0"/>
    <s v="Y"/>
    <x v="1"/>
    <n v="17"/>
    <n v="3"/>
    <n v="4"/>
    <n v="80"/>
    <n v="0"/>
    <n v="2"/>
    <n v="5"/>
    <n v="2"/>
    <n v="1"/>
    <n v="0"/>
    <n v="0"/>
    <n v="0"/>
    <x v="1"/>
    <n v="1"/>
    <x v="2"/>
    <x v="1"/>
    <s v="0-1 Years"/>
    <s v="High"/>
    <s v="Good"/>
  </r>
  <r>
    <x v="20"/>
    <s v="No"/>
    <s v="Travel_Rarely"/>
    <n v="1099"/>
    <x v="0"/>
    <n v="5"/>
    <n v="3"/>
    <s v="Marketing"/>
    <n v="1"/>
    <n v="1267"/>
    <n v="2"/>
    <x v="1"/>
    <n v="88"/>
    <n v="3"/>
    <n v="5"/>
    <x v="5"/>
    <n v="2"/>
    <s v="Married"/>
    <n v="18213"/>
    <n v="8751"/>
    <n v="7"/>
    <s v="Y"/>
    <x v="1"/>
    <n v="11"/>
    <n v="3"/>
    <n v="3"/>
    <n v="80"/>
    <n v="1"/>
    <n v="26"/>
    <n v="5"/>
    <n v="3"/>
    <n v="22"/>
    <n v="9"/>
    <n v="3"/>
    <n v="10"/>
    <x v="1"/>
    <n v="1"/>
    <x v="0"/>
    <x v="2"/>
    <s v="10+ Years"/>
    <s v="Medium"/>
    <s v="Better"/>
  </r>
  <r>
    <x v="3"/>
    <s v="No"/>
    <s v="Travel_Rarely"/>
    <n v="536"/>
    <x v="0"/>
    <n v="10"/>
    <n v="5"/>
    <s v="Marketing"/>
    <n v="1"/>
    <n v="1268"/>
    <n v="4"/>
    <x v="1"/>
    <n v="82"/>
    <n v="4"/>
    <n v="3"/>
    <x v="0"/>
    <n v="3"/>
    <s v="Divorced"/>
    <n v="8380"/>
    <n v="21708"/>
    <n v="0"/>
    <s v="Y"/>
    <x v="0"/>
    <n v="14"/>
    <n v="3"/>
    <n v="4"/>
    <n v="80"/>
    <n v="2"/>
    <n v="10"/>
    <n v="3"/>
    <n v="3"/>
    <n v="9"/>
    <n v="8"/>
    <n v="0"/>
    <n v="8"/>
    <x v="1"/>
    <n v="1"/>
    <x v="2"/>
    <x v="2"/>
    <s v="6-10 Years"/>
    <s v="High"/>
    <s v="Better"/>
  </r>
  <r>
    <x v="37"/>
    <s v="No"/>
    <s v="Travel_Rarely"/>
    <n v="265"/>
    <x v="1"/>
    <n v="25"/>
    <n v="3"/>
    <s v="Life Sciences"/>
    <n v="1"/>
    <n v="1269"/>
    <n v="2"/>
    <x v="0"/>
    <n v="57"/>
    <n v="4"/>
    <n v="1"/>
    <x v="1"/>
    <n v="4"/>
    <s v="Single"/>
    <n v="2994"/>
    <n v="21221"/>
    <n v="1"/>
    <s v="Y"/>
    <x v="0"/>
    <n v="12"/>
    <n v="3"/>
    <n v="4"/>
    <n v="80"/>
    <n v="0"/>
    <n v="1"/>
    <n v="2"/>
    <n v="3"/>
    <n v="1"/>
    <n v="0"/>
    <n v="0"/>
    <n v="1"/>
    <x v="1"/>
    <n v="1"/>
    <x v="4"/>
    <x v="1"/>
    <s v="0-1 Years"/>
    <s v="Very High"/>
    <s v="Better"/>
  </r>
  <r>
    <x v="30"/>
    <s v="No"/>
    <s v="Travel_Rarely"/>
    <n v="373"/>
    <x v="1"/>
    <n v="1"/>
    <n v="2"/>
    <s v="Life Sciences"/>
    <n v="1"/>
    <n v="1270"/>
    <n v="4"/>
    <x v="1"/>
    <n v="47"/>
    <n v="3"/>
    <n v="1"/>
    <x v="1"/>
    <n v="3"/>
    <s v="Married"/>
    <n v="1223"/>
    <n v="16901"/>
    <n v="1"/>
    <s v="Y"/>
    <x v="1"/>
    <n v="22"/>
    <n v="4"/>
    <n v="4"/>
    <n v="80"/>
    <n v="1"/>
    <n v="1"/>
    <n v="2"/>
    <n v="3"/>
    <n v="1"/>
    <n v="0"/>
    <n v="0"/>
    <n v="1"/>
    <x v="1"/>
    <n v="1"/>
    <x v="4"/>
    <x v="1"/>
    <s v="0-1 Years"/>
    <s v="High"/>
    <s v="Better"/>
  </r>
  <r>
    <x v="36"/>
    <s v="Yes"/>
    <s v="Travel_Frequently"/>
    <n v="599"/>
    <x v="0"/>
    <n v="24"/>
    <n v="1"/>
    <s v="Life Sciences"/>
    <n v="1"/>
    <n v="1273"/>
    <n v="3"/>
    <x v="1"/>
    <n v="73"/>
    <n v="1"/>
    <n v="1"/>
    <x v="6"/>
    <n v="4"/>
    <s v="Single"/>
    <n v="1118"/>
    <n v="8040"/>
    <n v="1"/>
    <s v="Y"/>
    <x v="0"/>
    <n v="14"/>
    <n v="3"/>
    <n v="4"/>
    <n v="80"/>
    <n v="0"/>
    <n v="1"/>
    <n v="4"/>
    <n v="3"/>
    <n v="1"/>
    <n v="0"/>
    <n v="1"/>
    <n v="0"/>
    <x v="0"/>
    <n v="0"/>
    <x v="2"/>
    <x v="1"/>
    <s v="0-1 Years"/>
    <s v="Very High"/>
    <s v="Better"/>
  </r>
  <r>
    <x v="25"/>
    <s v="No"/>
    <s v="Travel_Rarely"/>
    <n v="583"/>
    <x v="1"/>
    <n v="4"/>
    <n v="2"/>
    <s v="Life Sciences"/>
    <n v="1"/>
    <n v="1275"/>
    <n v="3"/>
    <x v="1"/>
    <n v="53"/>
    <n v="3"/>
    <n v="1"/>
    <x v="1"/>
    <n v="4"/>
    <s v="Single"/>
    <n v="2875"/>
    <n v="9973"/>
    <n v="1"/>
    <s v="Y"/>
    <x v="0"/>
    <n v="20"/>
    <n v="4"/>
    <n v="2"/>
    <n v="80"/>
    <n v="0"/>
    <n v="8"/>
    <n v="2"/>
    <n v="2"/>
    <n v="8"/>
    <n v="5"/>
    <n v="2"/>
    <n v="2"/>
    <x v="1"/>
    <n v="1"/>
    <x v="2"/>
    <x v="1"/>
    <s v="6-10 Years"/>
    <s v="Very High"/>
    <s v="Good"/>
  </r>
  <r>
    <x v="28"/>
    <s v="Yes"/>
    <s v="Travel_Rarely"/>
    <n v="1449"/>
    <x v="0"/>
    <n v="2"/>
    <n v="3"/>
    <s v="Marketing"/>
    <n v="1"/>
    <n v="1277"/>
    <n v="1"/>
    <x v="0"/>
    <n v="94"/>
    <n v="1"/>
    <n v="5"/>
    <x v="5"/>
    <n v="2"/>
    <s v="Single"/>
    <n v="18824"/>
    <n v="2493"/>
    <n v="2"/>
    <s v="Y"/>
    <x v="0"/>
    <n v="16"/>
    <n v="3"/>
    <n v="1"/>
    <n v="80"/>
    <n v="0"/>
    <n v="26"/>
    <n v="2"/>
    <n v="3"/>
    <n v="24"/>
    <n v="10"/>
    <n v="1"/>
    <n v="11"/>
    <x v="0"/>
    <n v="0"/>
    <x v="1"/>
    <x v="2"/>
    <s v="10+ Years"/>
    <s v="Medium"/>
    <s v="Better"/>
  </r>
  <r>
    <x v="27"/>
    <s v="No"/>
    <s v="Non-Travel"/>
    <n v="177"/>
    <x v="1"/>
    <n v="8"/>
    <n v="1"/>
    <s v="Medical"/>
    <n v="1"/>
    <n v="1278"/>
    <n v="4"/>
    <x v="1"/>
    <n v="37"/>
    <n v="2"/>
    <n v="4"/>
    <x v="4"/>
    <n v="2"/>
    <s v="Divorced"/>
    <n v="13577"/>
    <n v="25592"/>
    <n v="1"/>
    <s v="Y"/>
    <x v="0"/>
    <n v="15"/>
    <n v="3"/>
    <n v="4"/>
    <n v="80"/>
    <n v="1"/>
    <n v="34"/>
    <n v="3"/>
    <n v="3"/>
    <n v="33"/>
    <n v="9"/>
    <n v="15"/>
    <n v="0"/>
    <x v="1"/>
    <n v="1"/>
    <x v="3"/>
    <x v="2"/>
    <s v="10+ Years"/>
    <s v="Medium"/>
    <s v="Better"/>
  </r>
  <r>
    <x v="18"/>
    <s v="Yes"/>
    <s v="Travel_Frequently"/>
    <n v="251"/>
    <x v="1"/>
    <n v="10"/>
    <n v="2"/>
    <s v="Life Sciences"/>
    <n v="1"/>
    <n v="1279"/>
    <n v="1"/>
    <x v="0"/>
    <n v="45"/>
    <n v="2"/>
    <n v="1"/>
    <x v="2"/>
    <n v="3"/>
    <s v="Single"/>
    <n v="2625"/>
    <n v="25308"/>
    <n v="1"/>
    <s v="Y"/>
    <x v="1"/>
    <n v="20"/>
    <n v="4"/>
    <n v="3"/>
    <n v="80"/>
    <n v="0"/>
    <n v="2"/>
    <n v="2"/>
    <n v="1"/>
    <n v="2"/>
    <n v="2"/>
    <n v="2"/>
    <n v="2"/>
    <x v="0"/>
    <n v="0"/>
    <x v="4"/>
    <x v="1"/>
    <s v="2-5 Years"/>
    <s v="High"/>
    <s v="Bad"/>
  </r>
  <r>
    <x v="21"/>
    <s v="No"/>
    <s v="Travel_Rarely"/>
    <n v="168"/>
    <x v="0"/>
    <n v="4"/>
    <n v="2"/>
    <s v="Marketing"/>
    <n v="1"/>
    <n v="1280"/>
    <n v="4"/>
    <x v="0"/>
    <n v="33"/>
    <n v="2"/>
    <n v="5"/>
    <x v="5"/>
    <n v="2"/>
    <s v="Married"/>
    <n v="18789"/>
    <n v="9946"/>
    <n v="2"/>
    <s v="Y"/>
    <x v="1"/>
    <n v="14"/>
    <n v="3"/>
    <n v="3"/>
    <n v="80"/>
    <n v="1"/>
    <n v="26"/>
    <n v="2"/>
    <n v="3"/>
    <n v="11"/>
    <n v="4"/>
    <n v="0"/>
    <n v="8"/>
    <x v="1"/>
    <n v="1"/>
    <x v="1"/>
    <x v="2"/>
    <s v="10+ Years"/>
    <s v="Medium"/>
    <s v="Better"/>
  </r>
  <r>
    <x v="13"/>
    <s v="No"/>
    <s v="Travel_Rarely"/>
    <n v="131"/>
    <x v="0"/>
    <n v="2"/>
    <n v="3"/>
    <s v="Marketing"/>
    <n v="1"/>
    <n v="1281"/>
    <n v="3"/>
    <x v="0"/>
    <n v="86"/>
    <n v="3"/>
    <n v="2"/>
    <x v="0"/>
    <n v="1"/>
    <s v="Single"/>
    <n v="4538"/>
    <n v="6039"/>
    <n v="0"/>
    <s v="Y"/>
    <x v="0"/>
    <n v="12"/>
    <n v="3"/>
    <n v="4"/>
    <n v="80"/>
    <n v="0"/>
    <n v="4"/>
    <n v="3"/>
    <n v="3"/>
    <n v="3"/>
    <n v="2"/>
    <n v="0"/>
    <n v="2"/>
    <x v="1"/>
    <n v="1"/>
    <x v="2"/>
    <x v="0"/>
    <s v="2-5 Years"/>
    <s v="Low"/>
    <s v="Better"/>
  </r>
  <r>
    <x v="31"/>
    <s v="No"/>
    <s v="Travel_Frequently"/>
    <n v="237"/>
    <x v="0"/>
    <n v="9"/>
    <n v="3"/>
    <s v="Life Sciences"/>
    <n v="1"/>
    <n v="1282"/>
    <n v="4"/>
    <x v="1"/>
    <n v="83"/>
    <n v="3"/>
    <n v="5"/>
    <x v="5"/>
    <n v="2"/>
    <s v="Divorced"/>
    <n v="19847"/>
    <n v="19196"/>
    <n v="4"/>
    <s v="Y"/>
    <x v="0"/>
    <n v="24"/>
    <n v="4"/>
    <n v="1"/>
    <n v="80"/>
    <n v="1"/>
    <n v="31"/>
    <n v="5"/>
    <n v="2"/>
    <n v="29"/>
    <n v="10"/>
    <n v="11"/>
    <n v="10"/>
    <x v="1"/>
    <n v="1"/>
    <x v="1"/>
    <x v="2"/>
    <s v="10+ Years"/>
    <s v="Medium"/>
    <s v="Good"/>
  </r>
  <r>
    <x v="6"/>
    <s v="No"/>
    <s v="Travel_Rarely"/>
    <n v="1429"/>
    <x v="1"/>
    <n v="18"/>
    <n v="4"/>
    <s v="Medical"/>
    <n v="1"/>
    <n v="1283"/>
    <n v="4"/>
    <x v="1"/>
    <n v="67"/>
    <n v="3"/>
    <n v="3"/>
    <x v="3"/>
    <n v="4"/>
    <s v="Single"/>
    <n v="10512"/>
    <n v="20002"/>
    <n v="6"/>
    <s v="Y"/>
    <x v="1"/>
    <n v="12"/>
    <n v="3"/>
    <n v="4"/>
    <n v="80"/>
    <n v="0"/>
    <n v="25"/>
    <n v="6"/>
    <n v="2"/>
    <n v="9"/>
    <n v="7"/>
    <n v="5"/>
    <n v="4"/>
    <x v="1"/>
    <n v="1"/>
    <x v="3"/>
    <x v="2"/>
    <s v="6-10 Years"/>
    <s v="Very High"/>
    <s v="Good"/>
  </r>
  <r>
    <x v="13"/>
    <s v="No"/>
    <s v="Travel_Frequently"/>
    <n v="135"/>
    <x v="1"/>
    <n v="19"/>
    <n v="3"/>
    <s v="Medical"/>
    <n v="1"/>
    <n v="1285"/>
    <n v="3"/>
    <x v="0"/>
    <n v="46"/>
    <n v="3"/>
    <n v="2"/>
    <x v="2"/>
    <n v="2"/>
    <s v="Divorced"/>
    <n v="4444"/>
    <n v="22534"/>
    <n v="4"/>
    <s v="Y"/>
    <x v="1"/>
    <n v="13"/>
    <n v="3"/>
    <n v="3"/>
    <n v="80"/>
    <n v="2"/>
    <n v="15"/>
    <n v="2"/>
    <n v="4"/>
    <n v="11"/>
    <n v="8"/>
    <n v="5"/>
    <n v="10"/>
    <x v="1"/>
    <n v="1"/>
    <x v="2"/>
    <x v="0"/>
    <s v="10+ Years"/>
    <s v="Medium"/>
    <s v="Best"/>
  </r>
  <r>
    <x v="14"/>
    <s v="No"/>
    <s v="Travel_Frequently"/>
    <n v="791"/>
    <x v="1"/>
    <n v="1"/>
    <n v="4"/>
    <s v="Medical"/>
    <n v="1"/>
    <n v="1286"/>
    <n v="4"/>
    <x v="1"/>
    <n v="44"/>
    <n v="3"/>
    <n v="1"/>
    <x v="2"/>
    <n v="3"/>
    <s v="Single"/>
    <n v="2154"/>
    <n v="6842"/>
    <n v="0"/>
    <s v="Y"/>
    <x v="0"/>
    <n v="11"/>
    <n v="3"/>
    <n v="3"/>
    <n v="80"/>
    <n v="0"/>
    <n v="5"/>
    <n v="2"/>
    <n v="2"/>
    <n v="4"/>
    <n v="2"/>
    <n v="0"/>
    <n v="2"/>
    <x v="1"/>
    <n v="1"/>
    <x v="2"/>
    <x v="1"/>
    <s v="2-5 Years"/>
    <s v="High"/>
    <s v="Good"/>
  </r>
  <r>
    <x v="20"/>
    <s v="No"/>
    <s v="Travel_Rarely"/>
    <n v="1199"/>
    <x v="1"/>
    <n v="4"/>
    <n v="2"/>
    <s v="Life Sciences"/>
    <n v="1"/>
    <n v="1288"/>
    <n v="3"/>
    <x v="1"/>
    <n v="92"/>
    <n v="4"/>
    <n v="5"/>
    <x v="5"/>
    <n v="1"/>
    <s v="Divorced"/>
    <n v="19190"/>
    <n v="17477"/>
    <n v="1"/>
    <s v="Y"/>
    <x v="1"/>
    <n v="14"/>
    <n v="3"/>
    <n v="4"/>
    <n v="80"/>
    <n v="2"/>
    <n v="26"/>
    <n v="4"/>
    <n v="2"/>
    <n v="25"/>
    <n v="9"/>
    <n v="14"/>
    <n v="13"/>
    <x v="1"/>
    <n v="1"/>
    <x v="0"/>
    <x v="2"/>
    <s v="10+ Years"/>
    <s v="Low"/>
    <s v="Good"/>
  </r>
  <r>
    <x v="13"/>
    <s v="No"/>
    <s v="Travel_Frequently"/>
    <n v="648"/>
    <x v="2"/>
    <n v="11"/>
    <n v="3"/>
    <s v="Life Sciences"/>
    <n v="1"/>
    <n v="1289"/>
    <n v="3"/>
    <x v="1"/>
    <n v="56"/>
    <n v="2"/>
    <n v="2"/>
    <x v="8"/>
    <n v="2"/>
    <s v="Married"/>
    <n v="4490"/>
    <n v="21833"/>
    <n v="4"/>
    <s v="Y"/>
    <x v="1"/>
    <n v="11"/>
    <n v="3"/>
    <n v="4"/>
    <n v="80"/>
    <n v="2"/>
    <n v="14"/>
    <n v="5"/>
    <n v="4"/>
    <n v="10"/>
    <n v="9"/>
    <n v="1"/>
    <n v="8"/>
    <x v="1"/>
    <n v="1"/>
    <x v="2"/>
    <x v="0"/>
    <s v="6-10 Years"/>
    <s v="Medium"/>
    <s v="Best"/>
  </r>
  <r>
    <x v="10"/>
    <s v="No"/>
    <s v="Travel_Rarely"/>
    <n v="735"/>
    <x v="1"/>
    <n v="6"/>
    <n v="1"/>
    <s v="Life Sciences"/>
    <n v="1"/>
    <n v="1291"/>
    <n v="3"/>
    <x v="1"/>
    <n v="66"/>
    <n v="3"/>
    <n v="1"/>
    <x v="1"/>
    <n v="3"/>
    <s v="Married"/>
    <n v="3506"/>
    <n v="6020"/>
    <n v="0"/>
    <s v="Y"/>
    <x v="0"/>
    <n v="14"/>
    <n v="3"/>
    <n v="4"/>
    <n v="80"/>
    <n v="0"/>
    <n v="4"/>
    <n v="3"/>
    <n v="3"/>
    <n v="3"/>
    <n v="2"/>
    <n v="2"/>
    <n v="2"/>
    <x v="1"/>
    <n v="1"/>
    <x v="0"/>
    <x v="0"/>
    <s v="2-5 Years"/>
    <s v="High"/>
    <s v="Better"/>
  </r>
  <r>
    <x v="19"/>
    <s v="No"/>
    <s v="Travel_Rarely"/>
    <n v="603"/>
    <x v="1"/>
    <n v="7"/>
    <n v="4"/>
    <s v="Medical"/>
    <n v="1"/>
    <n v="1292"/>
    <n v="2"/>
    <x v="0"/>
    <n v="78"/>
    <n v="4"/>
    <n v="2"/>
    <x v="1"/>
    <n v="2"/>
    <s v="Married"/>
    <n v="2372"/>
    <n v="5628"/>
    <n v="6"/>
    <s v="Y"/>
    <x v="0"/>
    <n v="16"/>
    <n v="3"/>
    <n v="4"/>
    <n v="80"/>
    <n v="0"/>
    <n v="18"/>
    <n v="2"/>
    <n v="3"/>
    <n v="1"/>
    <n v="0"/>
    <n v="0"/>
    <n v="0"/>
    <x v="1"/>
    <n v="1"/>
    <x v="0"/>
    <x v="1"/>
    <s v="0-1 Years"/>
    <s v="Medium"/>
    <s v="Better"/>
  </r>
  <r>
    <x v="23"/>
    <s v="No"/>
    <s v="Travel_Rarely"/>
    <n v="531"/>
    <x v="0"/>
    <n v="4"/>
    <n v="4"/>
    <s v="Marketing"/>
    <n v="1"/>
    <n v="1293"/>
    <n v="4"/>
    <x v="0"/>
    <n v="56"/>
    <n v="2"/>
    <n v="3"/>
    <x v="0"/>
    <n v="4"/>
    <s v="Single"/>
    <n v="10231"/>
    <n v="20364"/>
    <n v="3"/>
    <s v="Y"/>
    <x v="1"/>
    <n v="14"/>
    <n v="3"/>
    <n v="4"/>
    <n v="80"/>
    <n v="0"/>
    <n v="23"/>
    <n v="3"/>
    <n v="4"/>
    <n v="21"/>
    <n v="7"/>
    <n v="15"/>
    <n v="17"/>
    <x v="1"/>
    <n v="1"/>
    <x v="0"/>
    <x v="2"/>
    <s v="10+ Years"/>
    <s v="Very High"/>
    <s v="Best"/>
  </r>
  <r>
    <x v="9"/>
    <s v="No"/>
    <s v="Travel_Rarely"/>
    <n v="429"/>
    <x v="1"/>
    <n v="2"/>
    <n v="4"/>
    <s v="Life Sciences"/>
    <n v="1"/>
    <n v="1294"/>
    <n v="3"/>
    <x v="0"/>
    <n v="53"/>
    <n v="3"/>
    <n v="2"/>
    <x v="3"/>
    <n v="2"/>
    <s v="Single"/>
    <n v="5410"/>
    <n v="2323"/>
    <n v="9"/>
    <s v="Y"/>
    <x v="0"/>
    <n v="11"/>
    <n v="3"/>
    <n v="4"/>
    <n v="80"/>
    <n v="0"/>
    <n v="18"/>
    <n v="2"/>
    <n v="3"/>
    <n v="16"/>
    <n v="14"/>
    <n v="5"/>
    <n v="12"/>
    <x v="1"/>
    <n v="1"/>
    <x v="0"/>
    <x v="0"/>
    <s v="10+ Years"/>
    <s v="Medium"/>
    <s v="Better"/>
  </r>
  <r>
    <x v="20"/>
    <s v="Yes"/>
    <s v="Travel_Rarely"/>
    <n v="621"/>
    <x v="1"/>
    <n v="15"/>
    <n v="3"/>
    <s v="Medical"/>
    <n v="1"/>
    <n v="1295"/>
    <n v="1"/>
    <x v="0"/>
    <n v="73"/>
    <n v="3"/>
    <n v="3"/>
    <x v="4"/>
    <n v="4"/>
    <s v="Married"/>
    <n v="7978"/>
    <n v="14075"/>
    <n v="1"/>
    <s v="Y"/>
    <x v="1"/>
    <n v="11"/>
    <n v="3"/>
    <n v="4"/>
    <n v="80"/>
    <n v="1"/>
    <n v="10"/>
    <n v="2"/>
    <n v="3"/>
    <n v="10"/>
    <n v="7"/>
    <n v="0"/>
    <n v="5"/>
    <x v="0"/>
    <n v="0"/>
    <x v="0"/>
    <x v="2"/>
    <s v="6-10 Years"/>
    <s v="Very High"/>
    <s v="Better"/>
  </r>
  <r>
    <x v="14"/>
    <s v="No"/>
    <s v="Travel_Frequently"/>
    <n v="193"/>
    <x v="1"/>
    <n v="2"/>
    <n v="3"/>
    <s v="Life Sciences"/>
    <n v="1"/>
    <n v="1296"/>
    <n v="4"/>
    <x v="1"/>
    <n v="52"/>
    <n v="2"/>
    <n v="1"/>
    <x v="2"/>
    <n v="4"/>
    <s v="Married"/>
    <n v="3867"/>
    <n v="14222"/>
    <n v="1"/>
    <s v="Y"/>
    <x v="0"/>
    <n v="12"/>
    <n v="3"/>
    <n v="2"/>
    <n v="80"/>
    <n v="1"/>
    <n v="2"/>
    <n v="2"/>
    <n v="3"/>
    <n v="2"/>
    <n v="2"/>
    <n v="2"/>
    <n v="2"/>
    <x v="1"/>
    <n v="1"/>
    <x v="2"/>
    <x v="0"/>
    <s v="2-5 Years"/>
    <s v="Very High"/>
    <s v="Better"/>
  </r>
  <r>
    <x v="31"/>
    <s v="No"/>
    <s v="Travel_Frequently"/>
    <n v="968"/>
    <x v="1"/>
    <n v="6"/>
    <n v="2"/>
    <s v="Medical"/>
    <n v="1"/>
    <n v="1297"/>
    <n v="2"/>
    <x v="0"/>
    <n v="40"/>
    <n v="2"/>
    <n v="1"/>
    <x v="2"/>
    <n v="3"/>
    <s v="Single"/>
    <n v="2838"/>
    <n v="4257"/>
    <n v="0"/>
    <s v="Y"/>
    <x v="1"/>
    <n v="14"/>
    <n v="3"/>
    <n v="2"/>
    <n v="80"/>
    <n v="0"/>
    <n v="8"/>
    <n v="6"/>
    <n v="2"/>
    <n v="7"/>
    <n v="0"/>
    <n v="7"/>
    <n v="7"/>
    <x v="1"/>
    <n v="1"/>
    <x v="1"/>
    <x v="1"/>
    <s v="6-10 Years"/>
    <s v="High"/>
    <s v="Good"/>
  </r>
  <r>
    <x v="7"/>
    <s v="No"/>
    <s v="Non-Travel"/>
    <n v="879"/>
    <x v="1"/>
    <n v="9"/>
    <n v="2"/>
    <s v="Medical"/>
    <n v="1"/>
    <n v="1298"/>
    <n v="3"/>
    <x v="0"/>
    <n v="72"/>
    <n v="3"/>
    <n v="2"/>
    <x v="3"/>
    <n v="3"/>
    <s v="Single"/>
    <n v="4695"/>
    <n v="12858"/>
    <n v="7"/>
    <s v="Y"/>
    <x v="0"/>
    <n v="18"/>
    <n v="3"/>
    <n v="3"/>
    <n v="80"/>
    <n v="0"/>
    <n v="10"/>
    <n v="3"/>
    <n v="3"/>
    <n v="8"/>
    <n v="4"/>
    <n v="1"/>
    <n v="7"/>
    <x v="1"/>
    <n v="1"/>
    <x v="2"/>
    <x v="0"/>
    <s v="6-10 Years"/>
    <s v="High"/>
    <s v="Better"/>
  </r>
  <r>
    <x v="11"/>
    <s v="Yes"/>
    <s v="Travel_Rarely"/>
    <n v="806"/>
    <x v="1"/>
    <n v="7"/>
    <n v="3"/>
    <s v="Technical Degree"/>
    <n v="1"/>
    <n v="1299"/>
    <n v="2"/>
    <x v="0"/>
    <n v="39"/>
    <n v="3"/>
    <n v="1"/>
    <x v="2"/>
    <n v="3"/>
    <s v="Divorced"/>
    <n v="3339"/>
    <n v="17285"/>
    <n v="3"/>
    <s v="Y"/>
    <x v="0"/>
    <n v="13"/>
    <n v="3"/>
    <n v="1"/>
    <n v="80"/>
    <n v="2"/>
    <n v="10"/>
    <n v="2"/>
    <n v="3"/>
    <n v="7"/>
    <n v="7"/>
    <n v="7"/>
    <n v="7"/>
    <x v="0"/>
    <n v="0"/>
    <x v="2"/>
    <x v="0"/>
    <s v="6-10 Years"/>
    <s v="High"/>
    <s v="Better"/>
  </r>
  <r>
    <x v="14"/>
    <s v="No"/>
    <s v="Travel_Rarely"/>
    <n v="640"/>
    <x v="1"/>
    <n v="1"/>
    <n v="3"/>
    <s v="Technical Degree"/>
    <n v="1"/>
    <n v="1301"/>
    <n v="4"/>
    <x v="1"/>
    <n v="84"/>
    <n v="3"/>
    <n v="1"/>
    <x v="1"/>
    <n v="1"/>
    <s v="Single"/>
    <n v="2080"/>
    <n v="4732"/>
    <n v="2"/>
    <s v="Y"/>
    <x v="1"/>
    <n v="11"/>
    <n v="3"/>
    <n v="2"/>
    <n v="80"/>
    <n v="0"/>
    <n v="5"/>
    <n v="2"/>
    <n v="2"/>
    <n v="3"/>
    <n v="2"/>
    <n v="1"/>
    <n v="2"/>
    <x v="1"/>
    <n v="1"/>
    <x v="2"/>
    <x v="1"/>
    <s v="2-5 Years"/>
    <s v="Low"/>
    <s v="Good"/>
  </r>
  <r>
    <x v="36"/>
    <s v="No"/>
    <s v="Travel_Rarely"/>
    <n v="266"/>
    <x v="1"/>
    <n v="1"/>
    <n v="3"/>
    <s v="Medical"/>
    <n v="1"/>
    <n v="1303"/>
    <n v="4"/>
    <x v="0"/>
    <n v="40"/>
    <n v="3"/>
    <n v="1"/>
    <x v="1"/>
    <n v="2"/>
    <s v="Single"/>
    <n v="2096"/>
    <n v="18830"/>
    <n v="1"/>
    <s v="Y"/>
    <x v="1"/>
    <n v="18"/>
    <n v="3"/>
    <n v="4"/>
    <n v="80"/>
    <n v="0"/>
    <n v="2"/>
    <n v="3"/>
    <n v="2"/>
    <n v="2"/>
    <n v="2"/>
    <n v="2"/>
    <n v="1"/>
    <x v="1"/>
    <n v="1"/>
    <x v="2"/>
    <x v="1"/>
    <s v="2-5 Years"/>
    <s v="Medium"/>
    <s v="Good"/>
  </r>
  <r>
    <x v="5"/>
    <s v="No"/>
    <s v="Travel_Rarely"/>
    <n v="604"/>
    <x v="0"/>
    <n v="8"/>
    <n v="3"/>
    <s v="Medical"/>
    <n v="1"/>
    <n v="1304"/>
    <n v="3"/>
    <x v="1"/>
    <n v="56"/>
    <n v="4"/>
    <n v="2"/>
    <x v="0"/>
    <n v="4"/>
    <s v="Married"/>
    <n v="6209"/>
    <n v="11693"/>
    <n v="1"/>
    <s v="Y"/>
    <x v="1"/>
    <n v="15"/>
    <n v="3"/>
    <n v="3"/>
    <n v="80"/>
    <n v="2"/>
    <n v="10"/>
    <n v="4"/>
    <n v="4"/>
    <n v="10"/>
    <n v="7"/>
    <n v="0"/>
    <n v="8"/>
    <x v="1"/>
    <n v="1"/>
    <x v="2"/>
    <x v="0"/>
    <s v="6-10 Years"/>
    <s v="Very High"/>
    <s v="Best"/>
  </r>
  <r>
    <x v="28"/>
    <s v="No"/>
    <s v="Travel_Frequently"/>
    <n v="364"/>
    <x v="1"/>
    <n v="25"/>
    <n v="3"/>
    <s v="Medical"/>
    <n v="1"/>
    <n v="1306"/>
    <n v="2"/>
    <x v="0"/>
    <n v="83"/>
    <n v="3"/>
    <n v="5"/>
    <x v="5"/>
    <n v="2"/>
    <s v="Single"/>
    <n v="18061"/>
    <n v="13035"/>
    <n v="3"/>
    <s v="Y"/>
    <x v="1"/>
    <n v="22"/>
    <n v="4"/>
    <n v="3"/>
    <n v="80"/>
    <n v="0"/>
    <n v="22"/>
    <n v="4"/>
    <n v="3"/>
    <n v="0"/>
    <n v="0"/>
    <n v="0"/>
    <n v="0"/>
    <x v="1"/>
    <n v="1"/>
    <x v="1"/>
    <x v="2"/>
    <s v="0-1 Years"/>
    <s v="Medium"/>
    <s v="Better"/>
  </r>
  <r>
    <x v="22"/>
    <s v="No"/>
    <s v="Travel_Rarely"/>
    <n v="412"/>
    <x v="1"/>
    <n v="13"/>
    <n v="4"/>
    <s v="Medical"/>
    <n v="1"/>
    <n v="1307"/>
    <n v="3"/>
    <x v="0"/>
    <n v="94"/>
    <n v="2"/>
    <n v="4"/>
    <x v="5"/>
    <n v="2"/>
    <s v="Divorced"/>
    <n v="17123"/>
    <n v="17334"/>
    <n v="6"/>
    <s v="Y"/>
    <x v="0"/>
    <n v="13"/>
    <n v="3"/>
    <n v="4"/>
    <n v="80"/>
    <n v="2"/>
    <n v="21"/>
    <n v="4"/>
    <n v="3"/>
    <n v="19"/>
    <n v="9"/>
    <n v="15"/>
    <n v="2"/>
    <x v="1"/>
    <n v="1"/>
    <x v="0"/>
    <x v="2"/>
    <s v="10+ Years"/>
    <s v="Medium"/>
    <s v="Better"/>
  </r>
  <r>
    <x v="34"/>
    <s v="No"/>
    <s v="Travel_Rarely"/>
    <n v="848"/>
    <x v="1"/>
    <n v="23"/>
    <n v="4"/>
    <s v="Life Sciences"/>
    <n v="1"/>
    <n v="1308"/>
    <n v="1"/>
    <x v="1"/>
    <n v="88"/>
    <n v="3"/>
    <n v="1"/>
    <x v="1"/>
    <n v="3"/>
    <s v="Divorced"/>
    <n v="2372"/>
    <n v="26076"/>
    <n v="1"/>
    <s v="Y"/>
    <x v="1"/>
    <n v="12"/>
    <n v="3"/>
    <n v="4"/>
    <n v="80"/>
    <n v="2"/>
    <n v="2"/>
    <n v="3"/>
    <n v="3"/>
    <n v="2"/>
    <n v="2"/>
    <n v="2"/>
    <n v="2"/>
    <x v="1"/>
    <n v="1"/>
    <x v="3"/>
    <x v="1"/>
    <s v="2-5 Years"/>
    <s v="High"/>
    <s v="Better"/>
  </r>
  <r>
    <x v="5"/>
    <s v="Yes"/>
    <s v="Travel_Rarely"/>
    <n v="1089"/>
    <x v="1"/>
    <n v="7"/>
    <n v="2"/>
    <s v="Life Sciences"/>
    <n v="1"/>
    <n v="1309"/>
    <n v="4"/>
    <x v="1"/>
    <n v="79"/>
    <n v="3"/>
    <n v="2"/>
    <x v="2"/>
    <n v="3"/>
    <s v="Married"/>
    <n v="4883"/>
    <n v="22845"/>
    <n v="1"/>
    <s v="Y"/>
    <x v="1"/>
    <n v="18"/>
    <n v="3"/>
    <n v="1"/>
    <n v="80"/>
    <n v="1"/>
    <n v="10"/>
    <n v="3"/>
    <n v="3"/>
    <n v="10"/>
    <n v="4"/>
    <n v="1"/>
    <n v="1"/>
    <x v="0"/>
    <n v="0"/>
    <x v="2"/>
    <x v="0"/>
    <s v="6-10 Years"/>
    <s v="High"/>
    <s v="Better"/>
  </r>
  <r>
    <x v="22"/>
    <s v="Yes"/>
    <s v="Travel_Rarely"/>
    <n v="360"/>
    <x v="1"/>
    <n v="23"/>
    <n v="3"/>
    <s v="Medical"/>
    <n v="1"/>
    <n v="1310"/>
    <n v="3"/>
    <x v="1"/>
    <n v="93"/>
    <n v="3"/>
    <n v="1"/>
    <x v="1"/>
    <n v="1"/>
    <s v="Single"/>
    <n v="3904"/>
    <n v="22154"/>
    <n v="0"/>
    <s v="Y"/>
    <x v="1"/>
    <n v="13"/>
    <n v="3"/>
    <n v="1"/>
    <n v="80"/>
    <n v="0"/>
    <n v="6"/>
    <n v="2"/>
    <n v="3"/>
    <n v="5"/>
    <n v="2"/>
    <n v="0"/>
    <n v="3"/>
    <x v="0"/>
    <n v="0"/>
    <x v="0"/>
    <x v="0"/>
    <s v="2-5 Years"/>
    <s v="Low"/>
    <s v="Better"/>
  </r>
  <r>
    <x v="7"/>
    <s v="No"/>
    <s v="Travel_Rarely"/>
    <n v="1138"/>
    <x v="1"/>
    <n v="6"/>
    <n v="3"/>
    <s v="Technical Degree"/>
    <n v="1"/>
    <n v="1311"/>
    <n v="1"/>
    <x v="0"/>
    <n v="48"/>
    <n v="2"/>
    <n v="2"/>
    <x v="2"/>
    <n v="4"/>
    <s v="Married"/>
    <n v="4627"/>
    <n v="23631"/>
    <n v="0"/>
    <s v="Y"/>
    <x v="1"/>
    <n v="12"/>
    <n v="3"/>
    <n v="1"/>
    <n v="80"/>
    <n v="1"/>
    <n v="10"/>
    <n v="6"/>
    <n v="3"/>
    <n v="9"/>
    <n v="2"/>
    <n v="6"/>
    <n v="7"/>
    <x v="1"/>
    <n v="1"/>
    <x v="2"/>
    <x v="0"/>
    <s v="6-10 Years"/>
    <s v="Very High"/>
    <s v="Better"/>
  </r>
  <r>
    <x v="9"/>
    <s v="No"/>
    <s v="Travel_Rarely"/>
    <n v="325"/>
    <x v="1"/>
    <n v="10"/>
    <n v="4"/>
    <s v="Technical Degree"/>
    <n v="1"/>
    <n v="1312"/>
    <n v="4"/>
    <x v="0"/>
    <n v="63"/>
    <n v="3"/>
    <n v="3"/>
    <x v="4"/>
    <n v="3"/>
    <s v="Married"/>
    <n v="7094"/>
    <n v="5747"/>
    <n v="3"/>
    <s v="Y"/>
    <x v="1"/>
    <n v="12"/>
    <n v="3"/>
    <n v="1"/>
    <n v="80"/>
    <n v="0"/>
    <n v="10"/>
    <n v="0"/>
    <n v="3"/>
    <n v="7"/>
    <n v="7"/>
    <n v="1"/>
    <n v="7"/>
    <x v="1"/>
    <n v="1"/>
    <x v="0"/>
    <x v="2"/>
    <s v="6-10 Years"/>
    <s v="High"/>
    <s v="Better"/>
  </r>
  <r>
    <x v="21"/>
    <s v="No"/>
    <s v="Travel_Rarely"/>
    <n v="991"/>
    <x v="2"/>
    <n v="1"/>
    <n v="2"/>
    <s v="Life Sciences"/>
    <n v="1"/>
    <n v="1314"/>
    <n v="4"/>
    <x v="0"/>
    <n v="44"/>
    <n v="3"/>
    <n v="1"/>
    <x v="8"/>
    <n v="1"/>
    <s v="Single"/>
    <n v="3423"/>
    <n v="22957"/>
    <n v="6"/>
    <s v="Y"/>
    <x v="1"/>
    <n v="12"/>
    <n v="3"/>
    <n v="3"/>
    <n v="80"/>
    <n v="0"/>
    <n v="10"/>
    <n v="3"/>
    <n v="4"/>
    <n v="7"/>
    <n v="6"/>
    <n v="5"/>
    <n v="7"/>
    <x v="1"/>
    <n v="1"/>
    <x v="1"/>
    <x v="0"/>
    <s v="6-10 Years"/>
    <s v="Low"/>
    <s v="Best"/>
  </r>
  <r>
    <x v="14"/>
    <s v="No"/>
    <s v="Non-Travel"/>
    <n v="1476"/>
    <x v="1"/>
    <n v="1"/>
    <n v="3"/>
    <s v="Life Sciences"/>
    <n v="1"/>
    <n v="1315"/>
    <n v="3"/>
    <x v="0"/>
    <n v="55"/>
    <n v="1"/>
    <n v="2"/>
    <x v="2"/>
    <n v="4"/>
    <s v="Married"/>
    <n v="6674"/>
    <n v="16392"/>
    <n v="0"/>
    <s v="Y"/>
    <x v="1"/>
    <n v="11"/>
    <n v="3"/>
    <n v="1"/>
    <n v="80"/>
    <n v="3"/>
    <n v="10"/>
    <n v="6"/>
    <n v="3"/>
    <n v="9"/>
    <n v="8"/>
    <n v="7"/>
    <n v="5"/>
    <x v="1"/>
    <n v="1"/>
    <x v="2"/>
    <x v="0"/>
    <s v="6-10 Years"/>
    <s v="Very High"/>
    <s v="Better"/>
  </r>
  <r>
    <x v="24"/>
    <s v="No"/>
    <s v="Travel_Rarely"/>
    <n v="1322"/>
    <x v="1"/>
    <n v="28"/>
    <n v="3"/>
    <s v="Life Sciences"/>
    <n v="1"/>
    <n v="1317"/>
    <n v="4"/>
    <x v="0"/>
    <n v="43"/>
    <n v="3"/>
    <n v="4"/>
    <x v="7"/>
    <n v="1"/>
    <s v="Married"/>
    <n v="16880"/>
    <n v="22422"/>
    <n v="4"/>
    <s v="Y"/>
    <x v="0"/>
    <n v="11"/>
    <n v="3"/>
    <n v="2"/>
    <n v="80"/>
    <n v="0"/>
    <n v="25"/>
    <n v="2"/>
    <n v="3"/>
    <n v="3"/>
    <n v="2"/>
    <n v="1"/>
    <n v="2"/>
    <x v="1"/>
    <n v="1"/>
    <x v="1"/>
    <x v="2"/>
    <s v="2-5 Years"/>
    <s v="Low"/>
    <s v="Better"/>
  </r>
  <r>
    <x v="32"/>
    <s v="Yes"/>
    <s v="Travel_Rarely"/>
    <n v="299"/>
    <x v="0"/>
    <n v="25"/>
    <n v="4"/>
    <s v="Marketing"/>
    <n v="1"/>
    <n v="1318"/>
    <n v="4"/>
    <x v="1"/>
    <n v="57"/>
    <n v="2"/>
    <n v="3"/>
    <x v="0"/>
    <n v="2"/>
    <s v="Single"/>
    <n v="9094"/>
    <n v="17235"/>
    <n v="2"/>
    <s v="Y"/>
    <x v="0"/>
    <n v="12"/>
    <n v="3"/>
    <n v="3"/>
    <n v="80"/>
    <n v="0"/>
    <n v="9"/>
    <n v="2"/>
    <n v="3"/>
    <n v="5"/>
    <n v="4"/>
    <n v="1"/>
    <n v="0"/>
    <x v="0"/>
    <n v="0"/>
    <x v="0"/>
    <x v="2"/>
    <s v="2-5 Years"/>
    <s v="Medium"/>
    <s v="Better"/>
  </r>
  <r>
    <x v="39"/>
    <s v="Yes"/>
    <s v="Travel_Rarely"/>
    <n v="1030"/>
    <x v="0"/>
    <n v="5"/>
    <n v="3"/>
    <s v="Life Sciences"/>
    <n v="1"/>
    <n v="1319"/>
    <n v="2"/>
    <x v="1"/>
    <n v="64"/>
    <n v="3"/>
    <n v="3"/>
    <x v="0"/>
    <n v="2"/>
    <s v="Single"/>
    <n v="8446"/>
    <n v="21534"/>
    <n v="9"/>
    <s v="Y"/>
    <x v="0"/>
    <n v="19"/>
    <n v="3"/>
    <n v="3"/>
    <n v="80"/>
    <n v="0"/>
    <n v="10"/>
    <n v="2"/>
    <n v="2"/>
    <n v="8"/>
    <n v="7"/>
    <n v="7"/>
    <n v="7"/>
    <x v="0"/>
    <n v="0"/>
    <x v="1"/>
    <x v="2"/>
    <s v="6-10 Years"/>
    <s v="Medium"/>
    <s v="Good"/>
  </r>
  <r>
    <x v="7"/>
    <s v="No"/>
    <s v="Travel_Rarely"/>
    <n v="634"/>
    <x v="1"/>
    <n v="17"/>
    <n v="4"/>
    <s v="Medical"/>
    <n v="1"/>
    <n v="1321"/>
    <n v="2"/>
    <x v="0"/>
    <n v="95"/>
    <n v="3"/>
    <n v="3"/>
    <x v="5"/>
    <n v="1"/>
    <s v="Married"/>
    <n v="11916"/>
    <n v="25927"/>
    <n v="1"/>
    <s v="Y"/>
    <x v="0"/>
    <n v="23"/>
    <n v="4"/>
    <n v="4"/>
    <n v="80"/>
    <n v="2"/>
    <n v="9"/>
    <n v="2"/>
    <n v="3"/>
    <n v="9"/>
    <n v="1"/>
    <n v="0"/>
    <n v="8"/>
    <x v="1"/>
    <n v="1"/>
    <x v="2"/>
    <x v="2"/>
    <s v="6-10 Years"/>
    <s v="Low"/>
    <s v="Better"/>
  </r>
  <r>
    <x v="22"/>
    <s v="No"/>
    <s v="Travel_Rarely"/>
    <n v="524"/>
    <x v="1"/>
    <n v="18"/>
    <n v="2"/>
    <s v="Life Sciences"/>
    <n v="1"/>
    <n v="1322"/>
    <n v="1"/>
    <x v="1"/>
    <n v="32"/>
    <n v="3"/>
    <n v="2"/>
    <x v="3"/>
    <n v="3"/>
    <s v="Single"/>
    <n v="4534"/>
    <n v="13352"/>
    <n v="0"/>
    <s v="Y"/>
    <x v="1"/>
    <n v="11"/>
    <n v="3"/>
    <n v="1"/>
    <n v="80"/>
    <n v="0"/>
    <n v="9"/>
    <n v="6"/>
    <n v="3"/>
    <n v="8"/>
    <n v="7"/>
    <n v="1"/>
    <n v="7"/>
    <x v="1"/>
    <n v="1"/>
    <x v="0"/>
    <x v="0"/>
    <s v="6-10 Years"/>
    <s v="High"/>
    <s v="Better"/>
  </r>
  <r>
    <x v="12"/>
    <s v="No"/>
    <s v="Non-Travel"/>
    <n v="587"/>
    <x v="0"/>
    <n v="2"/>
    <n v="4"/>
    <s v="Life Sciences"/>
    <n v="1"/>
    <n v="1324"/>
    <n v="4"/>
    <x v="0"/>
    <n v="57"/>
    <n v="3"/>
    <n v="3"/>
    <x v="0"/>
    <n v="3"/>
    <s v="Divorced"/>
    <n v="9852"/>
    <n v="8935"/>
    <n v="1"/>
    <s v="Y"/>
    <x v="0"/>
    <n v="19"/>
    <n v="3"/>
    <n v="1"/>
    <n v="80"/>
    <n v="1"/>
    <n v="10"/>
    <n v="5"/>
    <n v="2"/>
    <n v="10"/>
    <n v="8"/>
    <n v="9"/>
    <n v="6"/>
    <x v="1"/>
    <n v="1"/>
    <x v="2"/>
    <x v="2"/>
    <s v="6-10 Years"/>
    <s v="High"/>
    <s v="Good"/>
  </r>
  <r>
    <x v="0"/>
    <s v="No"/>
    <s v="Non-Travel"/>
    <n v="256"/>
    <x v="0"/>
    <n v="10"/>
    <n v="2"/>
    <s v="Medical"/>
    <n v="1"/>
    <n v="1329"/>
    <n v="3"/>
    <x v="1"/>
    <n v="40"/>
    <n v="1"/>
    <n v="2"/>
    <x v="0"/>
    <n v="2"/>
    <s v="Single"/>
    <n v="6151"/>
    <n v="22074"/>
    <n v="1"/>
    <s v="Y"/>
    <x v="1"/>
    <n v="13"/>
    <n v="3"/>
    <n v="1"/>
    <n v="80"/>
    <n v="0"/>
    <n v="19"/>
    <n v="4"/>
    <n v="3"/>
    <n v="19"/>
    <n v="2"/>
    <n v="11"/>
    <n v="9"/>
    <x v="1"/>
    <n v="1"/>
    <x v="0"/>
    <x v="0"/>
    <s v="10+ Years"/>
    <s v="Medium"/>
    <s v="Better"/>
  </r>
  <r>
    <x v="12"/>
    <s v="Yes"/>
    <s v="Travel_Frequently"/>
    <n v="1060"/>
    <x v="0"/>
    <n v="1"/>
    <n v="3"/>
    <s v="Life Sciences"/>
    <n v="1"/>
    <n v="1331"/>
    <n v="4"/>
    <x v="0"/>
    <n v="54"/>
    <n v="3"/>
    <n v="1"/>
    <x v="6"/>
    <n v="2"/>
    <s v="Single"/>
    <n v="2302"/>
    <n v="8319"/>
    <n v="1"/>
    <s v="Y"/>
    <x v="0"/>
    <n v="11"/>
    <n v="3"/>
    <n v="1"/>
    <n v="80"/>
    <n v="0"/>
    <n v="3"/>
    <n v="2"/>
    <n v="4"/>
    <n v="3"/>
    <n v="2"/>
    <n v="2"/>
    <n v="2"/>
    <x v="0"/>
    <n v="0"/>
    <x v="2"/>
    <x v="1"/>
    <s v="2-5 Years"/>
    <s v="Medium"/>
    <s v="Best"/>
  </r>
  <r>
    <x v="20"/>
    <s v="Yes"/>
    <s v="Travel_Rarely"/>
    <n v="935"/>
    <x v="1"/>
    <n v="3"/>
    <n v="3"/>
    <s v="Life Sciences"/>
    <n v="1"/>
    <n v="1333"/>
    <n v="1"/>
    <x v="1"/>
    <n v="89"/>
    <n v="3"/>
    <n v="1"/>
    <x v="2"/>
    <n v="1"/>
    <s v="Married"/>
    <n v="2362"/>
    <n v="14669"/>
    <n v="4"/>
    <s v="Y"/>
    <x v="1"/>
    <n v="12"/>
    <n v="3"/>
    <n v="3"/>
    <n v="80"/>
    <n v="0"/>
    <n v="10"/>
    <n v="4"/>
    <n v="4"/>
    <n v="3"/>
    <n v="2"/>
    <n v="1"/>
    <n v="2"/>
    <x v="0"/>
    <n v="0"/>
    <x v="0"/>
    <x v="1"/>
    <s v="2-5 Years"/>
    <s v="Low"/>
    <s v="Best"/>
  </r>
  <r>
    <x v="19"/>
    <s v="No"/>
    <s v="Non-Travel"/>
    <n v="495"/>
    <x v="1"/>
    <n v="2"/>
    <n v="1"/>
    <s v="Life Sciences"/>
    <n v="1"/>
    <n v="1334"/>
    <n v="3"/>
    <x v="1"/>
    <n v="37"/>
    <n v="3"/>
    <n v="4"/>
    <x v="5"/>
    <n v="3"/>
    <s v="Married"/>
    <n v="17861"/>
    <n v="26582"/>
    <n v="0"/>
    <s v="Y"/>
    <x v="0"/>
    <n v="13"/>
    <n v="3"/>
    <n v="4"/>
    <n v="80"/>
    <n v="0"/>
    <n v="21"/>
    <n v="3"/>
    <n v="2"/>
    <n v="20"/>
    <n v="8"/>
    <n v="2"/>
    <n v="10"/>
    <x v="1"/>
    <n v="1"/>
    <x v="0"/>
    <x v="2"/>
    <s v="10+ Years"/>
    <s v="High"/>
    <s v="Good"/>
  </r>
  <r>
    <x v="27"/>
    <s v="No"/>
    <s v="Travel_Rarely"/>
    <n v="282"/>
    <x v="1"/>
    <n v="2"/>
    <n v="2"/>
    <s v="Medical"/>
    <n v="1"/>
    <n v="1336"/>
    <n v="4"/>
    <x v="0"/>
    <n v="58"/>
    <n v="1"/>
    <n v="5"/>
    <x v="5"/>
    <n v="3"/>
    <s v="Married"/>
    <n v="19187"/>
    <n v="6992"/>
    <n v="4"/>
    <s v="Y"/>
    <x v="1"/>
    <n v="14"/>
    <n v="3"/>
    <n v="4"/>
    <n v="80"/>
    <n v="1"/>
    <n v="23"/>
    <n v="5"/>
    <n v="3"/>
    <n v="19"/>
    <n v="9"/>
    <n v="9"/>
    <n v="11"/>
    <x v="1"/>
    <n v="1"/>
    <x v="3"/>
    <x v="2"/>
    <s v="10+ Years"/>
    <s v="High"/>
    <s v="Better"/>
  </r>
  <r>
    <x v="29"/>
    <s v="No"/>
    <s v="Travel_Rarely"/>
    <n v="206"/>
    <x v="2"/>
    <n v="8"/>
    <n v="4"/>
    <s v="Life Sciences"/>
    <n v="1"/>
    <n v="1338"/>
    <n v="4"/>
    <x v="1"/>
    <n v="99"/>
    <n v="3"/>
    <n v="5"/>
    <x v="5"/>
    <n v="2"/>
    <s v="Single"/>
    <n v="19717"/>
    <n v="4022"/>
    <n v="6"/>
    <s v="Y"/>
    <x v="1"/>
    <n v="14"/>
    <n v="3"/>
    <n v="1"/>
    <n v="80"/>
    <n v="0"/>
    <n v="36"/>
    <n v="4"/>
    <n v="3"/>
    <n v="7"/>
    <n v="3"/>
    <n v="7"/>
    <n v="7"/>
    <x v="1"/>
    <n v="1"/>
    <x v="3"/>
    <x v="2"/>
    <s v="6-10 Years"/>
    <s v="Medium"/>
    <s v="Better"/>
  </r>
  <r>
    <x v="32"/>
    <s v="No"/>
    <s v="Non-Travel"/>
    <n v="458"/>
    <x v="1"/>
    <n v="16"/>
    <n v="2"/>
    <s v="Life Sciences"/>
    <n v="1"/>
    <n v="1340"/>
    <n v="3"/>
    <x v="1"/>
    <n v="74"/>
    <n v="3"/>
    <n v="1"/>
    <x v="1"/>
    <n v="3"/>
    <s v="Divorced"/>
    <n v="3544"/>
    <n v="8532"/>
    <n v="9"/>
    <s v="Y"/>
    <x v="1"/>
    <n v="16"/>
    <n v="3"/>
    <n v="2"/>
    <n v="80"/>
    <n v="1"/>
    <n v="6"/>
    <n v="0"/>
    <n v="3"/>
    <n v="4"/>
    <n v="2"/>
    <n v="0"/>
    <n v="0"/>
    <x v="1"/>
    <n v="1"/>
    <x v="0"/>
    <x v="0"/>
    <s v="2-5 Years"/>
    <s v="High"/>
    <s v="Better"/>
  </r>
  <r>
    <x v="13"/>
    <s v="No"/>
    <s v="Travel_Rarely"/>
    <n v="943"/>
    <x v="1"/>
    <n v="9"/>
    <n v="3"/>
    <s v="Life Sciences"/>
    <n v="1"/>
    <n v="1344"/>
    <n v="4"/>
    <x v="1"/>
    <n v="86"/>
    <n v="3"/>
    <n v="3"/>
    <x v="4"/>
    <n v="4"/>
    <s v="Divorced"/>
    <n v="8500"/>
    <n v="5494"/>
    <n v="0"/>
    <s v="Y"/>
    <x v="1"/>
    <n v="11"/>
    <n v="3"/>
    <n v="4"/>
    <n v="80"/>
    <n v="1"/>
    <n v="10"/>
    <n v="0"/>
    <n v="2"/>
    <n v="9"/>
    <n v="7"/>
    <n v="1"/>
    <n v="6"/>
    <x v="1"/>
    <n v="1"/>
    <x v="2"/>
    <x v="2"/>
    <s v="6-10 Years"/>
    <s v="Very High"/>
    <s v="Good"/>
  </r>
  <r>
    <x v="32"/>
    <s v="No"/>
    <s v="Travel_Rarely"/>
    <n v="523"/>
    <x v="1"/>
    <n v="2"/>
    <n v="3"/>
    <s v="Life Sciences"/>
    <n v="1"/>
    <n v="1346"/>
    <n v="3"/>
    <x v="1"/>
    <n v="98"/>
    <n v="3"/>
    <n v="2"/>
    <x v="1"/>
    <n v="4"/>
    <s v="Single"/>
    <n v="4661"/>
    <n v="22455"/>
    <n v="1"/>
    <s v="Y"/>
    <x v="1"/>
    <n v="13"/>
    <n v="3"/>
    <n v="3"/>
    <n v="80"/>
    <n v="0"/>
    <n v="9"/>
    <n v="4"/>
    <n v="3"/>
    <n v="9"/>
    <n v="8"/>
    <n v="8"/>
    <n v="8"/>
    <x v="1"/>
    <n v="1"/>
    <x v="0"/>
    <x v="0"/>
    <s v="6-10 Years"/>
    <s v="Very High"/>
    <s v="Better"/>
  </r>
  <r>
    <x v="0"/>
    <s v="No"/>
    <s v="Travel_Frequently"/>
    <n v="1018"/>
    <x v="0"/>
    <n v="1"/>
    <n v="3"/>
    <s v="Marketing"/>
    <n v="1"/>
    <n v="1349"/>
    <n v="3"/>
    <x v="0"/>
    <n v="66"/>
    <n v="3"/>
    <n v="2"/>
    <x v="0"/>
    <n v="1"/>
    <s v="Divorced"/>
    <n v="4103"/>
    <n v="4297"/>
    <n v="0"/>
    <s v="Y"/>
    <x v="1"/>
    <n v="17"/>
    <n v="3"/>
    <n v="4"/>
    <n v="80"/>
    <n v="1"/>
    <n v="10"/>
    <n v="2"/>
    <n v="3"/>
    <n v="9"/>
    <n v="3"/>
    <n v="1"/>
    <n v="7"/>
    <x v="1"/>
    <n v="1"/>
    <x v="0"/>
    <x v="0"/>
    <s v="6-10 Years"/>
    <s v="Low"/>
    <s v="Better"/>
  </r>
  <r>
    <x v="10"/>
    <s v="No"/>
    <s v="Travel_Frequently"/>
    <n v="482"/>
    <x v="1"/>
    <n v="4"/>
    <n v="4"/>
    <s v="Life Sciences"/>
    <n v="1"/>
    <n v="1350"/>
    <n v="3"/>
    <x v="1"/>
    <n v="87"/>
    <n v="3"/>
    <n v="2"/>
    <x v="1"/>
    <n v="3"/>
    <s v="Single"/>
    <n v="4249"/>
    <n v="2690"/>
    <n v="1"/>
    <s v="Y"/>
    <x v="0"/>
    <n v="11"/>
    <n v="3"/>
    <n v="2"/>
    <n v="80"/>
    <n v="0"/>
    <n v="9"/>
    <n v="3"/>
    <n v="3"/>
    <n v="9"/>
    <n v="6"/>
    <n v="1"/>
    <n v="1"/>
    <x v="1"/>
    <n v="1"/>
    <x v="0"/>
    <x v="0"/>
    <s v="6-10 Years"/>
    <s v="High"/>
    <s v="Better"/>
  </r>
  <r>
    <x v="31"/>
    <s v="No"/>
    <s v="Travel_Rarely"/>
    <n v="770"/>
    <x v="2"/>
    <n v="5"/>
    <n v="3"/>
    <s v="Life Sciences"/>
    <n v="1"/>
    <n v="1352"/>
    <n v="3"/>
    <x v="1"/>
    <n v="84"/>
    <n v="3"/>
    <n v="4"/>
    <x v="5"/>
    <n v="2"/>
    <s v="Divorced"/>
    <n v="14026"/>
    <n v="17588"/>
    <n v="1"/>
    <s v="Y"/>
    <x v="0"/>
    <n v="11"/>
    <n v="3"/>
    <n v="2"/>
    <n v="80"/>
    <n v="1"/>
    <n v="33"/>
    <n v="2"/>
    <n v="3"/>
    <n v="33"/>
    <n v="9"/>
    <n v="0"/>
    <n v="10"/>
    <x v="1"/>
    <n v="1"/>
    <x v="1"/>
    <x v="2"/>
    <s v="10+ Years"/>
    <s v="Medium"/>
    <s v="Better"/>
  </r>
  <r>
    <x v="8"/>
    <s v="No"/>
    <s v="Travel_Rarely"/>
    <n v="1009"/>
    <x v="0"/>
    <n v="2"/>
    <n v="2"/>
    <s v="Life Sciences"/>
    <n v="1"/>
    <n v="1355"/>
    <n v="2"/>
    <x v="0"/>
    <n v="31"/>
    <n v="3"/>
    <n v="2"/>
    <x v="0"/>
    <n v="1"/>
    <s v="Divorced"/>
    <n v="6893"/>
    <n v="19461"/>
    <n v="3"/>
    <s v="Y"/>
    <x v="1"/>
    <n v="15"/>
    <n v="3"/>
    <n v="4"/>
    <n v="80"/>
    <n v="1"/>
    <n v="11"/>
    <n v="3"/>
    <n v="3"/>
    <n v="7"/>
    <n v="7"/>
    <n v="1"/>
    <n v="7"/>
    <x v="1"/>
    <n v="1"/>
    <x v="0"/>
    <x v="0"/>
    <s v="6-10 Years"/>
    <s v="Low"/>
    <s v="Better"/>
  </r>
  <r>
    <x v="13"/>
    <s v="No"/>
    <s v="Travel_Rarely"/>
    <n v="507"/>
    <x v="0"/>
    <n v="15"/>
    <n v="2"/>
    <s v="Medical"/>
    <n v="1"/>
    <n v="1356"/>
    <n v="3"/>
    <x v="0"/>
    <n v="66"/>
    <n v="3"/>
    <n v="2"/>
    <x v="0"/>
    <n v="1"/>
    <s v="Single"/>
    <n v="6125"/>
    <n v="23553"/>
    <n v="1"/>
    <s v="Y"/>
    <x v="1"/>
    <n v="12"/>
    <n v="3"/>
    <n v="4"/>
    <n v="80"/>
    <n v="0"/>
    <n v="10"/>
    <n v="6"/>
    <n v="4"/>
    <n v="10"/>
    <n v="8"/>
    <n v="9"/>
    <n v="6"/>
    <x v="1"/>
    <n v="1"/>
    <x v="2"/>
    <x v="0"/>
    <s v="6-10 Years"/>
    <s v="Low"/>
    <s v="Best"/>
  </r>
  <r>
    <x v="36"/>
    <s v="No"/>
    <s v="Travel_Rarely"/>
    <n v="882"/>
    <x v="1"/>
    <n v="19"/>
    <n v="1"/>
    <s v="Medical"/>
    <n v="1"/>
    <n v="1358"/>
    <n v="4"/>
    <x v="1"/>
    <n v="67"/>
    <n v="3"/>
    <n v="1"/>
    <x v="2"/>
    <n v="4"/>
    <s v="Married"/>
    <n v="3669"/>
    <n v="9075"/>
    <n v="3"/>
    <s v="Y"/>
    <x v="1"/>
    <n v="11"/>
    <n v="3"/>
    <n v="3"/>
    <n v="80"/>
    <n v="3"/>
    <n v="7"/>
    <n v="6"/>
    <n v="2"/>
    <n v="3"/>
    <n v="2"/>
    <n v="1"/>
    <n v="2"/>
    <x v="1"/>
    <n v="1"/>
    <x v="2"/>
    <x v="0"/>
    <s v="2-5 Years"/>
    <s v="Very High"/>
    <s v="Good"/>
  </r>
  <r>
    <x v="34"/>
    <s v="Yes"/>
    <s v="Travel_Rarely"/>
    <n v="601"/>
    <x v="1"/>
    <n v="7"/>
    <n v="4"/>
    <s v="Medical"/>
    <n v="1"/>
    <n v="1360"/>
    <n v="3"/>
    <x v="0"/>
    <n v="53"/>
    <n v="2"/>
    <n v="3"/>
    <x v="3"/>
    <n v="1"/>
    <s v="Married"/>
    <n v="10008"/>
    <n v="12023"/>
    <n v="7"/>
    <s v="Y"/>
    <x v="0"/>
    <n v="14"/>
    <n v="3"/>
    <n v="4"/>
    <n v="80"/>
    <n v="0"/>
    <n v="31"/>
    <n v="0"/>
    <n v="2"/>
    <n v="10"/>
    <n v="9"/>
    <n v="5"/>
    <n v="9"/>
    <x v="0"/>
    <n v="0"/>
    <x v="3"/>
    <x v="2"/>
    <s v="6-10 Years"/>
    <s v="Low"/>
    <s v="Good"/>
  </r>
  <r>
    <x v="32"/>
    <s v="No"/>
    <s v="Travel_Rarely"/>
    <n v="329"/>
    <x v="1"/>
    <n v="1"/>
    <n v="4"/>
    <s v="Life Sciences"/>
    <n v="1"/>
    <n v="1361"/>
    <n v="2"/>
    <x v="1"/>
    <n v="88"/>
    <n v="3"/>
    <n v="1"/>
    <x v="2"/>
    <n v="2"/>
    <s v="Married"/>
    <n v="2387"/>
    <n v="6762"/>
    <n v="3"/>
    <s v="Y"/>
    <x v="1"/>
    <n v="22"/>
    <n v="4"/>
    <n v="3"/>
    <n v="80"/>
    <n v="1"/>
    <n v="7"/>
    <n v="3"/>
    <n v="3"/>
    <n v="4"/>
    <n v="2"/>
    <n v="0"/>
    <n v="3"/>
    <x v="1"/>
    <n v="1"/>
    <x v="0"/>
    <x v="1"/>
    <s v="2-5 Years"/>
    <s v="Medium"/>
    <s v="Better"/>
  </r>
  <r>
    <x v="9"/>
    <s v="No"/>
    <s v="Travel_Frequently"/>
    <n v="607"/>
    <x v="0"/>
    <n v="7"/>
    <n v="3"/>
    <s v="Marketing"/>
    <n v="1"/>
    <n v="1362"/>
    <n v="1"/>
    <x v="0"/>
    <n v="83"/>
    <n v="4"/>
    <n v="2"/>
    <x v="0"/>
    <n v="1"/>
    <s v="Married"/>
    <n v="4639"/>
    <n v="2261"/>
    <n v="2"/>
    <s v="Y"/>
    <x v="1"/>
    <n v="16"/>
    <n v="3"/>
    <n v="4"/>
    <n v="80"/>
    <n v="1"/>
    <n v="17"/>
    <n v="2"/>
    <n v="2"/>
    <n v="15"/>
    <n v="7"/>
    <n v="6"/>
    <n v="13"/>
    <x v="1"/>
    <n v="1"/>
    <x v="0"/>
    <x v="0"/>
    <s v="10+ Years"/>
    <s v="Low"/>
    <s v="Good"/>
  </r>
  <r>
    <x v="26"/>
    <s v="No"/>
    <s v="Travel_Rarely"/>
    <n v="855"/>
    <x v="1"/>
    <n v="4"/>
    <n v="3"/>
    <s v="Life Sciences"/>
    <n v="1"/>
    <n v="1363"/>
    <n v="4"/>
    <x v="1"/>
    <n v="54"/>
    <n v="3"/>
    <n v="3"/>
    <x v="3"/>
    <n v="4"/>
    <s v="Single"/>
    <n v="7898"/>
    <n v="18706"/>
    <n v="1"/>
    <s v="Y"/>
    <x v="1"/>
    <n v="11"/>
    <n v="3"/>
    <n v="3"/>
    <n v="80"/>
    <n v="0"/>
    <n v="11"/>
    <n v="2"/>
    <n v="3"/>
    <n v="10"/>
    <n v="9"/>
    <n v="0"/>
    <n v="8"/>
    <x v="1"/>
    <n v="1"/>
    <x v="1"/>
    <x v="2"/>
    <s v="6-10 Years"/>
    <s v="Very High"/>
    <s v="Better"/>
  </r>
  <r>
    <x v="4"/>
    <s v="No"/>
    <s v="Travel_Rarely"/>
    <n v="1291"/>
    <x v="0"/>
    <n v="11"/>
    <n v="3"/>
    <s v="Medical"/>
    <n v="1"/>
    <n v="1364"/>
    <n v="3"/>
    <x v="0"/>
    <n v="98"/>
    <n v="4"/>
    <n v="1"/>
    <x v="6"/>
    <n v="4"/>
    <s v="Married"/>
    <n v="2534"/>
    <n v="6527"/>
    <n v="8"/>
    <s v="Y"/>
    <x v="1"/>
    <n v="14"/>
    <n v="3"/>
    <n v="2"/>
    <n v="80"/>
    <n v="1"/>
    <n v="5"/>
    <n v="4"/>
    <n v="3"/>
    <n v="1"/>
    <n v="0"/>
    <n v="0"/>
    <n v="0"/>
    <x v="1"/>
    <n v="1"/>
    <x v="2"/>
    <x v="1"/>
    <s v="0-1 Years"/>
    <s v="Very High"/>
    <s v="Better"/>
  </r>
  <r>
    <x v="31"/>
    <s v="No"/>
    <s v="Travel_Rarely"/>
    <n v="1405"/>
    <x v="1"/>
    <n v="11"/>
    <n v="2"/>
    <s v="Technical Degree"/>
    <n v="1"/>
    <n v="1367"/>
    <n v="4"/>
    <x v="0"/>
    <n v="82"/>
    <n v="2"/>
    <n v="4"/>
    <x v="3"/>
    <n v="2"/>
    <s v="Single"/>
    <n v="13142"/>
    <n v="24439"/>
    <n v="3"/>
    <s v="Y"/>
    <x v="1"/>
    <n v="16"/>
    <n v="3"/>
    <n v="2"/>
    <n v="80"/>
    <n v="0"/>
    <n v="29"/>
    <n v="1"/>
    <n v="2"/>
    <n v="5"/>
    <n v="2"/>
    <n v="0"/>
    <n v="3"/>
    <x v="1"/>
    <n v="1"/>
    <x v="1"/>
    <x v="2"/>
    <s v="2-5 Years"/>
    <s v="Medium"/>
    <s v="Good"/>
  </r>
  <r>
    <x v="41"/>
    <s v="No"/>
    <s v="Non-Travel"/>
    <n v="1124"/>
    <x v="1"/>
    <n v="1"/>
    <n v="3"/>
    <s v="Life Sciences"/>
    <n v="1"/>
    <n v="1368"/>
    <n v="4"/>
    <x v="0"/>
    <n v="97"/>
    <n v="3"/>
    <n v="1"/>
    <x v="2"/>
    <n v="4"/>
    <s v="Single"/>
    <n v="1611"/>
    <n v="19305"/>
    <n v="1"/>
    <s v="Y"/>
    <x v="1"/>
    <n v="15"/>
    <n v="3"/>
    <n v="3"/>
    <n v="80"/>
    <n v="0"/>
    <n v="0"/>
    <n v="5"/>
    <n v="4"/>
    <n v="0"/>
    <n v="0"/>
    <n v="0"/>
    <n v="0"/>
    <x v="1"/>
    <n v="1"/>
    <x v="4"/>
    <x v="1"/>
    <s v="0-1 Years"/>
    <s v="Very High"/>
    <s v="Best"/>
  </r>
  <r>
    <x v="10"/>
    <s v="No"/>
    <s v="Travel_Rarely"/>
    <n v="817"/>
    <x v="1"/>
    <n v="1"/>
    <n v="3"/>
    <s v="Medical"/>
    <n v="1"/>
    <n v="1369"/>
    <n v="4"/>
    <x v="0"/>
    <n v="60"/>
    <n v="2"/>
    <n v="2"/>
    <x v="2"/>
    <n v="4"/>
    <s v="Married"/>
    <n v="5363"/>
    <n v="10846"/>
    <n v="0"/>
    <s v="Y"/>
    <x v="1"/>
    <n v="12"/>
    <n v="3"/>
    <n v="2"/>
    <n v="80"/>
    <n v="1"/>
    <n v="10"/>
    <n v="0"/>
    <n v="3"/>
    <n v="9"/>
    <n v="7"/>
    <n v="0"/>
    <n v="0"/>
    <x v="1"/>
    <n v="1"/>
    <x v="0"/>
    <x v="0"/>
    <s v="6-10 Years"/>
    <s v="Very High"/>
    <s v="Better"/>
  </r>
  <r>
    <x v="4"/>
    <s v="No"/>
    <s v="Travel_Frequently"/>
    <n v="793"/>
    <x v="0"/>
    <n v="2"/>
    <n v="1"/>
    <s v="Life Sciences"/>
    <n v="1"/>
    <n v="1371"/>
    <n v="4"/>
    <x v="1"/>
    <n v="43"/>
    <n v="1"/>
    <n v="2"/>
    <x v="0"/>
    <n v="4"/>
    <s v="Single"/>
    <n v="5071"/>
    <n v="20392"/>
    <n v="3"/>
    <s v="Y"/>
    <x v="1"/>
    <n v="20"/>
    <n v="4"/>
    <n v="2"/>
    <n v="80"/>
    <n v="0"/>
    <n v="8"/>
    <n v="3"/>
    <n v="3"/>
    <n v="6"/>
    <n v="2"/>
    <n v="0"/>
    <n v="0"/>
    <x v="1"/>
    <n v="1"/>
    <x v="2"/>
    <x v="0"/>
    <s v="6-10 Years"/>
    <s v="Very High"/>
    <s v="Better"/>
  </r>
  <r>
    <x v="27"/>
    <s v="Yes"/>
    <s v="Travel_Rarely"/>
    <n v="267"/>
    <x v="0"/>
    <n v="13"/>
    <n v="4"/>
    <s v="Marketing"/>
    <n v="1"/>
    <n v="1372"/>
    <n v="1"/>
    <x v="1"/>
    <n v="85"/>
    <n v="4"/>
    <n v="4"/>
    <x v="0"/>
    <n v="3"/>
    <s v="Single"/>
    <n v="13695"/>
    <n v="9277"/>
    <n v="6"/>
    <s v="Y"/>
    <x v="0"/>
    <n v="17"/>
    <n v="3"/>
    <n v="3"/>
    <n v="80"/>
    <n v="0"/>
    <n v="24"/>
    <n v="2"/>
    <n v="2"/>
    <n v="19"/>
    <n v="7"/>
    <n v="3"/>
    <n v="8"/>
    <x v="0"/>
    <n v="0"/>
    <x v="3"/>
    <x v="2"/>
    <s v="10+ Years"/>
    <s v="High"/>
    <s v="Good"/>
  </r>
  <r>
    <x v="29"/>
    <s v="No"/>
    <s v="Travel_Rarely"/>
    <n v="1369"/>
    <x v="1"/>
    <n v="23"/>
    <n v="3"/>
    <s v="Life Sciences"/>
    <n v="1"/>
    <n v="1373"/>
    <n v="4"/>
    <x v="1"/>
    <n v="68"/>
    <n v="3"/>
    <n v="4"/>
    <x v="3"/>
    <n v="2"/>
    <s v="Married"/>
    <n v="13402"/>
    <n v="18235"/>
    <n v="4"/>
    <s v="Y"/>
    <x v="0"/>
    <n v="12"/>
    <n v="3"/>
    <n v="1"/>
    <n v="80"/>
    <n v="1"/>
    <n v="33"/>
    <n v="0"/>
    <n v="3"/>
    <n v="19"/>
    <n v="16"/>
    <n v="15"/>
    <n v="9"/>
    <x v="1"/>
    <n v="1"/>
    <x v="3"/>
    <x v="2"/>
    <s v="10+ Years"/>
    <s v="Medium"/>
    <s v="Better"/>
  </r>
  <r>
    <x v="13"/>
    <s v="No"/>
    <s v="Non-Travel"/>
    <n v="999"/>
    <x v="1"/>
    <n v="26"/>
    <n v="1"/>
    <s v="Technical Degree"/>
    <n v="1"/>
    <n v="1374"/>
    <n v="1"/>
    <x v="0"/>
    <n v="92"/>
    <n v="2"/>
    <n v="1"/>
    <x v="1"/>
    <n v="3"/>
    <s v="Divorced"/>
    <n v="2029"/>
    <n v="15891"/>
    <n v="1"/>
    <s v="Y"/>
    <x v="1"/>
    <n v="20"/>
    <n v="4"/>
    <n v="3"/>
    <n v="80"/>
    <n v="3"/>
    <n v="5"/>
    <n v="2"/>
    <n v="3"/>
    <n v="5"/>
    <n v="4"/>
    <n v="0"/>
    <n v="0"/>
    <x v="1"/>
    <n v="1"/>
    <x v="2"/>
    <x v="1"/>
    <s v="2-5 Years"/>
    <s v="High"/>
    <s v="Better"/>
  </r>
  <r>
    <x v="32"/>
    <s v="No"/>
    <s v="Travel_Rarely"/>
    <n v="1202"/>
    <x v="1"/>
    <n v="2"/>
    <n v="1"/>
    <s v="Medical"/>
    <n v="1"/>
    <n v="1375"/>
    <n v="2"/>
    <x v="0"/>
    <n v="89"/>
    <n v="4"/>
    <n v="2"/>
    <x v="4"/>
    <n v="3"/>
    <s v="Divorced"/>
    <n v="6377"/>
    <n v="13888"/>
    <n v="5"/>
    <s v="Y"/>
    <x v="1"/>
    <n v="20"/>
    <n v="4"/>
    <n v="2"/>
    <n v="80"/>
    <n v="3"/>
    <n v="15"/>
    <n v="0"/>
    <n v="3"/>
    <n v="12"/>
    <n v="11"/>
    <n v="11"/>
    <n v="8"/>
    <x v="1"/>
    <n v="1"/>
    <x v="0"/>
    <x v="0"/>
    <s v="10+ Years"/>
    <s v="High"/>
    <s v="Better"/>
  </r>
  <r>
    <x v="13"/>
    <s v="No"/>
    <s v="Travel_Rarely"/>
    <n v="285"/>
    <x v="1"/>
    <n v="29"/>
    <n v="3"/>
    <s v="Medical"/>
    <n v="1"/>
    <n v="1377"/>
    <n v="2"/>
    <x v="1"/>
    <n v="86"/>
    <n v="3"/>
    <n v="2"/>
    <x v="2"/>
    <n v="3"/>
    <s v="Married"/>
    <n v="5429"/>
    <n v="17491"/>
    <n v="4"/>
    <s v="Y"/>
    <x v="1"/>
    <n v="13"/>
    <n v="3"/>
    <n v="1"/>
    <n v="80"/>
    <n v="2"/>
    <n v="10"/>
    <n v="1"/>
    <n v="3"/>
    <n v="8"/>
    <n v="7"/>
    <n v="7"/>
    <n v="7"/>
    <x v="1"/>
    <n v="1"/>
    <x v="2"/>
    <x v="0"/>
    <s v="6-10 Years"/>
    <s v="High"/>
    <s v="Better"/>
  </r>
  <r>
    <x v="12"/>
    <s v="Yes"/>
    <s v="Travel_Frequently"/>
    <n v="703"/>
    <x v="0"/>
    <n v="2"/>
    <n v="3"/>
    <s v="Life Sciences"/>
    <n v="1"/>
    <n v="1379"/>
    <n v="3"/>
    <x v="0"/>
    <n v="90"/>
    <n v="2"/>
    <n v="1"/>
    <x v="6"/>
    <n v="4"/>
    <s v="Single"/>
    <n v="2785"/>
    <n v="11882"/>
    <n v="7"/>
    <s v="Y"/>
    <x v="1"/>
    <n v="14"/>
    <n v="3"/>
    <n v="3"/>
    <n v="80"/>
    <n v="0"/>
    <n v="3"/>
    <n v="3"/>
    <n v="4"/>
    <n v="1"/>
    <n v="0"/>
    <n v="0"/>
    <n v="0"/>
    <x v="0"/>
    <n v="0"/>
    <x v="2"/>
    <x v="1"/>
    <s v="0-1 Years"/>
    <s v="Very High"/>
    <s v="Best"/>
  </r>
  <r>
    <x v="10"/>
    <s v="Yes"/>
    <s v="Travel_Frequently"/>
    <n v="662"/>
    <x v="0"/>
    <n v="18"/>
    <n v="4"/>
    <s v="Marketing"/>
    <n v="1"/>
    <n v="1380"/>
    <n v="4"/>
    <x v="0"/>
    <n v="67"/>
    <n v="3"/>
    <n v="2"/>
    <x v="0"/>
    <n v="3"/>
    <s v="Married"/>
    <n v="4614"/>
    <n v="23288"/>
    <n v="0"/>
    <s v="Y"/>
    <x v="0"/>
    <n v="18"/>
    <n v="3"/>
    <n v="3"/>
    <n v="80"/>
    <n v="1"/>
    <n v="5"/>
    <n v="0"/>
    <n v="2"/>
    <n v="4"/>
    <n v="2"/>
    <n v="3"/>
    <n v="2"/>
    <x v="0"/>
    <n v="0"/>
    <x v="0"/>
    <x v="0"/>
    <s v="2-5 Years"/>
    <s v="High"/>
    <s v="Good"/>
  </r>
  <r>
    <x v="8"/>
    <s v="No"/>
    <s v="Travel_Frequently"/>
    <n v="693"/>
    <x v="1"/>
    <n v="7"/>
    <n v="3"/>
    <s v="Life Sciences"/>
    <n v="1"/>
    <n v="1382"/>
    <n v="4"/>
    <x v="1"/>
    <n v="57"/>
    <n v="4"/>
    <n v="1"/>
    <x v="1"/>
    <n v="3"/>
    <s v="Divorced"/>
    <n v="2610"/>
    <n v="15748"/>
    <n v="1"/>
    <s v="Y"/>
    <x v="1"/>
    <n v="11"/>
    <n v="3"/>
    <n v="4"/>
    <n v="80"/>
    <n v="3"/>
    <n v="4"/>
    <n v="2"/>
    <n v="3"/>
    <n v="4"/>
    <n v="2"/>
    <n v="0"/>
    <n v="3"/>
    <x v="1"/>
    <n v="1"/>
    <x v="0"/>
    <x v="1"/>
    <s v="2-5 Years"/>
    <s v="High"/>
    <s v="Better"/>
  </r>
  <r>
    <x v="13"/>
    <s v="No"/>
    <s v="Travel_Rarely"/>
    <n v="404"/>
    <x v="1"/>
    <n v="2"/>
    <n v="4"/>
    <s v="Technical Degree"/>
    <n v="1"/>
    <n v="1383"/>
    <n v="3"/>
    <x v="0"/>
    <n v="98"/>
    <n v="3"/>
    <n v="2"/>
    <x v="4"/>
    <n v="4"/>
    <s v="Single"/>
    <n v="6687"/>
    <n v="6163"/>
    <n v="1"/>
    <s v="Y"/>
    <x v="1"/>
    <n v="11"/>
    <n v="3"/>
    <n v="4"/>
    <n v="80"/>
    <n v="0"/>
    <n v="14"/>
    <n v="2"/>
    <n v="4"/>
    <n v="14"/>
    <n v="11"/>
    <n v="4"/>
    <n v="11"/>
    <x v="1"/>
    <n v="1"/>
    <x v="2"/>
    <x v="0"/>
    <s v="10+ Years"/>
    <s v="Very High"/>
    <s v="Best"/>
  </r>
  <r>
    <x v="14"/>
    <s v="No"/>
    <s v="Travel_Rarely"/>
    <n v="736"/>
    <x v="0"/>
    <n v="26"/>
    <n v="3"/>
    <s v="Life Sciences"/>
    <n v="1"/>
    <n v="1387"/>
    <n v="3"/>
    <x v="1"/>
    <n v="48"/>
    <n v="2"/>
    <n v="2"/>
    <x v="0"/>
    <n v="1"/>
    <s v="Married"/>
    <n v="4724"/>
    <n v="24232"/>
    <n v="1"/>
    <s v="Y"/>
    <x v="1"/>
    <n v="11"/>
    <n v="3"/>
    <n v="3"/>
    <n v="80"/>
    <n v="1"/>
    <n v="5"/>
    <n v="0"/>
    <n v="3"/>
    <n v="5"/>
    <n v="3"/>
    <n v="0"/>
    <n v="4"/>
    <x v="1"/>
    <n v="1"/>
    <x v="2"/>
    <x v="0"/>
    <s v="2-5 Years"/>
    <s v="Low"/>
    <s v="Better"/>
  </r>
  <r>
    <x v="12"/>
    <s v="Yes"/>
    <s v="Travel_Rarely"/>
    <n v="330"/>
    <x v="1"/>
    <n v="22"/>
    <n v="4"/>
    <s v="Medical"/>
    <n v="1"/>
    <n v="1389"/>
    <n v="4"/>
    <x v="1"/>
    <n v="98"/>
    <n v="3"/>
    <n v="2"/>
    <x v="3"/>
    <n v="3"/>
    <s v="Married"/>
    <n v="6179"/>
    <n v="21057"/>
    <n v="1"/>
    <s v="Y"/>
    <x v="0"/>
    <n v="15"/>
    <n v="3"/>
    <n v="4"/>
    <n v="80"/>
    <n v="2"/>
    <n v="10"/>
    <n v="3"/>
    <n v="2"/>
    <n v="10"/>
    <n v="2"/>
    <n v="6"/>
    <n v="7"/>
    <x v="0"/>
    <n v="0"/>
    <x v="2"/>
    <x v="0"/>
    <s v="6-10 Years"/>
    <s v="High"/>
    <s v="Good"/>
  </r>
  <r>
    <x v="22"/>
    <s v="No"/>
    <s v="Travel_Rarely"/>
    <n v="1498"/>
    <x v="0"/>
    <n v="21"/>
    <n v="4"/>
    <s v="Life Sciences"/>
    <n v="1"/>
    <n v="1390"/>
    <n v="1"/>
    <x v="1"/>
    <n v="44"/>
    <n v="2"/>
    <n v="2"/>
    <x v="0"/>
    <n v="4"/>
    <s v="Married"/>
    <n v="6120"/>
    <n v="3567"/>
    <n v="3"/>
    <s v="Y"/>
    <x v="0"/>
    <n v="12"/>
    <n v="3"/>
    <n v="4"/>
    <n v="80"/>
    <n v="2"/>
    <n v="8"/>
    <n v="2"/>
    <n v="4"/>
    <n v="5"/>
    <n v="4"/>
    <n v="1"/>
    <n v="4"/>
    <x v="1"/>
    <n v="1"/>
    <x v="0"/>
    <x v="0"/>
    <s v="2-5 Years"/>
    <s v="Very High"/>
    <s v="Best"/>
  </r>
  <r>
    <x v="31"/>
    <s v="No"/>
    <s v="Travel_Frequently"/>
    <n v="541"/>
    <x v="0"/>
    <n v="2"/>
    <n v="3"/>
    <s v="Marketing"/>
    <n v="1"/>
    <n v="1391"/>
    <n v="2"/>
    <x v="1"/>
    <n v="52"/>
    <n v="3"/>
    <n v="3"/>
    <x v="0"/>
    <n v="2"/>
    <s v="Married"/>
    <n v="10596"/>
    <n v="15395"/>
    <n v="2"/>
    <s v="Y"/>
    <x v="1"/>
    <n v="11"/>
    <n v="3"/>
    <n v="2"/>
    <n v="80"/>
    <n v="0"/>
    <n v="14"/>
    <n v="5"/>
    <n v="3"/>
    <n v="4"/>
    <n v="2"/>
    <n v="3"/>
    <n v="2"/>
    <x v="1"/>
    <n v="1"/>
    <x v="1"/>
    <x v="2"/>
    <s v="2-5 Years"/>
    <s v="Medium"/>
    <s v="Better"/>
  </r>
  <r>
    <x v="0"/>
    <s v="No"/>
    <s v="Travel_Frequently"/>
    <n v="1200"/>
    <x v="1"/>
    <n v="22"/>
    <n v="3"/>
    <s v="Life Sciences"/>
    <n v="1"/>
    <n v="1392"/>
    <n v="4"/>
    <x v="0"/>
    <n v="75"/>
    <n v="3"/>
    <n v="2"/>
    <x v="1"/>
    <n v="4"/>
    <s v="Divorced"/>
    <n v="5467"/>
    <n v="13953"/>
    <n v="3"/>
    <s v="Y"/>
    <x v="0"/>
    <n v="14"/>
    <n v="3"/>
    <n v="1"/>
    <n v="80"/>
    <n v="2"/>
    <n v="12"/>
    <n v="4"/>
    <n v="2"/>
    <n v="6"/>
    <n v="2"/>
    <n v="3"/>
    <n v="3"/>
    <x v="1"/>
    <n v="1"/>
    <x v="0"/>
    <x v="0"/>
    <s v="6-10 Years"/>
    <s v="Very High"/>
    <s v="Good"/>
  </r>
  <r>
    <x v="2"/>
    <s v="No"/>
    <s v="Travel_Rarely"/>
    <n v="1439"/>
    <x v="1"/>
    <n v="4"/>
    <n v="1"/>
    <s v="Life Sciences"/>
    <n v="1"/>
    <n v="1394"/>
    <n v="3"/>
    <x v="1"/>
    <n v="54"/>
    <n v="3"/>
    <n v="1"/>
    <x v="1"/>
    <n v="3"/>
    <s v="Married"/>
    <n v="2996"/>
    <n v="5182"/>
    <n v="7"/>
    <s v="Y"/>
    <x v="0"/>
    <n v="15"/>
    <n v="3"/>
    <n v="4"/>
    <n v="80"/>
    <n v="0"/>
    <n v="8"/>
    <n v="2"/>
    <n v="3"/>
    <n v="6"/>
    <n v="4"/>
    <n v="1"/>
    <n v="3"/>
    <x v="1"/>
    <n v="1"/>
    <x v="0"/>
    <x v="1"/>
    <s v="6-10 Years"/>
    <s v="High"/>
    <s v="Better"/>
  </r>
  <r>
    <x v="3"/>
    <s v="No"/>
    <s v="Travel_Frequently"/>
    <n v="1111"/>
    <x v="0"/>
    <n v="5"/>
    <n v="1"/>
    <s v="Life Sciences"/>
    <n v="1"/>
    <n v="1395"/>
    <n v="2"/>
    <x v="1"/>
    <n v="61"/>
    <n v="3"/>
    <n v="2"/>
    <x v="0"/>
    <n v="4"/>
    <s v="Married"/>
    <n v="9998"/>
    <n v="19293"/>
    <n v="6"/>
    <s v="Y"/>
    <x v="1"/>
    <n v="13"/>
    <n v="3"/>
    <n v="1"/>
    <n v="80"/>
    <n v="0"/>
    <n v="8"/>
    <n v="2"/>
    <n v="4"/>
    <n v="5"/>
    <n v="4"/>
    <n v="1"/>
    <n v="2"/>
    <x v="1"/>
    <n v="1"/>
    <x v="2"/>
    <x v="2"/>
    <s v="2-5 Years"/>
    <s v="Very High"/>
    <s v="Best"/>
  </r>
  <r>
    <x v="5"/>
    <s v="No"/>
    <s v="Travel_Rarely"/>
    <n v="499"/>
    <x v="0"/>
    <n v="2"/>
    <n v="1"/>
    <s v="Marketing"/>
    <n v="1"/>
    <n v="1396"/>
    <n v="3"/>
    <x v="1"/>
    <n v="36"/>
    <n v="3"/>
    <n v="2"/>
    <x v="0"/>
    <n v="2"/>
    <s v="Married"/>
    <n v="4078"/>
    <n v="20497"/>
    <n v="0"/>
    <s v="Y"/>
    <x v="0"/>
    <n v="13"/>
    <n v="3"/>
    <n v="1"/>
    <n v="80"/>
    <n v="3"/>
    <n v="4"/>
    <n v="3"/>
    <n v="2"/>
    <n v="3"/>
    <n v="2"/>
    <n v="1"/>
    <n v="2"/>
    <x v="1"/>
    <n v="1"/>
    <x v="2"/>
    <x v="0"/>
    <s v="2-5 Years"/>
    <s v="Medium"/>
    <s v="Good"/>
  </r>
  <r>
    <x v="22"/>
    <s v="No"/>
    <s v="Non-Travel"/>
    <n v="1485"/>
    <x v="1"/>
    <n v="25"/>
    <n v="2"/>
    <s v="Life Sciences"/>
    <n v="1"/>
    <n v="1397"/>
    <n v="3"/>
    <x v="1"/>
    <n v="71"/>
    <n v="3"/>
    <n v="3"/>
    <x v="4"/>
    <n v="3"/>
    <s v="Married"/>
    <n v="10920"/>
    <n v="3449"/>
    <n v="3"/>
    <s v="Y"/>
    <x v="1"/>
    <n v="21"/>
    <n v="4"/>
    <n v="2"/>
    <n v="80"/>
    <n v="1"/>
    <n v="13"/>
    <n v="2"/>
    <n v="3"/>
    <n v="6"/>
    <n v="4"/>
    <n v="0"/>
    <n v="5"/>
    <x v="1"/>
    <n v="1"/>
    <x v="0"/>
    <x v="2"/>
    <s v="6-10 Years"/>
    <s v="High"/>
    <s v="Better"/>
  </r>
  <r>
    <x v="36"/>
    <s v="No"/>
    <s v="Travel_Rarely"/>
    <n v="1372"/>
    <x v="0"/>
    <n v="18"/>
    <n v="1"/>
    <s v="Life Sciences"/>
    <n v="1"/>
    <n v="1399"/>
    <n v="1"/>
    <x v="1"/>
    <n v="93"/>
    <n v="4"/>
    <n v="2"/>
    <x v="0"/>
    <n v="3"/>
    <s v="Married"/>
    <n v="6232"/>
    <n v="12477"/>
    <n v="2"/>
    <s v="Y"/>
    <x v="1"/>
    <n v="11"/>
    <n v="3"/>
    <n v="2"/>
    <n v="80"/>
    <n v="0"/>
    <n v="6"/>
    <n v="3"/>
    <n v="2"/>
    <n v="3"/>
    <n v="2"/>
    <n v="1"/>
    <n v="2"/>
    <x v="1"/>
    <n v="1"/>
    <x v="2"/>
    <x v="0"/>
    <s v="2-5 Years"/>
    <s v="High"/>
    <s v="Good"/>
  </r>
  <r>
    <x v="39"/>
    <s v="No"/>
    <s v="Travel_Frequently"/>
    <n v="322"/>
    <x v="1"/>
    <n v="28"/>
    <n v="2"/>
    <s v="Medical"/>
    <n v="1"/>
    <n v="1401"/>
    <n v="4"/>
    <x v="0"/>
    <n v="59"/>
    <n v="4"/>
    <n v="4"/>
    <x v="3"/>
    <n v="3"/>
    <s v="Married"/>
    <n v="13247"/>
    <n v="9731"/>
    <n v="2"/>
    <s v="Y"/>
    <x v="0"/>
    <n v="11"/>
    <n v="3"/>
    <n v="2"/>
    <n v="80"/>
    <n v="1"/>
    <n v="24"/>
    <n v="3"/>
    <n v="2"/>
    <n v="5"/>
    <n v="3"/>
    <n v="0"/>
    <n v="2"/>
    <x v="1"/>
    <n v="1"/>
    <x v="1"/>
    <x v="2"/>
    <s v="2-5 Years"/>
    <s v="High"/>
    <s v="Good"/>
  </r>
  <r>
    <x v="23"/>
    <s v="No"/>
    <s v="Travel_Rarely"/>
    <n v="930"/>
    <x v="1"/>
    <n v="6"/>
    <n v="3"/>
    <s v="Medical"/>
    <n v="1"/>
    <n v="1402"/>
    <n v="1"/>
    <x v="0"/>
    <n v="73"/>
    <n v="2"/>
    <n v="2"/>
    <x v="1"/>
    <n v="3"/>
    <s v="Single"/>
    <n v="4081"/>
    <n v="20003"/>
    <n v="1"/>
    <s v="Y"/>
    <x v="0"/>
    <n v="14"/>
    <n v="3"/>
    <n v="1"/>
    <n v="80"/>
    <n v="0"/>
    <n v="20"/>
    <n v="3"/>
    <n v="1"/>
    <n v="20"/>
    <n v="7"/>
    <n v="1"/>
    <n v="8"/>
    <x v="1"/>
    <n v="1"/>
    <x v="0"/>
    <x v="0"/>
    <s v="10+ Years"/>
    <s v="High"/>
    <s v="Bad"/>
  </r>
  <r>
    <x v="4"/>
    <s v="No"/>
    <s v="Travel_Rarely"/>
    <n v="205"/>
    <x v="0"/>
    <n v="10"/>
    <n v="3"/>
    <s v="Marketing"/>
    <n v="1"/>
    <n v="1403"/>
    <n v="4"/>
    <x v="0"/>
    <n v="98"/>
    <n v="2"/>
    <n v="2"/>
    <x v="0"/>
    <n v="4"/>
    <s v="Married"/>
    <n v="5769"/>
    <n v="7100"/>
    <n v="1"/>
    <s v="Y"/>
    <x v="0"/>
    <n v="11"/>
    <n v="3"/>
    <n v="4"/>
    <n v="80"/>
    <n v="0"/>
    <n v="6"/>
    <n v="3"/>
    <n v="3"/>
    <n v="6"/>
    <n v="2"/>
    <n v="4"/>
    <n v="4"/>
    <x v="1"/>
    <n v="1"/>
    <x v="2"/>
    <x v="0"/>
    <s v="6-10 Years"/>
    <s v="Very High"/>
    <s v="Better"/>
  </r>
  <r>
    <x v="4"/>
    <s v="Yes"/>
    <s v="Travel_Rarely"/>
    <n v="135"/>
    <x v="1"/>
    <n v="17"/>
    <n v="4"/>
    <s v="Life Sciences"/>
    <n v="1"/>
    <n v="1405"/>
    <n v="4"/>
    <x v="0"/>
    <n v="51"/>
    <n v="3"/>
    <n v="1"/>
    <x v="1"/>
    <n v="3"/>
    <s v="Single"/>
    <n v="2394"/>
    <n v="25681"/>
    <n v="1"/>
    <s v="Y"/>
    <x v="0"/>
    <n v="13"/>
    <n v="3"/>
    <n v="4"/>
    <n v="80"/>
    <n v="0"/>
    <n v="8"/>
    <n v="2"/>
    <n v="3"/>
    <n v="8"/>
    <n v="2"/>
    <n v="7"/>
    <n v="7"/>
    <x v="0"/>
    <n v="0"/>
    <x v="2"/>
    <x v="1"/>
    <s v="6-10 Years"/>
    <s v="High"/>
    <s v="Better"/>
  </r>
  <r>
    <x v="25"/>
    <s v="No"/>
    <s v="Travel_Rarely"/>
    <n v="683"/>
    <x v="1"/>
    <n v="2"/>
    <n v="1"/>
    <s v="Medical"/>
    <n v="1"/>
    <n v="1407"/>
    <n v="1"/>
    <x v="1"/>
    <n v="36"/>
    <n v="2"/>
    <n v="1"/>
    <x v="1"/>
    <n v="4"/>
    <s v="Single"/>
    <n v="3904"/>
    <n v="4050"/>
    <n v="0"/>
    <s v="Y"/>
    <x v="1"/>
    <n v="12"/>
    <n v="3"/>
    <n v="4"/>
    <n v="80"/>
    <n v="0"/>
    <n v="5"/>
    <n v="2"/>
    <n v="3"/>
    <n v="4"/>
    <n v="3"/>
    <n v="1"/>
    <n v="1"/>
    <x v="1"/>
    <n v="1"/>
    <x v="2"/>
    <x v="0"/>
    <s v="2-5 Years"/>
    <s v="Very High"/>
    <s v="Better"/>
  </r>
  <r>
    <x v="19"/>
    <s v="No"/>
    <s v="Travel_Rarely"/>
    <n v="1147"/>
    <x v="2"/>
    <n v="10"/>
    <n v="3"/>
    <s v="Human Resources"/>
    <n v="1"/>
    <n v="1408"/>
    <n v="3"/>
    <x v="0"/>
    <n v="31"/>
    <n v="3"/>
    <n v="4"/>
    <x v="5"/>
    <n v="1"/>
    <s v="Married"/>
    <n v="16799"/>
    <n v="16616"/>
    <n v="0"/>
    <s v="Y"/>
    <x v="1"/>
    <n v="14"/>
    <n v="3"/>
    <n v="3"/>
    <n v="80"/>
    <n v="1"/>
    <n v="21"/>
    <n v="5"/>
    <n v="3"/>
    <n v="20"/>
    <n v="7"/>
    <n v="0"/>
    <n v="9"/>
    <x v="1"/>
    <n v="1"/>
    <x v="0"/>
    <x v="2"/>
    <s v="10+ Years"/>
    <s v="Low"/>
    <s v="Better"/>
  </r>
  <r>
    <x v="39"/>
    <s v="No"/>
    <s v="Travel_Rarely"/>
    <n v="258"/>
    <x v="1"/>
    <n v="8"/>
    <n v="4"/>
    <s v="Other"/>
    <n v="1"/>
    <n v="1409"/>
    <n v="3"/>
    <x v="0"/>
    <n v="54"/>
    <n v="3"/>
    <n v="1"/>
    <x v="2"/>
    <n v="1"/>
    <s v="Married"/>
    <n v="2950"/>
    <n v="17363"/>
    <n v="9"/>
    <s v="Y"/>
    <x v="1"/>
    <n v="13"/>
    <n v="3"/>
    <n v="3"/>
    <n v="80"/>
    <n v="0"/>
    <n v="12"/>
    <n v="2"/>
    <n v="1"/>
    <n v="5"/>
    <n v="4"/>
    <n v="0"/>
    <n v="4"/>
    <x v="1"/>
    <n v="1"/>
    <x v="1"/>
    <x v="1"/>
    <s v="2-5 Years"/>
    <s v="Low"/>
    <s v="Bad"/>
  </r>
  <r>
    <x v="2"/>
    <s v="No"/>
    <s v="Travel_Rarely"/>
    <n v="1462"/>
    <x v="1"/>
    <n v="11"/>
    <n v="3"/>
    <s v="Medical"/>
    <n v="1"/>
    <n v="1411"/>
    <n v="1"/>
    <x v="0"/>
    <n v="94"/>
    <n v="3"/>
    <n v="1"/>
    <x v="2"/>
    <n v="3"/>
    <s v="Single"/>
    <n v="3629"/>
    <n v="19106"/>
    <n v="4"/>
    <s v="Y"/>
    <x v="1"/>
    <n v="18"/>
    <n v="3"/>
    <n v="1"/>
    <n v="80"/>
    <n v="0"/>
    <n v="8"/>
    <n v="6"/>
    <n v="3"/>
    <n v="3"/>
    <n v="2"/>
    <n v="0"/>
    <n v="2"/>
    <x v="1"/>
    <n v="1"/>
    <x v="0"/>
    <x v="0"/>
    <s v="2-5 Years"/>
    <s v="High"/>
    <s v="Better"/>
  </r>
  <r>
    <x v="10"/>
    <s v="No"/>
    <s v="Travel_Frequently"/>
    <n v="200"/>
    <x v="1"/>
    <n v="18"/>
    <n v="2"/>
    <s v="Life Sciences"/>
    <n v="1"/>
    <n v="1412"/>
    <n v="3"/>
    <x v="1"/>
    <n v="60"/>
    <n v="3"/>
    <n v="3"/>
    <x v="3"/>
    <n v="4"/>
    <s v="Single"/>
    <n v="9362"/>
    <n v="19944"/>
    <n v="2"/>
    <s v="Y"/>
    <x v="1"/>
    <n v="11"/>
    <n v="3"/>
    <n v="3"/>
    <n v="80"/>
    <n v="0"/>
    <n v="10"/>
    <n v="2"/>
    <n v="3"/>
    <n v="2"/>
    <n v="2"/>
    <n v="2"/>
    <n v="2"/>
    <x v="1"/>
    <n v="1"/>
    <x v="0"/>
    <x v="2"/>
    <s v="2-5 Years"/>
    <s v="Very High"/>
    <s v="Better"/>
  </r>
  <r>
    <x v="36"/>
    <s v="No"/>
    <s v="Travel_Rarely"/>
    <n v="949"/>
    <x v="1"/>
    <n v="1"/>
    <n v="3"/>
    <s v="Technical Degree"/>
    <n v="1"/>
    <n v="1415"/>
    <n v="1"/>
    <x v="1"/>
    <n v="81"/>
    <n v="3"/>
    <n v="1"/>
    <x v="2"/>
    <n v="4"/>
    <s v="Married"/>
    <n v="3229"/>
    <n v="4910"/>
    <n v="4"/>
    <s v="Y"/>
    <x v="1"/>
    <n v="11"/>
    <n v="3"/>
    <n v="2"/>
    <n v="80"/>
    <n v="1"/>
    <n v="7"/>
    <n v="2"/>
    <n v="2"/>
    <n v="3"/>
    <n v="2"/>
    <n v="0"/>
    <n v="2"/>
    <x v="1"/>
    <n v="1"/>
    <x v="2"/>
    <x v="0"/>
    <s v="2-5 Years"/>
    <s v="Very High"/>
    <s v="Good"/>
  </r>
  <r>
    <x v="25"/>
    <s v="No"/>
    <s v="Travel_Rarely"/>
    <n v="652"/>
    <x v="1"/>
    <n v="7"/>
    <n v="3"/>
    <s v="Other"/>
    <n v="1"/>
    <n v="1417"/>
    <n v="3"/>
    <x v="1"/>
    <n v="100"/>
    <n v="4"/>
    <n v="1"/>
    <x v="2"/>
    <n v="1"/>
    <s v="Single"/>
    <n v="3578"/>
    <n v="23577"/>
    <n v="0"/>
    <s v="Y"/>
    <x v="1"/>
    <n v="12"/>
    <n v="3"/>
    <n v="4"/>
    <n v="80"/>
    <n v="0"/>
    <n v="8"/>
    <n v="2"/>
    <n v="3"/>
    <n v="7"/>
    <n v="7"/>
    <n v="0"/>
    <n v="7"/>
    <x v="1"/>
    <n v="1"/>
    <x v="2"/>
    <x v="0"/>
    <s v="6-10 Years"/>
    <s v="Low"/>
    <s v="Better"/>
  </r>
  <r>
    <x v="11"/>
    <s v="No"/>
    <s v="Travel_Rarely"/>
    <n v="332"/>
    <x v="2"/>
    <n v="17"/>
    <n v="3"/>
    <s v="Other"/>
    <n v="1"/>
    <n v="1419"/>
    <n v="2"/>
    <x v="1"/>
    <n v="51"/>
    <n v="2"/>
    <n v="3"/>
    <x v="8"/>
    <n v="1"/>
    <s v="Single"/>
    <n v="7988"/>
    <n v="9769"/>
    <n v="1"/>
    <s v="Y"/>
    <x v="1"/>
    <n v="13"/>
    <n v="3"/>
    <n v="1"/>
    <n v="80"/>
    <n v="0"/>
    <n v="10"/>
    <n v="3"/>
    <n v="2"/>
    <n v="10"/>
    <n v="9"/>
    <n v="0"/>
    <n v="9"/>
    <x v="1"/>
    <n v="1"/>
    <x v="2"/>
    <x v="2"/>
    <s v="6-10 Years"/>
    <s v="Low"/>
    <s v="Good"/>
  </r>
  <r>
    <x v="1"/>
    <s v="Yes"/>
    <s v="Travel_Frequently"/>
    <n v="1475"/>
    <x v="1"/>
    <n v="28"/>
    <n v="2"/>
    <s v="Life Sciences"/>
    <n v="1"/>
    <n v="1420"/>
    <n v="1"/>
    <x v="1"/>
    <n v="97"/>
    <n v="2"/>
    <n v="2"/>
    <x v="2"/>
    <n v="1"/>
    <s v="Single"/>
    <n v="4284"/>
    <n v="22710"/>
    <n v="3"/>
    <s v="Y"/>
    <x v="1"/>
    <n v="20"/>
    <n v="4"/>
    <n v="1"/>
    <n v="80"/>
    <n v="0"/>
    <n v="20"/>
    <n v="2"/>
    <n v="3"/>
    <n v="4"/>
    <n v="3"/>
    <n v="1"/>
    <n v="3"/>
    <x v="0"/>
    <n v="0"/>
    <x v="1"/>
    <x v="0"/>
    <s v="2-5 Years"/>
    <s v="Low"/>
    <s v="Better"/>
  </r>
  <r>
    <x v="11"/>
    <s v="Yes"/>
    <s v="Travel_Frequently"/>
    <n v="337"/>
    <x v="1"/>
    <n v="14"/>
    <n v="1"/>
    <s v="Other"/>
    <n v="1"/>
    <n v="1421"/>
    <n v="3"/>
    <x v="0"/>
    <n v="84"/>
    <n v="3"/>
    <n v="3"/>
    <x v="4"/>
    <n v="4"/>
    <s v="Single"/>
    <n v="7553"/>
    <n v="22930"/>
    <n v="0"/>
    <s v="Y"/>
    <x v="0"/>
    <n v="12"/>
    <n v="3"/>
    <n v="1"/>
    <n v="80"/>
    <n v="0"/>
    <n v="9"/>
    <n v="1"/>
    <n v="3"/>
    <n v="8"/>
    <n v="7"/>
    <n v="7"/>
    <n v="7"/>
    <x v="0"/>
    <n v="0"/>
    <x v="2"/>
    <x v="2"/>
    <s v="6-10 Years"/>
    <s v="Very High"/>
    <s v="Better"/>
  </r>
  <r>
    <x v="33"/>
    <s v="No"/>
    <s v="Travel_Rarely"/>
    <n v="971"/>
    <x v="1"/>
    <n v="1"/>
    <n v="3"/>
    <s v="Medical"/>
    <n v="1"/>
    <n v="1422"/>
    <n v="4"/>
    <x v="0"/>
    <n v="54"/>
    <n v="3"/>
    <n v="4"/>
    <x v="7"/>
    <n v="4"/>
    <s v="Single"/>
    <n v="17328"/>
    <n v="5652"/>
    <n v="6"/>
    <s v="Y"/>
    <x v="1"/>
    <n v="19"/>
    <n v="3"/>
    <n v="4"/>
    <n v="80"/>
    <n v="0"/>
    <n v="29"/>
    <n v="3"/>
    <n v="2"/>
    <n v="20"/>
    <n v="7"/>
    <n v="12"/>
    <n v="7"/>
    <x v="1"/>
    <n v="1"/>
    <x v="1"/>
    <x v="2"/>
    <s v="10+ Years"/>
    <s v="Very High"/>
    <s v="Good"/>
  </r>
  <r>
    <x v="34"/>
    <s v="No"/>
    <s v="Travel_Rarely"/>
    <n v="1055"/>
    <x v="1"/>
    <n v="1"/>
    <n v="3"/>
    <s v="Medical"/>
    <n v="1"/>
    <n v="1423"/>
    <n v="4"/>
    <x v="0"/>
    <n v="76"/>
    <n v="3"/>
    <n v="5"/>
    <x v="7"/>
    <n v="1"/>
    <s v="Married"/>
    <n v="19701"/>
    <n v="22456"/>
    <n v="3"/>
    <s v="Y"/>
    <x v="0"/>
    <n v="21"/>
    <n v="4"/>
    <n v="3"/>
    <n v="80"/>
    <n v="1"/>
    <n v="32"/>
    <n v="3"/>
    <n v="3"/>
    <n v="9"/>
    <n v="8"/>
    <n v="1"/>
    <n v="5"/>
    <x v="1"/>
    <n v="1"/>
    <x v="3"/>
    <x v="2"/>
    <s v="6-10 Years"/>
    <s v="Low"/>
    <s v="Better"/>
  </r>
  <r>
    <x v="27"/>
    <s v="No"/>
    <s v="Travel_Rarely"/>
    <n v="1136"/>
    <x v="1"/>
    <n v="1"/>
    <n v="4"/>
    <s v="Medical"/>
    <n v="1"/>
    <n v="1424"/>
    <n v="2"/>
    <x v="1"/>
    <n v="81"/>
    <n v="4"/>
    <n v="4"/>
    <x v="7"/>
    <n v="4"/>
    <s v="Divorced"/>
    <n v="14732"/>
    <n v="12414"/>
    <n v="2"/>
    <s v="Y"/>
    <x v="1"/>
    <n v="13"/>
    <n v="3"/>
    <n v="4"/>
    <n v="80"/>
    <n v="2"/>
    <n v="31"/>
    <n v="4"/>
    <n v="4"/>
    <n v="7"/>
    <n v="7"/>
    <n v="0"/>
    <n v="0"/>
    <x v="1"/>
    <n v="1"/>
    <x v="3"/>
    <x v="2"/>
    <s v="6-10 Years"/>
    <s v="Very High"/>
    <s v="Best"/>
  </r>
  <r>
    <x v="9"/>
    <s v="No"/>
    <s v="Travel_Rarely"/>
    <n v="1174"/>
    <x v="0"/>
    <n v="3"/>
    <n v="4"/>
    <s v="Marketing"/>
    <n v="1"/>
    <n v="1425"/>
    <n v="1"/>
    <x v="0"/>
    <n v="99"/>
    <n v="3"/>
    <n v="2"/>
    <x v="0"/>
    <n v="2"/>
    <s v="Single"/>
    <n v="9278"/>
    <n v="20763"/>
    <n v="3"/>
    <s v="Y"/>
    <x v="0"/>
    <n v="16"/>
    <n v="3"/>
    <n v="4"/>
    <n v="80"/>
    <n v="0"/>
    <n v="15"/>
    <n v="3"/>
    <n v="3"/>
    <n v="5"/>
    <n v="4"/>
    <n v="0"/>
    <n v="1"/>
    <x v="1"/>
    <n v="1"/>
    <x v="0"/>
    <x v="2"/>
    <s v="2-5 Years"/>
    <s v="Medium"/>
    <s v="Better"/>
  </r>
  <r>
    <x v="12"/>
    <s v="Yes"/>
    <s v="Travel_Frequently"/>
    <n v="667"/>
    <x v="0"/>
    <n v="1"/>
    <n v="4"/>
    <s v="Life Sciences"/>
    <n v="1"/>
    <n v="1427"/>
    <n v="2"/>
    <x v="0"/>
    <n v="50"/>
    <n v="1"/>
    <n v="1"/>
    <x v="6"/>
    <n v="3"/>
    <s v="Single"/>
    <n v="1359"/>
    <n v="16154"/>
    <n v="1"/>
    <s v="Y"/>
    <x v="1"/>
    <n v="12"/>
    <n v="3"/>
    <n v="2"/>
    <n v="80"/>
    <n v="0"/>
    <n v="1"/>
    <n v="3"/>
    <n v="3"/>
    <n v="1"/>
    <n v="0"/>
    <n v="0"/>
    <n v="0"/>
    <x v="0"/>
    <n v="0"/>
    <x v="2"/>
    <x v="1"/>
    <s v="0-1 Years"/>
    <s v="High"/>
    <s v="Better"/>
  </r>
  <r>
    <x v="7"/>
    <s v="No"/>
    <s v="Travel_Rarely"/>
    <n v="855"/>
    <x v="0"/>
    <n v="7"/>
    <n v="4"/>
    <s v="Marketing"/>
    <n v="1"/>
    <n v="1428"/>
    <n v="4"/>
    <x v="0"/>
    <n v="73"/>
    <n v="3"/>
    <n v="2"/>
    <x v="0"/>
    <n v="1"/>
    <s v="Divorced"/>
    <n v="4779"/>
    <n v="12761"/>
    <n v="7"/>
    <s v="Y"/>
    <x v="1"/>
    <n v="14"/>
    <n v="3"/>
    <n v="2"/>
    <n v="80"/>
    <n v="2"/>
    <n v="8"/>
    <n v="3"/>
    <n v="3"/>
    <n v="3"/>
    <n v="2"/>
    <n v="0"/>
    <n v="2"/>
    <x v="1"/>
    <n v="1"/>
    <x v="2"/>
    <x v="0"/>
    <s v="2-5 Years"/>
    <s v="Low"/>
    <s v="Better"/>
  </r>
  <r>
    <x v="12"/>
    <s v="No"/>
    <s v="Travel_Rarely"/>
    <n v="182"/>
    <x v="1"/>
    <n v="8"/>
    <n v="5"/>
    <s v="Life Sciences"/>
    <n v="1"/>
    <n v="1430"/>
    <n v="1"/>
    <x v="0"/>
    <n v="93"/>
    <n v="3"/>
    <n v="4"/>
    <x v="7"/>
    <n v="2"/>
    <s v="Single"/>
    <n v="16422"/>
    <n v="8847"/>
    <n v="3"/>
    <s v="Y"/>
    <x v="1"/>
    <n v="11"/>
    <n v="3"/>
    <n v="3"/>
    <n v="80"/>
    <n v="0"/>
    <n v="9"/>
    <n v="3"/>
    <n v="4"/>
    <n v="3"/>
    <n v="2"/>
    <n v="1"/>
    <n v="0"/>
    <x v="1"/>
    <n v="1"/>
    <x v="2"/>
    <x v="2"/>
    <s v="2-5 Years"/>
    <s v="Medium"/>
    <s v="Best"/>
  </r>
  <r>
    <x v="13"/>
    <s v="No"/>
    <s v="Travel_Frequently"/>
    <n v="560"/>
    <x v="1"/>
    <n v="1"/>
    <n v="4"/>
    <s v="Other"/>
    <n v="1"/>
    <n v="1431"/>
    <n v="4"/>
    <x v="1"/>
    <n v="91"/>
    <n v="3"/>
    <n v="1"/>
    <x v="1"/>
    <n v="1"/>
    <s v="Divorced"/>
    <n v="2996"/>
    <n v="20284"/>
    <n v="5"/>
    <s v="Y"/>
    <x v="1"/>
    <n v="14"/>
    <n v="3"/>
    <n v="3"/>
    <n v="80"/>
    <n v="2"/>
    <n v="10"/>
    <n v="2"/>
    <n v="3"/>
    <n v="4"/>
    <n v="3"/>
    <n v="1"/>
    <n v="3"/>
    <x v="1"/>
    <n v="1"/>
    <x v="2"/>
    <x v="1"/>
    <s v="2-5 Years"/>
    <s v="Low"/>
    <s v="Better"/>
  </r>
  <r>
    <x v="12"/>
    <s v="Yes"/>
    <s v="Travel_Rarely"/>
    <n v="202"/>
    <x v="1"/>
    <n v="8"/>
    <n v="3"/>
    <s v="Life Sciences"/>
    <n v="1"/>
    <n v="1433"/>
    <n v="1"/>
    <x v="0"/>
    <n v="34"/>
    <n v="2"/>
    <n v="1"/>
    <x v="1"/>
    <n v="2"/>
    <s v="Single"/>
    <n v="1261"/>
    <n v="22262"/>
    <n v="1"/>
    <s v="Y"/>
    <x v="1"/>
    <n v="12"/>
    <n v="3"/>
    <n v="3"/>
    <n v="80"/>
    <n v="0"/>
    <n v="1"/>
    <n v="3"/>
    <n v="4"/>
    <n v="1"/>
    <n v="0"/>
    <n v="0"/>
    <n v="0"/>
    <x v="0"/>
    <n v="0"/>
    <x v="2"/>
    <x v="1"/>
    <s v="0-1 Years"/>
    <s v="Medium"/>
    <s v="Best"/>
  </r>
  <r>
    <x v="4"/>
    <s v="No"/>
    <s v="Travel_Rarely"/>
    <n v="1377"/>
    <x v="1"/>
    <n v="11"/>
    <n v="1"/>
    <s v="Life Sciences"/>
    <n v="1"/>
    <n v="1434"/>
    <n v="2"/>
    <x v="1"/>
    <n v="91"/>
    <n v="3"/>
    <n v="1"/>
    <x v="2"/>
    <n v="1"/>
    <s v="Married"/>
    <n v="2099"/>
    <n v="7679"/>
    <n v="0"/>
    <s v="Y"/>
    <x v="1"/>
    <n v="14"/>
    <n v="3"/>
    <n v="2"/>
    <n v="80"/>
    <n v="0"/>
    <n v="6"/>
    <n v="3"/>
    <n v="4"/>
    <n v="5"/>
    <n v="0"/>
    <n v="1"/>
    <n v="4"/>
    <x v="1"/>
    <n v="1"/>
    <x v="2"/>
    <x v="1"/>
    <s v="2-5 Years"/>
    <s v="Low"/>
    <s v="Best"/>
  </r>
  <r>
    <x v="9"/>
    <s v="No"/>
    <s v="Travel_Rarely"/>
    <n v="172"/>
    <x v="1"/>
    <n v="4"/>
    <n v="4"/>
    <s v="Life Sciences"/>
    <n v="1"/>
    <n v="1435"/>
    <n v="1"/>
    <x v="1"/>
    <n v="37"/>
    <n v="2"/>
    <n v="2"/>
    <x v="2"/>
    <n v="4"/>
    <s v="Single"/>
    <n v="5810"/>
    <n v="22604"/>
    <n v="1"/>
    <s v="Y"/>
    <x v="1"/>
    <n v="16"/>
    <n v="3"/>
    <n v="3"/>
    <n v="80"/>
    <n v="0"/>
    <n v="10"/>
    <n v="2"/>
    <n v="2"/>
    <n v="10"/>
    <n v="4"/>
    <n v="1"/>
    <n v="8"/>
    <x v="1"/>
    <n v="1"/>
    <x v="0"/>
    <x v="0"/>
    <s v="6-10 Years"/>
    <s v="Very High"/>
    <s v="Good"/>
  </r>
  <r>
    <x v="9"/>
    <s v="No"/>
    <s v="Travel_Rarely"/>
    <n v="329"/>
    <x v="0"/>
    <n v="16"/>
    <n v="4"/>
    <s v="Marketing"/>
    <n v="1"/>
    <n v="1436"/>
    <n v="3"/>
    <x v="0"/>
    <n v="98"/>
    <n v="2"/>
    <n v="2"/>
    <x v="0"/>
    <n v="1"/>
    <s v="Married"/>
    <n v="5647"/>
    <n v="13494"/>
    <n v="4"/>
    <s v="Y"/>
    <x v="1"/>
    <n v="13"/>
    <n v="3"/>
    <n v="1"/>
    <n v="80"/>
    <n v="2"/>
    <n v="11"/>
    <n v="3"/>
    <n v="2"/>
    <n v="3"/>
    <n v="2"/>
    <n v="0"/>
    <n v="2"/>
    <x v="1"/>
    <n v="1"/>
    <x v="0"/>
    <x v="0"/>
    <s v="2-5 Years"/>
    <s v="Low"/>
    <s v="Good"/>
  </r>
  <r>
    <x v="40"/>
    <s v="No"/>
    <s v="Travel_Rarely"/>
    <n v="465"/>
    <x v="1"/>
    <n v="1"/>
    <n v="3"/>
    <s v="Technical Degree"/>
    <n v="1"/>
    <n v="1438"/>
    <n v="1"/>
    <x v="1"/>
    <n v="74"/>
    <n v="3"/>
    <n v="1"/>
    <x v="1"/>
    <n v="4"/>
    <s v="Married"/>
    <n v="3420"/>
    <n v="10205"/>
    <n v="7"/>
    <s v="Y"/>
    <x v="1"/>
    <n v="12"/>
    <n v="3"/>
    <n v="3"/>
    <n v="80"/>
    <n v="1"/>
    <n v="17"/>
    <n v="2"/>
    <n v="2"/>
    <n v="6"/>
    <n v="5"/>
    <n v="1"/>
    <n v="2"/>
    <x v="1"/>
    <n v="1"/>
    <x v="1"/>
    <x v="0"/>
    <s v="6-10 Years"/>
    <s v="Very High"/>
    <s v="Good"/>
  </r>
  <r>
    <x v="36"/>
    <s v="Yes"/>
    <s v="Travel_Rarely"/>
    <n v="383"/>
    <x v="0"/>
    <n v="9"/>
    <n v="2"/>
    <s v="Life Sciences"/>
    <n v="1"/>
    <n v="1439"/>
    <n v="1"/>
    <x v="1"/>
    <n v="68"/>
    <n v="2"/>
    <n v="1"/>
    <x v="6"/>
    <n v="1"/>
    <s v="Married"/>
    <n v="4400"/>
    <n v="15182"/>
    <n v="3"/>
    <s v="Y"/>
    <x v="1"/>
    <n v="12"/>
    <n v="3"/>
    <n v="1"/>
    <n v="80"/>
    <n v="0"/>
    <n v="6"/>
    <n v="2"/>
    <n v="3"/>
    <n v="3"/>
    <n v="2"/>
    <n v="2"/>
    <n v="2"/>
    <x v="0"/>
    <n v="0"/>
    <x v="2"/>
    <x v="0"/>
    <s v="2-5 Years"/>
    <s v="Low"/>
    <s v="Better"/>
  </r>
  <r>
    <x v="2"/>
    <s v="No"/>
    <s v="Non-Travel"/>
    <n v="1413"/>
    <x v="1"/>
    <n v="5"/>
    <n v="2"/>
    <s v="Technical Degree"/>
    <n v="1"/>
    <n v="1440"/>
    <n v="3"/>
    <x v="1"/>
    <n v="84"/>
    <n v="4"/>
    <n v="1"/>
    <x v="2"/>
    <n v="3"/>
    <s v="Single"/>
    <n v="3500"/>
    <n v="25470"/>
    <n v="0"/>
    <s v="Y"/>
    <x v="1"/>
    <n v="14"/>
    <n v="3"/>
    <n v="1"/>
    <n v="80"/>
    <n v="0"/>
    <n v="7"/>
    <n v="2"/>
    <n v="1"/>
    <n v="6"/>
    <n v="5"/>
    <n v="1"/>
    <n v="3"/>
    <x v="1"/>
    <n v="1"/>
    <x v="0"/>
    <x v="0"/>
    <s v="6-10 Years"/>
    <s v="High"/>
    <s v="Bad"/>
  </r>
  <r>
    <x v="29"/>
    <s v="No"/>
    <s v="Travel_Rarely"/>
    <n v="1255"/>
    <x v="1"/>
    <n v="1"/>
    <n v="2"/>
    <s v="Life Sciences"/>
    <n v="1"/>
    <n v="1441"/>
    <n v="1"/>
    <x v="0"/>
    <n v="90"/>
    <n v="3"/>
    <n v="1"/>
    <x v="1"/>
    <n v="1"/>
    <s v="Married"/>
    <n v="2066"/>
    <n v="10494"/>
    <n v="2"/>
    <s v="Y"/>
    <x v="1"/>
    <n v="22"/>
    <n v="4"/>
    <n v="4"/>
    <n v="80"/>
    <n v="1"/>
    <n v="5"/>
    <n v="3"/>
    <n v="4"/>
    <n v="3"/>
    <n v="2"/>
    <n v="1"/>
    <n v="0"/>
    <x v="1"/>
    <n v="1"/>
    <x v="3"/>
    <x v="1"/>
    <s v="2-5 Years"/>
    <s v="Low"/>
    <s v="Best"/>
  </r>
  <r>
    <x v="40"/>
    <s v="No"/>
    <s v="Travel_Rarely"/>
    <n v="359"/>
    <x v="1"/>
    <n v="2"/>
    <n v="4"/>
    <s v="Medical"/>
    <n v="1"/>
    <n v="1443"/>
    <n v="1"/>
    <x v="0"/>
    <n v="82"/>
    <n v="3"/>
    <n v="4"/>
    <x v="7"/>
    <n v="3"/>
    <s v="Married"/>
    <n v="17169"/>
    <n v="26703"/>
    <n v="3"/>
    <s v="Y"/>
    <x v="1"/>
    <n v="19"/>
    <n v="3"/>
    <n v="2"/>
    <n v="80"/>
    <n v="2"/>
    <n v="26"/>
    <n v="2"/>
    <n v="4"/>
    <n v="20"/>
    <n v="17"/>
    <n v="5"/>
    <n v="6"/>
    <x v="1"/>
    <n v="1"/>
    <x v="1"/>
    <x v="2"/>
    <s v="10+ Years"/>
    <s v="High"/>
    <s v="Best"/>
  </r>
  <r>
    <x v="17"/>
    <s v="No"/>
    <s v="Travel_Rarely"/>
    <n v="1476"/>
    <x v="0"/>
    <n v="4"/>
    <n v="1"/>
    <s v="Medical"/>
    <n v="1"/>
    <n v="1445"/>
    <n v="4"/>
    <x v="0"/>
    <n v="42"/>
    <n v="3"/>
    <n v="2"/>
    <x v="0"/>
    <n v="3"/>
    <s v="Married"/>
    <n v="4162"/>
    <n v="15211"/>
    <n v="1"/>
    <s v="Y"/>
    <x v="0"/>
    <n v="12"/>
    <n v="3"/>
    <n v="3"/>
    <n v="80"/>
    <n v="2"/>
    <n v="5"/>
    <n v="3"/>
    <n v="3"/>
    <n v="5"/>
    <n v="4"/>
    <n v="0"/>
    <n v="3"/>
    <x v="1"/>
    <n v="1"/>
    <x v="4"/>
    <x v="0"/>
    <s v="2-5 Years"/>
    <s v="High"/>
    <s v="Better"/>
  </r>
  <r>
    <x v="5"/>
    <s v="No"/>
    <s v="Travel_Rarely"/>
    <n v="601"/>
    <x v="0"/>
    <n v="7"/>
    <n v="5"/>
    <s v="Marketing"/>
    <n v="1"/>
    <n v="1446"/>
    <n v="4"/>
    <x v="1"/>
    <n v="97"/>
    <n v="3"/>
    <n v="2"/>
    <x v="0"/>
    <n v="4"/>
    <s v="Married"/>
    <n v="9204"/>
    <n v="23343"/>
    <n v="4"/>
    <s v="Y"/>
    <x v="1"/>
    <n v="12"/>
    <n v="3"/>
    <n v="3"/>
    <n v="80"/>
    <n v="1"/>
    <n v="7"/>
    <n v="3"/>
    <n v="2"/>
    <n v="4"/>
    <n v="3"/>
    <n v="0"/>
    <n v="3"/>
    <x v="1"/>
    <n v="1"/>
    <x v="2"/>
    <x v="2"/>
    <s v="2-5 Years"/>
    <s v="Very High"/>
    <s v="Good"/>
  </r>
  <r>
    <x v="13"/>
    <s v="No"/>
    <s v="Travel_Rarely"/>
    <n v="401"/>
    <x v="1"/>
    <n v="1"/>
    <n v="3"/>
    <s v="Life Sciences"/>
    <n v="1"/>
    <n v="1447"/>
    <n v="4"/>
    <x v="0"/>
    <n v="86"/>
    <n v="2"/>
    <n v="1"/>
    <x v="2"/>
    <n v="2"/>
    <s v="Married"/>
    <n v="3294"/>
    <n v="3708"/>
    <n v="5"/>
    <s v="Y"/>
    <x v="1"/>
    <n v="17"/>
    <n v="3"/>
    <n v="1"/>
    <n v="80"/>
    <n v="1"/>
    <n v="7"/>
    <n v="2"/>
    <n v="2"/>
    <n v="5"/>
    <n v="4"/>
    <n v="0"/>
    <n v="2"/>
    <x v="1"/>
    <n v="1"/>
    <x v="2"/>
    <x v="0"/>
    <s v="2-5 Years"/>
    <s v="Medium"/>
    <s v="Good"/>
  </r>
  <r>
    <x v="0"/>
    <s v="No"/>
    <s v="Travel_Rarely"/>
    <n v="1283"/>
    <x v="1"/>
    <n v="5"/>
    <n v="5"/>
    <s v="Medical"/>
    <n v="1"/>
    <n v="1448"/>
    <n v="2"/>
    <x v="1"/>
    <n v="90"/>
    <n v="4"/>
    <n v="1"/>
    <x v="1"/>
    <n v="3"/>
    <s v="Married"/>
    <n v="2127"/>
    <n v="5561"/>
    <n v="2"/>
    <s v="Y"/>
    <x v="0"/>
    <n v="12"/>
    <n v="3"/>
    <n v="1"/>
    <n v="80"/>
    <n v="0"/>
    <n v="7"/>
    <n v="5"/>
    <n v="2"/>
    <n v="4"/>
    <n v="2"/>
    <n v="0"/>
    <n v="3"/>
    <x v="1"/>
    <n v="1"/>
    <x v="0"/>
    <x v="1"/>
    <s v="2-5 Years"/>
    <s v="High"/>
    <s v="Good"/>
  </r>
  <r>
    <x v="32"/>
    <s v="No"/>
    <s v="Non-Travel"/>
    <n v="663"/>
    <x v="1"/>
    <n v="9"/>
    <n v="4"/>
    <s v="Other"/>
    <n v="1"/>
    <n v="1449"/>
    <n v="3"/>
    <x v="1"/>
    <n v="81"/>
    <n v="3"/>
    <n v="2"/>
    <x v="2"/>
    <n v="3"/>
    <s v="Divorced"/>
    <n v="3975"/>
    <n v="23099"/>
    <n v="3"/>
    <s v="Y"/>
    <x v="1"/>
    <n v="11"/>
    <n v="3"/>
    <n v="3"/>
    <n v="80"/>
    <n v="2"/>
    <n v="11"/>
    <n v="2"/>
    <n v="4"/>
    <n v="8"/>
    <n v="7"/>
    <n v="0"/>
    <n v="7"/>
    <x v="1"/>
    <n v="1"/>
    <x v="0"/>
    <x v="0"/>
    <s v="6-10 Years"/>
    <s v="High"/>
    <s v="Best"/>
  </r>
  <r>
    <x v="12"/>
    <s v="No"/>
    <s v="Travel_Rarely"/>
    <n v="326"/>
    <x v="0"/>
    <n v="8"/>
    <n v="2"/>
    <s v="Life Sciences"/>
    <n v="1"/>
    <n v="1453"/>
    <n v="1"/>
    <x v="1"/>
    <n v="31"/>
    <n v="3"/>
    <n v="3"/>
    <x v="0"/>
    <n v="4"/>
    <s v="Divorced"/>
    <n v="10793"/>
    <n v="8386"/>
    <n v="1"/>
    <s v="Y"/>
    <x v="1"/>
    <n v="18"/>
    <n v="3"/>
    <n v="1"/>
    <n v="80"/>
    <n v="1"/>
    <n v="13"/>
    <n v="5"/>
    <n v="3"/>
    <n v="13"/>
    <n v="7"/>
    <n v="9"/>
    <n v="9"/>
    <x v="1"/>
    <n v="1"/>
    <x v="2"/>
    <x v="2"/>
    <s v="10+ Years"/>
    <s v="Very High"/>
    <s v="Better"/>
  </r>
  <r>
    <x v="21"/>
    <s v="Yes"/>
    <s v="Travel_Rarely"/>
    <n v="377"/>
    <x v="0"/>
    <n v="9"/>
    <n v="3"/>
    <s v="Marketing"/>
    <n v="1"/>
    <n v="1457"/>
    <n v="1"/>
    <x v="1"/>
    <n v="52"/>
    <n v="3"/>
    <n v="3"/>
    <x v="0"/>
    <n v="4"/>
    <s v="Divorced"/>
    <n v="10096"/>
    <n v="15986"/>
    <n v="4"/>
    <s v="Y"/>
    <x v="1"/>
    <n v="11"/>
    <n v="3"/>
    <n v="1"/>
    <n v="80"/>
    <n v="1"/>
    <n v="28"/>
    <n v="1"/>
    <n v="4"/>
    <n v="7"/>
    <n v="7"/>
    <n v="4"/>
    <n v="3"/>
    <x v="0"/>
    <n v="0"/>
    <x v="1"/>
    <x v="2"/>
    <s v="6-10 Years"/>
    <s v="Very High"/>
    <s v="Best"/>
  </r>
  <r>
    <x v="22"/>
    <s v="Yes"/>
    <s v="Non-Travel"/>
    <n v="592"/>
    <x v="1"/>
    <n v="2"/>
    <n v="3"/>
    <s v="Life Sciences"/>
    <n v="1"/>
    <n v="1458"/>
    <n v="1"/>
    <x v="0"/>
    <n v="54"/>
    <n v="2"/>
    <n v="1"/>
    <x v="2"/>
    <n v="1"/>
    <s v="Single"/>
    <n v="3646"/>
    <n v="17181"/>
    <n v="2"/>
    <s v="Y"/>
    <x v="0"/>
    <n v="23"/>
    <n v="4"/>
    <n v="2"/>
    <n v="80"/>
    <n v="0"/>
    <n v="11"/>
    <n v="2"/>
    <n v="4"/>
    <n v="1"/>
    <n v="0"/>
    <n v="0"/>
    <n v="0"/>
    <x v="0"/>
    <n v="0"/>
    <x v="0"/>
    <x v="0"/>
    <s v="0-1 Years"/>
    <s v="Low"/>
    <s v="Best"/>
  </r>
  <r>
    <x v="12"/>
    <s v="Yes"/>
    <s v="Travel_Frequently"/>
    <n v="1445"/>
    <x v="1"/>
    <n v="1"/>
    <n v="5"/>
    <s v="Life Sciences"/>
    <n v="1"/>
    <n v="1459"/>
    <n v="3"/>
    <x v="0"/>
    <n v="100"/>
    <n v="4"/>
    <n v="3"/>
    <x v="3"/>
    <n v="2"/>
    <s v="Single"/>
    <n v="7446"/>
    <n v="8931"/>
    <n v="1"/>
    <s v="Y"/>
    <x v="1"/>
    <n v="11"/>
    <n v="3"/>
    <n v="1"/>
    <n v="80"/>
    <n v="0"/>
    <n v="10"/>
    <n v="2"/>
    <n v="3"/>
    <n v="10"/>
    <n v="8"/>
    <n v="4"/>
    <n v="7"/>
    <x v="0"/>
    <n v="0"/>
    <x v="2"/>
    <x v="2"/>
    <s v="6-10 Years"/>
    <s v="Medium"/>
    <s v="Better"/>
  </r>
  <r>
    <x v="28"/>
    <s v="No"/>
    <s v="Travel_Rarely"/>
    <n v="1038"/>
    <x v="1"/>
    <n v="20"/>
    <n v="3"/>
    <s v="Medical"/>
    <n v="1"/>
    <n v="1460"/>
    <n v="2"/>
    <x v="1"/>
    <n v="95"/>
    <n v="1"/>
    <n v="3"/>
    <x v="4"/>
    <n v="1"/>
    <s v="Divorced"/>
    <n v="10851"/>
    <n v="19863"/>
    <n v="2"/>
    <s v="Y"/>
    <x v="0"/>
    <n v="18"/>
    <n v="3"/>
    <n v="2"/>
    <n v="80"/>
    <n v="1"/>
    <n v="24"/>
    <n v="2"/>
    <n v="3"/>
    <n v="7"/>
    <n v="7"/>
    <n v="0"/>
    <n v="7"/>
    <x v="1"/>
    <n v="1"/>
    <x v="1"/>
    <x v="2"/>
    <s v="6-10 Years"/>
    <s v="Low"/>
    <s v="Better"/>
  </r>
  <r>
    <x v="12"/>
    <s v="No"/>
    <s v="Travel_Rarely"/>
    <n v="1398"/>
    <x v="2"/>
    <n v="8"/>
    <n v="2"/>
    <s v="Medical"/>
    <n v="1"/>
    <n v="1461"/>
    <n v="4"/>
    <x v="0"/>
    <n v="96"/>
    <n v="4"/>
    <n v="1"/>
    <x v="8"/>
    <n v="2"/>
    <s v="Single"/>
    <n v="2109"/>
    <n v="24609"/>
    <n v="9"/>
    <s v="Y"/>
    <x v="1"/>
    <n v="18"/>
    <n v="3"/>
    <n v="4"/>
    <n v="80"/>
    <n v="0"/>
    <n v="8"/>
    <n v="3"/>
    <n v="3"/>
    <n v="3"/>
    <n v="2"/>
    <n v="0"/>
    <n v="2"/>
    <x v="1"/>
    <n v="1"/>
    <x v="2"/>
    <x v="1"/>
    <s v="2-5 Years"/>
    <s v="Medium"/>
    <s v="Better"/>
  </r>
  <r>
    <x v="12"/>
    <s v="Yes"/>
    <s v="Travel_Frequently"/>
    <n v="523"/>
    <x v="1"/>
    <n v="2"/>
    <n v="3"/>
    <s v="Life Sciences"/>
    <n v="1"/>
    <n v="1464"/>
    <n v="2"/>
    <x v="1"/>
    <n v="94"/>
    <n v="3"/>
    <n v="1"/>
    <x v="2"/>
    <n v="4"/>
    <s v="Married"/>
    <n v="3722"/>
    <n v="21081"/>
    <n v="6"/>
    <s v="Y"/>
    <x v="0"/>
    <n v="13"/>
    <n v="3"/>
    <n v="3"/>
    <n v="80"/>
    <n v="1"/>
    <n v="7"/>
    <n v="2"/>
    <n v="1"/>
    <n v="2"/>
    <n v="2"/>
    <n v="2"/>
    <n v="2"/>
    <x v="0"/>
    <n v="0"/>
    <x v="2"/>
    <x v="0"/>
    <s v="2-5 Years"/>
    <s v="Very High"/>
    <s v="Bad"/>
  </r>
  <r>
    <x v="28"/>
    <s v="No"/>
    <s v="Travel_Rarely"/>
    <n v="1448"/>
    <x v="1"/>
    <n v="29"/>
    <n v="3"/>
    <s v="Technical Degree"/>
    <n v="1"/>
    <n v="1465"/>
    <n v="2"/>
    <x v="1"/>
    <n v="55"/>
    <n v="3"/>
    <n v="3"/>
    <x v="3"/>
    <n v="4"/>
    <s v="Married"/>
    <n v="9380"/>
    <n v="14720"/>
    <n v="4"/>
    <s v="Y"/>
    <x v="0"/>
    <n v="18"/>
    <n v="3"/>
    <n v="4"/>
    <n v="80"/>
    <n v="2"/>
    <n v="10"/>
    <n v="4"/>
    <n v="4"/>
    <n v="3"/>
    <n v="1"/>
    <n v="1"/>
    <n v="2"/>
    <x v="1"/>
    <n v="1"/>
    <x v="1"/>
    <x v="2"/>
    <s v="2-5 Years"/>
    <s v="Very High"/>
    <s v="Best"/>
  </r>
  <r>
    <x v="26"/>
    <s v="No"/>
    <s v="Travel_Rarely"/>
    <n v="1221"/>
    <x v="0"/>
    <n v="7"/>
    <n v="3"/>
    <s v="Marketing"/>
    <n v="1"/>
    <n v="1466"/>
    <n v="3"/>
    <x v="1"/>
    <n v="96"/>
    <n v="3"/>
    <n v="2"/>
    <x v="0"/>
    <n v="1"/>
    <s v="Divorced"/>
    <n v="5486"/>
    <n v="24795"/>
    <n v="4"/>
    <s v="Y"/>
    <x v="1"/>
    <n v="11"/>
    <n v="3"/>
    <n v="1"/>
    <n v="80"/>
    <n v="3"/>
    <n v="15"/>
    <n v="3"/>
    <n v="3"/>
    <n v="2"/>
    <n v="2"/>
    <n v="2"/>
    <n v="2"/>
    <x v="1"/>
    <n v="1"/>
    <x v="1"/>
    <x v="0"/>
    <s v="2-5 Years"/>
    <s v="Low"/>
    <s v="Better"/>
  </r>
  <r>
    <x v="13"/>
    <s v="Yes"/>
    <s v="Travel_Rarely"/>
    <n v="1107"/>
    <x v="2"/>
    <n v="9"/>
    <n v="4"/>
    <s v="Technical Degree"/>
    <n v="1"/>
    <n v="1467"/>
    <n v="1"/>
    <x v="0"/>
    <n v="52"/>
    <n v="3"/>
    <n v="1"/>
    <x v="8"/>
    <n v="3"/>
    <s v="Married"/>
    <n v="2742"/>
    <n v="3072"/>
    <n v="1"/>
    <s v="Y"/>
    <x v="1"/>
    <n v="15"/>
    <n v="3"/>
    <n v="4"/>
    <n v="80"/>
    <n v="0"/>
    <n v="2"/>
    <n v="0"/>
    <n v="3"/>
    <n v="2"/>
    <n v="2"/>
    <n v="2"/>
    <n v="2"/>
    <x v="0"/>
    <n v="0"/>
    <x v="2"/>
    <x v="1"/>
    <s v="2-5 Years"/>
    <s v="High"/>
    <s v="Better"/>
  </r>
  <r>
    <x v="32"/>
    <s v="No"/>
    <s v="Non-Travel"/>
    <n v="218"/>
    <x v="1"/>
    <n v="8"/>
    <n v="1"/>
    <s v="Medical"/>
    <n v="1"/>
    <n v="1468"/>
    <n v="4"/>
    <x v="1"/>
    <n v="55"/>
    <n v="2"/>
    <n v="3"/>
    <x v="7"/>
    <n v="2"/>
    <s v="Divorced"/>
    <n v="13757"/>
    <n v="25178"/>
    <n v="2"/>
    <s v="Y"/>
    <x v="1"/>
    <n v="11"/>
    <n v="3"/>
    <n v="3"/>
    <n v="80"/>
    <n v="1"/>
    <n v="16"/>
    <n v="5"/>
    <n v="3"/>
    <n v="9"/>
    <n v="8"/>
    <n v="4"/>
    <n v="8"/>
    <x v="1"/>
    <n v="1"/>
    <x v="0"/>
    <x v="2"/>
    <s v="6-10 Years"/>
    <s v="Medium"/>
    <s v="Better"/>
  </r>
  <r>
    <x v="14"/>
    <s v="No"/>
    <s v="Travel_Rarely"/>
    <n v="866"/>
    <x v="0"/>
    <n v="5"/>
    <n v="3"/>
    <s v="Medical"/>
    <n v="1"/>
    <n v="1469"/>
    <n v="4"/>
    <x v="1"/>
    <n v="84"/>
    <n v="3"/>
    <n v="2"/>
    <x v="0"/>
    <n v="1"/>
    <s v="Single"/>
    <n v="8463"/>
    <n v="23490"/>
    <n v="0"/>
    <s v="Y"/>
    <x v="1"/>
    <n v="18"/>
    <n v="3"/>
    <n v="4"/>
    <n v="80"/>
    <n v="0"/>
    <n v="6"/>
    <n v="4"/>
    <n v="3"/>
    <n v="5"/>
    <n v="4"/>
    <n v="1"/>
    <n v="3"/>
    <x v="1"/>
    <n v="1"/>
    <x v="2"/>
    <x v="2"/>
    <s v="2-5 Years"/>
    <s v="Low"/>
    <s v="Better"/>
  </r>
  <r>
    <x v="20"/>
    <s v="No"/>
    <s v="Non-Travel"/>
    <n v="981"/>
    <x v="1"/>
    <n v="5"/>
    <n v="3"/>
    <s v="Life Sciences"/>
    <n v="1"/>
    <n v="1471"/>
    <n v="3"/>
    <x v="1"/>
    <n v="90"/>
    <n v="2"/>
    <n v="1"/>
    <x v="2"/>
    <n v="3"/>
    <s v="Single"/>
    <n v="3162"/>
    <n v="7973"/>
    <n v="3"/>
    <s v="Y"/>
    <x v="1"/>
    <n v="14"/>
    <n v="3"/>
    <n v="4"/>
    <n v="80"/>
    <n v="0"/>
    <n v="7"/>
    <n v="5"/>
    <n v="3"/>
    <n v="5"/>
    <n v="2"/>
    <n v="0"/>
    <n v="3"/>
    <x v="1"/>
    <n v="1"/>
    <x v="0"/>
    <x v="0"/>
    <s v="2-5 Years"/>
    <s v="High"/>
    <s v="Better"/>
  </r>
  <r>
    <x v="16"/>
    <s v="No"/>
    <s v="Travel_Rarely"/>
    <n v="447"/>
    <x v="1"/>
    <n v="2"/>
    <n v="3"/>
    <s v="Medical"/>
    <n v="1"/>
    <n v="1472"/>
    <n v="4"/>
    <x v="1"/>
    <n v="39"/>
    <n v="4"/>
    <n v="4"/>
    <x v="7"/>
    <n v="2"/>
    <s v="Single"/>
    <n v="16598"/>
    <n v="19764"/>
    <n v="4"/>
    <s v="Y"/>
    <x v="1"/>
    <n v="12"/>
    <n v="3"/>
    <n v="2"/>
    <n v="80"/>
    <n v="0"/>
    <n v="35"/>
    <n v="2"/>
    <n v="2"/>
    <n v="9"/>
    <n v="8"/>
    <n v="8"/>
    <n v="8"/>
    <x v="1"/>
    <n v="1"/>
    <x v="1"/>
    <x v="2"/>
    <s v="6-10 Years"/>
    <s v="Medium"/>
    <s v="Good"/>
  </r>
  <r>
    <x v="1"/>
    <s v="No"/>
    <s v="Travel_Rarely"/>
    <n v="1495"/>
    <x v="1"/>
    <n v="5"/>
    <n v="4"/>
    <s v="Technical Degree"/>
    <n v="1"/>
    <n v="1473"/>
    <n v="1"/>
    <x v="1"/>
    <n v="96"/>
    <n v="3"/>
    <n v="2"/>
    <x v="4"/>
    <n v="3"/>
    <s v="Married"/>
    <n v="6651"/>
    <n v="21534"/>
    <n v="2"/>
    <s v="Y"/>
    <x v="1"/>
    <n v="14"/>
    <n v="3"/>
    <n v="2"/>
    <n v="80"/>
    <n v="1"/>
    <n v="20"/>
    <n v="0"/>
    <n v="2"/>
    <n v="3"/>
    <n v="2"/>
    <n v="1"/>
    <n v="2"/>
    <x v="1"/>
    <n v="1"/>
    <x v="1"/>
    <x v="0"/>
    <s v="2-5 Years"/>
    <s v="High"/>
    <s v="Good"/>
  </r>
  <r>
    <x v="32"/>
    <s v="No"/>
    <s v="Travel_Rarely"/>
    <n v="896"/>
    <x v="1"/>
    <n v="2"/>
    <n v="3"/>
    <s v="Medical"/>
    <n v="1"/>
    <n v="1474"/>
    <n v="3"/>
    <x v="1"/>
    <n v="68"/>
    <n v="3"/>
    <n v="1"/>
    <x v="1"/>
    <n v="3"/>
    <s v="Divorced"/>
    <n v="2345"/>
    <n v="8045"/>
    <n v="2"/>
    <s v="Y"/>
    <x v="1"/>
    <n v="14"/>
    <n v="3"/>
    <n v="3"/>
    <n v="80"/>
    <n v="1"/>
    <n v="8"/>
    <n v="3"/>
    <n v="4"/>
    <n v="3"/>
    <n v="1"/>
    <n v="1"/>
    <n v="2"/>
    <x v="1"/>
    <n v="1"/>
    <x v="0"/>
    <x v="1"/>
    <s v="2-5 Years"/>
    <s v="High"/>
    <s v="Best"/>
  </r>
  <r>
    <x v="20"/>
    <s v="No"/>
    <s v="Travel_Rarely"/>
    <n v="1467"/>
    <x v="1"/>
    <n v="20"/>
    <n v="3"/>
    <s v="Life Sciences"/>
    <n v="1"/>
    <n v="1475"/>
    <n v="4"/>
    <x v="1"/>
    <n v="49"/>
    <n v="3"/>
    <n v="1"/>
    <x v="1"/>
    <n v="2"/>
    <s v="Single"/>
    <n v="3420"/>
    <n v="21158"/>
    <n v="1"/>
    <s v="Y"/>
    <x v="1"/>
    <n v="13"/>
    <n v="3"/>
    <n v="3"/>
    <n v="80"/>
    <n v="0"/>
    <n v="6"/>
    <n v="3"/>
    <n v="2"/>
    <n v="5"/>
    <n v="2"/>
    <n v="1"/>
    <n v="3"/>
    <x v="1"/>
    <n v="1"/>
    <x v="0"/>
    <x v="0"/>
    <s v="2-5 Years"/>
    <s v="Medium"/>
    <s v="Good"/>
  </r>
  <r>
    <x v="3"/>
    <s v="No"/>
    <s v="Travel_Frequently"/>
    <n v="430"/>
    <x v="0"/>
    <n v="7"/>
    <n v="3"/>
    <s v="Medical"/>
    <n v="1"/>
    <n v="1477"/>
    <n v="4"/>
    <x v="1"/>
    <n v="54"/>
    <n v="3"/>
    <n v="2"/>
    <x v="0"/>
    <n v="1"/>
    <s v="Married"/>
    <n v="4373"/>
    <n v="17456"/>
    <n v="0"/>
    <s v="Y"/>
    <x v="1"/>
    <n v="14"/>
    <n v="3"/>
    <n v="1"/>
    <n v="80"/>
    <n v="2"/>
    <n v="5"/>
    <n v="2"/>
    <n v="3"/>
    <n v="4"/>
    <n v="3"/>
    <n v="0"/>
    <n v="3"/>
    <x v="1"/>
    <n v="1"/>
    <x v="2"/>
    <x v="0"/>
    <s v="2-5 Years"/>
    <s v="Low"/>
    <s v="Better"/>
  </r>
  <r>
    <x v="13"/>
    <s v="No"/>
    <s v="Travel_Rarely"/>
    <n v="1326"/>
    <x v="0"/>
    <n v="3"/>
    <n v="3"/>
    <s v="Other"/>
    <n v="1"/>
    <n v="1478"/>
    <n v="4"/>
    <x v="1"/>
    <n v="81"/>
    <n v="1"/>
    <n v="2"/>
    <x v="0"/>
    <n v="1"/>
    <s v="Single"/>
    <n v="4759"/>
    <n v="15891"/>
    <n v="3"/>
    <s v="Y"/>
    <x v="1"/>
    <n v="18"/>
    <n v="3"/>
    <n v="4"/>
    <n v="80"/>
    <n v="0"/>
    <n v="15"/>
    <n v="2"/>
    <n v="3"/>
    <n v="13"/>
    <n v="9"/>
    <n v="3"/>
    <n v="12"/>
    <x v="1"/>
    <n v="1"/>
    <x v="2"/>
    <x v="0"/>
    <s v="10+ Years"/>
    <s v="Low"/>
    <s v="Better"/>
  </r>
  <r>
    <x v="7"/>
    <s v="No"/>
    <s v="Travel_Rarely"/>
    <n v="1358"/>
    <x v="0"/>
    <n v="16"/>
    <n v="1"/>
    <s v="Life Sciences"/>
    <n v="1"/>
    <n v="1479"/>
    <n v="4"/>
    <x v="1"/>
    <n v="96"/>
    <n v="3"/>
    <n v="2"/>
    <x v="0"/>
    <n v="3"/>
    <s v="Married"/>
    <n v="5301"/>
    <n v="2939"/>
    <n v="8"/>
    <s v="Y"/>
    <x v="1"/>
    <n v="15"/>
    <n v="3"/>
    <n v="3"/>
    <n v="80"/>
    <n v="2"/>
    <n v="4"/>
    <n v="2"/>
    <n v="2"/>
    <n v="2"/>
    <n v="1"/>
    <n v="2"/>
    <n v="2"/>
    <x v="1"/>
    <n v="1"/>
    <x v="2"/>
    <x v="0"/>
    <s v="2-5 Years"/>
    <s v="High"/>
    <s v="Good"/>
  </r>
  <r>
    <x v="19"/>
    <s v="No"/>
    <s v="Travel_Frequently"/>
    <n v="748"/>
    <x v="1"/>
    <n v="9"/>
    <n v="2"/>
    <s v="Medical"/>
    <n v="1"/>
    <n v="1480"/>
    <n v="1"/>
    <x v="0"/>
    <n v="74"/>
    <n v="3"/>
    <n v="1"/>
    <x v="2"/>
    <n v="4"/>
    <s v="Single"/>
    <n v="3673"/>
    <n v="16458"/>
    <n v="1"/>
    <s v="Y"/>
    <x v="1"/>
    <n v="13"/>
    <n v="3"/>
    <n v="3"/>
    <n v="80"/>
    <n v="0"/>
    <n v="12"/>
    <n v="3"/>
    <n v="3"/>
    <n v="12"/>
    <n v="9"/>
    <n v="5"/>
    <n v="8"/>
    <x v="1"/>
    <n v="1"/>
    <x v="0"/>
    <x v="0"/>
    <s v="10+ Years"/>
    <s v="Very High"/>
    <s v="Better"/>
  </r>
  <r>
    <x v="20"/>
    <s v="No"/>
    <s v="Travel_Frequently"/>
    <n v="383"/>
    <x v="0"/>
    <n v="1"/>
    <n v="5"/>
    <s v="Marketing"/>
    <n v="1"/>
    <n v="1481"/>
    <n v="1"/>
    <x v="0"/>
    <n v="79"/>
    <n v="3"/>
    <n v="2"/>
    <x v="0"/>
    <n v="3"/>
    <s v="Married"/>
    <n v="4768"/>
    <n v="9282"/>
    <n v="7"/>
    <s v="Y"/>
    <x v="1"/>
    <n v="12"/>
    <n v="3"/>
    <n v="3"/>
    <n v="80"/>
    <n v="1"/>
    <n v="11"/>
    <n v="4"/>
    <n v="2"/>
    <n v="1"/>
    <n v="0"/>
    <n v="0"/>
    <n v="0"/>
    <x v="1"/>
    <n v="1"/>
    <x v="0"/>
    <x v="0"/>
    <s v="0-1 Years"/>
    <s v="High"/>
    <s v="Good"/>
  </r>
  <r>
    <x v="7"/>
    <s v="No"/>
    <s v="Non-Travel"/>
    <n v="990"/>
    <x v="1"/>
    <n v="7"/>
    <n v="3"/>
    <s v="Technical Degree"/>
    <n v="1"/>
    <n v="1482"/>
    <n v="3"/>
    <x v="1"/>
    <n v="64"/>
    <n v="3"/>
    <n v="1"/>
    <x v="1"/>
    <n v="3"/>
    <s v="Divorced"/>
    <n v="1274"/>
    <n v="7152"/>
    <n v="1"/>
    <s v="Y"/>
    <x v="1"/>
    <n v="13"/>
    <n v="3"/>
    <n v="2"/>
    <n v="80"/>
    <n v="2"/>
    <n v="1"/>
    <n v="2"/>
    <n v="2"/>
    <n v="1"/>
    <n v="0"/>
    <n v="0"/>
    <n v="0"/>
    <x v="1"/>
    <n v="1"/>
    <x v="2"/>
    <x v="1"/>
    <s v="0-1 Years"/>
    <s v="High"/>
    <s v="Good"/>
  </r>
  <r>
    <x v="38"/>
    <s v="No"/>
    <s v="Travel_Rarely"/>
    <n v="405"/>
    <x v="1"/>
    <n v="1"/>
    <n v="2"/>
    <s v="Life Sciences"/>
    <n v="1"/>
    <n v="1483"/>
    <n v="2"/>
    <x v="1"/>
    <n v="93"/>
    <n v="4"/>
    <n v="2"/>
    <x v="1"/>
    <n v="3"/>
    <s v="Married"/>
    <n v="4900"/>
    <n v="2721"/>
    <n v="0"/>
    <s v="Y"/>
    <x v="1"/>
    <n v="24"/>
    <n v="4"/>
    <n v="1"/>
    <n v="80"/>
    <n v="1"/>
    <n v="13"/>
    <n v="2"/>
    <n v="2"/>
    <n v="12"/>
    <n v="9"/>
    <n v="2"/>
    <n v="8"/>
    <x v="1"/>
    <n v="1"/>
    <x v="3"/>
    <x v="0"/>
    <s v="10+ Years"/>
    <s v="High"/>
    <s v="Good"/>
  </r>
  <r>
    <x v="1"/>
    <s v="No"/>
    <s v="Travel_Rarely"/>
    <n v="1490"/>
    <x v="1"/>
    <n v="7"/>
    <n v="4"/>
    <s v="Life Sciences"/>
    <n v="1"/>
    <n v="1484"/>
    <n v="3"/>
    <x v="1"/>
    <n v="35"/>
    <n v="3"/>
    <n v="3"/>
    <x v="4"/>
    <n v="2"/>
    <s v="Divorced"/>
    <n v="10466"/>
    <n v="20948"/>
    <n v="3"/>
    <s v="Y"/>
    <x v="1"/>
    <n v="14"/>
    <n v="3"/>
    <n v="2"/>
    <n v="80"/>
    <n v="2"/>
    <n v="29"/>
    <n v="3"/>
    <n v="3"/>
    <n v="8"/>
    <n v="7"/>
    <n v="0"/>
    <n v="7"/>
    <x v="1"/>
    <n v="1"/>
    <x v="1"/>
    <x v="2"/>
    <s v="6-10 Years"/>
    <s v="Medium"/>
    <s v="Better"/>
  </r>
  <r>
    <x v="13"/>
    <s v="No"/>
    <s v="Travel_Frequently"/>
    <n v="829"/>
    <x v="1"/>
    <n v="15"/>
    <n v="3"/>
    <s v="Medical"/>
    <n v="1"/>
    <n v="1485"/>
    <n v="2"/>
    <x v="1"/>
    <n v="71"/>
    <n v="3"/>
    <n v="4"/>
    <x v="7"/>
    <n v="1"/>
    <s v="Divorced"/>
    <n v="17007"/>
    <n v="11929"/>
    <n v="7"/>
    <s v="Y"/>
    <x v="1"/>
    <n v="14"/>
    <n v="3"/>
    <n v="4"/>
    <n v="80"/>
    <n v="2"/>
    <n v="16"/>
    <n v="3"/>
    <n v="2"/>
    <n v="14"/>
    <n v="8"/>
    <n v="6"/>
    <n v="9"/>
    <x v="1"/>
    <n v="1"/>
    <x v="2"/>
    <x v="2"/>
    <s v="10+ Years"/>
    <s v="Low"/>
    <s v="Good"/>
  </r>
  <r>
    <x v="14"/>
    <s v="Yes"/>
    <s v="Travel_Frequently"/>
    <n v="1496"/>
    <x v="0"/>
    <n v="1"/>
    <n v="3"/>
    <s v="Technical Degree"/>
    <n v="1"/>
    <n v="1486"/>
    <n v="1"/>
    <x v="1"/>
    <n v="92"/>
    <n v="3"/>
    <n v="1"/>
    <x v="6"/>
    <n v="3"/>
    <s v="Married"/>
    <n v="2909"/>
    <n v="15747"/>
    <n v="3"/>
    <s v="Y"/>
    <x v="1"/>
    <n v="15"/>
    <n v="3"/>
    <n v="4"/>
    <n v="80"/>
    <n v="1"/>
    <n v="5"/>
    <n v="3"/>
    <n v="4"/>
    <n v="3"/>
    <n v="2"/>
    <n v="1"/>
    <n v="2"/>
    <x v="0"/>
    <n v="0"/>
    <x v="2"/>
    <x v="1"/>
    <s v="2-5 Years"/>
    <s v="High"/>
    <s v="Best"/>
  </r>
  <r>
    <x v="11"/>
    <s v="Yes"/>
    <s v="Travel_Frequently"/>
    <n v="115"/>
    <x v="0"/>
    <n v="13"/>
    <n v="3"/>
    <s v="Technical Degree"/>
    <n v="1"/>
    <n v="1487"/>
    <n v="1"/>
    <x v="0"/>
    <n v="51"/>
    <n v="3"/>
    <n v="2"/>
    <x v="0"/>
    <n v="2"/>
    <s v="Single"/>
    <n v="5765"/>
    <n v="17485"/>
    <n v="5"/>
    <s v="Y"/>
    <x v="1"/>
    <n v="11"/>
    <n v="3"/>
    <n v="1"/>
    <n v="80"/>
    <n v="0"/>
    <n v="7"/>
    <n v="4"/>
    <n v="1"/>
    <n v="5"/>
    <n v="3"/>
    <n v="0"/>
    <n v="0"/>
    <x v="0"/>
    <n v="0"/>
    <x v="2"/>
    <x v="0"/>
    <s v="2-5 Years"/>
    <s v="Medium"/>
    <s v="Bad"/>
  </r>
  <r>
    <x v="13"/>
    <s v="Yes"/>
    <s v="Travel_Rarely"/>
    <n v="790"/>
    <x v="0"/>
    <n v="24"/>
    <n v="4"/>
    <s v="Medical"/>
    <n v="1"/>
    <n v="1489"/>
    <n v="1"/>
    <x v="0"/>
    <n v="40"/>
    <n v="2"/>
    <n v="2"/>
    <x v="0"/>
    <n v="2"/>
    <s v="Single"/>
    <n v="4599"/>
    <n v="7815"/>
    <n v="0"/>
    <s v="Y"/>
    <x v="0"/>
    <n v="23"/>
    <n v="4"/>
    <n v="3"/>
    <n v="80"/>
    <n v="0"/>
    <n v="16"/>
    <n v="2"/>
    <n v="4"/>
    <n v="15"/>
    <n v="9"/>
    <n v="10"/>
    <n v="10"/>
    <x v="0"/>
    <n v="0"/>
    <x v="2"/>
    <x v="0"/>
    <s v="10+ Years"/>
    <s v="Medium"/>
    <s v="Best"/>
  </r>
  <r>
    <x v="10"/>
    <s v="No"/>
    <s v="Travel_Rarely"/>
    <n v="660"/>
    <x v="0"/>
    <n v="7"/>
    <n v="1"/>
    <s v="Life Sciences"/>
    <n v="1"/>
    <n v="1492"/>
    <n v="4"/>
    <x v="1"/>
    <n v="76"/>
    <n v="3"/>
    <n v="1"/>
    <x v="6"/>
    <n v="3"/>
    <s v="Married"/>
    <n v="2404"/>
    <n v="16192"/>
    <n v="1"/>
    <s v="Y"/>
    <x v="1"/>
    <n v="13"/>
    <n v="3"/>
    <n v="1"/>
    <n v="80"/>
    <n v="1"/>
    <n v="1"/>
    <n v="3"/>
    <n v="3"/>
    <n v="1"/>
    <n v="0"/>
    <n v="0"/>
    <n v="0"/>
    <x v="1"/>
    <n v="1"/>
    <x v="0"/>
    <x v="1"/>
    <s v="0-1 Years"/>
    <s v="High"/>
    <s v="Better"/>
  </r>
  <r>
    <x v="17"/>
    <s v="Yes"/>
    <s v="Travel_Frequently"/>
    <n v="381"/>
    <x v="1"/>
    <n v="9"/>
    <n v="3"/>
    <s v="Medical"/>
    <n v="1"/>
    <n v="1494"/>
    <n v="2"/>
    <x v="1"/>
    <n v="89"/>
    <n v="3"/>
    <n v="1"/>
    <x v="2"/>
    <n v="1"/>
    <s v="Single"/>
    <n v="3172"/>
    <n v="16998"/>
    <n v="2"/>
    <s v="Y"/>
    <x v="0"/>
    <n v="11"/>
    <n v="3"/>
    <n v="3"/>
    <n v="80"/>
    <n v="0"/>
    <n v="4"/>
    <n v="2"/>
    <n v="2"/>
    <n v="0"/>
    <n v="0"/>
    <n v="0"/>
    <n v="0"/>
    <x v="0"/>
    <n v="0"/>
    <x v="4"/>
    <x v="0"/>
    <s v="0-1 Years"/>
    <s v="Low"/>
    <s v="Good"/>
  </r>
  <r>
    <x v="17"/>
    <s v="No"/>
    <s v="Non-Travel"/>
    <n v="830"/>
    <x v="0"/>
    <n v="13"/>
    <n v="2"/>
    <s v="Life Sciences"/>
    <n v="1"/>
    <n v="1495"/>
    <n v="4"/>
    <x v="0"/>
    <n v="78"/>
    <n v="3"/>
    <n v="1"/>
    <x v="6"/>
    <n v="2"/>
    <s v="Married"/>
    <n v="2033"/>
    <n v="7103"/>
    <n v="1"/>
    <s v="Y"/>
    <x v="1"/>
    <n v="13"/>
    <n v="3"/>
    <n v="3"/>
    <n v="80"/>
    <n v="1"/>
    <n v="1"/>
    <n v="2"/>
    <n v="3"/>
    <n v="1"/>
    <n v="0"/>
    <n v="0"/>
    <n v="0"/>
    <x v="1"/>
    <n v="1"/>
    <x v="4"/>
    <x v="1"/>
    <s v="0-1 Years"/>
    <s v="Medium"/>
    <s v="Better"/>
  </r>
  <r>
    <x v="20"/>
    <s v="No"/>
    <s v="Travel_Frequently"/>
    <n v="1193"/>
    <x v="1"/>
    <n v="2"/>
    <n v="1"/>
    <s v="Medical"/>
    <n v="1"/>
    <n v="1496"/>
    <n v="2"/>
    <x v="1"/>
    <n v="86"/>
    <n v="3"/>
    <n v="3"/>
    <x v="3"/>
    <n v="3"/>
    <s v="Single"/>
    <n v="10209"/>
    <n v="19719"/>
    <n v="5"/>
    <s v="Y"/>
    <x v="0"/>
    <n v="18"/>
    <n v="3"/>
    <n v="2"/>
    <n v="80"/>
    <n v="0"/>
    <n v="16"/>
    <n v="2"/>
    <n v="2"/>
    <n v="2"/>
    <n v="2"/>
    <n v="2"/>
    <n v="2"/>
    <x v="1"/>
    <n v="1"/>
    <x v="0"/>
    <x v="2"/>
    <s v="2-5 Years"/>
    <s v="High"/>
    <s v="Good"/>
  </r>
  <r>
    <x v="11"/>
    <s v="No"/>
    <s v="Travel_Rarely"/>
    <n v="1246"/>
    <x v="0"/>
    <n v="19"/>
    <n v="3"/>
    <s v="Life Sciences"/>
    <n v="1"/>
    <n v="1497"/>
    <n v="3"/>
    <x v="1"/>
    <n v="77"/>
    <n v="2"/>
    <n v="2"/>
    <x v="0"/>
    <n v="3"/>
    <s v="Divorced"/>
    <n v="8620"/>
    <n v="23757"/>
    <n v="1"/>
    <s v="Y"/>
    <x v="1"/>
    <n v="14"/>
    <n v="3"/>
    <n v="3"/>
    <n v="80"/>
    <n v="2"/>
    <n v="10"/>
    <n v="3"/>
    <n v="3"/>
    <n v="10"/>
    <n v="7"/>
    <n v="0"/>
    <n v="4"/>
    <x v="1"/>
    <n v="1"/>
    <x v="2"/>
    <x v="2"/>
    <s v="6-10 Years"/>
    <s v="High"/>
    <s v="Better"/>
  </r>
  <r>
    <x v="7"/>
    <s v="No"/>
    <s v="Travel_Rarely"/>
    <n v="330"/>
    <x v="2"/>
    <n v="1"/>
    <n v="3"/>
    <s v="Life Sciences"/>
    <n v="1"/>
    <n v="1499"/>
    <n v="3"/>
    <x v="1"/>
    <n v="46"/>
    <n v="3"/>
    <n v="1"/>
    <x v="8"/>
    <n v="3"/>
    <s v="Divorced"/>
    <n v="2064"/>
    <n v="15428"/>
    <n v="0"/>
    <s v="Y"/>
    <x v="1"/>
    <n v="21"/>
    <n v="4"/>
    <n v="1"/>
    <n v="80"/>
    <n v="1"/>
    <n v="6"/>
    <n v="3"/>
    <n v="4"/>
    <n v="5"/>
    <n v="3"/>
    <n v="1"/>
    <n v="3"/>
    <x v="1"/>
    <n v="1"/>
    <x v="2"/>
    <x v="1"/>
    <s v="2-5 Years"/>
    <s v="High"/>
    <s v="Best"/>
  </r>
  <r>
    <x v="27"/>
    <s v="No"/>
    <s v="Travel_Rarely"/>
    <n v="1229"/>
    <x v="1"/>
    <n v="4"/>
    <n v="4"/>
    <s v="Life Sciences"/>
    <n v="1"/>
    <n v="1501"/>
    <n v="4"/>
    <x v="1"/>
    <n v="30"/>
    <n v="3"/>
    <n v="2"/>
    <x v="4"/>
    <n v="3"/>
    <s v="Married"/>
    <n v="4035"/>
    <n v="16143"/>
    <n v="0"/>
    <s v="Y"/>
    <x v="0"/>
    <n v="16"/>
    <n v="3"/>
    <n v="2"/>
    <n v="80"/>
    <n v="0"/>
    <n v="4"/>
    <n v="2"/>
    <n v="3"/>
    <n v="3"/>
    <n v="2"/>
    <n v="1"/>
    <n v="2"/>
    <x v="1"/>
    <n v="1"/>
    <x v="3"/>
    <x v="0"/>
    <s v="2-5 Years"/>
    <s v="High"/>
    <s v="Better"/>
  </r>
  <r>
    <x v="3"/>
    <s v="No"/>
    <s v="Travel_Rarely"/>
    <n v="1099"/>
    <x v="1"/>
    <n v="4"/>
    <n v="4"/>
    <s v="Medical"/>
    <n v="1"/>
    <n v="1502"/>
    <n v="1"/>
    <x v="0"/>
    <n v="82"/>
    <n v="2"/>
    <n v="1"/>
    <x v="2"/>
    <n v="2"/>
    <s v="Married"/>
    <n v="3838"/>
    <n v="8192"/>
    <n v="8"/>
    <s v="Y"/>
    <x v="1"/>
    <n v="11"/>
    <n v="3"/>
    <n v="4"/>
    <n v="80"/>
    <n v="0"/>
    <n v="8"/>
    <n v="5"/>
    <n v="3"/>
    <n v="5"/>
    <n v="4"/>
    <n v="0"/>
    <n v="2"/>
    <x v="1"/>
    <n v="1"/>
    <x v="2"/>
    <x v="0"/>
    <s v="2-5 Years"/>
    <s v="Medium"/>
    <s v="Better"/>
  </r>
  <r>
    <x v="40"/>
    <s v="No"/>
    <s v="Travel_Rarely"/>
    <n v="571"/>
    <x v="0"/>
    <n v="14"/>
    <n v="3"/>
    <s v="Medical"/>
    <n v="1"/>
    <n v="1503"/>
    <n v="3"/>
    <x v="0"/>
    <n v="78"/>
    <n v="3"/>
    <n v="2"/>
    <x v="0"/>
    <n v="3"/>
    <s v="Married"/>
    <n v="4591"/>
    <n v="24200"/>
    <n v="3"/>
    <s v="Y"/>
    <x v="0"/>
    <n v="17"/>
    <n v="3"/>
    <n v="3"/>
    <n v="80"/>
    <n v="1"/>
    <n v="11"/>
    <n v="4"/>
    <n v="2"/>
    <n v="5"/>
    <n v="4"/>
    <n v="1"/>
    <n v="2"/>
    <x v="1"/>
    <n v="1"/>
    <x v="1"/>
    <x v="0"/>
    <s v="2-5 Years"/>
    <s v="High"/>
    <s v="Good"/>
  </r>
  <r>
    <x v="14"/>
    <s v="Yes"/>
    <s v="Travel_Frequently"/>
    <n v="289"/>
    <x v="1"/>
    <n v="2"/>
    <n v="2"/>
    <s v="Medical"/>
    <n v="1"/>
    <n v="1504"/>
    <n v="3"/>
    <x v="1"/>
    <n v="38"/>
    <n v="2"/>
    <n v="1"/>
    <x v="2"/>
    <n v="1"/>
    <s v="Single"/>
    <n v="2561"/>
    <n v="5355"/>
    <n v="7"/>
    <s v="Y"/>
    <x v="1"/>
    <n v="11"/>
    <n v="3"/>
    <n v="3"/>
    <n v="80"/>
    <n v="0"/>
    <n v="8"/>
    <n v="2"/>
    <n v="2"/>
    <n v="0"/>
    <n v="0"/>
    <n v="0"/>
    <n v="0"/>
    <x v="0"/>
    <n v="0"/>
    <x v="2"/>
    <x v="1"/>
    <s v="0-1 Years"/>
    <s v="Low"/>
    <s v="Good"/>
  </r>
  <r>
    <x v="14"/>
    <s v="No"/>
    <s v="Travel_Rarely"/>
    <n v="1423"/>
    <x v="1"/>
    <n v="1"/>
    <n v="3"/>
    <s v="Life Sciences"/>
    <n v="1"/>
    <n v="1506"/>
    <n v="1"/>
    <x v="1"/>
    <n v="72"/>
    <n v="2"/>
    <n v="1"/>
    <x v="1"/>
    <n v="3"/>
    <s v="Divorced"/>
    <n v="1563"/>
    <n v="12530"/>
    <n v="1"/>
    <s v="Y"/>
    <x v="1"/>
    <n v="14"/>
    <n v="3"/>
    <n v="4"/>
    <n v="80"/>
    <n v="1"/>
    <n v="1"/>
    <n v="2"/>
    <n v="1"/>
    <n v="1"/>
    <n v="0"/>
    <n v="0"/>
    <n v="0"/>
    <x v="1"/>
    <n v="1"/>
    <x v="2"/>
    <x v="1"/>
    <s v="0-1 Years"/>
    <s v="High"/>
    <s v="Bad"/>
  </r>
  <r>
    <x v="14"/>
    <s v="No"/>
    <s v="Travel_Frequently"/>
    <n v="467"/>
    <x v="0"/>
    <n v="7"/>
    <n v="3"/>
    <s v="Life Sciences"/>
    <n v="1"/>
    <n v="1507"/>
    <n v="3"/>
    <x v="1"/>
    <n v="55"/>
    <n v="3"/>
    <n v="2"/>
    <x v="0"/>
    <n v="1"/>
    <s v="Single"/>
    <n v="4898"/>
    <n v="11827"/>
    <n v="0"/>
    <s v="Y"/>
    <x v="1"/>
    <n v="14"/>
    <n v="3"/>
    <n v="4"/>
    <n v="80"/>
    <n v="0"/>
    <n v="5"/>
    <n v="5"/>
    <n v="3"/>
    <n v="4"/>
    <n v="2"/>
    <n v="1"/>
    <n v="3"/>
    <x v="1"/>
    <n v="1"/>
    <x v="2"/>
    <x v="0"/>
    <s v="2-5 Years"/>
    <s v="Low"/>
    <s v="Better"/>
  </r>
  <r>
    <x v="1"/>
    <s v="No"/>
    <s v="Travel_Rarely"/>
    <n v="271"/>
    <x v="1"/>
    <n v="3"/>
    <n v="2"/>
    <s v="Medical"/>
    <n v="1"/>
    <n v="1509"/>
    <n v="3"/>
    <x v="0"/>
    <n v="43"/>
    <n v="2"/>
    <n v="2"/>
    <x v="2"/>
    <n v="1"/>
    <s v="Married"/>
    <n v="4789"/>
    <n v="23070"/>
    <n v="4"/>
    <s v="Y"/>
    <x v="1"/>
    <n v="25"/>
    <n v="4"/>
    <n v="1"/>
    <n v="80"/>
    <n v="1"/>
    <n v="10"/>
    <n v="3"/>
    <n v="3"/>
    <n v="3"/>
    <n v="2"/>
    <n v="1"/>
    <n v="2"/>
    <x v="1"/>
    <n v="1"/>
    <x v="1"/>
    <x v="0"/>
    <s v="2-5 Years"/>
    <s v="Low"/>
    <s v="Better"/>
  </r>
  <r>
    <x v="11"/>
    <s v="No"/>
    <s v="Travel_Frequently"/>
    <n v="410"/>
    <x v="1"/>
    <n v="2"/>
    <n v="1"/>
    <s v="Life Sciences"/>
    <n v="1"/>
    <n v="1513"/>
    <n v="4"/>
    <x v="0"/>
    <n v="97"/>
    <n v="3"/>
    <n v="1"/>
    <x v="2"/>
    <n v="2"/>
    <s v="Married"/>
    <n v="3180"/>
    <n v="4668"/>
    <n v="0"/>
    <s v="Y"/>
    <x v="1"/>
    <n v="13"/>
    <n v="3"/>
    <n v="3"/>
    <n v="80"/>
    <n v="3"/>
    <n v="4"/>
    <n v="3"/>
    <n v="3"/>
    <n v="3"/>
    <n v="2"/>
    <n v="0"/>
    <n v="2"/>
    <x v="1"/>
    <n v="1"/>
    <x v="2"/>
    <x v="0"/>
    <s v="2-5 Years"/>
    <s v="Medium"/>
    <s v="Better"/>
  </r>
  <r>
    <x v="14"/>
    <s v="No"/>
    <s v="Travel_Rarely"/>
    <n v="1083"/>
    <x v="1"/>
    <n v="29"/>
    <n v="1"/>
    <s v="Life Sciences"/>
    <n v="1"/>
    <n v="1514"/>
    <n v="3"/>
    <x v="1"/>
    <n v="96"/>
    <n v="1"/>
    <n v="2"/>
    <x v="3"/>
    <n v="2"/>
    <s v="Married"/>
    <n v="6549"/>
    <n v="3173"/>
    <n v="1"/>
    <s v="Y"/>
    <x v="1"/>
    <n v="14"/>
    <n v="3"/>
    <n v="2"/>
    <n v="80"/>
    <n v="2"/>
    <n v="8"/>
    <n v="2"/>
    <n v="2"/>
    <n v="8"/>
    <n v="6"/>
    <n v="1"/>
    <n v="7"/>
    <x v="1"/>
    <n v="1"/>
    <x v="2"/>
    <x v="0"/>
    <s v="6-10 Years"/>
    <s v="Medium"/>
    <s v="Good"/>
  </r>
  <r>
    <x v="3"/>
    <s v="No"/>
    <s v="Travel_Rarely"/>
    <n v="516"/>
    <x v="1"/>
    <n v="8"/>
    <n v="5"/>
    <s v="Life Sciences"/>
    <n v="1"/>
    <n v="1515"/>
    <n v="4"/>
    <x v="1"/>
    <n v="69"/>
    <n v="3"/>
    <n v="2"/>
    <x v="4"/>
    <n v="3"/>
    <s v="Single"/>
    <n v="6388"/>
    <n v="22049"/>
    <n v="2"/>
    <s v="Y"/>
    <x v="0"/>
    <n v="17"/>
    <n v="3"/>
    <n v="1"/>
    <n v="80"/>
    <n v="0"/>
    <n v="14"/>
    <n v="6"/>
    <n v="3"/>
    <n v="0"/>
    <n v="0"/>
    <n v="0"/>
    <n v="0"/>
    <x v="1"/>
    <n v="1"/>
    <x v="2"/>
    <x v="0"/>
    <s v="0-1 Years"/>
    <s v="High"/>
    <s v="Better"/>
  </r>
  <r>
    <x v="5"/>
    <s v="No"/>
    <s v="Travel_Rarely"/>
    <n v="495"/>
    <x v="1"/>
    <n v="10"/>
    <n v="3"/>
    <s v="Medical"/>
    <n v="1"/>
    <n v="1516"/>
    <n v="3"/>
    <x v="1"/>
    <n v="64"/>
    <n v="3"/>
    <n v="3"/>
    <x v="5"/>
    <n v="4"/>
    <s v="Single"/>
    <n v="11244"/>
    <n v="21072"/>
    <n v="2"/>
    <s v="Y"/>
    <x v="1"/>
    <n v="25"/>
    <n v="4"/>
    <n v="2"/>
    <n v="80"/>
    <n v="0"/>
    <n v="10"/>
    <n v="5"/>
    <n v="4"/>
    <n v="5"/>
    <n v="2"/>
    <n v="0"/>
    <n v="0"/>
    <x v="1"/>
    <n v="1"/>
    <x v="2"/>
    <x v="2"/>
    <s v="2-5 Years"/>
    <s v="Very High"/>
    <s v="Best"/>
  </r>
  <r>
    <x v="33"/>
    <s v="No"/>
    <s v="Travel_Frequently"/>
    <n v="1050"/>
    <x v="1"/>
    <n v="11"/>
    <n v="4"/>
    <s v="Medical"/>
    <n v="1"/>
    <n v="1520"/>
    <n v="2"/>
    <x v="0"/>
    <n v="87"/>
    <n v="3"/>
    <n v="4"/>
    <x v="5"/>
    <n v="4"/>
    <s v="Divorced"/>
    <n v="16032"/>
    <n v="24456"/>
    <n v="3"/>
    <s v="Y"/>
    <x v="1"/>
    <n v="20"/>
    <n v="4"/>
    <n v="1"/>
    <n v="80"/>
    <n v="1"/>
    <n v="26"/>
    <n v="2"/>
    <n v="3"/>
    <n v="14"/>
    <n v="9"/>
    <n v="1"/>
    <n v="12"/>
    <x v="1"/>
    <n v="1"/>
    <x v="1"/>
    <x v="2"/>
    <s v="10+ Years"/>
    <s v="Very High"/>
    <s v="Better"/>
  </r>
  <r>
    <x v="11"/>
    <s v="Yes"/>
    <s v="Travel_Rarely"/>
    <n v="224"/>
    <x v="1"/>
    <n v="1"/>
    <n v="4"/>
    <s v="Technical Degree"/>
    <n v="1"/>
    <n v="1522"/>
    <n v="1"/>
    <x v="1"/>
    <n v="100"/>
    <n v="2"/>
    <n v="1"/>
    <x v="1"/>
    <n v="1"/>
    <s v="Single"/>
    <n v="2362"/>
    <n v="7568"/>
    <n v="6"/>
    <s v="Y"/>
    <x v="1"/>
    <n v="13"/>
    <n v="3"/>
    <n v="3"/>
    <n v="80"/>
    <n v="0"/>
    <n v="11"/>
    <n v="2"/>
    <n v="1"/>
    <n v="9"/>
    <n v="7"/>
    <n v="0"/>
    <n v="7"/>
    <x v="0"/>
    <n v="0"/>
    <x v="2"/>
    <x v="1"/>
    <s v="6-10 Years"/>
    <s v="Low"/>
    <s v="Bad"/>
  </r>
  <r>
    <x v="20"/>
    <s v="No"/>
    <s v="Travel_Rarely"/>
    <n v="136"/>
    <x v="1"/>
    <n v="28"/>
    <n v="3"/>
    <s v="Life Sciences"/>
    <n v="1"/>
    <n v="1523"/>
    <n v="4"/>
    <x v="1"/>
    <n v="32"/>
    <n v="3"/>
    <n v="4"/>
    <x v="7"/>
    <n v="1"/>
    <s v="Married"/>
    <n v="16328"/>
    <n v="22074"/>
    <n v="3"/>
    <s v="Y"/>
    <x v="1"/>
    <n v="13"/>
    <n v="3"/>
    <n v="3"/>
    <n v="80"/>
    <n v="1"/>
    <n v="24"/>
    <n v="1"/>
    <n v="4"/>
    <n v="20"/>
    <n v="6"/>
    <n v="14"/>
    <n v="17"/>
    <x v="1"/>
    <n v="1"/>
    <x v="0"/>
    <x v="2"/>
    <s v="10+ Years"/>
    <s v="Low"/>
    <s v="Best"/>
  </r>
  <r>
    <x v="22"/>
    <s v="No"/>
    <s v="Travel_Rarely"/>
    <n v="1089"/>
    <x v="1"/>
    <n v="6"/>
    <n v="3"/>
    <s v="Life Sciences"/>
    <n v="1"/>
    <n v="1525"/>
    <n v="2"/>
    <x v="0"/>
    <n v="32"/>
    <n v="3"/>
    <n v="3"/>
    <x v="3"/>
    <n v="2"/>
    <s v="Single"/>
    <n v="8376"/>
    <n v="9150"/>
    <n v="4"/>
    <s v="Y"/>
    <x v="1"/>
    <n v="18"/>
    <n v="3"/>
    <n v="4"/>
    <n v="80"/>
    <n v="0"/>
    <n v="9"/>
    <n v="3"/>
    <n v="3"/>
    <n v="2"/>
    <n v="0"/>
    <n v="2"/>
    <n v="2"/>
    <x v="1"/>
    <n v="1"/>
    <x v="0"/>
    <x v="2"/>
    <s v="2-5 Years"/>
    <s v="Medium"/>
    <s v="Better"/>
  </r>
  <r>
    <x v="21"/>
    <s v="No"/>
    <s v="Travel_Rarely"/>
    <n v="228"/>
    <x v="0"/>
    <n v="3"/>
    <n v="3"/>
    <s v="Life Sciences"/>
    <n v="1"/>
    <n v="1527"/>
    <n v="3"/>
    <x v="0"/>
    <n v="51"/>
    <n v="3"/>
    <n v="4"/>
    <x v="5"/>
    <n v="2"/>
    <s v="Married"/>
    <n v="16606"/>
    <n v="11380"/>
    <n v="8"/>
    <s v="Y"/>
    <x v="1"/>
    <n v="12"/>
    <n v="3"/>
    <n v="4"/>
    <n v="80"/>
    <n v="1"/>
    <n v="23"/>
    <n v="2"/>
    <n v="4"/>
    <n v="13"/>
    <n v="12"/>
    <n v="5"/>
    <n v="1"/>
    <x v="1"/>
    <n v="1"/>
    <x v="1"/>
    <x v="2"/>
    <s v="10+ Years"/>
    <s v="Medium"/>
    <s v="Best"/>
  </r>
  <r>
    <x v="10"/>
    <s v="No"/>
    <s v="Travel_Rarely"/>
    <n v="1029"/>
    <x v="1"/>
    <n v="16"/>
    <n v="3"/>
    <s v="Life Sciences"/>
    <n v="1"/>
    <n v="1529"/>
    <n v="4"/>
    <x v="0"/>
    <n v="91"/>
    <n v="2"/>
    <n v="3"/>
    <x v="4"/>
    <n v="2"/>
    <s v="Single"/>
    <n v="8606"/>
    <n v="21195"/>
    <n v="1"/>
    <s v="Y"/>
    <x v="1"/>
    <n v="19"/>
    <n v="3"/>
    <n v="4"/>
    <n v="80"/>
    <n v="0"/>
    <n v="11"/>
    <n v="3"/>
    <n v="1"/>
    <n v="11"/>
    <n v="8"/>
    <n v="3"/>
    <n v="3"/>
    <x v="1"/>
    <n v="1"/>
    <x v="0"/>
    <x v="2"/>
    <s v="10+ Years"/>
    <s v="Medium"/>
    <s v="Bad"/>
  </r>
  <r>
    <x v="30"/>
    <s v="No"/>
    <s v="Travel_Rarely"/>
    <n v="507"/>
    <x v="1"/>
    <n v="20"/>
    <n v="1"/>
    <s v="Life Sciences"/>
    <n v="1"/>
    <n v="1533"/>
    <n v="1"/>
    <x v="1"/>
    <n v="97"/>
    <n v="3"/>
    <n v="2"/>
    <x v="2"/>
    <n v="3"/>
    <s v="Single"/>
    <n v="2272"/>
    <n v="24812"/>
    <n v="0"/>
    <s v="Y"/>
    <x v="1"/>
    <n v="14"/>
    <n v="3"/>
    <n v="2"/>
    <n v="80"/>
    <n v="0"/>
    <n v="5"/>
    <n v="2"/>
    <n v="3"/>
    <n v="4"/>
    <n v="3"/>
    <n v="1"/>
    <n v="2"/>
    <x v="1"/>
    <n v="1"/>
    <x v="4"/>
    <x v="1"/>
    <s v="2-5 Years"/>
    <s v="High"/>
    <s v="Better"/>
  </r>
  <r>
    <x v="32"/>
    <s v="Yes"/>
    <s v="Travel_Rarely"/>
    <n v="676"/>
    <x v="1"/>
    <n v="9"/>
    <n v="4"/>
    <s v="Life Sciences"/>
    <n v="1"/>
    <n v="1534"/>
    <n v="4"/>
    <x v="1"/>
    <n v="86"/>
    <n v="3"/>
    <n v="1"/>
    <x v="2"/>
    <n v="1"/>
    <s v="Single"/>
    <n v="2018"/>
    <n v="21831"/>
    <n v="3"/>
    <s v="Y"/>
    <x v="1"/>
    <n v="14"/>
    <n v="3"/>
    <n v="2"/>
    <n v="80"/>
    <n v="0"/>
    <n v="15"/>
    <n v="3"/>
    <n v="1"/>
    <n v="5"/>
    <n v="4"/>
    <n v="1"/>
    <n v="0"/>
    <x v="0"/>
    <n v="0"/>
    <x v="0"/>
    <x v="1"/>
    <s v="2-5 Years"/>
    <s v="Low"/>
    <s v="Bad"/>
  </r>
  <r>
    <x v="13"/>
    <s v="No"/>
    <s v="Travel_Rarely"/>
    <n v="971"/>
    <x v="0"/>
    <n v="1"/>
    <n v="3"/>
    <s v="Technical Degree"/>
    <n v="1"/>
    <n v="1535"/>
    <n v="4"/>
    <x v="1"/>
    <n v="64"/>
    <n v="2"/>
    <n v="3"/>
    <x v="0"/>
    <n v="3"/>
    <s v="Married"/>
    <n v="7083"/>
    <n v="12288"/>
    <n v="1"/>
    <s v="Y"/>
    <x v="0"/>
    <n v="14"/>
    <n v="3"/>
    <n v="4"/>
    <n v="80"/>
    <n v="0"/>
    <n v="10"/>
    <n v="3"/>
    <n v="3"/>
    <n v="10"/>
    <n v="9"/>
    <n v="8"/>
    <n v="6"/>
    <x v="1"/>
    <n v="1"/>
    <x v="2"/>
    <x v="2"/>
    <s v="6-10 Years"/>
    <s v="High"/>
    <s v="Better"/>
  </r>
  <r>
    <x v="12"/>
    <s v="Yes"/>
    <s v="Travel_Frequently"/>
    <n v="561"/>
    <x v="1"/>
    <n v="3"/>
    <n v="3"/>
    <s v="Life Sciences"/>
    <n v="1"/>
    <n v="1537"/>
    <n v="4"/>
    <x v="0"/>
    <n v="33"/>
    <n v="3"/>
    <n v="1"/>
    <x v="1"/>
    <n v="3"/>
    <s v="Single"/>
    <n v="4084"/>
    <n v="4156"/>
    <n v="1"/>
    <s v="Y"/>
    <x v="1"/>
    <n v="12"/>
    <n v="3"/>
    <n v="1"/>
    <n v="80"/>
    <n v="0"/>
    <n v="7"/>
    <n v="2"/>
    <n v="1"/>
    <n v="7"/>
    <n v="2"/>
    <n v="7"/>
    <n v="7"/>
    <x v="0"/>
    <n v="0"/>
    <x v="2"/>
    <x v="0"/>
    <s v="6-10 Years"/>
    <s v="High"/>
    <s v="Bad"/>
  </r>
  <r>
    <x v="24"/>
    <s v="No"/>
    <s v="Travel_Frequently"/>
    <n v="333"/>
    <x v="1"/>
    <n v="22"/>
    <n v="5"/>
    <s v="Medical"/>
    <n v="1"/>
    <n v="1539"/>
    <n v="3"/>
    <x v="1"/>
    <n v="88"/>
    <n v="1"/>
    <n v="4"/>
    <x v="7"/>
    <n v="4"/>
    <s v="Single"/>
    <n v="14411"/>
    <n v="24450"/>
    <n v="1"/>
    <s v="Y"/>
    <x v="0"/>
    <n v="13"/>
    <n v="3"/>
    <n v="4"/>
    <n v="80"/>
    <n v="0"/>
    <n v="32"/>
    <n v="2"/>
    <n v="3"/>
    <n v="32"/>
    <n v="6"/>
    <n v="13"/>
    <n v="9"/>
    <x v="1"/>
    <n v="1"/>
    <x v="1"/>
    <x v="2"/>
    <s v="10+ Years"/>
    <s v="Very High"/>
    <s v="Better"/>
  </r>
  <r>
    <x v="13"/>
    <s v="No"/>
    <s v="Travel_Rarely"/>
    <n v="1440"/>
    <x v="0"/>
    <n v="7"/>
    <n v="2"/>
    <s v="Technical Degree"/>
    <n v="1"/>
    <n v="1541"/>
    <n v="2"/>
    <x v="1"/>
    <n v="55"/>
    <n v="3"/>
    <n v="1"/>
    <x v="6"/>
    <n v="3"/>
    <s v="Married"/>
    <n v="2308"/>
    <n v="4944"/>
    <n v="0"/>
    <s v="Y"/>
    <x v="0"/>
    <n v="25"/>
    <n v="4"/>
    <n v="2"/>
    <n v="80"/>
    <n v="1"/>
    <n v="12"/>
    <n v="4"/>
    <n v="3"/>
    <n v="11"/>
    <n v="10"/>
    <n v="5"/>
    <n v="7"/>
    <x v="1"/>
    <n v="1"/>
    <x v="2"/>
    <x v="1"/>
    <s v="10+ Years"/>
    <s v="High"/>
    <s v="Better"/>
  </r>
  <r>
    <x v="19"/>
    <s v="No"/>
    <s v="Travel_Rarely"/>
    <n v="1210"/>
    <x v="1"/>
    <n v="2"/>
    <n v="3"/>
    <s v="Medical"/>
    <n v="1"/>
    <n v="1542"/>
    <n v="3"/>
    <x v="1"/>
    <n v="68"/>
    <n v="2"/>
    <n v="1"/>
    <x v="2"/>
    <n v="2"/>
    <s v="Married"/>
    <n v="4841"/>
    <n v="24052"/>
    <n v="4"/>
    <s v="Y"/>
    <x v="1"/>
    <n v="14"/>
    <n v="3"/>
    <n v="2"/>
    <n v="80"/>
    <n v="1"/>
    <n v="4"/>
    <n v="3"/>
    <n v="3"/>
    <n v="1"/>
    <n v="0"/>
    <n v="0"/>
    <n v="0"/>
    <x v="1"/>
    <n v="1"/>
    <x v="0"/>
    <x v="0"/>
    <s v="0-1 Years"/>
    <s v="Medium"/>
    <s v="Better"/>
  </r>
  <r>
    <x v="2"/>
    <s v="No"/>
    <s v="Travel_Rarely"/>
    <n v="674"/>
    <x v="1"/>
    <n v="13"/>
    <n v="3"/>
    <s v="Medical"/>
    <n v="1"/>
    <n v="1543"/>
    <n v="1"/>
    <x v="1"/>
    <n v="47"/>
    <n v="3"/>
    <n v="2"/>
    <x v="1"/>
    <n v="4"/>
    <s v="Married"/>
    <n v="4285"/>
    <n v="3031"/>
    <n v="1"/>
    <s v="Y"/>
    <x v="1"/>
    <n v="17"/>
    <n v="3"/>
    <n v="1"/>
    <n v="80"/>
    <n v="0"/>
    <n v="10"/>
    <n v="2"/>
    <n v="3"/>
    <n v="10"/>
    <n v="8"/>
    <n v="3"/>
    <n v="7"/>
    <x v="1"/>
    <n v="1"/>
    <x v="0"/>
    <x v="0"/>
    <s v="6-10 Years"/>
    <s v="Very High"/>
    <s v="Better"/>
  </r>
  <r>
    <x v="11"/>
    <s v="No"/>
    <s v="Travel_Rarely"/>
    <n v="441"/>
    <x v="1"/>
    <n v="8"/>
    <n v="1"/>
    <s v="Other"/>
    <n v="1"/>
    <n v="1544"/>
    <n v="3"/>
    <x v="0"/>
    <n v="39"/>
    <n v="1"/>
    <n v="2"/>
    <x v="4"/>
    <n v="1"/>
    <s v="Married"/>
    <n v="9715"/>
    <n v="7288"/>
    <n v="3"/>
    <s v="Y"/>
    <x v="1"/>
    <n v="13"/>
    <n v="3"/>
    <n v="3"/>
    <n v="80"/>
    <n v="1"/>
    <n v="9"/>
    <n v="3"/>
    <n v="3"/>
    <n v="7"/>
    <n v="7"/>
    <n v="0"/>
    <n v="7"/>
    <x v="1"/>
    <n v="1"/>
    <x v="2"/>
    <x v="2"/>
    <s v="6-10 Years"/>
    <s v="Low"/>
    <s v="Better"/>
  </r>
  <r>
    <x v="3"/>
    <s v="No"/>
    <s v="Travel_Rarely"/>
    <n v="575"/>
    <x v="1"/>
    <n v="25"/>
    <n v="3"/>
    <s v="Life Sciences"/>
    <n v="1"/>
    <n v="1545"/>
    <n v="4"/>
    <x v="1"/>
    <n v="44"/>
    <n v="2"/>
    <n v="2"/>
    <x v="3"/>
    <n v="2"/>
    <s v="Single"/>
    <n v="4320"/>
    <n v="24152"/>
    <n v="1"/>
    <s v="Y"/>
    <x v="1"/>
    <n v="13"/>
    <n v="3"/>
    <n v="4"/>
    <n v="80"/>
    <n v="0"/>
    <n v="5"/>
    <n v="2"/>
    <n v="3"/>
    <n v="5"/>
    <n v="3"/>
    <n v="0"/>
    <n v="2"/>
    <x v="1"/>
    <n v="1"/>
    <x v="2"/>
    <x v="0"/>
    <s v="2-5 Years"/>
    <s v="Medium"/>
    <s v="Better"/>
  </r>
  <r>
    <x v="28"/>
    <s v="No"/>
    <s v="Travel_Rarely"/>
    <n v="950"/>
    <x v="1"/>
    <n v="28"/>
    <n v="3"/>
    <s v="Technical Degree"/>
    <n v="1"/>
    <n v="1546"/>
    <n v="4"/>
    <x v="1"/>
    <n v="97"/>
    <n v="3"/>
    <n v="1"/>
    <x v="1"/>
    <n v="4"/>
    <s v="Married"/>
    <n v="2132"/>
    <n v="4585"/>
    <n v="4"/>
    <s v="Y"/>
    <x v="1"/>
    <n v="20"/>
    <n v="4"/>
    <n v="4"/>
    <n v="80"/>
    <n v="1"/>
    <n v="8"/>
    <n v="3"/>
    <n v="3"/>
    <n v="5"/>
    <n v="4"/>
    <n v="0"/>
    <n v="3"/>
    <x v="1"/>
    <n v="1"/>
    <x v="1"/>
    <x v="1"/>
    <s v="2-5 Years"/>
    <s v="Very High"/>
    <s v="Better"/>
  </r>
  <r>
    <x v="19"/>
    <s v="No"/>
    <s v="Travel_Frequently"/>
    <n v="288"/>
    <x v="1"/>
    <n v="2"/>
    <n v="3"/>
    <s v="Life Sciences"/>
    <n v="1"/>
    <n v="1547"/>
    <n v="4"/>
    <x v="1"/>
    <n v="40"/>
    <n v="3"/>
    <n v="3"/>
    <x v="4"/>
    <n v="4"/>
    <s v="Married"/>
    <n v="10124"/>
    <n v="18611"/>
    <n v="2"/>
    <s v="Y"/>
    <x v="0"/>
    <n v="14"/>
    <n v="3"/>
    <n v="3"/>
    <n v="80"/>
    <n v="1"/>
    <n v="24"/>
    <n v="3"/>
    <n v="1"/>
    <n v="20"/>
    <n v="8"/>
    <n v="13"/>
    <n v="9"/>
    <x v="1"/>
    <n v="1"/>
    <x v="0"/>
    <x v="2"/>
    <s v="10+ Years"/>
    <s v="Very High"/>
    <s v="Bad"/>
  </r>
  <r>
    <x v="32"/>
    <s v="No"/>
    <s v="Travel_Rarely"/>
    <n v="1342"/>
    <x v="0"/>
    <n v="9"/>
    <n v="2"/>
    <s v="Medical"/>
    <n v="1"/>
    <n v="1548"/>
    <n v="1"/>
    <x v="1"/>
    <n v="47"/>
    <n v="3"/>
    <n v="2"/>
    <x v="0"/>
    <n v="1"/>
    <s v="Married"/>
    <n v="5473"/>
    <n v="19345"/>
    <n v="0"/>
    <s v="Y"/>
    <x v="1"/>
    <n v="12"/>
    <n v="3"/>
    <n v="4"/>
    <n v="80"/>
    <n v="0"/>
    <n v="9"/>
    <n v="5"/>
    <n v="4"/>
    <n v="8"/>
    <n v="4"/>
    <n v="7"/>
    <n v="1"/>
    <x v="1"/>
    <n v="1"/>
    <x v="0"/>
    <x v="0"/>
    <s v="6-10 Years"/>
    <s v="Low"/>
    <s v="Best"/>
  </r>
  <r>
    <x v="3"/>
    <s v="No"/>
    <s v="Travel_Rarely"/>
    <n v="589"/>
    <x v="1"/>
    <n v="28"/>
    <n v="4"/>
    <s v="Life Sciences"/>
    <n v="1"/>
    <n v="1549"/>
    <n v="2"/>
    <x v="1"/>
    <n v="79"/>
    <n v="3"/>
    <n v="2"/>
    <x v="2"/>
    <n v="3"/>
    <s v="Married"/>
    <n v="5207"/>
    <n v="22949"/>
    <n v="1"/>
    <s v="Y"/>
    <x v="0"/>
    <n v="12"/>
    <n v="3"/>
    <n v="2"/>
    <n v="80"/>
    <n v="1"/>
    <n v="15"/>
    <n v="3"/>
    <n v="3"/>
    <n v="15"/>
    <n v="14"/>
    <n v="5"/>
    <n v="7"/>
    <x v="1"/>
    <n v="1"/>
    <x v="2"/>
    <x v="0"/>
    <s v="10+ Years"/>
    <s v="High"/>
    <s v="Better"/>
  </r>
  <r>
    <x v="32"/>
    <s v="No"/>
    <s v="Travel_Rarely"/>
    <n v="898"/>
    <x v="2"/>
    <n v="6"/>
    <n v="2"/>
    <s v="Medical"/>
    <n v="1"/>
    <n v="1550"/>
    <n v="3"/>
    <x v="1"/>
    <n v="38"/>
    <n v="3"/>
    <n v="4"/>
    <x v="5"/>
    <n v="4"/>
    <s v="Single"/>
    <n v="16437"/>
    <n v="17381"/>
    <n v="1"/>
    <s v="Y"/>
    <x v="0"/>
    <n v="21"/>
    <n v="4"/>
    <n v="4"/>
    <n v="80"/>
    <n v="0"/>
    <n v="21"/>
    <n v="2"/>
    <n v="3"/>
    <n v="21"/>
    <n v="7"/>
    <n v="7"/>
    <n v="7"/>
    <x v="1"/>
    <n v="1"/>
    <x v="0"/>
    <x v="2"/>
    <s v="10+ Years"/>
    <s v="Very High"/>
    <s v="Better"/>
  </r>
  <r>
    <x v="17"/>
    <s v="No"/>
    <s v="Travel_Rarely"/>
    <n v="350"/>
    <x v="1"/>
    <n v="21"/>
    <n v="2"/>
    <s v="Technical Degree"/>
    <n v="1"/>
    <n v="1551"/>
    <n v="3"/>
    <x v="1"/>
    <n v="57"/>
    <n v="2"/>
    <n v="1"/>
    <x v="2"/>
    <n v="1"/>
    <s v="Divorced"/>
    <n v="2296"/>
    <n v="10036"/>
    <n v="0"/>
    <s v="Y"/>
    <x v="1"/>
    <n v="14"/>
    <n v="3"/>
    <n v="2"/>
    <n v="80"/>
    <n v="3"/>
    <n v="2"/>
    <n v="3"/>
    <n v="3"/>
    <n v="1"/>
    <n v="1"/>
    <n v="0"/>
    <n v="0"/>
    <x v="1"/>
    <n v="1"/>
    <x v="4"/>
    <x v="1"/>
    <s v="0-1 Years"/>
    <s v="Low"/>
    <s v="Better"/>
  </r>
  <r>
    <x v="32"/>
    <s v="No"/>
    <s v="Non-Travel"/>
    <n v="1142"/>
    <x v="1"/>
    <n v="8"/>
    <n v="2"/>
    <s v="Life Sciences"/>
    <n v="1"/>
    <n v="1552"/>
    <n v="4"/>
    <x v="1"/>
    <n v="72"/>
    <n v="3"/>
    <n v="2"/>
    <x v="4"/>
    <n v="4"/>
    <s v="Divorced"/>
    <n v="4069"/>
    <n v="8841"/>
    <n v="3"/>
    <s v="Y"/>
    <x v="0"/>
    <n v="18"/>
    <n v="3"/>
    <n v="3"/>
    <n v="80"/>
    <n v="0"/>
    <n v="8"/>
    <n v="2"/>
    <n v="3"/>
    <n v="2"/>
    <n v="2"/>
    <n v="2"/>
    <n v="2"/>
    <x v="1"/>
    <n v="1"/>
    <x v="0"/>
    <x v="0"/>
    <s v="2-5 Years"/>
    <s v="Very High"/>
    <s v="Better"/>
  </r>
  <r>
    <x v="28"/>
    <s v="No"/>
    <s v="Travel_Rarely"/>
    <n v="538"/>
    <x v="1"/>
    <n v="1"/>
    <n v="4"/>
    <s v="Technical Degree"/>
    <n v="1"/>
    <n v="1553"/>
    <n v="1"/>
    <x v="1"/>
    <n v="66"/>
    <n v="3"/>
    <n v="3"/>
    <x v="4"/>
    <n v="2"/>
    <s v="Divorced"/>
    <n v="7441"/>
    <n v="20933"/>
    <n v="1"/>
    <s v="Y"/>
    <x v="1"/>
    <n v="12"/>
    <n v="3"/>
    <n v="1"/>
    <n v="80"/>
    <n v="3"/>
    <n v="10"/>
    <n v="4"/>
    <n v="3"/>
    <n v="10"/>
    <n v="8"/>
    <n v="7"/>
    <n v="7"/>
    <x v="1"/>
    <n v="1"/>
    <x v="1"/>
    <x v="2"/>
    <s v="6-10 Years"/>
    <s v="Medium"/>
    <s v="Better"/>
  </r>
  <r>
    <x v="10"/>
    <s v="No"/>
    <s v="Travel_Rarely"/>
    <n v="1402"/>
    <x v="0"/>
    <n v="28"/>
    <n v="4"/>
    <s v="Life Sciences"/>
    <n v="1"/>
    <n v="1554"/>
    <n v="2"/>
    <x v="0"/>
    <n v="98"/>
    <n v="2"/>
    <n v="1"/>
    <x v="6"/>
    <n v="3"/>
    <s v="Married"/>
    <n v="2430"/>
    <n v="26204"/>
    <n v="0"/>
    <s v="Y"/>
    <x v="1"/>
    <n v="23"/>
    <n v="4"/>
    <n v="1"/>
    <n v="80"/>
    <n v="2"/>
    <n v="6"/>
    <n v="5"/>
    <n v="3"/>
    <n v="5"/>
    <n v="3"/>
    <n v="4"/>
    <n v="2"/>
    <x v="1"/>
    <n v="1"/>
    <x v="0"/>
    <x v="1"/>
    <s v="2-5 Years"/>
    <s v="High"/>
    <s v="Better"/>
  </r>
  <r>
    <x v="5"/>
    <s v="No"/>
    <s v="Travel_Rarely"/>
    <n v="824"/>
    <x v="1"/>
    <n v="5"/>
    <n v="2"/>
    <s v="Life Sciences"/>
    <n v="1"/>
    <n v="1555"/>
    <n v="4"/>
    <x v="0"/>
    <n v="67"/>
    <n v="2"/>
    <n v="2"/>
    <x v="1"/>
    <n v="2"/>
    <s v="Married"/>
    <n v="5878"/>
    <n v="15624"/>
    <n v="3"/>
    <s v="Y"/>
    <x v="1"/>
    <n v="12"/>
    <n v="3"/>
    <n v="1"/>
    <n v="80"/>
    <n v="1"/>
    <n v="12"/>
    <n v="2"/>
    <n v="3"/>
    <n v="7"/>
    <n v="1"/>
    <n v="2"/>
    <n v="5"/>
    <x v="1"/>
    <n v="1"/>
    <x v="2"/>
    <x v="0"/>
    <s v="6-10 Years"/>
    <s v="Medium"/>
    <s v="Better"/>
  </r>
  <r>
    <x v="9"/>
    <s v="No"/>
    <s v="Travel_Rarely"/>
    <n v="1157"/>
    <x v="0"/>
    <n v="2"/>
    <n v="4"/>
    <s v="Life Sciences"/>
    <n v="1"/>
    <n v="1556"/>
    <n v="3"/>
    <x v="1"/>
    <n v="70"/>
    <n v="3"/>
    <n v="1"/>
    <x v="6"/>
    <n v="4"/>
    <s v="Single"/>
    <n v="2644"/>
    <n v="17001"/>
    <n v="3"/>
    <s v="Y"/>
    <x v="0"/>
    <n v="21"/>
    <n v="4"/>
    <n v="4"/>
    <n v="80"/>
    <n v="0"/>
    <n v="7"/>
    <n v="3"/>
    <n v="2"/>
    <n v="3"/>
    <n v="2"/>
    <n v="1"/>
    <n v="2"/>
    <x v="1"/>
    <n v="1"/>
    <x v="0"/>
    <x v="1"/>
    <s v="2-5 Years"/>
    <s v="Very High"/>
    <s v="Good"/>
  </r>
  <r>
    <x v="26"/>
    <s v="No"/>
    <s v="Travel_Rarely"/>
    <n v="492"/>
    <x v="0"/>
    <n v="16"/>
    <n v="4"/>
    <s v="Life Sciences"/>
    <n v="1"/>
    <n v="1557"/>
    <n v="3"/>
    <x v="0"/>
    <n v="96"/>
    <n v="3"/>
    <n v="2"/>
    <x v="0"/>
    <n v="3"/>
    <s v="Divorced"/>
    <n v="6439"/>
    <n v="13693"/>
    <n v="8"/>
    <s v="Y"/>
    <x v="1"/>
    <n v="14"/>
    <n v="3"/>
    <n v="3"/>
    <n v="80"/>
    <n v="1"/>
    <n v="18"/>
    <n v="2"/>
    <n v="3"/>
    <n v="8"/>
    <n v="7"/>
    <n v="7"/>
    <n v="7"/>
    <x v="1"/>
    <n v="1"/>
    <x v="1"/>
    <x v="0"/>
    <s v="6-10 Years"/>
    <s v="High"/>
    <s v="Better"/>
  </r>
  <r>
    <x v="11"/>
    <s v="No"/>
    <s v="Travel_Rarely"/>
    <n v="598"/>
    <x v="1"/>
    <n v="9"/>
    <n v="3"/>
    <s v="Life Sciences"/>
    <n v="1"/>
    <n v="1558"/>
    <n v="3"/>
    <x v="1"/>
    <n v="91"/>
    <n v="4"/>
    <n v="1"/>
    <x v="1"/>
    <n v="3"/>
    <s v="Married"/>
    <n v="2451"/>
    <n v="22376"/>
    <n v="6"/>
    <s v="Y"/>
    <x v="1"/>
    <n v="18"/>
    <n v="3"/>
    <n v="1"/>
    <n v="80"/>
    <n v="2"/>
    <n v="5"/>
    <n v="2"/>
    <n v="2"/>
    <n v="1"/>
    <n v="0"/>
    <n v="0"/>
    <n v="0"/>
    <x v="1"/>
    <n v="1"/>
    <x v="2"/>
    <x v="1"/>
    <s v="0-1 Years"/>
    <s v="High"/>
    <s v="Good"/>
  </r>
  <r>
    <x v="3"/>
    <s v="No"/>
    <s v="Travel_Rarely"/>
    <n v="1242"/>
    <x v="0"/>
    <n v="8"/>
    <n v="4"/>
    <s v="Life Sciences"/>
    <n v="1"/>
    <n v="1560"/>
    <n v="1"/>
    <x v="1"/>
    <n v="46"/>
    <n v="3"/>
    <n v="2"/>
    <x v="0"/>
    <n v="1"/>
    <s v="Married"/>
    <n v="6392"/>
    <n v="10589"/>
    <n v="2"/>
    <s v="Y"/>
    <x v="1"/>
    <n v="13"/>
    <n v="3"/>
    <n v="4"/>
    <n v="80"/>
    <n v="1"/>
    <n v="8"/>
    <n v="6"/>
    <n v="1"/>
    <n v="2"/>
    <n v="2"/>
    <n v="2"/>
    <n v="2"/>
    <x v="1"/>
    <n v="1"/>
    <x v="2"/>
    <x v="0"/>
    <s v="2-5 Years"/>
    <s v="Low"/>
    <s v="Bad"/>
  </r>
  <r>
    <x v="7"/>
    <s v="Yes"/>
    <s v="Travel_Rarely"/>
    <n v="740"/>
    <x v="0"/>
    <n v="1"/>
    <n v="3"/>
    <s v="Life Sciences"/>
    <n v="1"/>
    <n v="1562"/>
    <n v="2"/>
    <x v="1"/>
    <n v="64"/>
    <n v="2"/>
    <n v="2"/>
    <x v="0"/>
    <n v="1"/>
    <s v="Married"/>
    <n v="9714"/>
    <n v="5323"/>
    <n v="1"/>
    <s v="Y"/>
    <x v="1"/>
    <n v="11"/>
    <n v="3"/>
    <n v="4"/>
    <n v="80"/>
    <n v="1"/>
    <n v="10"/>
    <n v="4"/>
    <n v="3"/>
    <n v="10"/>
    <n v="8"/>
    <n v="6"/>
    <n v="7"/>
    <x v="0"/>
    <n v="0"/>
    <x v="2"/>
    <x v="2"/>
    <s v="6-10 Years"/>
    <s v="Low"/>
    <s v="Better"/>
  </r>
  <r>
    <x v="8"/>
    <s v="No"/>
    <s v="Travel_Frequently"/>
    <n v="888"/>
    <x v="2"/>
    <n v="10"/>
    <n v="4"/>
    <s v="Human Resources"/>
    <n v="1"/>
    <n v="1563"/>
    <n v="3"/>
    <x v="1"/>
    <n v="71"/>
    <n v="3"/>
    <n v="2"/>
    <x v="8"/>
    <n v="3"/>
    <s v="Married"/>
    <n v="6077"/>
    <n v="14814"/>
    <n v="3"/>
    <s v="Y"/>
    <x v="1"/>
    <n v="11"/>
    <n v="3"/>
    <n v="3"/>
    <n v="80"/>
    <n v="0"/>
    <n v="10"/>
    <n v="2"/>
    <n v="3"/>
    <n v="6"/>
    <n v="3"/>
    <n v="1"/>
    <n v="2"/>
    <x v="1"/>
    <n v="1"/>
    <x v="0"/>
    <x v="0"/>
    <s v="6-10 Years"/>
    <s v="High"/>
    <s v="Better"/>
  </r>
  <r>
    <x v="10"/>
    <s v="No"/>
    <s v="Travel_Rarely"/>
    <n v="992"/>
    <x v="1"/>
    <n v="1"/>
    <n v="3"/>
    <s v="Medical"/>
    <n v="1"/>
    <n v="1564"/>
    <n v="4"/>
    <x v="1"/>
    <n v="68"/>
    <n v="2"/>
    <n v="1"/>
    <x v="2"/>
    <n v="1"/>
    <s v="Single"/>
    <n v="2450"/>
    <n v="21731"/>
    <n v="1"/>
    <s v="Y"/>
    <x v="1"/>
    <n v="19"/>
    <n v="3"/>
    <n v="2"/>
    <n v="80"/>
    <n v="0"/>
    <n v="3"/>
    <n v="3"/>
    <n v="3"/>
    <n v="3"/>
    <n v="0"/>
    <n v="1"/>
    <n v="2"/>
    <x v="1"/>
    <n v="1"/>
    <x v="0"/>
    <x v="1"/>
    <s v="2-5 Years"/>
    <s v="Low"/>
    <s v="Better"/>
  </r>
  <r>
    <x v="7"/>
    <s v="No"/>
    <s v="Travel_Rarely"/>
    <n v="1288"/>
    <x v="0"/>
    <n v="29"/>
    <n v="4"/>
    <s v="Technical Degree"/>
    <n v="1"/>
    <n v="1568"/>
    <n v="3"/>
    <x v="1"/>
    <n v="33"/>
    <n v="3"/>
    <n v="3"/>
    <x v="0"/>
    <n v="2"/>
    <s v="Married"/>
    <n v="9250"/>
    <n v="17799"/>
    <n v="3"/>
    <s v="Y"/>
    <x v="1"/>
    <n v="12"/>
    <n v="3"/>
    <n v="2"/>
    <n v="80"/>
    <n v="1"/>
    <n v="9"/>
    <n v="3"/>
    <n v="3"/>
    <n v="4"/>
    <n v="2"/>
    <n v="1"/>
    <n v="3"/>
    <x v="1"/>
    <n v="1"/>
    <x v="2"/>
    <x v="2"/>
    <s v="2-5 Years"/>
    <s v="Medium"/>
    <s v="Better"/>
  </r>
  <r>
    <x v="10"/>
    <s v="Yes"/>
    <s v="Travel_Rarely"/>
    <n v="104"/>
    <x v="1"/>
    <n v="2"/>
    <n v="3"/>
    <s v="Life Sciences"/>
    <n v="1"/>
    <n v="1569"/>
    <n v="1"/>
    <x v="0"/>
    <n v="69"/>
    <n v="3"/>
    <n v="1"/>
    <x v="2"/>
    <n v="1"/>
    <s v="Divorced"/>
    <n v="2074"/>
    <n v="26619"/>
    <n v="1"/>
    <s v="Y"/>
    <x v="0"/>
    <n v="12"/>
    <n v="3"/>
    <n v="4"/>
    <n v="80"/>
    <n v="1"/>
    <n v="1"/>
    <n v="2"/>
    <n v="3"/>
    <n v="1"/>
    <n v="0"/>
    <n v="0"/>
    <n v="0"/>
    <x v="0"/>
    <n v="0"/>
    <x v="0"/>
    <x v="1"/>
    <s v="0-1 Years"/>
    <s v="Low"/>
    <s v="Better"/>
  </r>
  <r>
    <x v="16"/>
    <s v="Yes"/>
    <s v="Travel_Rarely"/>
    <n v="607"/>
    <x v="1"/>
    <n v="2"/>
    <n v="5"/>
    <s v="Technical Degree"/>
    <n v="1"/>
    <n v="1572"/>
    <n v="3"/>
    <x v="0"/>
    <n v="78"/>
    <n v="2"/>
    <n v="3"/>
    <x v="3"/>
    <n v="4"/>
    <s v="Married"/>
    <n v="10169"/>
    <n v="14618"/>
    <n v="0"/>
    <s v="Y"/>
    <x v="1"/>
    <n v="16"/>
    <n v="3"/>
    <n v="2"/>
    <n v="80"/>
    <n v="1"/>
    <n v="34"/>
    <n v="4"/>
    <n v="3"/>
    <n v="33"/>
    <n v="7"/>
    <n v="1"/>
    <n v="9"/>
    <x v="0"/>
    <n v="0"/>
    <x v="1"/>
    <x v="2"/>
    <s v="10+ Years"/>
    <s v="Very High"/>
    <s v="Better"/>
  </r>
  <r>
    <x v="8"/>
    <s v="Yes"/>
    <s v="Travel_Rarely"/>
    <n v="903"/>
    <x v="1"/>
    <n v="2"/>
    <n v="3"/>
    <s v="Medical"/>
    <n v="1"/>
    <n v="1573"/>
    <n v="3"/>
    <x v="1"/>
    <n v="81"/>
    <n v="3"/>
    <n v="2"/>
    <x v="3"/>
    <n v="2"/>
    <s v="Married"/>
    <n v="4855"/>
    <n v="7653"/>
    <n v="4"/>
    <s v="Y"/>
    <x v="1"/>
    <n v="11"/>
    <n v="3"/>
    <n v="1"/>
    <n v="80"/>
    <n v="2"/>
    <n v="7"/>
    <n v="2"/>
    <n v="3"/>
    <n v="5"/>
    <n v="2"/>
    <n v="1"/>
    <n v="4"/>
    <x v="0"/>
    <n v="0"/>
    <x v="0"/>
    <x v="0"/>
    <s v="2-5 Years"/>
    <s v="Medium"/>
    <s v="Better"/>
  </r>
  <r>
    <x v="5"/>
    <s v="No"/>
    <s v="Non-Travel"/>
    <n v="1200"/>
    <x v="1"/>
    <n v="1"/>
    <n v="4"/>
    <s v="Technical Degree"/>
    <n v="1"/>
    <n v="1574"/>
    <n v="4"/>
    <x v="1"/>
    <n v="62"/>
    <n v="3"/>
    <n v="2"/>
    <x v="1"/>
    <n v="1"/>
    <s v="Married"/>
    <n v="4087"/>
    <n v="25174"/>
    <n v="4"/>
    <s v="Y"/>
    <x v="1"/>
    <n v="14"/>
    <n v="3"/>
    <n v="2"/>
    <n v="80"/>
    <n v="1"/>
    <n v="9"/>
    <n v="3"/>
    <n v="2"/>
    <n v="6"/>
    <n v="5"/>
    <n v="1"/>
    <n v="2"/>
    <x v="1"/>
    <n v="1"/>
    <x v="2"/>
    <x v="0"/>
    <s v="6-10 Years"/>
    <s v="Low"/>
    <s v="Good"/>
  </r>
  <r>
    <x v="26"/>
    <s v="No"/>
    <s v="Travel_Rarely"/>
    <n v="1108"/>
    <x v="1"/>
    <n v="15"/>
    <n v="4"/>
    <s v="Other"/>
    <n v="1"/>
    <n v="1576"/>
    <n v="3"/>
    <x v="0"/>
    <n v="65"/>
    <n v="3"/>
    <n v="1"/>
    <x v="1"/>
    <n v="1"/>
    <s v="Married"/>
    <n v="2367"/>
    <n v="16530"/>
    <n v="8"/>
    <s v="Y"/>
    <x v="1"/>
    <n v="12"/>
    <n v="3"/>
    <n v="4"/>
    <n v="80"/>
    <n v="1"/>
    <n v="10"/>
    <n v="3"/>
    <n v="2"/>
    <n v="8"/>
    <n v="2"/>
    <n v="7"/>
    <n v="6"/>
    <x v="1"/>
    <n v="1"/>
    <x v="1"/>
    <x v="1"/>
    <s v="6-10 Years"/>
    <s v="Low"/>
    <s v="Good"/>
  </r>
  <r>
    <x v="13"/>
    <s v="No"/>
    <s v="Travel_Rarely"/>
    <n v="479"/>
    <x v="1"/>
    <n v="7"/>
    <n v="4"/>
    <s v="Medical"/>
    <n v="1"/>
    <n v="1577"/>
    <n v="1"/>
    <x v="1"/>
    <n v="35"/>
    <n v="3"/>
    <n v="1"/>
    <x v="1"/>
    <n v="4"/>
    <s v="Single"/>
    <n v="2972"/>
    <n v="22061"/>
    <n v="1"/>
    <s v="Y"/>
    <x v="1"/>
    <n v="13"/>
    <n v="3"/>
    <n v="3"/>
    <n v="80"/>
    <n v="0"/>
    <n v="1"/>
    <n v="4"/>
    <n v="1"/>
    <n v="1"/>
    <n v="0"/>
    <n v="0"/>
    <n v="0"/>
    <x v="1"/>
    <n v="1"/>
    <x v="2"/>
    <x v="1"/>
    <s v="0-1 Years"/>
    <s v="Very High"/>
    <s v="Bad"/>
  </r>
  <r>
    <x v="27"/>
    <s v="No"/>
    <s v="Travel_Rarely"/>
    <n v="685"/>
    <x v="0"/>
    <n v="26"/>
    <n v="5"/>
    <s v="Marketing"/>
    <n v="1"/>
    <n v="1578"/>
    <n v="3"/>
    <x v="1"/>
    <n v="60"/>
    <n v="2"/>
    <n v="5"/>
    <x v="5"/>
    <n v="4"/>
    <s v="Married"/>
    <n v="19586"/>
    <n v="23037"/>
    <n v="1"/>
    <s v="Y"/>
    <x v="1"/>
    <n v="21"/>
    <n v="4"/>
    <n v="3"/>
    <n v="80"/>
    <n v="1"/>
    <n v="36"/>
    <n v="3"/>
    <n v="3"/>
    <n v="36"/>
    <n v="6"/>
    <n v="2"/>
    <n v="13"/>
    <x v="1"/>
    <n v="1"/>
    <x v="3"/>
    <x v="2"/>
    <s v="10+ Years"/>
    <s v="Very High"/>
    <s v="Better"/>
  </r>
  <r>
    <x v="13"/>
    <s v="No"/>
    <s v="Travel_Rarely"/>
    <n v="1351"/>
    <x v="1"/>
    <n v="1"/>
    <n v="4"/>
    <s v="Life Sciences"/>
    <n v="1"/>
    <n v="1580"/>
    <n v="2"/>
    <x v="1"/>
    <n v="45"/>
    <n v="3"/>
    <n v="2"/>
    <x v="1"/>
    <n v="4"/>
    <s v="Married"/>
    <n v="5484"/>
    <n v="13008"/>
    <n v="9"/>
    <s v="Y"/>
    <x v="1"/>
    <n v="17"/>
    <n v="3"/>
    <n v="2"/>
    <n v="80"/>
    <n v="1"/>
    <n v="9"/>
    <n v="3"/>
    <n v="2"/>
    <n v="2"/>
    <n v="2"/>
    <n v="2"/>
    <n v="1"/>
    <x v="1"/>
    <n v="1"/>
    <x v="2"/>
    <x v="0"/>
    <s v="2-5 Years"/>
    <s v="Very High"/>
    <s v="Good"/>
  </r>
  <r>
    <x v="25"/>
    <s v="No"/>
    <s v="Travel_Rarely"/>
    <n v="474"/>
    <x v="1"/>
    <n v="3"/>
    <n v="3"/>
    <s v="Life Sciences"/>
    <n v="1"/>
    <n v="1581"/>
    <n v="1"/>
    <x v="0"/>
    <n v="89"/>
    <n v="3"/>
    <n v="1"/>
    <x v="1"/>
    <n v="4"/>
    <s v="Married"/>
    <n v="2061"/>
    <n v="11133"/>
    <n v="1"/>
    <s v="Y"/>
    <x v="1"/>
    <n v="21"/>
    <n v="4"/>
    <n v="1"/>
    <n v="80"/>
    <n v="0"/>
    <n v="1"/>
    <n v="5"/>
    <n v="3"/>
    <n v="1"/>
    <n v="0"/>
    <n v="0"/>
    <n v="0"/>
    <x v="1"/>
    <n v="1"/>
    <x v="2"/>
    <x v="1"/>
    <s v="0-1 Years"/>
    <s v="Very High"/>
    <s v="Better"/>
  </r>
  <r>
    <x v="8"/>
    <s v="No"/>
    <s v="Travel_Rarely"/>
    <n v="1245"/>
    <x v="0"/>
    <n v="14"/>
    <n v="3"/>
    <s v="Life Sciences"/>
    <n v="1"/>
    <n v="1582"/>
    <n v="3"/>
    <x v="1"/>
    <n v="80"/>
    <n v="3"/>
    <n v="2"/>
    <x v="0"/>
    <n v="2"/>
    <s v="Married"/>
    <n v="9924"/>
    <n v="12355"/>
    <n v="0"/>
    <s v="Y"/>
    <x v="1"/>
    <n v="11"/>
    <n v="3"/>
    <n v="4"/>
    <n v="80"/>
    <n v="1"/>
    <n v="10"/>
    <n v="3"/>
    <n v="3"/>
    <n v="9"/>
    <n v="8"/>
    <n v="7"/>
    <n v="7"/>
    <x v="1"/>
    <n v="1"/>
    <x v="0"/>
    <x v="2"/>
    <s v="6-10 Years"/>
    <s v="Medium"/>
    <s v="Better"/>
  </r>
  <r>
    <x v="8"/>
    <s v="No"/>
    <s v="Travel_Rarely"/>
    <n v="437"/>
    <x v="0"/>
    <n v="16"/>
    <n v="3"/>
    <s v="Life Sciences"/>
    <n v="1"/>
    <n v="1583"/>
    <n v="2"/>
    <x v="0"/>
    <n v="90"/>
    <n v="3"/>
    <n v="2"/>
    <x v="0"/>
    <n v="2"/>
    <s v="Single"/>
    <n v="4198"/>
    <n v="16379"/>
    <n v="2"/>
    <s v="Y"/>
    <x v="1"/>
    <n v="12"/>
    <n v="3"/>
    <n v="2"/>
    <n v="80"/>
    <n v="0"/>
    <n v="8"/>
    <n v="5"/>
    <n v="4"/>
    <n v="3"/>
    <n v="2"/>
    <n v="1"/>
    <n v="2"/>
    <x v="1"/>
    <n v="1"/>
    <x v="0"/>
    <x v="0"/>
    <s v="2-5 Years"/>
    <s v="Medium"/>
    <s v="Best"/>
  </r>
  <r>
    <x v="9"/>
    <s v="No"/>
    <s v="Travel_Rarely"/>
    <n v="884"/>
    <x v="0"/>
    <n v="1"/>
    <n v="4"/>
    <s v="Life Sciences"/>
    <n v="1"/>
    <n v="1585"/>
    <n v="2"/>
    <x v="0"/>
    <n v="73"/>
    <n v="3"/>
    <n v="2"/>
    <x v="0"/>
    <n v="3"/>
    <s v="Single"/>
    <n v="6815"/>
    <n v="21447"/>
    <n v="6"/>
    <s v="Y"/>
    <x v="1"/>
    <n v="13"/>
    <n v="3"/>
    <n v="1"/>
    <n v="80"/>
    <n v="0"/>
    <n v="15"/>
    <n v="5"/>
    <n v="3"/>
    <n v="1"/>
    <n v="0"/>
    <n v="0"/>
    <n v="0"/>
    <x v="1"/>
    <n v="1"/>
    <x v="0"/>
    <x v="0"/>
    <s v="0-1 Years"/>
    <s v="High"/>
    <s v="Better"/>
  </r>
  <r>
    <x v="11"/>
    <s v="No"/>
    <s v="Travel_Rarely"/>
    <n v="1370"/>
    <x v="1"/>
    <n v="3"/>
    <n v="1"/>
    <s v="Medical"/>
    <n v="1"/>
    <n v="1586"/>
    <n v="2"/>
    <x v="1"/>
    <n v="87"/>
    <n v="3"/>
    <n v="1"/>
    <x v="2"/>
    <n v="1"/>
    <s v="Single"/>
    <n v="4723"/>
    <n v="16213"/>
    <n v="1"/>
    <s v="Y"/>
    <x v="0"/>
    <n v="18"/>
    <n v="3"/>
    <n v="4"/>
    <n v="80"/>
    <n v="0"/>
    <n v="10"/>
    <n v="3"/>
    <n v="3"/>
    <n v="10"/>
    <n v="9"/>
    <n v="1"/>
    <n v="5"/>
    <x v="1"/>
    <n v="1"/>
    <x v="2"/>
    <x v="0"/>
    <s v="6-10 Years"/>
    <s v="Low"/>
    <s v="Better"/>
  </r>
  <r>
    <x v="10"/>
    <s v="No"/>
    <s v="Travel_Rarely"/>
    <n v="670"/>
    <x v="1"/>
    <n v="10"/>
    <n v="4"/>
    <s v="Medical"/>
    <n v="1"/>
    <n v="1587"/>
    <n v="1"/>
    <x v="0"/>
    <n v="51"/>
    <n v="3"/>
    <n v="2"/>
    <x v="4"/>
    <n v="3"/>
    <s v="Single"/>
    <n v="6142"/>
    <n v="4223"/>
    <n v="3"/>
    <s v="Y"/>
    <x v="0"/>
    <n v="16"/>
    <n v="3"/>
    <n v="3"/>
    <n v="80"/>
    <n v="0"/>
    <n v="10"/>
    <n v="4"/>
    <n v="3"/>
    <n v="5"/>
    <n v="2"/>
    <n v="0"/>
    <n v="4"/>
    <x v="1"/>
    <n v="1"/>
    <x v="0"/>
    <x v="0"/>
    <s v="2-5 Years"/>
    <s v="High"/>
    <s v="Better"/>
  </r>
  <r>
    <x v="22"/>
    <s v="No"/>
    <s v="Travel_Rarely"/>
    <n v="1462"/>
    <x v="0"/>
    <n v="6"/>
    <n v="3"/>
    <s v="Medical"/>
    <n v="1"/>
    <n v="1588"/>
    <n v="4"/>
    <x v="1"/>
    <n v="38"/>
    <n v="4"/>
    <n v="3"/>
    <x v="0"/>
    <n v="3"/>
    <s v="Married"/>
    <n v="8237"/>
    <n v="4658"/>
    <n v="2"/>
    <s v="Y"/>
    <x v="1"/>
    <n v="11"/>
    <n v="3"/>
    <n v="1"/>
    <n v="80"/>
    <n v="1"/>
    <n v="11"/>
    <n v="3"/>
    <n v="3"/>
    <n v="7"/>
    <n v="6"/>
    <n v="7"/>
    <n v="6"/>
    <x v="1"/>
    <n v="1"/>
    <x v="0"/>
    <x v="2"/>
    <s v="6-10 Years"/>
    <s v="High"/>
    <s v="Better"/>
  </r>
  <r>
    <x v="11"/>
    <s v="No"/>
    <s v="Travel_Frequently"/>
    <n v="995"/>
    <x v="1"/>
    <n v="2"/>
    <n v="1"/>
    <s v="Life Sciences"/>
    <n v="1"/>
    <n v="1590"/>
    <n v="1"/>
    <x v="1"/>
    <n v="87"/>
    <n v="3"/>
    <n v="2"/>
    <x v="4"/>
    <n v="4"/>
    <s v="Divorced"/>
    <n v="8853"/>
    <n v="24483"/>
    <n v="1"/>
    <s v="Y"/>
    <x v="1"/>
    <n v="19"/>
    <n v="3"/>
    <n v="4"/>
    <n v="80"/>
    <n v="1"/>
    <n v="6"/>
    <n v="0"/>
    <n v="4"/>
    <n v="6"/>
    <n v="4"/>
    <n v="1"/>
    <n v="3"/>
    <x v="1"/>
    <n v="1"/>
    <x v="2"/>
    <x v="2"/>
    <s v="6-10 Years"/>
    <s v="Very High"/>
    <s v="Best"/>
  </r>
  <r>
    <x v="24"/>
    <s v="No"/>
    <s v="Travel_Rarely"/>
    <n v="264"/>
    <x v="0"/>
    <n v="9"/>
    <n v="3"/>
    <s v="Marketing"/>
    <n v="1"/>
    <n v="1591"/>
    <n v="3"/>
    <x v="1"/>
    <n v="59"/>
    <n v="3"/>
    <n v="5"/>
    <x v="5"/>
    <n v="3"/>
    <s v="Married"/>
    <n v="19331"/>
    <n v="19519"/>
    <n v="4"/>
    <s v="Y"/>
    <x v="0"/>
    <n v="16"/>
    <n v="3"/>
    <n v="3"/>
    <n v="80"/>
    <n v="1"/>
    <n v="27"/>
    <n v="2"/>
    <n v="3"/>
    <n v="1"/>
    <n v="0"/>
    <n v="0"/>
    <n v="0"/>
    <x v="1"/>
    <n v="1"/>
    <x v="1"/>
    <x v="2"/>
    <s v="0-1 Years"/>
    <s v="High"/>
    <s v="Better"/>
  </r>
  <r>
    <x v="30"/>
    <s v="No"/>
    <s v="Travel_Rarely"/>
    <n v="977"/>
    <x v="1"/>
    <n v="10"/>
    <n v="3"/>
    <s v="Technical Degree"/>
    <n v="1"/>
    <n v="1592"/>
    <n v="4"/>
    <x v="1"/>
    <n v="45"/>
    <n v="4"/>
    <n v="1"/>
    <x v="1"/>
    <n v="3"/>
    <s v="Married"/>
    <n v="2073"/>
    <n v="12826"/>
    <n v="2"/>
    <s v="Y"/>
    <x v="1"/>
    <n v="16"/>
    <n v="3"/>
    <n v="4"/>
    <n v="80"/>
    <n v="1"/>
    <n v="4"/>
    <n v="2"/>
    <n v="3"/>
    <n v="2"/>
    <n v="2"/>
    <n v="2"/>
    <n v="2"/>
    <x v="1"/>
    <n v="1"/>
    <x v="4"/>
    <x v="1"/>
    <s v="2-5 Years"/>
    <s v="High"/>
    <s v="Better"/>
  </r>
  <r>
    <x v="9"/>
    <s v="No"/>
    <s v="Travel_Frequently"/>
    <n v="1302"/>
    <x v="1"/>
    <n v="6"/>
    <n v="4"/>
    <s v="Life Sciences"/>
    <n v="1"/>
    <n v="1594"/>
    <n v="1"/>
    <x v="1"/>
    <n v="80"/>
    <n v="4"/>
    <n v="2"/>
    <x v="2"/>
    <n v="1"/>
    <s v="Married"/>
    <n v="5562"/>
    <n v="19711"/>
    <n v="3"/>
    <s v="Y"/>
    <x v="0"/>
    <n v="13"/>
    <n v="3"/>
    <n v="4"/>
    <n v="80"/>
    <n v="1"/>
    <n v="9"/>
    <n v="3"/>
    <n v="3"/>
    <n v="3"/>
    <n v="2"/>
    <n v="0"/>
    <n v="2"/>
    <x v="1"/>
    <n v="1"/>
    <x v="0"/>
    <x v="0"/>
    <s v="2-5 Years"/>
    <s v="Low"/>
    <s v="Better"/>
  </r>
  <r>
    <x v="19"/>
    <s v="No"/>
    <s v="Travel_Rarely"/>
    <n v="1059"/>
    <x v="1"/>
    <n v="9"/>
    <n v="2"/>
    <s v="Other"/>
    <n v="1"/>
    <n v="1595"/>
    <n v="4"/>
    <x v="1"/>
    <n v="93"/>
    <n v="2"/>
    <n v="5"/>
    <x v="5"/>
    <n v="4"/>
    <s v="Single"/>
    <n v="19613"/>
    <n v="26362"/>
    <n v="8"/>
    <s v="Y"/>
    <x v="1"/>
    <n v="22"/>
    <n v="4"/>
    <n v="4"/>
    <n v="80"/>
    <n v="0"/>
    <n v="24"/>
    <n v="2"/>
    <n v="3"/>
    <n v="1"/>
    <n v="0"/>
    <n v="0"/>
    <n v="1"/>
    <x v="1"/>
    <n v="1"/>
    <x v="0"/>
    <x v="2"/>
    <s v="0-1 Years"/>
    <s v="Very High"/>
    <s v="Better"/>
  </r>
  <r>
    <x v="10"/>
    <s v="No"/>
    <s v="Travel_Rarely"/>
    <n v="750"/>
    <x v="1"/>
    <n v="28"/>
    <n v="3"/>
    <s v="Life Sciences"/>
    <n v="1"/>
    <n v="1596"/>
    <n v="2"/>
    <x v="1"/>
    <n v="46"/>
    <n v="4"/>
    <n v="2"/>
    <x v="2"/>
    <n v="3"/>
    <s v="Married"/>
    <n v="3407"/>
    <n v="25348"/>
    <n v="1"/>
    <s v="Y"/>
    <x v="1"/>
    <n v="17"/>
    <n v="3"/>
    <n v="4"/>
    <n v="80"/>
    <n v="2"/>
    <n v="10"/>
    <n v="3"/>
    <n v="2"/>
    <n v="10"/>
    <n v="9"/>
    <n v="6"/>
    <n v="8"/>
    <x v="1"/>
    <n v="1"/>
    <x v="0"/>
    <x v="0"/>
    <s v="6-10 Years"/>
    <s v="High"/>
    <s v="Good"/>
  </r>
  <r>
    <x v="13"/>
    <s v="No"/>
    <s v="Travel_Frequently"/>
    <n v="653"/>
    <x v="1"/>
    <n v="10"/>
    <n v="4"/>
    <s v="Technical Degree"/>
    <n v="1"/>
    <n v="1597"/>
    <n v="4"/>
    <x v="1"/>
    <n v="92"/>
    <n v="2"/>
    <n v="2"/>
    <x v="4"/>
    <n v="3"/>
    <s v="Married"/>
    <n v="5063"/>
    <n v="15332"/>
    <n v="1"/>
    <s v="Y"/>
    <x v="1"/>
    <n v="14"/>
    <n v="3"/>
    <n v="2"/>
    <n v="80"/>
    <n v="1"/>
    <n v="8"/>
    <n v="3"/>
    <n v="2"/>
    <n v="8"/>
    <n v="2"/>
    <n v="7"/>
    <n v="7"/>
    <x v="1"/>
    <n v="1"/>
    <x v="2"/>
    <x v="0"/>
    <s v="6-10 Years"/>
    <s v="High"/>
    <s v="Good"/>
  </r>
  <r>
    <x v="32"/>
    <s v="No"/>
    <s v="Travel_Rarely"/>
    <n v="118"/>
    <x v="0"/>
    <n v="14"/>
    <n v="2"/>
    <s v="Life Sciences"/>
    <n v="1"/>
    <n v="1598"/>
    <n v="4"/>
    <x v="0"/>
    <n v="84"/>
    <n v="3"/>
    <n v="2"/>
    <x v="0"/>
    <n v="1"/>
    <s v="Married"/>
    <n v="4639"/>
    <n v="11262"/>
    <n v="1"/>
    <s v="Y"/>
    <x v="1"/>
    <n v="15"/>
    <n v="3"/>
    <n v="3"/>
    <n v="80"/>
    <n v="1"/>
    <n v="5"/>
    <n v="2"/>
    <n v="3"/>
    <n v="5"/>
    <n v="4"/>
    <n v="1"/>
    <n v="2"/>
    <x v="1"/>
    <n v="1"/>
    <x v="0"/>
    <x v="0"/>
    <s v="2-5 Years"/>
    <s v="Low"/>
    <s v="Better"/>
  </r>
  <r>
    <x v="23"/>
    <s v="No"/>
    <s v="Travel_Rarely"/>
    <n v="990"/>
    <x v="1"/>
    <n v="27"/>
    <n v="3"/>
    <s v="Technical Degree"/>
    <n v="1"/>
    <n v="1599"/>
    <n v="4"/>
    <x v="1"/>
    <n v="87"/>
    <n v="4"/>
    <n v="1"/>
    <x v="2"/>
    <n v="2"/>
    <s v="Divorced"/>
    <n v="4876"/>
    <n v="5855"/>
    <n v="5"/>
    <s v="Y"/>
    <x v="1"/>
    <n v="12"/>
    <n v="3"/>
    <n v="3"/>
    <n v="80"/>
    <n v="1"/>
    <n v="8"/>
    <n v="0"/>
    <n v="3"/>
    <n v="6"/>
    <n v="4"/>
    <n v="0"/>
    <n v="2"/>
    <x v="1"/>
    <n v="1"/>
    <x v="0"/>
    <x v="0"/>
    <s v="6-10 Years"/>
    <s v="Medium"/>
    <s v="Better"/>
  </r>
  <r>
    <x v="10"/>
    <s v="No"/>
    <s v="Travel_Rarely"/>
    <n v="1349"/>
    <x v="1"/>
    <n v="7"/>
    <n v="2"/>
    <s v="Life Sciences"/>
    <n v="1"/>
    <n v="1601"/>
    <n v="3"/>
    <x v="1"/>
    <n v="63"/>
    <n v="2"/>
    <n v="1"/>
    <x v="2"/>
    <n v="4"/>
    <s v="Married"/>
    <n v="2690"/>
    <n v="7713"/>
    <n v="1"/>
    <s v="Y"/>
    <x v="1"/>
    <n v="18"/>
    <n v="3"/>
    <n v="4"/>
    <n v="80"/>
    <n v="1"/>
    <n v="1"/>
    <n v="5"/>
    <n v="2"/>
    <n v="1"/>
    <n v="0"/>
    <n v="0"/>
    <n v="1"/>
    <x v="1"/>
    <n v="1"/>
    <x v="0"/>
    <x v="1"/>
    <s v="0-1 Years"/>
    <s v="Very High"/>
    <s v="Good"/>
  </r>
  <r>
    <x v="21"/>
    <s v="No"/>
    <s v="Travel_Rarely"/>
    <n v="563"/>
    <x v="0"/>
    <n v="1"/>
    <n v="4"/>
    <s v="Life Sciences"/>
    <n v="1"/>
    <n v="1602"/>
    <n v="4"/>
    <x v="1"/>
    <n v="56"/>
    <n v="4"/>
    <n v="4"/>
    <x v="5"/>
    <n v="1"/>
    <s v="Single"/>
    <n v="17567"/>
    <n v="3156"/>
    <n v="1"/>
    <s v="Y"/>
    <x v="1"/>
    <n v="15"/>
    <n v="3"/>
    <n v="2"/>
    <n v="80"/>
    <n v="0"/>
    <n v="27"/>
    <n v="5"/>
    <n v="1"/>
    <n v="26"/>
    <n v="0"/>
    <n v="0"/>
    <n v="12"/>
    <x v="1"/>
    <n v="1"/>
    <x v="1"/>
    <x v="2"/>
    <s v="10+ Years"/>
    <s v="Low"/>
    <s v="Bad"/>
  </r>
  <r>
    <x v="14"/>
    <s v="Yes"/>
    <s v="Travel_Rarely"/>
    <n v="329"/>
    <x v="1"/>
    <n v="24"/>
    <n v="3"/>
    <s v="Medical"/>
    <n v="1"/>
    <n v="1604"/>
    <n v="3"/>
    <x v="1"/>
    <n v="51"/>
    <n v="3"/>
    <n v="1"/>
    <x v="2"/>
    <n v="2"/>
    <s v="Married"/>
    <n v="2408"/>
    <n v="7324"/>
    <n v="1"/>
    <s v="Y"/>
    <x v="0"/>
    <n v="17"/>
    <n v="3"/>
    <n v="3"/>
    <n v="80"/>
    <n v="3"/>
    <n v="1"/>
    <n v="3"/>
    <n v="3"/>
    <n v="1"/>
    <n v="1"/>
    <n v="0"/>
    <n v="0"/>
    <x v="0"/>
    <n v="0"/>
    <x v="2"/>
    <x v="1"/>
    <s v="0-1 Years"/>
    <s v="Medium"/>
    <s v="Better"/>
  </r>
  <r>
    <x v="15"/>
    <s v="No"/>
    <s v="Non-Travel"/>
    <n v="457"/>
    <x v="1"/>
    <n v="26"/>
    <n v="2"/>
    <s v="Other"/>
    <n v="1"/>
    <n v="1605"/>
    <n v="2"/>
    <x v="0"/>
    <n v="85"/>
    <n v="2"/>
    <n v="1"/>
    <x v="1"/>
    <n v="3"/>
    <s v="Married"/>
    <n v="2814"/>
    <n v="10293"/>
    <n v="1"/>
    <s v="Y"/>
    <x v="0"/>
    <n v="14"/>
    <n v="3"/>
    <n v="2"/>
    <n v="80"/>
    <n v="0"/>
    <n v="4"/>
    <n v="2"/>
    <n v="2"/>
    <n v="4"/>
    <n v="2"/>
    <n v="1"/>
    <n v="3"/>
    <x v="1"/>
    <n v="1"/>
    <x v="4"/>
    <x v="1"/>
    <s v="2-5 Years"/>
    <s v="High"/>
    <s v="Good"/>
  </r>
  <r>
    <x v="24"/>
    <s v="No"/>
    <s v="Travel_Frequently"/>
    <n v="1234"/>
    <x v="1"/>
    <n v="20"/>
    <n v="5"/>
    <s v="Medical"/>
    <n v="1"/>
    <n v="1606"/>
    <n v="2"/>
    <x v="1"/>
    <n v="41"/>
    <n v="3"/>
    <n v="4"/>
    <x v="4"/>
    <n v="3"/>
    <s v="Married"/>
    <n v="11245"/>
    <n v="20689"/>
    <n v="2"/>
    <s v="Y"/>
    <x v="0"/>
    <n v="15"/>
    <n v="3"/>
    <n v="3"/>
    <n v="80"/>
    <n v="1"/>
    <n v="32"/>
    <n v="3"/>
    <n v="3"/>
    <n v="30"/>
    <n v="8"/>
    <n v="12"/>
    <n v="13"/>
    <x v="1"/>
    <n v="1"/>
    <x v="1"/>
    <x v="2"/>
    <s v="10+ Years"/>
    <s v="High"/>
    <s v="Better"/>
  </r>
  <r>
    <x v="5"/>
    <s v="No"/>
    <s v="Travel_Rarely"/>
    <n v="634"/>
    <x v="1"/>
    <n v="5"/>
    <n v="4"/>
    <s v="Other"/>
    <n v="1"/>
    <n v="1607"/>
    <n v="2"/>
    <x v="0"/>
    <n v="35"/>
    <n v="4"/>
    <n v="1"/>
    <x v="1"/>
    <n v="4"/>
    <s v="Married"/>
    <n v="3312"/>
    <n v="18783"/>
    <n v="3"/>
    <s v="Y"/>
    <x v="1"/>
    <n v="17"/>
    <n v="3"/>
    <n v="4"/>
    <n v="80"/>
    <n v="2"/>
    <n v="6"/>
    <n v="3"/>
    <n v="3"/>
    <n v="3"/>
    <n v="2"/>
    <n v="0"/>
    <n v="2"/>
    <x v="1"/>
    <n v="1"/>
    <x v="2"/>
    <x v="0"/>
    <s v="2-5 Years"/>
    <s v="Very High"/>
    <s v="Better"/>
  </r>
  <r>
    <x v="20"/>
    <s v="No"/>
    <s v="Travel_Rarely"/>
    <n v="1313"/>
    <x v="1"/>
    <n v="7"/>
    <n v="3"/>
    <s v="Medical"/>
    <n v="1"/>
    <n v="1608"/>
    <n v="2"/>
    <x v="0"/>
    <n v="31"/>
    <n v="3"/>
    <n v="5"/>
    <x v="7"/>
    <n v="4"/>
    <s v="Divorced"/>
    <n v="19049"/>
    <n v="3549"/>
    <n v="0"/>
    <s v="Y"/>
    <x v="0"/>
    <n v="14"/>
    <n v="3"/>
    <n v="4"/>
    <n v="80"/>
    <n v="1"/>
    <n v="23"/>
    <n v="4"/>
    <n v="2"/>
    <n v="22"/>
    <n v="7"/>
    <n v="1"/>
    <n v="10"/>
    <x v="1"/>
    <n v="1"/>
    <x v="0"/>
    <x v="2"/>
    <s v="10+ Years"/>
    <s v="Very High"/>
    <s v="Good"/>
  </r>
  <r>
    <x v="7"/>
    <s v="No"/>
    <s v="Travel_Rarely"/>
    <n v="241"/>
    <x v="1"/>
    <n v="7"/>
    <n v="3"/>
    <s v="Medical"/>
    <n v="1"/>
    <n v="1609"/>
    <n v="2"/>
    <x v="1"/>
    <n v="48"/>
    <n v="2"/>
    <n v="1"/>
    <x v="1"/>
    <n v="2"/>
    <s v="Married"/>
    <n v="2141"/>
    <n v="5348"/>
    <n v="1"/>
    <s v="Y"/>
    <x v="1"/>
    <n v="12"/>
    <n v="3"/>
    <n v="2"/>
    <n v="80"/>
    <n v="1"/>
    <n v="6"/>
    <n v="3"/>
    <n v="2"/>
    <n v="6"/>
    <n v="4"/>
    <n v="1"/>
    <n v="1"/>
    <x v="1"/>
    <n v="1"/>
    <x v="2"/>
    <x v="1"/>
    <s v="6-10 Years"/>
    <s v="Medium"/>
    <s v="Good"/>
  </r>
  <r>
    <x v="28"/>
    <s v="No"/>
    <s v="Travel_Rarely"/>
    <n v="1015"/>
    <x v="1"/>
    <n v="5"/>
    <n v="5"/>
    <s v="Medical"/>
    <n v="1"/>
    <n v="1611"/>
    <n v="3"/>
    <x v="0"/>
    <n v="50"/>
    <n v="1"/>
    <n v="2"/>
    <x v="2"/>
    <n v="1"/>
    <s v="Single"/>
    <n v="5769"/>
    <n v="23447"/>
    <n v="1"/>
    <s v="Y"/>
    <x v="0"/>
    <n v="14"/>
    <n v="3"/>
    <n v="1"/>
    <n v="80"/>
    <n v="0"/>
    <n v="10"/>
    <n v="3"/>
    <n v="3"/>
    <n v="10"/>
    <n v="7"/>
    <n v="1"/>
    <n v="4"/>
    <x v="1"/>
    <n v="1"/>
    <x v="1"/>
    <x v="0"/>
    <s v="6-10 Years"/>
    <s v="Low"/>
    <s v="Better"/>
  </r>
  <r>
    <x v="28"/>
    <s v="No"/>
    <s v="Non-Travel"/>
    <n v="336"/>
    <x v="0"/>
    <n v="26"/>
    <n v="3"/>
    <s v="Marketing"/>
    <n v="1"/>
    <n v="1612"/>
    <n v="1"/>
    <x v="1"/>
    <n v="52"/>
    <n v="2"/>
    <n v="2"/>
    <x v="0"/>
    <n v="1"/>
    <s v="Married"/>
    <n v="4385"/>
    <n v="24162"/>
    <n v="1"/>
    <s v="Y"/>
    <x v="1"/>
    <n v="15"/>
    <n v="3"/>
    <n v="1"/>
    <n v="80"/>
    <n v="1"/>
    <n v="10"/>
    <n v="2"/>
    <n v="3"/>
    <n v="10"/>
    <n v="7"/>
    <n v="4"/>
    <n v="5"/>
    <x v="1"/>
    <n v="1"/>
    <x v="1"/>
    <x v="0"/>
    <s v="6-10 Years"/>
    <s v="Low"/>
    <s v="Better"/>
  </r>
  <r>
    <x v="12"/>
    <s v="No"/>
    <s v="Travel_Frequently"/>
    <n v="715"/>
    <x v="0"/>
    <n v="2"/>
    <n v="4"/>
    <s v="Other"/>
    <n v="1"/>
    <n v="1613"/>
    <n v="4"/>
    <x v="1"/>
    <n v="54"/>
    <n v="3"/>
    <n v="2"/>
    <x v="0"/>
    <n v="1"/>
    <s v="Single"/>
    <n v="5332"/>
    <n v="21602"/>
    <n v="7"/>
    <s v="Y"/>
    <x v="1"/>
    <n v="13"/>
    <n v="3"/>
    <n v="4"/>
    <n v="80"/>
    <n v="0"/>
    <n v="10"/>
    <n v="3"/>
    <n v="3"/>
    <n v="5"/>
    <n v="2"/>
    <n v="0"/>
    <n v="3"/>
    <x v="1"/>
    <n v="1"/>
    <x v="2"/>
    <x v="0"/>
    <s v="2-5 Years"/>
    <s v="Low"/>
    <s v="Better"/>
  </r>
  <r>
    <x v="9"/>
    <s v="No"/>
    <s v="Travel_Rarely"/>
    <n v="559"/>
    <x v="1"/>
    <n v="12"/>
    <n v="4"/>
    <s v="Life Sciences"/>
    <n v="1"/>
    <n v="1614"/>
    <n v="3"/>
    <x v="0"/>
    <n v="76"/>
    <n v="3"/>
    <n v="2"/>
    <x v="3"/>
    <n v="3"/>
    <s v="Married"/>
    <n v="4663"/>
    <n v="12421"/>
    <n v="9"/>
    <s v="Y"/>
    <x v="0"/>
    <n v="12"/>
    <n v="3"/>
    <n v="2"/>
    <n v="80"/>
    <n v="2"/>
    <n v="7"/>
    <n v="2"/>
    <n v="3"/>
    <n v="3"/>
    <n v="2"/>
    <n v="1"/>
    <n v="1"/>
    <x v="1"/>
    <n v="1"/>
    <x v="0"/>
    <x v="0"/>
    <s v="2-5 Years"/>
    <s v="High"/>
    <s v="Better"/>
  </r>
  <r>
    <x v="13"/>
    <s v="No"/>
    <s v="Travel_Frequently"/>
    <n v="426"/>
    <x v="1"/>
    <n v="10"/>
    <n v="4"/>
    <s v="Life Sciences"/>
    <n v="1"/>
    <n v="1615"/>
    <n v="3"/>
    <x v="1"/>
    <n v="42"/>
    <n v="4"/>
    <n v="2"/>
    <x v="3"/>
    <n v="4"/>
    <s v="Divorced"/>
    <n v="4724"/>
    <n v="17000"/>
    <n v="1"/>
    <s v="Y"/>
    <x v="1"/>
    <n v="13"/>
    <n v="3"/>
    <n v="1"/>
    <n v="80"/>
    <n v="1"/>
    <n v="9"/>
    <n v="3"/>
    <n v="3"/>
    <n v="9"/>
    <n v="7"/>
    <n v="7"/>
    <n v="2"/>
    <x v="1"/>
    <n v="1"/>
    <x v="2"/>
    <x v="0"/>
    <s v="6-10 Years"/>
    <s v="Very High"/>
    <s v="Better"/>
  </r>
  <r>
    <x v="1"/>
    <s v="No"/>
    <s v="Travel_Rarely"/>
    <n v="722"/>
    <x v="1"/>
    <n v="25"/>
    <n v="4"/>
    <s v="Life Sciences"/>
    <n v="1"/>
    <n v="1617"/>
    <n v="3"/>
    <x v="0"/>
    <n v="84"/>
    <n v="3"/>
    <n v="1"/>
    <x v="2"/>
    <n v="1"/>
    <s v="Married"/>
    <n v="3211"/>
    <n v="22102"/>
    <n v="1"/>
    <s v="Y"/>
    <x v="1"/>
    <n v="14"/>
    <n v="3"/>
    <n v="4"/>
    <n v="80"/>
    <n v="1"/>
    <n v="10"/>
    <n v="3"/>
    <n v="2"/>
    <n v="9"/>
    <n v="6"/>
    <n v="1"/>
    <n v="4"/>
    <x v="1"/>
    <n v="1"/>
    <x v="1"/>
    <x v="0"/>
    <s v="6-10 Years"/>
    <s v="Low"/>
    <s v="Good"/>
  </r>
  <r>
    <x v="22"/>
    <s v="No"/>
    <s v="Travel_Rarely"/>
    <n v="1387"/>
    <x v="1"/>
    <n v="10"/>
    <n v="5"/>
    <s v="Medical"/>
    <n v="1"/>
    <n v="1618"/>
    <n v="2"/>
    <x v="1"/>
    <n v="76"/>
    <n v="3"/>
    <n v="2"/>
    <x v="3"/>
    <n v="1"/>
    <s v="Married"/>
    <n v="5377"/>
    <n v="3835"/>
    <n v="2"/>
    <s v="Y"/>
    <x v="1"/>
    <n v="13"/>
    <n v="3"/>
    <n v="4"/>
    <n v="80"/>
    <n v="3"/>
    <n v="10"/>
    <n v="3"/>
    <n v="3"/>
    <n v="7"/>
    <n v="7"/>
    <n v="7"/>
    <n v="7"/>
    <x v="1"/>
    <n v="1"/>
    <x v="0"/>
    <x v="0"/>
    <s v="6-10 Years"/>
    <s v="Low"/>
    <s v="Better"/>
  </r>
  <r>
    <x v="4"/>
    <s v="No"/>
    <s v="Travel_Rarely"/>
    <n v="1302"/>
    <x v="1"/>
    <n v="19"/>
    <n v="3"/>
    <s v="Other"/>
    <n v="1"/>
    <n v="1619"/>
    <n v="4"/>
    <x v="1"/>
    <n v="67"/>
    <n v="2"/>
    <n v="1"/>
    <x v="2"/>
    <n v="1"/>
    <s v="Divorced"/>
    <n v="4066"/>
    <n v="16290"/>
    <n v="1"/>
    <s v="Y"/>
    <x v="1"/>
    <n v="11"/>
    <n v="3"/>
    <n v="1"/>
    <n v="80"/>
    <n v="2"/>
    <n v="7"/>
    <n v="3"/>
    <n v="3"/>
    <n v="7"/>
    <n v="7"/>
    <n v="0"/>
    <n v="7"/>
    <x v="1"/>
    <n v="1"/>
    <x v="2"/>
    <x v="0"/>
    <s v="6-10 Years"/>
    <s v="Low"/>
    <s v="Better"/>
  </r>
  <r>
    <x v="10"/>
    <s v="No"/>
    <s v="Travel_Rarely"/>
    <n v="819"/>
    <x v="1"/>
    <n v="18"/>
    <n v="5"/>
    <s v="Life Sciences"/>
    <n v="1"/>
    <n v="1621"/>
    <n v="2"/>
    <x v="1"/>
    <n v="48"/>
    <n v="4"/>
    <n v="2"/>
    <x v="1"/>
    <n v="1"/>
    <s v="Married"/>
    <n v="5208"/>
    <n v="26312"/>
    <n v="1"/>
    <s v="Y"/>
    <x v="1"/>
    <n v="11"/>
    <n v="3"/>
    <n v="4"/>
    <n v="80"/>
    <n v="0"/>
    <n v="16"/>
    <n v="2"/>
    <n v="3"/>
    <n v="16"/>
    <n v="15"/>
    <n v="1"/>
    <n v="10"/>
    <x v="1"/>
    <n v="1"/>
    <x v="0"/>
    <x v="0"/>
    <s v="10+ Years"/>
    <s v="Low"/>
    <s v="Better"/>
  </r>
  <r>
    <x v="14"/>
    <s v="No"/>
    <s v="Travel_Rarely"/>
    <n v="580"/>
    <x v="1"/>
    <n v="27"/>
    <n v="3"/>
    <s v="Medical"/>
    <n v="1"/>
    <n v="1622"/>
    <n v="2"/>
    <x v="0"/>
    <n v="39"/>
    <n v="1"/>
    <n v="2"/>
    <x v="3"/>
    <n v="1"/>
    <s v="Divorced"/>
    <n v="4877"/>
    <n v="20460"/>
    <n v="0"/>
    <s v="Y"/>
    <x v="1"/>
    <n v="21"/>
    <n v="4"/>
    <n v="2"/>
    <n v="80"/>
    <n v="1"/>
    <n v="6"/>
    <n v="5"/>
    <n v="2"/>
    <n v="5"/>
    <n v="3"/>
    <n v="0"/>
    <n v="0"/>
    <x v="1"/>
    <n v="1"/>
    <x v="2"/>
    <x v="0"/>
    <s v="2-5 Years"/>
    <s v="Low"/>
    <s v="Good"/>
  </r>
  <r>
    <x v="18"/>
    <s v="No"/>
    <s v="Travel_Rarely"/>
    <n v="546"/>
    <x v="1"/>
    <n v="5"/>
    <n v="1"/>
    <s v="Medical"/>
    <n v="1"/>
    <n v="1623"/>
    <n v="3"/>
    <x v="1"/>
    <n v="97"/>
    <n v="3"/>
    <n v="1"/>
    <x v="1"/>
    <n v="4"/>
    <s v="Single"/>
    <n v="3117"/>
    <n v="26009"/>
    <n v="1"/>
    <s v="Y"/>
    <x v="1"/>
    <n v="18"/>
    <n v="3"/>
    <n v="3"/>
    <n v="80"/>
    <n v="0"/>
    <n v="3"/>
    <n v="2"/>
    <n v="3"/>
    <n v="2"/>
    <n v="2"/>
    <n v="2"/>
    <n v="2"/>
    <x v="1"/>
    <n v="1"/>
    <x v="4"/>
    <x v="0"/>
    <s v="2-5 Years"/>
    <s v="Very High"/>
    <s v="Better"/>
  </r>
  <r>
    <x v="41"/>
    <s v="Yes"/>
    <s v="Travel_Frequently"/>
    <n v="544"/>
    <x v="0"/>
    <n v="3"/>
    <n v="2"/>
    <s v="Medical"/>
    <n v="1"/>
    <n v="1624"/>
    <n v="2"/>
    <x v="0"/>
    <n v="70"/>
    <n v="3"/>
    <n v="1"/>
    <x v="6"/>
    <n v="4"/>
    <s v="Single"/>
    <n v="1569"/>
    <n v="18420"/>
    <n v="1"/>
    <s v="Y"/>
    <x v="0"/>
    <n v="12"/>
    <n v="3"/>
    <n v="3"/>
    <n v="80"/>
    <n v="0"/>
    <n v="0"/>
    <n v="2"/>
    <n v="4"/>
    <n v="0"/>
    <n v="0"/>
    <n v="0"/>
    <n v="0"/>
    <x v="0"/>
    <n v="0"/>
    <x v="4"/>
    <x v="1"/>
    <s v="0-1 Years"/>
    <s v="Very High"/>
    <s v="Best"/>
  </r>
  <r>
    <x v="40"/>
    <s v="No"/>
    <s v="Travel_Rarely"/>
    <n v="1176"/>
    <x v="2"/>
    <n v="26"/>
    <n v="4"/>
    <s v="Life Sciences"/>
    <n v="1"/>
    <n v="1625"/>
    <n v="4"/>
    <x v="0"/>
    <n v="98"/>
    <n v="3"/>
    <n v="5"/>
    <x v="5"/>
    <n v="3"/>
    <s v="Married"/>
    <n v="19658"/>
    <n v="5220"/>
    <n v="3"/>
    <s v="Y"/>
    <x v="1"/>
    <n v="11"/>
    <n v="3"/>
    <n v="3"/>
    <n v="80"/>
    <n v="1"/>
    <n v="27"/>
    <n v="2"/>
    <n v="3"/>
    <n v="5"/>
    <n v="2"/>
    <n v="1"/>
    <n v="0"/>
    <x v="1"/>
    <n v="1"/>
    <x v="1"/>
    <x v="2"/>
    <s v="2-5 Years"/>
    <s v="High"/>
    <s v="Better"/>
  </r>
  <r>
    <x v="22"/>
    <s v="No"/>
    <s v="Travel_Rarely"/>
    <n v="170"/>
    <x v="1"/>
    <n v="3"/>
    <n v="2"/>
    <s v="Medical"/>
    <n v="1"/>
    <n v="1627"/>
    <n v="3"/>
    <x v="1"/>
    <n v="76"/>
    <n v="2"/>
    <n v="2"/>
    <x v="2"/>
    <n v="3"/>
    <s v="Divorced"/>
    <n v="3069"/>
    <n v="10302"/>
    <n v="0"/>
    <s v="Y"/>
    <x v="1"/>
    <n v="15"/>
    <n v="3"/>
    <n v="4"/>
    <n v="80"/>
    <n v="1"/>
    <n v="11"/>
    <n v="3"/>
    <n v="3"/>
    <n v="10"/>
    <n v="8"/>
    <n v="0"/>
    <n v="7"/>
    <x v="1"/>
    <n v="1"/>
    <x v="0"/>
    <x v="0"/>
    <s v="6-10 Years"/>
    <s v="High"/>
    <s v="Better"/>
  </r>
  <r>
    <x v="32"/>
    <s v="No"/>
    <s v="Travel_Rarely"/>
    <n v="884"/>
    <x v="1"/>
    <n v="15"/>
    <n v="3"/>
    <s v="Life Sciences"/>
    <n v="1"/>
    <n v="1628"/>
    <n v="1"/>
    <x v="0"/>
    <n v="80"/>
    <n v="2"/>
    <n v="3"/>
    <x v="3"/>
    <n v="3"/>
    <s v="Married"/>
    <n v="10435"/>
    <n v="25800"/>
    <n v="1"/>
    <s v="Y"/>
    <x v="1"/>
    <n v="13"/>
    <n v="3"/>
    <n v="4"/>
    <n v="80"/>
    <n v="2"/>
    <n v="18"/>
    <n v="2"/>
    <n v="3"/>
    <n v="18"/>
    <n v="15"/>
    <n v="14"/>
    <n v="12"/>
    <x v="1"/>
    <n v="1"/>
    <x v="0"/>
    <x v="2"/>
    <s v="10+ Years"/>
    <s v="High"/>
    <s v="Better"/>
  </r>
  <r>
    <x v="10"/>
    <s v="No"/>
    <s v="Non-Travel"/>
    <n v="208"/>
    <x v="1"/>
    <n v="8"/>
    <n v="4"/>
    <s v="Life Sciences"/>
    <n v="1"/>
    <n v="1630"/>
    <n v="3"/>
    <x v="0"/>
    <n v="52"/>
    <n v="3"/>
    <n v="2"/>
    <x v="4"/>
    <n v="3"/>
    <s v="Married"/>
    <n v="4148"/>
    <n v="12250"/>
    <n v="1"/>
    <s v="Y"/>
    <x v="1"/>
    <n v="12"/>
    <n v="3"/>
    <n v="4"/>
    <n v="80"/>
    <n v="1"/>
    <n v="15"/>
    <n v="5"/>
    <n v="3"/>
    <n v="14"/>
    <n v="11"/>
    <n v="2"/>
    <n v="9"/>
    <x v="1"/>
    <n v="1"/>
    <x v="0"/>
    <x v="0"/>
    <s v="10+ Years"/>
    <s v="High"/>
    <s v="Better"/>
  </r>
  <r>
    <x v="2"/>
    <s v="No"/>
    <s v="Travel_Rarely"/>
    <n v="671"/>
    <x v="1"/>
    <n v="19"/>
    <n v="3"/>
    <s v="Life Sciences"/>
    <n v="1"/>
    <n v="1631"/>
    <n v="3"/>
    <x v="1"/>
    <n v="85"/>
    <n v="3"/>
    <n v="2"/>
    <x v="3"/>
    <n v="3"/>
    <s v="Married"/>
    <n v="5768"/>
    <n v="26493"/>
    <n v="3"/>
    <s v="Y"/>
    <x v="1"/>
    <n v="17"/>
    <n v="3"/>
    <n v="1"/>
    <n v="80"/>
    <n v="3"/>
    <n v="9"/>
    <n v="2"/>
    <n v="2"/>
    <n v="4"/>
    <n v="3"/>
    <n v="0"/>
    <n v="2"/>
    <x v="1"/>
    <n v="1"/>
    <x v="0"/>
    <x v="0"/>
    <s v="2-5 Years"/>
    <s v="High"/>
    <s v="Good"/>
  </r>
  <r>
    <x v="22"/>
    <s v="No"/>
    <s v="Travel_Frequently"/>
    <n v="711"/>
    <x v="1"/>
    <n v="4"/>
    <n v="3"/>
    <s v="Medical"/>
    <n v="1"/>
    <n v="1633"/>
    <n v="1"/>
    <x v="0"/>
    <n v="81"/>
    <n v="3"/>
    <n v="2"/>
    <x v="3"/>
    <n v="3"/>
    <s v="Single"/>
    <n v="5042"/>
    <n v="3140"/>
    <n v="0"/>
    <s v="Y"/>
    <x v="1"/>
    <n v="13"/>
    <n v="3"/>
    <n v="4"/>
    <n v="80"/>
    <n v="0"/>
    <n v="10"/>
    <n v="2"/>
    <n v="1"/>
    <n v="9"/>
    <n v="2"/>
    <n v="3"/>
    <n v="8"/>
    <x v="1"/>
    <n v="1"/>
    <x v="0"/>
    <x v="0"/>
    <s v="6-10 Years"/>
    <s v="High"/>
    <s v="Bad"/>
  </r>
  <r>
    <x v="28"/>
    <s v="No"/>
    <s v="Travel_Rarely"/>
    <n v="1329"/>
    <x v="1"/>
    <n v="2"/>
    <n v="2"/>
    <s v="Other"/>
    <n v="1"/>
    <n v="1635"/>
    <n v="4"/>
    <x v="0"/>
    <n v="59"/>
    <n v="2"/>
    <n v="2"/>
    <x v="3"/>
    <n v="4"/>
    <s v="Divorced"/>
    <n v="5770"/>
    <n v="5388"/>
    <n v="1"/>
    <s v="Y"/>
    <x v="1"/>
    <n v="19"/>
    <n v="3"/>
    <n v="1"/>
    <n v="80"/>
    <n v="2"/>
    <n v="10"/>
    <n v="3"/>
    <n v="3"/>
    <n v="10"/>
    <n v="7"/>
    <n v="3"/>
    <n v="9"/>
    <x v="1"/>
    <n v="1"/>
    <x v="1"/>
    <x v="0"/>
    <s v="6-10 Years"/>
    <s v="Very High"/>
    <s v="Better"/>
  </r>
  <r>
    <x v="8"/>
    <s v="No"/>
    <s v="Travel_Rarely"/>
    <n v="397"/>
    <x v="1"/>
    <n v="2"/>
    <n v="2"/>
    <s v="Medical"/>
    <n v="1"/>
    <n v="1638"/>
    <n v="4"/>
    <x v="0"/>
    <n v="54"/>
    <n v="2"/>
    <n v="3"/>
    <x v="3"/>
    <n v="3"/>
    <s v="Married"/>
    <n v="7756"/>
    <n v="14199"/>
    <n v="3"/>
    <s v="Y"/>
    <x v="0"/>
    <n v="19"/>
    <n v="3"/>
    <n v="4"/>
    <n v="80"/>
    <n v="1"/>
    <n v="10"/>
    <n v="6"/>
    <n v="4"/>
    <n v="5"/>
    <n v="4"/>
    <n v="0"/>
    <n v="2"/>
    <x v="1"/>
    <n v="1"/>
    <x v="0"/>
    <x v="2"/>
    <s v="2-5 Years"/>
    <s v="High"/>
    <s v="Best"/>
  </r>
  <r>
    <x v="10"/>
    <s v="Yes"/>
    <s v="Travel_Rarely"/>
    <n v="737"/>
    <x v="0"/>
    <n v="10"/>
    <n v="3"/>
    <s v="Medical"/>
    <n v="1"/>
    <n v="1639"/>
    <n v="4"/>
    <x v="1"/>
    <n v="55"/>
    <n v="2"/>
    <n v="3"/>
    <x v="0"/>
    <n v="1"/>
    <s v="Married"/>
    <n v="10306"/>
    <n v="21530"/>
    <n v="9"/>
    <s v="Y"/>
    <x v="1"/>
    <n v="17"/>
    <n v="3"/>
    <n v="3"/>
    <n v="80"/>
    <n v="0"/>
    <n v="15"/>
    <n v="3"/>
    <n v="3"/>
    <n v="13"/>
    <n v="12"/>
    <n v="6"/>
    <n v="0"/>
    <x v="0"/>
    <n v="0"/>
    <x v="0"/>
    <x v="2"/>
    <s v="10+ Years"/>
    <s v="Low"/>
    <s v="Better"/>
  </r>
  <r>
    <x v="2"/>
    <s v="No"/>
    <s v="Travel_Rarely"/>
    <n v="1470"/>
    <x v="1"/>
    <n v="10"/>
    <n v="3"/>
    <s v="Medical"/>
    <n v="1"/>
    <n v="1640"/>
    <n v="2"/>
    <x v="0"/>
    <n v="71"/>
    <n v="3"/>
    <n v="1"/>
    <x v="1"/>
    <n v="2"/>
    <s v="Married"/>
    <n v="3936"/>
    <n v="9953"/>
    <n v="1"/>
    <s v="Y"/>
    <x v="1"/>
    <n v="11"/>
    <n v="3"/>
    <n v="1"/>
    <n v="80"/>
    <n v="1"/>
    <n v="8"/>
    <n v="2"/>
    <n v="1"/>
    <n v="8"/>
    <n v="4"/>
    <n v="7"/>
    <n v="7"/>
    <x v="1"/>
    <n v="1"/>
    <x v="0"/>
    <x v="0"/>
    <s v="6-10 Years"/>
    <s v="Medium"/>
    <s v="Bad"/>
  </r>
  <r>
    <x v="32"/>
    <s v="No"/>
    <s v="Travel_Rarely"/>
    <n v="448"/>
    <x v="1"/>
    <n v="16"/>
    <n v="3"/>
    <s v="Life Sciences"/>
    <n v="1"/>
    <n v="1641"/>
    <n v="3"/>
    <x v="0"/>
    <n v="84"/>
    <n v="3"/>
    <n v="3"/>
    <x v="3"/>
    <n v="4"/>
    <s v="Single"/>
    <n v="7945"/>
    <n v="19948"/>
    <n v="6"/>
    <s v="Y"/>
    <x v="0"/>
    <n v="15"/>
    <n v="3"/>
    <n v="4"/>
    <n v="80"/>
    <n v="0"/>
    <n v="18"/>
    <n v="2"/>
    <n v="2"/>
    <n v="4"/>
    <n v="2"/>
    <n v="3"/>
    <n v="3"/>
    <x v="1"/>
    <n v="1"/>
    <x v="0"/>
    <x v="2"/>
    <s v="2-5 Years"/>
    <s v="Very High"/>
    <s v="Good"/>
  </r>
  <r>
    <x v="20"/>
    <s v="No"/>
    <s v="Travel_Frequently"/>
    <n v="602"/>
    <x v="2"/>
    <n v="1"/>
    <n v="5"/>
    <s v="Human Resources"/>
    <n v="1"/>
    <n v="1642"/>
    <n v="1"/>
    <x v="1"/>
    <n v="37"/>
    <n v="3"/>
    <n v="2"/>
    <x v="8"/>
    <n v="4"/>
    <s v="Married"/>
    <n v="5743"/>
    <n v="10503"/>
    <n v="4"/>
    <s v="Y"/>
    <x v="0"/>
    <n v="11"/>
    <n v="3"/>
    <n v="3"/>
    <n v="80"/>
    <n v="0"/>
    <n v="14"/>
    <n v="3"/>
    <n v="3"/>
    <n v="10"/>
    <n v="7"/>
    <n v="0"/>
    <n v="2"/>
    <x v="1"/>
    <n v="1"/>
    <x v="0"/>
    <x v="0"/>
    <s v="6-10 Years"/>
    <s v="Very High"/>
    <s v="Better"/>
  </r>
  <r>
    <x v="26"/>
    <s v="No"/>
    <s v="Travel_Frequently"/>
    <n v="365"/>
    <x v="1"/>
    <n v="4"/>
    <n v="5"/>
    <s v="Medical"/>
    <n v="1"/>
    <n v="1644"/>
    <n v="3"/>
    <x v="1"/>
    <n v="89"/>
    <n v="2"/>
    <n v="4"/>
    <x v="5"/>
    <n v="4"/>
    <s v="Married"/>
    <n v="15202"/>
    <n v="5602"/>
    <n v="2"/>
    <s v="Y"/>
    <x v="1"/>
    <n v="25"/>
    <n v="4"/>
    <n v="2"/>
    <n v="80"/>
    <n v="1"/>
    <n v="23"/>
    <n v="3"/>
    <n v="3"/>
    <n v="2"/>
    <n v="2"/>
    <n v="2"/>
    <n v="2"/>
    <x v="1"/>
    <n v="1"/>
    <x v="1"/>
    <x v="2"/>
    <s v="2-5 Years"/>
    <s v="Very High"/>
    <s v="Better"/>
  </r>
  <r>
    <x v="10"/>
    <s v="Yes"/>
    <s v="Travel_Rarely"/>
    <n v="763"/>
    <x v="0"/>
    <n v="15"/>
    <n v="2"/>
    <s v="Medical"/>
    <n v="1"/>
    <n v="1645"/>
    <n v="1"/>
    <x v="1"/>
    <n v="59"/>
    <n v="1"/>
    <n v="2"/>
    <x v="0"/>
    <n v="4"/>
    <s v="Divorced"/>
    <n v="5440"/>
    <n v="22098"/>
    <n v="6"/>
    <s v="Y"/>
    <x v="0"/>
    <n v="14"/>
    <n v="3"/>
    <n v="4"/>
    <n v="80"/>
    <n v="2"/>
    <n v="7"/>
    <n v="2"/>
    <n v="2"/>
    <n v="2"/>
    <n v="2"/>
    <n v="2"/>
    <n v="2"/>
    <x v="0"/>
    <n v="0"/>
    <x v="0"/>
    <x v="0"/>
    <s v="2-5 Years"/>
    <s v="Very High"/>
    <s v="Good"/>
  </r>
  <r>
    <x v="17"/>
    <s v="No"/>
    <s v="Travel_Frequently"/>
    <n v="567"/>
    <x v="1"/>
    <n v="2"/>
    <n v="1"/>
    <s v="Technical Degree"/>
    <n v="1"/>
    <n v="1646"/>
    <n v="1"/>
    <x v="0"/>
    <n v="32"/>
    <n v="3"/>
    <n v="1"/>
    <x v="1"/>
    <n v="4"/>
    <s v="Single"/>
    <n v="3760"/>
    <n v="17218"/>
    <n v="1"/>
    <s v="Y"/>
    <x v="0"/>
    <n v="13"/>
    <n v="3"/>
    <n v="3"/>
    <n v="80"/>
    <n v="0"/>
    <n v="6"/>
    <n v="2"/>
    <n v="3"/>
    <n v="6"/>
    <n v="3"/>
    <n v="1"/>
    <n v="3"/>
    <x v="1"/>
    <n v="1"/>
    <x v="4"/>
    <x v="0"/>
    <s v="6-10 Years"/>
    <s v="Very High"/>
    <s v="Better"/>
  </r>
  <r>
    <x v="4"/>
    <s v="No"/>
    <s v="Travel_Rarely"/>
    <n v="486"/>
    <x v="1"/>
    <n v="8"/>
    <n v="3"/>
    <s v="Medical"/>
    <n v="1"/>
    <n v="1647"/>
    <n v="2"/>
    <x v="0"/>
    <n v="86"/>
    <n v="4"/>
    <n v="1"/>
    <x v="1"/>
    <n v="3"/>
    <s v="Married"/>
    <n v="3517"/>
    <n v="22490"/>
    <n v="7"/>
    <s v="Y"/>
    <x v="1"/>
    <n v="17"/>
    <n v="3"/>
    <n v="1"/>
    <n v="80"/>
    <n v="0"/>
    <n v="5"/>
    <n v="0"/>
    <n v="3"/>
    <n v="3"/>
    <n v="2"/>
    <n v="0"/>
    <n v="2"/>
    <x v="1"/>
    <n v="1"/>
    <x v="2"/>
    <x v="0"/>
    <s v="2-5 Years"/>
    <s v="High"/>
    <s v="Better"/>
  </r>
  <r>
    <x v="4"/>
    <s v="No"/>
    <s v="Travel_Frequently"/>
    <n v="591"/>
    <x v="1"/>
    <n v="2"/>
    <n v="3"/>
    <s v="Medical"/>
    <n v="1"/>
    <n v="1648"/>
    <n v="4"/>
    <x v="1"/>
    <n v="87"/>
    <n v="3"/>
    <n v="1"/>
    <x v="1"/>
    <n v="4"/>
    <s v="Single"/>
    <n v="2580"/>
    <n v="6297"/>
    <n v="2"/>
    <s v="Y"/>
    <x v="1"/>
    <n v="13"/>
    <n v="3"/>
    <n v="3"/>
    <n v="80"/>
    <n v="0"/>
    <n v="6"/>
    <n v="0"/>
    <n v="2"/>
    <n v="4"/>
    <n v="2"/>
    <n v="1"/>
    <n v="2"/>
    <x v="1"/>
    <n v="1"/>
    <x v="2"/>
    <x v="1"/>
    <s v="2-5 Years"/>
    <s v="Very High"/>
    <s v="Good"/>
  </r>
  <r>
    <x v="32"/>
    <s v="Yes"/>
    <s v="Travel_Rarely"/>
    <n v="1329"/>
    <x v="1"/>
    <n v="7"/>
    <n v="3"/>
    <s v="Life Sciences"/>
    <n v="1"/>
    <n v="1649"/>
    <n v="1"/>
    <x v="1"/>
    <n v="73"/>
    <n v="3"/>
    <n v="1"/>
    <x v="2"/>
    <n v="1"/>
    <s v="Single"/>
    <n v="2166"/>
    <n v="3339"/>
    <n v="3"/>
    <s v="Y"/>
    <x v="0"/>
    <n v="14"/>
    <n v="3"/>
    <n v="2"/>
    <n v="80"/>
    <n v="0"/>
    <n v="10"/>
    <n v="3"/>
    <n v="1"/>
    <n v="4"/>
    <n v="2"/>
    <n v="0"/>
    <n v="3"/>
    <x v="0"/>
    <n v="0"/>
    <x v="0"/>
    <x v="1"/>
    <s v="2-5 Years"/>
    <s v="Low"/>
    <s v="Bad"/>
  </r>
  <r>
    <x v="11"/>
    <s v="No"/>
    <s v="Travel_Rarely"/>
    <n v="469"/>
    <x v="0"/>
    <n v="10"/>
    <n v="3"/>
    <s v="Medical"/>
    <n v="1"/>
    <n v="1650"/>
    <n v="3"/>
    <x v="1"/>
    <n v="42"/>
    <n v="2"/>
    <n v="2"/>
    <x v="0"/>
    <n v="3"/>
    <s v="Single"/>
    <n v="5869"/>
    <n v="23413"/>
    <n v="9"/>
    <s v="Y"/>
    <x v="1"/>
    <n v="11"/>
    <n v="3"/>
    <n v="3"/>
    <n v="80"/>
    <n v="0"/>
    <n v="8"/>
    <n v="2"/>
    <n v="3"/>
    <n v="5"/>
    <n v="2"/>
    <n v="1"/>
    <n v="4"/>
    <x v="1"/>
    <n v="1"/>
    <x v="2"/>
    <x v="0"/>
    <s v="2-5 Years"/>
    <s v="High"/>
    <s v="Better"/>
  </r>
  <r>
    <x v="9"/>
    <s v="No"/>
    <s v="Travel_Rarely"/>
    <n v="711"/>
    <x v="1"/>
    <n v="5"/>
    <n v="4"/>
    <s v="Life Sciences"/>
    <n v="1"/>
    <n v="1651"/>
    <n v="2"/>
    <x v="0"/>
    <n v="42"/>
    <n v="3"/>
    <n v="3"/>
    <x v="4"/>
    <n v="1"/>
    <s v="Married"/>
    <n v="8008"/>
    <n v="22792"/>
    <n v="4"/>
    <s v="Y"/>
    <x v="1"/>
    <n v="12"/>
    <n v="3"/>
    <n v="3"/>
    <n v="80"/>
    <n v="2"/>
    <n v="9"/>
    <n v="6"/>
    <n v="3"/>
    <n v="3"/>
    <n v="2"/>
    <n v="0"/>
    <n v="2"/>
    <x v="1"/>
    <n v="1"/>
    <x v="0"/>
    <x v="2"/>
    <s v="2-5 Years"/>
    <s v="Low"/>
    <s v="Better"/>
  </r>
  <r>
    <x v="36"/>
    <s v="No"/>
    <s v="Travel_Frequently"/>
    <n v="772"/>
    <x v="1"/>
    <n v="2"/>
    <n v="1"/>
    <s v="Life Sciences"/>
    <n v="1"/>
    <n v="1653"/>
    <n v="4"/>
    <x v="1"/>
    <n v="77"/>
    <n v="4"/>
    <n v="2"/>
    <x v="3"/>
    <n v="3"/>
    <s v="Divorced"/>
    <n v="5206"/>
    <n v="4973"/>
    <n v="1"/>
    <s v="Y"/>
    <x v="1"/>
    <n v="17"/>
    <n v="3"/>
    <n v="3"/>
    <n v="80"/>
    <n v="2"/>
    <n v="7"/>
    <n v="6"/>
    <n v="3"/>
    <n v="7"/>
    <n v="7"/>
    <n v="0"/>
    <n v="7"/>
    <x v="1"/>
    <n v="1"/>
    <x v="2"/>
    <x v="0"/>
    <s v="6-10 Years"/>
    <s v="High"/>
    <s v="Better"/>
  </r>
  <r>
    <x v="22"/>
    <s v="No"/>
    <s v="Travel_Rarely"/>
    <n v="492"/>
    <x v="1"/>
    <n v="12"/>
    <n v="3"/>
    <s v="Medical"/>
    <n v="1"/>
    <n v="1654"/>
    <n v="4"/>
    <x v="1"/>
    <n v="66"/>
    <n v="3"/>
    <n v="2"/>
    <x v="3"/>
    <n v="2"/>
    <s v="Married"/>
    <n v="5295"/>
    <n v="7693"/>
    <n v="4"/>
    <s v="Y"/>
    <x v="1"/>
    <n v="21"/>
    <n v="4"/>
    <n v="3"/>
    <n v="80"/>
    <n v="0"/>
    <n v="7"/>
    <n v="3"/>
    <n v="3"/>
    <n v="5"/>
    <n v="4"/>
    <n v="1"/>
    <n v="0"/>
    <x v="1"/>
    <n v="1"/>
    <x v="0"/>
    <x v="0"/>
    <s v="2-5 Years"/>
    <s v="Medium"/>
    <s v="Better"/>
  </r>
  <r>
    <x v="1"/>
    <s v="No"/>
    <s v="Travel_Rarely"/>
    <n v="301"/>
    <x v="1"/>
    <n v="22"/>
    <n v="4"/>
    <s v="Other"/>
    <n v="1"/>
    <n v="1655"/>
    <n v="1"/>
    <x v="0"/>
    <n v="72"/>
    <n v="3"/>
    <n v="4"/>
    <x v="7"/>
    <n v="2"/>
    <s v="Married"/>
    <n v="16413"/>
    <n v="3498"/>
    <n v="3"/>
    <s v="Y"/>
    <x v="1"/>
    <n v="16"/>
    <n v="3"/>
    <n v="2"/>
    <n v="80"/>
    <n v="2"/>
    <n v="27"/>
    <n v="2"/>
    <n v="3"/>
    <n v="4"/>
    <n v="2"/>
    <n v="1"/>
    <n v="2"/>
    <x v="1"/>
    <n v="1"/>
    <x v="1"/>
    <x v="2"/>
    <s v="2-5 Years"/>
    <s v="Medium"/>
    <s v="Better"/>
  </r>
  <r>
    <x v="24"/>
    <s v="No"/>
    <s v="Travel_Rarely"/>
    <n v="813"/>
    <x v="1"/>
    <n v="17"/>
    <n v="5"/>
    <s v="Life Sciences"/>
    <n v="1"/>
    <n v="1656"/>
    <n v="4"/>
    <x v="0"/>
    <n v="50"/>
    <n v="2"/>
    <n v="3"/>
    <x v="7"/>
    <n v="1"/>
    <s v="Divorced"/>
    <n v="13269"/>
    <n v="21981"/>
    <n v="5"/>
    <s v="Y"/>
    <x v="1"/>
    <n v="15"/>
    <n v="3"/>
    <n v="3"/>
    <n v="80"/>
    <n v="3"/>
    <n v="19"/>
    <n v="3"/>
    <n v="3"/>
    <n v="14"/>
    <n v="11"/>
    <n v="1"/>
    <n v="11"/>
    <x v="1"/>
    <n v="1"/>
    <x v="1"/>
    <x v="2"/>
    <s v="10+ Years"/>
    <s v="Low"/>
    <s v="Better"/>
  </r>
  <r>
    <x v="35"/>
    <s v="No"/>
    <s v="Travel_Rarely"/>
    <n v="1141"/>
    <x v="0"/>
    <n v="2"/>
    <n v="3"/>
    <s v="Medical"/>
    <n v="1"/>
    <n v="1657"/>
    <n v="3"/>
    <x v="0"/>
    <n v="31"/>
    <n v="3"/>
    <n v="1"/>
    <x v="6"/>
    <n v="3"/>
    <s v="Single"/>
    <n v="2783"/>
    <n v="13251"/>
    <n v="1"/>
    <s v="Y"/>
    <x v="1"/>
    <n v="19"/>
    <n v="3"/>
    <n v="1"/>
    <n v="80"/>
    <n v="0"/>
    <n v="2"/>
    <n v="3"/>
    <n v="3"/>
    <n v="2"/>
    <n v="2"/>
    <n v="2"/>
    <n v="2"/>
    <x v="1"/>
    <n v="1"/>
    <x v="4"/>
    <x v="1"/>
    <s v="2-5 Years"/>
    <s v="High"/>
    <s v="Better"/>
  </r>
  <r>
    <x v="13"/>
    <s v="No"/>
    <s v="Travel_Rarely"/>
    <n v="1130"/>
    <x v="1"/>
    <n v="3"/>
    <n v="3"/>
    <s v="Life Sciences"/>
    <n v="1"/>
    <n v="1658"/>
    <n v="4"/>
    <x v="0"/>
    <n v="66"/>
    <n v="3"/>
    <n v="2"/>
    <x v="1"/>
    <n v="2"/>
    <s v="Divorced"/>
    <n v="5433"/>
    <n v="19332"/>
    <n v="1"/>
    <s v="Y"/>
    <x v="1"/>
    <n v="12"/>
    <n v="3"/>
    <n v="3"/>
    <n v="80"/>
    <n v="1"/>
    <n v="11"/>
    <n v="2"/>
    <n v="3"/>
    <n v="11"/>
    <n v="8"/>
    <n v="7"/>
    <n v="9"/>
    <x v="1"/>
    <n v="1"/>
    <x v="2"/>
    <x v="0"/>
    <s v="10+ Years"/>
    <s v="Medium"/>
    <s v="Better"/>
  </r>
  <r>
    <x v="9"/>
    <s v="No"/>
    <s v="Travel_Rarely"/>
    <n v="311"/>
    <x v="1"/>
    <n v="7"/>
    <n v="3"/>
    <s v="Life Sciences"/>
    <n v="1"/>
    <n v="1659"/>
    <n v="1"/>
    <x v="1"/>
    <n v="77"/>
    <n v="3"/>
    <n v="1"/>
    <x v="2"/>
    <n v="2"/>
    <s v="Single"/>
    <n v="2013"/>
    <n v="10950"/>
    <n v="2"/>
    <s v="Y"/>
    <x v="1"/>
    <n v="11"/>
    <n v="3"/>
    <n v="3"/>
    <n v="80"/>
    <n v="0"/>
    <n v="15"/>
    <n v="4"/>
    <n v="3"/>
    <n v="4"/>
    <n v="3"/>
    <n v="1"/>
    <n v="3"/>
    <x v="1"/>
    <n v="1"/>
    <x v="0"/>
    <x v="1"/>
    <s v="2-5 Years"/>
    <s v="Medium"/>
    <s v="Better"/>
  </r>
  <r>
    <x v="1"/>
    <s v="No"/>
    <s v="Travel_Rarely"/>
    <n v="465"/>
    <x v="1"/>
    <n v="6"/>
    <n v="1"/>
    <s v="Life Sciences"/>
    <n v="1"/>
    <n v="1661"/>
    <n v="3"/>
    <x v="0"/>
    <n v="41"/>
    <n v="2"/>
    <n v="4"/>
    <x v="4"/>
    <n v="3"/>
    <s v="Married"/>
    <n v="13966"/>
    <n v="11652"/>
    <n v="2"/>
    <s v="Y"/>
    <x v="0"/>
    <n v="19"/>
    <n v="3"/>
    <n v="2"/>
    <n v="80"/>
    <n v="1"/>
    <n v="30"/>
    <n v="3"/>
    <n v="3"/>
    <n v="15"/>
    <n v="11"/>
    <n v="2"/>
    <n v="12"/>
    <x v="1"/>
    <n v="1"/>
    <x v="1"/>
    <x v="2"/>
    <s v="10+ Years"/>
    <s v="High"/>
    <s v="Better"/>
  </r>
  <r>
    <x v="9"/>
    <s v="No"/>
    <s v="Non-Travel"/>
    <n v="894"/>
    <x v="1"/>
    <n v="1"/>
    <n v="4"/>
    <s v="Medical"/>
    <n v="1"/>
    <n v="1662"/>
    <n v="4"/>
    <x v="0"/>
    <n v="33"/>
    <n v="2"/>
    <n v="2"/>
    <x v="3"/>
    <n v="3"/>
    <s v="Married"/>
    <n v="4374"/>
    <n v="15411"/>
    <n v="0"/>
    <s v="Y"/>
    <x v="1"/>
    <n v="15"/>
    <n v="3"/>
    <n v="3"/>
    <n v="80"/>
    <n v="0"/>
    <n v="4"/>
    <n v="6"/>
    <n v="3"/>
    <n v="3"/>
    <n v="2"/>
    <n v="1"/>
    <n v="2"/>
    <x v="1"/>
    <n v="1"/>
    <x v="0"/>
    <x v="0"/>
    <s v="2-5 Years"/>
    <s v="High"/>
    <s v="Better"/>
  </r>
  <r>
    <x v="9"/>
    <s v="No"/>
    <s v="Travel_Rarely"/>
    <n v="1040"/>
    <x v="1"/>
    <n v="3"/>
    <n v="2"/>
    <s v="Life Sciences"/>
    <n v="1"/>
    <n v="1664"/>
    <n v="4"/>
    <x v="1"/>
    <n v="79"/>
    <n v="4"/>
    <n v="2"/>
    <x v="4"/>
    <n v="1"/>
    <s v="Divorced"/>
    <n v="6842"/>
    <n v="26308"/>
    <n v="6"/>
    <s v="Y"/>
    <x v="1"/>
    <n v="20"/>
    <n v="4"/>
    <n v="1"/>
    <n v="80"/>
    <n v="1"/>
    <n v="13"/>
    <n v="3"/>
    <n v="3"/>
    <n v="5"/>
    <n v="4"/>
    <n v="0"/>
    <n v="4"/>
    <x v="1"/>
    <n v="1"/>
    <x v="0"/>
    <x v="0"/>
    <s v="2-5 Years"/>
    <s v="Low"/>
    <s v="Better"/>
  </r>
  <r>
    <x v="33"/>
    <s v="No"/>
    <s v="Travel_Rarely"/>
    <n v="584"/>
    <x v="1"/>
    <n v="22"/>
    <n v="5"/>
    <s v="Medical"/>
    <n v="1"/>
    <n v="1665"/>
    <n v="2"/>
    <x v="0"/>
    <n v="91"/>
    <n v="3"/>
    <n v="4"/>
    <x v="5"/>
    <n v="3"/>
    <s v="Married"/>
    <n v="17426"/>
    <n v="18685"/>
    <n v="3"/>
    <s v="Y"/>
    <x v="1"/>
    <n v="25"/>
    <n v="4"/>
    <n v="3"/>
    <n v="80"/>
    <n v="1"/>
    <n v="36"/>
    <n v="6"/>
    <n v="3"/>
    <n v="10"/>
    <n v="8"/>
    <n v="4"/>
    <n v="7"/>
    <x v="1"/>
    <n v="1"/>
    <x v="1"/>
    <x v="2"/>
    <s v="6-10 Years"/>
    <s v="High"/>
    <s v="Better"/>
  </r>
  <r>
    <x v="23"/>
    <s v="No"/>
    <s v="Travel_Rarely"/>
    <n v="1291"/>
    <x v="1"/>
    <n v="15"/>
    <n v="2"/>
    <s v="Life Sciences"/>
    <n v="1"/>
    <n v="1666"/>
    <n v="3"/>
    <x v="1"/>
    <n v="65"/>
    <n v="2"/>
    <n v="4"/>
    <x v="7"/>
    <n v="3"/>
    <s v="Married"/>
    <n v="17603"/>
    <n v="3525"/>
    <n v="1"/>
    <s v="Y"/>
    <x v="1"/>
    <n v="24"/>
    <n v="4"/>
    <n v="1"/>
    <n v="80"/>
    <n v="1"/>
    <n v="14"/>
    <n v="3"/>
    <n v="3"/>
    <n v="14"/>
    <n v="10"/>
    <n v="6"/>
    <n v="11"/>
    <x v="1"/>
    <n v="1"/>
    <x v="0"/>
    <x v="2"/>
    <s v="10+ Years"/>
    <s v="High"/>
    <s v="Better"/>
  </r>
  <r>
    <x v="10"/>
    <s v="Yes"/>
    <s v="Travel_Frequently"/>
    <n v="880"/>
    <x v="0"/>
    <n v="12"/>
    <n v="4"/>
    <s v="Other"/>
    <n v="1"/>
    <n v="1667"/>
    <n v="4"/>
    <x v="1"/>
    <n v="36"/>
    <n v="3"/>
    <n v="2"/>
    <x v="0"/>
    <n v="4"/>
    <s v="Single"/>
    <n v="4581"/>
    <n v="10414"/>
    <n v="3"/>
    <s v="Y"/>
    <x v="0"/>
    <n v="24"/>
    <n v="4"/>
    <n v="1"/>
    <n v="80"/>
    <n v="0"/>
    <n v="13"/>
    <n v="2"/>
    <n v="4"/>
    <n v="11"/>
    <n v="9"/>
    <n v="6"/>
    <n v="7"/>
    <x v="0"/>
    <n v="0"/>
    <x v="0"/>
    <x v="0"/>
    <s v="10+ Years"/>
    <s v="Very High"/>
    <s v="Best"/>
  </r>
  <r>
    <x v="8"/>
    <s v="No"/>
    <s v="Travel_Frequently"/>
    <n v="1189"/>
    <x v="1"/>
    <n v="1"/>
    <n v="3"/>
    <s v="Life Sciences"/>
    <n v="1"/>
    <n v="1668"/>
    <n v="4"/>
    <x v="1"/>
    <n v="90"/>
    <n v="3"/>
    <n v="2"/>
    <x v="1"/>
    <n v="4"/>
    <s v="Married"/>
    <n v="4735"/>
    <n v="9867"/>
    <n v="7"/>
    <s v="Y"/>
    <x v="1"/>
    <n v="15"/>
    <n v="3"/>
    <n v="4"/>
    <n v="80"/>
    <n v="2"/>
    <n v="19"/>
    <n v="4"/>
    <n v="4"/>
    <n v="13"/>
    <n v="11"/>
    <n v="2"/>
    <n v="9"/>
    <x v="1"/>
    <n v="1"/>
    <x v="0"/>
    <x v="0"/>
    <s v="10+ Years"/>
    <s v="Very High"/>
    <s v="Best"/>
  </r>
  <r>
    <x v="11"/>
    <s v="No"/>
    <s v="Travel_Rarely"/>
    <n v="991"/>
    <x v="0"/>
    <n v="5"/>
    <n v="3"/>
    <s v="Medical"/>
    <n v="1"/>
    <n v="1669"/>
    <n v="1"/>
    <x v="1"/>
    <n v="43"/>
    <n v="2"/>
    <n v="2"/>
    <x v="0"/>
    <n v="2"/>
    <s v="Divorced"/>
    <n v="4187"/>
    <n v="3356"/>
    <n v="1"/>
    <s v="Y"/>
    <x v="0"/>
    <n v="13"/>
    <n v="3"/>
    <n v="2"/>
    <n v="80"/>
    <n v="1"/>
    <n v="10"/>
    <n v="3"/>
    <n v="2"/>
    <n v="10"/>
    <n v="0"/>
    <n v="0"/>
    <n v="9"/>
    <x v="1"/>
    <n v="1"/>
    <x v="2"/>
    <x v="0"/>
    <s v="6-10 Years"/>
    <s v="Medium"/>
    <s v="Good"/>
  </r>
  <r>
    <x v="3"/>
    <s v="No"/>
    <s v="Travel_Rarely"/>
    <n v="392"/>
    <x v="0"/>
    <n v="2"/>
    <n v="4"/>
    <s v="Medical"/>
    <n v="1"/>
    <n v="1670"/>
    <n v="4"/>
    <x v="1"/>
    <n v="93"/>
    <n v="3"/>
    <n v="2"/>
    <x v="0"/>
    <n v="4"/>
    <s v="Divorced"/>
    <n v="5505"/>
    <n v="3921"/>
    <n v="1"/>
    <s v="Y"/>
    <x v="1"/>
    <n v="14"/>
    <n v="3"/>
    <n v="3"/>
    <n v="80"/>
    <n v="2"/>
    <n v="6"/>
    <n v="5"/>
    <n v="3"/>
    <n v="6"/>
    <n v="2"/>
    <n v="0"/>
    <n v="4"/>
    <x v="1"/>
    <n v="1"/>
    <x v="2"/>
    <x v="0"/>
    <s v="6-10 Years"/>
    <s v="Very High"/>
    <s v="Better"/>
  </r>
  <r>
    <x v="5"/>
    <s v="No"/>
    <s v="Travel_Rarely"/>
    <n v="977"/>
    <x v="1"/>
    <n v="2"/>
    <n v="3"/>
    <s v="Medical"/>
    <n v="1"/>
    <n v="1671"/>
    <n v="4"/>
    <x v="1"/>
    <n v="45"/>
    <n v="3"/>
    <n v="2"/>
    <x v="1"/>
    <n v="2"/>
    <s v="Divorced"/>
    <n v="5470"/>
    <n v="25518"/>
    <n v="0"/>
    <s v="Y"/>
    <x v="1"/>
    <n v="13"/>
    <n v="3"/>
    <n v="3"/>
    <n v="80"/>
    <n v="2"/>
    <n v="10"/>
    <n v="4"/>
    <n v="2"/>
    <n v="9"/>
    <n v="5"/>
    <n v="1"/>
    <n v="6"/>
    <x v="1"/>
    <n v="1"/>
    <x v="2"/>
    <x v="0"/>
    <s v="6-10 Years"/>
    <s v="Medium"/>
    <s v="Good"/>
  </r>
  <r>
    <x v="12"/>
    <s v="No"/>
    <s v="Travel_Rarely"/>
    <n v="1112"/>
    <x v="0"/>
    <n v="5"/>
    <n v="4"/>
    <s v="Life Sciences"/>
    <n v="1"/>
    <n v="1673"/>
    <n v="1"/>
    <x v="0"/>
    <n v="67"/>
    <n v="3"/>
    <n v="2"/>
    <x v="0"/>
    <n v="4"/>
    <s v="Married"/>
    <n v="5476"/>
    <n v="22589"/>
    <n v="1"/>
    <s v="Y"/>
    <x v="1"/>
    <n v="11"/>
    <n v="3"/>
    <n v="1"/>
    <n v="80"/>
    <n v="2"/>
    <n v="10"/>
    <n v="2"/>
    <n v="3"/>
    <n v="10"/>
    <n v="0"/>
    <n v="0"/>
    <n v="2"/>
    <x v="1"/>
    <n v="1"/>
    <x v="2"/>
    <x v="0"/>
    <s v="6-10 Years"/>
    <s v="Very High"/>
    <s v="Better"/>
  </r>
  <r>
    <x v="1"/>
    <s v="No"/>
    <s v="Travel_Rarely"/>
    <n v="464"/>
    <x v="1"/>
    <n v="16"/>
    <n v="3"/>
    <s v="Medical"/>
    <n v="1"/>
    <n v="1674"/>
    <n v="4"/>
    <x v="0"/>
    <n v="74"/>
    <n v="3"/>
    <n v="1"/>
    <x v="2"/>
    <n v="1"/>
    <s v="Divorced"/>
    <n v="2587"/>
    <n v="24941"/>
    <n v="4"/>
    <s v="Y"/>
    <x v="0"/>
    <n v="16"/>
    <n v="3"/>
    <n v="2"/>
    <n v="80"/>
    <n v="1"/>
    <n v="17"/>
    <n v="2"/>
    <n v="2"/>
    <n v="2"/>
    <n v="2"/>
    <n v="2"/>
    <n v="2"/>
    <x v="1"/>
    <n v="1"/>
    <x v="1"/>
    <x v="1"/>
    <s v="2-5 Years"/>
    <s v="Low"/>
    <s v="Good"/>
  </r>
  <r>
    <x v="8"/>
    <s v="No"/>
    <s v="Travel_Frequently"/>
    <n v="148"/>
    <x v="1"/>
    <n v="2"/>
    <n v="3"/>
    <s v="Medical"/>
    <n v="1"/>
    <n v="1675"/>
    <n v="4"/>
    <x v="0"/>
    <n v="42"/>
    <n v="2"/>
    <n v="1"/>
    <x v="2"/>
    <n v="2"/>
    <s v="Single"/>
    <n v="2440"/>
    <n v="23826"/>
    <n v="1"/>
    <s v="Y"/>
    <x v="1"/>
    <n v="22"/>
    <n v="4"/>
    <n v="2"/>
    <n v="80"/>
    <n v="0"/>
    <n v="4"/>
    <n v="3"/>
    <n v="3"/>
    <n v="4"/>
    <n v="3"/>
    <n v="3"/>
    <n v="3"/>
    <x v="1"/>
    <n v="1"/>
    <x v="0"/>
    <x v="1"/>
    <s v="2-5 Years"/>
    <s v="Medium"/>
    <s v="Better"/>
  </r>
  <r>
    <x v="40"/>
    <s v="No"/>
    <s v="Travel_Rarely"/>
    <n v="1225"/>
    <x v="0"/>
    <n v="2"/>
    <n v="4"/>
    <s v="Life Sciences"/>
    <n v="1"/>
    <n v="1676"/>
    <n v="2"/>
    <x v="0"/>
    <n v="47"/>
    <n v="4"/>
    <n v="4"/>
    <x v="5"/>
    <n v="2"/>
    <s v="Divorced"/>
    <n v="15972"/>
    <n v="21086"/>
    <n v="6"/>
    <s v="Y"/>
    <x v="1"/>
    <n v="14"/>
    <n v="3"/>
    <n v="3"/>
    <n v="80"/>
    <n v="3"/>
    <n v="29"/>
    <n v="2"/>
    <n v="3"/>
    <n v="3"/>
    <n v="2"/>
    <n v="1"/>
    <n v="2"/>
    <x v="1"/>
    <n v="1"/>
    <x v="1"/>
    <x v="2"/>
    <s v="2-5 Years"/>
    <s v="Medium"/>
    <s v="Better"/>
  </r>
  <r>
    <x v="1"/>
    <s v="No"/>
    <s v="Travel_Rarely"/>
    <n v="809"/>
    <x v="1"/>
    <n v="1"/>
    <n v="3"/>
    <s v="Life Sciences"/>
    <n v="1"/>
    <n v="1677"/>
    <n v="3"/>
    <x v="1"/>
    <n v="36"/>
    <n v="3"/>
    <n v="4"/>
    <x v="5"/>
    <n v="3"/>
    <s v="Single"/>
    <n v="15379"/>
    <n v="22384"/>
    <n v="4"/>
    <s v="Y"/>
    <x v="1"/>
    <n v="14"/>
    <n v="3"/>
    <n v="1"/>
    <n v="80"/>
    <n v="0"/>
    <n v="23"/>
    <n v="2"/>
    <n v="3"/>
    <n v="8"/>
    <n v="7"/>
    <n v="0"/>
    <n v="0"/>
    <x v="1"/>
    <n v="1"/>
    <x v="1"/>
    <x v="2"/>
    <s v="6-10 Years"/>
    <s v="High"/>
    <s v="Better"/>
  </r>
  <r>
    <x v="0"/>
    <s v="No"/>
    <s v="Travel_Rarely"/>
    <n v="1206"/>
    <x v="0"/>
    <n v="23"/>
    <n v="2"/>
    <s v="Life Sciences"/>
    <n v="1"/>
    <n v="1678"/>
    <n v="4"/>
    <x v="1"/>
    <n v="80"/>
    <n v="3"/>
    <n v="3"/>
    <x v="0"/>
    <n v="3"/>
    <s v="Single"/>
    <n v="7082"/>
    <n v="11591"/>
    <n v="3"/>
    <s v="Y"/>
    <x v="0"/>
    <n v="16"/>
    <n v="3"/>
    <n v="4"/>
    <n v="80"/>
    <n v="0"/>
    <n v="21"/>
    <n v="2"/>
    <n v="3"/>
    <n v="2"/>
    <n v="0"/>
    <n v="0"/>
    <n v="2"/>
    <x v="1"/>
    <n v="1"/>
    <x v="0"/>
    <x v="2"/>
    <s v="2-5 Years"/>
    <s v="High"/>
    <s v="Better"/>
  </r>
  <r>
    <x v="35"/>
    <s v="No"/>
    <s v="Travel_Rarely"/>
    <n v="727"/>
    <x v="0"/>
    <n v="9"/>
    <n v="1"/>
    <s v="Life Sciences"/>
    <n v="1"/>
    <n v="1680"/>
    <n v="4"/>
    <x v="1"/>
    <n v="54"/>
    <n v="3"/>
    <n v="1"/>
    <x v="6"/>
    <n v="1"/>
    <s v="Single"/>
    <n v="2728"/>
    <n v="21082"/>
    <n v="1"/>
    <s v="Y"/>
    <x v="1"/>
    <n v="11"/>
    <n v="3"/>
    <n v="1"/>
    <n v="80"/>
    <n v="0"/>
    <n v="2"/>
    <n v="3"/>
    <n v="3"/>
    <n v="2"/>
    <n v="2"/>
    <n v="0"/>
    <n v="2"/>
    <x v="1"/>
    <n v="1"/>
    <x v="4"/>
    <x v="1"/>
    <s v="2-5 Years"/>
    <s v="Low"/>
    <s v="Better"/>
  </r>
  <r>
    <x v="3"/>
    <s v="No"/>
    <s v="Non-Travel"/>
    <n v="530"/>
    <x v="0"/>
    <n v="16"/>
    <n v="3"/>
    <s v="Life Sciences"/>
    <n v="1"/>
    <n v="1681"/>
    <n v="3"/>
    <x v="0"/>
    <n v="36"/>
    <n v="3"/>
    <n v="2"/>
    <x v="0"/>
    <n v="4"/>
    <s v="Divorced"/>
    <n v="5368"/>
    <n v="16130"/>
    <n v="1"/>
    <s v="Y"/>
    <x v="0"/>
    <n v="25"/>
    <n v="4"/>
    <n v="3"/>
    <n v="80"/>
    <n v="1"/>
    <n v="7"/>
    <n v="2"/>
    <n v="3"/>
    <n v="6"/>
    <n v="5"/>
    <n v="1"/>
    <n v="2"/>
    <x v="1"/>
    <n v="1"/>
    <x v="2"/>
    <x v="0"/>
    <s v="6-10 Years"/>
    <s v="Very High"/>
    <s v="Better"/>
  </r>
  <r>
    <x v="9"/>
    <s v="No"/>
    <s v="Travel_Rarely"/>
    <n v="1351"/>
    <x v="1"/>
    <n v="26"/>
    <n v="4"/>
    <s v="Life Sciences"/>
    <n v="1"/>
    <n v="1682"/>
    <n v="1"/>
    <x v="1"/>
    <n v="80"/>
    <n v="3"/>
    <n v="2"/>
    <x v="4"/>
    <n v="3"/>
    <s v="Married"/>
    <n v="5347"/>
    <n v="7419"/>
    <n v="6"/>
    <s v="Y"/>
    <x v="1"/>
    <n v="14"/>
    <n v="3"/>
    <n v="2"/>
    <n v="80"/>
    <n v="2"/>
    <n v="10"/>
    <n v="2"/>
    <n v="2"/>
    <n v="3"/>
    <n v="2"/>
    <n v="0"/>
    <n v="2"/>
    <x v="1"/>
    <n v="1"/>
    <x v="0"/>
    <x v="0"/>
    <s v="2-5 Years"/>
    <s v="High"/>
    <s v="Good"/>
  </r>
  <r>
    <x v="20"/>
    <s v="No"/>
    <s v="Travel_Rarely"/>
    <n v="528"/>
    <x v="2"/>
    <n v="1"/>
    <n v="3"/>
    <s v="Life Sciences"/>
    <n v="1"/>
    <n v="1683"/>
    <n v="3"/>
    <x v="0"/>
    <n v="44"/>
    <n v="3"/>
    <n v="1"/>
    <x v="8"/>
    <n v="4"/>
    <s v="Divorced"/>
    <n v="3195"/>
    <n v="4167"/>
    <n v="4"/>
    <s v="Y"/>
    <x v="0"/>
    <n v="18"/>
    <n v="3"/>
    <n v="1"/>
    <n v="80"/>
    <n v="3"/>
    <n v="8"/>
    <n v="2"/>
    <n v="3"/>
    <n v="2"/>
    <n v="2"/>
    <n v="2"/>
    <n v="2"/>
    <x v="1"/>
    <n v="1"/>
    <x v="0"/>
    <x v="0"/>
    <s v="2-5 Years"/>
    <s v="Very High"/>
    <s v="Better"/>
  </r>
  <r>
    <x v="30"/>
    <s v="Yes"/>
    <s v="Travel_Rarely"/>
    <n v="1320"/>
    <x v="1"/>
    <n v="8"/>
    <n v="1"/>
    <s v="Medical"/>
    <n v="1"/>
    <n v="1684"/>
    <n v="4"/>
    <x v="1"/>
    <n v="93"/>
    <n v="2"/>
    <n v="1"/>
    <x v="2"/>
    <n v="3"/>
    <s v="Single"/>
    <n v="3989"/>
    <n v="20586"/>
    <n v="1"/>
    <s v="Y"/>
    <x v="0"/>
    <n v="11"/>
    <n v="3"/>
    <n v="1"/>
    <n v="80"/>
    <n v="0"/>
    <n v="5"/>
    <n v="2"/>
    <n v="3"/>
    <n v="5"/>
    <n v="4"/>
    <n v="1"/>
    <n v="2"/>
    <x v="0"/>
    <n v="0"/>
    <x v="4"/>
    <x v="0"/>
    <s v="2-5 Years"/>
    <s v="High"/>
    <s v="Better"/>
  </r>
  <r>
    <x v="8"/>
    <s v="No"/>
    <s v="Travel_Rarely"/>
    <n v="1495"/>
    <x v="1"/>
    <n v="4"/>
    <n v="2"/>
    <s v="Medical"/>
    <n v="1"/>
    <n v="1687"/>
    <n v="4"/>
    <x v="0"/>
    <n v="87"/>
    <n v="3"/>
    <n v="1"/>
    <x v="2"/>
    <n v="3"/>
    <s v="Married"/>
    <n v="3306"/>
    <n v="26176"/>
    <n v="7"/>
    <s v="Y"/>
    <x v="1"/>
    <n v="19"/>
    <n v="3"/>
    <n v="4"/>
    <n v="80"/>
    <n v="1"/>
    <n v="7"/>
    <n v="5"/>
    <n v="2"/>
    <n v="0"/>
    <n v="0"/>
    <n v="0"/>
    <n v="0"/>
    <x v="1"/>
    <n v="1"/>
    <x v="0"/>
    <x v="0"/>
    <s v="0-1 Years"/>
    <s v="High"/>
    <s v="Good"/>
  </r>
  <r>
    <x v="16"/>
    <s v="No"/>
    <s v="Travel_Rarely"/>
    <n v="1395"/>
    <x v="1"/>
    <n v="24"/>
    <n v="4"/>
    <s v="Medical"/>
    <n v="1"/>
    <n v="1689"/>
    <n v="2"/>
    <x v="1"/>
    <n v="48"/>
    <n v="4"/>
    <n v="3"/>
    <x v="4"/>
    <n v="4"/>
    <s v="Married"/>
    <n v="7005"/>
    <n v="3458"/>
    <n v="3"/>
    <s v="Y"/>
    <x v="1"/>
    <n v="15"/>
    <n v="3"/>
    <n v="3"/>
    <n v="80"/>
    <n v="0"/>
    <n v="11"/>
    <n v="2"/>
    <n v="3"/>
    <n v="4"/>
    <n v="3"/>
    <n v="1"/>
    <n v="2"/>
    <x v="1"/>
    <n v="1"/>
    <x v="1"/>
    <x v="2"/>
    <s v="2-5 Years"/>
    <s v="Very High"/>
    <s v="Better"/>
  </r>
  <r>
    <x v="26"/>
    <s v="Yes"/>
    <s v="Travel_Frequently"/>
    <n v="708"/>
    <x v="0"/>
    <n v="7"/>
    <n v="2"/>
    <s v="Medical"/>
    <n v="1"/>
    <n v="1691"/>
    <n v="4"/>
    <x v="0"/>
    <n v="95"/>
    <n v="3"/>
    <n v="1"/>
    <x v="6"/>
    <n v="3"/>
    <s v="Married"/>
    <n v="2655"/>
    <n v="11740"/>
    <n v="2"/>
    <s v="Y"/>
    <x v="0"/>
    <n v="11"/>
    <n v="3"/>
    <n v="3"/>
    <n v="80"/>
    <n v="2"/>
    <n v="19"/>
    <n v="3"/>
    <n v="3"/>
    <n v="9"/>
    <n v="7"/>
    <n v="7"/>
    <n v="7"/>
    <x v="0"/>
    <n v="0"/>
    <x v="1"/>
    <x v="1"/>
    <s v="6-10 Years"/>
    <s v="High"/>
    <s v="Better"/>
  </r>
  <r>
    <x v="5"/>
    <s v="Yes"/>
    <s v="Travel_Rarely"/>
    <n v="1259"/>
    <x v="1"/>
    <n v="2"/>
    <n v="4"/>
    <s v="Life Sciences"/>
    <n v="1"/>
    <n v="1692"/>
    <n v="4"/>
    <x v="1"/>
    <n v="95"/>
    <n v="3"/>
    <n v="1"/>
    <x v="2"/>
    <n v="2"/>
    <s v="Single"/>
    <n v="1393"/>
    <n v="24852"/>
    <n v="1"/>
    <s v="Y"/>
    <x v="1"/>
    <n v="12"/>
    <n v="3"/>
    <n v="1"/>
    <n v="80"/>
    <n v="0"/>
    <n v="1"/>
    <n v="2"/>
    <n v="3"/>
    <n v="1"/>
    <n v="0"/>
    <n v="0"/>
    <n v="0"/>
    <x v="0"/>
    <n v="0"/>
    <x v="2"/>
    <x v="1"/>
    <s v="0-1 Years"/>
    <s v="Medium"/>
    <s v="Better"/>
  </r>
  <r>
    <x v="25"/>
    <s v="No"/>
    <s v="Non-Travel"/>
    <n v="786"/>
    <x v="1"/>
    <n v="7"/>
    <n v="3"/>
    <s v="Medical"/>
    <n v="1"/>
    <n v="1693"/>
    <n v="4"/>
    <x v="1"/>
    <n v="76"/>
    <n v="3"/>
    <n v="1"/>
    <x v="2"/>
    <n v="4"/>
    <s v="Single"/>
    <n v="2570"/>
    <n v="11925"/>
    <n v="1"/>
    <s v="Y"/>
    <x v="1"/>
    <n v="20"/>
    <n v="4"/>
    <n v="3"/>
    <n v="80"/>
    <n v="0"/>
    <n v="7"/>
    <n v="5"/>
    <n v="3"/>
    <n v="7"/>
    <n v="7"/>
    <n v="5"/>
    <n v="7"/>
    <x v="1"/>
    <n v="1"/>
    <x v="2"/>
    <x v="1"/>
    <s v="6-10 Years"/>
    <s v="Very High"/>
    <s v="Better"/>
  </r>
  <r>
    <x v="27"/>
    <s v="No"/>
    <s v="Travel_Rarely"/>
    <n v="1441"/>
    <x v="1"/>
    <n v="22"/>
    <n v="3"/>
    <s v="Technical Degree"/>
    <n v="1"/>
    <n v="1694"/>
    <n v="1"/>
    <x v="1"/>
    <n v="94"/>
    <n v="2"/>
    <n v="1"/>
    <x v="1"/>
    <n v="2"/>
    <s v="Divorced"/>
    <n v="3537"/>
    <n v="23737"/>
    <n v="5"/>
    <s v="Y"/>
    <x v="1"/>
    <n v="12"/>
    <n v="3"/>
    <n v="4"/>
    <n v="80"/>
    <n v="1"/>
    <n v="8"/>
    <n v="1"/>
    <n v="3"/>
    <n v="4"/>
    <n v="2"/>
    <n v="1"/>
    <n v="2"/>
    <x v="1"/>
    <n v="1"/>
    <x v="3"/>
    <x v="0"/>
    <s v="2-5 Years"/>
    <s v="Medium"/>
    <s v="Better"/>
  </r>
  <r>
    <x v="13"/>
    <s v="No"/>
    <s v="Travel_Rarely"/>
    <n v="1157"/>
    <x v="1"/>
    <n v="5"/>
    <n v="2"/>
    <s v="Medical"/>
    <n v="1"/>
    <n v="1696"/>
    <n v="2"/>
    <x v="1"/>
    <n v="57"/>
    <n v="2"/>
    <n v="2"/>
    <x v="2"/>
    <n v="4"/>
    <s v="Married"/>
    <n v="3986"/>
    <n v="11912"/>
    <n v="1"/>
    <s v="Y"/>
    <x v="1"/>
    <n v="14"/>
    <n v="3"/>
    <n v="3"/>
    <n v="80"/>
    <n v="1"/>
    <n v="15"/>
    <n v="3"/>
    <n v="4"/>
    <n v="15"/>
    <n v="10"/>
    <n v="4"/>
    <n v="13"/>
    <x v="1"/>
    <n v="1"/>
    <x v="2"/>
    <x v="0"/>
    <s v="10+ Years"/>
    <s v="Very High"/>
    <s v="Best"/>
  </r>
  <r>
    <x v="42"/>
    <s v="No"/>
    <s v="Travel_Rarely"/>
    <n v="370"/>
    <x v="1"/>
    <n v="1"/>
    <n v="4"/>
    <s v="Medical"/>
    <n v="1"/>
    <n v="1697"/>
    <n v="3"/>
    <x v="1"/>
    <n v="92"/>
    <n v="1"/>
    <n v="3"/>
    <x v="4"/>
    <n v="4"/>
    <s v="Divorced"/>
    <n v="10883"/>
    <n v="20467"/>
    <n v="3"/>
    <s v="Y"/>
    <x v="1"/>
    <n v="20"/>
    <n v="4"/>
    <n v="3"/>
    <n v="80"/>
    <n v="1"/>
    <n v="19"/>
    <n v="2"/>
    <n v="4"/>
    <n v="1"/>
    <n v="0"/>
    <n v="0"/>
    <n v="0"/>
    <x v="1"/>
    <n v="1"/>
    <x v="3"/>
    <x v="2"/>
    <s v="0-1 Years"/>
    <s v="Very High"/>
    <s v="Best"/>
  </r>
  <r>
    <x v="3"/>
    <s v="No"/>
    <s v="Travel_Rarely"/>
    <n v="267"/>
    <x v="1"/>
    <n v="21"/>
    <n v="3"/>
    <s v="Medical"/>
    <n v="1"/>
    <n v="1698"/>
    <n v="2"/>
    <x v="1"/>
    <n v="79"/>
    <n v="4"/>
    <n v="1"/>
    <x v="2"/>
    <n v="2"/>
    <s v="Married"/>
    <n v="2028"/>
    <n v="13637"/>
    <n v="1"/>
    <s v="Y"/>
    <x v="1"/>
    <n v="18"/>
    <n v="3"/>
    <n v="4"/>
    <n v="80"/>
    <n v="3"/>
    <n v="14"/>
    <n v="6"/>
    <n v="3"/>
    <n v="14"/>
    <n v="11"/>
    <n v="2"/>
    <n v="13"/>
    <x v="1"/>
    <n v="1"/>
    <x v="2"/>
    <x v="1"/>
    <s v="10+ Years"/>
    <s v="Medium"/>
    <s v="Better"/>
  </r>
  <r>
    <x v="2"/>
    <s v="No"/>
    <s v="Travel_Frequently"/>
    <n v="1278"/>
    <x v="0"/>
    <n v="1"/>
    <n v="4"/>
    <s v="Medical"/>
    <n v="1"/>
    <n v="1700"/>
    <n v="3"/>
    <x v="1"/>
    <n v="31"/>
    <n v="1"/>
    <n v="2"/>
    <x v="0"/>
    <n v="4"/>
    <s v="Divorced"/>
    <n v="9525"/>
    <n v="7677"/>
    <n v="1"/>
    <s v="Y"/>
    <x v="1"/>
    <n v="14"/>
    <n v="3"/>
    <n v="3"/>
    <n v="80"/>
    <n v="2"/>
    <n v="6"/>
    <n v="2"/>
    <n v="2"/>
    <n v="6"/>
    <n v="3"/>
    <n v="1"/>
    <n v="3"/>
    <x v="1"/>
    <n v="1"/>
    <x v="0"/>
    <x v="2"/>
    <s v="6-10 Years"/>
    <s v="Very High"/>
    <s v="Good"/>
  </r>
  <r>
    <x v="13"/>
    <s v="No"/>
    <s v="Travel_Rarely"/>
    <n v="678"/>
    <x v="1"/>
    <n v="19"/>
    <n v="3"/>
    <s v="Life Sciences"/>
    <n v="1"/>
    <n v="1701"/>
    <n v="2"/>
    <x v="0"/>
    <n v="35"/>
    <n v="2"/>
    <n v="1"/>
    <x v="1"/>
    <n v="4"/>
    <s v="Married"/>
    <n v="2929"/>
    <n v="20338"/>
    <n v="1"/>
    <s v="Y"/>
    <x v="1"/>
    <n v="12"/>
    <n v="3"/>
    <n v="2"/>
    <n v="80"/>
    <n v="0"/>
    <n v="10"/>
    <n v="3"/>
    <n v="3"/>
    <n v="10"/>
    <n v="9"/>
    <n v="8"/>
    <n v="7"/>
    <x v="1"/>
    <n v="1"/>
    <x v="2"/>
    <x v="1"/>
    <s v="6-10 Years"/>
    <s v="Very High"/>
    <s v="Better"/>
  </r>
  <r>
    <x v="30"/>
    <s v="Yes"/>
    <s v="Travel_Rarely"/>
    <n v="427"/>
    <x v="0"/>
    <n v="7"/>
    <n v="3"/>
    <s v="Life Sciences"/>
    <n v="1"/>
    <n v="1702"/>
    <n v="3"/>
    <x v="1"/>
    <n v="99"/>
    <n v="3"/>
    <n v="1"/>
    <x v="6"/>
    <n v="4"/>
    <s v="Divorced"/>
    <n v="2275"/>
    <n v="25103"/>
    <n v="1"/>
    <s v="Y"/>
    <x v="0"/>
    <n v="21"/>
    <n v="4"/>
    <n v="2"/>
    <n v="80"/>
    <n v="1"/>
    <n v="3"/>
    <n v="2"/>
    <n v="3"/>
    <n v="3"/>
    <n v="2"/>
    <n v="0"/>
    <n v="2"/>
    <x v="0"/>
    <n v="0"/>
    <x v="4"/>
    <x v="1"/>
    <s v="2-5 Years"/>
    <s v="Very High"/>
    <s v="Better"/>
  </r>
  <r>
    <x v="20"/>
    <s v="No"/>
    <s v="Travel_Rarely"/>
    <n v="921"/>
    <x v="1"/>
    <n v="2"/>
    <n v="3"/>
    <s v="Life Sciences"/>
    <n v="1"/>
    <n v="1703"/>
    <n v="3"/>
    <x v="0"/>
    <n v="96"/>
    <n v="4"/>
    <n v="3"/>
    <x v="4"/>
    <n v="4"/>
    <s v="Married"/>
    <n v="7879"/>
    <n v="14810"/>
    <n v="1"/>
    <s v="Y"/>
    <x v="0"/>
    <n v="19"/>
    <n v="3"/>
    <n v="2"/>
    <n v="80"/>
    <n v="1"/>
    <n v="9"/>
    <n v="2"/>
    <n v="3"/>
    <n v="8"/>
    <n v="7"/>
    <n v="6"/>
    <n v="7"/>
    <x v="1"/>
    <n v="1"/>
    <x v="0"/>
    <x v="2"/>
    <s v="6-10 Years"/>
    <s v="Very High"/>
    <s v="Better"/>
  </r>
  <r>
    <x v="10"/>
    <s v="No"/>
    <s v="Travel_Frequently"/>
    <n v="146"/>
    <x v="1"/>
    <n v="2"/>
    <n v="4"/>
    <s v="Medical"/>
    <n v="1"/>
    <n v="1704"/>
    <n v="1"/>
    <x v="1"/>
    <n v="79"/>
    <n v="2"/>
    <n v="1"/>
    <x v="1"/>
    <n v="4"/>
    <s v="Single"/>
    <n v="4930"/>
    <n v="13970"/>
    <n v="0"/>
    <s v="Y"/>
    <x v="0"/>
    <n v="14"/>
    <n v="3"/>
    <n v="3"/>
    <n v="80"/>
    <n v="0"/>
    <n v="6"/>
    <n v="2"/>
    <n v="4"/>
    <n v="5"/>
    <n v="4"/>
    <n v="1"/>
    <n v="4"/>
    <x v="1"/>
    <n v="1"/>
    <x v="0"/>
    <x v="0"/>
    <s v="2-5 Years"/>
    <s v="Very High"/>
    <s v="Best"/>
  </r>
  <r>
    <x v="23"/>
    <s v="No"/>
    <s v="Travel_Rarely"/>
    <n v="1179"/>
    <x v="0"/>
    <n v="2"/>
    <n v="3"/>
    <s v="Medical"/>
    <n v="1"/>
    <n v="1706"/>
    <n v="4"/>
    <x v="1"/>
    <n v="73"/>
    <n v="3"/>
    <n v="2"/>
    <x v="0"/>
    <n v="4"/>
    <s v="Married"/>
    <n v="7847"/>
    <n v="6069"/>
    <n v="1"/>
    <s v="Y"/>
    <x v="0"/>
    <n v="17"/>
    <n v="3"/>
    <n v="1"/>
    <n v="80"/>
    <n v="1"/>
    <n v="10"/>
    <n v="3"/>
    <n v="3"/>
    <n v="10"/>
    <n v="9"/>
    <n v="8"/>
    <n v="8"/>
    <x v="1"/>
    <n v="1"/>
    <x v="0"/>
    <x v="2"/>
    <s v="6-10 Years"/>
    <s v="Very High"/>
    <s v="Better"/>
  </r>
  <r>
    <x v="17"/>
    <s v="No"/>
    <s v="Travel_Rarely"/>
    <n v="581"/>
    <x v="1"/>
    <n v="9"/>
    <n v="3"/>
    <s v="Medical"/>
    <n v="1"/>
    <n v="1707"/>
    <n v="3"/>
    <x v="1"/>
    <n v="62"/>
    <n v="4"/>
    <n v="1"/>
    <x v="1"/>
    <n v="3"/>
    <s v="Married"/>
    <n v="4401"/>
    <n v="17616"/>
    <n v="1"/>
    <s v="Y"/>
    <x v="1"/>
    <n v="16"/>
    <n v="3"/>
    <n v="4"/>
    <n v="80"/>
    <n v="1"/>
    <n v="5"/>
    <n v="1"/>
    <n v="3"/>
    <n v="5"/>
    <n v="3"/>
    <n v="0"/>
    <n v="4"/>
    <x v="1"/>
    <n v="1"/>
    <x v="4"/>
    <x v="0"/>
    <s v="2-5 Years"/>
    <s v="High"/>
    <s v="Better"/>
  </r>
  <r>
    <x v="0"/>
    <s v="No"/>
    <s v="Travel_Rarely"/>
    <n v="918"/>
    <x v="0"/>
    <n v="6"/>
    <n v="3"/>
    <s v="Marketing"/>
    <n v="1"/>
    <n v="1708"/>
    <n v="4"/>
    <x v="1"/>
    <n v="35"/>
    <n v="3"/>
    <n v="3"/>
    <x v="0"/>
    <n v="3"/>
    <s v="Single"/>
    <n v="9241"/>
    <n v="15869"/>
    <n v="1"/>
    <s v="Y"/>
    <x v="1"/>
    <n v="12"/>
    <n v="3"/>
    <n v="2"/>
    <n v="80"/>
    <n v="0"/>
    <n v="10"/>
    <n v="3"/>
    <n v="3"/>
    <n v="10"/>
    <n v="8"/>
    <n v="8"/>
    <n v="7"/>
    <x v="1"/>
    <n v="1"/>
    <x v="0"/>
    <x v="2"/>
    <s v="6-10 Years"/>
    <s v="High"/>
    <s v="Better"/>
  </r>
  <r>
    <x v="11"/>
    <s v="No"/>
    <s v="Travel_Rarely"/>
    <n v="1082"/>
    <x v="1"/>
    <n v="9"/>
    <n v="4"/>
    <s v="Medical"/>
    <n v="1"/>
    <n v="1709"/>
    <n v="4"/>
    <x v="0"/>
    <n v="43"/>
    <n v="3"/>
    <n v="1"/>
    <x v="2"/>
    <n v="3"/>
    <s v="Married"/>
    <n v="2974"/>
    <n v="25412"/>
    <n v="9"/>
    <s v="Y"/>
    <x v="1"/>
    <n v="17"/>
    <n v="3"/>
    <n v="3"/>
    <n v="80"/>
    <n v="1"/>
    <n v="9"/>
    <n v="2"/>
    <n v="3"/>
    <n v="5"/>
    <n v="3"/>
    <n v="1"/>
    <n v="2"/>
    <x v="1"/>
    <n v="1"/>
    <x v="2"/>
    <x v="1"/>
    <s v="2-5 Years"/>
    <s v="High"/>
    <s v="Better"/>
  </r>
  <r>
    <x v="9"/>
    <s v="No"/>
    <s v="Travel_Rarely"/>
    <n v="530"/>
    <x v="0"/>
    <n v="2"/>
    <n v="4"/>
    <s v="Life Sciences"/>
    <n v="1"/>
    <n v="1710"/>
    <n v="3"/>
    <x v="0"/>
    <n v="51"/>
    <n v="3"/>
    <n v="2"/>
    <x v="6"/>
    <n v="4"/>
    <s v="Single"/>
    <n v="4502"/>
    <n v="7439"/>
    <n v="3"/>
    <s v="Y"/>
    <x v="1"/>
    <n v="15"/>
    <n v="3"/>
    <n v="3"/>
    <n v="80"/>
    <n v="0"/>
    <n v="17"/>
    <n v="2"/>
    <n v="2"/>
    <n v="13"/>
    <n v="7"/>
    <n v="6"/>
    <n v="7"/>
    <x v="1"/>
    <n v="1"/>
    <x v="0"/>
    <x v="0"/>
    <s v="10+ Years"/>
    <s v="Very High"/>
    <s v="Good"/>
  </r>
  <r>
    <x v="28"/>
    <s v="No"/>
    <s v="Non-Travel"/>
    <n v="1238"/>
    <x v="1"/>
    <n v="1"/>
    <n v="1"/>
    <s v="Life Sciences"/>
    <n v="1"/>
    <n v="1712"/>
    <n v="3"/>
    <x v="1"/>
    <n v="74"/>
    <n v="2"/>
    <n v="3"/>
    <x v="4"/>
    <n v="3"/>
    <s v="Married"/>
    <n v="10748"/>
    <n v="3395"/>
    <n v="3"/>
    <s v="Y"/>
    <x v="1"/>
    <n v="23"/>
    <n v="4"/>
    <n v="4"/>
    <n v="80"/>
    <n v="1"/>
    <n v="25"/>
    <n v="3"/>
    <n v="2"/>
    <n v="23"/>
    <n v="15"/>
    <n v="14"/>
    <n v="4"/>
    <x v="1"/>
    <n v="1"/>
    <x v="1"/>
    <x v="2"/>
    <s v="10+ Years"/>
    <s v="High"/>
    <s v="Good"/>
  </r>
  <r>
    <x v="17"/>
    <s v="Yes"/>
    <s v="Travel_Rarely"/>
    <n v="240"/>
    <x v="2"/>
    <n v="22"/>
    <n v="1"/>
    <s v="Human Resources"/>
    <n v="1"/>
    <n v="1714"/>
    <n v="4"/>
    <x v="1"/>
    <n v="58"/>
    <n v="1"/>
    <n v="1"/>
    <x v="8"/>
    <n v="3"/>
    <s v="Married"/>
    <n v="1555"/>
    <n v="11585"/>
    <n v="1"/>
    <s v="Y"/>
    <x v="1"/>
    <n v="11"/>
    <n v="3"/>
    <n v="3"/>
    <n v="80"/>
    <n v="1"/>
    <n v="1"/>
    <n v="2"/>
    <n v="3"/>
    <n v="1"/>
    <n v="0"/>
    <n v="0"/>
    <n v="0"/>
    <x v="0"/>
    <n v="0"/>
    <x v="4"/>
    <x v="1"/>
    <s v="0-1 Years"/>
    <s v="High"/>
    <s v="Better"/>
  </r>
  <r>
    <x v="40"/>
    <s v="Yes"/>
    <s v="Travel_Frequently"/>
    <n v="1093"/>
    <x v="0"/>
    <n v="9"/>
    <n v="3"/>
    <s v="Life Sciences"/>
    <n v="1"/>
    <n v="1716"/>
    <n v="3"/>
    <x v="1"/>
    <n v="82"/>
    <n v="1"/>
    <n v="4"/>
    <x v="0"/>
    <n v="3"/>
    <s v="Married"/>
    <n v="12936"/>
    <n v="24164"/>
    <n v="7"/>
    <s v="Y"/>
    <x v="1"/>
    <n v="11"/>
    <n v="3"/>
    <n v="3"/>
    <n v="80"/>
    <n v="0"/>
    <n v="25"/>
    <n v="3"/>
    <n v="1"/>
    <n v="23"/>
    <n v="5"/>
    <n v="14"/>
    <n v="10"/>
    <x v="0"/>
    <n v="0"/>
    <x v="1"/>
    <x v="2"/>
    <s v="10+ Years"/>
    <s v="High"/>
    <s v="Bad"/>
  </r>
  <r>
    <x v="25"/>
    <s v="No"/>
    <s v="Travel_Rarely"/>
    <n v="390"/>
    <x v="1"/>
    <n v="17"/>
    <n v="4"/>
    <s v="Medical"/>
    <n v="1"/>
    <n v="1718"/>
    <n v="4"/>
    <x v="1"/>
    <n v="62"/>
    <n v="1"/>
    <n v="1"/>
    <x v="2"/>
    <n v="3"/>
    <s v="Married"/>
    <n v="2305"/>
    <n v="6217"/>
    <n v="1"/>
    <s v="Y"/>
    <x v="1"/>
    <n v="15"/>
    <n v="3"/>
    <n v="3"/>
    <n v="80"/>
    <n v="3"/>
    <n v="3"/>
    <n v="3"/>
    <n v="4"/>
    <n v="3"/>
    <n v="2"/>
    <n v="0"/>
    <n v="2"/>
    <x v="1"/>
    <n v="1"/>
    <x v="2"/>
    <x v="1"/>
    <s v="2-5 Years"/>
    <s v="High"/>
    <s v="Best"/>
  </r>
  <r>
    <x v="28"/>
    <s v="No"/>
    <s v="Travel_Rarely"/>
    <n v="1005"/>
    <x v="1"/>
    <n v="28"/>
    <n v="2"/>
    <s v="Technical Degree"/>
    <n v="1"/>
    <n v="1719"/>
    <n v="4"/>
    <x v="0"/>
    <n v="48"/>
    <n v="2"/>
    <n v="4"/>
    <x v="7"/>
    <n v="2"/>
    <s v="Single"/>
    <n v="16704"/>
    <n v="17119"/>
    <n v="1"/>
    <s v="Y"/>
    <x v="1"/>
    <n v="11"/>
    <n v="3"/>
    <n v="3"/>
    <n v="80"/>
    <n v="0"/>
    <n v="21"/>
    <n v="2"/>
    <n v="3"/>
    <n v="21"/>
    <n v="6"/>
    <n v="8"/>
    <n v="6"/>
    <x v="1"/>
    <n v="1"/>
    <x v="1"/>
    <x v="2"/>
    <s v="10+ Years"/>
    <s v="Medium"/>
    <s v="Better"/>
  </r>
  <r>
    <x v="5"/>
    <s v="No"/>
    <s v="Travel_Frequently"/>
    <n v="585"/>
    <x v="1"/>
    <n v="10"/>
    <n v="3"/>
    <s v="Life Sciences"/>
    <n v="1"/>
    <n v="1720"/>
    <n v="1"/>
    <x v="1"/>
    <n v="56"/>
    <n v="3"/>
    <n v="1"/>
    <x v="1"/>
    <n v="3"/>
    <s v="Married"/>
    <n v="3433"/>
    <n v="17360"/>
    <n v="6"/>
    <s v="Y"/>
    <x v="1"/>
    <n v="13"/>
    <n v="3"/>
    <n v="1"/>
    <n v="80"/>
    <n v="1"/>
    <n v="10"/>
    <n v="3"/>
    <n v="2"/>
    <n v="5"/>
    <n v="2"/>
    <n v="1"/>
    <n v="3"/>
    <x v="1"/>
    <n v="1"/>
    <x v="2"/>
    <x v="0"/>
    <s v="2-5 Years"/>
    <s v="High"/>
    <s v="Good"/>
  </r>
  <r>
    <x v="12"/>
    <s v="No"/>
    <s v="Travel_Rarely"/>
    <n v="741"/>
    <x v="1"/>
    <n v="2"/>
    <n v="4"/>
    <s v="Life Sciences"/>
    <n v="1"/>
    <n v="1721"/>
    <n v="2"/>
    <x v="1"/>
    <n v="69"/>
    <n v="3"/>
    <n v="1"/>
    <x v="2"/>
    <n v="3"/>
    <s v="Married"/>
    <n v="3477"/>
    <n v="18103"/>
    <n v="1"/>
    <s v="Y"/>
    <x v="1"/>
    <n v="14"/>
    <n v="3"/>
    <n v="4"/>
    <n v="80"/>
    <n v="1"/>
    <n v="6"/>
    <n v="2"/>
    <n v="4"/>
    <n v="5"/>
    <n v="2"/>
    <n v="0"/>
    <n v="3"/>
    <x v="1"/>
    <n v="1"/>
    <x v="2"/>
    <x v="0"/>
    <s v="2-5 Years"/>
    <s v="High"/>
    <s v="Best"/>
  </r>
  <r>
    <x v="0"/>
    <s v="No"/>
    <s v="Non-Travel"/>
    <n v="552"/>
    <x v="2"/>
    <n v="4"/>
    <n v="3"/>
    <s v="Human Resources"/>
    <n v="1"/>
    <n v="1722"/>
    <n v="3"/>
    <x v="1"/>
    <n v="60"/>
    <n v="1"/>
    <n v="2"/>
    <x v="8"/>
    <n v="2"/>
    <s v="Married"/>
    <n v="6430"/>
    <n v="20794"/>
    <n v="6"/>
    <s v="Y"/>
    <x v="1"/>
    <n v="19"/>
    <n v="3"/>
    <n v="2"/>
    <n v="80"/>
    <n v="1"/>
    <n v="10"/>
    <n v="4"/>
    <n v="3"/>
    <n v="3"/>
    <n v="2"/>
    <n v="1"/>
    <n v="2"/>
    <x v="1"/>
    <n v="1"/>
    <x v="0"/>
    <x v="0"/>
    <s v="2-5 Years"/>
    <s v="Medium"/>
    <s v="Better"/>
  </r>
  <r>
    <x v="32"/>
    <s v="No"/>
    <s v="Travel_Rarely"/>
    <n v="369"/>
    <x v="1"/>
    <n v="8"/>
    <n v="2"/>
    <s v="Life Sciences"/>
    <n v="1"/>
    <n v="1724"/>
    <n v="2"/>
    <x v="0"/>
    <n v="92"/>
    <n v="3"/>
    <n v="2"/>
    <x v="3"/>
    <n v="1"/>
    <s v="Married"/>
    <n v="6516"/>
    <n v="5041"/>
    <n v="2"/>
    <s v="Y"/>
    <x v="0"/>
    <n v="16"/>
    <n v="3"/>
    <n v="2"/>
    <n v="80"/>
    <n v="1"/>
    <n v="18"/>
    <n v="3"/>
    <n v="3"/>
    <n v="1"/>
    <n v="0"/>
    <n v="0"/>
    <n v="0"/>
    <x v="1"/>
    <n v="1"/>
    <x v="0"/>
    <x v="0"/>
    <s v="0-1 Years"/>
    <s v="Low"/>
    <s v="Better"/>
  </r>
  <r>
    <x v="17"/>
    <s v="No"/>
    <s v="Travel_Rarely"/>
    <n v="506"/>
    <x v="1"/>
    <n v="29"/>
    <n v="1"/>
    <s v="Medical"/>
    <n v="1"/>
    <n v="1725"/>
    <n v="2"/>
    <x v="1"/>
    <n v="91"/>
    <n v="3"/>
    <n v="1"/>
    <x v="2"/>
    <n v="1"/>
    <s v="Divorced"/>
    <n v="3907"/>
    <n v="3622"/>
    <n v="1"/>
    <s v="Y"/>
    <x v="1"/>
    <n v="13"/>
    <n v="3"/>
    <n v="2"/>
    <n v="80"/>
    <n v="3"/>
    <n v="6"/>
    <n v="2"/>
    <n v="4"/>
    <n v="6"/>
    <n v="2"/>
    <n v="1"/>
    <n v="2"/>
    <x v="1"/>
    <n v="1"/>
    <x v="4"/>
    <x v="0"/>
    <s v="6-10 Years"/>
    <s v="Low"/>
    <s v="Best"/>
  </r>
  <r>
    <x v="21"/>
    <s v="No"/>
    <s v="Travel_Rarely"/>
    <n v="717"/>
    <x v="1"/>
    <n v="13"/>
    <n v="4"/>
    <s v="Life Sciences"/>
    <n v="1"/>
    <n v="1727"/>
    <n v="3"/>
    <x v="1"/>
    <n v="34"/>
    <n v="3"/>
    <n v="2"/>
    <x v="4"/>
    <n v="2"/>
    <s v="Single"/>
    <n v="5562"/>
    <n v="9697"/>
    <n v="6"/>
    <s v="Y"/>
    <x v="1"/>
    <n v="14"/>
    <n v="3"/>
    <n v="4"/>
    <n v="80"/>
    <n v="0"/>
    <n v="19"/>
    <n v="3"/>
    <n v="3"/>
    <n v="10"/>
    <n v="7"/>
    <n v="0"/>
    <n v="9"/>
    <x v="1"/>
    <n v="1"/>
    <x v="1"/>
    <x v="0"/>
    <s v="6-10 Years"/>
    <s v="Medium"/>
    <s v="Better"/>
  </r>
  <r>
    <x v="10"/>
    <s v="No"/>
    <s v="Travel_Rarely"/>
    <n v="1370"/>
    <x v="1"/>
    <n v="27"/>
    <n v="4"/>
    <s v="Life Sciences"/>
    <n v="1"/>
    <n v="1728"/>
    <n v="4"/>
    <x v="1"/>
    <n v="49"/>
    <n v="3"/>
    <n v="2"/>
    <x v="3"/>
    <n v="3"/>
    <s v="Married"/>
    <n v="6883"/>
    <n v="5151"/>
    <n v="2"/>
    <s v="Y"/>
    <x v="1"/>
    <n v="16"/>
    <n v="3"/>
    <n v="2"/>
    <n v="80"/>
    <n v="1"/>
    <n v="17"/>
    <n v="3"/>
    <n v="3"/>
    <n v="7"/>
    <n v="7"/>
    <n v="0"/>
    <n v="7"/>
    <x v="1"/>
    <n v="1"/>
    <x v="0"/>
    <x v="0"/>
    <s v="6-10 Years"/>
    <s v="High"/>
    <s v="Better"/>
  </r>
  <r>
    <x v="7"/>
    <s v="No"/>
    <s v="Travel_Rarely"/>
    <n v="793"/>
    <x v="1"/>
    <n v="16"/>
    <n v="1"/>
    <s v="Life Sciences"/>
    <n v="1"/>
    <n v="1729"/>
    <n v="2"/>
    <x v="1"/>
    <n v="33"/>
    <n v="3"/>
    <n v="1"/>
    <x v="1"/>
    <n v="4"/>
    <s v="Married"/>
    <n v="2862"/>
    <n v="3811"/>
    <n v="1"/>
    <s v="Y"/>
    <x v="1"/>
    <n v="12"/>
    <n v="3"/>
    <n v="2"/>
    <n v="80"/>
    <n v="1"/>
    <n v="10"/>
    <n v="2"/>
    <n v="2"/>
    <n v="10"/>
    <n v="0"/>
    <n v="0"/>
    <n v="8"/>
    <x v="1"/>
    <n v="1"/>
    <x v="2"/>
    <x v="1"/>
    <s v="6-10 Years"/>
    <s v="Very High"/>
    <s v="Good"/>
  </r>
  <r>
    <x v="40"/>
    <s v="No"/>
    <s v="Non-Travel"/>
    <n v="543"/>
    <x v="0"/>
    <n v="2"/>
    <n v="4"/>
    <s v="Marketing"/>
    <n v="1"/>
    <n v="1731"/>
    <n v="3"/>
    <x v="1"/>
    <n v="87"/>
    <n v="3"/>
    <n v="2"/>
    <x v="0"/>
    <n v="2"/>
    <s v="Married"/>
    <n v="4978"/>
    <n v="3536"/>
    <n v="7"/>
    <s v="Y"/>
    <x v="1"/>
    <n v="11"/>
    <n v="3"/>
    <n v="4"/>
    <n v="80"/>
    <n v="1"/>
    <n v="4"/>
    <n v="3"/>
    <n v="1"/>
    <n v="1"/>
    <n v="0"/>
    <n v="0"/>
    <n v="0"/>
    <x v="1"/>
    <n v="1"/>
    <x v="1"/>
    <x v="0"/>
    <s v="0-1 Years"/>
    <s v="Medium"/>
    <s v="Bad"/>
  </r>
  <r>
    <x v="21"/>
    <s v="No"/>
    <s v="Travel_Rarely"/>
    <n v="1277"/>
    <x v="0"/>
    <n v="2"/>
    <n v="3"/>
    <s v="Life Sciences"/>
    <n v="1"/>
    <n v="1732"/>
    <n v="3"/>
    <x v="1"/>
    <n v="74"/>
    <n v="3"/>
    <n v="3"/>
    <x v="0"/>
    <n v="4"/>
    <s v="Divorced"/>
    <n v="10368"/>
    <n v="5596"/>
    <n v="4"/>
    <s v="Y"/>
    <x v="0"/>
    <n v="12"/>
    <n v="3"/>
    <n v="2"/>
    <n v="80"/>
    <n v="1"/>
    <n v="13"/>
    <n v="5"/>
    <n v="2"/>
    <n v="10"/>
    <n v="6"/>
    <n v="0"/>
    <n v="3"/>
    <x v="1"/>
    <n v="1"/>
    <x v="1"/>
    <x v="2"/>
    <s v="6-10 Years"/>
    <s v="Very High"/>
    <s v="Good"/>
  </r>
  <r>
    <x v="9"/>
    <s v="Yes"/>
    <s v="Travel_Rarely"/>
    <n v="1456"/>
    <x v="0"/>
    <n v="13"/>
    <n v="5"/>
    <s v="Marketing"/>
    <n v="1"/>
    <n v="1733"/>
    <n v="2"/>
    <x v="1"/>
    <n v="96"/>
    <n v="2"/>
    <n v="2"/>
    <x v="0"/>
    <n v="1"/>
    <s v="Divorced"/>
    <n v="6134"/>
    <n v="8658"/>
    <n v="5"/>
    <s v="Y"/>
    <x v="0"/>
    <n v="13"/>
    <n v="3"/>
    <n v="2"/>
    <n v="80"/>
    <n v="3"/>
    <n v="16"/>
    <n v="3"/>
    <n v="3"/>
    <n v="2"/>
    <n v="2"/>
    <n v="2"/>
    <n v="2"/>
    <x v="0"/>
    <n v="0"/>
    <x v="0"/>
    <x v="0"/>
    <s v="2-5 Years"/>
    <s v="Low"/>
    <s v="Better"/>
  </r>
  <r>
    <x v="5"/>
    <s v="Yes"/>
    <s v="Travel_Rarely"/>
    <n v="964"/>
    <x v="0"/>
    <n v="1"/>
    <n v="2"/>
    <s v="Life Sciences"/>
    <n v="1"/>
    <n v="1734"/>
    <n v="1"/>
    <x v="1"/>
    <n v="34"/>
    <n v="1"/>
    <n v="2"/>
    <x v="0"/>
    <n v="2"/>
    <s v="Single"/>
    <n v="6735"/>
    <n v="12147"/>
    <n v="6"/>
    <s v="Y"/>
    <x v="1"/>
    <n v="15"/>
    <n v="3"/>
    <n v="2"/>
    <n v="80"/>
    <n v="0"/>
    <n v="10"/>
    <n v="2"/>
    <n v="3"/>
    <n v="0"/>
    <n v="0"/>
    <n v="0"/>
    <n v="0"/>
    <x v="0"/>
    <n v="0"/>
    <x v="2"/>
    <x v="0"/>
    <s v="0-1 Years"/>
    <s v="Medium"/>
    <s v="Better"/>
  </r>
  <r>
    <x v="30"/>
    <s v="No"/>
    <s v="Travel_Rarely"/>
    <n v="160"/>
    <x v="1"/>
    <n v="4"/>
    <n v="1"/>
    <s v="Medical"/>
    <n v="1"/>
    <n v="1735"/>
    <n v="3"/>
    <x v="0"/>
    <n v="51"/>
    <n v="3"/>
    <n v="1"/>
    <x v="2"/>
    <n v="2"/>
    <s v="Single"/>
    <n v="3295"/>
    <n v="12862"/>
    <n v="1"/>
    <s v="Y"/>
    <x v="1"/>
    <n v="13"/>
    <n v="3"/>
    <n v="3"/>
    <n v="80"/>
    <n v="0"/>
    <n v="3"/>
    <n v="3"/>
    <n v="1"/>
    <n v="3"/>
    <n v="2"/>
    <n v="1"/>
    <n v="2"/>
    <x v="1"/>
    <n v="1"/>
    <x v="4"/>
    <x v="0"/>
    <s v="2-5 Years"/>
    <s v="Medium"/>
    <s v="Bad"/>
  </r>
  <r>
    <x v="12"/>
    <s v="No"/>
    <s v="Travel_Frequently"/>
    <n v="163"/>
    <x v="1"/>
    <n v="24"/>
    <n v="1"/>
    <s v="Technical Degree"/>
    <n v="1"/>
    <n v="1736"/>
    <n v="4"/>
    <x v="0"/>
    <n v="30"/>
    <n v="3"/>
    <n v="2"/>
    <x v="3"/>
    <n v="4"/>
    <s v="Single"/>
    <n v="5238"/>
    <n v="6670"/>
    <n v="2"/>
    <s v="Y"/>
    <x v="1"/>
    <n v="20"/>
    <n v="4"/>
    <n v="4"/>
    <n v="80"/>
    <n v="0"/>
    <n v="9"/>
    <n v="3"/>
    <n v="2"/>
    <n v="5"/>
    <n v="4"/>
    <n v="1"/>
    <n v="4"/>
    <x v="1"/>
    <n v="1"/>
    <x v="2"/>
    <x v="0"/>
    <s v="2-5 Years"/>
    <s v="Very High"/>
    <s v="Good"/>
  </r>
  <r>
    <x v="22"/>
    <s v="No"/>
    <s v="Non-Travel"/>
    <n v="792"/>
    <x v="1"/>
    <n v="1"/>
    <n v="3"/>
    <s v="Life Sciences"/>
    <n v="1"/>
    <n v="1737"/>
    <n v="4"/>
    <x v="1"/>
    <n v="77"/>
    <n v="3"/>
    <n v="2"/>
    <x v="2"/>
    <n v="4"/>
    <s v="Married"/>
    <n v="6472"/>
    <n v="8989"/>
    <n v="1"/>
    <s v="Y"/>
    <x v="0"/>
    <n v="15"/>
    <n v="3"/>
    <n v="4"/>
    <n v="80"/>
    <n v="1"/>
    <n v="9"/>
    <n v="2"/>
    <n v="3"/>
    <n v="9"/>
    <n v="8"/>
    <n v="5"/>
    <n v="8"/>
    <x v="1"/>
    <n v="1"/>
    <x v="0"/>
    <x v="0"/>
    <s v="6-10 Years"/>
    <s v="Very High"/>
    <s v="Better"/>
  </r>
  <r>
    <x v="5"/>
    <s v="No"/>
    <s v="Travel_Rarely"/>
    <n v="371"/>
    <x v="0"/>
    <n v="19"/>
    <n v="3"/>
    <s v="Life Sciences"/>
    <n v="1"/>
    <n v="1739"/>
    <n v="4"/>
    <x v="1"/>
    <n v="80"/>
    <n v="1"/>
    <n v="3"/>
    <x v="0"/>
    <n v="3"/>
    <s v="Married"/>
    <n v="9610"/>
    <n v="3840"/>
    <n v="3"/>
    <s v="Y"/>
    <x v="1"/>
    <n v="13"/>
    <n v="3"/>
    <n v="3"/>
    <n v="80"/>
    <n v="1"/>
    <n v="10"/>
    <n v="2"/>
    <n v="1"/>
    <n v="4"/>
    <n v="3"/>
    <n v="0"/>
    <n v="2"/>
    <x v="1"/>
    <n v="1"/>
    <x v="2"/>
    <x v="2"/>
    <s v="2-5 Years"/>
    <s v="High"/>
    <s v="Bad"/>
  </r>
  <r>
    <x v="32"/>
    <s v="No"/>
    <s v="Travel_Rarely"/>
    <n v="611"/>
    <x v="0"/>
    <n v="7"/>
    <n v="4"/>
    <s v="Medical"/>
    <n v="1"/>
    <n v="1740"/>
    <n v="2"/>
    <x v="1"/>
    <n v="88"/>
    <n v="3"/>
    <n v="5"/>
    <x v="5"/>
    <n v="2"/>
    <s v="Single"/>
    <n v="19833"/>
    <n v="4349"/>
    <n v="1"/>
    <s v="Y"/>
    <x v="1"/>
    <n v="14"/>
    <n v="3"/>
    <n v="2"/>
    <n v="80"/>
    <n v="0"/>
    <n v="21"/>
    <n v="3"/>
    <n v="2"/>
    <n v="21"/>
    <n v="8"/>
    <n v="12"/>
    <n v="8"/>
    <x v="1"/>
    <n v="1"/>
    <x v="0"/>
    <x v="2"/>
    <s v="10+ Years"/>
    <s v="Medium"/>
    <s v="Good"/>
  </r>
  <r>
    <x v="28"/>
    <s v="No"/>
    <s v="Travel_Rarely"/>
    <n v="176"/>
    <x v="2"/>
    <n v="4"/>
    <n v="3"/>
    <s v="Life Sciences"/>
    <n v="1"/>
    <n v="1744"/>
    <n v="3"/>
    <x v="0"/>
    <n v="56"/>
    <n v="1"/>
    <n v="3"/>
    <x v="8"/>
    <n v="3"/>
    <s v="Married"/>
    <n v="9756"/>
    <n v="6595"/>
    <n v="4"/>
    <s v="Y"/>
    <x v="1"/>
    <n v="21"/>
    <n v="4"/>
    <n v="3"/>
    <n v="80"/>
    <n v="2"/>
    <n v="9"/>
    <n v="2"/>
    <n v="4"/>
    <n v="5"/>
    <n v="0"/>
    <n v="0"/>
    <n v="3"/>
    <x v="1"/>
    <n v="1"/>
    <x v="1"/>
    <x v="2"/>
    <s v="2-5 Years"/>
    <s v="High"/>
    <s v="Best"/>
  </r>
  <r>
    <x v="7"/>
    <s v="No"/>
    <s v="Travel_Frequently"/>
    <n v="1312"/>
    <x v="1"/>
    <n v="2"/>
    <n v="4"/>
    <s v="Technical Degree"/>
    <n v="1"/>
    <n v="1745"/>
    <n v="4"/>
    <x v="0"/>
    <n v="78"/>
    <n v="2"/>
    <n v="1"/>
    <x v="1"/>
    <n v="1"/>
    <s v="Single"/>
    <n v="4968"/>
    <n v="26427"/>
    <n v="0"/>
    <s v="Y"/>
    <x v="1"/>
    <n v="16"/>
    <n v="3"/>
    <n v="4"/>
    <n v="80"/>
    <n v="0"/>
    <n v="10"/>
    <n v="2"/>
    <n v="3"/>
    <n v="9"/>
    <n v="7"/>
    <n v="0"/>
    <n v="7"/>
    <x v="1"/>
    <n v="1"/>
    <x v="2"/>
    <x v="0"/>
    <s v="6-10 Years"/>
    <s v="Low"/>
    <s v="Better"/>
  </r>
  <r>
    <x v="17"/>
    <s v="No"/>
    <s v="Travel_Frequently"/>
    <n v="897"/>
    <x v="2"/>
    <n v="10"/>
    <n v="3"/>
    <s v="Medical"/>
    <n v="1"/>
    <n v="1746"/>
    <n v="1"/>
    <x v="1"/>
    <n v="59"/>
    <n v="3"/>
    <n v="1"/>
    <x v="8"/>
    <n v="4"/>
    <s v="Married"/>
    <n v="2145"/>
    <n v="2097"/>
    <n v="0"/>
    <s v="Y"/>
    <x v="1"/>
    <n v="14"/>
    <n v="3"/>
    <n v="4"/>
    <n v="80"/>
    <n v="1"/>
    <n v="3"/>
    <n v="2"/>
    <n v="3"/>
    <n v="2"/>
    <n v="2"/>
    <n v="2"/>
    <n v="1"/>
    <x v="1"/>
    <n v="1"/>
    <x v="4"/>
    <x v="1"/>
    <s v="2-5 Years"/>
    <s v="Very High"/>
    <s v="Better"/>
  </r>
  <r>
    <x v="7"/>
    <s v="Yes"/>
    <s v="Travel_Frequently"/>
    <n v="600"/>
    <x v="2"/>
    <n v="8"/>
    <n v="3"/>
    <s v="Human Resources"/>
    <n v="1"/>
    <n v="1747"/>
    <n v="3"/>
    <x v="0"/>
    <n v="66"/>
    <n v="2"/>
    <n v="1"/>
    <x v="8"/>
    <n v="4"/>
    <s v="Divorced"/>
    <n v="2180"/>
    <n v="9732"/>
    <n v="6"/>
    <s v="Y"/>
    <x v="1"/>
    <n v="11"/>
    <n v="3"/>
    <n v="3"/>
    <n v="80"/>
    <n v="1"/>
    <n v="6"/>
    <n v="0"/>
    <n v="2"/>
    <n v="4"/>
    <n v="2"/>
    <n v="1"/>
    <n v="2"/>
    <x v="0"/>
    <n v="0"/>
    <x v="2"/>
    <x v="1"/>
    <s v="2-5 Years"/>
    <s v="Very High"/>
    <s v="Good"/>
  </r>
  <r>
    <x v="12"/>
    <s v="No"/>
    <s v="Travel_Rarely"/>
    <n v="1003"/>
    <x v="0"/>
    <n v="5"/>
    <n v="3"/>
    <s v="Technical Degree"/>
    <n v="1"/>
    <n v="1749"/>
    <n v="1"/>
    <x v="1"/>
    <n v="51"/>
    <n v="3"/>
    <n v="2"/>
    <x v="0"/>
    <n v="3"/>
    <s v="Married"/>
    <n v="8346"/>
    <n v="20943"/>
    <n v="1"/>
    <s v="Y"/>
    <x v="1"/>
    <n v="19"/>
    <n v="3"/>
    <n v="3"/>
    <n v="80"/>
    <n v="1"/>
    <n v="6"/>
    <n v="3"/>
    <n v="3"/>
    <n v="5"/>
    <n v="2"/>
    <n v="0"/>
    <n v="2"/>
    <x v="1"/>
    <n v="1"/>
    <x v="2"/>
    <x v="2"/>
    <s v="2-5 Years"/>
    <s v="High"/>
    <s v="Better"/>
  </r>
  <r>
    <x v="4"/>
    <s v="No"/>
    <s v="Travel_Rarely"/>
    <n v="1054"/>
    <x v="1"/>
    <n v="8"/>
    <n v="3"/>
    <s v="Medical"/>
    <n v="1"/>
    <n v="1751"/>
    <n v="3"/>
    <x v="0"/>
    <n v="67"/>
    <n v="3"/>
    <n v="1"/>
    <x v="1"/>
    <n v="4"/>
    <s v="Single"/>
    <n v="3445"/>
    <n v="6152"/>
    <n v="1"/>
    <s v="Y"/>
    <x v="1"/>
    <n v="11"/>
    <n v="3"/>
    <n v="3"/>
    <n v="80"/>
    <n v="0"/>
    <n v="6"/>
    <n v="5"/>
    <n v="2"/>
    <n v="6"/>
    <n v="2"/>
    <n v="1"/>
    <n v="4"/>
    <x v="1"/>
    <n v="1"/>
    <x v="2"/>
    <x v="0"/>
    <s v="6-10 Years"/>
    <s v="Very High"/>
    <s v="Good"/>
  </r>
  <r>
    <x v="11"/>
    <s v="Yes"/>
    <s v="Travel_Rarely"/>
    <n v="428"/>
    <x v="0"/>
    <n v="9"/>
    <n v="3"/>
    <s v="Marketing"/>
    <n v="1"/>
    <n v="1752"/>
    <n v="2"/>
    <x v="0"/>
    <n v="52"/>
    <n v="1"/>
    <n v="1"/>
    <x v="6"/>
    <n v="2"/>
    <s v="Single"/>
    <n v="2760"/>
    <n v="14630"/>
    <n v="1"/>
    <s v="Y"/>
    <x v="1"/>
    <n v="13"/>
    <n v="3"/>
    <n v="3"/>
    <n v="80"/>
    <n v="0"/>
    <n v="2"/>
    <n v="3"/>
    <n v="3"/>
    <n v="2"/>
    <n v="2"/>
    <n v="2"/>
    <n v="2"/>
    <x v="0"/>
    <n v="0"/>
    <x v="2"/>
    <x v="1"/>
    <s v="2-5 Years"/>
    <s v="Medium"/>
    <s v="Better"/>
  </r>
  <r>
    <x v="11"/>
    <s v="No"/>
    <s v="Travel_Frequently"/>
    <n v="461"/>
    <x v="1"/>
    <n v="1"/>
    <n v="3"/>
    <s v="Life Sciences"/>
    <n v="1"/>
    <n v="1753"/>
    <n v="4"/>
    <x v="1"/>
    <n v="70"/>
    <n v="4"/>
    <n v="2"/>
    <x v="4"/>
    <n v="3"/>
    <s v="Single"/>
    <n v="6294"/>
    <n v="23060"/>
    <n v="8"/>
    <s v="Y"/>
    <x v="0"/>
    <n v="12"/>
    <n v="3"/>
    <n v="4"/>
    <n v="80"/>
    <n v="0"/>
    <n v="10"/>
    <n v="5"/>
    <n v="4"/>
    <n v="3"/>
    <n v="2"/>
    <n v="0"/>
    <n v="2"/>
    <x v="1"/>
    <n v="1"/>
    <x v="2"/>
    <x v="0"/>
    <s v="2-5 Years"/>
    <s v="High"/>
    <s v="Best"/>
  </r>
  <r>
    <x v="7"/>
    <s v="No"/>
    <s v="Travel_Rarely"/>
    <n v="979"/>
    <x v="0"/>
    <n v="15"/>
    <n v="2"/>
    <s v="Marketing"/>
    <n v="1"/>
    <n v="1754"/>
    <n v="3"/>
    <x v="1"/>
    <n v="94"/>
    <n v="2"/>
    <n v="3"/>
    <x v="0"/>
    <n v="1"/>
    <s v="Divorced"/>
    <n v="7140"/>
    <n v="3088"/>
    <n v="2"/>
    <s v="Y"/>
    <x v="1"/>
    <n v="11"/>
    <n v="3"/>
    <n v="1"/>
    <n v="80"/>
    <n v="1"/>
    <n v="12"/>
    <n v="2"/>
    <n v="3"/>
    <n v="7"/>
    <n v="7"/>
    <n v="1"/>
    <n v="7"/>
    <x v="1"/>
    <n v="1"/>
    <x v="2"/>
    <x v="2"/>
    <s v="6-10 Years"/>
    <s v="Low"/>
    <s v="Better"/>
  </r>
  <r>
    <x v="13"/>
    <s v="No"/>
    <s v="Travel_Rarely"/>
    <n v="181"/>
    <x v="1"/>
    <n v="2"/>
    <n v="4"/>
    <s v="Medical"/>
    <n v="1"/>
    <n v="1755"/>
    <n v="4"/>
    <x v="1"/>
    <n v="97"/>
    <n v="4"/>
    <n v="1"/>
    <x v="1"/>
    <n v="4"/>
    <s v="Married"/>
    <n v="2932"/>
    <n v="5586"/>
    <n v="0"/>
    <s v="Y"/>
    <x v="0"/>
    <n v="14"/>
    <n v="3"/>
    <n v="1"/>
    <n v="80"/>
    <n v="3"/>
    <n v="6"/>
    <n v="3"/>
    <n v="3"/>
    <n v="5"/>
    <n v="0"/>
    <n v="1"/>
    <n v="2"/>
    <x v="1"/>
    <n v="1"/>
    <x v="2"/>
    <x v="1"/>
    <s v="2-5 Years"/>
    <s v="Very High"/>
    <s v="Better"/>
  </r>
  <r>
    <x v="3"/>
    <s v="No"/>
    <s v="Non-Travel"/>
    <n v="1283"/>
    <x v="0"/>
    <n v="2"/>
    <n v="3"/>
    <s v="Marketing"/>
    <n v="1"/>
    <n v="1756"/>
    <n v="4"/>
    <x v="0"/>
    <n v="62"/>
    <n v="3"/>
    <n v="2"/>
    <x v="0"/>
    <n v="2"/>
    <s v="Single"/>
    <n v="5147"/>
    <n v="10697"/>
    <n v="8"/>
    <s v="Y"/>
    <x v="1"/>
    <n v="15"/>
    <n v="3"/>
    <n v="4"/>
    <n v="80"/>
    <n v="0"/>
    <n v="13"/>
    <n v="2"/>
    <n v="2"/>
    <n v="11"/>
    <n v="7"/>
    <n v="1"/>
    <n v="7"/>
    <x v="1"/>
    <n v="1"/>
    <x v="2"/>
    <x v="0"/>
    <s v="10+ Years"/>
    <s v="Medium"/>
    <s v="Good"/>
  </r>
  <r>
    <x v="1"/>
    <s v="No"/>
    <s v="Travel_Rarely"/>
    <n v="1313"/>
    <x v="0"/>
    <n v="11"/>
    <n v="4"/>
    <s v="Marketing"/>
    <n v="1"/>
    <n v="1757"/>
    <n v="4"/>
    <x v="0"/>
    <n v="80"/>
    <n v="3"/>
    <n v="2"/>
    <x v="0"/>
    <n v="4"/>
    <s v="Single"/>
    <n v="4507"/>
    <n v="8191"/>
    <n v="3"/>
    <s v="Y"/>
    <x v="1"/>
    <n v="12"/>
    <n v="3"/>
    <n v="3"/>
    <n v="80"/>
    <n v="0"/>
    <n v="8"/>
    <n v="1"/>
    <n v="4"/>
    <n v="5"/>
    <n v="1"/>
    <n v="0"/>
    <n v="4"/>
    <x v="1"/>
    <n v="1"/>
    <x v="1"/>
    <x v="0"/>
    <s v="2-5 Years"/>
    <s v="Very High"/>
    <s v="Best"/>
  </r>
  <r>
    <x v="3"/>
    <s v="Yes"/>
    <s v="Travel_Rarely"/>
    <n v="211"/>
    <x v="0"/>
    <n v="16"/>
    <n v="3"/>
    <s v="Life Sciences"/>
    <n v="1"/>
    <n v="1758"/>
    <n v="1"/>
    <x v="0"/>
    <n v="74"/>
    <n v="3"/>
    <n v="3"/>
    <x v="0"/>
    <n v="1"/>
    <s v="Single"/>
    <n v="8564"/>
    <n v="10092"/>
    <n v="2"/>
    <s v="Y"/>
    <x v="0"/>
    <n v="20"/>
    <n v="4"/>
    <n v="3"/>
    <n v="80"/>
    <n v="0"/>
    <n v="11"/>
    <n v="2"/>
    <n v="2"/>
    <n v="0"/>
    <n v="0"/>
    <n v="0"/>
    <n v="0"/>
    <x v="0"/>
    <n v="0"/>
    <x v="2"/>
    <x v="2"/>
    <s v="0-1 Years"/>
    <s v="Low"/>
    <s v="Good"/>
  </r>
  <r>
    <x v="8"/>
    <s v="No"/>
    <s v="Travel_Frequently"/>
    <n v="594"/>
    <x v="1"/>
    <n v="2"/>
    <n v="2"/>
    <s v="Medical"/>
    <n v="1"/>
    <n v="1760"/>
    <n v="3"/>
    <x v="0"/>
    <n v="75"/>
    <n v="2"/>
    <n v="1"/>
    <x v="2"/>
    <n v="2"/>
    <s v="Married"/>
    <n v="2468"/>
    <n v="15963"/>
    <n v="4"/>
    <s v="Y"/>
    <x v="1"/>
    <n v="14"/>
    <n v="3"/>
    <n v="2"/>
    <n v="80"/>
    <n v="1"/>
    <n v="9"/>
    <n v="4"/>
    <n v="2"/>
    <n v="6"/>
    <n v="1"/>
    <n v="0"/>
    <n v="5"/>
    <x v="1"/>
    <n v="1"/>
    <x v="0"/>
    <x v="1"/>
    <s v="6-10 Years"/>
    <s v="Medium"/>
    <s v="Good"/>
  </r>
  <r>
    <x v="12"/>
    <s v="Yes"/>
    <s v="Travel_Rarely"/>
    <n v="1079"/>
    <x v="0"/>
    <n v="16"/>
    <n v="4"/>
    <s v="Marketing"/>
    <n v="1"/>
    <n v="1761"/>
    <n v="1"/>
    <x v="1"/>
    <n v="70"/>
    <n v="3"/>
    <n v="3"/>
    <x v="0"/>
    <n v="3"/>
    <s v="Married"/>
    <n v="8161"/>
    <n v="19002"/>
    <n v="2"/>
    <s v="Y"/>
    <x v="1"/>
    <n v="13"/>
    <n v="3"/>
    <n v="1"/>
    <n v="80"/>
    <n v="3"/>
    <n v="10"/>
    <n v="2"/>
    <n v="3"/>
    <n v="1"/>
    <n v="0"/>
    <n v="0"/>
    <n v="0"/>
    <x v="0"/>
    <n v="0"/>
    <x v="2"/>
    <x v="2"/>
    <s v="0-1 Years"/>
    <s v="High"/>
    <s v="Better"/>
  </r>
  <r>
    <x v="11"/>
    <s v="No"/>
    <s v="Travel_Rarely"/>
    <n v="590"/>
    <x v="1"/>
    <n v="4"/>
    <n v="3"/>
    <s v="Technical Degree"/>
    <n v="1"/>
    <n v="1762"/>
    <n v="4"/>
    <x v="0"/>
    <n v="91"/>
    <n v="2"/>
    <n v="1"/>
    <x v="1"/>
    <n v="1"/>
    <s v="Divorced"/>
    <n v="2109"/>
    <n v="10007"/>
    <n v="1"/>
    <s v="Y"/>
    <x v="1"/>
    <n v="13"/>
    <n v="3"/>
    <n v="3"/>
    <n v="80"/>
    <n v="1"/>
    <n v="1"/>
    <n v="2"/>
    <n v="3"/>
    <n v="1"/>
    <n v="0"/>
    <n v="0"/>
    <n v="0"/>
    <x v="1"/>
    <n v="1"/>
    <x v="2"/>
    <x v="1"/>
    <s v="0-1 Years"/>
    <s v="Low"/>
    <s v="Better"/>
  </r>
  <r>
    <x v="7"/>
    <s v="No"/>
    <s v="Travel_Rarely"/>
    <n v="305"/>
    <x v="1"/>
    <n v="16"/>
    <n v="3"/>
    <s v="Life Sciences"/>
    <n v="1"/>
    <n v="1763"/>
    <n v="3"/>
    <x v="1"/>
    <n v="58"/>
    <n v="4"/>
    <n v="2"/>
    <x v="4"/>
    <n v="3"/>
    <s v="Married"/>
    <n v="5294"/>
    <n v="9128"/>
    <n v="3"/>
    <s v="Y"/>
    <x v="1"/>
    <n v="16"/>
    <n v="3"/>
    <n v="3"/>
    <n v="80"/>
    <n v="1"/>
    <n v="10"/>
    <n v="3"/>
    <n v="3"/>
    <n v="7"/>
    <n v="0"/>
    <n v="1"/>
    <n v="7"/>
    <x v="1"/>
    <n v="1"/>
    <x v="2"/>
    <x v="0"/>
    <s v="6-10 Years"/>
    <s v="High"/>
    <s v="Better"/>
  </r>
  <r>
    <x v="5"/>
    <s v="No"/>
    <s v="Non-Travel"/>
    <n v="953"/>
    <x v="1"/>
    <n v="5"/>
    <n v="4"/>
    <s v="Technical Degree"/>
    <n v="1"/>
    <n v="1764"/>
    <n v="2"/>
    <x v="1"/>
    <n v="65"/>
    <n v="3"/>
    <n v="1"/>
    <x v="1"/>
    <n v="2"/>
    <s v="Single"/>
    <n v="2718"/>
    <n v="17674"/>
    <n v="2"/>
    <s v="Y"/>
    <x v="1"/>
    <n v="14"/>
    <n v="3"/>
    <n v="2"/>
    <n v="80"/>
    <n v="0"/>
    <n v="12"/>
    <n v="3"/>
    <n v="3"/>
    <n v="7"/>
    <n v="7"/>
    <n v="0"/>
    <n v="7"/>
    <x v="1"/>
    <n v="1"/>
    <x v="2"/>
    <x v="1"/>
    <s v="6-10 Years"/>
    <s v="Medium"/>
    <s v="Better"/>
  </r>
  <r>
    <x v="8"/>
    <s v="No"/>
    <s v="Travel_Rarely"/>
    <n v="833"/>
    <x v="1"/>
    <n v="18"/>
    <n v="3"/>
    <s v="Medical"/>
    <n v="1"/>
    <n v="1766"/>
    <n v="2"/>
    <x v="1"/>
    <n v="60"/>
    <n v="1"/>
    <n v="2"/>
    <x v="4"/>
    <n v="4"/>
    <s v="Married"/>
    <n v="5811"/>
    <n v="24539"/>
    <n v="3"/>
    <s v="Y"/>
    <x v="0"/>
    <n v="16"/>
    <n v="3"/>
    <n v="3"/>
    <n v="80"/>
    <n v="1"/>
    <n v="15"/>
    <n v="2"/>
    <n v="3"/>
    <n v="1"/>
    <n v="0"/>
    <n v="1"/>
    <n v="0"/>
    <x v="1"/>
    <n v="1"/>
    <x v="0"/>
    <x v="0"/>
    <s v="0-1 Years"/>
    <s v="Very High"/>
    <s v="Better"/>
  </r>
  <r>
    <x v="23"/>
    <s v="Yes"/>
    <s v="Travel_Frequently"/>
    <n v="807"/>
    <x v="1"/>
    <n v="17"/>
    <n v="3"/>
    <s v="Technical Degree"/>
    <n v="1"/>
    <n v="1767"/>
    <n v="3"/>
    <x v="1"/>
    <n v="38"/>
    <n v="2"/>
    <n v="1"/>
    <x v="1"/>
    <n v="3"/>
    <s v="Married"/>
    <n v="2437"/>
    <n v="15587"/>
    <n v="9"/>
    <s v="Y"/>
    <x v="0"/>
    <n v="16"/>
    <n v="3"/>
    <n v="4"/>
    <n v="80"/>
    <n v="1"/>
    <n v="6"/>
    <n v="4"/>
    <n v="3"/>
    <n v="1"/>
    <n v="0"/>
    <n v="0"/>
    <n v="0"/>
    <x v="0"/>
    <n v="0"/>
    <x v="0"/>
    <x v="1"/>
    <s v="0-1 Years"/>
    <s v="High"/>
    <s v="Better"/>
  </r>
  <r>
    <x v="19"/>
    <s v="No"/>
    <s v="Travel_Rarely"/>
    <n v="855"/>
    <x v="1"/>
    <n v="12"/>
    <n v="3"/>
    <s v="Medical"/>
    <n v="1"/>
    <n v="1768"/>
    <n v="2"/>
    <x v="1"/>
    <n v="57"/>
    <n v="3"/>
    <n v="1"/>
    <x v="2"/>
    <n v="2"/>
    <s v="Divorced"/>
    <n v="2766"/>
    <n v="8952"/>
    <n v="8"/>
    <s v="Y"/>
    <x v="1"/>
    <n v="22"/>
    <n v="4"/>
    <n v="2"/>
    <n v="80"/>
    <n v="3"/>
    <n v="7"/>
    <n v="6"/>
    <n v="2"/>
    <n v="5"/>
    <n v="3"/>
    <n v="0"/>
    <n v="4"/>
    <x v="1"/>
    <n v="1"/>
    <x v="0"/>
    <x v="1"/>
    <s v="2-5 Years"/>
    <s v="Medium"/>
    <s v="Good"/>
  </r>
  <r>
    <x v="27"/>
    <s v="No"/>
    <s v="Travel_Rarely"/>
    <n v="478"/>
    <x v="1"/>
    <n v="2"/>
    <n v="3"/>
    <s v="Medical"/>
    <n v="1"/>
    <n v="1770"/>
    <n v="3"/>
    <x v="1"/>
    <n v="60"/>
    <n v="2"/>
    <n v="5"/>
    <x v="7"/>
    <n v="1"/>
    <s v="Married"/>
    <n v="19038"/>
    <n v="19805"/>
    <n v="8"/>
    <s v="Y"/>
    <x v="1"/>
    <n v="12"/>
    <n v="3"/>
    <n v="2"/>
    <n v="80"/>
    <n v="3"/>
    <n v="34"/>
    <n v="2"/>
    <n v="3"/>
    <n v="1"/>
    <n v="0"/>
    <n v="0"/>
    <n v="0"/>
    <x v="1"/>
    <n v="1"/>
    <x v="3"/>
    <x v="2"/>
    <s v="0-1 Years"/>
    <s v="Low"/>
    <s v="Better"/>
  </r>
  <r>
    <x v="3"/>
    <s v="No"/>
    <s v="Non-Travel"/>
    <n v="775"/>
    <x v="1"/>
    <n v="4"/>
    <n v="3"/>
    <s v="Technical Degree"/>
    <n v="1"/>
    <n v="1771"/>
    <n v="4"/>
    <x v="1"/>
    <n v="90"/>
    <n v="3"/>
    <n v="2"/>
    <x v="1"/>
    <n v="2"/>
    <s v="Divorced"/>
    <n v="3055"/>
    <n v="6194"/>
    <n v="5"/>
    <s v="Y"/>
    <x v="1"/>
    <n v="15"/>
    <n v="3"/>
    <n v="4"/>
    <n v="80"/>
    <n v="2"/>
    <n v="11"/>
    <n v="2"/>
    <n v="2"/>
    <n v="9"/>
    <n v="8"/>
    <n v="1"/>
    <n v="7"/>
    <x v="1"/>
    <n v="1"/>
    <x v="2"/>
    <x v="0"/>
    <s v="6-10 Years"/>
    <s v="Medium"/>
    <s v="Good"/>
  </r>
  <r>
    <x v="0"/>
    <s v="No"/>
    <s v="Travel_Rarely"/>
    <n v="548"/>
    <x v="1"/>
    <n v="9"/>
    <n v="4"/>
    <s v="Life Sciences"/>
    <n v="1"/>
    <n v="1772"/>
    <n v="3"/>
    <x v="1"/>
    <n v="94"/>
    <n v="3"/>
    <n v="1"/>
    <x v="2"/>
    <n v="1"/>
    <s v="Divorced"/>
    <n v="2289"/>
    <n v="20520"/>
    <n v="1"/>
    <s v="Y"/>
    <x v="1"/>
    <n v="20"/>
    <n v="4"/>
    <n v="2"/>
    <n v="80"/>
    <n v="2"/>
    <n v="5"/>
    <n v="2"/>
    <n v="3"/>
    <n v="5"/>
    <n v="3"/>
    <n v="0"/>
    <n v="4"/>
    <x v="1"/>
    <n v="1"/>
    <x v="0"/>
    <x v="1"/>
    <s v="2-5 Years"/>
    <s v="Low"/>
    <s v="Better"/>
  </r>
  <r>
    <x v="13"/>
    <s v="No"/>
    <s v="Non-Travel"/>
    <n v="1375"/>
    <x v="0"/>
    <n v="10"/>
    <n v="3"/>
    <s v="Life Sciences"/>
    <n v="1"/>
    <n v="1774"/>
    <n v="4"/>
    <x v="1"/>
    <n v="87"/>
    <n v="3"/>
    <n v="2"/>
    <x v="0"/>
    <n v="3"/>
    <s v="Divorced"/>
    <n v="4001"/>
    <n v="12313"/>
    <n v="1"/>
    <s v="Y"/>
    <x v="0"/>
    <n v="14"/>
    <n v="3"/>
    <n v="3"/>
    <n v="80"/>
    <n v="1"/>
    <n v="15"/>
    <n v="3"/>
    <n v="3"/>
    <n v="15"/>
    <n v="14"/>
    <n v="0"/>
    <n v="7"/>
    <x v="1"/>
    <n v="1"/>
    <x v="2"/>
    <x v="0"/>
    <s v="10+ Years"/>
    <s v="High"/>
    <s v="Better"/>
  </r>
  <r>
    <x v="16"/>
    <s v="No"/>
    <s v="Non-Travel"/>
    <n v="661"/>
    <x v="1"/>
    <n v="1"/>
    <n v="4"/>
    <s v="Medical"/>
    <n v="1"/>
    <n v="1775"/>
    <n v="1"/>
    <x v="0"/>
    <n v="60"/>
    <n v="2"/>
    <n v="4"/>
    <x v="3"/>
    <n v="3"/>
    <s v="Married"/>
    <n v="12965"/>
    <n v="22308"/>
    <n v="4"/>
    <s v="Y"/>
    <x v="0"/>
    <n v="20"/>
    <n v="4"/>
    <n v="4"/>
    <n v="80"/>
    <n v="3"/>
    <n v="27"/>
    <n v="2"/>
    <n v="2"/>
    <n v="3"/>
    <n v="2"/>
    <n v="0"/>
    <n v="2"/>
    <x v="1"/>
    <n v="1"/>
    <x v="1"/>
    <x v="2"/>
    <s v="2-5 Years"/>
    <s v="High"/>
    <s v="Good"/>
  </r>
  <r>
    <x v="23"/>
    <s v="No"/>
    <s v="Travel_Rarely"/>
    <n v="244"/>
    <x v="2"/>
    <n v="2"/>
    <n v="3"/>
    <s v="Life Sciences"/>
    <n v="1"/>
    <n v="1778"/>
    <n v="2"/>
    <x v="1"/>
    <n v="97"/>
    <n v="3"/>
    <n v="1"/>
    <x v="8"/>
    <n v="4"/>
    <s v="Single"/>
    <n v="3539"/>
    <n v="5033"/>
    <n v="0"/>
    <s v="Y"/>
    <x v="1"/>
    <n v="13"/>
    <n v="3"/>
    <n v="2"/>
    <n v="80"/>
    <n v="0"/>
    <n v="10"/>
    <n v="5"/>
    <n v="3"/>
    <n v="9"/>
    <n v="7"/>
    <n v="1"/>
    <n v="8"/>
    <x v="1"/>
    <n v="1"/>
    <x v="0"/>
    <x v="0"/>
    <s v="6-10 Years"/>
    <s v="Very High"/>
    <s v="Better"/>
  </r>
  <r>
    <x v="13"/>
    <s v="No"/>
    <s v="Travel_Rarely"/>
    <n v="511"/>
    <x v="0"/>
    <n v="3"/>
    <n v="2"/>
    <s v="Life Sciences"/>
    <n v="1"/>
    <n v="1779"/>
    <n v="4"/>
    <x v="0"/>
    <n v="32"/>
    <n v="1"/>
    <n v="2"/>
    <x v="0"/>
    <n v="4"/>
    <s v="Single"/>
    <n v="6029"/>
    <n v="25353"/>
    <n v="5"/>
    <s v="Y"/>
    <x v="1"/>
    <n v="12"/>
    <n v="3"/>
    <n v="1"/>
    <n v="80"/>
    <n v="0"/>
    <n v="6"/>
    <n v="3"/>
    <n v="3"/>
    <n v="2"/>
    <n v="2"/>
    <n v="2"/>
    <n v="2"/>
    <x v="1"/>
    <n v="1"/>
    <x v="2"/>
    <x v="0"/>
    <s v="2-5 Years"/>
    <s v="Very High"/>
    <s v="Better"/>
  </r>
  <r>
    <x v="18"/>
    <s v="Yes"/>
    <s v="Travel_Rarely"/>
    <n v="337"/>
    <x v="0"/>
    <n v="7"/>
    <n v="1"/>
    <s v="Marketing"/>
    <n v="1"/>
    <n v="1780"/>
    <n v="2"/>
    <x v="1"/>
    <n v="31"/>
    <n v="3"/>
    <n v="1"/>
    <x v="6"/>
    <n v="2"/>
    <s v="Single"/>
    <n v="2679"/>
    <n v="4567"/>
    <n v="1"/>
    <s v="Y"/>
    <x v="1"/>
    <n v="13"/>
    <n v="3"/>
    <n v="2"/>
    <n v="80"/>
    <n v="0"/>
    <n v="1"/>
    <n v="3"/>
    <n v="3"/>
    <n v="1"/>
    <n v="0"/>
    <n v="1"/>
    <n v="0"/>
    <x v="0"/>
    <n v="0"/>
    <x v="4"/>
    <x v="1"/>
    <s v="0-1 Years"/>
    <s v="Medium"/>
    <s v="Better"/>
  </r>
  <r>
    <x v="8"/>
    <s v="No"/>
    <s v="Travel_Rarely"/>
    <n v="1153"/>
    <x v="1"/>
    <n v="6"/>
    <n v="2"/>
    <s v="Other"/>
    <n v="1"/>
    <n v="1782"/>
    <n v="4"/>
    <x v="0"/>
    <n v="40"/>
    <n v="2"/>
    <n v="1"/>
    <x v="2"/>
    <n v="3"/>
    <s v="Married"/>
    <n v="3702"/>
    <n v="16376"/>
    <n v="1"/>
    <s v="Y"/>
    <x v="1"/>
    <n v="11"/>
    <n v="3"/>
    <n v="2"/>
    <n v="80"/>
    <n v="1"/>
    <n v="5"/>
    <n v="3"/>
    <n v="3"/>
    <n v="5"/>
    <n v="4"/>
    <n v="0"/>
    <n v="4"/>
    <x v="1"/>
    <n v="1"/>
    <x v="0"/>
    <x v="0"/>
    <s v="2-5 Years"/>
    <s v="High"/>
    <s v="Better"/>
  </r>
  <r>
    <x v="15"/>
    <s v="Yes"/>
    <s v="Travel_Rarely"/>
    <n v="1294"/>
    <x v="1"/>
    <n v="8"/>
    <n v="1"/>
    <s v="Medical"/>
    <n v="1"/>
    <n v="1783"/>
    <n v="3"/>
    <x v="0"/>
    <n v="79"/>
    <n v="3"/>
    <n v="1"/>
    <x v="2"/>
    <n v="1"/>
    <s v="Married"/>
    <n v="2398"/>
    <n v="15999"/>
    <n v="1"/>
    <s v="Y"/>
    <x v="0"/>
    <n v="17"/>
    <n v="3"/>
    <n v="3"/>
    <n v="80"/>
    <n v="0"/>
    <n v="1"/>
    <n v="6"/>
    <n v="3"/>
    <n v="1"/>
    <n v="0"/>
    <n v="0"/>
    <n v="0"/>
    <x v="0"/>
    <n v="0"/>
    <x v="4"/>
    <x v="1"/>
    <s v="0-1 Years"/>
    <s v="Low"/>
    <s v="Better"/>
  </r>
  <r>
    <x v="12"/>
    <s v="No"/>
    <s v="Travel_Rarely"/>
    <n v="196"/>
    <x v="0"/>
    <n v="29"/>
    <n v="4"/>
    <s v="Marketing"/>
    <n v="1"/>
    <n v="1784"/>
    <n v="1"/>
    <x v="0"/>
    <n v="91"/>
    <n v="2"/>
    <n v="2"/>
    <x v="0"/>
    <n v="4"/>
    <s v="Married"/>
    <n v="5468"/>
    <n v="13402"/>
    <n v="1"/>
    <s v="Y"/>
    <x v="1"/>
    <n v="14"/>
    <n v="3"/>
    <n v="1"/>
    <n v="80"/>
    <n v="2"/>
    <n v="13"/>
    <n v="3"/>
    <n v="3"/>
    <n v="12"/>
    <n v="7"/>
    <n v="5"/>
    <n v="7"/>
    <x v="1"/>
    <n v="1"/>
    <x v="2"/>
    <x v="0"/>
    <s v="10+ Years"/>
    <s v="Very High"/>
    <s v="Better"/>
  </r>
  <r>
    <x v="31"/>
    <s v="No"/>
    <s v="Travel_Rarely"/>
    <n v="942"/>
    <x v="1"/>
    <n v="3"/>
    <n v="3"/>
    <s v="Technical Degree"/>
    <n v="1"/>
    <n v="1786"/>
    <n v="1"/>
    <x v="0"/>
    <n v="53"/>
    <n v="3"/>
    <n v="3"/>
    <x v="5"/>
    <n v="3"/>
    <s v="Married"/>
    <n v="13116"/>
    <n v="22984"/>
    <n v="2"/>
    <s v="Y"/>
    <x v="1"/>
    <n v="11"/>
    <n v="3"/>
    <n v="4"/>
    <n v="80"/>
    <n v="0"/>
    <n v="15"/>
    <n v="2"/>
    <n v="3"/>
    <n v="2"/>
    <n v="2"/>
    <n v="2"/>
    <n v="2"/>
    <x v="1"/>
    <n v="1"/>
    <x v="1"/>
    <x v="2"/>
    <s v="2-5 Years"/>
    <s v="High"/>
    <s v="Better"/>
  </r>
  <r>
    <x v="2"/>
    <s v="No"/>
    <s v="Travel_Rarely"/>
    <n v="589"/>
    <x v="0"/>
    <n v="9"/>
    <n v="2"/>
    <s v="Marketing"/>
    <n v="1"/>
    <n v="1787"/>
    <n v="2"/>
    <x v="1"/>
    <n v="46"/>
    <n v="2"/>
    <n v="2"/>
    <x v="0"/>
    <n v="2"/>
    <s v="Married"/>
    <n v="4189"/>
    <n v="8800"/>
    <n v="1"/>
    <s v="Y"/>
    <x v="1"/>
    <n v="14"/>
    <n v="3"/>
    <n v="1"/>
    <n v="80"/>
    <n v="2"/>
    <n v="5"/>
    <n v="2"/>
    <n v="3"/>
    <n v="5"/>
    <n v="2"/>
    <n v="0"/>
    <n v="3"/>
    <x v="1"/>
    <n v="1"/>
    <x v="0"/>
    <x v="0"/>
    <s v="2-5 Years"/>
    <s v="Medium"/>
    <s v="Better"/>
  </r>
  <r>
    <x v="21"/>
    <s v="No"/>
    <s v="Travel_Rarely"/>
    <n v="734"/>
    <x v="1"/>
    <n v="2"/>
    <n v="4"/>
    <s v="Medical"/>
    <n v="1"/>
    <n v="1789"/>
    <n v="3"/>
    <x v="1"/>
    <n v="46"/>
    <n v="3"/>
    <n v="5"/>
    <x v="7"/>
    <n v="4"/>
    <s v="Divorced"/>
    <n v="19328"/>
    <n v="14218"/>
    <n v="7"/>
    <s v="Y"/>
    <x v="0"/>
    <n v="17"/>
    <n v="3"/>
    <n v="3"/>
    <n v="80"/>
    <n v="1"/>
    <n v="24"/>
    <n v="3"/>
    <n v="3"/>
    <n v="2"/>
    <n v="1"/>
    <n v="2"/>
    <n v="2"/>
    <x v="1"/>
    <n v="1"/>
    <x v="1"/>
    <x v="2"/>
    <s v="2-5 Years"/>
    <s v="Very High"/>
    <s v="Better"/>
  </r>
  <r>
    <x v="9"/>
    <s v="No"/>
    <s v="Travel_Rarely"/>
    <n v="1383"/>
    <x v="1"/>
    <n v="10"/>
    <n v="3"/>
    <s v="Life Sciences"/>
    <n v="1"/>
    <n v="1790"/>
    <n v="4"/>
    <x v="1"/>
    <n v="90"/>
    <n v="3"/>
    <n v="3"/>
    <x v="4"/>
    <n v="1"/>
    <s v="Married"/>
    <n v="8321"/>
    <n v="25949"/>
    <n v="7"/>
    <s v="Y"/>
    <x v="0"/>
    <n v="13"/>
    <n v="3"/>
    <n v="4"/>
    <n v="80"/>
    <n v="1"/>
    <n v="15"/>
    <n v="1"/>
    <n v="3"/>
    <n v="12"/>
    <n v="8"/>
    <n v="5"/>
    <n v="7"/>
    <x v="1"/>
    <n v="1"/>
    <x v="0"/>
    <x v="2"/>
    <s v="10+ Years"/>
    <s v="Low"/>
    <s v="Better"/>
  </r>
  <r>
    <x v="20"/>
    <s v="Yes"/>
    <s v="Travel_Frequently"/>
    <n v="429"/>
    <x v="1"/>
    <n v="1"/>
    <n v="2"/>
    <s v="Medical"/>
    <n v="1"/>
    <n v="1792"/>
    <n v="3"/>
    <x v="1"/>
    <n v="99"/>
    <n v="3"/>
    <n v="1"/>
    <x v="1"/>
    <n v="2"/>
    <s v="Divorced"/>
    <n v="2342"/>
    <n v="11092"/>
    <n v="1"/>
    <s v="Y"/>
    <x v="0"/>
    <n v="12"/>
    <n v="3"/>
    <n v="3"/>
    <n v="80"/>
    <n v="3"/>
    <n v="6"/>
    <n v="2"/>
    <n v="2"/>
    <n v="5"/>
    <n v="3"/>
    <n v="2"/>
    <n v="3"/>
    <x v="0"/>
    <n v="0"/>
    <x v="0"/>
    <x v="1"/>
    <s v="2-5 Years"/>
    <s v="Medium"/>
    <s v="Good"/>
  </r>
  <r>
    <x v="2"/>
    <s v="No"/>
    <s v="Travel_Rarely"/>
    <n v="1239"/>
    <x v="2"/>
    <n v="8"/>
    <n v="2"/>
    <s v="Other"/>
    <n v="1"/>
    <n v="1794"/>
    <n v="3"/>
    <x v="1"/>
    <n v="89"/>
    <n v="3"/>
    <n v="2"/>
    <x v="8"/>
    <n v="2"/>
    <s v="Divorced"/>
    <n v="4071"/>
    <n v="12832"/>
    <n v="2"/>
    <s v="Y"/>
    <x v="1"/>
    <n v="13"/>
    <n v="3"/>
    <n v="3"/>
    <n v="80"/>
    <n v="0"/>
    <n v="19"/>
    <n v="4"/>
    <n v="2"/>
    <n v="10"/>
    <n v="0"/>
    <n v="4"/>
    <n v="7"/>
    <x v="1"/>
    <n v="1"/>
    <x v="0"/>
    <x v="0"/>
    <s v="6-10 Years"/>
    <s v="Medium"/>
    <s v="Good"/>
  </r>
  <r>
    <x v="10"/>
    <s v="Yes"/>
    <s v="Travel_Rarely"/>
    <n v="303"/>
    <x v="0"/>
    <n v="27"/>
    <n v="3"/>
    <s v="Life Sciences"/>
    <n v="1"/>
    <n v="1797"/>
    <n v="3"/>
    <x v="1"/>
    <n v="84"/>
    <n v="3"/>
    <n v="2"/>
    <x v="0"/>
    <n v="4"/>
    <s v="Single"/>
    <n v="5813"/>
    <n v="13492"/>
    <n v="1"/>
    <s v="Y"/>
    <x v="0"/>
    <n v="18"/>
    <n v="3"/>
    <n v="4"/>
    <n v="80"/>
    <n v="0"/>
    <n v="10"/>
    <n v="2"/>
    <n v="3"/>
    <n v="10"/>
    <n v="7"/>
    <n v="7"/>
    <n v="7"/>
    <x v="0"/>
    <n v="0"/>
    <x v="0"/>
    <x v="0"/>
    <s v="6-10 Years"/>
    <s v="Very High"/>
    <s v="Better"/>
  </r>
  <r>
    <x v="3"/>
    <s v="No"/>
    <s v="Travel_Rarely"/>
    <n v="867"/>
    <x v="1"/>
    <n v="8"/>
    <n v="4"/>
    <s v="Life Sciences"/>
    <n v="1"/>
    <n v="1798"/>
    <n v="4"/>
    <x v="1"/>
    <n v="90"/>
    <n v="4"/>
    <n v="1"/>
    <x v="1"/>
    <n v="1"/>
    <s v="Married"/>
    <n v="3143"/>
    <n v="6076"/>
    <n v="6"/>
    <s v="Y"/>
    <x v="1"/>
    <n v="19"/>
    <n v="3"/>
    <n v="2"/>
    <n v="80"/>
    <n v="1"/>
    <n v="14"/>
    <n v="1"/>
    <n v="3"/>
    <n v="10"/>
    <n v="8"/>
    <n v="7"/>
    <n v="6"/>
    <x v="1"/>
    <n v="1"/>
    <x v="2"/>
    <x v="0"/>
    <s v="6-10 Years"/>
    <s v="Low"/>
    <s v="Better"/>
  </r>
  <r>
    <x v="14"/>
    <s v="No"/>
    <s v="Travel_Rarely"/>
    <n v="1181"/>
    <x v="1"/>
    <n v="1"/>
    <n v="3"/>
    <s v="Life Sciences"/>
    <n v="1"/>
    <n v="1799"/>
    <n v="3"/>
    <x v="1"/>
    <n v="82"/>
    <n v="3"/>
    <n v="1"/>
    <x v="1"/>
    <n v="4"/>
    <s v="Married"/>
    <n v="2044"/>
    <n v="5531"/>
    <n v="1"/>
    <s v="Y"/>
    <x v="1"/>
    <n v="11"/>
    <n v="3"/>
    <n v="3"/>
    <n v="80"/>
    <n v="1"/>
    <n v="5"/>
    <n v="6"/>
    <n v="4"/>
    <n v="5"/>
    <n v="3"/>
    <n v="0"/>
    <n v="3"/>
    <x v="1"/>
    <n v="1"/>
    <x v="2"/>
    <x v="1"/>
    <s v="2-5 Years"/>
    <s v="Very High"/>
    <s v="Best"/>
  </r>
  <r>
    <x v="22"/>
    <s v="No"/>
    <s v="Travel_Rarely"/>
    <n v="1253"/>
    <x v="1"/>
    <n v="10"/>
    <n v="1"/>
    <s v="Medical"/>
    <n v="1"/>
    <n v="1800"/>
    <n v="3"/>
    <x v="1"/>
    <n v="65"/>
    <n v="3"/>
    <n v="3"/>
    <x v="7"/>
    <n v="3"/>
    <s v="Single"/>
    <n v="13464"/>
    <n v="7914"/>
    <n v="7"/>
    <s v="Y"/>
    <x v="1"/>
    <n v="21"/>
    <n v="4"/>
    <n v="3"/>
    <n v="80"/>
    <n v="0"/>
    <n v="9"/>
    <n v="3"/>
    <n v="3"/>
    <n v="4"/>
    <n v="3"/>
    <n v="2"/>
    <n v="2"/>
    <x v="1"/>
    <n v="1"/>
    <x v="0"/>
    <x v="2"/>
    <s v="2-5 Years"/>
    <s v="High"/>
    <s v="Better"/>
  </r>
  <r>
    <x v="21"/>
    <s v="No"/>
    <s v="Non-Travel"/>
    <n v="849"/>
    <x v="0"/>
    <n v="26"/>
    <n v="2"/>
    <s v="Life Sciences"/>
    <n v="1"/>
    <n v="1801"/>
    <n v="2"/>
    <x v="1"/>
    <n v="98"/>
    <n v="2"/>
    <n v="2"/>
    <x v="0"/>
    <n v="2"/>
    <s v="Single"/>
    <n v="7991"/>
    <n v="25166"/>
    <n v="8"/>
    <s v="Y"/>
    <x v="1"/>
    <n v="15"/>
    <n v="3"/>
    <n v="3"/>
    <n v="80"/>
    <n v="0"/>
    <n v="6"/>
    <n v="3"/>
    <n v="3"/>
    <n v="2"/>
    <n v="2"/>
    <n v="2"/>
    <n v="2"/>
    <x v="1"/>
    <n v="1"/>
    <x v="1"/>
    <x v="2"/>
    <s v="2-5 Years"/>
    <s v="Medium"/>
    <s v="Better"/>
  </r>
  <r>
    <x v="32"/>
    <s v="No"/>
    <s v="Travel_Rarely"/>
    <n v="616"/>
    <x v="1"/>
    <n v="2"/>
    <n v="2"/>
    <s v="Life Sciences"/>
    <n v="1"/>
    <n v="1802"/>
    <n v="3"/>
    <x v="0"/>
    <n v="99"/>
    <n v="3"/>
    <n v="1"/>
    <x v="2"/>
    <n v="1"/>
    <s v="Married"/>
    <n v="3377"/>
    <n v="25605"/>
    <n v="4"/>
    <s v="Y"/>
    <x v="1"/>
    <n v="17"/>
    <n v="3"/>
    <n v="4"/>
    <n v="80"/>
    <n v="1"/>
    <n v="7"/>
    <n v="5"/>
    <n v="2"/>
    <n v="4"/>
    <n v="3"/>
    <n v="0"/>
    <n v="2"/>
    <x v="1"/>
    <n v="1"/>
    <x v="0"/>
    <x v="0"/>
    <s v="2-5 Years"/>
    <s v="Low"/>
    <s v="Good"/>
  </r>
  <r>
    <x v="19"/>
    <s v="No"/>
    <s v="Travel_Rarely"/>
    <n v="1128"/>
    <x v="1"/>
    <n v="13"/>
    <n v="3"/>
    <s v="Medical"/>
    <n v="1"/>
    <n v="1803"/>
    <n v="2"/>
    <x v="1"/>
    <n v="95"/>
    <n v="4"/>
    <n v="2"/>
    <x v="4"/>
    <n v="1"/>
    <s v="Married"/>
    <n v="5538"/>
    <n v="5696"/>
    <n v="5"/>
    <s v="Y"/>
    <x v="1"/>
    <n v="18"/>
    <n v="3"/>
    <n v="3"/>
    <n v="80"/>
    <n v="2"/>
    <n v="10"/>
    <n v="2"/>
    <n v="2"/>
    <n v="0"/>
    <n v="0"/>
    <n v="0"/>
    <n v="0"/>
    <x v="1"/>
    <n v="1"/>
    <x v="0"/>
    <x v="0"/>
    <s v="0-1 Years"/>
    <s v="Low"/>
    <s v="Good"/>
  </r>
  <r>
    <x v="10"/>
    <s v="No"/>
    <s v="Non-Travel"/>
    <n v="1180"/>
    <x v="1"/>
    <n v="2"/>
    <n v="2"/>
    <s v="Medical"/>
    <n v="1"/>
    <n v="1804"/>
    <n v="2"/>
    <x v="1"/>
    <n v="90"/>
    <n v="3"/>
    <n v="2"/>
    <x v="3"/>
    <n v="4"/>
    <s v="Divorced"/>
    <n v="5762"/>
    <n v="24442"/>
    <n v="2"/>
    <s v="Y"/>
    <x v="1"/>
    <n v="14"/>
    <n v="3"/>
    <n v="3"/>
    <n v="80"/>
    <n v="1"/>
    <n v="15"/>
    <n v="6"/>
    <n v="3"/>
    <n v="7"/>
    <n v="7"/>
    <n v="1"/>
    <n v="7"/>
    <x v="1"/>
    <n v="1"/>
    <x v="0"/>
    <x v="0"/>
    <s v="6-10 Years"/>
    <s v="Very High"/>
    <s v="Better"/>
  </r>
  <r>
    <x v="8"/>
    <s v="No"/>
    <s v="Non-Travel"/>
    <n v="1336"/>
    <x v="2"/>
    <n v="2"/>
    <n v="3"/>
    <s v="Human Resources"/>
    <n v="1"/>
    <n v="1805"/>
    <n v="1"/>
    <x v="1"/>
    <n v="100"/>
    <n v="3"/>
    <n v="1"/>
    <x v="8"/>
    <n v="2"/>
    <s v="Divorced"/>
    <n v="2592"/>
    <n v="7129"/>
    <n v="5"/>
    <s v="Y"/>
    <x v="1"/>
    <n v="13"/>
    <n v="3"/>
    <n v="4"/>
    <n v="80"/>
    <n v="3"/>
    <n v="13"/>
    <n v="3"/>
    <n v="3"/>
    <n v="11"/>
    <n v="10"/>
    <n v="3"/>
    <n v="8"/>
    <x v="1"/>
    <n v="1"/>
    <x v="0"/>
    <x v="1"/>
    <s v="10+ Years"/>
    <s v="Medium"/>
    <s v="Better"/>
  </r>
  <r>
    <x v="13"/>
    <s v="Yes"/>
    <s v="Travel_Frequently"/>
    <n v="234"/>
    <x v="1"/>
    <n v="9"/>
    <n v="4"/>
    <s v="Life Sciences"/>
    <n v="1"/>
    <n v="1807"/>
    <n v="4"/>
    <x v="1"/>
    <n v="93"/>
    <n v="3"/>
    <n v="2"/>
    <x v="2"/>
    <n v="1"/>
    <s v="Married"/>
    <n v="5346"/>
    <n v="6208"/>
    <n v="4"/>
    <s v="Y"/>
    <x v="1"/>
    <n v="17"/>
    <n v="3"/>
    <n v="3"/>
    <n v="80"/>
    <n v="1"/>
    <n v="11"/>
    <n v="3"/>
    <n v="2"/>
    <n v="7"/>
    <n v="1"/>
    <n v="0"/>
    <n v="7"/>
    <x v="0"/>
    <n v="0"/>
    <x v="2"/>
    <x v="0"/>
    <s v="6-10 Years"/>
    <s v="Low"/>
    <s v="Good"/>
  </r>
  <r>
    <x v="2"/>
    <s v="Yes"/>
    <s v="Travel_Rarely"/>
    <n v="370"/>
    <x v="1"/>
    <n v="10"/>
    <n v="4"/>
    <s v="Medical"/>
    <n v="1"/>
    <n v="1809"/>
    <n v="4"/>
    <x v="1"/>
    <n v="58"/>
    <n v="3"/>
    <n v="2"/>
    <x v="3"/>
    <n v="1"/>
    <s v="Single"/>
    <n v="4213"/>
    <n v="4992"/>
    <n v="1"/>
    <s v="Y"/>
    <x v="1"/>
    <n v="15"/>
    <n v="3"/>
    <n v="2"/>
    <n v="80"/>
    <n v="0"/>
    <n v="10"/>
    <n v="4"/>
    <n v="1"/>
    <n v="10"/>
    <n v="3"/>
    <n v="0"/>
    <n v="8"/>
    <x v="0"/>
    <n v="0"/>
    <x v="0"/>
    <x v="0"/>
    <s v="6-10 Years"/>
    <s v="Low"/>
    <s v="Bad"/>
  </r>
  <r>
    <x v="22"/>
    <s v="No"/>
    <s v="Travel_Frequently"/>
    <n v="766"/>
    <x v="0"/>
    <n v="20"/>
    <n v="3"/>
    <s v="Life Sciences"/>
    <n v="1"/>
    <n v="1812"/>
    <n v="3"/>
    <x v="1"/>
    <n v="83"/>
    <n v="3"/>
    <n v="2"/>
    <x v="0"/>
    <n v="4"/>
    <s v="Divorced"/>
    <n v="4127"/>
    <n v="19188"/>
    <n v="2"/>
    <s v="Y"/>
    <x v="1"/>
    <n v="18"/>
    <n v="3"/>
    <n v="4"/>
    <n v="80"/>
    <n v="1"/>
    <n v="7"/>
    <n v="6"/>
    <n v="3"/>
    <n v="2"/>
    <n v="1"/>
    <n v="2"/>
    <n v="2"/>
    <x v="1"/>
    <n v="1"/>
    <x v="0"/>
    <x v="0"/>
    <s v="2-5 Years"/>
    <s v="Very High"/>
    <s v="Better"/>
  </r>
  <r>
    <x v="23"/>
    <s v="No"/>
    <s v="Non-Travel"/>
    <n v="343"/>
    <x v="1"/>
    <n v="9"/>
    <n v="3"/>
    <s v="Life Sciences"/>
    <n v="1"/>
    <n v="1813"/>
    <n v="1"/>
    <x v="1"/>
    <n v="52"/>
    <n v="3"/>
    <n v="1"/>
    <x v="1"/>
    <n v="3"/>
    <s v="Single"/>
    <n v="2438"/>
    <n v="24978"/>
    <n v="4"/>
    <s v="Y"/>
    <x v="1"/>
    <n v="13"/>
    <n v="3"/>
    <n v="3"/>
    <n v="80"/>
    <n v="0"/>
    <n v="7"/>
    <n v="2"/>
    <n v="2"/>
    <n v="3"/>
    <n v="2"/>
    <n v="1"/>
    <n v="2"/>
    <x v="1"/>
    <n v="1"/>
    <x v="0"/>
    <x v="1"/>
    <s v="2-5 Years"/>
    <s v="High"/>
    <s v="Good"/>
  </r>
  <r>
    <x v="0"/>
    <s v="No"/>
    <s v="Travel_Rarely"/>
    <n v="447"/>
    <x v="1"/>
    <n v="5"/>
    <n v="3"/>
    <s v="Life Sciences"/>
    <n v="1"/>
    <n v="1814"/>
    <n v="2"/>
    <x v="1"/>
    <n v="85"/>
    <n v="4"/>
    <n v="2"/>
    <x v="4"/>
    <n v="2"/>
    <s v="Single"/>
    <n v="6870"/>
    <n v="15530"/>
    <n v="3"/>
    <s v="Y"/>
    <x v="1"/>
    <n v="12"/>
    <n v="3"/>
    <n v="1"/>
    <n v="80"/>
    <n v="0"/>
    <n v="11"/>
    <n v="3"/>
    <n v="1"/>
    <n v="3"/>
    <n v="2"/>
    <n v="1"/>
    <n v="2"/>
    <x v="1"/>
    <n v="1"/>
    <x v="0"/>
    <x v="0"/>
    <s v="2-5 Years"/>
    <s v="Medium"/>
    <s v="Bad"/>
  </r>
  <r>
    <x v="0"/>
    <s v="No"/>
    <s v="Travel_Rarely"/>
    <n v="796"/>
    <x v="0"/>
    <n v="4"/>
    <n v="1"/>
    <s v="Marketing"/>
    <n v="1"/>
    <n v="1815"/>
    <n v="3"/>
    <x v="0"/>
    <n v="81"/>
    <n v="3"/>
    <n v="3"/>
    <x v="0"/>
    <n v="3"/>
    <s v="Divorced"/>
    <n v="10447"/>
    <n v="26458"/>
    <n v="0"/>
    <s v="Y"/>
    <x v="0"/>
    <n v="13"/>
    <n v="3"/>
    <n v="4"/>
    <n v="80"/>
    <n v="1"/>
    <n v="23"/>
    <n v="3"/>
    <n v="4"/>
    <n v="22"/>
    <n v="14"/>
    <n v="13"/>
    <n v="5"/>
    <x v="1"/>
    <n v="1"/>
    <x v="0"/>
    <x v="2"/>
    <s v="10+ Years"/>
    <s v="High"/>
    <s v="Best"/>
  </r>
  <r>
    <x v="7"/>
    <s v="No"/>
    <s v="Travel_Rarely"/>
    <n v="1092"/>
    <x v="1"/>
    <n v="10"/>
    <n v="3"/>
    <s v="Medical"/>
    <n v="1"/>
    <n v="1816"/>
    <n v="1"/>
    <x v="0"/>
    <n v="64"/>
    <n v="3"/>
    <n v="3"/>
    <x v="3"/>
    <n v="3"/>
    <s v="Single"/>
    <n v="9667"/>
    <n v="2739"/>
    <n v="9"/>
    <s v="Y"/>
    <x v="1"/>
    <n v="14"/>
    <n v="3"/>
    <n v="2"/>
    <n v="80"/>
    <n v="0"/>
    <n v="9"/>
    <n v="3"/>
    <n v="3"/>
    <n v="7"/>
    <n v="7"/>
    <n v="0"/>
    <n v="2"/>
    <x v="1"/>
    <n v="1"/>
    <x v="2"/>
    <x v="2"/>
    <s v="6-10 Years"/>
    <s v="High"/>
    <s v="Better"/>
  </r>
  <r>
    <x v="25"/>
    <s v="Yes"/>
    <s v="Travel_Rarely"/>
    <n v="920"/>
    <x v="2"/>
    <n v="20"/>
    <n v="2"/>
    <s v="Medical"/>
    <n v="1"/>
    <n v="1818"/>
    <n v="4"/>
    <x v="0"/>
    <n v="69"/>
    <n v="3"/>
    <n v="1"/>
    <x v="8"/>
    <n v="2"/>
    <s v="Married"/>
    <n v="2148"/>
    <n v="6889"/>
    <n v="0"/>
    <s v="Y"/>
    <x v="0"/>
    <n v="11"/>
    <n v="3"/>
    <n v="3"/>
    <n v="80"/>
    <n v="0"/>
    <n v="6"/>
    <n v="3"/>
    <n v="3"/>
    <n v="5"/>
    <n v="1"/>
    <n v="1"/>
    <n v="4"/>
    <x v="0"/>
    <n v="0"/>
    <x v="2"/>
    <x v="1"/>
    <s v="2-5 Years"/>
    <s v="Medium"/>
    <s v="Better"/>
  </r>
  <r>
    <x v="21"/>
    <s v="Yes"/>
    <s v="Travel_Rarely"/>
    <n v="261"/>
    <x v="1"/>
    <n v="21"/>
    <n v="2"/>
    <s v="Medical"/>
    <n v="1"/>
    <n v="1821"/>
    <n v="4"/>
    <x v="0"/>
    <n v="66"/>
    <n v="3"/>
    <n v="2"/>
    <x v="4"/>
    <n v="2"/>
    <s v="Married"/>
    <n v="8926"/>
    <n v="10842"/>
    <n v="4"/>
    <s v="Y"/>
    <x v="1"/>
    <n v="22"/>
    <n v="4"/>
    <n v="4"/>
    <n v="80"/>
    <n v="1"/>
    <n v="13"/>
    <n v="2"/>
    <n v="4"/>
    <n v="9"/>
    <n v="7"/>
    <n v="3"/>
    <n v="7"/>
    <x v="0"/>
    <n v="0"/>
    <x v="1"/>
    <x v="2"/>
    <s v="6-10 Years"/>
    <s v="Medium"/>
    <s v="Best"/>
  </r>
  <r>
    <x v="32"/>
    <s v="No"/>
    <s v="Travel_Rarely"/>
    <n v="1194"/>
    <x v="1"/>
    <n v="1"/>
    <n v="3"/>
    <s v="Life Sciences"/>
    <n v="1"/>
    <n v="1822"/>
    <n v="3"/>
    <x v="0"/>
    <n v="52"/>
    <n v="3"/>
    <n v="2"/>
    <x v="4"/>
    <n v="4"/>
    <s v="Divorced"/>
    <n v="6513"/>
    <n v="9060"/>
    <n v="4"/>
    <s v="Y"/>
    <x v="1"/>
    <n v="17"/>
    <n v="3"/>
    <n v="4"/>
    <n v="80"/>
    <n v="1"/>
    <n v="12"/>
    <n v="3"/>
    <n v="3"/>
    <n v="5"/>
    <n v="3"/>
    <n v="0"/>
    <n v="3"/>
    <x v="1"/>
    <n v="1"/>
    <x v="0"/>
    <x v="0"/>
    <s v="2-5 Years"/>
    <s v="Very High"/>
    <s v="Better"/>
  </r>
  <r>
    <x v="13"/>
    <s v="No"/>
    <s v="Travel_Rarely"/>
    <n v="810"/>
    <x v="0"/>
    <n v="8"/>
    <n v="2"/>
    <s v="Technical Degree"/>
    <n v="1"/>
    <n v="1823"/>
    <n v="2"/>
    <x v="1"/>
    <n v="92"/>
    <n v="4"/>
    <n v="2"/>
    <x v="0"/>
    <n v="3"/>
    <s v="Married"/>
    <n v="6799"/>
    <n v="22128"/>
    <n v="1"/>
    <s v="Y"/>
    <x v="1"/>
    <n v="21"/>
    <n v="4"/>
    <n v="3"/>
    <n v="80"/>
    <n v="2"/>
    <n v="10"/>
    <n v="5"/>
    <n v="3"/>
    <n v="10"/>
    <n v="8"/>
    <n v="4"/>
    <n v="8"/>
    <x v="1"/>
    <n v="1"/>
    <x v="2"/>
    <x v="0"/>
    <s v="6-10 Years"/>
    <s v="High"/>
    <s v="Better"/>
  </r>
  <r>
    <x v="34"/>
    <s v="No"/>
    <s v="Non-Travel"/>
    <n v="350"/>
    <x v="0"/>
    <n v="2"/>
    <n v="3"/>
    <s v="Medical"/>
    <n v="1"/>
    <n v="1824"/>
    <n v="2"/>
    <x v="1"/>
    <n v="52"/>
    <n v="3"/>
    <n v="4"/>
    <x v="5"/>
    <n v="2"/>
    <s v="Divorced"/>
    <n v="16291"/>
    <n v="22577"/>
    <n v="4"/>
    <s v="Y"/>
    <x v="1"/>
    <n v="22"/>
    <n v="4"/>
    <n v="4"/>
    <n v="80"/>
    <n v="1"/>
    <n v="37"/>
    <n v="0"/>
    <n v="2"/>
    <n v="16"/>
    <n v="9"/>
    <n v="14"/>
    <n v="14"/>
    <x v="1"/>
    <n v="1"/>
    <x v="3"/>
    <x v="2"/>
    <s v="10+ Years"/>
    <s v="Medium"/>
    <s v="Good"/>
  </r>
  <r>
    <x v="10"/>
    <s v="No"/>
    <s v="Travel_Rarely"/>
    <n v="185"/>
    <x v="1"/>
    <n v="23"/>
    <n v="4"/>
    <s v="Medical"/>
    <n v="1"/>
    <n v="1826"/>
    <n v="2"/>
    <x v="1"/>
    <n v="91"/>
    <n v="1"/>
    <n v="1"/>
    <x v="2"/>
    <n v="3"/>
    <s v="Married"/>
    <n v="2705"/>
    <n v="9696"/>
    <n v="0"/>
    <s v="Y"/>
    <x v="1"/>
    <n v="16"/>
    <n v="3"/>
    <n v="2"/>
    <n v="80"/>
    <n v="1"/>
    <n v="6"/>
    <n v="2"/>
    <n v="4"/>
    <n v="5"/>
    <n v="4"/>
    <n v="0"/>
    <n v="3"/>
    <x v="1"/>
    <n v="1"/>
    <x v="0"/>
    <x v="1"/>
    <s v="2-5 Years"/>
    <s v="High"/>
    <s v="Best"/>
  </r>
  <r>
    <x v="40"/>
    <s v="No"/>
    <s v="Travel_Rarely"/>
    <n v="1001"/>
    <x v="1"/>
    <n v="4"/>
    <n v="3"/>
    <s v="Life Sciences"/>
    <n v="1"/>
    <n v="1827"/>
    <n v="3"/>
    <x v="0"/>
    <n v="92"/>
    <n v="2"/>
    <n v="3"/>
    <x v="3"/>
    <n v="2"/>
    <s v="Divorced"/>
    <n v="10333"/>
    <n v="19271"/>
    <n v="8"/>
    <s v="Y"/>
    <x v="0"/>
    <n v="12"/>
    <n v="3"/>
    <n v="3"/>
    <n v="80"/>
    <n v="1"/>
    <n v="28"/>
    <n v="4"/>
    <n v="3"/>
    <n v="22"/>
    <n v="11"/>
    <n v="14"/>
    <n v="10"/>
    <x v="1"/>
    <n v="1"/>
    <x v="1"/>
    <x v="2"/>
    <s v="10+ Years"/>
    <s v="Medium"/>
    <s v="Better"/>
  </r>
  <r>
    <x v="32"/>
    <s v="No"/>
    <s v="Travel_Rarely"/>
    <n v="750"/>
    <x v="1"/>
    <n v="12"/>
    <n v="3"/>
    <s v="Life Sciences"/>
    <n v="1"/>
    <n v="1829"/>
    <n v="2"/>
    <x v="0"/>
    <n v="47"/>
    <n v="3"/>
    <n v="2"/>
    <x v="4"/>
    <n v="1"/>
    <s v="Divorced"/>
    <n v="4448"/>
    <n v="10748"/>
    <n v="2"/>
    <s v="Y"/>
    <x v="1"/>
    <n v="12"/>
    <n v="3"/>
    <n v="2"/>
    <n v="80"/>
    <n v="1"/>
    <n v="15"/>
    <n v="3"/>
    <n v="3"/>
    <n v="7"/>
    <n v="4"/>
    <n v="7"/>
    <n v="7"/>
    <x v="1"/>
    <n v="1"/>
    <x v="0"/>
    <x v="0"/>
    <s v="6-10 Years"/>
    <s v="Low"/>
    <s v="Better"/>
  </r>
  <r>
    <x v="33"/>
    <s v="No"/>
    <s v="Travel_Rarely"/>
    <n v="431"/>
    <x v="1"/>
    <n v="7"/>
    <n v="4"/>
    <s v="Medical"/>
    <n v="1"/>
    <n v="1830"/>
    <n v="4"/>
    <x v="0"/>
    <n v="68"/>
    <n v="3"/>
    <n v="2"/>
    <x v="1"/>
    <n v="4"/>
    <s v="Married"/>
    <n v="6854"/>
    <n v="15696"/>
    <n v="4"/>
    <s v="Y"/>
    <x v="1"/>
    <n v="15"/>
    <n v="3"/>
    <n v="2"/>
    <n v="80"/>
    <n v="1"/>
    <n v="14"/>
    <n v="2"/>
    <n v="2"/>
    <n v="7"/>
    <n v="1"/>
    <n v="1"/>
    <n v="7"/>
    <x v="1"/>
    <n v="1"/>
    <x v="1"/>
    <x v="0"/>
    <s v="6-10 Years"/>
    <s v="Very High"/>
    <s v="Good"/>
  </r>
  <r>
    <x v="12"/>
    <s v="No"/>
    <s v="Travel_Frequently"/>
    <n v="1125"/>
    <x v="0"/>
    <n v="7"/>
    <n v="4"/>
    <s v="Marketing"/>
    <n v="1"/>
    <n v="1833"/>
    <n v="1"/>
    <x v="0"/>
    <n v="68"/>
    <n v="3"/>
    <n v="3"/>
    <x v="0"/>
    <n v="1"/>
    <s v="Married"/>
    <n v="9637"/>
    <n v="8277"/>
    <n v="2"/>
    <s v="Y"/>
    <x v="1"/>
    <n v="14"/>
    <n v="3"/>
    <n v="4"/>
    <n v="80"/>
    <n v="2"/>
    <n v="9"/>
    <n v="3"/>
    <n v="3"/>
    <n v="3"/>
    <n v="2"/>
    <n v="2"/>
    <n v="2"/>
    <x v="1"/>
    <n v="1"/>
    <x v="2"/>
    <x v="2"/>
    <s v="2-5 Years"/>
    <s v="Low"/>
    <s v="Better"/>
  </r>
  <r>
    <x v="14"/>
    <s v="No"/>
    <s v="Travel_Rarely"/>
    <n v="1217"/>
    <x v="1"/>
    <n v="1"/>
    <n v="3"/>
    <s v="Medical"/>
    <n v="1"/>
    <n v="1834"/>
    <n v="3"/>
    <x v="0"/>
    <n v="67"/>
    <n v="3"/>
    <n v="1"/>
    <x v="1"/>
    <n v="1"/>
    <s v="Married"/>
    <n v="3591"/>
    <n v="12719"/>
    <n v="1"/>
    <s v="Y"/>
    <x v="1"/>
    <n v="25"/>
    <n v="4"/>
    <n v="3"/>
    <n v="80"/>
    <n v="1"/>
    <n v="3"/>
    <n v="3"/>
    <n v="3"/>
    <n v="3"/>
    <n v="2"/>
    <n v="1"/>
    <n v="2"/>
    <x v="1"/>
    <n v="1"/>
    <x v="2"/>
    <x v="0"/>
    <s v="2-5 Years"/>
    <s v="Low"/>
    <s v="Better"/>
  </r>
  <r>
    <x v="8"/>
    <s v="No"/>
    <s v="Travel_Rarely"/>
    <n v="723"/>
    <x v="0"/>
    <n v="2"/>
    <n v="4"/>
    <s v="Marketing"/>
    <n v="1"/>
    <n v="1835"/>
    <n v="2"/>
    <x v="0"/>
    <n v="77"/>
    <n v="1"/>
    <n v="2"/>
    <x v="6"/>
    <n v="4"/>
    <s v="Married"/>
    <n v="5405"/>
    <n v="4244"/>
    <n v="2"/>
    <s v="Y"/>
    <x v="0"/>
    <n v="20"/>
    <n v="4"/>
    <n v="1"/>
    <n v="80"/>
    <n v="2"/>
    <n v="20"/>
    <n v="4"/>
    <n v="2"/>
    <n v="4"/>
    <n v="2"/>
    <n v="0"/>
    <n v="3"/>
    <x v="1"/>
    <n v="1"/>
    <x v="0"/>
    <x v="0"/>
    <s v="2-5 Years"/>
    <s v="Very High"/>
    <s v="Good"/>
  </r>
  <r>
    <x v="25"/>
    <s v="No"/>
    <s v="Travel_Rarely"/>
    <n v="572"/>
    <x v="0"/>
    <n v="10"/>
    <n v="3"/>
    <s v="Medical"/>
    <n v="1"/>
    <n v="1836"/>
    <n v="3"/>
    <x v="1"/>
    <n v="46"/>
    <n v="3"/>
    <n v="2"/>
    <x v="0"/>
    <n v="4"/>
    <s v="Single"/>
    <n v="4684"/>
    <n v="9125"/>
    <n v="1"/>
    <s v="Y"/>
    <x v="1"/>
    <n v="13"/>
    <n v="3"/>
    <n v="1"/>
    <n v="80"/>
    <n v="0"/>
    <n v="5"/>
    <n v="4"/>
    <n v="3"/>
    <n v="5"/>
    <n v="3"/>
    <n v="1"/>
    <n v="2"/>
    <x v="1"/>
    <n v="1"/>
    <x v="2"/>
    <x v="0"/>
    <s v="2-5 Years"/>
    <s v="Very High"/>
    <s v="Better"/>
  </r>
  <r>
    <x v="34"/>
    <s v="No"/>
    <s v="Travel_Frequently"/>
    <n v="1216"/>
    <x v="1"/>
    <n v="15"/>
    <n v="4"/>
    <s v="Life Sciences"/>
    <n v="1"/>
    <n v="1837"/>
    <n v="1"/>
    <x v="1"/>
    <n v="87"/>
    <n v="3"/>
    <n v="4"/>
    <x v="7"/>
    <n v="3"/>
    <s v="Married"/>
    <n v="15787"/>
    <n v="21624"/>
    <n v="2"/>
    <s v="Y"/>
    <x v="0"/>
    <n v="14"/>
    <n v="3"/>
    <n v="2"/>
    <n v="80"/>
    <n v="0"/>
    <n v="23"/>
    <n v="3"/>
    <n v="3"/>
    <n v="2"/>
    <n v="2"/>
    <n v="2"/>
    <n v="2"/>
    <x v="1"/>
    <n v="1"/>
    <x v="3"/>
    <x v="2"/>
    <s v="2-5 Years"/>
    <s v="High"/>
    <s v="Better"/>
  </r>
  <r>
    <x v="41"/>
    <s v="No"/>
    <s v="Non-Travel"/>
    <n v="1431"/>
    <x v="1"/>
    <n v="14"/>
    <n v="3"/>
    <s v="Medical"/>
    <n v="1"/>
    <n v="1839"/>
    <n v="2"/>
    <x v="0"/>
    <n v="33"/>
    <n v="3"/>
    <n v="1"/>
    <x v="1"/>
    <n v="3"/>
    <s v="Single"/>
    <n v="1514"/>
    <n v="8018"/>
    <n v="1"/>
    <s v="Y"/>
    <x v="1"/>
    <n v="16"/>
    <n v="3"/>
    <n v="3"/>
    <n v="80"/>
    <n v="0"/>
    <n v="0"/>
    <n v="4"/>
    <n v="1"/>
    <n v="0"/>
    <n v="0"/>
    <n v="0"/>
    <n v="0"/>
    <x v="1"/>
    <n v="1"/>
    <x v="4"/>
    <x v="1"/>
    <s v="0-1 Years"/>
    <s v="High"/>
    <s v="Bad"/>
  </r>
  <r>
    <x v="12"/>
    <s v="Yes"/>
    <s v="Travel_Rarely"/>
    <n v="359"/>
    <x v="2"/>
    <n v="18"/>
    <n v="5"/>
    <s v="Human Resources"/>
    <n v="1"/>
    <n v="1842"/>
    <n v="4"/>
    <x v="1"/>
    <n v="89"/>
    <n v="4"/>
    <n v="1"/>
    <x v="8"/>
    <n v="1"/>
    <s v="Married"/>
    <n v="2956"/>
    <n v="21495"/>
    <n v="0"/>
    <s v="Y"/>
    <x v="1"/>
    <n v="17"/>
    <n v="3"/>
    <n v="3"/>
    <n v="80"/>
    <n v="0"/>
    <n v="2"/>
    <n v="4"/>
    <n v="3"/>
    <n v="1"/>
    <n v="0"/>
    <n v="0"/>
    <n v="0"/>
    <x v="0"/>
    <n v="0"/>
    <x v="2"/>
    <x v="1"/>
    <s v="0-1 Years"/>
    <s v="Low"/>
    <s v="Better"/>
  </r>
  <r>
    <x v="11"/>
    <s v="Yes"/>
    <s v="Travel_Rarely"/>
    <n v="350"/>
    <x v="2"/>
    <n v="13"/>
    <n v="3"/>
    <s v="Human Resources"/>
    <n v="1"/>
    <n v="1844"/>
    <n v="1"/>
    <x v="1"/>
    <n v="56"/>
    <n v="2"/>
    <n v="1"/>
    <x v="8"/>
    <n v="1"/>
    <s v="Divorced"/>
    <n v="2335"/>
    <n v="3157"/>
    <n v="4"/>
    <s v="Y"/>
    <x v="0"/>
    <n v="15"/>
    <n v="3"/>
    <n v="4"/>
    <n v="80"/>
    <n v="3"/>
    <n v="4"/>
    <n v="3"/>
    <n v="3"/>
    <n v="2"/>
    <n v="2"/>
    <n v="2"/>
    <n v="0"/>
    <x v="0"/>
    <n v="0"/>
    <x v="2"/>
    <x v="1"/>
    <s v="2-5 Years"/>
    <s v="Low"/>
    <s v="Better"/>
  </r>
  <r>
    <x v="28"/>
    <s v="No"/>
    <s v="Non-Travel"/>
    <n v="589"/>
    <x v="0"/>
    <n v="2"/>
    <n v="4"/>
    <s v="Life Sciences"/>
    <n v="1"/>
    <n v="1845"/>
    <n v="3"/>
    <x v="0"/>
    <n v="67"/>
    <n v="3"/>
    <n v="2"/>
    <x v="0"/>
    <n v="3"/>
    <s v="Married"/>
    <n v="5154"/>
    <n v="19665"/>
    <n v="4"/>
    <s v="Y"/>
    <x v="1"/>
    <n v="22"/>
    <n v="4"/>
    <n v="2"/>
    <n v="80"/>
    <n v="2"/>
    <n v="10"/>
    <n v="3"/>
    <n v="4"/>
    <n v="8"/>
    <n v="7"/>
    <n v="5"/>
    <n v="7"/>
    <x v="1"/>
    <n v="1"/>
    <x v="1"/>
    <x v="0"/>
    <s v="6-10 Years"/>
    <s v="High"/>
    <s v="Best"/>
  </r>
  <r>
    <x v="9"/>
    <s v="No"/>
    <s v="Travel_Rarely"/>
    <n v="430"/>
    <x v="1"/>
    <n v="2"/>
    <n v="4"/>
    <s v="Other"/>
    <n v="1"/>
    <n v="1847"/>
    <n v="4"/>
    <x v="0"/>
    <n v="73"/>
    <n v="3"/>
    <n v="2"/>
    <x v="1"/>
    <n v="2"/>
    <s v="Married"/>
    <n v="6962"/>
    <n v="19573"/>
    <n v="4"/>
    <s v="Y"/>
    <x v="0"/>
    <n v="22"/>
    <n v="4"/>
    <n v="4"/>
    <n v="80"/>
    <n v="1"/>
    <n v="15"/>
    <n v="2"/>
    <n v="3"/>
    <n v="1"/>
    <n v="0"/>
    <n v="0"/>
    <n v="0"/>
    <x v="1"/>
    <n v="1"/>
    <x v="0"/>
    <x v="0"/>
    <s v="0-1 Years"/>
    <s v="Medium"/>
    <s v="Better"/>
  </r>
  <r>
    <x v="23"/>
    <s v="No"/>
    <s v="Travel_Frequently"/>
    <n v="1422"/>
    <x v="0"/>
    <n v="2"/>
    <n v="4"/>
    <s v="Life Sciences"/>
    <n v="1"/>
    <n v="1849"/>
    <n v="1"/>
    <x v="1"/>
    <n v="92"/>
    <n v="3"/>
    <n v="2"/>
    <x v="0"/>
    <n v="4"/>
    <s v="Married"/>
    <n v="5675"/>
    <n v="19246"/>
    <n v="1"/>
    <s v="Y"/>
    <x v="1"/>
    <n v="20"/>
    <n v="4"/>
    <n v="3"/>
    <n v="80"/>
    <n v="1"/>
    <n v="7"/>
    <n v="5"/>
    <n v="3"/>
    <n v="7"/>
    <n v="7"/>
    <n v="7"/>
    <n v="7"/>
    <x v="1"/>
    <n v="1"/>
    <x v="0"/>
    <x v="0"/>
    <s v="6-10 Years"/>
    <s v="Very High"/>
    <s v="Better"/>
  </r>
  <r>
    <x v="4"/>
    <s v="No"/>
    <s v="Travel_Frequently"/>
    <n v="1297"/>
    <x v="1"/>
    <n v="5"/>
    <n v="2"/>
    <s v="Life Sciences"/>
    <n v="1"/>
    <n v="1850"/>
    <n v="4"/>
    <x v="0"/>
    <n v="53"/>
    <n v="3"/>
    <n v="1"/>
    <x v="2"/>
    <n v="4"/>
    <s v="Single"/>
    <n v="2379"/>
    <n v="19826"/>
    <n v="0"/>
    <s v="Y"/>
    <x v="0"/>
    <n v="14"/>
    <n v="3"/>
    <n v="3"/>
    <n v="80"/>
    <n v="0"/>
    <n v="6"/>
    <n v="3"/>
    <n v="2"/>
    <n v="5"/>
    <n v="4"/>
    <n v="0"/>
    <n v="2"/>
    <x v="1"/>
    <n v="1"/>
    <x v="2"/>
    <x v="1"/>
    <s v="2-5 Years"/>
    <s v="Very High"/>
    <s v="Good"/>
  </r>
  <r>
    <x v="11"/>
    <s v="No"/>
    <s v="Travel_Frequently"/>
    <n v="574"/>
    <x v="1"/>
    <n v="20"/>
    <n v="1"/>
    <s v="Medical"/>
    <n v="1"/>
    <n v="1852"/>
    <n v="4"/>
    <x v="1"/>
    <n v="40"/>
    <n v="3"/>
    <n v="1"/>
    <x v="2"/>
    <n v="4"/>
    <s v="Married"/>
    <n v="3812"/>
    <n v="7003"/>
    <n v="1"/>
    <s v="Y"/>
    <x v="1"/>
    <n v="13"/>
    <n v="3"/>
    <n v="2"/>
    <n v="80"/>
    <n v="0"/>
    <n v="11"/>
    <n v="3"/>
    <n v="4"/>
    <n v="11"/>
    <n v="8"/>
    <n v="3"/>
    <n v="10"/>
    <x v="1"/>
    <n v="1"/>
    <x v="2"/>
    <x v="0"/>
    <s v="10+ Years"/>
    <s v="Very High"/>
    <s v="Best"/>
  </r>
  <r>
    <x v="5"/>
    <s v="No"/>
    <s v="Travel_Frequently"/>
    <n v="1318"/>
    <x v="0"/>
    <n v="10"/>
    <n v="4"/>
    <s v="Marketing"/>
    <n v="1"/>
    <n v="1853"/>
    <n v="4"/>
    <x v="1"/>
    <n v="79"/>
    <n v="3"/>
    <n v="2"/>
    <x v="0"/>
    <n v="4"/>
    <s v="Single"/>
    <n v="4648"/>
    <n v="26075"/>
    <n v="8"/>
    <s v="Y"/>
    <x v="1"/>
    <n v="13"/>
    <n v="3"/>
    <n v="3"/>
    <n v="80"/>
    <n v="0"/>
    <n v="4"/>
    <n v="2"/>
    <n v="4"/>
    <n v="0"/>
    <n v="0"/>
    <n v="0"/>
    <n v="0"/>
    <x v="1"/>
    <n v="1"/>
    <x v="2"/>
    <x v="0"/>
    <s v="0-1 Years"/>
    <s v="Very High"/>
    <s v="Best"/>
  </r>
  <r>
    <x v="19"/>
    <s v="No"/>
    <s v="Non-Travel"/>
    <n v="355"/>
    <x v="1"/>
    <n v="10"/>
    <n v="4"/>
    <s v="Technical Degree"/>
    <n v="1"/>
    <n v="1854"/>
    <n v="3"/>
    <x v="1"/>
    <n v="38"/>
    <n v="3"/>
    <n v="1"/>
    <x v="1"/>
    <n v="3"/>
    <s v="Married"/>
    <n v="2936"/>
    <n v="6161"/>
    <n v="3"/>
    <s v="Y"/>
    <x v="1"/>
    <n v="22"/>
    <n v="4"/>
    <n v="2"/>
    <n v="80"/>
    <n v="2"/>
    <n v="10"/>
    <n v="1"/>
    <n v="2"/>
    <n v="6"/>
    <n v="3"/>
    <n v="3"/>
    <n v="3"/>
    <x v="1"/>
    <n v="1"/>
    <x v="0"/>
    <x v="1"/>
    <s v="6-10 Years"/>
    <s v="High"/>
    <s v="Good"/>
  </r>
  <r>
    <x v="40"/>
    <s v="No"/>
    <s v="Travel_Rarely"/>
    <n v="207"/>
    <x v="1"/>
    <n v="9"/>
    <n v="4"/>
    <s v="Life Sciences"/>
    <n v="1"/>
    <n v="1856"/>
    <n v="2"/>
    <x v="0"/>
    <n v="64"/>
    <n v="3"/>
    <n v="1"/>
    <x v="2"/>
    <n v="3"/>
    <s v="Single"/>
    <n v="2105"/>
    <n v="5411"/>
    <n v="4"/>
    <s v="Y"/>
    <x v="1"/>
    <n v="12"/>
    <n v="3"/>
    <n v="3"/>
    <n v="80"/>
    <n v="0"/>
    <n v="7"/>
    <n v="2"/>
    <n v="3"/>
    <n v="2"/>
    <n v="2"/>
    <n v="2"/>
    <n v="0"/>
    <x v="1"/>
    <n v="1"/>
    <x v="1"/>
    <x v="1"/>
    <s v="2-5 Years"/>
    <s v="High"/>
    <s v="Better"/>
  </r>
  <r>
    <x v="21"/>
    <s v="No"/>
    <s v="Travel_Rarely"/>
    <n v="706"/>
    <x v="1"/>
    <n v="2"/>
    <n v="2"/>
    <s v="Life Sciences"/>
    <n v="1"/>
    <n v="1857"/>
    <n v="4"/>
    <x v="1"/>
    <n v="82"/>
    <n v="3"/>
    <n v="3"/>
    <x v="3"/>
    <n v="4"/>
    <s v="Divorced"/>
    <n v="8578"/>
    <n v="19989"/>
    <n v="3"/>
    <s v="Y"/>
    <x v="1"/>
    <n v="14"/>
    <n v="3"/>
    <n v="3"/>
    <n v="80"/>
    <n v="1"/>
    <n v="12"/>
    <n v="4"/>
    <n v="2"/>
    <n v="9"/>
    <n v="8"/>
    <n v="4"/>
    <n v="7"/>
    <x v="1"/>
    <n v="1"/>
    <x v="1"/>
    <x v="2"/>
    <s v="6-10 Years"/>
    <s v="Very High"/>
    <s v="Good"/>
  </r>
  <r>
    <x v="14"/>
    <s v="No"/>
    <s v="Non-Travel"/>
    <n v="280"/>
    <x v="2"/>
    <n v="1"/>
    <n v="2"/>
    <s v="Life Sciences"/>
    <n v="1"/>
    <n v="1858"/>
    <n v="3"/>
    <x v="1"/>
    <n v="43"/>
    <n v="3"/>
    <n v="1"/>
    <x v="8"/>
    <n v="4"/>
    <s v="Divorced"/>
    <n v="2706"/>
    <n v="10494"/>
    <n v="1"/>
    <s v="Y"/>
    <x v="1"/>
    <n v="15"/>
    <n v="3"/>
    <n v="2"/>
    <n v="80"/>
    <n v="1"/>
    <n v="3"/>
    <n v="2"/>
    <n v="3"/>
    <n v="3"/>
    <n v="2"/>
    <n v="2"/>
    <n v="2"/>
    <x v="1"/>
    <n v="1"/>
    <x v="2"/>
    <x v="1"/>
    <s v="2-5 Years"/>
    <s v="Very High"/>
    <s v="Better"/>
  </r>
  <r>
    <x v="11"/>
    <s v="No"/>
    <s v="Travel_Rarely"/>
    <n v="726"/>
    <x v="1"/>
    <n v="29"/>
    <n v="1"/>
    <s v="Life Sciences"/>
    <n v="1"/>
    <n v="1859"/>
    <n v="4"/>
    <x v="1"/>
    <n v="93"/>
    <n v="1"/>
    <n v="2"/>
    <x v="4"/>
    <n v="3"/>
    <s v="Divorced"/>
    <n v="6384"/>
    <n v="21143"/>
    <n v="8"/>
    <s v="Y"/>
    <x v="1"/>
    <n v="17"/>
    <n v="3"/>
    <n v="4"/>
    <n v="80"/>
    <n v="2"/>
    <n v="11"/>
    <n v="3"/>
    <n v="3"/>
    <n v="7"/>
    <n v="0"/>
    <n v="1"/>
    <n v="6"/>
    <x v="1"/>
    <n v="1"/>
    <x v="2"/>
    <x v="0"/>
    <s v="6-10 Years"/>
    <s v="High"/>
    <s v="Better"/>
  </r>
  <r>
    <x v="19"/>
    <s v="No"/>
    <s v="Travel_Rarely"/>
    <n v="1142"/>
    <x v="1"/>
    <n v="8"/>
    <n v="3"/>
    <s v="Life Sciences"/>
    <n v="1"/>
    <n v="1860"/>
    <n v="4"/>
    <x v="1"/>
    <n v="81"/>
    <n v="3"/>
    <n v="1"/>
    <x v="2"/>
    <n v="3"/>
    <s v="Single"/>
    <n v="3968"/>
    <n v="13624"/>
    <n v="4"/>
    <s v="Y"/>
    <x v="1"/>
    <n v="13"/>
    <n v="3"/>
    <n v="4"/>
    <n v="80"/>
    <n v="0"/>
    <n v="8"/>
    <n v="3"/>
    <n v="3"/>
    <n v="0"/>
    <n v="0"/>
    <n v="0"/>
    <n v="0"/>
    <x v="1"/>
    <n v="1"/>
    <x v="0"/>
    <x v="0"/>
    <s v="0-1 Years"/>
    <s v="High"/>
    <s v="Better"/>
  </r>
  <r>
    <x v="5"/>
    <s v="Yes"/>
    <s v="Travel_Rarely"/>
    <n v="414"/>
    <x v="0"/>
    <n v="2"/>
    <n v="4"/>
    <s v="Marketing"/>
    <n v="1"/>
    <n v="1862"/>
    <n v="3"/>
    <x v="1"/>
    <n v="82"/>
    <n v="2"/>
    <n v="2"/>
    <x v="0"/>
    <n v="2"/>
    <s v="Single"/>
    <n v="9907"/>
    <n v="26186"/>
    <n v="7"/>
    <s v="Y"/>
    <x v="0"/>
    <n v="12"/>
    <n v="3"/>
    <n v="3"/>
    <n v="80"/>
    <n v="0"/>
    <n v="7"/>
    <n v="3"/>
    <n v="2"/>
    <n v="2"/>
    <n v="2"/>
    <n v="2"/>
    <n v="2"/>
    <x v="0"/>
    <n v="0"/>
    <x v="2"/>
    <x v="2"/>
    <s v="2-5 Years"/>
    <s v="Medium"/>
    <s v="Good"/>
  </r>
  <r>
    <x v="21"/>
    <s v="No"/>
    <s v="Travel_Rarely"/>
    <n v="1319"/>
    <x v="0"/>
    <n v="3"/>
    <n v="3"/>
    <s v="Technical Degree"/>
    <n v="1"/>
    <n v="1863"/>
    <n v="1"/>
    <x v="0"/>
    <n v="45"/>
    <n v="4"/>
    <n v="4"/>
    <x v="0"/>
    <n v="1"/>
    <s v="Divorced"/>
    <n v="13225"/>
    <n v="7739"/>
    <n v="2"/>
    <s v="Y"/>
    <x v="1"/>
    <n v="12"/>
    <n v="3"/>
    <n v="4"/>
    <n v="80"/>
    <n v="1"/>
    <n v="25"/>
    <n v="5"/>
    <n v="3"/>
    <n v="19"/>
    <n v="17"/>
    <n v="2"/>
    <n v="8"/>
    <x v="1"/>
    <n v="1"/>
    <x v="1"/>
    <x v="2"/>
    <s v="10+ Years"/>
    <s v="Low"/>
    <s v="Better"/>
  </r>
  <r>
    <x v="4"/>
    <s v="No"/>
    <s v="Travel_Rarely"/>
    <n v="728"/>
    <x v="0"/>
    <n v="23"/>
    <n v="1"/>
    <s v="Medical"/>
    <n v="1"/>
    <n v="1864"/>
    <n v="2"/>
    <x v="0"/>
    <n v="36"/>
    <n v="2"/>
    <n v="2"/>
    <x v="6"/>
    <n v="3"/>
    <s v="Married"/>
    <n v="3540"/>
    <n v="7018"/>
    <n v="1"/>
    <s v="Y"/>
    <x v="1"/>
    <n v="21"/>
    <n v="4"/>
    <n v="4"/>
    <n v="80"/>
    <n v="1"/>
    <n v="9"/>
    <n v="5"/>
    <n v="3"/>
    <n v="9"/>
    <n v="8"/>
    <n v="5"/>
    <n v="8"/>
    <x v="1"/>
    <n v="1"/>
    <x v="2"/>
    <x v="0"/>
    <s v="6-10 Years"/>
    <s v="High"/>
    <s v="Better"/>
  </r>
  <r>
    <x v="11"/>
    <s v="No"/>
    <s v="Travel_Rarely"/>
    <n v="352"/>
    <x v="2"/>
    <n v="6"/>
    <n v="1"/>
    <s v="Medical"/>
    <n v="1"/>
    <n v="1865"/>
    <n v="4"/>
    <x v="1"/>
    <n v="87"/>
    <n v="2"/>
    <n v="1"/>
    <x v="8"/>
    <n v="2"/>
    <s v="Married"/>
    <n v="2804"/>
    <n v="15434"/>
    <n v="1"/>
    <s v="Y"/>
    <x v="1"/>
    <n v="11"/>
    <n v="3"/>
    <n v="4"/>
    <n v="80"/>
    <n v="0"/>
    <n v="1"/>
    <n v="3"/>
    <n v="3"/>
    <n v="1"/>
    <n v="0"/>
    <n v="0"/>
    <n v="0"/>
    <x v="1"/>
    <n v="1"/>
    <x v="2"/>
    <x v="1"/>
    <s v="0-1 Years"/>
    <s v="Medium"/>
    <s v="Better"/>
  </r>
  <r>
    <x v="23"/>
    <s v="No"/>
    <s v="Travel_Rarely"/>
    <n v="823"/>
    <x v="1"/>
    <n v="6"/>
    <n v="3"/>
    <s v="Medical"/>
    <n v="1"/>
    <n v="1866"/>
    <n v="1"/>
    <x v="0"/>
    <n v="81"/>
    <n v="2"/>
    <n v="5"/>
    <x v="5"/>
    <n v="3"/>
    <s v="Married"/>
    <n v="19392"/>
    <n v="22539"/>
    <n v="7"/>
    <s v="Y"/>
    <x v="1"/>
    <n v="13"/>
    <n v="3"/>
    <n v="4"/>
    <n v="80"/>
    <n v="0"/>
    <n v="21"/>
    <n v="2"/>
    <n v="3"/>
    <n v="16"/>
    <n v="12"/>
    <n v="6"/>
    <n v="14"/>
    <x v="1"/>
    <n v="1"/>
    <x v="0"/>
    <x v="2"/>
    <s v="10+ Years"/>
    <s v="High"/>
    <s v="Better"/>
  </r>
  <r>
    <x v="26"/>
    <s v="No"/>
    <s v="Travel_Rarely"/>
    <n v="1224"/>
    <x v="1"/>
    <n v="10"/>
    <n v="3"/>
    <s v="Life Sciences"/>
    <n v="1"/>
    <n v="1867"/>
    <n v="4"/>
    <x v="1"/>
    <n v="91"/>
    <n v="2"/>
    <n v="5"/>
    <x v="7"/>
    <n v="2"/>
    <s v="Married"/>
    <n v="19665"/>
    <n v="13583"/>
    <n v="4"/>
    <s v="Y"/>
    <x v="1"/>
    <n v="12"/>
    <n v="3"/>
    <n v="4"/>
    <n v="80"/>
    <n v="0"/>
    <n v="29"/>
    <n v="3"/>
    <n v="3"/>
    <n v="22"/>
    <n v="10"/>
    <n v="12"/>
    <n v="9"/>
    <x v="1"/>
    <n v="1"/>
    <x v="1"/>
    <x v="2"/>
    <s v="10+ Years"/>
    <s v="Medium"/>
    <s v="Better"/>
  </r>
  <r>
    <x v="11"/>
    <s v="Yes"/>
    <s v="Travel_Frequently"/>
    <n v="459"/>
    <x v="1"/>
    <n v="24"/>
    <n v="2"/>
    <s v="Life Sciences"/>
    <n v="1"/>
    <n v="1868"/>
    <n v="4"/>
    <x v="1"/>
    <n v="73"/>
    <n v="2"/>
    <n v="1"/>
    <x v="1"/>
    <n v="4"/>
    <s v="Single"/>
    <n v="2439"/>
    <n v="14753"/>
    <n v="1"/>
    <s v="Y"/>
    <x v="0"/>
    <n v="24"/>
    <n v="4"/>
    <n v="2"/>
    <n v="80"/>
    <n v="0"/>
    <n v="1"/>
    <n v="3"/>
    <n v="2"/>
    <n v="1"/>
    <n v="0"/>
    <n v="1"/>
    <n v="0"/>
    <x v="0"/>
    <n v="0"/>
    <x v="2"/>
    <x v="1"/>
    <s v="0-1 Years"/>
    <s v="Very High"/>
    <s v="Good"/>
  </r>
  <r>
    <x v="21"/>
    <s v="Yes"/>
    <s v="Travel_Rarely"/>
    <n v="1254"/>
    <x v="0"/>
    <n v="10"/>
    <n v="3"/>
    <s v="Life Sciences"/>
    <n v="1"/>
    <n v="1869"/>
    <n v="3"/>
    <x v="0"/>
    <n v="64"/>
    <n v="3"/>
    <n v="3"/>
    <x v="0"/>
    <n v="2"/>
    <s v="Married"/>
    <n v="7314"/>
    <n v="14011"/>
    <n v="5"/>
    <s v="Y"/>
    <x v="1"/>
    <n v="21"/>
    <n v="4"/>
    <n v="3"/>
    <n v="80"/>
    <n v="3"/>
    <n v="14"/>
    <n v="2"/>
    <n v="3"/>
    <n v="8"/>
    <n v="7"/>
    <n v="0"/>
    <n v="7"/>
    <x v="0"/>
    <n v="0"/>
    <x v="1"/>
    <x v="2"/>
    <s v="6-10 Years"/>
    <s v="Medium"/>
    <s v="Better"/>
  </r>
  <r>
    <x v="4"/>
    <s v="No"/>
    <s v="Travel_Frequently"/>
    <n v="1131"/>
    <x v="1"/>
    <n v="15"/>
    <n v="3"/>
    <s v="Life Sciences"/>
    <n v="1"/>
    <n v="1870"/>
    <n v="4"/>
    <x v="0"/>
    <n v="77"/>
    <n v="2"/>
    <n v="1"/>
    <x v="1"/>
    <n v="1"/>
    <s v="Married"/>
    <n v="4774"/>
    <n v="23844"/>
    <n v="0"/>
    <s v="Y"/>
    <x v="1"/>
    <n v="19"/>
    <n v="3"/>
    <n v="4"/>
    <n v="80"/>
    <n v="1"/>
    <n v="8"/>
    <n v="2"/>
    <n v="2"/>
    <n v="7"/>
    <n v="6"/>
    <n v="7"/>
    <n v="3"/>
    <x v="1"/>
    <n v="1"/>
    <x v="2"/>
    <x v="0"/>
    <s v="6-10 Years"/>
    <s v="Low"/>
    <s v="Good"/>
  </r>
  <r>
    <x v="22"/>
    <s v="No"/>
    <s v="Travel_Rarely"/>
    <n v="835"/>
    <x v="1"/>
    <n v="19"/>
    <n v="4"/>
    <s v="Other"/>
    <n v="1"/>
    <n v="1871"/>
    <n v="4"/>
    <x v="1"/>
    <n v="41"/>
    <n v="3"/>
    <n v="2"/>
    <x v="1"/>
    <n v="4"/>
    <s v="Divorced"/>
    <n v="3902"/>
    <n v="5141"/>
    <n v="8"/>
    <s v="Y"/>
    <x v="1"/>
    <n v="14"/>
    <n v="3"/>
    <n v="2"/>
    <n v="80"/>
    <n v="3"/>
    <n v="7"/>
    <n v="2"/>
    <n v="3"/>
    <n v="2"/>
    <n v="2"/>
    <n v="2"/>
    <n v="2"/>
    <x v="1"/>
    <n v="1"/>
    <x v="0"/>
    <x v="0"/>
    <s v="2-5 Years"/>
    <s v="Very High"/>
    <s v="Better"/>
  </r>
  <r>
    <x v="27"/>
    <s v="No"/>
    <s v="Travel_Rarely"/>
    <n v="836"/>
    <x v="1"/>
    <n v="2"/>
    <n v="4"/>
    <s v="Technical Degree"/>
    <n v="1"/>
    <n v="1873"/>
    <n v="2"/>
    <x v="1"/>
    <n v="98"/>
    <n v="2"/>
    <n v="1"/>
    <x v="1"/>
    <n v="4"/>
    <s v="Married"/>
    <n v="2662"/>
    <n v="7975"/>
    <n v="8"/>
    <s v="Y"/>
    <x v="1"/>
    <n v="20"/>
    <n v="4"/>
    <n v="2"/>
    <n v="80"/>
    <n v="1"/>
    <n v="19"/>
    <n v="2"/>
    <n v="4"/>
    <n v="5"/>
    <n v="2"/>
    <n v="0"/>
    <n v="4"/>
    <x v="1"/>
    <n v="1"/>
    <x v="3"/>
    <x v="1"/>
    <s v="2-5 Years"/>
    <s v="Very High"/>
    <s v="Best"/>
  </r>
  <r>
    <x v="14"/>
    <s v="No"/>
    <s v="Travel_Rarely"/>
    <n v="1172"/>
    <x v="0"/>
    <n v="3"/>
    <n v="3"/>
    <s v="Medical"/>
    <n v="1"/>
    <n v="1875"/>
    <n v="2"/>
    <x v="0"/>
    <n v="78"/>
    <n v="3"/>
    <n v="1"/>
    <x v="6"/>
    <n v="2"/>
    <s v="Married"/>
    <n v="2856"/>
    <n v="3692"/>
    <n v="1"/>
    <s v="Y"/>
    <x v="1"/>
    <n v="19"/>
    <n v="3"/>
    <n v="4"/>
    <n v="80"/>
    <n v="1"/>
    <n v="1"/>
    <n v="3"/>
    <n v="3"/>
    <n v="1"/>
    <n v="0"/>
    <n v="0"/>
    <n v="0"/>
    <x v="1"/>
    <n v="1"/>
    <x v="2"/>
    <x v="1"/>
    <s v="0-1 Years"/>
    <s v="Medium"/>
    <s v="Better"/>
  </r>
  <r>
    <x v="7"/>
    <s v="Yes"/>
    <s v="Travel_Rarely"/>
    <n v="945"/>
    <x v="0"/>
    <n v="9"/>
    <n v="3"/>
    <s v="Medical"/>
    <n v="1"/>
    <n v="1876"/>
    <n v="2"/>
    <x v="1"/>
    <n v="89"/>
    <n v="3"/>
    <n v="1"/>
    <x v="6"/>
    <n v="4"/>
    <s v="Single"/>
    <n v="1081"/>
    <n v="16019"/>
    <n v="1"/>
    <s v="Y"/>
    <x v="1"/>
    <n v="13"/>
    <n v="3"/>
    <n v="3"/>
    <n v="80"/>
    <n v="0"/>
    <n v="1"/>
    <n v="3"/>
    <n v="2"/>
    <n v="1"/>
    <n v="0"/>
    <n v="0"/>
    <n v="0"/>
    <x v="0"/>
    <n v="0"/>
    <x v="2"/>
    <x v="1"/>
    <s v="0-1 Years"/>
    <s v="Very High"/>
    <s v="Good"/>
  </r>
  <r>
    <x v="15"/>
    <s v="Yes"/>
    <s v="Travel_Rarely"/>
    <n v="391"/>
    <x v="1"/>
    <n v="7"/>
    <n v="1"/>
    <s v="Life Sciences"/>
    <n v="1"/>
    <n v="1878"/>
    <n v="4"/>
    <x v="1"/>
    <n v="75"/>
    <n v="3"/>
    <n v="1"/>
    <x v="1"/>
    <n v="2"/>
    <s v="Single"/>
    <n v="2472"/>
    <n v="26092"/>
    <n v="1"/>
    <s v="Y"/>
    <x v="0"/>
    <n v="23"/>
    <n v="4"/>
    <n v="1"/>
    <n v="80"/>
    <n v="0"/>
    <n v="1"/>
    <n v="2"/>
    <n v="3"/>
    <n v="1"/>
    <n v="0"/>
    <n v="0"/>
    <n v="0"/>
    <x v="0"/>
    <n v="0"/>
    <x v="4"/>
    <x v="1"/>
    <s v="0-1 Years"/>
    <s v="Medium"/>
    <s v="Better"/>
  </r>
  <r>
    <x v="9"/>
    <s v="No"/>
    <s v="Travel_Rarely"/>
    <n v="1266"/>
    <x v="0"/>
    <n v="10"/>
    <n v="4"/>
    <s v="Technical Degree"/>
    <n v="1"/>
    <n v="1880"/>
    <n v="2"/>
    <x v="0"/>
    <n v="63"/>
    <n v="2"/>
    <n v="2"/>
    <x v="0"/>
    <n v="3"/>
    <s v="Married"/>
    <n v="5673"/>
    <n v="6060"/>
    <n v="1"/>
    <s v="Y"/>
    <x v="0"/>
    <n v="13"/>
    <n v="3"/>
    <n v="1"/>
    <n v="80"/>
    <n v="1"/>
    <n v="10"/>
    <n v="4"/>
    <n v="3"/>
    <n v="10"/>
    <n v="9"/>
    <n v="1"/>
    <n v="7"/>
    <x v="1"/>
    <n v="1"/>
    <x v="0"/>
    <x v="0"/>
    <s v="6-10 Years"/>
    <s v="High"/>
    <s v="Better"/>
  </r>
  <r>
    <x v="12"/>
    <s v="No"/>
    <s v="Travel_Rarely"/>
    <n v="311"/>
    <x v="1"/>
    <n v="20"/>
    <n v="3"/>
    <s v="Life Sciences"/>
    <n v="1"/>
    <n v="1881"/>
    <n v="2"/>
    <x v="1"/>
    <n v="89"/>
    <n v="3"/>
    <n v="2"/>
    <x v="2"/>
    <n v="3"/>
    <s v="Divorced"/>
    <n v="4197"/>
    <n v="18624"/>
    <n v="1"/>
    <s v="Y"/>
    <x v="1"/>
    <n v="11"/>
    <n v="3"/>
    <n v="1"/>
    <n v="80"/>
    <n v="1"/>
    <n v="10"/>
    <n v="2"/>
    <n v="3"/>
    <n v="10"/>
    <n v="8"/>
    <n v="0"/>
    <n v="2"/>
    <x v="1"/>
    <n v="1"/>
    <x v="2"/>
    <x v="0"/>
    <s v="6-10 Years"/>
    <s v="High"/>
    <s v="Better"/>
  </r>
  <r>
    <x v="13"/>
    <s v="No"/>
    <s v="Travel_Rarely"/>
    <n v="1480"/>
    <x v="0"/>
    <n v="4"/>
    <n v="3"/>
    <s v="Life Sciences"/>
    <n v="1"/>
    <n v="1882"/>
    <n v="3"/>
    <x v="1"/>
    <n v="64"/>
    <n v="3"/>
    <n v="3"/>
    <x v="0"/>
    <n v="4"/>
    <s v="Married"/>
    <n v="9713"/>
    <n v="24444"/>
    <n v="2"/>
    <s v="Y"/>
    <x v="0"/>
    <n v="13"/>
    <n v="3"/>
    <n v="4"/>
    <n v="80"/>
    <n v="3"/>
    <n v="9"/>
    <n v="3"/>
    <n v="3"/>
    <n v="5"/>
    <n v="3"/>
    <n v="1"/>
    <n v="0"/>
    <x v="1"/>
    <n v="1"/>
    <x v="2"/>
    <x v="2"/>
    <s v="2-5 Years"/>
    <s v="Very High"/>
    <s v="Better"/>
  </r>
  <r>
    <x v="11"/>
    <s v="No"/>
    <s v="Travel_Rarely"/>
    <n v="592"/>
    <x v="1"/>
    <n v="7"/>
    <n v="3"/>
    <s v="Life Sciences"/>
    <n v="1"/>
    <n v="1883"/>
    <n v="4"/>
    <x v="1"/>
    <n v="59"/>
    <n v="3"/>
    <n v="1"/>
    <x v="2"/>
    <n v="1"/>
    <s v="Single"/>
    <n v="2062"/>
    <n v="19384"/>
    <n v="3"/>
    <s v="Y"/>
    <x v="1"/>
    <n v="14"/>
    <n v="3"/>
    <n v="2"/>
    <n v="80"/>
    <n v="0"/>
    <n v="11"/>
    <n v="2"/>
    <n v="3"/>
    <n v="3"/>
    <n v="2"/>
    <n v="1"/>
    <n v="2"/>
    <x v="1"/>
    <n v="1"/>
    <x v="2"/>
    <x v="1"/>
    <s v="2-5 Years"/>
    <s v="Low"/>
    <s v="Better"/>
  </r>
  <r>
    <x v="2"/>
    <s v="No"/>
    <s v="Travel_Rarely"/>
    <n v="783"/>
    <x v="1"/>
    <n v="7"/>
    <n v="4"/>
    <s v="Medical"/>
    <n v="1"/>
    <n v="1885"/>
    <n v="4"/>
    <x v="1"/>
    <n v="78"/>
    <n v="3"/>
    <n v="2"/>
    <x v="1"/>
    <n v="1"/>
    <s v="Married"/>
    <n v="4284"/>
    <n v="13588"/>
    <n v="5"/>
    <s v="Y"/>
    <x v="0"/>
    <n v="22"/>
    <n v="4"/>
    <n v="3"/>
    <n v="80"/>
    <n v="1"/>
    <n v="16"/>
    <n v="2"/>
    <n v="3"/>
    <n v="5"/>
    <n v="3"/>
    <n v="0"/>
    <n v="4"/>
    <x v="1"/>
    <n v="1"/>
    <x v="0"/>
    <x v="0"/>
    <s v="2-5 Years"/>
    <s v="Low"/>
    <s v="Better"/>
  </r>
  <r>
    <x v="10"/>
    <s v="No"/>
    <s v="Travel_Rarely"/>
    <n v="219"/>
    <x v="1"/>
    <n v="16"/>
    <n v="2"/>
    <s v="Other"/>
    <n v="1"/>
    <n v="1886"/>
    <n v="4"/>
    <x v="0"/>
    <n v="44"/>
    <n v="2"/>
    <n v="2"/>
    <x v="3"/>
    <n v="2"/>
    <s v="Married"/>
    <n v="4788"/>
    <n v="25388"/>
    <n v="0"/>
    <s v="Y"/>
    <x v="0"/>
    <n v="11"/>
    <n v="3"/>
    <n v="4"/>
    <n v="80"/>
    <n v="0"/>
    <n v="4"/>
    <n v="2"/>
    <n v="3"/>
    <n v="3"/>
    <n v="2"/>
    <n v="0"/>
    <n v="2"/>
    <x v="1"/>
    <n v="1"/>
    <x v="0"/>
    <x v="0"/>
    <s v="2-5 Years"/>
    <s v="Medium"/>
    <s v="Better"/>
  </r>
  <r>
    <x v="28"/>
    <s v="No"/>
    <s v="Travel_Rarely"/>
    <n v="556"/>
    <x v="1"/>
    <n v="25"/>
    <n v="2"/>
    <s v="Life Sciences"/>
    <n v="1"/>
    <n v="1888"/>
    <n v="2"/>
    <x v="0"/>
    <n v="93"/>
    <n v="2"/>
    <n v="2"/>
    <x v="3"/>
    <n v="4"/>
    <s v="Married"/>
    <n v="5906"/>
    <n v="23888"/>
    <n v="0"/>
    <s v="Y"/>
    <x v="1"/>
    <n v="13"/>
    <n v="3"/>
    <n v="4"/>
    <n v="80"/>
    <n v="2"/>
    <n v="10"/>
    <n v="2"/>
    <n v="2"/>
    <n v="9"/>
    <n v="8"/>
    <n v="3"/>
    <n v="8"/>
    <x v="1"/>
    <n v="1"/>
    <x v="1"/>
    <x v="0"/>
    <s v="6-10 Years"/>
    <s v="Very High"/>
    <s v="Good"/>
  </r>
  <r>
    <x v="9"/>
    <s v="No"/>
    <s v="Travel_Frequently"/>
    <n v="1213"/>
    <x v="2"/>
    <n v="2"/>
    <n v="1"/>
    <s v="Human Resources"/>
    <n v="1"/>
    <n v="1890"/>
    <n v="2"/>
    <x v="1"/>
    <n v="94"/>
    <n v="2"/>
    <n v="2"/>
    <x v="8"/>
    <n v="4"/>
    <s v="Single"/>
    <n v="3886"/>
    <n v="4223"/>
    <n v="1"/>
    <s v="Y"/>
    <x v="1"/>
    <n v="21"/>
    <n v="4"/>
    <n v="4"/>
    <n v="80"/>
    <n v="0"/>
    <n v="10"/>
    <n v="2"/>
    <n v="2"/>
    <n v="10"/>
    <n v="1"/>
    <n v="0"/>
    <n v="8"/>
    <x v="1"/>
    <n v="1"/>
    <x v="0"/>
    <x v="0"/>
    <s v="6-10 Years"/>
    <s v="Very High"/>
    <s v="Good"/>
  </r>
  <r>
    <x v="32"/>
    <s v="No"/>
    <s v="Travel_Rarely"/>
    <n v="1137"/>
    <x v="1"/>
    <n v="1"/>
    <n v="4"/>
    <s v="Life Sciences"/>
    <n v="1"/>
    <n v="1892"/>
    <n v="1"/>
    <x v="1"/>
    <n v="98"/>
    <n v="3"/>
    <n v="4"/>
    <x v="5"/>
    <n v="1"/>
    <s v="Divorced"/>
    <n v="16823"/>
    <n v="18991"/>
    <n v="2"/>
    <s v="Y"/>
    <x v="1"/>
    <n v="11"/>
    <n v="3"/>
    <n v="1"/>
    <n v="80"/>
    <n v="1"/>
    <n v="22"/>
    <n v="3"/>
    <n v="3"/>
    <n v="19"/>
    <n v="7"/>
    <n v="11"/>
    <n v="16"/>
    <x v="1"/>
    <n v="1"/>
    <x v="0"/>
    <x v="2"/>
    <s v="10+ Years"/>
    <s v="Low"/>
    <s v="Better"/>
  </r>
  <r>
    <x v="25"/>
    <s v="No"/>
    <s v="Travel_Rarely"/>
    <n v="482"/>
    <x v="1"/>
    <n v="1"/>
    <n v="2"/>
    <s v="Life Sciences"/>
    <n v="1"/>
    <n v="1893"/>
    <n v="2"/>
    <x v="0"/>
    <n v="90"/>
    <n v="2"/>
    <n v="1"/>
    <x v="1"/>
    <n v="3"/>
    <s v="Married"/>
    <n v="2933"/>
    <n v="14908"/>
    <n v="1"/>
    <s v="Y"/>
    <x v="0"/>
    <n v="13"/>
    <n v="3"/>
    <n v="3"/>
    <n v="80"/>
    <n v="1"/>
    <n v="1"/>
    <n v="3"/>
    <n v="2"/>
    <n v="1"/>
    <n v="0"/>
    <n v="1"/>
    <n v="0"/>
    <x v="1"/>
    <n v="1"/>
    <x v="2"/>
    <x v="1"/>
    <s v="0-1 Years"/>
    <s v="High"/>
    <s v="Good"/>
  </r>
  <r>
    <x v="4"/>
    <s v="No"/>
    <s v="Travel_Rarely"/>
    <n v="511"/>
    <x v="0"/>
    <n v="2"/>
    <n v="2"/>
    <s v="Medical"/>
    <n v="1"/>
    <n v="1898"/>
    <n v="1"/>
    <x v="0"/>
    <n v="89"/>
    <n v="4"/>
    <n v="2"/>
    <x v="0"/>
    <n v="3"/>
    <s v="Single"/>
    <n v="6500"/>
    <n v="26997"/>
    <n v="0"/>
    <s v="Y"/>
    <x v="1"/>
    <n v="14"/>
    <n v="3"/>
    <n v="2"/>
    <n v="80"/>
    <n v="0"/>
    <n v="9"/>
    <n v="5"/>
    <n v="2"/>
    <n v="8"/>
    <n v="7"/>
    <n v="0"/>
    <n v="7"/>
    <x v="1"/>
    <n v="1"/>
    <x v="2"/>
    <x v="0"/>
    <s v="6-10 Years"/>
    <s v="High"/>
    <s v="Good"/>
  </r>
  <r>
    <x v="26"/>
    <s v="No"/>
    <s v="Travel_Frequently"/>
    <n v="117"/>
    <x v="1"/>
    <n v="22"/>
    <n v="3"/>
    <s v="Medical"/>
    <n v="1"/>
    <n v="1900"/>
    <n v="4"/>
    <x v="0"/>
    <n v="58"/>
    <n v="3"/>
    <n v="4"/>
    <x v="5"/>
    <n v="4"/>
    <s v="Divorced"/>
    <n v="17174"/>
    <n v="2437"/>
    <n v="3"/>
    <s v="Y"/>
    <x v="1"/>
    <n v="11"/>
    <n v="3"/>
    <n v="2"/>
    <n v="80"/>
    <n v="1"/>
    <n v="24"/>
    <n v="3"/>
    <n v="3"/>
    <n v="22"/>
    <n v="17"/>
    <n v="4"/>
    <n v="7"/>
    <x v="1"/>
    <n v="1"/>
    <x v="1"/>
    <x v="2"/>
    <s v="10+ Years"/>
    <s v="Very High"/>
    <s v="Better"/>
  </r>
  <r>
    <x v="20"/>
    <s v="No"/>
    <s v="Travel_Rarely"/>
    <n v="170"/>
    <x v="1"/>
    <n v="1"/>
    <n v="4"/>
    <s v="Life Sciences"/>
    <n v="1"/>
    <n v="1903"/>
    <n v="2"/>
    <x v="1"/>
    <n v="78"/>
    <n v="4"/>
    <n v="2"/>
    <x v="4"/>
    <n v="1"/>
    <s v="Married"/>
    <n v="5033"/>
    <n v="9364"/>
    <n v="2"/>
    <s v="Y"/>
    <x v="1"/>
    <n v="15"/>
    <n v="3"/>
    <n v="4"/>
    <n v="80"/>
    <n v="1"/>
    <n v="10"/>
    <n v="5"/>
    <n v="3"/>
    <n v="2"/>
    <n v="0"/>
    <n v="2"/>
    <n v="2"/>
    <x v="1"/>
    <n v="1"/>
    <x v="0"/>
    <x v="0"/>
    <s v="2-5 Years"/>
    <s v="Low"/>
    <s v="Better"/>
  </r>
  <r>
    <x v="13"/>
    <s v="Yes"/>
    <s v="Non-Travel"/>
    <n v="967"/>
    <x v="1"/>
    <n v="16"/>
    <n v="4"/>
    <s v="Technical Degree"/>
    <n v="1"/>
    <n v="1905"/>
    <n v="4"/>
    <x v="1"/>
    <n v="85"/>
    <n v="1"/>
    <n v="1"/>
    <x v="1"/>
    <n v="1"/>
    <s v="Married"/>
    <n v="2307"/>
    <n v="14460"/>
    <n v="1"/>
    <s v="Y"/>
    <x v="0"/>
    <n v="23"/>
    <n v="4"/>
    <n v="2"/>
    <n v="80"/>
    <n v="1"/>
    <n v="5"/>
    <n v="2"/>
    <n v="3"/>
    <n v="5"/>
    <n v="2"/>
    <n v="3"/>
    <n v="0"/>
    <x v="0"/>
    <n v="0"/>
    <x v="2"/>
    <x v="1"/>
    <s v="2-5 Years"/>
    <s v="Low"/>
    <s v="Better"/>
  </r>
  <r>
    <x v="29"/>
    <s v="Yes"/>
    <s v="Travel_Rarely"/>
    <n v="1162"/>
    <x v="1"/>
    <n v="24"/>
    <n v="2"/>
    <s v="Life Sciences"/>
    <n v="1"/>
    <n v="1907"/>
    <n v="1"/>
    <x v="1"/>
    <n v="97"/>
    <n v="3"/>
    <n v="1"/>
    <x v="2"/>
    <n v="4"/>
    <s v="Single"/>
    <n v="2587"/>
    <n v="10261"/>
    <n v="1"/>
    <s v="Y"/>
    <x v="1"/>
    <n v="16"/>
    <n v="3"/>
    <n v="4"/>
    <n v="80"/>
    <n v="0"/>
    <n v="5"/>
    <n v="3"/>
    <n v="3"/>
    <n v="4"/>
    <n v="2"/>
    <n v="1"/>
    <n v="0"/>
    <x v="0"/>
    <n v="0"/>
    <x v="3"/>
    <x v="1"/>
    <s v="2-5 Years"/>
    <s v="Very High"/>
    <s v="Better"/>
  </r>
  <r>
    <x v="9"/>
    <s v="No"/>
    <s v="Travel_Rarely"/>
    <n v="335"/>
    <x v="0"/>
    <n v="17"/>
    <n v="2"/>
    <s v="Marketing"/>
    <n v="1"/>
    <n v="1908"/>
    <n v="3"/>
    <x v="1"/>
    <n v="33"/>
    <n v="2"/>
    <n v="2"/>
    <x v="0"/>
    <n v="2"/>
    <s v="Married"/>
    <n v="5507"/>
    <n v="16822"/>
    <n v="2"/>
    <s v="Y"/>
    <x v="1"/>
    <n v="16"/>
    <n v="3"/>
    <n v="3"/>
    <n v="80"/>
    <n v="2"/>
    <n v="12"/>
    <n v="1"/>
    <n v="1"/>
    <n v="4"/>
    <n v="2"/>
    <n v="1"/>
    <n v="3"/>
    <x v="1"/>
    <n v="1"/>
    <x v="0"/>
    <x v="0"/>
    <s v="2-5 Years"/>
    <s v="Medium"/>
    <s v="Bad"/>
  </r>
  <r>
    <x v="0"/>
    <s v="No"/>
    <s v="Travel_Rarely"/>
    <n v="337"/>
    <x v="0"/>
    <n v="8"/>
    <n v="3"/>
    <s v="Marketing"/>
    <n v="1"/>
    <n v="1909"/>
    <n v="3"/>
    <x v="0"/>
    <n v="54"/>
    <n v="3"/>
    <n v="2"/>
    <x v="0"/>
    <n v="2"/>
    <s v="Married"/>
    <n v="4393"/>
    <n v="26841"/>
    <n v="5"/>
    <s v="Y"/>
    <x v="1"/>
    <n v="21"/>
    <n v="4"/>
    <n v="3"/>
    <n v="80"/>
    <n v="1"/>
    <n v="14"/>
    <n v="3"/>
    <n v="3"/>
    <n v="5"/>
    <n v="4"/>
    <n v="1"/>
    <n v="4"/>
    <x v="1"/>
    <n v="1"/>
    <x v="0"/>
    <x v="0"/>
    <s v="2-5 Years"/>
    <s v="Medium"/>
    <s v="Better"/>
  </r>
  <r>
    <x v="19"/>
    <s v="No"/>
    <s v="Travel_Rarely"/>
    <n v="1396"/>
    <x v="1"/>
    <n v="6"/>
    <n v="3"/>
    <s v="Medical"/>
    <n v="1"/>
    <n v="1911"/>
    <n v="3"/>
    <x v="1"/>
    <n v="83"/>
    <n v="3"/>
    <n v="3"/>
    <x v="7"/>
    <n v="1"/>
    <s v="Married"/>
    <n v="13348"/>
    <n v="14842"/>
    <n v="9"/>
    <s v="Y"/>
    <x v="1"/>
    <n v="13"/>
    <n v="3"/>
    <n v="2"/>
    <n v="80"/>
    <n v="1"/>
    <n v="18"/>
    <n v="3"/>
    <n v="4"/>
    <n v="13"/>
    <n v="7"/>
    <n v="5"/>
    <n v="7"/>
    <x v="1"/>
    <n v="1"/>
    <x v="0"/>
    <x v="2"/>
    <s v="10+ Years"/>
    <s v="Low"/>
    <s v="Best"/>
  </r>
  <r>
    <x v="12"/>
    <s v="No"/>
    <s v="Travel_Rarely"/>
    <n v="1079"/>
    <x v="0"/>
    <n v="10"/>
    <n v="2"/>
    <s v="Medical"/>
    <n v="1"/>
    <n v="1912"/>
    <n v="3"/>
    <x v="0"/>
    <n v="86"/>
    <n v="3"/>
    <n v="2"/>
    <x v="0"/>
    <n v="4"/>
    <s v="Divorced"/>
    <n v="6583"/>
    <n v="20115"/>
    <n v="2"/>
    <s v="Y"/>
    <x v="0"/>
    <n v="11"/>
    <n v="3"/>
    <n v="4"/>
    <n v="80"/>
    <n v="1"/>
    <n v="8"/>
    <n v="2"/>
    <n v="3"/>
    <n v="5"/>
    <n v="2"/>
    <n v="1"/>
    <n v="4"/>
    <x v="1"/>
    <n v="1"/>
    <x v="2"/>
    <x v="0"/>
    <s v="2-5 Years"/>
    <s v="Very High"/>
    <s v="Better"/>
  </r>
  <r>
    <x v="13"/>
    <s v="No"/>
    <s v="Travel_Rarely"/>
    <n v="735"/>
    <x v="0"/>
    <n v="3"/>
    <n v="1"/>
    <s v="Medical"/>
    <n v="1"/>
    <n v="1915"/>
    <n v="4"/>
    <x v="0"/>
    <n v="75"/>
    <n v="2"/>
    <n v="2"/>
    <x v="0"/>
    <n v="4"/>
    <s v="Married"/>
    <n v="8103"/>
    <n v="16495"/>
    <n v="3"/>
    <s v="Y"/>
    <x v="0"/>
    <n v="12"/>
    <n v="3"/>
    <n v="3"/>
    <n v="80"/>
    <n v="0"/>
    <n v="9"/>
    <n v="3"/>
    <n v="2"/>
    <n v="4"/>
    <n v="2"/>
    <n v="0"/>
    <n v="1"/>
    <x v="1"/>
    <n v="1"/>
    <x v="2"/>
    <x v="2"/>
    <s v="2-5 Years"/>
    <s v="Very High"/>
    <s v="Good"/>
  </r>
  <r>
    <x v="12"/>
    <s v="No"/>
    <s v="Travel_Rarely"/>
    <n v="471"/>
    <x v="1"/>
    <n v="4"/>
    <n v="3"/>
    <s v="Medical"/>
    <n v="1"/>
    <n v="1916"/>
    <n v="1"/>
    <x v="0"/>
    <n v="62"/>
    <n v="4"/>
    <n v="1"/>
    <x v="2"/>
    <n v="3"/>
    <s v="Divorced"/>
    <n v="3978"/>
    <n v="16031"/>
    <n v="8"/>
    <s v="Y"/>
    <x v="1"/>
    <n v="12"/>
    <n v="3"/>
    <n v="2"/>
    <n v="80"/>
    <n v="1"/>
    <n v="4"/>
    <n v="0"/>
    <n v="2"/>
    <n v="2"/>
    <n v="2"/>
    <n v="2"/>
    <n v="2"/>
    <x v="1"/>
    <n v="1"/>
    <x v="2"/>
    <x v="0"/>
    <s v="2-5 Years"/>
    <s v="High"/>
    <s v="Good"/>
  </r>
  <r>
    <x v="25"/>
    <s v="No"/>
    <s v="Travel_Frequently"/>
    <n v="1096"/>
    <x v="1"/>
    <n v="6"/>
    <n v="3"/>
    <s v="Other"/>
    <n v="1"/>
    <n v="1918"/>
    <n v="3"/>
    <x v="1"/>
    <n v="61"/>
    <n v="4"/>
    <n v="1"/>
    <x v="2"/>
    <n v="4"/>
    <s v="Married"/>
    <n v="2544"/>
    <n v="7102"/>
    <n v="0"/>
    <s v="Y"/>
    <x v="1"/>
    <n v="18"/>
    <n v="3"/>
    <n v="1"/>
    <n v="80"/>
    <n v="1"/>
    <n v="8"/>
    <n v="3"/>
    <n v="3"/>
    <n v="7"/>
    <n v="7"/>
    <n v="7"/>
    <n v="7"/>
    <x v="1"/>
    <n v="1"/>
    <x v="2"/>
    <x v="1"/>
    <s v="6-10 Years"/>
    <s v="Very High"/>
    <s v="Better"/>
  </r>
  <r>
    <x v="28"/>
    <s v="No"/>
    <s v="Travel_Frequently"/>
    <n v="1297"/>
    <x v="1"/>
    <n v="1"/>
    <n v="4"/>
    <s v="Medical"/>
    <n v="1"/>
    <n v="1922"/>
    <n v="2"/>
    <x v="1"/>
    <n v="44"/>
    <n v="3"/>
    <n v="2"/>
    <x v="4"/>
    <n v="3"/>
    <s v="Single"/>
    <n v="5399"/>
    <n v="14511"/>
    <n v="4"/>
    <s v="Y"/>
    <x v="1"/>
    <n v="12"/>
    <n v="3"/>
    <n v="3"/>
    <n v="80"/>
    <n v="0"/>
    <n v="12"/>
    <n v="3"/>
    <n v="3"/>
    <n v="4"/>
    <n v="2"/>
    <n v="0"/>
    <n v="3"/>
    <x v="1"/>
    <n v="1"/>
    <x v="1"/>
    <x v="0"/>
    <s v="2-5 Years"/>
    <s v="High"/>
    <s v="Better"/>
  </r>
  <r>
    <x v="3"/>
    <s v="No"/>
    <s v="Travel_Rarely"/>
    <n v="217"/>
    <x v="0"/>
    <n v="10"/>
    <n v="4"/>
    <s v="Marketing"/>
    <n v="1"/>
    <n v="1924"/>
    <n v="2"/>
    <x v="1"/>
    <n v="43"/>
    <n v="3"/>
    <n v="2"/>
    <x v="0"/>
    <n v="3"/>
    <s v="Single"/>
    <n v="5487"/>
    <n v="10410"/>
    <n v="1"/>
    <s v="Y"/>
    <x v="1"/>
    <n v="14"/>
    <n v="3"/>
    <n v="2"/>
    <n v="80"/>
    <n v="0"/>
    <n v="10"/>
    <n v="2"/>
    <n v="2"/>
    <n v="10"/>
    <n v="4"/>
    <n v="0"/>
    <n v="9"/>
    <x v="1"/>
    <n v="1"/>
    <x v="2"/>
    <x v="0"/>
    <s v="6-10 Years"/>
    <s v="High"/>
    <s v="Good"/>
  </r>
  <r>
    <x v="14"/>
    <s v="No"/>
    <s v="Travel_Frequently"/>
    <n v="783"/>
    <x v="0"/>
    <n v="1"/>
    <n v="2"/>
    <s v="Life Sciences"/>
    <n v="1"/>
    <n v="1927"/>
    <n v="3"/>
    <x v="1"/>
    <n v="42"/>
    <n v="2"/>
    <n v="2"/>
    <x v="0"/>
    <n v="4"/>
    <s v="Married"/>
    <n v="6834"/>
    <n v="19255"/>
    <n v="1"/>
    <s v="Y"/>
    <x v="0"/>
    <n v="12"/>
    <n v="3"/>
    <n v="3"/>
    <n v="80"/>
    <n v="1"/>
    <n v="7"/>
    <n v="2"/>
    <n v="3"/>
    <n v="7"/>
    <n v="7"/>
    <n v="0"/>
    <n v="7"/>
    <x v="1"/>
    <n v="1"/>
    <x v="2"/>
    <x v="0"/>
    <s v="6-10 Years"/>
    <s v="Very High"/>
    <s v="Better"/>
  </r>
  <r>
    <x v="11"/>
    <s v="Yes"/>
    <s v="Travel_Frequently"/>
    <n v="746"/>
    <x v="0"/>
    <n v="24"/>
    <n v="3"/>
    <s v="Technical Degree"/>
    <n v="1"/>
    <n v="1928"/>
    <n v="3"/>
    <x v="1"/>
    <n v="45"/>
    <n v="4"/>
    <n v="1"/>
    <x v="6"/>
    <n v="1"/>
    <s v="Single"/>
    <n v="1091"/>
    <n v="10642"/>
    <n v="1"/>
    <s v="Y"/>
    <x v="1"/>
    <n v="17"/>
    <n v="3"/>
    <n v="4"/>
    <n v="80"/>
    <n v="0"/>
    <n v="1"/>
    <n v="3"/>
    <n v="3"/>
    <n v="1"/>
    <n v="0"/>
    <n v="0"/>
    <n v="0"/>
    <x v="0"/>
    <n v="0"/>
    <x v="2"/>
    <x v="1"/>
    <s v="0-1 Years"/>
    <s v="Low"/>
    <s v="Better"/>
  </r>
  <r>
    <x v="22"/>
    <s v="No"/>
    <s v="Non-Travel"/>
    <n v="1251"/>
    <x v="0"/>
    <n v="21"/>
    <n v="4"/>
    <s v="Life Sciences"/>
    <n v="1"/>
    <n v="1929"/>
    <n v="1"/>
    <x v="0"/>
    <n v="32"/>
    <n v="1"/>
    <n v="2"/>
    <x v="0"/>
    <n v="3"/>
    <s v="Married"/>
    <n v="5736"/>
    <n v="3987"/>
    <n v="6"/>
    <s v="Y"/>
    <x v="1"/>
    <n v="19"/>
    <n v="3"/>
    <n v="3"/>
    <n v="80"/>
    <n v="1"/>
    <n v="10"/>
    <n v="1"/>
    <n v="3"/>
    <n v="3"/>
    <n v="2"/>
    <n v="1"/>
    <n v="2"/>
    <x v="1"/>
    <n v="1"/>
    <x v="0"/>
    <x v="0"/>
    <s v="2-5 Years"/>
    <s v="High"/>
    <s v="Better"/>
  </r>
  <r>
    <x v="4"/>
    <s v="No"/>
    <s v="Travel_Rarely"/>
    <n v="1354"/>
    <x v="1"/>
    <n v="2"/>
    <n v="4"/>
    <s v="Technical Degree"/>
    <n v="1"/>
    <n v="1931"/>
    <n v="2"/>
    <x v="1"/>
    <n v="41"/>
    <n v="3"/>
    <n v="1"/>
    <x v="1"/>
    <n v="2"/>
    <s v="Married"/>
    <n v="2226"/>
    <n v="6073"/>
    <n v="1"/>
    <s v="Y"/>
    <x v="1"/>
    <n v="11"/>
    <n v="3"/>
    <n v="3"/>
    <n v="80"/>
    <n v="1"/>
    <n v="6"/>
    <n v="3"/>
    <n v="2"/>
    <n v="5"/>
    <n v="3"/>
    <n v="1"/>
    <n v="2"/>
    <x v="1"/>
    <n v="1"/>
    <x v="2"/>
    <x v="1"/>
    <s v="2-5 Years"/>
    <s v="Medium"/>
    <s v="Good"/>
  </r>
  <r>
    <x v="13"/>
    <s v="No"/>
    <s v="Travel_Frequently"/>
    <n v="735"/>
    <x v="1"/>
    <n v="22"/>
    <n v="4"/>
    <s v="Other"/>
    <n v="1"/>
    <n v="1932"/>
    <n v="3"/>
    <x v="1"/>
    <n v="86"/>
    <n v="2"/>
    <n v="2"/>
    <x v="1"/>
    <n v="4"/>
    <s v="Married"/>
    <n v="5747"/>
    <n v="26496"/>
    <n v="1"/>
    <s v="Y"/>
    <x v="0"/>
    <n v="15"/>
    <n v="3"/>
    <n v="2"/>
    <n v="80"/>
    <n v="0"/>
    <n v="16"/>
    <n v="3"/>
    <n v="3"/>
    <n v="15"/>
    <n v="10"/>
    <n v="6"/>
    <n v="11"/>
    <x v="1"/>
    <n v="1"/>
    <x v="2"/>
    <x v="0"/>
    <s v="10+ Years"/>
    <s v="Very High"/>
    <s v="Better"/>
  </r>
  <r>
    <x v="14"/>
    <s v="Yes"/>
    <s v="Travel_Rarely"/>
    <n v="1475"/>
    <x v="0"/>
    <n v="13"/>
    <n v="2"/>
    <s v="Marketing"/>
    <n v="1"/>
    <n v="1933"/>
    <n v="4"/>
    <x v="0"/>
    <n v="84"/>
    <n v="3"/>
    <n v="2"/>
    <x v="0"/>
    <n v="3"/>
    <s v="Single"/>
    <n v="9854"/>
    <n v="23352"/>
    <n v="3"/>
    <s v="Y"/>
    <x v="0"/>
    <n v="11"/>
    <n v="3"/>
    <n v="4"/>
    <n v="80"/>
    <n v="0"/>
    <n v="6"/>
    <n v="0"/>
    <n v="3"/>
    <n v="2"/>
    <n v="0"/>
    <n v="2"/>
    <n v="2"/>
    <x v="0"/>
    <n v="0"/>
    <x v="2"/>
    <x v="2"/>
    <s v="2-5 Years"/>
    <s v="High"/>
    <s v="Better"/>
  </r>
  <r>
    <x v="40"/>
    <s v="No"/>
    <s v="Non-Travel"/>
    <n v="1169"/>
    <x v="1"/>
    <n v="14"/>
    <n v="4"/>
    <s v="Technical Degree"/>
    <n v="1"/>
    <n v="1934"/>
    <n v="3"/>
    <x v="1"/>
    <n v="64"/>
    <n v="3"/>
    <n v="2"/>
    <x v="1"/>
    <n v="2"/>
    <s v="Married"/>
    <n v="5467"/>
    <n v="2125"/>
    <n v="8"/>
    <s v="Y"/>
    <x v="1"/>
    <n v="18"/>
    <n v="3"/>
    <n v="3"/>
    <n v="80"/>
    <n v="1"/>
    <n v="16"/>
    <n v="4"/>
    <n v="4"/>
    <n v="8"/>
    <n v="7"/>
    <n v="1"/>
    <n v="7"/>
    <x v="1"/>
    <n v="1"/>
    <x v="1"/>
    <x v="0"/>
    <s v="6-10 Years"/>
    <s v="Medium"/>
    <s v="Best"/>
  </r>
  <r>
    <x v="29"/>
    <s v="No"/>
    <s v="Travel_Rarely"/>
    <n v="1443"/>
    <x v="0"/>
    <n v="11"/>
    <n v="5"/>
    <s v="Marketing"/>
    <n v="1"/>
    <n v="1935"/>
    <n v="4"/>
    <x v="0"/>
    <n v="89"/>
    <n v="2"/>
    <n v="2"/>
    <x v="0"/>
    <n v="1"/>
    <s v="Married"/>
    <n v="5380"/>
    <n v="20328"/>
    <n v="4"/>
    <s v="Y"/>
    <x v="1"/>
    <n v="16"/>
    <n v="3"/>
    <n v="3"/>
    <n v="80"/>
    <n v="1"/>
    <n v="6"/>
    <n v="3"/>
    <n v="3"/>
    <n v="0"/>
    <n v="0"/>
    <n v="0"/>
    <n v="0"/>
    <x v="1"/>
    <n v="1"/>
    <x v="3"/>
    <x v="0"/>
    <s v="0-1 Years"/>
    <s v="Low"/>
    <s v="Better"/>
  </r>
  <r>
    <x v="22"/>
    <s v="No"/>
    <s v="Travel_Rarely"/>
    <n v="867"/>
    <x v="1"/>
    <n v="9"/>
    <n v="2"/>
    <s v="Medical"/>
    <n v="1"/>
    <n v="1936"/>
    <n v="1"/>
    <x v="1"/>
    <n v="87"/>
    <n v="3"/>
    <n v="2"/>
    <x v="3"/>
    <n v="1"/>
    <s v="Married"/>
    <n v="5151"/>
    <n v="12315"/>
    <n v="1"/>
    <s v="Y"/>
    <x v="1"/>
    <n v="25"/>
    <n v="4"/>
    <n v="4"/>
    <n v="80"/>
    <n v="1"/>
    <n v="10"/>
    <n v="3"/>
    <n v="3"/>
    <n v="10"/>
    <n v="0"/>
    <n v="7"/>
    <n v="9"/>
    <x v="1"/>
    <n v="1"/>
    <x v="0"/>
    <x v="0"/>
    <s v="6-10 Years"/>
    <s v="Low"/>
    <s v="Better"/>
  </r>
  <r>
    <x v="8"/>
    <s v="No"/>
    <s v="Travel_Frequently"/>
    <n v="1394"/>
    <x v="1"/>
    <n v="8"/>
    <n v="3"/>
    <s v="Medical"/>
    <n v="1"/>
    <n v="1937"/>
    <n v="4"/>
    <x v="0"/>
    <n v="58"/>
    <n v="2"/>
    <n v="2"/>
    <x v="1"/>
    <n v="2"/>
    <s v="Divorced"/>
    <n v="2133"/>
    <n v="18115"/>
    <n v="1"/>
    <s v="Y"/>
    <x v="0"/>
    <n v="16"/>
    <n v="3"/>
    <n v="3"/>
    <n v="80"/>
    <n v="1"/>
    <n v="20"/>
    <n v="3"/>
    <n v="3"/>
    <n v="20"/>
    <n v="11"/>
    <n v="0"/>
    <n v="7"/>
    <x v="1"/>
    <n v="1"/>
    <x v="0"/>
    <x v="1"/>
    <s v="10+ Years"/>
    <s v="Medium"/>
    <s v="Better"/>
  </r>
  <r>
    <x v="34"/>
    <s v="No"/>
    <s v="Travel_Rarely"/>
    <n v="605"/>
    <x v="0"/>
    <n v="21"/>
    <n v="3"/>
    <s v="Life Sciences"/>
    <n v="1"/>
    <n v="1938"/>
    <n v="4"/>
    <x v="0"/>
    <n v="72"/>
    <n v="3"/>
    <n v="4"/>
    <x v="5"/>
    <n v="4"/>
    <s v="Married"/>
    <n v="17875"/>
    <n v="11761"/>
    <n v="4"/>
    <s v="Y"/>
    <x v="0"/>
    <n v="13"/>
    <n v="3"/>
    <n v="3"/>
    <n v="80"/>
    <n v="1"/>
    <n v="29"/>
    <n v="2"/>
    <n v="2"/>
    <n v="1"/>
    <n v="0"/>
    <n v="0"/>
    <n v="0"/>
    <x v="1"/>
    <n v="1"/>
    <x v="3"/>
    <x v="2"/>
    <s v="0-1 Years"/>
    <s v="Very High"/>
    <s v="Good"/>
  </r>
  <r>
    <x v="5"/>
    <s v="Yes"/>
    <s v="Travel_Frequently"/>
    <n v="238"/>
    <x v="1"/>
    <n v="5"/>
    <n v="2"/>
    <s v="Life Sciences"/>
    <n v="1"/>
    <n v="1939"/>
    <n v="1"/>
    <x v="0"/>
    <n v="47"/>
    <n v="4"/>
    <n v="1"/>
    <x v="1"/>
    <n v="3"/>
    <s v="Single"/>
    <n v="2432"/>
    <n v="15318"/>
    <n v="3"/>
    <s v="Y"/>
    <x v="0"/>
    <n v="14"/>
    <n v="3"/>
    <n v="1"/>
    <n v="80"/>
    <n v="0"/>
    <n v="8"/>
    <n v="2"/>
    <n v="3"/>
    <n v="4"/>
    <n v="1"/>
    <n v="0"/>
    <n v="3"/>
    <x v="0"/>
    <n v="0"/>
    <x v="2"/>
    <x v="1"/>
    <s v="2-5 Years"/>
    <s v="High"/>
    <s v="Better"/>
  </r>
  <r>
    <x v="8"/>
    <s v="No"/>
    <s v="Travel_Rarely"/>
    <n v="1206"/>
    <x v="1"/>
    <n v="9"/>
    <n v="2"/>
    <s v="Life Sciences"/>
    <n v="1"/>
    <n v="1940"/>
    <n v="2"/>
    <x v="1"/>
    <n v="71"/>
    <n v="3"/>
    <n v="1"/>
    <x v="1"/>
    <n v="4"/>
    <s v="Divorced"/>
    <n v="4771"/>
    <n v="14293"/>
    <n v="2"/>
    <s v="Y"/>
    <x v="1"/>
    <n v="19"/>
    <n v="3"/>
    <n v="4"/>
    <n v="80"/>
    <n v="2"/>
    <n v="10"/>
    <n v="0"/>
    <n v="4"/>
    <n v="5"/>
    <n v="2"/>
    <n v="0"/>
    <n v="3"/>
    <x v="1"/>
    <n v="1"/>
    <x v="0"/>
    <x v="0"/>
    <s v="2-5 Years"/>
    <s v="Very High"/>
    <s v="Best"/>
  </r>
  <r>
    <x v="1"/>
    <s v="No"/>
    <s v="Travel_Frequently"/>
    <n v="1064"/>
    <x v="1"/>
    <n v="2"/>
    <n v="1"/>
    <s v="Life Sciences"/>
    <n v="1"/>
    <n v="1941"/>
    <n v="2"/>
    <x v="1"/>
    <n v="42"/>
    <n v="3"/>
    <n v="5"/>
    <x v="7"/>
    <n v="4"/>
    <s v="Married"/>
    <n v="19161"/>
    <n v="13738"/>
    <n v="3"/>
    <s v="Y"/>
    <x v="1"/>
    <n v="15"/>
    <n v="3"/>
    <n v="4"/>
    <n v="80"/>
    <n v="0"/>
    <n v="28"/>
    <n v="3"/>
    <n v="3"/>
    <n v="5"/>
    <n v="4"/>
    <n v="4"/>
    <n v="3"/>
    <x v="1"/>
    <n v="1"/>
    <x v="1"/>
    <x v="2"/>
    <s v="2-5 Years"/>
    <s v="Very High"/>
    <s v="Better"/>
  </r>
  <r>
    <x v="19"/>
    <s v="No"/>
    <s v="Travel_Rarely"/>
    <n v="419"/>
    <x v="0"/>
    <n v="12"/>
    <n v="4"/>
    <s v="Marketing"/>
    <n v="1"/>
    <n v="1943"/>
    <n v="2"/>
    <x v="1"/>
    <n v="77"/>
    <n v="3"/>
    <n v="2"/>
    <x v="0"/>
    <n v="4"/>
    <s v="Divorced"/>
    <n v="5087"/>
    <n v="2900"/>
    <n v="3"/>
    <s v="Y"/>
    <x v="0"/>
    <n v="12"/>
    <n v="3"/>
    <n v="3"/>
    <n v="80"/>
    <n v="2"/>
    <n v="14"/>
    <n v="4"/>
    <n v="3"/>
    <n v="0"/>
    <n v="0"/>
    <n v="0"/>
    <n v="0"/>
    <x v="1"/>
    <n v="1"/>
    <x v="0"/>
    <x v="0"/>
    <s v="0-1 Years"/>
    <s v="Very High"/>
    <s v="Better"/>
  </r>
  <r>
    <x v="4"/>
    <s v="Yes"/>
    <s v="Travel_Frequently"/>
    <n v="1337"/>
    <x v="2"/>
    <n v="22"/>
    <n v="3"/>
    <s v="Human Resources"/>
    <n v="1"/>
    <n v="1944"/>
    <n v="1"/>
    <x v="0"/>
    <n v="58"/>
    <n v="2"/>
    <n v="1"/>
    <x v="8"/>
    <n v="2"/>
    <s v="Married"/>
    <n v="2863"/>
    <n v="19555"/>
    <n v="1"/>
    <s v="Y"/>
    <x v="1"/>
    <n v="12"/>
    <n v="3"/>
    <n v="1"/>
    <n v="80"/>
    <n v="0"/>
    <n v="1"/>
    <n v="2"/>
    <n v="3"/>
    <n v="1"/>
    <n v="0"/>
    <n v="0"/>
    <n v="0"/>
    <x v="0"/>
    <n v="0"/>
    <x v="2"/>
    <x v="1"/>
    <s v="0-1 Years"/>
    <s v="Medium"/>
    <s v="Better"/>
  </r>
  <r>
    <x v="10"/>
    <s v="No"/>
    <s v="Travel_Rarely"/>
    <n v="682"/>
    <x v="0"/>
    <n v="18"/>
    <n v="4"/>
    <s v="Medical"/>
    <n v="1"/>
    <n v="1945"/>
    <n v="2"/>
    <x v="1"/>
    <n v="71"/>
    <n v="3"/>
    <n v="2"/>
    <x v="0"/>
    <n v="1"/>
    <s v="Married"/>
    <n v="5561"/>
    <n v="15975"/>
    <n v="0"/>
    <s v="Y"/>
    <x v="1"/>
    <n v="16"/>
    <n v="3"/>
    <n v="4"/>
    <n v="80"/>
    <n v="1"/>
    <n v="6"/>
    <n v="2"/>
    <n v="1"/>
    <n v="5"/>
    <n v="3"/>
    <n v="0"/>
    <n v="4"/>
    <x v="1"/>
    <n v="1"/>
    <x v="0"/>
    <x v="0"/>
    <s v="2-5 Years"/>
    <s v="Low"/>
    <s v="Bad"/>
  </r>
  <r>
    <x v="14"/>
    <s v="No"/>
    <s v="Non-Travel"/>
    <n v="1103"/>
    <x v="1"/>
    <n v="16"/>
    <n v="3"/>
    <s v="Medical"/>
    <n v="1"/>
    <n v="1947"/>
    <n v="3"/>
    <x v="1"/>
    <n v="49"/>
    <n v="3"/>
    <n v="1"/>
    <x v="1"/>
    <n v="3"/>
    <s v="Single"/>
    <n v="2144"/>
    <n v="2122"/>
    <n v="1"/>
    <s v="Y"/>
    <x v="1"/>
    <n v="14"/>
    <n v="3"/>
    <n v="3"/>
    <n v="80"/>
    <n v="0"/>
    <n v="5"/>
    <n v="3"/>
    <n v="2"/>
    <n v="5"/>
    <n v="3"/>
    <n v="1"/>
    <n v="4"/>
    <x v="1"/>
    <n v="1"/>
    <x v="2"/>
    <x v="1"/>
    <s v="2-5 Years"/>
    <s v="High"/>
    <s v="Good"/>
  </r>
  <r>
    <x v="12"/>
    <s v="No"/>
    <s v="Non-Travel"/>
    <n v="976"/>
    <x v="1"/>
    <n v="3"/>
    <n v="2"/>
    <s v="Medical"/>
    <n v="1"/>
    <n v="1948"/>
    <n v="3"/>
    <x v="1"/>
    <n v="48"/>
    <n v="3"/>
    <n v="1"/>
    <x v="1"/>
    <n v="1"/>
    <s v="Divorced"/>
    <n v="3065"/>
    <n v="3995"/>
    <n v="1"/>
    <s v="Y"/>
    <x v="0"/>
    <n v="13"/>
    <n v="3"/>
    <n v="4"/>
    <n v="80"/>
    <n v="1"/>
    <n v="4"/>
    <n v="3"/>
    <n v="4"/>
    <n v="4"/>
    <n v="2"/>
    <n v="2"/>
    <n v="3"/>
    <x v="1"/>
    <n v="1"/>
    <x v="2"/>
    <x v="0"/>
    <s v="2-5 Years"/>
    <s v="Low"/>
    <s v="Best"/>
  </r>
  <r>
    <x v="9"/>
    <s v="No"/>
    <s v="Non-Travel"/>
    <n v="1351"/>
    <x v="1"/>
    <n v="9"/>
    <n v="4"/>
    <s v="Life Sciences"/>
    <n v="1"/>
    <n v="1949"/>
    <n v="1"/>
    <x v="1"/>
    <n v="66"/>
    <n v="4"/>
    <n v="1"/>
    <x v="2"/>
    <n v="2"/>
    <s v="Married"/>
    <n v="2810"/>
    <n v="9238"/>
    <n v="1"/>
    <s v="Y"/>
    <x v="1"/>
    <n v="22"/>
    <n v="4"/>
    <n v="2"/>
    <n v="80"/>
    <n v="0"/>
    <n v="5"/>
    <n v="3"/>
    <n v="3"/>
    <n v="5"/>
    <n v="4"/>
    <n v="0"/>
    <n v="2"/>
    <x v="1"/>
    <n v="1"/>
    <x v="0"/>
    <x v="1"/>
    <s v="2-5 Years"/>
    <s v="Medium"/>
    <s v="Better"/>
  </r>
  <r>
    <x v="13"/>
    <s v="No"/>
    <s v="Travel_Rarely"/>
    <n v="937"/>
    <x v="0"/>
    <n v="1"/>
    <n v="3"/>
    <s v="Marketing"/>
    <n v="1"/>
    <n v="1950"/>
    <n v="1"/>
    <x v="1"/>
    <n v="32"/>
    <n v="3"/>
    <n v="3"/>
    <x v="0"/>
    <n v="4"/>
    <s v="Single"/>
    <n v="9888"/>
    <n v="6770"/>
    <n v="1"/>
    <s v="Y"/>
    <x v="1"/>
    <n v="21"/>
    <n v="4"/>
    <n v="1"/>
    <n v="80"/>
    <n v="0"/>
    <n v="14"/>
    <n v="3"/>
    <n v="2"/>
    <n v="14"/>
    <n v="8"/>
    <n v="2"/>
    <n v="1"/>
    <x v="1"/>
    <n v="1"/>
    <x v="2"/>
    <x v="2"/>
    <s v="10+ Years"/>
    <s v="Very High"/>
    <s v="Good"/>
  </r>
  <r>
    <x v="13"/>
    <s v="No"/>
    <s v="Travel_Rarely"/>
    <n v="1239"/>
    <x v="0"/>
    <n v="13"/>
    <n v="4"/>
    <s v="Medical"/>
    <n v="1"/>
    <n v="1951"/>
    <n v="4"/>
    <x v="1"/>
    <n v="39"/>
    <n v="3"/>
    <n v="3"/>
    <x v="0"/>
    <n v="3"/>
    <s v="Divorced"/>
    <n v="8628"/>
    <n v="22914"/>
    <n v="1"/>
    <s v="Y"/>
    <x v="1"/>
    <n v="18"/>
    <n v="3"/>
    <n v="3"/>
    <n v="80"/>
    <n v="1"/>
    <n v="9"/>
    <n v="2"/>
    <n v="2"/>
    <n v="8"/>
    <n v="7"/>
    <n v="1"/>
    <n v="1"/>
    <x v="1"/>
    <n v="1"/>
    <x v="2"/>
    <x v="2"/>
    <s v="6-10 Years"/>
    <s v="High"/>
    <s v="Good"/>
  </r>
  <r>
    <x v="25"/>
    <s v="No"/>
    <s v="Travel_Rarely"/>
    <n v="157"/>
    <x v="1"/>
    <n v="1"/>
    <n v="3"/>
    <s v="Medical"/>
    <n v="1"/>
    <n v="1952"/>
    <n v="3"/>
    <x v="1"/>
    <n v="95"/>
    <n v="3"/>
    <n v="1"/>
    <x v="2"/>
    <n v="1"/>
    <s v="Single"/>
    <n v="2867"/>
    <n v="20006"/>
    <n v="0"/>
    <s v="Y"/>
    <x v="1"/>
    <n v="13"/>
    <n v="3"/>
    <n v="4"/>
    <n v="80"/>
    <n v="0"/>
    <n v="8"/>
    <n v="6"/>
    <n v="2"/>
    <n v="7"/>
    <n v="7"/>
    <n v="7"/>
    <n v="6"/>
    <x v="1"/>
    <n v="1"/>
    <x v="2"/>
    <x v="1"/>
    <s v="6-10 Years"/>
    <s v="Low"/>
    <s v="Good"/>
  </r>
  <r>
    <x v="11"/>
    <s v="No"/>
    <s v="Travel_Rarely"/>
    <n v="136"/>
    <x v="1"/>
    <n v="1"/>
    <n v="3"/>
    <s v="Life Sciences"/>
    <n v="1"/>
    <n v="1954"/>
    <n v="1"/>
    <x v="1"/>
    <n v="89"/>
    <n v="3"/>
    <n v="2"/>
    <x v="4"/>
    <n v="1"/>
    <s v="Married"/>
    <n v="5373"/>
    <n v="6225"/>
    <n v="0"/>
    <s v="Y"/>
    <x v="1"/>
    <n v="12"/>
    <n v="3"/>
    <n v="1"/>
    <n v="80"/>
    <n v="1"/>
    <n v="6"/>
    <n v="5"/>
    <n v="2"/>
    <n v="5"/>
    <n v="3"/>
    <n v="0"/>
    <n v="2"/>
    <x v="1"/>
    <n v="1"/>
    <x v="2"/>
    <x v="0"/>
    <s v="2-5 Years"/>
    <s v="Low"/>
    <s v="Good"/>
  </r>
  <r>
    <x v="5"/>
    <s v="No"/>
    <s v="Non-Travel"/>
    <n v="1146"/>
    <x v="1"/>
    <n v="15"/>
    <n v="4"/>
    <s v="Medical"/>
    <n v="1"/>
    <n v="1955"/>
    <n v="3"/>
    <x v="0"/>
    <n v="34"/>
    <n v="3"/>
    <n v="2"/>
    <x v="4"/>
    <n v="4"/>
    <s v="Divorced"/>
    <n v="6667"/>
    <n v="16542"/>
    <n v="5"/>
    <s v="Y"/>
    <x v="1"/>
    <n v="18"/>
    <n v="3"/>
    <n v="2"/>
    <n v="80"/>
    <n v="1"/>
    <n v="9"/>
    <n v="6"/>
    <n v="3"/>
    <n v="5"/>
    <n v="1"/>
    <n v="1"/>
    <n v="2"/>
    <x v="1"/>
    <n v="1"/>
    <x v="2"/>
    <x v="0"/>
    <s v="2-5 Years"/>
    <s v="Very High"/>
    <s v="Better"/>
  </r>
  <r>
    <x v="12"/>
    <s v="No"/>
    <s v="Travel_Frequently"/>
    <n v="1125"/>
    <x v="1"/>
    <n v="1"/>
    <n v="3"/>
    <s v="Life Sciences"/>
    <n v="1"/>
    <n v="1956"/>
    <n v="4"/>
    <x v="1"/>
    <n v="48"/>
    <n v="1"/>
    <n v="2"/>
    <x v="1"/>
    <n v="1"/>
    <s v="Married"/>
    <n v="5003"/>
    <n v="5771"/>
    <n v="1"/>
    <s v="Y"/>
    <x v="1"/>
    <n v="21"/>
    <n v="4"/>
    <n v="2"/>
    <n v="80"/>
    <n v="0"/>
    <n v="10"/>
    <n v="6"/>
    <n v="3"/>
    <n v="10"/>
    <n v="8"/>
    <n v="8"/>
    <n v="7"/>
    <x v="1"/>
    <n v="1"/>
    <x v="2"/>
    <x v="0"/>
    <s v="6-10 Years"/>
    <s v="Low"/>
    <s v="Better"/>
  </r>
  <r>
    <x v="14"/>
    <s v="Yes"/>
    <s v="Travel_Rarely"/>
    <n v="1404"/>
    <x v="1"/>
    <n v="17"/>
    <n v="3"/>
    <s v="Technical Degree"/>
    <n v="1"/>
    <n v="1960"/>
    <n v="3"/>
    <x v="1"/>
    <n v="32"/>
    <n v="2"/>
    <n v="1"/>
    <x v="2"/>
    <n v="4"/>
    <s v="Divorced"/>
    <n v="2367"/>
    <n v="18779"/>
    <n v="5"/>
    <s v="Y"/>
    <x v="1"/>
    <n v="12"/>
    <n v="3"/>
    <n v="1"/>
    <n v="80"/>
    <n v="1"/>
    <n v="6"/>
    <n v="2"/>
    <n v="2"/>
    <n v="4"/>
    <n v="1"/>
    <n v="0"/>
    <n v="3"/>
    <x v="0"/>
    <n v="0"/>
    <x v="2"/>
    <x v="1"/>
    <s v="2-5 Years"/>
    <s v="Very High"/>
    <s v="Good"/>
  </r>
  <r>
    <x v="8"/>
    <s v="No"/>
    <s v="Travel_Rarely"/>
    <n v="1404"/>
    <x v="0"/>
    <n v="1"/>
    <n v="3"/>
    <s v="Life Sciences"/>
    <n v="1"/>
    <n v="1961"/>
    <n v="1"/>
    <x v="1"/>
    <n v="59"/>
    <n v="2"/>
    <n v="1"/>
    <x v="6"/>
    <n v="1"/>
    <s v="Single"/>
    <n v="2858"/>
    <n v="11473"/>
    <n v="4"/>
    <s v="Y"/>
    <x v="1"/>
    <n v="14"/>
    <n v="3"/>
    <n v="1"/>
    <n v="80"/>
    <n v="0"/>
    <n v="20"/>
    <n v="3"/>
    <n v="2"/>
    <n v="1"/>
    <n v="0"/>
    <n v="0"/>
    <n v="0"/>
    <x v="1"/>
    <n v="1"/>
    <x v="0"/>
    <x v="1"/>
    <s v="0-1 Years"/>
    <s v="Low"/>
    <s v="Good"/>
  </r>
  <r>
    <x v="10"/>
    <s v="No"/>
    <s v="Travel_Rarely"/>
    <n v="1224"/>
    <x v="0"/>
    <n v="7"/>
    <n v="4"/>
    <s v="Life Sciences"/>
    <n v="1"/>
    <n v="1962"/>
    <n v="3"/>
    <x v="0"/>
    <n v="55"/>
    <n v="3"/>
    <n v="2"/>
    <x v="0"/>
    <n v="4"/>
    <s v="Married"/>
    <n v="5204"/>
    <n v="13586"/>
    <n v="1"/>
    <s v="Y"/>
    <x v="0"/>
    <n v="11"/>
    <n v="3"/>
    <n v="4"/>
    <n v="80"/>
    <n v="0"/>
    <n v="10"/>
    <n v="2"/>
    <n v="3"/>
    <n v="10"/>
    <n v="8"/>
    <n v="0"/>
    <n v="9"/>
    <x v="1"/>
    <n v="1"/>
    <x v="0"/>
    <x v="0"/>
    <s v="6-10 Years"/>
    <s v="Very High"/>
    <s v="Better"/>
  </r>
  <r>
    <x v="4"/>
    <s v="No"/>
    <s v="Travel_Rarely"/>
    <n v="954"/>
    <x v="0"/>
    <n v="9"/>
    <n v="3"/>
    <s v="Marketing"/>
    <n v="1"/>
    <n v="1965"/>
    <n v="4"/>
    <x v="1"/>
    <n v="44"/>
    <n v="3"/>
    <n v="2"/>
    <x v="0"/>
    <n v="4"/>
    <s v="Single"/>
    <n v="4105"/>
    <n v="5099"/>
    <n v="1"/>
    <s v="Y"/>
    <x v="1"/>
    <n v="14"/>
    <n v="3"/>
    <n v="1"/>
    <n v="80"/>
    <n v="0"/>
    <n v="7"/>
    <n v="5"/>
    <n v="3"/>
    <n v="7"/>
    <n v="7"/>
    <n v="0"/>
    <n v="7"/>
    <x v="1"/>
    <n v="1"/>
    <x v="2"/>
    <x v="0"/>
    <s v="6-10 Years"/>
    <s v="Very High"/>
    <s v="Better"/>
  </r>
  <r>
    <x v="5"/>
    <s v="No"/>
    <s v="Travel_Rarely"/>
    <n v="1373"/>
    <x v="1"/>
    <n v="5"/>
    <n v="4"/>
    <s v="Life Sciences"/>
    <n v="1"/>
    <n v="1966"/>
    <n v="4"/>
    <x v="1"/>
    <n v="56"/>
    <n v="2"/>
    <n v="2"/>
    <x v="3"/>
    <n v="4"/>
    <s v="Single"/>
    <n v="9679"/>
    <n v="10138"/>
    <n v="8"/>
    <s v="Y"/>
    <x v="1"/>
    <n v="24"/>
    <n v="4"/>
    <n v="2"/>
    <n v="80"/>
    <n v="0"/>
    <n v="8"/>
    <n v="1"/>
    <n v="3"/>
    <n v="1"/>
    <n v="0"/>
    <n v="0"/>
    <n v="0"/>
    <x v="1"/>
    <n v="1"/>
    <x v="2"/>
    <x v="2"/>
    <s v="0-1 Years"/>
    <s v="Very High"/>
    <s v="Better"/>
  </r>
  <r>
    <x v="12"/>
    <s v="Yes"/>
    <s v="Travel_Frequently"/>
    <n v="754"/>
    <x v="0"/>
    <n v="26"/>
    <n v="4"/>
    <s v="Marketing"/>
    <n v="1"/>
    <n v="1967"/>
    <n v="1"/>
    <x v="1"/>
    <n v="63"/>
    <n v="3"/>
    <n v="2"/>
    <x v="0"/>
    <n v="4"/>
    <s v="Married"/>
    <n v="5617"/>
    <n v="21075"/>
    <n v="1"/>
    <s v="Y"/>
    <x v="0"/>
    <n v="11"/>
    <n v="3"/>
    <n v="3"/>
    <n v="80"/>
    <n v="0"/>
    <n v="10"/>
    <n v="4"/>
    <n v="3"/>
    <n v="10"/>
    <n v="7"/>
    <n v="0"/>
    <n v="8"/>
    <x v="0"/>
    <n v="0"/>
    <x v="2"/>
    <x v="0"/>
    <s v="6-10 Years"/>
    <s v="Very High"/>
    <s v="Better"/>
  </r>
  <r>
    <x v="16"/>
    <s v="Yes"/>
    <s v="Travel_Rarely"/>
    <n v="1168"/>
    <x v="0"/>
    <n v="24"/>
    <n v="4"/>
    <s v="Life Sciences"/>
    <n v="1"/>
    <n v="1968"/>
    <n v="1"/>
    <x v="1"/>
    <n v="66"/>
    <n v="3"/>
    <n v="3"/>
    <x v="0"/>
    <n v="1"/>
    <s v="Single"/>
    <n v="10448"/>
    <n v="5843"/>
    <n v="6"/>
    <s v="Y"/>
    <x v="0"/>
    <n v="13"/>
    <n v="3"/>
    <n v="2"/>
    <n v="80"/>
    <n v="0"/>
    <n v="15"/>
    <n v="2"/>
    <n v="2"/>
    <n v="2"/>
    <n v="2"/>
    <n v="2"/>
    <n v="2"/>
    <x v="0"/>
    <n v="0"/>
    <x v="1"/>
    <x v="2"/>
    <s v="2-5 Years"/>
    <s v="Low"/>
    <s v="Good"/>
  </r>
  <r>
    <x v="33"/>
    <s v="No"/>
    <s v="Travel_Rarely"/>
    <n v="155"/>
    <x v="1"/>
    <n v="9"/>
    <n v="2"/>
    <s v="Life Sciences"/>
    <n v="1"/>
    <n v="1969"/>
    <n v="1"/>
    <x v="0"/>
    <n v="67"/>
    <n v="3"/>
    <n v="2"/>
    <x v="1"/>
    <n v="3"/>
    <s v="Married"/>
    <n v="2897"/>
    <n v="22474"/>
    <n v="3"/>
    <s v="Y"/>
    <x v="1"/>
    <n v="11"/>
    <n v="3"/>
    <n v="3"/>
    <n v="80"/>
    <n v="2"/>
    <n v="9"/>
    <n v="6"/>
    <n v="2"/>
    <n v="4"/>
    <n v="3"/>
    <n v="2"/>
    <n v="3"/>
    <x v="1"/>
    <n v="1"/>
    <x v="1"/>
    <x v="1"/>
    <s v="2-5 Years"/>
    <s v="High"/>
    <s v="Good"/>
  </r>
  <r>
    <x v="3"/>
    <s v="No"/>
    <s v="Travel_Frequently"/>
    <n v="1303"/>
    <x v="1"/>
    <n v="7"/>
    <n v="2"/>
    <s v="Life Sciences"/>
    <n v="1"/>
    <n v="1970"/>
    <n v="4"/>
    <x v="1"/>
    <n v="36"/>
    <n v="3"/>
    <n v="2"/>
    <x v="4"/>
    <n v="3"/>
    <s v="Divorced"/>
    <n v="5968"/>
    <n v="18079"/>
    <n v="1"/>
    <s v="Y"/>
    <x v="1"/>
    <n v="20"/>
    <n v="4"/>
    <n v="3"/>
    <n v="80"/>
    <n v="3"/>
    <n v="9"/>
    <n v="2"/>
    <n v="3"/>
    <n v="9"/>
    <n v="7"/>
    <n v="2"/>
    <n v="8"/>
    <x v="1"/>
    <n v="1"/>
    <x v="2"/>
    <x v="0"/>
    <s v="6-10 Years"/>
    <s v="High"/>
    <s v="Better"/>
  </r>
  <r>
    <x v="23"/>
    <s v="No"/>
    <s v="Travel_Rarely"/>
    <n v="574"/>
    <x v="1"/>
    <n v="11"/>
    <n v="3"/>
    <s v="Life Sciences"/>
    <n v="1"/>
    <n v="1971"/>
    <n v="1"/>
    <x v="1"/>
    <n v="30"/>
    <n v="3"/>
    <n v="3"/>
    <x v="4"/>
    <n v="3"/>
    <s v="Married"/>
    <n v="7510"/>
    <n v="16873"/>
    <n v="1"/>
    <s v="Y"/>
    <x v="1"/>
    <n v="17"/>
    <n v="3"/>
    <n v="2"/>
    <n v="80"/>
    <n v="1"/>
    <n v="10"/>
    <n v="1"/>
    <n v="3"/>
    <n v="10"/>
    <n v="9"/>
    <n v="0"/>
    <n v="9"/>
    <x v="1"/>
    <n v="1"/>
    <x v="0"/>
    <x v="2"/>
    <s v="6-10 Years"/>
    <s v="High"/>
    <s v="Better"/>
  </r>
  <r>
    <x v="8"/>
    <s v="No"/>
    <s v="Travel_Frequently"/>
    <n v="1444"/>
    <x v="2"/>
    <n v="1"/>
    <n v="4"/>
    <s v="Other"/>
    <n v="1"/>
    <n v="1972"/>
    <n v="4"/>
    <x v="1"/>
    <n v="88"/>
    <n v="3"/>
    <n v="1"/>
    <x v="8"/>
    <n v="2"/>
    <s v="Married"/>
    <n v="2991"/>
    <n v="5224"/>
    <n v="0"/>
    <s v="Y"/>
    <x v="0"/>
    <n v="11"/>
    <n v="3"/>
    <n v="2"/>
    <n v="80"/>
    <n v="1"/>
    <n v="7"/>
    <n v="2"/>
    <n v="3"/>
    <n v="6"/>
    <n v="2"/>
    <n v="1"/>
    <n v="2"/>
    <x v="1"/>
    <n v="1"/>
    <x v="0"/>
    <x v="1"/>
    <s v="6-10 Years"/>
    <s v="Medium"/>
    <s v="Better"/>
  </r>
  <r>
    <x v="27"/>
    <s v="No"/>
    <s v="Travel_Rarely"/>
    <n v="189"/>
    <x v="2"/>
    <n v="26"/>
    <n v="4"/>
    <s v="Human Resources"/>
    <n v="1"/>
    <n v="1973"/>
    <n v="3"/>
    <x v="1"/>
    <n v="71"/>
    <n v="4"/>
    <n v="5"/>
    <x v="5"/>
    <n v="2"/>
    <s v="Married"/>
    <n v="19636"/>
    <n v="25811"/>
    <n v="4"/>
    <s v="Y"/>
    <x v="0"/>
    <n v="18"/>
    <n v="3"/>
    <n v="1"/>
    <n v="80"/>
    <n v="1"/>
    <n v="35"/>
    <n v="0"/>
    <n v="3"/>
    <n v="10"/>
    <n v="9"/>
    <n v="1"/>
    <n v="4"/>
    <x v="1"/>
    <n v="1"/>
    <x v="3"/>
    <x v="2"/>
    <s v="6-10 Years"/>
    <s v="Medium"/>
    <s v="Better"/>
  </r>
  <r>
    <x v="12"/>
    <s v="No"/>
    <s v="Travel_Rarely"/>
    <n v="1276"/>
    <x v="1"/>
    <n v="2"/>
    <n v="1"/>
    <s v="Medical"/>
    <n v="1"/>
    <n v="1974"/>
    <n v="4"/>
    <x v="0"/>
    <n v="59"/>
    <n v="1"/>
    <n v="1"/>
    <x v="2"/>
    <n v="4"/>
    <s v="Divorced"/>
    <n v="1129"/>
    <n v="17536"/>
    <n v="1"/>
    <s v="Y"/>
    <x v="0"/>
    <n v="11"/>
    <n v="3"/>
    <n v="3"/>
    <n v="80"/>
    <n v="3"/>
    <n v="1"/>
    <n v="4"/>
    <n v="3"/>
    <n v="1"/>
    <n v="0"/>
    <n v="0"/>
    <n v="0"/>
    <x v="1"/>
    <n v="1"/>
    <x v="2"/>
    <x v="1"/>
    <s v="0-1 Years"/>
    <s v="Very High"/>
    <s v="Better"/>
  </r>
  <r>
    <x v="22"/>
    <s v="No"/>
    <s v="Travel_Rarely"/>
    <n v="119"/>
    <x v="0"/>
    <n v="15"/>
    <n v="4"/>
    <s v="Marketing"/>
    <n v="1"/>
    <n v="1975"/>
    <n v="2"/>
    <x v="1"/>
    <n v="77"/>
    <n v="3"/>
    <n v="4"/>
    <x v="0"/>
    <n v="1"/>
    <s v="Single"/>
    <n v="13341"/>
    <n v="25098"/>
    <n v="0"/>
    <s v="Y"/>
    <x v="1"/>
    <n v="12"/>
    <n v="3"/>
    <n v="1"/>
    <n v="80"/>
    <n v="0"/>
    <n v="21"/>
    <n v="3"/>
    <n v="3"/>
    <n v="20"/>
    <n v="8"/>
    <n v="11"/>
    <n v="10"/>
    <x v="1"/>
    <n v="1"/>
    <x v="0"/>
    <x v="2"/>
    <s v="10+ Years"/>
    <s v="Low"/>
    <s v="Better"/>
  </r>
  <r>
    <x v="19"/>
    <s v="No"/>
    <s v="Non-Travel"/>
    <n v="335"/>
    <x v="1"/>
    <n v="23"/>
    <n v="2"/>
    <s v="Life Sciences"/>
    <n v="1"/>
    <n v="1976"/>
    <n v="4"/>
    <x v="1"/>
    <n v="37"/>
    <n v="2"/>
    <n v="2"/>
    <x v="1"/>
    <n v="3"/>
    <s v="Single"/>
    <n v="4332"/>
    <n v="14811"/>
    <n v="1"/>
    <s v="Y"/>
    <x v="1"/>
    <n v="12"/>
    <n v="3"/>
    <n v="4"/>
    <n v="80"/>
    <n v="0"/>
    <n v="20"/>
    <n v="2"/>
    <n v="3"/>
    <n v="20"/>
    <n v="9"/>
    <n v="3"/>
    <n v="7"/>
    <x v="1"/>
    <n v="1"/>
    <x v="0"/>
    <x v="0"/>
    <s v="10+ Years"/>
    <s v="High"/>
    <s v="Better"/>
  </r>
  <r>
    <x v="12"/>
    <s v="No"/>
    <s v="Non-Travel"/>
    <n v="697"/>
    <x v="1"/>
    <n v="10"/>
    <n v="3"/>
    <s v="Medical"/>
    <n v="1"/>
    <n v="1979"/>
    <n v="3"/>
    <x v="0"/>
    <n v="40"/>
    <n v="3"/>
    <n v="3"/>
    <x v="7"/>
    <n v="3"/>
    <s v="Married"/>
    <n v="11031"/>
    <n v="26862"/>
    <n v="4"/>
    <s v="Y"/>
    <x v="1"/>
    <n v="20"/>
    <n v="4"/>
    <n v="3"/>
    <n v="80"/>
    <n v="1"/>
    <n v="13"/>
    <n v="2"/>
    <n v="4"/>
    <n v="11"/>
    <n v="7"/>
    <n v="4"/>
    <n v="8"/>
    <x v="1"/>
    <n v="1"/>
    <x v="2"/>
    <x v="2"/>
    <s v="10+ Years"/>
    <s v="High"/>
    <s v="Best"/>
  </r>
  <r>
    <x v="33"/>
    <s v="No"/>
    <s v="Travel_Rarely"/>
    <n v="157"/>
    <x v="1"/>
    <n v="10"/>
    <n v="3"/>
    <s v="Medical"/>
    <n v="1"/>
    <n v="1980"/>
    <n v="3"/>
    <x v="0"/>
    <n v="77"/>
    <n v="3"/>
    <n v="2"/>
    <x v="3"/>
    <n v="1"/>
    <s v="Single"/>
    <n v="4440"/>
    <n v="25198"/>
    <n v="6"/>
    <s v="Y"/>
    <x v="0"/>
    <n v="19"/>
    <n v="3"/>
    <n v="4"/>
    <n v="80"/>
    <n v="0"/>
    <n v="9"/>
    <n v="3"/>
    <n v="3"/>
    <n v="5"/>
    <n v="2"/>
    <n v="1"/>
    <n v="4"/>
    <x v="1"/>
    <n v="1"/>
    <x v="1"/>
    <x v="0"/>
    <s v="2-5 Years"/>
    <s v="Low"/>
    <s v="Better"/>
  </r>
  <r>
    <x v="17"/>
    <s v="No"/>
    <s v="Travel_Rarely"/>
    <n v="771"/>
    <x v="1"/>
    <n v="1"/>
    <n v="2"/>
    <s v="Life Sciences"/>
    <n v="1"/>
    <n v="1981"/>
    <n v="2"/>
    <x v="1"/>
    <n v="45"/>
    <n v="2"/>
    <n v="2"/>
    <x v="4"/>
    <n v="3"/>
    <s v="Single"/>
    <n v="4617"/>
    <n v="14120"/>
    <n v="1"/>
    <s v="Y"/>
    <x v="1"/>
    <n v="12"/>
    <n v="3"/>
    <n v="2"/>
    <n v="80"/>
    <n v="0"/>
    <n v="4"/>
    <n v="2"/>
    <n v="2"/>
    <n v="4"/>
    <n v="3"/>
    <n v="1"/>
    <n v="2"/>
    <x v="1"/>
    <n v="1"/>
    <x v="4"/>
    <x v="0"/>
    <s v="2-5 Years"/>
    <s v="High"/>
    <s v="Good"/>
  </r>
  <r>
    <x v="30"/>
    <s v="No"/>
    <s v="Travel_Rarely"/>
    <n v="571"/>
    <x v="1"/>
    <n v="12"/>
    <n v="2"/>
    <s v="Other"/>
    <n v="1"/>
    <n v="1982"/>
    <n v="4"/>
    <x v="1"/>
    <n v="78"/>
    <n v="3"/>
    <n v="1"/>
    <x v="2"/>
    <n v="4"/>
    <s v="Single"/>
    <n v="2647"/>
    <n v="13672"/>
    <n v="1"/>
    <s v="Y"/>
    <x v="1"/>
    <n v="13"/>
    <n v="3"/>
    <n v="3"/>
    <n v="80"/>
    <n v="0"/>
    <n v="5"/>
    <n v="6"/>
    <n v="4"/>
    <n v="5"/>
    <n v="2"/>
    <n v="1"/>
    <n v="4"/>
    <x v="1"/>
    <n v="1"/>
    <x v="4"/>
    <x v="1"/>
    <s v="2-5 Years"/>
    <s v="Very High"/>
    <s v="Best"/>
  </r>
  <r>
    <x v="32"/>
    <s v="No"/>
    <s v="Travel_Frequently"/>
    <n v="692"/>
    <x v="1"/>
    <n v="11"/>
    <n v="3"/>
    <s v="Technical Degree"/>
    <n v="1"/>
    <n v="1985"/>
    <n v="4"/>
    <x v="0"/>
    <n v="73"/>
    <n v="3"/>
    <n v="2"/>
    <x v="2"/>
    <n v="3"/>
    <s v="Married"/>
    <n v="6323"/>
    <n v="26849"/>
    <n v="1"/>
    <s v="Y"/>
    <x v="1"/>
    <n v="11"/>
    <n v="3"/>
    <n v="1"/>
    <n v="80"/>
    <n v="1"/>
    <n v="10"/>
    <n v="2"/>
    <n v="4"/>
    <n v="10"/>
    <n v="9"/>
    <n v="9"/>
    <n v="4"/>
    <x v="1"/>
    <n v="1"/>
    <x v="0"/>
    <x v="0"/>
    <s v="6-10 Years"/>
    <s v="High"/>
    <s v="Best"/>
  </r>
  <r>
    <x v="32"/>
    <s v="No"/>
    <s v="Travel_Rarely"/>
    <n v="444"/>
    <x v="0"/>
    <n v="2"/>
    <n v="2"/>
    <s v="Marketing"/>
    <n v="1"/>
    <n v="1986"/>
    <n v="2"/>
    <x v="0"/>
    <n v="92"/>
    <n v="3"/>
    <n v="2"/>
    <x v="0"/>
    <n v="2"/>
    <s v="Married"/>
    <n v="5677"/>
    <n v="4258"/>
    <n v="3"/>
    <s v="Y"/>
    <x v="1"/>
    <n v="14"/>
    <n v="3"/>
    <n v="3"/>
    <n v="80"/>
    <n v="1"/>
    <n v="15"/>
    <n v="4"/>
    <n v="3"/>
    <n v="11"/>
    <n v="8"/>
    <n v="5"/>
    <n v="10"/>
    <x v="1"/>
    <n v="1"/>
    <x v="0"/>
    <x v="0"/>
    <s v="10+ Years"/>
    <s v="Medium"/>
    <s v="Better"/>
  </r>
  <r>
    <x v="36"/>
    <s v="No"/>
    <s v="Travel_Rarely"/>
    <n v="309"/>
    <x v="2"/>
    <n v="2"/>
    <n v="3"/>
    <s v="Human Resources"/>
    <n v="1"/>
    <n v="1987"/>
    <n v="3"/>
    <x v="0"/>
    <n v="82"/>
    <n v="3"/>
    <n v="1"/>
    <x v="8"/>
    <n v="2"/>
    <s v="Married"/>
    <n v="2187"/>
    <n v="19655"/>
    <n v="4"/>
    <s v="Y"/>
    <x v="1"/>
    <n v="14"/>
    <n v="3"/>
    <n v="3"/>
    <n v="80"/>
    <n v="0"/>
    <n v="6"/>
    <n v="3"/>
    <n v="3"/>
    <n v="2"/>
    <n v="0"/>
    <n v="1"/>
    <n v="2"/>
    <x v="1"/>
    <n v="1"/>
    <x v="2"/>
    <x v="1"/>
    <s v="2-5 Years"/>
    <s v="Medium"/>
    <s v="Better"/>
  </r>
  <r>
    <x v="7"/>
    <s v="No"/>
    <s v="Travel_Rarely"/>
    <n v="911"/>
    <x v="1"/>
    <n v="1"/>
    <n v="2"/>
    <s v="Medical"/>
    <n v="1"/>
    <n v="1989"/>
    <n v="4"/>
    <x v="1"/>
    <n v="76"/>
    <n v="3"/>
    <n v="1"/>
    <x v="2"/>
    <n v="2"/>
    <s v="Married"/>
    <n v="3748"/>
    <n v="4077"/>
    <n v="1"/>
    <s v="Y"/>
    <x v="1"/>
    <n v="13"/>
    <n v="3"/>
    <n v="3"/>
    <n v="80"/>
    <n v="0"/>
    <n v="12"/>
    <n v="6"/>
    <n v="2"/>
    <n v="12"/>
    <n v="8"/>
    <n v="1"/>
    <n v="7"/>
    <x v="1"/>
    <n v="1"/>
    <x v="2"/>
    <x v="0"/>
    <s v="10+ Years"/>
    <s v="Medium"/>
    <s v="Good"/>
  </r>
  <r>
    <x v="36"/>
    <s v="No"/>
    <s v="Travel_Rarely"/>
    <n v="977"/>
    <x v="1"/>
    <n v="2"/>
    <n v="1"/>
    <s v="Other"/>
    <n v="1"/>
    <n v="1992"/>
    <n v="4"/>
    <x v="1"/>
    <n v="57"/>
    <n v="3"/>
    <n v="1"/>
    <x v="2"/>
    <n v="3"/>
    <s v="Divorced"/>
    <n v="3977"/>
    <n v="7298"/>
    <n v="6"/>
    <s v="Y"/>
    <x v="0"/>
    <n v="19"/>
    <n v="3"/>
    <n v="3"/>
    <n v="80"/>
    <n v="1"/>
    <n v="7"/>
    <n v="2"/>
    <n v="2"/>
    <n v="2"/>
    <n v="2"/>
    <n v="0"/>
    <n v="2"/>
    <x v="1"/>
    <n v="1"/>
    <x v="2"/>
    <x v="0"/>
    <s v="2-5 Years"/>
    <s v="High"/>
    <s v="Good"/>
  </r>
  <r>
    <x v="40"/>
    <s v="No"/>
    <s v="Travel_Rarely"/>
    <n v="1180"/>
    <x v="1"/>
    <n v="25"/>
    <n v="3"/>
    <s v="Medical"/>
    <n v="1"/>
    <n v="1993"/>
    <n v="1"/>
    <x v="1"/>
    <n v="84"/>
    <n v="3"/>
    <n v="3"/>
    <x v="4"/>
    <n v="3"/>
    <s v="Single"/>
    <n v="8633"/>
    <n v="13084"/>
    <n v="2"/>
    <s v="Y"/>
    <x v="1"/>
    <n v="23"/>
    <n v="4"/>
    <n v="2"/>
    <n v="80"/>
    <n v="0"/>
    <n v="25"/>
    <n v="3"/>
    <n v="3"/>
    <n v="17"/>
    <n v="14"/>
    <n v="12"/>
    <n v="11"/>
    <x v="1"/>
    <n v="1"/>
    <x v="1"/>
    <x v="2"/>
    <s v="10+ Years"/>
    <s v="High"/>
    <s v="Better"/>
  </r>
  <r>
    <x v="3"/>
    <s v="No"/>
    <s v="Non-Travel"/>
    <n v="1313"/>
    <x v="1"/>
    <n v="1"/>
    <n v="2"/>
    <s v="Medical"/>
    <n v="1"/>
    <n v="1994"/>
    <n v="2"/>
    <x v="1"/>
    <n v="59"/>
    <n v="2"/>
    <n v="1"/>
    <x v="2"/>
    <n v="3"/>
    <s v="Divorced"/>
    <n v="2008"/>
    <n v="20439"/>
    <n v="1"/>
    <s v="Y"/>
    <x v="1"/>
    <n v="12"/>
    <n v="3"/>
    <n v="3"/>
    <n v="80"/>
    <n v="3"/>
    <n v="1"/>
    <n v="2"/>
    <n v="2"/>
    <n v="1"/>
    <n v="1"/>
    <n v="0"/>
    <n v="0"/>
    <x v="1"/>
    <n v="1"/>
    <x v="2"/>
    <x v="1"/>
    <s v="0-1 Years"/>
    <s v="High"/>
    <s v="Good"/>
  </r>
  <r>
    <x v="8"/>
    <s v="No"/>
    <s v="Travel_Rarely"/>
    <n v="1321"/>
    <x v="0"/>
    <n v="1"/>
    <n v="4"/>
    <s v="Life Sciences"/>
    <n v="1"/>
    <n v="1995"/>
    <n v="4"/>
    <x v="1"/>
    <n v="86"/>
    <n v="3"/>
    <n v="2"/>
    <x v="0"/>
    <n v="2"/>
    <s v="Married"/>
    <n v="4440"/>
    <n v="7636"/>
    <n v="0"/>
    <s v="Y"/>
    <x v="1"/>
    <n v="15"/>
    <n v="3"/>
    <n v="1"/>
    <n v="80"/>
    <n v="2"/>
    <n v="16"/>
    <n v="3"/>
    <n v="3"/>
    <n v="15"/>
    <n v="13"/>
    <n v="5"/>
    <n v="8"/>
    <x v="1"/>
    <n v="1"/>
    <x v="0"/>
    <x v="0"/>
    <s v="10+ Years"/>
    <s v="Medium"/>
    <s v="Better"/>
  </r>
  <r>
    <x v="12"/>
    <s v="No"/>
    <s v="Travel_Rarely"/>
    <n v="1154"/>
    <x v="0"/>
    <n v="2"/>
    <n v="2"/>
    <s v="Life Sciences"/>
    <n v="1"/>
    <n v="1996"/>
    <n v="1"/>
    <x v="1"/>
    <n v="54"/>
    <n v="3"/>
    <n v="1"/>
    <x v="6"/>
    <n v="3"/>
    <s v="Married"/>
    <n v="3067"/>
    <n v="6393"/>
    <n v="0"/>
    <s v="Y"/>
    <x v="1"/>
    <n v="19"/>
    <n v="3"/>
    <n v="3"/>
    <n v="80"/>
    <n v="1"/>
    <n v="3"/>
    <n v="1"/>
    <n v="3"/>
    <n v="2"/>
    <n v="2"/>
    <n v="1"/>
    <n v="2"/>
    <x v="1"/>
    <n v="1"/>
    <x v="2"/>
    <x v="0"/>
    <s v="2-5 Years"/>
    <s v="High"/>
    <s v="Better"/>
  </r>
  <r>
    <x v="8"/>
    <s v="No"/>
    <s v="Travel_Frequently"/>
    <n v="508"/>
    <x v="1"/>
    <n v="6"/>
    <n v="4"/>
    <s v="Life Sciences"/>
    <n v="1"/>
    <n v="1997"/>
    <n v="1"/>
    <x v="1"/>
    <n v="72"/>
    <n v="2"/>
    <n v="2"/>
    <x v="3"/>
    <n v="3"/>
    <s v="Married"/>
    <n v="5321"/>
    <n v="14284"/>
    <n v="2"/>
    <s v="Y"/>
    <x v="1"/>
    <n v="11"/>
    <n v="3"/>
    <n v="4"/>
    <n v="80"/>
    <n v="1"/>
    <n v="10"/>
    <n v="1"/>
    <n v="3"/>
    <n v="8"/>
    <n v="3"/>
    <n v="7"/>
    <n v="7"/>
    <x v="1"/>
    <n v="1"/>
    <x v="0"/>
    <x v="0"/>
    <s v="6-10 Years"/>
    <s v="High"/>
    <s v="Better"/>
  </r>
  <r>
    <x v="19"/>
    <s v="No"/>
    <s v="Travel_Rarely"/>
    <n v="557"/>
    <x v="1"/>
    <n v="18"/>
    <n v="4"/>
    <s v="Life Sciences"/>
    <n v="1"/>
    <n v="1998"/>
    <n v="4"/>
    <x v="1"/>
    <n v="35"/>
    <n v="3"/>
    <n v="2"/>
    <x v="1"/>
    <n v="1"/>
    <s v="Divorced"/>
    <n v="5410"/>
    <n v="11189"/>
    <n v="6"/>
    <s v="Y"/>
    <x v="0"/>
    <n v="17"/>
    <n v="3"/>
    <n v="3"/>
    <n v="80"/>
    <n v="1"/>
    <n v="9"/>
    <n v="3"/>
    <n v="2"/>
    <n v="4"/>
    <n v="3"/>
    <n v="1"/>
    <n v="2"/>
    <x v="1"/>
    <n v="1"/>
    <x v="0"/>
    <x v="0"/>
    <s v="2-5 Years"/>
    <s v="Low"/>
    <s v="Good"/>
  </r>
  <r>
    <x v="0"/>
    <s v="No"/>
    <s v="Travel_Rarely"/>
    <n v="642"/>
    <x v="1"/>
    <n v="1"/>
    <n v="3"/>
    <s v="Life Sciences"/>
    <n v="1"/>
    <n v="1999"/>
    <n v="4"/>
    <x v="1"/>
    <n v="76"/>
    <n v="3"/>
    <n v="1"/>
    <x v="1"/>
    <n v="4"/>
    <s v="Married"/>
    <n v="2782"/>
    <n v="21412"/>
    <n v="3"/>
    <s v="Y"/>
    <x v="1"/>
    <n v="22"/>
    <n v="4"/>
    <n v="1"/>
    <n v="80"/>
    <n v="1"/>
    <n v="12"/>
    <n v="3"/>
    <n v="3"/>
    <n v="5"/>
    <n v="3"/>
    <n v="1"/>
    <n v="0"/>
    <x v="1"/>
    <n v="1"/>
    <x v="0"/>
    <x v="1"/>
    <s v="2-5 Years"/>
    <s v="Very High"/>
    <s v="Better"/>
  </r>
  <r>
    <x v="40"/>
    <s v="No"/>
    <s v="Non-Travel"/>
    <n v="1162"/>
    <x v="1"/>
    <n v="1"/>
    <n v="1"/>
    <s v="Medical"/>
    <n v="1"/>
    <n v="2000"/>
    <n v="3"/>
    <x v="0"/>
    <n v="98"/>
    <n v="3"/>
    <n v="3"/>
    <x v="7"/>
    <n v="2"/>
    <s v="Married"/>
    <n v="11957"/>
    <n v="17231"/>
    <n v="0"/>
    <s v="Y"/>
    <x v="1"/>
    <n v="18"/>
    <n v="3"/>
    <n v="1"/>
    <n v="80"/>
    <n v="2"/>
    <n v="14"/>
    <n v="3"/>
    <n v="1"/>
    <n v="13"/>
    <n v="8"/>
    <n v="5"/>
    <n v="12"/>
    <x v="1"/>
    <n v="1"/>
    <x v="1"/>
    <x v="2"/>
    <s v="10+ Years"/>
    <s v="Medium"/>
    <s v="Bad"/>
  </r>
  <r>
    <x v="10"/>
    <s v="No"/>
    <s v="Travel_Rarely"/>
    <n v="1490"/>
    <x v="1"/>
    <n v="11"/>
    <n v="4"/>
    <s v="Medical"/>
    <n v="1"/>
    <n v="2003"/>
    <n v="4"/>
    <x v="1"/>
    <n v="43"/>
    <n v="3"/>
    <n v="1"/>
    <x v="2"/>
    <n v="3"/>
    <s v="Married"/>
    <n v="2660"/>
    <n v="20232"/>
    <n v="7"/>
    <s v="Y"/>
    <x v="0"/>
    <n v="11"/>
    <n v="3"/>
    <n v="3"/>
    <n v="80"/>
    <n v="1"/>
    <n v="5"/>
    <n v="3"/>
    <n v="3"/>
    <n v="2"/>
    <n v="2"/>
    <n v="2"/>
    <n v="2"/>
    <x v="1"/>
    <n v="1"/>
    <x v="0"/>
    <x v="1"/>
    <s v="2-5 Years"/>
    <s v="High"/>
    <s v="Better"/>
  </r>
  <r>
    <x v="15"/>
    <s v="No"/>
    <s v="Travel_Rarely"/>
    <n v="581"/>
    <x v="1"/>
    <n v="1"/>
    <n v="2"/>
    <s v="Life Sciences"/>
    <n v="1"/>
    <n v="2007"/>
    <n v="4"/>
    <x v="1"/>
    <n v="63"/>
    <n v="3"/>
    <n v="1"/>
    <x v="1"/>
    <n v="3"/>
    <s v="Single"/>
    <n v="3375"/>
    <n v="17624"/>
    <n v="0"/>
    <s v="Y"/>
    <x v="1"/>
    <n v="12"/>
    <n v="3"/>
    <n v="4"/>
    <n v="80"/>
    <n v="0"/>
    <n v="4"/>
    <n v="2"/>
    <n v="4"/>
    <n v="3"/>
    <n v="2"/>
    <n v="1"/>
    <n v="2"/>
    <x v="1"/>
    <n v="1"/>
    <x v="4"/>
    <x v="0"/>
    <s v="2-5 Years"/>
    <s v="High"/>
    <s v="Best"/>
  </r>
  <r>
    <x v="10"/>
    <s v="No"/>
    <s v="Travel_Rarely"/>
    <n v="1395"/>
    <x v="1"/>
    <n v="9"/>
    <n v="4"/>
    <s v="Medical"/>
    <n v="1"/>
    <n v="2008"/>
    <n v="2"/>
    <x v="1"/>
    <n v="48"/>
    <n v="3"/>
    <n v="2"/>
    <x v="1"/>
    <n v="3"/>
    <s v="Single"/>
    <n v="5098"/>
    <n v="18698"/>
    <n v="1"/>
    <s v="Y"/>
    <x v="1"/>
    <n v="19"/>
    <n v="3"/>
    <n v="2"/>
    <n v="80"/>
    <n v="0"/>
    <n v="10"/>
    <n v="5"/>
    <n v="3"/>
    <n v="10"/>
    <n v="7"/>
    <n v="0"/>
    <n v="8"/>
    <x v="1"/>
    <n v="1"/>
    <x v="0"/>
    <x v="0"/>
    <s v="6-10 Years"/>
    <s v="High"/>
    <s v="Better"/>
  </r>
  <r>
    <x v="3"/>
    <s v="No"/>
    <s v="Travel_Rarely"/>
    <n v="501"/>
    <x v="1"/>
    <n v="15"/>
    <n v="2"/>
    <s v="Medical"/>
    <n v="1"/>
    <n v="2009"/>
    <n v="2"/>
    <x v="0"/>
    <n v="95"/>
    <n v="3"/>
    <n v="2"/>
    <x v="4"/>
    <n v="4"/>
    <s v="Married"/>
    <n v="4878"/>
    <n v="21653"/>
    <n v="0"/>
    <s v="Y"/>
    <x v="0"/>
    <n v="13"/>
    <n v="3"/>
    <n v="1"/>
    <n v="80"/>
    <n v="1"/>
    <n v="10"/>
    <n v="6"/>
    <n v="3"/>
    <n v="9"/>
    <n v="7"/>
    <n v="8"/>
    <n v="1"/>
    <x v="1"/>
    <n v="1"/>
    <x v="2"/>
    <x v="0"/>
    <s v="6-10 Years"/>
    <s v="Very High"/>
    <s v="Better"/>
  </r>
  <r>
    <x v="5"/>
    <s v="No"/>
    <s v="Travel_Rarely"/>
    <n v="267"/>
    <x v="1"/>
    <n v="29"/>
    <n v="4"/>
    <s v="Life Sciences"/>
    <n v="1"/>
    <n v="2010"/>
    <n v="3"/>
    <x v="0"/>
    <n v="49"/>
    <n v="2"/>
    <n v="1"/>
    <x v="2"/>
    <n v="2"/>
    <s v="Single"/>
    <n v="2837"/>
    <n v="15919"/>
    <n v="1"/>
    <s v="Y"/>
    <x v="1"/>
    <n v="13"/>
    <n v="3"/>
    <n v="3"/>
    <n v="80"/>
    <n v="0"/>
    <n v="6"/>
    <n v="3"/>
    <n v="3"/>
    <n v="6"/>
    <n v="2"/>
    <n v="4"/>
    <n v="1"/>
    <x v="1"/>
    <n v="1"/>
    <x v="2"/>
    <x v="1"/>
    <s v="6-10 Years"/>
    <s v="Medium"/>
    <s v="Better"/>
  </r>
  <r>
    <x v="32"/>
    <s v="No"/>
    <s v="Travel_Rarely"/>
    <n v="543"/>
    <x v="1"/>
    <n v="1"/>
    <n v="4"/>
    <s v="Life Sciences"/>
    <n v="1"/>
    <n v="2012"/>
    <n v="1"/>
    <x v="1"/>
    <n v="83"/>
    <n v="3"/>
    <n v="1"/>
    <x v="2"/>
    <n v="4"/>
    <s v="Married"/>
    <n v="2406"/>
    <n v="4060"/>
    <n v="8"/>
    <s v="Y"/>
    <x v="1"/>
    <n v="19"/>
    <n v="3"/>
    <n v="3"/>
    <n v="80"/>
    <n v="2"/>
    <n v="8"/>
    <n v="3"/>
    <n v="2"/>
    <n v="1"/>
    <n v="0"/>
    <n v="0"/>
    <n v="0"/>
    <x v="1"/>
    <n v="1"/>
    <x v="0"/>
    <x v="1"/>
    <s v="0-1 Years"/>
    <s v="Very High"/>
    <s v="Good"/>
  </r>
  <r>
    <x v="5"/>
    <s v="No"/>
    <s v="Travel_Rarely"/>
    <n v="234"/>
    <x v="0"/>
    <n v="1"/>
    <n v="4"/>
    <s v="Medical"/>
    <n v="1"/>
    <n v="2013"/>
    <n v="2"/>
    <x v="1"/>
    <n v="68"/>
    <n v="2"/>
    <n v="1"/>
    <x v="6"/>
    <n v="2"/>
    <s v="Married"/>
    <n v="2269"/>
    <n v="18024"/>
    <n v="0"/>
    <s v="Y"/>
    <x v="1"/>
    <n v="14"/>
    <n v="3"/>
    <n v="2"/>
    <n v="80"/>
    <n v="1"/>
    <n v="3"/>
    <n v="2"/>
    <n v="3"/>
    <n v="2"/>
    <n v="2"/>
    <n v="2"/>
    <n v="2"/>
    <x v="1"/>
    <n v="1"/>
    <x v="2"/>
    <x v="1"/>
    <s v="2-5 Years"/>
    <s v="Medium"/>
    <s v="Better"/>
  </r>
  <r>
    <x v="22"/>
    <s v="No"/>
    <s v="Travel_Rarely"/>
    <n v="116"/>
    <x v="1"/>
    <n v="24"/>
    <n v="1"/>
    <s v="Life Sciences"/>
    <n v="1"/>
    <n v="2014"/>
    <n v="1"/>
    <x v="1"/>
    <n v="52"/>
    <n v="3"/>
    <n v="2"/>
    <x v="1"/>
    <n v="4"/>
    <s v="Single"/>
    <n v="4108"/>
    <n v="5340"/>
    <n v="7"/>
    <s v="Y"/>
    <x v="1"/>
    <n v="13"/>
    <n v="3"/>
    <n v="1"/>
    <n v="80"/>
    <n v="0"/>
    <n v="18"/>
    <n v="2"/>
    <n v="3"/>
    <n v="7"/>
    <n v="7"/>
    <n v="1"/>
    <n v="7"/>
    <x v="1"/>
    <n v="1"/>
    <x v="0"/>
    <x v="0"/>
    <s v="6-10 Years"/>
    <s v="Very High"/>
    <s v="Better"/>
  </r>
  <r>
    <x v="8"/>
    <s v="No"/>
    <s v="Travel_Rarely"/>
    <n v="201"/>
    <x v="1"/>
    <n v="10"/>
    <n v="3"/>
    <s v="Medical"/>
    <n v="1"/>
    <n v="2015"/>
    <n v="2"/>
    <x v="0"/>
    <n v="99"/>
    <n v="1"/>
    <n v="3"/>
    <x v="7"/>
    <n v="3"/>
    <s v="Married"/>
    <n v="13206"/>
    <n v="3376"/>
    <n v="3"/>
    <s v="Y"/>
    <x v="1"/>
    <n v="12"/>
    <n v="3"/>
    <n v="1"/>
    <n v="80"/>
    <n v="1"/>
    <n v="20"/>
    <n v="3"/>
    <n v="3"/>
    <n v="18"/>
    <n v="16"/>
    <n v="1"/>
    <n v="11"/>
    <x v="1"/>
    <n v="1"/>
    <x v="0"/>
    <x v="2"/>
    <s v="10+ Years"/>
    <s v="High"/>
    <s v="Better"/>
  </r>
  <r>
    <x v="5"/>
    <s v="No"/>
    <s v="Travel_Rarely"/>
    <n v="801"/>
    <x v="0"/>
    <n v="1"/>
    <n v="4"/>
    <s v="Marketing"/>
    <n v="1"/>
    <n v="2016"/>
    <n v="3"/>
    <x v="0"/>
    <n v="48"/>
    <n v="3"/>
    <n v="3"/>
    <x v="0"/>
    <n v="4"/>
    <s v="Married"/>
    <n v="10422"/>
    <n v="24032"/>
    <n v="1"/>
    <s v="Y"/>
    <x v="1"/>
    <n v="19"/>
    <n v="3"/>
    <n v="3"/>
    <n v="80"/>
    <n v="2"/>
    <n v="14"/>
    <n v="3"/>
    <n v="3"/>
    <n v="14"/>
    <n v="10"/>
    <n v="5"/>
    <n v="7"/>
    <x v="1"/>
    <n v="1"/>
    <x v="2"/>
    <x v="2"/>
    <s v="10+ Years"/>
    <s v="Very High"/>
    <s v="Better"/>
  </r>
  <r>
    <x v="2"/>
    <s v="No"/>
    <s v="Travel_Rarely"/>
    <n v="161"/>
    <x v="1"/>
    <n v="10"/>
    <n v="3"/>
    <s v="Life Sciences"/>
    <n v="1"/>
    <n v="2017"/>
    <n v="3"/>
    <x v="0"/>
    <n v="42"/>
    <n v="4"/>
    <n v="3"/>
    <x v="7"/>
    <n v="4"/>
    <s v="Married"/>
    <n v="13744"/>
    <n v="15471"/>
    <n v="1"/>
    <s v="Y"/>
    <x v="0"/>
    <n v="25"/>
    <n v="4"/>
    <n v="1"/>
    <n v="80"/>
    <n v="1"/>
    <n v="16"/>
    <n v="2"/>
    <n v="3"/>
    <n v="16"/>
    <n v="11"/>
    <n v="6"/>
    <n v="8"/>
    <x v="1"/>
    <n v="1"/>
    <x v="0"/>
    <x v="2"/>
    <s v="10+ Years"/>
    <s v="Very High"/>
    <s v="Better"/>
  </r>
  <r>
    <x v="36"/>
    <s v="No"/>
    <s v="Travel_Rarely"/>
    <n v="1382"/>
    <x v="0"/>
    <n v="8"/>
    <n v="2"/>
    <s v="Other"/>
    <n v="1"/>
    <n v="2018"/>
    <n v="1"/>
    <x v="0"/>
    <n v="85"/>
    <n v="3"/>
    <n v="2"/>
    <x v="0"/>
    <n v="3"/>
    <s v="Divorced"/>
    <n v="4907"/>
    <n v="13684"/>
    <n v="0"/>
    <s v="Y"/>
    <x v="0"/>
    <n v="22"/>
    <n v="4"/>
    <n v="2"/>
    <n v="80"/>
    <n v="1"/>
    <n v="6"/>
    <n v="3"/>
    <n v="2"/>
    <n v="5"/>
    <n v="3"/>
    <n v="0"/>
    <n v="4"/>
    <x v="1"/>
    <n v="1"/>
    <x v="2"/>
    <x v="0"/>
    <s v="2-5 Years"/>
    <s v="High"/>
    <s v="Good"/>
  </r>
  <r>
    <x v="39"/>
    <s v="No"/>
    <s v="Non-Travel"/>
    <n v="585"/>
    <x v="0"/>
    <n v="29"/>
    <n v="4"/>
    <s v="Life Sciences"/>
    <n v="1"/>
    <n v="2019"/>
    <n v="1"/>
    <x v="1"/>
    <n v="40"/>
    <n v="3"/>
    <n v="1"/>
    <x v="6"/>
    <n v="4"/>
    <s v="Divorced"/>
    <n v="3482"/>
    <n v="19788"/>
    <n v="2"/>
    <s v="Y"/>
    <x v="1"/>
    <n v="15"/>
    <n v="3"/>
    <n v="2"/>
    <n v="80"/>
    <n v="2"/>
    <n v="16"/>
    <n v="3"/>
    <n v="2"/>
    <n v="9"/>
    <n v="8"/>
    <n v="0"/>
    <n v="0"/>
    <x v="1"/>
    <n v="1"/>
    <x v="1"/>
    <x v="0"/>
    <s v="6-10 Years"/>
    <s v="Very High"/>
    <s v="Good"/>
  </r>
  <r>
    <x v="20"/>
    <s v="No"/>
    <s v="Travel_Rarely"/>
    <n v="1037"/>
    <x v="1"/>
    <n v="1"/>
    <n v="3"/>
    <s v="Medical"/>
    <n v="1"/>
    <n v="2020"/>
    <n v="2"/>
    <x v="1"/>
    <n v="42"/>
    <n v="3"/>
    <n v="1"/>
    <x v="1"/>
    <n v="4"/>
    <s v="Single"/>
    <n v="2436"/>
    <n v="13422"/>
    <n v="6"/>
    <s v="Y"/>
    <x v="0"/>
    <n v="12"/>
    <n v="3"/>
    <n v="3"/>
    <n v="80"/>
    <n v="0"/>
    <n v="6"/>
    <n v="2"/>
    <n v="3"/>
    <n v="4"/>
    <n v="3"/>
    <n v="1"/>
    <n v="2"/>
    <x v="1"/>
    <n v="1"/>
    <x v="0"/>
    <x v="1"/>
    <s v="2-5 Years"/>
    <s v="Very High"/>
    <s v="Better"/>
  </r>
  <r>
    <x v="18"/>
    <s v="No"/>
    <s v="Travel_Rarely"/>
    <n v="501"/>
    <x v="0"/>
    <n v="5"/>
    <n v="1"/>
    <s v="Medical"/>
    <n v="1"/>
    <n v="2021"/>
    <n v="3"/>
    <x v="1"/>
    <n v="58"/>
    <n v="3"/>
    <n v="1"/>
    <x v="6"/>
    <n v="1"/>
    <s v="Single"/>
    <n v="2380"/>
    <n v="25479"/>
    <n v="1"/>
    <s v="Y"/>
    <x v="0"/>
    <n v="11"/>
    <n v="3"/>
    <n v="4"/>
    <n v="80"/>
    <n v="0"/>
    <n v="2"/>
    <n v="6"/>
    <n v="3"/>
    <n v="2"/>
    <n v="2"/>
    <n v="1"/>
    <n v="2"/>
    <x v="1"/>
    <n v="1"/>
    <x v="4"/>
    <x v="1"/>
    <s v="2-5 Years"/>
    <s v="Low"/>
    <s v="Better"/>
  </r>
  <r>
    <x v="22"/>
    <s v="No"/>
    <s v="Non-Travel"/>
    <n v="105"/>
    <x v="1"/>
    <n v="9"/>
    <n v="3"/>
    <s v="Life Sciences"/>
    <n v="1"/>
    <n v="2022"/>
    <n v="4"/>
    <x v="1"/>
    <n v="87"/>
    <n v="3"/>
    <n v="5"/>
    <x v="5"/>
    <n v="4"/>
    <s v="Single"/>
    <n v="19431"/>
    <n v="15302"/>
    <n v="2"/>
    <s v="Y"/>
    <x v="1"/>
    <n v="13"/>
    <n v="3"/>
    <n v="3"/>
    <n v="80"/>
    <n v="0"/>
    <n v="21"/>
    <n v="3"/>
    <n v="2"/>
    <n v="6"/>
    <n v="0"/>
    <n v="1"/>
    <n v="3"/>
    <x v="1"/>
    <n v="1"/>
    <x v="0"/>
    <x v="2"/>
    <s v="6-10 Years"/>
    <s v="Very High"/>
    <s v="Good"/>
  </r>
  <r>
    <x v="30"/>
    <s v="Yes"/>
    <s v="Travel_Frequently"/>
    <n v="638"/>
    <x v="0"/>
    <n v="9"/>
    <n v="3"/>
    <s v="Marketing"/>
    <n v="1"/>
    <n v="2023"/>
    <n v="4"/>
    <x v="1"/>
    <n v="33"/>
    <n v="3"/>
    <n v="1"/>
    <x v="6"/>
    <n v="1"/>
    <s v="Married"/>
    <n v="1790"/>
    <n v="26956"/>
    <n v="1"/>
    <s v="Y"/>
    <x v="1"/>
    <n v="19"/>
    <n v="3"/>
    <n v="1"/>
    <n v="80"/>
    <n v="1"/>
    <n v="1"/>
    <n v="3"/>
    <n v="2"/>
    <n v="1"/>
    <n v="0"/>
    <n v="1"/>
    <n v="0"/>
    <x v="0"/>
    <n v="0"/>
    <x v="4"/>
    <x v="1"/>
    <s v="0-1 Years"/>
    <s v="Low"/>
    <s v="Good"/>
  </r>
  <r>
    <x v="9"/>
    <s v="No"/>
    <s v="Travel_Rarely"/>
    <n v="557"/>
    <x v="0"/>
    <n v="3"/>
    <n v="3"/>
    <s v="Medical"/>
    <n v="1"/>
    <n v="2024"/>
    <n v="1"/>
    <x v="0"/>
    <n v="94"/>
    <n v="2"/>
    <n v="3"/>
    <x v="0"/>
    <n v="4"/>
    <s v="Married"/>
    <n v="7644"/>
    <n v="12695"/>
    <n v="0"/>
    <s v="Y"/>
    <x v="1"/>
    <n v="19"/>
    <n v="3"/>
    <n v="3"/>
    <n v="80"/>
    <n v="2"/>
    <n v="10"/>
    <n v="2"/>
    <n v="3"/>
    <n v="9"/>
    <n v="7"/>
    <n v="3"/>
    <n v="4"/>
    <x v="1"/>
    <n v="1"/>
    <x v="0"/>
    <x v="2"/>
    <s v="6-10 Years"/>
    <s v="Very High"/>
    <s v="Better"/>
  </r>
  <r>
    <x v="9"/>
    <s v="No"/>
    <s v="Travel_Frequently"/>
    <n v="688"/>
    <x v="1"/>
    <n v="4"/>
    <n v="2"/>
    <s v="Life Sciences"/>
    <n v="1"/>
    <n v="2025"/>
    <n v="4"/>
    <x v="0"/>
    <n v="97"/>
    <n v="3"/>
    <n v="2"/>
    <x v="3"/>
    <n v="2"/>
    <s v="Divorced"/>
    <n v="5131"/>
    <n v="9192"/>
    <n v="7"/>
    <s v="Y"/>
    <x v="1"/>
    <n v="13"/>
    <n v="3"/>
    <n v="2"/>
    <n v="80"/>
    <n v="3"/>
    <n v="18"/>
    <n v="3"/>
    <n v="3"/>
    <n v="4"/>
    <n v="2"/>
    <n v="0"/>
    <n v="2"/>
    <x v="1"/>
    <n v="1"/>
    <x v="0"/>
    <x v="0"/>
    <s v="2-5 Years"/>
    <s v="Medium"/>
    <s v="Better"/>
  </r>
  <r>
    <x v="29"/>
    <s v="No"/>
    <s v="Non-Travel"/>
    <n v="667"/>
    <x v="1"/>
    <n v="1"/>
    <n v="4"/>
    <s v="Life Sciences"/>
    <n v="1"/>
    <n v="2026"/>
    <n v="3"/>
    <x v="1"/>
    <n v="57"/>
    <n v="3"/>
    <n v="2"/>
    <x v="4"/>
    <n v="3"/>
    <s v="Divorced"/>
    <n v="6306"/>
    <n v="26236"/>
    <n v="1"/>
    <s v="Y"/>
    <x v="1"/>
    <n v="21"/>
    <n v="4"/>
    <n v="1"/>
    <n v="80"/>
    <n v="1"/>
    <n v="13"/>
    <n v="2"/>
    <n v="2"/>
    <n v="13"/>
    <n v="12"/>
    <n v="1"/>
    <n v="9"/>
    <x v="1"/>
    <n v="1"/>
    <x v="3"/>
    <x v="0"/>
    <s v="10+ Years"/>
    <s v="High"/>
    <s v="Good"/>
  </r>
  <r>
    <x v="11"/>
    <s v="Yes"/>
    <s v="Travel_Rarely"/>
    <n v="1092"/>
    <x v="1"/>
    <n v="1"/>
    <n v="4"/>
    <s v="Medical"/>
    <n v="1"/>
    <n v="2027"/>
    <n v="1"/>
    <x v="1"/>
    <n v="36"/>
    <n v="3"/>
    <n v="1"/>
    <x v="1"/>
    <n v="4"/>
    <s v="Married"/>
    <n v="4787"/>
    <n v="26124"/>
    <n v="9"/>
    <s v="Y"/>
    <x v="0"/>
    <n v="14"/>
    <n v="3"/>
    <n v="2"/>
    <n v="80"/>
    <n v="3"/>
    <n v="4"/>
    <n v="3"/>
    <n v="4"/>
    <n v="2"/>
    <n v="2"/>
    <n v="2"/>
    <n v="2"/>
    <x v="0"/>
    <n v="0"/>
    <x v="2"/>
    <x v="0"/>
    <s v="2-5 Years"/>
    <s v="Very High"/>
    <s v="Best"/>
  </r>
  <r>
    <x v="19"/>
    <s v="No"/>
    <s v="Travel_Rarely"/>
    <n v="300"/>
    <x v="1"/>
    <n v="2"/>
    <n v="3"/>
    <s v="Life Sciences"/>
    <n v="1"/>
    <n v="2031"/>
    <n v="1"/>
    <x v="1"/>
    <n v="56"/>
    <n v="3"/>
    <n v="5"/>
    <x v="5"/>
    <n v="3"/>
    <s v="Married"/>
    <n v="18880"/>
    <n v="17312"/>
    <n v="5"/>
    <s v="Y"/>
    <x v="1"/>
    <n v="11"/>
    <n v="3"/>
    <n v="1"/>
    <n v="80"/>
    <n v="0"/>
    <n v="24"/>
    <n v="2"/>
    <n v="2"/>
    <n v="22"/>
    <n v="6"/>
    <n v="4"/>
    <n v="14"/>
    <x v="1"/>
    <n v="1"/>
    <x v="0"/>
    <x v="2"/>
    <s v="10+ Years"/>
    <s v="High"/>
    <s v="Good"/>
  </r>
  <r>
    <x v="29"/>
    <s v="Yes"/>
    <s v="Travel_Rarely"/>
    <n v="310"/>
    <x v="1"/>
    <n v="7"/>
    <n v="2"/>
    <s v="Technical Degree"/>
    <n v="1"/>
    <n v="2032"/>
    <n v="4"/>
    <x v="1"/>
    <n v="72"/>
    <n v="3"/>
    <n v="1"/>
    <x v="2"/>
    <n v="3"/>
    <s v="Married"/>
    <n v="2339"/>
    <n v="3666"/>
    <n v="8"/>
    <s v="Y"/>
    <x v="1"/>
    <n v="11"/>
    <n v="3"/>
    <n v="4"/>
    <n v="80"/>
    <n v="1"/>
    <n v="14"/>
    <n v="4"/>
    <n v="1"/>
    <n v="10"/>
    <n v="9"/>
    <n v="9"/>
    <n v="8"/>
    <x v="0"/>
    <n v="0"/>
    <x v="3"/>
    <x v="1"/>
    <s v="6-10 Years"/>
    <s v="High"/>
    <s v="Bad"/>
  </r>
  <r>
    <x v="0"/>
    <s v="No"/>
    <s v="Travel_Rarely"/>
    <n v="582"/>
    <x v="1"/>
    <n v="28"/>
    <n v="4"/>
    <s v="Life Sciences"/>
    <n v="1"/>
    <n v="2034"/>
    <n v="1"/>
    <x v="0"/>
    <n v="60"/>
    <n v="2"/>
    <n v="4"/>
    <x v="3"/>
    <n v="2"/>
    <s v="Married"/>
    <n v="13570"/>
    <n v="5640"/>
    <n v="0"/>
    <s v="Y"/>
    <x v="1"/>
    <n v="23"/>
    <n v="4"/>
    <n v="3"/>
    <n v="80"/>
    <n v="1"/>
    <n v="21"/>
    <n v="3"/>
    <n v="3"/>
    <n v="20"/>
    <n v="7"/>
    <n v="0"/>
    <n v="10"/>
    <x v="1"/>
    <n v="1"/>
    <x v="0"/>
    <x v="2"/>
    <s v="10+ Years"/>
    <s v="Medium"/>
    <s v="Better"/>
  </r>
  <r>
    <x v="13"/>
    <s v="No"/>
    <s v="Travel_Rarely"/>
    <n v="704"/>
    <x v="0"/>
    <n v="28"/>
    <n v="3"/>
    <s v="Marketing"/>
    <n v="1"/>
    <n v="2035"/>
    <n v="4"/>
    <x v="0"/>
    <n v="95"/>
    <n v="2"/>
    <n v="2"/>
    <x v="0"/>
    <n v="3"/>
    <s v="Married"/>
    <n v="6712"/>
    <n v="8978"/>
    <n v="1"/>
    <s v="Y"/>
    <x v="1"/>
    <n v="21"/>
    <n v="4"/>
    <n v="4"/>
    <n v="80"/>
    <n v="2"/>
    <n v="8"/>
    <n v="2"/>
    <n v="3"/>
    <n v="8"/>
    <n v="7"/>
    <n v="1"/>
    <n v="7"/>
    <x v="1"/>
    <n v="1"/>
    <x v="2"/>
    <x v="0"/>
    <s v="6-10 Years"/>
    <s v="High"/>
    <s v="Better"/>
  </r>
  <r>
    <x v="9"/>
    <s v="No"/>
    <s v="Non-Travel"/>
    <n v="301"/>
    <x v="0"/>
    <n v="15"/>
    <n v="4"/>
    <s v="Marketing"/>
    <n v="1"/>
    <n v="2036"/>
    <n v="4"/>
    <x v="1"/>
    <n v="88"/>
    <n v="1"/>
    <n v="2"/>
    <x v="0"/>
    <n v="4"/>
    <s v="Divorced"/>
    <n v="5406"/>
    <n v="10436"/>
    <n v="1"/>
    <s v="Y"/>
    <x v="1"/>
    <n v="24"/>
    <n v="4"/>
    <n v="1"/>
    <n v="80"/>
    <n v="1"/>
    <n v="15"/>
    <n v="4"/>
    <n v="2"/>
    <n v="15"/>
    <n v="12"/>
    <n v="11"/>
    <n v="11"/>
    <x v="1"/>
    <n v="1"/>
    <x v="0"/>
    <x v="0"/>
    <s v="10+ Years"/>
    <s v="Very High"/>
    <s v="Good"/>
  </r>
  <r>
    <x v="0"/>
    <s v="No"/>
    <s v="Travel_Rarely"/>
    <n v="930"/>
    <x v="0"/>
    <n v="3"/>
    <n v="3"/>
    <s v="Life Sciences"/>
    <n v="1"/>
    <n v="2037"/>
    <n v="3"/>
    <x v="1"/>
    <n v="57"/>
    <n v="2"/>
    <n v="2"/>
    <x v="0"/>
    <n v="2"/>
    <s v="Divorced"/>
    <n v="8938"/>
    <n v="12227"/>
    <n v="2"/>
    <s v="Y"/>
    <x v="1"/>
    <n v="11"/>
    <n v="3"/>
    <n v="3"/>
    <n v="80"/>
    <n v="1"/>
    <n v="14"/>
    <n v="5"/>
    <n v="3"/>
    <n v="5"/>
    <n v="4"/>
    <n v="0"/>
    <n v="4"/>
    <x v="1"/>
    <n v="1"/>
    <x v="0"/>
    <x v="2"/>
    <s v="2-5 Years"/>
    <s v="Medium"/>
    <s v="Better"/>
  </r>
  <r>
    <x v="5"/>
    <s v="No"/>
    <s v="Travel_Rarely"/>
    <n v="529"/>
    <x v="1"/>
    <n v="2"/>
    <n v="3"/>
    <s v="Technical Degree"/>
    <n v="1"/>
    <n v="2038"/>
    <n v="4"/>
    <x v="1"/>
    <n v="78"/>
    <n v="3"/>
    <n v="1"/>
    <x v="1"/>
    <n v="1"/>
    <s v="Single"/>
    <n v="2439"/>
    <n v="11288"/>
    <n v="1"/>
    <s v="Y"/>
    <x v="1"/>
    <n v="14"/>
    <n v="3"/>
    <n v="4"/>
    <n v="80"/>
    <n v="0"/>
    <n v="4"/>
    <n v="4"/>
    <n v="3"/>
    <n v="4"/>
    <n v="2"/>
    <n v="1"/>
    <n v="2"/>
    <x v="1"/>
    <n v="1"/>
    <x v="2"/>
    <x v="1"/>
    <s v="2-5 Years"/>
    <s v="Low"/>
    <s v="Better"/>
  </r>
  <r>
    <x v="10"/>
    <s v="No"/>
    <s v="Travel_Rarely"/>
    <n v="1146"/>
    <x v="2"/>
    <n v="26"/>
    <n v="4"/>
    <s v="Life Sciences"/>
    <n v="1"/>
    <n v="2040"/>
    <n v="3"/>
    <x v="0"/>
    <n v="31"/>
    <n v="3"/>
    <n v="3"/>
    <x v="8"/>
    <n v="4"/>
    <s v="Single"/>
    <n v="8837"/>
    <n v="16642"/>
    <n v="1"/>
    <s v="Y"/>
    <x v="0"/>
    <n v="16"/>
    <n v="3"/>
    <n v="3"/>
    <n v="80"/>
    <n v="0"/>
    <n v="9"/>
    <n v="2"/>
    <n v="3"/>
    <n v="9"/>
    <n v="0"/>
    <n v="1"/>
    <n v="7"/>
    <x v="1"/>
    <n v="1"/>
    <x v="0"/>
    <x v="2"/>
    <s v="6-10 Years"/>
    <s v="Very High"/>
    <s v="Better"/>
  </r>
  <r>
    <x v="8"/>
    <s v="No"/>
    <s v="Travel_Rarely"/>
    <n v="345"/>
    <x v="0"/>
    <n v="10"/>
    <n v="2"/>
    <s v="Life Sciences"/>
    <n v="1"/>
    <n v="2041"/>
    <n v="1"/>
    <x v="0"/>
    <n v="100"/>
    <n v="3"/>
    <n v="2"/>
    <x v="0"/>
    <n v="4"/>
    <s v="Married"/>
    <n v="5343"/>
    <n v="5982"/>
    <n v="1"/>
    <s v="Y"/>
    <x v="1"/>
    <n v="11"/>
    <n v="3"/>
    <n v="3"/>
    <n v="80"/>
    <n v="1"/>
    <n v="10"/>
    <n v="1"/>
    <n v="3"/>
    <n v="10"/>
    <n v="7"/>
    <n v="1"/>
    <n v="9"/>
    <x v="1"/>
    <n v="1"/>
    <x v="0"/>
    <x v="0"/>
    <s v="6-10 Years"/>
    <s v="Very High"/>
    <s v="Better"/>
  </r>
  <r>
    <x v="24"/>
    <s v="Yes"/>
    <s v="Travel_Frequently"/>
    <n v="878"/>
    <x v="0"/>
    <n v="1"/>
    <n v="4"/>
    <s v="Life Sciences"/>
    <n v="1"/>
    <n v="2044"/>
    <n v="2"/>
    <x v="1"/>
    <n v="94"/>
    <n v="3"/>
    <n v="2"/>
    <x v="0"/>
    <n v="3"/>
    <s v="Divorced"/>
    <n v="6728"/>
    <n v="14255"/>
    <n v="7"/>
    <s v="Y"/>
    <x v="1"/>
    <n v="12"/>
    <n v="3"/>
    <n v="4"/>
    <n v="80"/>
    <n v="2"/>
    <n v="12"/>
    <n v="3"/>
    <n v="3"/>
    <n v="6"/>
    <n v="3"/>
    <n v="0"/>
    <n v="1"/>
    <x v="0"/>
    <n v="0"/>
    <x v="1"/>
    <x v="0"/>
    <s v="6-10 Years"/>
    <s v="High"/>
    <s v="Better"/>
  </r>
  <r>
    <x v="9"/>
    <s v="No"/>
    <s v="Travel_Rarely"/>
    <n v="1120"/>
    <x v="0"/>
    <n v="11"/>
    <n v="4"/>
    <s v="Marketing"/>
    <n v="1"/>
    <n v="2045"/>
    <n v="2"/>
    <x v="0"/>
    <n v="100"/>
    <n v="2"/>
    <n v="2"/>
    <x v="0"/>
    <n v="4"/>
    <s v="Married"/>
    <n v="6652"/>
    <n v="14369"/>
    <n v="4"/>
    <s v="Y"/>
    <x v="1"/>
    <n v="13"/>
    <n v="3"/>
    <n v="1"/>
    <n v="80"/>
    <n v="1"/>
    <n v="8"/>
    <n v="2"/>
    <n v="2"/>
    <n v="6"/>
    <n v="3"/>
    <n v="0"/>
    <n v="0"/>
    <x v="1"/>
    <n v="1"/>
    <x v="0"/>
    <x v="0"/>
    <s v="6-10 Years"/>
    <s v="Very High"/>
    <s v="Good"/>
  </r>
  <r>
    <x v="28"/>
    <s v="No"/>
    <s v="Travel_Rarely"/>
    <n v="374"/>
    <x v="0"/>
    <n v="20"/>
    <n v="3"/>
    <s v="Life Sciences"/>
    <n v="1"/>
    <n v="2046"/>
    <n v="4"/>
    <x v="0"/>
    <n v="50"/>
    <n v="3"/>
    <n v="2"/>
    <x v="0"/>
    <n v="3"/>
    <s v="Single"/>
    <n v="4850"/>
    <n v="23333"/>
    <n v="8"/>
    <s v="Y"/>
    <x v="1"/>
    <n v="15"/>
    <n v="3"/>
    <n v="3"/>
    <n v="80"/>
    <n v="0"/>
    <n v="8"/>
    <n v="3"/>
    <n v="3"/>
    <n v="5"/>
    <n v="3"/>
    <n v="0"/>
    <n v="1"/>
    <x v="1"/>
    <n v="1"/>
    <x v="1"/>
    <x v="0"/>
    <s v="2-5 Years"/>
    <s v="High"/>
    <s v="Better"/>
  </r>
  <r>
    <x v="32"/>
    <s v="No"/>
    <s v="Travel_Rarely"/>
    <n v="1322"/>
    <x v="1"/>
    <n v="2"/>
    <n v="4"/>
    <s v="Life Sciences"/>
    <n v="1"/>
    <n v="2048"/>
    <n v="3"/>
    <x v="1"/>
    <n v="52"/>
    <n v="2"/>
    <n v="1"/>
    <x v="1"/>
    <n v="3"/>
    <s v="Single"/>
    <n v="2809"/>
    <n v="2725"/>
    <n v="2"/>
    <s v="Y"/>
    <x v="1"/>
    <n v="14"/>
    <n v="3"/>
    <n v="4"/>
    <n v="80"/>
    <n v="0"/>
    <n v="8"/>
    <n v="2"/>
    <n v="3"/>
    <n v="2"/>
    <n v="2"/>
    <n v="2"/>
    <n v="2"/>
    <x v="1"/>
    <n v="1"/>
    <x v="0"/>
    <x v="1"/>
    <s v="2-5 Years"/>
    <s v="High"/>
    <s v="Better"/>
  </r>
  <r>
    <x v="10"/>
    <s v="No"/>
    <s v="Travel_Frequently"/>
    <n v="1199"/>
    <x v="1"/>
    <n v="18"/>
    <n v="4"/>
    <s v="Life Sciences"/>
    <n v="1"/>
    <n v="2049"/>
    <n v="3"/>
    <x v="1"/>
    <n v="80"/>
    <n v="3"/>
    <n v="2"/>
    <x v="4"/>
    <n v="3"/>
    <s v="Married"/>
    <n v="5689"/>
    <n v="24594"/>
    <n v="1"/>
    <s v="Y"/>
    <x v="0"/>
    <n v="14"/>
    <n v="3"/>
    <n v="4"/>
    <n v="80"/>
    <n v="2"/>
    <n v="10"/>
    <n v="2"/>
    <n v="4"/>
    <n v="10"/>
    <n v="2"/>
    <n v="0"/>
    <n v="2"/>
    <x v="1"/>
    <n v="1"/>
    <x v="0"/>
    <x v="0"/>
    <s v="6-10 Years"/>
    <s v="High"/>
    <s v="Best"/>
  </r>
  <r>
    <x v="32"/>
    <s v="No"/>
    <s v="Travel_Rarely"/>
    <n v="1194"/>
    <x v="1"/>
    <n v="2"/>
    <n v="4"/>
    <s v="Medical"/>
    <n v="1"/>
    <n v="2051"/>
    <n v="3"/>
    <x v="0"/>
    <n v="98"/>
    <n v="3"/>
    <n v="1"/>
    <x v="1"/>
    <n v="3"/>
    <s v="Married"/>
    <n v="2001"/>
    <n v="12549"/>
    <n v="2"/>
    <s v="Y"/>
    <x v="1"/>
    <n v="14"/>
    <n v="3"/>
    <n v="2"/>
    <n v="80"/>
    <n v="3"/>
    <n v="20"/>
    <n v="2"/>
    <n v="3"/>
    <n v="5"/>
    <n v="3"/>
    <n v="0"/>
    <n v="2"/>
    <x v="1"/>
    <n v="1"/>
    <x v="0"/>
    <x v="1"/>
    <s v="2-5 Years"/>
    <s v="High"/>
    <s v="Better"/>
  </r>
  <r>
    <x v="10"/>
    <s v="No"/>
    <s v="Travel_Rarely"/>
    <n v="287"/>
    <x v="1"/>
    <n v="1"/>
    <n v="4"/>
    <s v="Life Sciences"/>
    <n v="1"/>
    <n v="2052"/>
    <n v="3"/>
    <x v="0"/>
    <n v="62"/>
    <n v="1"/>
    <n v="1"/>
    <x v="1"/>
    <n v="4"/>
    <s v="Married"/>
    <n v="2977"/>
    <n v="8952"/>
    <n v="1"/>
    <s v="Y"/>
    <x v="1"/>
    <n v="12"/>
    <n v="3"/>
    <n v="4"/>
    <n v="80"/>
    <n v="1"/>
    <n v="4"/>
    <n v="5"/>
    <n v="3"/>
    <n v="4"/>
    <n v="3"/>
    <n v="1"/>
    <n v="1"/>
    <x v="1"/>
    <n v="1"/>
    <x v="0"/>
    <x v="1"/>
    <s v="2-5 Years"/>
    <s v="Very High"/>
    <s v="Better"/>
  </r>
  <r>
    <x v="11"/>
    <s v="No"/>
    <s v="Travel_Rarely"/>
    <n v="1378"/>
    <x v="1"/>
    <n v="13"/>
    <n v="2"/>
    <s v="Other"/>
    <n v="1"/>
    <n v="2053"/>
    <n v="4"/>
    <x v="1"/>
    <n v="46"/>
    <n v="2"/>
    <n v="2"/>
    <x v="2"/>
    <n v="2"/>
    <s v="Married"/>
    <n v="4025"/>
    <n v="23679"/>
    <n v="4"/>
    <s v="Y"/>
    <x v="0"/>
    <n v="13"/>
    <n v="3"/>
    <n v="1"/>
    <n v="80"/>
    <n v="1"/>
    <n v="10"/>
    <n v="2"/>
    <n v="3"/>
    <n v="4"/>
    <n v="3"/>
    <n v="0"/>
    <n v="3"/>
    <x v="1"/>
    <n v="1"/>
    <x v="2"/>
    <x v="0"/>
    <s v="2-5 Years"/>
    <s v="Medium"/>
    <s v="Better"/>
  </r>
  <r>
    <x v="11"/>
    <s v="No"/>
    <s v="Travel_Rarely"/>
    <n v="468"/>
    <x v="1"/>
    <n v="28"/>
    <n v="4"/>
    <s v="Medical"/>
    <n v="1"/>
    <n v="2054"/>
    <n v="4"/>
    <x v="0"/>
    <n v="73"/>
    <n v="2"/>
    <n v="1"/>
    <x v="1"/>
    <n v="1"/>
    <s v="Single"/>
    <n v="3785"/>
    <n v="8489"/>
    <n v="1"/>
    <s v="Y"/>
    <x v="1"/>
    <n v="14"/>
    <n v="3"/>
    <n v="2"/>
    <n v="80"/>
    <n v="0"/>
    <n v="5"/>
    <n v="3"/>
    <n v="1"/>
    <n v="5"/>
    <n v="4"/>
    <n v="0"/>
    <n v="4"/>
    <x v="1"/>
    <n v="1"/>
    <x v="2"/>
    <x v="0"/>
    <s v="2-5 Years"/>
    <s v="Low"/>
    <s v="Bad"/>
  </r>
  <r>
    <x v="24"/>
    <s v="Yes"/>
    <s v="Travel_Rarely"/>
    <n v="410"/>
    <x v="0"/>
    <n v="28"/>
    <n v="3"/>
    <s v="Marketing"/>
    <n v="1"/>
    <n v="2055"/>
    <n v="4"/>
    <x v="1"/>
    <n v="39"/>
    <n v="2"/>
    <n v="3"/>
    <x v="0"/>
    <n v="1"/>
    <s v="Divorced"/>
    <n v="10854"/>
    <n v="16586"/>
    <n v="4"/>
    <s v="Y"/>
    <x v="0"/>
    <n v="13"/>
    <n v="3"/>
    <n v="2"/>
    <n v="80"/>
    <n v="1"/>
    <n v="20"/>
    <n v="3"/>
    <n v="3"/>
    <n v="3"/>
    <n v="2"/>
    <n v="2"/>
    <n v="0"/>
    <x v="0"/>
    <n v="0"/>
    <x v="1"/>
    <x v="2"/>
    <s v="2-5 Years"/>
    <s v="Low"/>
    <s v="Better"/>
  </r>
  <r>
    <x v="22"/>
    <s v="No"/>
    <s v="Travel_Rarely"/>
    <n v="722"/>
    <x v="0"/>
    <n v="24"/>
    <n v="1"/>
    <s v="Marketing"/>
    <n v="1"/>
    <n v="2056"/>
    <n v="2"/>
    <x v="0"/>
    <n v="60"/>
    <n v="2"/>
    <n v="4"/>
    <x v="0"/>
    <n v="4"/>
    <s v="Married"/>
    <n v="12031"/>
    <n v="8828"/>
    <n v="0"/>
    <s v="Y"/>
    <x v="1"/>
    <n v="11"/>
    <n v="3"/>
    <n v="1"/>
    <n v="80"/>
    <n v="1"/>
    <n v="21"/>
    <n v="2"/>
    <n v="2"/>
    <n v="20"/>
    <n v="9"/>
    <n v="9"/>
    <n v="6"/>
    <x v="1"/>
    <n v="1"/>
    <x v="0"/>
    <x v="2"/>
    <s v="10+ Years"/>
    <s v="Very High"/>
    <s v="Good"/>
  </r>
  <r>
    <x v="12"/>
    <s v="No"/>
    <s v="Non-Travel"/>
    <n v="325"/>
    <x v="1"/>
    <n v="5"/>
    <n v="3"/>
    <s v="Medical"/>
    <n v="1"/>
    <n v="2057"/>
    <n v="2"/>
    <x v="1"/>
    <n v="74"/>
    <n v="3"/>
    <n v="2"/>
    <x v="3"/>
    <n v="1"/>
    <s v="Single"/>
    <n v="9936"/>
    <n v="3787"/>
    <n v="0"/>
    <s v="Y"/>
    <x v="1"/>
    <n v="19"/>
    <n v="3"/>
    <n v="2"/>
    <n v="80"/>
    <n v="0"/>
    <n v="10"/>
    <n v="2"/>
    <n v="3"/>
    <n v="9"/>
    <n v="4"/>
    <n v="1"/>
    <n v="7"/>
    <x v="1"/>
    <n v="1"/>
    <x v="2"/>
    <x v="2"/>
    <s v="6-10 Years"/>
    <s v="Low"/>
    <s v="Better"/>
  </r>
  <r>
    <x v="25"/>
    <s v="No"/>
    <s v="Travel_Rarely"/>
    <n v="1167"/>
    <x v="0"/>
    <n v="5"/>
    <n v="3"/>
    <s v="Other"/>
    <n v="1"/>
    <n v="2060"/>
    <n v="4"/>
    <x v="0"/>
    <n v="30"/>
    <n v="2"/>
    <n v="1"/>
    <x v="6"/>
    <n v="3"/>
    <s v="Single"/>
    <n v="2966"/>
    <n v="21378"/>
    <n v="0"/>
    <s v="Y"/>
    <x v="1"/>
    <n v="18"/>
    <n v="3"/>
    <n v="4"/>
    <n v="80"/>
    <n v="0"/>
    <n v="5"/>
    <n v="2"/>
    <n v="3"/>
    <n v="4"/>
    <n v="2"/>
    <n v="0"/>
    <n v="0"/>
    <x v="1"/>
    <n v="1"/>
    <x v="2"/>
    <x v="1"/>
    <s v="2-5 Years"/>
    <s v="High"/>
    <s v="Better"/>
  </r>
  <r>
    <x v="9"/>
    <s v="No"/>
    <s v="Travel_Frequently"/>
    <n v="884"/>
    <x v="1"/>
    <n v="23"/>
    <n v="2"/>
    <s v="Medical"/>
    <n v="1"/>
    <n v="2061"/>
    <n v="3"/>
    <x v="1"/>
    <n v="41"/>
    <n v="4"/>
    <n v="2"/>
    <x v="2"/>
    <n v="4"/>
    <s v="Married"/>
    <n v="2571"/>
    <n v="12290"/>
    <n v="4"/>
    <s v="Y"/>
    <x v="1"/>
    <n v="17"/>
    <n v="3"/>
    <n v="3"/>
    <n v="80"/>
    <n v="1"/>
    <n v="17"/>
    <n v="3"/>
    <n v="3"/>
    <n v="5"/>
    <n v="2"/>
    <n v="0"/>
    <n v="3"/>
    <x v="1"/>
    <n v="1"/>
    <x v="0"/>
    <x v="1"/>
    <s v="2-5 Years"/>
    <s v="Very High"/>
    <s v="Better"/>
  </r>
  <r>
    <x v="22"/>
    <s v="No"/>
    <s v="Travel_Rarely"/>
    <n v="613"/>
    <x v="1"/>
    <n v="6"/>
    <n v="1"/>
    <s v="Medical"/>
    <n v="1"/>
    <n v="2062"/>
    <n v="4"/>
    <x v="1"/>
    <n v="42"/>
    <n v="2"/>
    <n v="3"/>
    <x v="4"/>
    <n v="1"/>
    <s v="Married"/>
    <n v="9991"/>
    <n v="21457"/>
    <n v="4"/>
    <s v="Y"/>
    <x v="1"/>
    <n v="15"/>
    <n v="3"/>
    <n v="1"/>
    <n v="80"/>
    <n v="1"/>
    <n v="9"/>
    <n v="5"/>
    <n v="3"/>
    <n v="7"/>
    <n v="7"/>
    <n v="1"/>
    <n v="7"/>
    <x v="1"/>
    <n v="1"/>
    <x v="0"/>
    <x v="2"/>
    <s v="6-10 Years"/>
    <s v="Low"/>
    <s v="Better"/>
  </r>
  <r>
    <x v="4"/>
    <s v="No"/>
    <s v="Travel_Rarely"/>
    <n v="155"/>
    <x v="1"/>
    <n v="4"/>
    <n v="3"/>
    <s v="Life Sciences"/>
    <n v="1"/>
    <n v="2064"/>
    <n v="2"/>
    <x v="1"/>
    <n v="87"/>
    <n v="4"/>
    <n v="2"/>
    <x v="3"/>
    <n v="2"/>
    <s v="Married"/>
    <n v="6142"/>
    <n v="5174"/>
    <n v="1"/>
    <s v="Y"/>
    <x v="0"/>
    <n v="20"/>
    <n v="4"/>
    <n v="2"/>
    <n v="80"/>
    <n v="1"/>
    <n v="6"/>
    <n v="0"/>
    <n v="3"/>
    <n v="6"/>
    <n v="2"/>
    <n v="0"/>
    <n v="3"/>
    <x v="1"/>
    <n v="1"/>
    <x v="2"/>
    <x v="0"/>
    <s v="6-10 Years"/>
    <s v="Medium"/>
    <s v="Better"/>
  </r>
  <r>
    <x v="1"/>
    <s v="No"/>
    <s v="Travel_Frequently"/>
    <n v="1023"/>
    <x v="0"/>
    <n v="2"/>
    <n v="3"/>
    <s v="Medical"/>
    <n v="1"/>
    <n v="2065"/>
    <n v="4"/>
    <x v="1"/>
    <n v="63"/>
    <n v="2"/>
    <n v="2"/>
    <x v="0"/>
    <n v="2"/>
    <s v="Married"/>
    <n v="5390"/>
    <n v="13243"/>
    <n v="2"/>
    <s v="Y"/>
    <x v="1"/>
    <n v="14"/>
    <n v="3"/>
    <n v="4"/>
    <n v="80"/>
    <n v="0"/>
    <n v="17"/>
    <n v="3"/>
    <n v="2"/>
    <n v="9"/>
    <n v="6"/>
    <n v="0"/>
    <n v="8"/>
    <x v="1"/>
    <n v="1"/>
    <x v="1"/>
    <x v="0"/>
    <s v="6-10 Years"/>
    <s v="Medium"/>
    <s v="Good"/>
  </r>
  <r>
    <x v="13"/>
    <s v="No"/>
    <s v="Travel_Rarely"/>
    <n v="628"/>
    <x v="1"/>
    <n v="8"/>
    <n v="3"/>
    <s v="Medical"/>
    <n v="1"/>
    <n v="2068"/>
    <n v="2"/>
    <x v="1"/>
    <n v="82"/>
    <n v="4"/>
    <n v="2"/>
    <x v="2"/>
    <n v="3"/>
    <s v="Married"/>
    <n v="4404"/>
    <n v="10228"/>
    <n v="2"/>
    <s v="Y"/>
    <x v="1"/>
    <n v="12"/>
    <n v="3"/>
    <n v="1"/>
    <n v="80"/>
    <n v="0"/>
    <n v="6"/>
    <n v="3"/>
    <n v="4"/>
    <n v="4"/>
    <n v="3"/>
    <n v="1"/>
    <n v="2"/>
    <x v="1"/>
    <n v="1"/>
    <x v="2"/>
    <x v="0"/>
    <s v="2-5 Years"/>
    <s v="High"/>
    <s v="Bes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439FB4-C6A3-4F8A-9E40-9B7FE8F9C494}" name="PivotTable8"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K8:L12" firstHeaderRow="1" firstDataRow="1" firstDataCol="1"/>
  <pivotFields count="42">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4">
        <item x="2"/>
        <item x="1"/>
        <item x="0"/>
        <item t="default"/>
      </items>
    </pivotField>
    <pivotField showAll="0"/>
    <pivotField showAll="0"/>
    <pivotField showAll="0"/>
  </pivotFields>
  <rowFields count="1">
    <field x="38"/>
  </rowFields>
  <rowItems count="4">
    <i>
      <x/>
    </i>
    <i>
      <x v="1"/>
    </i>
    <i>
      <x v="2"/>
    </i>
    <i t="grand">
      <x/>
    </i>
  </rowItems>
  <colItems count="1">
    <i/>
  </colItems>
  <dataFields count="1">
    <dataField name="Employees Left" fld="35" baseField="38"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A0BD526-748E-4CC4-AF98-49DAAB8F64C5}" name="PivotTable7"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H8:I14" firstHeaderRow="1" firstDataRow="1" firstDataCol="1"/>
  <pivotFields count="42">
    <pivotField showAll="0">
      <items count="44">
        <item x="41"/>
        <item x="37"/>
        <item x="35"/>
        <item x="18"/>
        <item x="15"/>
        <item x="30"/>
        <item x="17"/>
        <item x="36"/>
        <item x="25"/>
        <item x="4"/>
        <item x="14"/>
        <item x="11"/>
        <item x="7"/>
        <item x="12"/>
        <item x="5"/>
        <item x="3"/>
        <item x="13"/>
        <item x="10"/>
        <item x="9"/>
        <item x="2"/>
        <item x="8"/>
        <item x="22"/>
        <item x="32"/>
        <item x="0"/>
        <item x="19"/>
        <item x="23"/>
        <item x="20"/>
        <item x="28"/>
        <item x="21"/>
        <item x="40"/>
        <item x="26"/>
        <item x="1"/>
        <item x="24"/>
        <item x="31"/>
        <item x="39"/>
        <item x="16"/>
        <item x="33"/>
        <item x="27"/>
        <item x="29"/>
        <item x="38"/>
        <item x="34"/>
        <item x="6"/>
        <item x="42"/>
        <item t="default"/>
      </items>
    </pivotField>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items count="6">
        <item x="2"/>
        <item x="0"/>
        <item x="1"/>
        <item x="3"/>
        <item x="4"/>
        <item t="default"/>
      </items>
    </pivotField>
    <pivotField showAll="0"/>
    <pivotField showAll="0"/>
    <pivotField showAll="0"/>
    <pivotField showAll="0"/>
  </pivotFields>
  <rowFields count="1">
    <field x="37"/>
  </rowFields>
  <rowItems count="6">
    <i>
      <x/>
    </i>
    <i>
      <x v="1"/>
    </i>
    <i>
      <x v="2"/>
    </i>
    <i>
      <x v="3"/>
    </i>
    <i>
      <x v="4"/>
    </i>
    <i t="grand">
      <x/>
    </i>
  </rowItems>
  <colItems count="1">
    <i/>
  </colItems>
  <dataFields count="1">
    <dataField name="Employees Left" fld="35" baseField="37"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4CE207-780F-49A5-9831-80FC5E7F4B5C}" name="PivotTable6"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8:E18" firstHeaderRow="1" firstDataRow="1" firstDataCol="1"/>
  <pivotFields count="42">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items count="3">
        <item x="1"/>
        <item x="0"/>
        <item t="default"/>
      </items>
    </pivotField>
    <pivotField showAll="0"/>
    <pivotField showAll="0"/>
    <pivotField showAll="0"/>
    <pivotField showAll="0"/>
    <pivotField showAll="0"/>
    <pivotField showAll="0"/>
  </pivotFields>
  <rowFields count="1">
    <field x="15"/>
  </rowFields>
  <rowItems count="10">
    <i>
      <x v="2"/>
    </i>
    <i>
      <x v="7"/>
    </i>
    <i>
      <x v="6"/>
    </i>
    <i>
      <x v="8"/>
    </i>
    <i>
      <x v="1"/>
    </i>
    <i>
      <x v="4"/>
    </i>
    <i>
      <x/>
    </i>
    <i>
      <x v="3"/>
    </i>
    <i>
      <x v="5"/>
    </i>
    <i t="grand">
      <x/>
    </i>
  </rowItems>
  <colItems count="1">
    <i/>
  </colItems>
  <dataFields count="1">
    <dataField name="Employees Left" fld="35" baseField="15" baseItem="2"/>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0BB37D2-07CB-4597-A23B-E2B8C084F10F}" name="PivotTable5"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8:B12" firstHeaderRow="1" firstDataRow="1" firstDataCol="1"/>
  <pivotFields count="42">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Employees Left" fld="35" baseField="4"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185EE7-230E-4046-ABE9-E28FC6D3C4DE}" name="PivotTable4"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3:J4" firstHeaderRow="1" firstDataRow="1" firstDataCol="0"/>
  <pivotFields count="42">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dataField="1"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g Monthly Income" fld="18"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57C4D74-1183-4B66-981C-B0B71338F831}" name="PivotTable3"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G4" firstHeaderRow="1" firstDataRow="1" firstDataCol="0"/>
  <pivotFields count="42">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Active Employees" fld="3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CFD30B4-AD3A-4270-BC42-DBC13225D47C}" name="PivotTable2"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D4" firstHeaderRow="1" firstDataRow="1" firstDataCol="0"/>
  <pivotFields count="42">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Employees Left" fld="3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EA397D-95C4-4858-BC91-961D7B56BDAD}" name="PivotTable1"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42">
    <pivotField showAll="0"/>
    <pivotField showAll="0"/>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Total Employees" fld="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54C3AB4E-0618-4F1B-8456-01454BDDF17B}" sourceName="Department">
  <pivotTables>
    <pivotTable tabId="3" name="PivotTable5"/>
    <pivotTable tabId="3" name="PivotTable1"/>
    <pivotTable tabId="3" name="PivotTable2"/>
    <pivotTable tabId="3" name="PivotTable3"/>
    <pivotTable tabId="3" name="PivotTable4"/>
    <pivotTable tabId="3" name="PivotTable6"/>
    <pivotTable tabId="3" name="PivotTable7"/>
    <pivotTable tabId="3" name="PivotTable8"/>
  </pivotTables>
  <data>
    <tabular pivotCacheId="703652643">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36324FA-90B9-40A4-BFC8-2608BBA36538}" sourceName="Gender">
  <pivotTables>
    <pivotTable tabId="3" name="PivotTable5"/>
    <pivotTable tabId="3" name="PivotTable1"/>
    <pivotTable tabId="3" name="PivotTable2"/>
    <pivotTable tabId="3" name="PivotTable3"/>
    <pivotTable tabId="3" name="PivotTable4"/>
    <pivotTable tabId="3" name="PivotTable6"/>
    <pivotTable tabId="3" name="PivotTable7"/>
    <pivotTable tabId="3" name="PivotTable8"/>
  </pivotTables>
  <data>
    <tabular pivotCacheId="703652643">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8579833B-F5FB-4802-9512-38181CFB78E8}" sourceName="OverTime">
  <pivotTables>
    <pivotTable tabId="3" name="PivotTable5"/>
    <pivotTable tabId="3" name="PivotTable1"/>
    <pivotTable tabId="3" name="PivotTable2"/>
    <pivotTable tabId="3" name="PivotTable3"/>
    <pivotTable tabId="3" name="PivotTable4"/>
    <pivotTable tabId="3" name="PivotTable6"/>
    <pivotTable tabId="3" name="PivotTable7"/>
    <pivotTable tabId="3" name="PivotTable8"/>
  </pivotTables>
  <data>
    <tabular pivotCacheId="703652643">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DEE1A4A2-05FC-4E3C-995D-52C0BFB61172}" cache="Slicer_Department" caption="Department" rowHeight="234950"/>
  <slicer name="Gender" xr10:uid="{2ABDB3B3-B25B-49DF-9C1F-AC4BCD899873}" cache="Slicer_Gender" caption="Gender" rowHeight="234950"/>
  <slicer name="OverTime" xr10:uid="{E7D5AA7A-AF1F-4F2F-96A2-4B3BC7F0B792}" cache="Slicer_OverTime" caption="OverTim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CC97FE4-6A3A-4A53-8719-5CF9FF1FC851}" name="HR_Data" displayName="HR_Data" ref="A1:AP1471" totalsRowShown="0">
  <autoFilter ref="A1:AP1471" xr:uid="{9CC97FE4-6A3A-4A53-8719-5CF9FF1FC851}"/>
  <tableColumns count="42">
    <tableColumn id="1" xr3:uid="{55778DDC-D535-4F9C-AD09-11333047E960}" name="Age"/>
    <tableColumn id="2" xr3:uid="{3FA5FA71-DE00-4F0F-97FE-C8308C3855BB}" name="Attrition"/>
    <tableColumn id="3" xr3:uid="{E45AADE6-6F2B-43A9-963C-AA92355AC76E}" name="BusinessTravel"/>
    <tableColumn id="4" xr3:uid="{037F6149-0A1B-4F14-AA9B-502EE5957B6E}" name="DailyRate"/>
    <tableColumn id="5" xr3:uid="{C0C20717-EB57-42CE-8307-8464A79091CE}" name="Department"/>
    <tableColumn id="6" xr3:uid="{EC02DFF8-DDE0-4A89-B000-30CAD43AFFCC}" name="DistanceFromHome"/>
    <tableColumn id="7" xr3:uid="{76826DB2-89D3-48A2-963E-6A6886630187}" name="Education"/>
    <tableColumn id="8" xr3:uid="{D0B6F5E0-A1B9-428B-B6B4-5C4722548AB8}" name="EducationField"/>
    <tableColumn id="9" xr3:uid="{AD2B2BD7-779D-4FED-84DE-37D952C83F37}" name="EmployeeCount"/>
    <tableColumn id="10" xr3:uid="{35CDBEBD-A99C-4E1B-83A4-6534B58DB61F}" name="EmployeeNumber"/>
    <tableColumn id="11" xr3:uid="{AC81AEBE-B1F2-42BD-83EB-1078A9A0CA85}" name="EnvironmentSatisfaction"/>
    <tableColumn id="12" xr3:uid="{57F5C9F1-D449-4CF8-9E8B-220BB01E5248}" name="Gender"/>
    <tableColumn id="13" xr3:uid="{FC42EBFE-7BB8-4D88-B0C3-4E1AB73C139C}" name="HourlyRate"/>
    <tableColumn id="14" xr3:uid="{18166CAC-072F-45B1-8B50-96796A463B29}" name="JobInvolvement"/>
    <tableColumn id="15" xr3:uid="{D99D519F-7132-4D4C-A891-D675F2D1B287}" name="JobLevel"/>
    <tableColumn id="16" xr3:uid="{AE0C031B-9185-459B-A7AE-85C5A53CE45D}" name="JobRole"/>
    <tableColumn id="17" xr3:uid="{00BBDF8F-B0B8-405E-8235-1DF11A871B3A}" name="JobSatisfaction"/>
    <tableColumn id="18" xr3:uid="{2F8CF78B-0734-4613-AB08-68B7964AD343}" name="MaritalStatus"/>
    <tableColumn id="19" xr3:uid="{0D8615E6-2DCB-4F9A-8987-54CDA4FB661B}" name="MonthlyIncome"/>
    <tableColumn id="20" xr3:uid="{8CCB1F7E-1141-4B1E-8843-80F301219A45}" name="MonthlyRate"/>
    <tableColumn id="21" xr3:uid="{09088182-76C4-425E-B57E-1ECDF00330B5}" name="NumCompaniesWorked"/>
    <tableColumn id="22" xr3:uid="{6A72D3C5-34F3-42C9-ABB0-37F898BEC1AD}" name="Over18"/>
    <tableColumn id="23" xr3:uid="{C74910E7-943E-4E00-9CF0-051F087EB32B}" name="OverTime"/>
    <tableColumn id="24" xr3:uid="{8CFB9DA5-A00E-4A39-B1A5-1A37C1F35859}" name="PercentSalaryHike"/>
    <tableColumn id="25" xr3:uid="{B9E1C34C-610C-46F0-A269-77551FAB574C}" name="PerformanceRating"/>
    <tableColumn id="26" xr3:uid="{B9EFC613-A1DA-49C1-9C56-46AE92C2FE8A}" name="RelationshipSatisfaction"/>
    <tableColumn id="27" xr3:uid="{5E7F39E1-C221-44C2-8685-BA3D1076CEC6}" name="StandardHours"/>
    <tableColumn id="28" xr3:uid="{CD863FBD-E333-4C65-BDC3-88DFF687EEB4}" name="StockOptionLevel"/>
    <tableColumn id="29" xr3:uid="{2D49F422-A4D4-459C-9045-B566F7489AC7}" name="TotalWorkingYears"/>
    <tableColumn id="30" xr3:uid="{0CC564ED-E382-424C-9917-02A6DA83F607}" name="TrainingTimesLastYear"/>
    <tableColumn id="31" xr3:uid="{860E7CF1-4AB4-45DF-BBA6-159675338E8D}" name="WorkLifeBalance"/>
    <tableColumn id="32" xr3:uid="{10FD0DEA-F170-4F3E-8255-D1A9D4E91481}" name="YearsAtCompany"/>
    <tableColumn id="33" xr3:uid="{56F1AD67-1A58-415B-8B4E-7C353601FEFC}" name="YearsInCurrentRole"/>
    <tableColumn id="34" xr3:uid="{615D1B34-9550-43A1-9F8E-88F7EC742294}" name="YearsSinceLastPromotion"/>
    <tableColumn id="35" xr3:uid="{5AED25E4-2341-4258-B0F1-8AB9C0D9F2A5}" name="YearsWithCurrManager"/>
    <tableColumn id="36" xr3:uid="{3593DD0B-AD2F-492A-898F-137B97328996}" name="Attrition_Flag" dataDxfId="6">
      <calculatedColumnFormula>IF(HR_Data[[#This Row],[Attrition]]="Yes",1,0)</calculatedColumnFormula>
    </tableColumn>
    <tableColumn id="37" xr3:uid="{DE7852FD-A9DD-4D24-9A49-8BC8930C0021}" name="Active_Flag" dataDxfId="5">
      <calculatedColumnFormula>IF(HR_Data[[#This Row],[Attrition]]="No",1,0)</calculatedColumnFormula>
    </tableColumn>
    <tableColumn id="38" xr3:uid="{2370A0AA-3974-430E-852C-50EEA955ECD2}" name="Age_Group" dataDxfId="4">
      <calculatedColumnFormula>IF(HR_Data[[#This Row],[Age]]&lt;25,"Under 25",IF(HR_Data[[#This Row],[Age]]&lt;=34,"25-34",IF(HR_Data[[#This Row],[Age]]&lt;=44,"35-44",IF(HR_Data[[#This Row],[Age]]&lt;=54,"45-54","55+"))))</calculatedColumnFormula>
    </tableColumn>
    <tableColumn id="39" xr3:uid="{04486CBD-D4A9-48E4-BACC-63C179CB4A49}" name="Salary_Band" dataDxfId="3">
      <calculatedColumnFormula>IF(HR_Data[[#This Row],[MonthlyIncome]]&lt;3000,"Low Salary",IF(HR_Data[[#This Row],[MonthlyIncome]]&lt;=7000,"Medium Salary","High Salary"))</calculatedColumnFormula>
    </tableColumn>
    <tableColumn id="40" xr3:uid="{61D4A111-EB93-40C4-A03B-66C846F325F5}" name="Experience_Band" dataDxfId="2">
      <calculatedColumnFormula>IF(HR_Data[[#This Row],[YearsAtCompany]]&lt;2,"0-1 Years",IF(HR_Data[[#This Row],[YearsAtCompany]]&lt;=5,"2-5 Years",IF(HR_Data[[#This Row],[YearsAtCompany]]&lt;=10,"6-10 Years","10+ Years")))</calculatedColumnFormula>
    </tableColumn>
    <tableColumn id="41" xr3:uid="{BD0B4069-8854-4D0D-A07B-B1EB9C1CEC77}" name="JobSatisfaction_Label" dataDxfId="1">
      <calculatedColumnFormula>IF(HR_Data[[#This Row],[JobSatisfaction]]=1,"Low",IF(HR_Data[[#This Row],[JobSatisfaction]]=2,"Medium",IF(HR_Data[[#This Row],[JobSatisfaction]]=3,"High","Very High")))</calculatedColumnFormula>
    </tableColumn>
    <tableColumn id="42" xr3:uid="{EA47D69D-9F10-4AFA-9CD6-C4241BD6CFA7}" name="WorkLifeBalance_Label" dataDxfId="0">
      <calculatedColumnFormula>IF(HR_Data[[#This Row],[WorkLifeBalance]]=1,"Bad",IF(HR_Data[[#This Row],[WorkLifeBalance]]=2,"Good",IF(HR_Data[[#This Row],[WorkLifeBalance]]=3,"Better","Best")))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77FBE-5AB9-4BAB-AE9C-84401E30240F}">
  <dimension ref="A2:W17"/>
  <sheetViews>
    <sheetView showGridLines="0" tabSelected="1" zoomScale="54" workbookViewId="0">
      <selection activeCell="O15" sqref="O15"/>
    </sheetView>
  </sheetViews>
  <sheetFormatPr defaultRowHeight="14.4" x14ac:dyDescent="0.3"/>
  <cols>
    <col min="1" max="1" width="24.77734375" bestFit="1" customWidth="1"/>
    <col min="4" max="4" width="23" bestFit="1" customWidth="1"/>
    <col min="7" max="7" width="26.6640625" bestFit="1" customWidth="1"/>
    <col min="10" max="10" width="31.33203125" bestFit="1" customWidth="1"/>
    <col min="13" max="13" width="21.109375" bestFit="1" customWidth="1"/>
  </cols>
  <sheetData>
    <row r="2" spans="1:14" ht="31.8" thickBot="1" x14ac:dyDescent="0.65">
      <c r="A2" s="7" t="s">
        <v>84</v>
      </c>
      <c r="B2" s="7"/>
      <c r="C2" s="7"/>
      <c r="D2" s="7"/>
      <c r="E2" s="7"/>
      <c r="F2" s="7"/>
      <c r="G2" s="7"/>
      <c r="H2" s="7"/>
      <c r="I2" s="7"/>
      <c r="J2" s="7"/>
      <c r="K2" s="7"/>
      <c r="L2" s="7"/>
      <c r="M2" s="7"/>
      <c r="N2" s="7"/>
    </row>
    <row r="3" spans="1:14" ht="23.4" x14ac:dyDescent="0.45">
      <c r="A3" s="10" t="s">
        <v>69</v>
      </c>
      <c r="D3" s="10" t="s">
        <v>70</v>
      </c>
      <c r="G3" s="12" t="s">
        <v>71</v>
      </c>
      <c r="J3" s="12" t="s">
        <v>72</v>
      </c>
      <c r="M3" s="12" t="s">
        <v>73</v>
      </c>
    </row>
    <row r="4" spans="1:14" ht="24" thickBot="1" x14ac:dyDescent="0.5">
      <c r="A4" s="11">
        <f>Pivot_Analysis!A4</f>
        <v>1470</v>
      </c>
      <c r="D4" s="11">
        <f>Pivot_Analysis!D4</f>
        <v>237</v>
      </c>
      <c r="G4" s="13">
        <f>Pivot_Analysis!G4</f>
        <v>1233</v>
      </c>
      <c r="J4" s="14">
        <f>Pivot_Analysis!J4</f>
        <v>6502.931292517007</v>
      </c>
      <c r="M4" s="15">
        <f>Pivot_Analysis!M4</f>
        <v>0.16122448979591836</v>
      </c>
    </row>
    <row r="5" spans="1:14" x14ac:dyDescent="0.3">
      <c r="A5" s="8"/>
    </row>
    <row r="17" spans="23:23" x14ac:dyDescent="0.3">
      <c r="W17" s="6"/>
    </row>
  </sheetData>
  <mergeCells count="1">
    <mergeCell ref="A2:N2"/>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EE571-3CE7-471C-8356-257DF4A076C7}">
  <dimension ref="A1:C36"/>
  <sheetViews>
    <sheetView zoomScale="81" zoomScaleNormal="81" workbookViewId="0">
      <selection activeCell="B35" sqref="B35"/>
    </sheetView>
  </sheetViews>
  <sheetFormatPr defaultRowHeight="14.4" x14ac:dyDescent="0.3"/>
  <cols>
    <col min="1" max="1" width="74.44140625" bestFit="1" customWidth="1"/>
    <col min="2" max="2" width="120.77734375" bestFit="1" customWidth="1"/>
    <col min="3" max="3" width="72" bestFit="1" customWidth="1"/>
  </cols>
  <sheetData>
    <row r="1" spans="1:3" ht="23.4" x14ac:dyDescent="0.45">
      <c r="A1" s="9" t="s">
        <v>85</v>
      </c>
    </row>
    <row r="3" spans="1:3" x14ac:dyDescent="0.3">
      <c r="A3" s="2" t="s">
        <v>87</v>
      </c>
      <c r="B3" s="27" t="s">
        <v>86</v>
      </c>
    </row>
    <row r="5" spans="1:3" ht="15" thickBot="1" x14ac:dyDescent="0.35"/>
    <row r="6" spans="1:3" x14ac:dyDescent="0.3">
      <c r="A6" s="31" t="s">
        <v>88</v>
      </c>
      <c r="B6" s="32" t="s">
        <v>89</v>
      </c>
      <c r="C6" s="33" t="s">
        <v>90</v>
      </c>
    </row>
    <row r="7" spans="1:3" x14ac:dyDescent="0.3">
      <c r="A7" s="18" t="s">
        <v>91</v>
      </c>
      <c r="B7" s="23" t="s">
        <v>92</v>
      </c>
      <c r="C7" s="24" t="s">
        <v>93</v>
      </c>
    </row>
    <row r="8" spans="1:3" x14ac:dyDescent="0.3">
      <c r="A8" s="19"/>
      <c r="B8" s="21"/>
      <c r="C8" s="24"/>
    </row>
    <row r="9" spans="1:3" x14ac:dyDescent="0.3">
      <c r="A9" s="18" t="s">
        <v>4</v>
      </c>
      <c r="B9" s="23" t="s">
        <v>94</v>
      </c>
      <c r="C9" s="24" t="s">
        <v>95</v>
      </c>
    </row>
    <row r="10" spans="1:3" x14ac:dyDescent="0.3">
      <c r="A10" s="19"/>
      <c r="B10" s="21"/>
      <c r="C10" s="24"/>
    </row>
    <row r="11" spans="1:3" x14ac:dyDescent="0.3">
      <c r="A11" s="18" t="s">
        <v>96</v>
      </c>
      <c r="B11" s="23" t="s">
        <v>97</v>
      </c>
      <c r="C11" s="29" t="s">
        <v>98</v>
      </c>
    </row>
    <row r="12" spans="1:3" x14ac:dyDescent="0.3">
      <c r="A12" s="19"/>
      <c r="B12" s="23"/>
      <c r="C12" s="24"/>
    </row>
    <row r="13" spans="1:3" x14ac:dyDescent="0.3">
      <c r="A13" s="18" t="s">
        <v>99</v>
      </c>
      <c r="B13" s="23" t="s">
        <v>102</v>
      </c>
      <c r="C13" s="24" t="s">
        <v>105</v>
      </c>
    </row>
    <row r="14" spans="1:3" x14ac:dyDescent="0.3">
      <c r="A14" s="18"/>
      <c r="B14" s="23"/>
      <c r="C14" s="24"/>
    </row>
    <row r="15" spans="1:3" x14ac:dyDescent="0.3">
      <c r="A15" s="18" t="s">
        <v>100</v>
      </c>
      <c r="B15" s="23" t="s">
        <v>103</v>
      </c>
      <c r="C15" s="24" t="s">
        <v>106</v>
      </c>
    </row>
    <row r="16" spans="1:3" x14ac:dyDescent="0.3">
      <c r="A16" s="18"/>
      <c r="B16" s="23"/>
      <c r="C16" s="24"/>
    </row>
    <row r="17" spans="1:3" x14ac:dyDescent="0.3">
      <c r="A17" s="18" t="s">
        <v>101</v>
      </c>
      <c r="B17" s="23" t="s">
        <v>104</v>
      </c>
      <c r="C17" s="29" t="s">
        <v>107</v>
      </c>
    </row>
    <row r="18" spans="1:3" ht="15" thickBot="1" x14ac:dyDescent="0.35">
      <c r="A18" s="20"/>
      <c r="B18" s="22"/>
      <c r="C18" s="17"/>
    </row>
    <row r="20" spans="1:3" ht="15" thickBot="1" x14ac:dyDescent="0.35"/>
    <row r="21" spans="1:3" x14ac:dyDescent="0.3">
      <c r="A21" s="31" t="s">
        <v>108</v>
      </c>
      <c r="B21" s="34" t="s">
        <v>109</v>
      </c>
    </row>
    <row r="22" spans="1:3" x14ac:dyDescent="0.3">
      <c r="A22" s="18" t="s">
        <v>110</v>
      </c>
      <c r="B22" s="24" t="s">
        <v>111</v>
      </c>
    </row>
    <row r="23" spans="1:3" x14ac:dyDescent="0.3">
      <c r="A23" s="19"/>
      <c r="B23" s="16"/>
    </row>
    <row r="24" spans="1:3" x14ac:dyDescent="0.3">
      <c r="A24" s="18" t="s">
        <v>112</v>
      </c>
      <c r="B24" s="24" t="s">
        <v>116</v>
      </c>
    </row>
    <row r="25" spans="1:3" x14ac:dyDescent="0.3">
      <c r="A25" s="19"/>
      <c r="B25" s="16"/>
    </row>
    <row r="26" spans="1:3" x14ac:dyDescent="0.3">
      <c r="A26" s="30" t="s">
        <v>113</v>
      </c>
      <c r="B26" s="24" t="s">
        <v>117</v>
      </c>
    </row>
    <row r="27" spans="1:3" x14ac:dyDescent="0.3">
      <c r="A27" s="19"/>
      <c r="B27" s="16"/>
    </row>
    <row r="28" spans="1:3" x14ac:dyDescent="0.3">
      <c r="A28" s="18" t="s">
        <v>114</v>
      </c>
      <c r="B28" s="24" t="s">
        <v>118</v>
      </c>
    </row>
    <row r="29" spans="1:3" x14ac:dyDescent="0.3">
      <c r="A29" s="19"/>
      <c r="B29" s="16"/>
    </row>
    <row r="30" spans="1:3" ht="15" thickBot="1" x14ac:dyDescent="0.35">
      <c r="A30" s="26" t="s">
        <v>115</v>
      </c>
      <c r="B30" s="25" t="s">
        <v>119</v>
      </c>
    </row>
    <row r="35" spans="1:1" ht="23.4" x14ac:dyDescent="0.45">
      <c r="A35" s="9" t="s">
        <v>120</v>
      </c>
    </row>
    <row r="36" spans="1:1" ht="163.80000000000001" x14ac:dyDescent="0.45">
      <c r="A36" s="28" t="s">
        <v>121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88C1C-4D90-41BA-9535-4C28A4AB5D89}">
  <dimension ref="A1:AI1471"/>
  <sheetViews>
    <sheetView workbookViewId="0"/>
  </sheetViews>
  <sheetFormatPr defaultRowHeight="14.4" x14ac:dyDescent="0.3"/>
  <sheetData>
    <row r="1" spans="1:3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row>
    <row r="2" spans="1:35" x14ac:dyDescent="0.3">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row>
    <row r="3" spans="1:35" x14ac:dyDescent="0.3">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row>
    <row r="4" spans="1:35" x14ac:dyDescent="0.3">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row>
    <row r="5" spans="1:35" x14ac:dyDescent="0.3">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row>
    <row r="6" spans="1:35" x14ac:dyDescent="0.3">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row>
    <row r="7" spans="1:35" x14ac:dyDescent="0.3">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row>
    <row r="8" spans="1:35" x14ac:dyDescent="0.3">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row>
    <row r="9" spans="1:35" x14ac:dyDescent="0.3">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row>
    <row r="10" spans="1:35" x14ac:dyDescent="0.3">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row>
    <row r="11" spans="1:35" x14ac:dyDescent="0.3">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row>
    <row r="12" spans="1:35" x14ac:dyDescent="0.3">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row>
    <row r="13" spans="1:35" x14ac:dyDescent="0.3">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row>
    <row r="14" spans="1:35" x14ac:dyDescent="0.3">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row>
    <row r="15" spans="1:35" x14ac:dyDescent="0.3">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row>
    <row r="16" spans="1:35" x14ac:dyDescent="0.3">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row>
    <row r="17" spans="1:35" x14ac:dyDescent="0.3">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row>
    <row r="18" spans="1:35" x14ac:dyDescent="0.3">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row>
    <row r="19" spans="1:35" x14ac:dyDescent="0.3">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row>
    <row r="20" spans="1:35" x14ac:dyDescent="0.3">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row>
    <row r="21" spans="1:35" x14ac:dyDescent="0.3">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row>
    <row r="22" spans="1:35" x14ac:dyDescent="0.3">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row>
    <row r="23" spans="1:35" x14ac:dyDescent="0.3">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row>
    <row r="24" spans="1:35" x14ac:dyDescent="0.3">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row>
    <row r="25" spans="1:35" x14ac:dyDescent="0.3">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row>
    <row r="26" spans="1:35" x14ac:dyDescent="0.3">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row>
    <row r="27" spans="1:35" x14ac:dyDescent="0.3">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row>
    <row r="28" spans="1:35" x14ac:dyDescent="0.3">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row>
    <row r="29" spans="1:35" x14ac:dyDescent="0.3">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row>
    <row r="30" spans="1:35" x14ac:dyDescent="0.3">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row>
    <row r="31" spans="1:35" x14ac:dyDescent="0.3">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row>
    <row r="32" spans="1:35" x14ac:dyDescent="0.3">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row>
    <row r="33" spans="1:35" x14ac:dyDescent="0.3">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row>
    <row r="34" spans="1:35" x14ac:dyDescent="0.3">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row>
    <row r="35" spans="1:35" x14ac:dyDescent="0.3">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row>
    <row r="36" spans="1:35" x14ac:dyDescent="0.3">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row>
    <row r="37" spans="1:35" x14ac:dyDescent="0.3">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row>
    <row r="38" spans="1:35" x14ac:dyDescent="0.3">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row>
    <row r="39" spans="1:35" x14ac:dyDescent="0.3">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row>
    <row r="40" spans="1:35" x14ac:dyDescent="0.3">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row>
    <row r="41" spans="1:35" x14ac:dyDescent="0.3">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row>
    <row r="42" spans="1:35" x14ac:dyDescent="0.3">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row>
    <row r="43" spans="1:35" x14ac:dyDescent="0.3">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row>
    <row r="44" spans="1:35" x14ac:dyDescent="0.3">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row>
    <row r="45" spans="1:35" x14ac:dyDescent="0.3">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row>
    <row r="46" spans="1:35" x14ac:dyDescent="0.3">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row>
    <row r="47" spans="1:35" x14ac:dyDescent="0.3">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row>
    <row r="48" spans="1:35" x14ac:dyDescent="0.3">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row>
    <row r="49" spans="1:35" x14ac:dyDescent="0.3">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row>
    <row r="50" spans="1:35" x14ac:dyDescent="0.3">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row>
    <row r="51" spans="1:35" x14ac:dyDescent="0.3">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row>
    <row r="52" spans="1:35" x14ac:dyDescent="0.3">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row>
    <row r="53" spans="1:35" x14ac:dyDescent="0.3">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row>
    <row r="54" spans="1:35" x14ac:dyDescent="0.3">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row>
    <row r="55" spans="1:35" x14ac:dyDescent="0.3">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row>
    <row r="56" spans="1:35" x14ac:dyDescent="0.3">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row>
    <row r="57" spans="1:35" x14ac:dyDescent="0.3">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row>
    <row r="58" spans="1:35" x14ac:dyDescent="0.3">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row>
    <row r="59" spans="1:35" x14ac:dyDescent="0.3">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row>
    <row r="60" spans="1:35" x14ac:dyDescent="0.3">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row>
    <row r="61" spans="1:35" x14ac:dyDescent="0.3">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row>
    <row r="62" spans="1:35" x14ac:dyDescent="0.3">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row>
    <row r="63" spans="1:35" x14ac:dyDescent="0.3">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row>
    <row r="64" spans="1:35" x14ac:dyDescent="0.3">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row>
    <row r="65" spans="1:35" x14ac:dyDescent="0.3">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row>
    <row r="66" spans="1:35" x14ac:dyDescent="0.3">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row>
    <row r="67" spans="1:35" x14ac:dyDescent="0.3">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row>
    <row r="68" spans="1:35" x14ac:dyDescent="0.3">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row>
    <row r="69" spans="1:35" x14ac:dyDescent="0.3">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row>
    <row r="70" spans="1:35" x14ac:dyDescent="0.3">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row>
    <row r="71" spans="1:35" x14ac:dyDescent="0.3">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row>
    <row r="72" spans="1:35" x14ac:dyDescent="0.3">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row>
    <row r="73" spans="1:35" x14ac:dyDescent="0.3">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row>
    <row r="74" spans="1:35" x14ac:dyDescent="0.3">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row>
    <row r="75" spans="1:35" x14ac:dyDescent="0.3">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row>
    <row r="76" spans="1:35" x14ac:dyDescent="0.3">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row>
    <row r="77" spans="1:35" x14ac:dyDescent="0.3">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row>
    <row r="78" spans="1:35" x14ac:dyDescent="0.3">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row>
    <row r="79" spans="1:35" x14ac:dyDescent="0.3">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row>
    <row r="80" spans="1:35" x14ac:dyDescent="0.3">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row>
    <row r="81" spans="1:35" x14ac:dyDescent="0.3">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row>
    <row r="82" spans="1:35" x14ac:dyDescent="0.3">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row>
    <row r="83" spans="1:35" x14ac:dyDescent="0.3">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row>
    <row r="84" spans="1:35" x14ac:dyDescent="0.3">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row>
    <row r="85" spans="1:35" x14ac:dyDescent="0.3">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row>
    <row r="86" spans="1:35" x14ac:dyDescent="0.3">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row>
    <row r="87" spans="1:35" x14ac:dyDescent="0.3">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row>
    <row r="88" spans="1:35" x14ac:dyDescent="0.3">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row>
    <row r="89" spans="1:35" x14ac:dyDescent="0.3">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row>
    <row r="90" spans="1:35" x14ac:dyDescent="0.3">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row>
    <row r="91" spans="1:35" x14ac:dyDescent="0.3">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row>
    <row r="92" spans="1:35" x14ac:dyDescent="0.3">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row>
    <row r="93" spans="1:35" x14ac:dyDescent="0.3">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row>
    <row r="94" spans="1:35" x14ac:dyDescent="0.3">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row>
    <row r="95" spans="1:35" x14ac:dyDescent="0.3">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row>
    <row r="96" spans="1:35" x14ac:dyDescent="0.3">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row>
    <row r="97" spans="1:35" x14ac:dyDescent="0.3">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row>
    <row r="98" spans="1:35" x14ac:dyDescent="0.3">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row>
    <row r="99" spans="1:35" x14ac:dyDescent="0.3">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row>
    <row r="100" spans="1:35" x14ac:dyDescent="0.3">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row>
    <row r="101" spans="1:35" x14ac:dyDescent="0.3">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row>
    <row r="102" spans="1:35" x14ac:dyDescent="0.3">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row>
    <row r="103" spans="1:35" x14ac:dyDescent="0.3">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row>
    <row r="104" spans="1:35" x14ac:dyDescent="0.3">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row>
    <row r="105" spans="1:35" x14ac:dyDescent="0.3">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row>
    <row r="106" spans="1:35" x14ac:dyDescent="0.3">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row>
    <row r="107" spans="1:35" x14ac:dyDescent="0.3">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row>
    <row r="108" spans="1:35" x14ac:dyDescent="0.3">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row>
    <row r="109" spans="1:35" x14ac:dyDescent="0.3">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row>
    <row r="110" spans="1:35" x14ac:dyDescent="0.3">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row>
    <row r="111" spans="1:35" x14ac:dyDescent="0.3">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row>
    <row r="112" spans="1:35" x14ac:dyDescent="0.3">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row>
    <row r="113" spans="1:35" x14ac:dyDescent="0.3">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row>
    <row r="114" spans="1:35" x14ac:dyDescent="0.3">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row>
    <row r="115" spans="1:35" x14ac:dyDescent="0.3">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row>
    <row r="116" spans="1:35" x14ac:dyDescent="0.3">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row>
    <row r="117" spans="1:35" x14ac:dyDescent="0.3">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row>
    <row r="118" spans="1:35" x14ac:dyDescent="0.3">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row>
    <row r="119" spans="1:35" x14ac:dyDescent="0.3">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row>
    <row r="120" spans="1:35" x14ac:dyDescent="0.3">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row>
    <row r="121" spans="1:35" x14ac:dyDescent="0.3">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row>
    <row r="122" spans="1:35" x14ac:dyDescent="0.3">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row>
    <row r="123" spans="1:35" x14ac:dyDescent="0.3">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row>
    <row r="124" spans="1:35" x14ac:dyDescent="0.3">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row>
    <row r="125" spans="1:35" x14ac:dyDescent="0.3">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row>
    <row r="126" spans="1:35" x14ac:dyDescent="0.3">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row>
    <row r="127" spans="1:35" x14ac:dyDescent="0.3">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row>
    <row r="128" spans="1:35" x14ac:dyDescent="0.3">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row>
    <row r="129" spans="1:35" x14ac:dyDescent="0.3">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row>
    <row r="130" spans="1:35" x14ac:dyDescent="0.3">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row>
    <row r="131" spans="1:35" x14ac:dyDescent="0.3">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row>
    <row r="132" spans="1:35" x14ac:dyDescent="0.3">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row>
    <row r="133" spans="1:35" x14ac:dyDescent="0.3">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row>
    <row r="134" spans="1:35" x14ac:dyDescent="0.3">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row>
    <row r="135" spans="1:35" x14ac:dyDescent="0.3">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row>
    <row r="136" spans="1:35" x14ac:dyDescent="0.3">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row>
    <row r="137" spans="1:35" x14ac:dyDescent="0.3">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row>
    <row r="138" spans="1:35" x14ac:dyDescent="0.3">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row>
    <row r="139" spans="1:35" x14ac:dyDescent="0.3">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row>
    <row r="140" spans="1:35" x14ac:dyDescent="0.3">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row>
    <row r="141" spans="1:35" x14ac:dyDescent="0.3">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row>
    <row r="142" spans="1:35" x14ac:dyDescent="0.3">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row>
    <row r="143" spans="1:35" x14ac:dyDescent="0.3">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row>
    <row r="144" spans="1:35" x14ac:dyDescent="0.3">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row>
    <row r="145" spans="1:35" x14ac:dyDescent="0.3">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row>
    <row r="146" spans="1:35" x14ac:dyDescent="0.3">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row>
    <row r="147" spans="1:35" x14ac:dyDescent="0.3">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row>
    <row r="148" spans="1:35" x14ac:dyDescent="0.3">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row>
    <row r="149" spans="1:35" x14ac:dyDescent="0.3">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row>
    <row r="150" spans="1:35" x14ac:dyDescent="0.3">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row>
    <row r="151" spans="1:35" x14ac:dyDescent="0.3">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row>
    <row r="152" spans="1:35" x14ac:dyDescent="0.3">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row>
    <row r="153" spans="1:35" x14ac:dyDescent="0.3">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row>
    <row r="154" spans="1:35" x14ac:dyDescent="0.3">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row>
    <row r="155" spans="1:35" x14ac:dyDescent="0.3">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row>
    <row r="156" spans="1:35" x14ac:dyDescent="0.3">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row>
    <row r="157" spans="1:35" x14ac:dyDescent="0.3">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row>
    <row r="158" spans="1:35" x14ac:dyDescent="0.3">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row>
    <row r="159" spans="1:35" x14ac:dyDescent="0.3">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row>
    <row r="160" spans="1:35" x14ac:dyDescent="0.3">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row>
    <row r="161" spans="1:35" x14ac:dyDescent="0.3">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row>
    <row r="162" spans="1:35" x14ac:dyDescent="0.3">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row>
    <row r="163" spans="1:35" x14ac:dyDescent="0.3">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row>
    <row r="164" spans="1:35" x14ac:dyDescent="0.3">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row>
    <row r="165" spans="1:35" x14ac:dyDescent="0.3">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row>
    <row r="166" spans="1:35" x14ac:dyDescent="0.3">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row>
    <row r="167" spans="1:35" x14ac:dyDescent="0.3">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row>
    <row r="168" spans="1:35" x14ac:dyDescent="0.3">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row>
    <row r="169" spans="1:35" x14ac:dyDescent="0.3">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row>
    <row r="170" spans="1:35" x14ac:dyDescent="0.3">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row>
    <row r="171" spans="1:35" x14ac:dyDescent="0.3">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row>
    <row r="172" spans="1:35" x14ac:dyDescent="0.3">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row>
    <row r="173" spans="1:35" x14ac:dyDescent="0.3">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row>
    <row r="174" spans="1:35" x14ac:dyDescent="0.3">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row>
    <row r="175" spans="1:35" x14ac:dyDescent="0.3">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row>
    <row r="176" spans="1:35" x14ac:dyDescent="0.3">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row>
    <row r="177" spans="1:35" x14ac:dyDescent="0.3">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row>
    <row r="178" spans="1:35" x14ac:dyDescent="0.3">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row>
    <row r="179" spans="1:35" x14ac:dyDescent="0.3">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row>
    <row r="180" spans="1:35" x14ac:dyDescent="0.3">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row>
    <row r="181" spans="1:35" x14ac:dyDescent="0.3">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row>
    <row r="182" spans="1:35" x14ac:dyDescent="0.3">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row>
    <row r="183" spans="1:35" x14ac:dyDescent="0.3">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row>
    <row r="184" spans="1:35" x14ac:dyDescent="0.3">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row>
    <row r="185" spans="1:35" x14ac:dyDescent="0.3">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row>
    <row r="186" spans="1:35" x14ac:dyDescent="0.3">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row>
    <row r="187" spans="1:35" x14ac:dyDescent="0.3">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row>
    <row r="188" spans="1:35" x14ac:dyDescent="0.3">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row>
    <row r="189" spans="1:35" x14ac:dyDescent="0.3">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row>
    <row r="190" spans="1:35" x14ac:dyDescent="0.3">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row>
    <row r="191" spans="1:35" x14ac:dyDescent="0.3">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row>
    <row r="192" spans="1:35" x14ac:dyDescent="0.3">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row>
    <row r="193" spans="1:35" x14ac:dyDescent="0.3">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row>
    <row r="194" spans="1:35" x14ac:dyDescent="0.3">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row>
    <row r="195" spans="1:35" x14ac:dyDescent="0.3">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row>
    <row r="196" spans="1:35" x14ac:dyDescent="0.3">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row>
    <row r="197" spans="1:35" x14ac:dyDescent="0.3">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row>
    <row r="198" spans="1:35" x14ac:dyDescent="0.3">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row>
    <row r="199" spans="1:35" x14ac:dyDescent="0.3">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row>
    <row r="200" spans="1:35" x14ac:dyDescent="0.3">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row>
    <row r="201" spans="1:35" x14ac:dyDescent="0.3">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row>
    <row r="202" spans="1:35" x14ac:dyDescent="0.3">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row>
    <row r="203" spans="1:35" x14ac:dyDescent="0.3">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row>
    <row r="204" spans="1:35" x14ac:dyDescent="0.3">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row>
    <row r="205" spans="1:35" x14ac:dyDescent="0.3">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row>
    <row r="206" spans="1:35" x14ac:dyDescent="0.3">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row>
    <row r="207" spans="1:35" x14ac:dyDescent="0.3">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row>
    <row r="208" spans="1:35" x14ac:dyDescent="0.3">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row>
    <row r="209" spans="1:35" x14ac:dyDescent="0.3">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row>
    <row r="210" spans="1:35" x14ac:dyDescent="0.3">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row>
    <row r="211" spans="1:35" x14ac:dyDescent="0.3">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row>
    <row r="212" spans="1:35" x14ac:dyDescent="0.3">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row>
    <row r="213" spans="1:35" x14ac:dyDescent="0.3">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row>
    <row r="214" spans="1:35" x14ac:dyDescent="0.3">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row>
    <row r="215" spans="1:35" x14ac:dyDescent="0.3">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row>
    <row r="216" spans="1:35" x14ac:dyDescent="0.3">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row>
    <row r="217" spans="1:35" x14ac:dyDescent="0.3">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row>
    <row r="218" spans="1:35" x14ac:dyDescent="0.3">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row>
    <row r="219" spans="1:35" x14ac:dyDescent="0.3">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row>
    <row r="220" spans="1:35" x14ac:dyDescent="0.3">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row>
    <row r="221" spans="1:35" x14ac:dyDescent="0.3">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row>
    <row r="222" spans="1:35" x14ac:dyDescent="0.3">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row>
    <row r="223" spans="1:35" x14ac:dyDescent="0.3">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row>
    <row r="224" spans="1:35" x14ac:dyDescent="0.3">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row>
    <row r="225" spans="1:35" x14ac:dyDescent="0.3">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row>
    <row r="226" spans="1:35" x14ac:dyDescent="0.3">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row>
    <row r="227" spans="1:35" x14ac:dyDescent="0.3">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row>
    <row r="228" spans="1:35" x14ac:dyDescent="0.3">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row>
    <row r="229" spans="1:35" x14ac:dyDescent="0.3">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row>
    <row r="230" spans="1:35" x14ac:dyDescent="0.3">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row>
    <row r="231" spans="1:35" x14ac:dyDescent="0.3">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row>
    <row r="232" spans="1:35" x14ac:dyDescent="0.3">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row>
    <row r="233" spans="1:35" x14ac:dyDescent="0.3">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row>
    <row r="234" spans="1:35" x14ac:dyDescent="0.3">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row>
    <row r="235" spans="1:35" x14ac:dyDescent="0.3">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row>
    <row r="236" spans="1:35" x14ac:dyDescent="0.3">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row>
    <row r="237" spans="1:35" x14ac:dyDescent="0.3">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row>
    <row r="238" spans="1:35" x14ac:dyDescent="0.3">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row>
    <row r="239" spans="1:35" x14ac:dyDescent="0.3">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row>
    <row r="240" spans="1:35" x14ac:dyDescent="0.3">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row>
    <row r="241" spans="1:35" x14ac:dyDescent="0.3">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row>
    <row r="242" spans="1:35" x14ac:dyDescent="0.3">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row>
    <row r="243" spans="1:35" x14ac:dyDescent="0.3">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row>
    <row r="244" spans="1:35" x14ac:dyDescent="0.3">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row>
    <row r="245" spans="1:35" x14ac:dyDescent="0.3">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row>
    <row r="246" spans="1:35" x14ac:dyDescent="0.3">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row>
    <row r="247" spans="1:35" x14ac:dyDescent="0.3">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row>
    <row r="248" spans="1:35" x14ac:dyDescent="0.3">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row>
    <row r="249" spans="1:35" x14ac:dyDescent="0.3">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row>
    <row r="250" spans="1:35" x14ac:dyDescent="0.3">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row>
    <row r="251" spans="1:35" x14ac:dyDescent="0.3">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row>
    <row r="252" spans="1:35" x14ac:dyDescent="0.3">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row>
    <row r="253" spans="1:35" x14ac:dyDescent="0.3">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row>
    <row r="254" spans="1:35" x14ac:dyDescent="0.3">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row>
    <row r="255" spans="1:35" x14ac:dyDescent="0.3">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row>
    <row r="256" spans="1:35" x14ac:dyDescent="0.3">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row>
    <row r="257" spans="1:35" x14ac:dyDescent="0.3">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row>
    <row r="258" spans="1:35" x14ac:dyDescent="0.3">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row>
    <row r="259" spans="1:35" x14ac:dyDescent="0.3">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row>
    <row r="260" spans="1:35" x14ac:dyDescent="0.3">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row>
    <row r="261" spans="1:35" x14ac:dyDescent="0.3">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row>
    <row r="262" spans="1:35" x14ac:dyDescent="0.3">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row>
    <row r="263" spans="1:35" x14ac:dyDescent="0.3">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row>
    <row r="264" spans="1:35" x14ac:dyDescent="0.3">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row>
    <row r="265" spans="1:35" x14ac:dyDescent="0.3">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row>
    <row r="266" spans="1:35" x14ac:dyDescent="0.3">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row>
    <row r="267" spans="1:35" x14ac:dyDescent="0.3">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row>
    <row r="268" spans="1:35" x14ac:dyDescent="0.3">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row>
    <row r="269" spans="1:35" x14ac:dyDescent="0.3">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row>
    <row r="270" spans="1:35" x14ac:dyDescent="0.3">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row>
    <row r="271" spans="1:35" x14ac:dyDescent="0.3">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row>
    <row r="272" spans="1:35" x14ac:dyDescent="0.3">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row>
    <row r="273" spans="1:35" x14ac:dyDescent="0.3">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row>
    <row r="274" spans="1:35" x14ac:dyDescent="0.3">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row>
    <row r="275" spans="1:35" x14ac:dyDescent="0.3">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row>
    <row r="276" spans="1:35" x14ac:dyDescent="0.3">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row>
    <row r="277" spans="1:35" x14ac:dyDescent="0.3">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row>
    <row r="278" spans="1:35" x14ac:dyDescent="0.3">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row>
    <row r="279" spans="1:35" x14ac:dyDescent="0.3">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row>
    <row r="280" spans="1:35" x14ac:dyDescent="0.3">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row>
    <row r="281" spans="1:35" x14ac:dyDescent="0.3">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row>
    <row r="282" spans="1:35" x14ac:dyDescent="0.3">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row>
    <row r="283" spans="1:35" x14ac:dyDescent="0.3">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row>
    <row r="284" spans="1:35" x14ac:dyDescent="0.3">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row>
    <row r="285" spans="1:35" x14ac:dyDescent="0.3">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row>
    <row r="286" spans="1:35" x14ac:dyDescent="0.3">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row>
    <row r="287" spans="1:35" x14ac:dyDescent="0.3">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row>
    <row r="288" spans="1:35" x14ac:dyDescent="0.3">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row>
    <row r="289" spans="1:35" x14ac:dyDescent="0.3">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row>
    <row r="290" spans="1:35" x14ac:dyDescent="0.3">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row>
    <row r="291" spans="1:35" x14ac:dyDescent="0.3">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row>
    <row r="292" spans="1:35" x14ac:dyDescent="0.3">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row>
    <row r="293" spans="1:35" x14ac:dyDescent="0.3">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row>
    <row r="294" spans="1:35" x14ac:dyDescent="0.3">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row>
    <row r="295" spans="1:35" x14ac:dyDescent="0.3">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row>
    <row r="296" spans="1:35" x14ac:dyDescent="0.3">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row>
    <row r="297" spans="1:35" x14ac:dyDescent="0.3">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row>
    <row r="298" spans="1:35" x14ac:dyDescent="0.3">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row>
    <row r="299" spans="1:35" x14ac:dyDescent="0.3">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row>
    <row r="300" spans="1:35" x14ac:dyDescent="0.3">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row>
    <row r="301" spans="1:35" x14ac:dyDescent="0.3">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row>
    <row r="302" spans="1:35" x14ac:dyDescent="0.3">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row>
    <row r="303" spans="1:35" x14ac:dyDescent="0.3">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row>
    <row r="304" spans="1:35" x14ac:dyDescent="0.3">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row>
    <row r="305" spans="1:35" x14ac:dyDescent="0.3">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row>
    <row r="306" spans="1:35" x14ac:dyDescent="0.3">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row>
    <row r="307" spans="1:35" x14ac:dyDescent="0.3">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row>
    <row r="308" spans="1:35" x14ac:dyDescent="0.3">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row>
    <row r="309" spans="1:35" x14ac:dyDescent="0.3">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row>
    <row r="310" spans="1:35" x14ac:dyDescent="0.3">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row>
    <row r="311" spans="1:35" x14ac:dyDescent="0.3">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row>
    <row r="312" spans="1:35" x14ac:dyDescent="0.3">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row>
    <row r="313" spans="1:35" x14ac:dyDescent="0.3">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row>
    <row r="314" spans="1:35" x14ac:dyDescent="0.3">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row>
    <row r="315" spans="1:35" x14ac:dyDescent="0.3">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row>
    <row r="316" spans="1:35" x14ac:dyDescent="0.3">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row>
    <row r="317" spans="1:35" x14ac:dyDescent="0.3">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row>
    <row r="318" spans="1:35" x14ac:dyDescent="0.3">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row>
    <row r="319" spans="1:35" x14ac:dyDescent="0.3">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row>
    <row r="320" spans="1:35" x14ac:dyDescent="0.3">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row>
    <row r="321" spans="1:35" x14ac:dyDescent="0.3">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row>
    <row r="322" spans="1:35" x14ac:dyDescent="0.3">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row>
    <row r="323" spans="1:35" x14ac:dyDescent="0.3">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row>
    <row r="324" spans="1:35" x14ac:dyDescent="0.3">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row>
    <row r="325" spans="1:35" x14ac:dyDescent="0.3">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row>
    <row r="326" spans="1:35" x14ac:dyDescent="0.3">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row>
    <row r="327" spans="1:35" x14ac:dyDescent="0.3">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row>
    <row r="328" spans="1:35" x14ac:dyDescent="0.3">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row>
    <row r="329" spans="1:35" x14ac:dyDescent="0.3">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row>
    <row r="330" spans="1:35" x14ac:dyDescent="0.3">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row>
    <row r="331" spans="1:35" x14ac:dyDescent="0.3">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row>
    <row r="332" spans="1:35" x14ac:dyDescent="0.3">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row>
    <row r="333" spans="1:35" x14ac:dyDescent="0.3">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row>
    <row r="334" spans="1:35" x14ac:dyDescent="0.3">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row>
    <row r="335" spans="1:35" x14ac:dyDescent="0.3">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row>
    <row r="336" spans="1:35" x14ac:dyDescent="0.3">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row>
    <row r="337" spans="1:35" x14ac:dyDescent="0.3">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row>
    <row r="338" spans="1:35" x14ac:dyDescent="0.3">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row>
    <row r="339" spans="1:35" x14ac:dyDescent="0.3">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row>
    <row r="340" spans="1:35" x14ac:dyDescent="0.3">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row>
    <row r="341" spans="1:35" x14ac:dyDescent="0.3">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row>
    <row r="342" spans="1:35" x14ac:dyDescent="0.3">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row>
    <row r="343" spans="1:35" x14ac:dyDescent="0.3">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row>
    <row r="344" spans="1:35" x14ac:dyDescent="0.3">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row>
    <row r="345" spans="1:35" x14ac:dyDescent="0.3">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row>
    <row r="346" spans="1:35" x14ac:dyDescent="0.3">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row>
    <row r="347" spans="1:35" x14ac:dyDescent="0.3">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row>
    <row r="348" spans="1:35" x14ac:dyDescent="0.3">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row>
    <row r="349" spans="1:35" x14ac:dyDescent="0.3">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row>
    <row r="350" spans="1:35" x14ac:dyDescent="0.3">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row>
    <row r="351" spans="1:35" x14ac:dyDescent="0.3">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row>
    <row r="352" spans="1:35" x14ac:dyDescent="0.3">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row>
    <row r="353" spans="1:35" x14ac:dyDescent="0.3">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row>
    <row r="354" spans="1:35" x14ac:dyDescent="0.3">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row>
    <row r="355" spans="1:35" x14ac:dyDescent="0.3">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row>
    <row r="356" spans="1:35" x14ac:dyDescent="0.3">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row>
    <row r="357" spans="1:35" x14ac:dyDescent="0.3">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row>
    <row r="358" spans="1:35" x14ac:dyDescent="0.3">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row>
    <row r="359" spans="1:35" x14ac:dyDescent="0.3">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row>
    <row r="360" spans="1:35" x14ac:dyDescent="0.3">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row>
    <row r="361" spans="1:35" x14ac:dyDescent="0.3">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row>
    <row r="362" spans="1:35" x14ac:dyDescent="0.3">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row>
    <row r="363" spans="1:35" x14ac:dyDescent="0.3">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row>
    <row r="364" spans="1:35" x14ac:dyDescent="0.3">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row>
    <row r="365" spans="1:35" x14ac:dyDescent="0.3">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row>
    <row r="366" spans="1:35" x14ac:dyDescent="0.3">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row>
    <row r="367" spans="1:35" x14ac:dyDescent="0.3">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row>
    <row r="368" spans="1:35" x14ac:dyDescent="0.3">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row>
    <row r="369" spans="1:35" x14ac:dyDescent="0.3">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row>
    <row r="370" spans="1:35" x14ac:dyDescent="0.3">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row>
    <row r="371" spans="1:35" x14ac:dyDescent="0.3">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row>
    <row r="372" spans="1:35" x14ac:dyDescent="0.3">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row>
    <row r="373" spans="1:35" x14ac:dyDescent="0.3">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row>
    <row r="374" spans="1:35" x14ac:dyDescent="0.3">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row>
    <row r="375" spans="1:35" x14ac:dyDescent="0.3">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row>
    <row r="376" spans="1:35" x14ac:dyDescent="0.3">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row>
    <row r="377" spans="1:35" x14ac:dyDescent="0.3">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row>
    <row r="378" spans="1:35" x14ac:dyDescent="0.3">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row>
    <row r="379" spans="1:35" x14ac:dyDescent="0.3">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row>
    <row r="380" spans="1:35" x14ac:dyDescent="0.3">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row>
    <row r="381" spans="1:35" x14ac:dyDescent="0.3">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row>
    <row r="382" spans="1:35" x14ac:dyDescent="0.3">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row>
    <row r="383" spans="1:35" x14ac:dyDescent="0.3">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row>
    <row r="384" spans="1:35" x14ac:dyDescent="0.3">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row>
    <row r="385" spans="1:35" x14ac:dyDescent="0.3">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row>
    <row r="386" spans="1:35" x14ac:dyDescent="0.3">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row>
    <row r="387" spans="1:35" x14ac:dyDescent="0.3">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row>
    <row r="388" spans="1:35" x14ac:dyDescent="0.3">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row>
    <row r="389" spans="1:35" x14ac:dyDescent="0.3">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row>
    <row r="390" spans="1:35" x14ac:dyDescent="0.3">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row>
    <row r="391" spans="1:35" x14ac:dyDescent="0.3">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row>
    <row r="392" spans="1:35" x14ac:dyDescent="0.3">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row>
    <row r="393" spans="1:35" x14ac:dyDescent="0.3">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row>
    <row r="394" spans="1:35" x14ac:dyDescent="0.3">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row>
    <row r="395" spans="1:35" x14ac:dyDescent="0.3">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row>
    <row r="396" spans="1:35" x14ac:dyDescent="0.3">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row>
    <row r="397" spans="1:35" x14ac:dyDescent="0.3">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row>
    <row r="398" spans="1:35" x14ac:dyDescent="0.3">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row>
    <row r="399" spans="1:35" x14ac:dyDescent="0.3">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row>
    <row r="400" spans="1:35" x14ac:dyDescent="0.3">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row>
    <row r="401" spans="1:35" x14ac:dyDescent="0.3">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row>
    <row r="402" spans="1:35" x14ac:dyDescent="0.3">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row>
    <row r="403" spans="1:35" x14ac:dyDescent="0.3">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row>
    <row r="404" spans="1:35" x14ac:dyDescent="0.3">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row>
    <row r="405" spans="1:35" x14ac:dyDescent="0.3">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row>
    <row r="406" spans="1:35" x14ac:dyDescent="0.3">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row>
    <row r="407" spans="1:35" x14ac:dyDescent="0.3">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row>
    <row r="408" spans="1:35" x14ac:dyDescent="0.3">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row>
    <row r="409" spans="1:35" x14ac:dyDescent="0.3">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row>
    <row r="410" spans="1:35" x14ac:dyDescent="0.3">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row>
    <row r="411" spans="1:35" x14ac:dyDescent="0.3">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row>
    <row r="412" spans="1:35" x14ac:dyDescent="0.3">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row>
    <row r="413" spans="1:35" x14ac:dyDescent="0.3">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row>
    <row r="414" spans="1:35" x14ac:dyDescent="0.3">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row>
    <row r="415" spans="1:35" x14ac:dyDescent="0.3">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row>
    <row r="416" spans="1:35" x14ac:dyDescent="0.3">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row>
    <row r="417" spans="1:35" x14ac:dyDescent="0.3">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row>
    <row r="418" spans="1:35" x14ac:dyDescent="0.3">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row>
    <row r="419" spans="1:35" x14ac:dyDescent="0.3">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row>
    <row r="420" spans="1:35" x14ac:dyDescent="0.3">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row>
    <row r="421" spans="1:35" x14ac:dyDescent="0.3">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row>
    <row r="422" spans="1:35" x14ac:dyDescent="0.3">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row>
    <row r="423" spans="1:35" x14ac:dyDescent="0.3">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row>
    <row r="424" spans="1:35" x14ac:dyDescent="0.3">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row>
    <row r="425" spans="1:35" x14ac:dyDescent="0.3">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row>
    <row r="426" spans="1:35" x14ac:dyDescent="0.3">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row>
    <row r="427" spans="1:35" x14ac:dyDescent="0.3">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row>
    <row r="428" spans="1:35" x14ac:dyDescent="0.3">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row>
    <row r="429" spans="1:35" x14ac:dyDescent="0.3">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row>
    <row r="430" spans="1:35" x14ac:dyDescent="0.3">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row>
    <row r="431" spans="1:35" x14ac:dyDescent="0.3">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row>
    <row r="432" spans="1:35" x14ac:dyDescent="0.3">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row>
    <row r="433" spans="1:35" x14ac:dyDescent="0.3">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row>
    <row r="434" spans="1:35" x14ac:dyDescent="0.3">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row>
    <row r="435" spans="1:35" x14ac:dyDescent="0.3">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row>
    <row r="436" spans="1:35" x14ac:dyDescent="0.3">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row>
    <row r="437" spans="1:35" x14ac:dyDescent="0.3">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row>
    <row r="438" spans="1:35" x14ac:dyDescent="0.3">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row>
    <row r="439" spans="1:35" x14ac:dyDescent="0.3">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row>
    <row r="440" spans="1:35" x14ac:dyDescent="0.3">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row>
    <row r="441" spans="1:35" x14ac:dyDescent="0.3">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row>
    <row r="442" spans="1:35" x14ac:dyDescent="0.3">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row>
    <row r="443" spans="1:35" x14ac:dyDescent="0.3">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row>
    <row r="444" spans="1:35" x14ac:dyDescent="0.3">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row>
    <row r="445" spans="1:35" x14ac:dyDescent="0.3">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row>
    <row r="446" spans="1:35" x14ac:dyDescent="0.3">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row>
    <row r="447" spans="1:35" x14ac:dyDescent="0.3">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row>
    <row r="448" spans="1:35" x14ac:dyDescent="0.3">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row>
    <row r="449" spans="1:35" x14ac:dyDescent="0.3">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row>
    <row r="450" spans="1:35" x14ac:dyDescent="0.3">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row>
    <row r="451" spans="1:35" x14ac:dyDescent="0.3">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row>
    <row r="452" spans="1:35" x14ac:dyDescent="0.3">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row>
    <row r="453" spans="1:35" x14ac:dyDescent="0.3">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row>
    <row r="454" spans="1:35" x14ac:dyDescent="0.3">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row>
    <row r="455" spans="1:35" x14ac:dyDescent="0.3">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row>
    <row r="456" spans="1:35" x14ac:dyDescent="0.3">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row>
    <row r="457" spans="1:35" x14ac:dyDescent="0.3">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row>
    <row r="458" spans="1:35" x14ac:dyDescent="0.3">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row>
    <row r="459" spans="1:35" x14ac:dyDescent="0.3">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row>
    <row r="460" spans="1:35" x14ac:dyDescent="0.3">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row>
    <row r="461" spans="1:35" x14ac:dyDescent="0.3">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row>
    <row r="462" spans="1:35" x14ac:dyDescent="0.3">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row>
    <row r="463" spans="1:35" x14ac:dyDescent="0.3">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row>
    <row r="464" spans="1:35" x14ac:dyDescent="0.3">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row>
    <row r="465" spans="1:35" x14ac:dyDescent="0.3">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row>
    <row r="466" spans="1:35" x14ac:dyDescent="0.3">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row>
    <row r="467" spans="1:35" x14ac:dyDescent="0.3">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row>
    <row r="468" spans="1:35" x14ac:dyDescent="0.3">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row>
    <row r="469" spans="1:35" x14ac:dyDescent="0.3">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row>
    <row r="470" spans="1:35" x14ac:dyDescent="0.3">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row>
    <row r="471" spans="1:35" x14ac:dyDescent="0.3">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row>
    <row r="472" spans="1:35" x14ac:dyDescent="0.3">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row>
    <row r="473" spans="1:35" x14ac:dyDescent="0.3">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row>
    <row r="474" spans="1:35" x14ac:dyDescent="0.3">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row>
    <row r="475" spans="1:35" x14ac:dyDescent="0.3">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row>
    <row r="476" spans="1:35" x14ac:dyDescent="0.3">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row>
    <row r="477" spans="1:35" x14ac:dyDescent="0.3">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row>
    <row r="478" spans="1:35" x14ac:dyDescent="0.3">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row>
    <row r="479" spans="1:35" x14ac:dyDescent="0.3">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row>
    <row r="480" spans="1:35" x14ac:dyDescent="0.3">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row>
    <row r="481" spans="1:35" x14ac:dyDescent="0.3">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row>
    <row r="482" spans="1:35" x14ac:dyDescent="0.3">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row>
    <row r="483" spans="1:35" x14ac:dyDescent="0.3">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row>
    <row r="484" spans="1:35" x14ac:dyDescent="0.3">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row>
    <row r="485" spans="1:35" x14ac:dyDescent="0.3">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row>
    <row r="486" spans="1:35" x14ac:dyDescent="0.3">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row>
    <row r="487" spans="1:35" x14ac:dyDescent="0.3">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row>
    <row r="488" spans="1:35" x14ac:dyDescent="0.3">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row>
    <row r="489" spans="1:35" x14ac:dyDescent="0.3">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row>
    <row r="490" spans="1:35" x14ac:dyDescent="0.3">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row>
    <row r="491" spans="1:35" x14ac:dyDescent="0.3">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row>
    <row r="492" spans="1:35" x14ac:dyDescent="0.3">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row>
    <row r="493" spans="1:35" x14ac:dyDescent="0.3">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row>
    <row r="494" spans="1:35" x14ac:dyDescent="0.3">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row>
    <row r="495" spans="1:35" x14ac:dyDescent="0.3">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row>
    <row r="496" spans="1:35" x14ac:dyDescent="0.3">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row>
    <row r="497" spans="1:35" x14ac:dyDescent="0.3">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row>
    <row r="498" spans="1:35" x14ac:dyDescent="0.3">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row>
    <row r="499" spans="1:35" x14ac:dyDescent="0.3">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row>
    <row r="500" spans="1:35" x14ac:dyDescent="0.3">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row>
    <row r="501" spans="1:35" x14ac:dyDescent="0.3">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row>
    <row r="502" spans="1:35" x14ac:dyDescent="0.3">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row>
    <row r="503" spans="1:35" x14ac:dyDescent="0.3">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row>
    <row r="504" spans="1:35" x14ac:dyDescent="0.3">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row>
    <row r="505" spans="1:35" x14ac:dyDescent="0.3">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row>
    <row r="506" spans="1:35" x14ac:dyDescent="0.3">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row>
    <row r="507" spans="1:35" x14ac:dyDescent="0.3">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row>
    <row r="508" spans="1:35" x14ac:dyDescent="0.3">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row>
    <row r="509" spans="1:35" x14ac:dyDescent="0.3">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row>
    <row r="510" spans="1:35" x14ac:dyDescent="0.3">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row>
    <row r="511" spans="1:35" x14ac:dyDescent="0.3">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row>
    <row r="512" spans="1:35" x14ac:dyDescent="0.3">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row>
    <row r="513" spans="1:35" x14ac:dyDescent="0.3">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row>
    <row r="514" spans="1:35" x14ac:dyDescent="0.3">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row>
    <row r="515" spans="1:35" x14ac:dyDescent="0.3">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row>
    <row r="516" spans="1:35" x14ac:dyDescent="0.3">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row>
    <row r="517" spans="1:35" x14ac:dyDescent="0.3">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row>
    <row r="518" spans="1:35" x14ac:dyDescent="0.3">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row>
    <row r="519" spans="1:35" x14ac:dyDescent="0.3">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row>
    <row r="520" spans="1:35" x14ac:dyDescent="0.3">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row>
    <row r="521" spans="1:35" x14ac:dyDescent="0.3">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row>
    <row r="522" spans="1:35" x14ac:dyDescent="0.3">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row>
    <row r="523" spans="1:35" x14ac:dyDescent="0.3">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row>
    <row r="524" spans="1:35" x14ac:dyDescent="0.3">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row>
    <row r="525" spans="1:35" x14ac:dyDescent="0.3">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row>
    <row r="526" spans="1:35" x14ac:dyDescent="0.3">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row>
    <row r="527" spans="1:35" x14ac:dyDescent="0.3">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row>
    <row r="528" spans="1:35" x14ac:dyDescent="0.3">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row>
    <row r="529" spans="1:35" x14ac:dyDescent="0.3">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row>
    <row r="530" spans="1:35" x14ac:dyDescent="0.3">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row>
    <row r="531" spans="1:35" x14ac:dyDescent="0.3">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row>
    <row r="532" spans="1:35" x14ac:dyDescent="0.3">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row>
    <row r="533" spans="1:35" x14ac:dyDescent="0.3">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row>
    <row r="534" spans="1:35" x14ac:dyDescent="0.3">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row>
    <row r="535" spans="1:35" x14ac:dyDescent="0.3">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row>
    <row r="536" spans="1:35" x14ac:dyDescent="0.3">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row>
    <row r="537" spans="1:35" x14ac:dyDescent="0.3">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row>
    <row r="538" spans="1:35" x14ac:dyDescent="0.3">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row>
    <row r="539" spans="1:35" x14ac:dyDescent="0.3">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row>
    <row r="540" spans="1:35" x14ac:dyDescent="0.3">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row>
    <row r="541" spans="1:35" x14ac:dyDescent="0.3">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row>
    <row r="542" spans="1:35" x14ac:dyDescent="0.3">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row>
    <row r="543" spans="1:35" x14ac:dyDescent="0.3">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row>
    <row r="544" spans="1:35" x14ac:dyDescent="0.3">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row>
    <row r="545" spans="1:35" x14ac:dyDescent="0.3">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row>
    <row r="546" spans="1:35" x14ac:dyDescent="0.3">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row>
    <row r="547" spans="1:35" x14ac:dyDescent="0.3">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row>
    <row r="548" spans="1:35" x14ac:dyDescent="0.3">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row>
    <row r="549" spans="1:35" x14ac:dyDescent="0.3">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row>
    <row r="550" spans="1:35" x14ac:dyDescent="0.3">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row>
    <row r="551" spans="1:35" x14ac:dyDescent="0.3">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row>
    <row r="552" spans="1:35" x14ac:dyDescent="0.3">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row>
    <row r="553" spans="1:35" x14ac:dyDescent="0.3">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row>
    <row r="554" spans="1:35" x14ac:dyDescent="0.3">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row>
    <row r="555" spans="1:35" x14ac:dyDescent="0.3">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row>
    <row r="556" spans="1:35" x14ac:dyDescent="0.3">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row>
    <row r="557" spans="1:35" x14ac:dyDescent="0.3">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row>
    <row r="558" spans="1:35" x14ac:dyDescent="0.3">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row>
    <row r="559" spans="1:35" x14ac:dyDescent="0.3">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row>
    <row r="560" spans="1:35" x14ac:dyDescent="0.3">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row>
    <row r="561" spans="1:35" x14ac:dyDescent="0.3">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row>
    <row r="562" spans="1:35" x14ac:dyDescent="0.3">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row>
    <row r="563" spans="1:35" x14ac:dyDescent="0.3">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row>
    <row r="564" spans="1:35" x14ac:dyDescent="0.3">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row>
    <row r="565" spans="1:35" x14ac:dyDescent="0.3">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row>
    <row r="566" spans="1:35" x14ac:dyDescent="0.3">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row>
    <row r="567" spans="1:35" x14ac:dyDescent="0.3">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row>
    <row r="568" spans="1:35" x14ac:dyDescent="0.3">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row>
    <row r="569" spans="1:35" x14ac:dyDescent="0.3">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row>
    <row r="570" spans="1:35" x14ac:dyDescent="0.3">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row>
    <row r="571" spans="1:35" x14ac:dyDescent="0.3">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row>
    <row r="572" spans="1:35" x14ac:dyDescent="0.3">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row>
    <row r="573" spans="1:35" x14ac:dyDescent="0.3">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row>
    <row r="574" spans="1:35" x14ac:dyDescent="0.3">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row>
    <row r="575" spans="1:35" x14ac:dyDescent="0.3">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row>
    <row r="576" spans="1:35" x14ac:dyDescent="0.3">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row>
    <row r="577" spans="1:35" x14ac:dyDescent="0.3">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row>
    <row r="578" spans="1:35" x14ac:dyDescent="0.3">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row>
    <row r="579" spans="1:35" x14ac:dyDescent="0.3">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row>
    <row r="580" spans="1:35" x14ac:dyDescent="0.3">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row>
    <row r="581" spans="1:35" x14ac:dyDescent="0.3">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row>
    <row r="582" spans="1:35" x14ac:dyDescent="0.3">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row>
    <row r="583" spans="1:35" x14ac:dyDescent="0.3">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row>
    <row r="584" spans="1:35" x14ac:dyDescent="0.3">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row>
    <row r="585" spans="1:35" x14ac:dyDescent="0.3">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row>
    <row r="586" spans="1:35" x14ac:dyDescent="0.3">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row>
    <row r="587" spans="1:35" x14ac:dyDescent="0.3">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row>
    <row r="588" spans="1:35" x14ac:dyDescent="0.3">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row>
    <row r="589" spans="1:35" x14ac:dyDescent="0.3">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row>
    <row r="590" spans="1:35" x14ac:dyDescent="0.3">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row>
    <row r="591" spans="1:35" x14ac:dyDescent="0.3">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row>
    <row r="592" spans="1:35" x14ac:dyDescent="0.3">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row>
    <row r="593" spans="1:35" x14ac:dyDescent="0.3">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row>
    <row r="594" spans="1:35" x14ac:dyDescent="0.3">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row>
    <row r="595" spans="1:35" x14ac:dyDescent="0.3">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row>
    <row r="596" spans="1:35" x14ac:dyDescent="0.3">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row>
    <row r="597" spans="1:35" x14ac:dyDescent="0.3">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row>
    <row r="598" spans="1:35" x14ac:dyDescent="0.3">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row>
    <row r="599" spans="1:35" x14ac:dyDescent="0.3">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row>
    <row r="600" spans="1:35" x14ac:dyDescent="0.3">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row>
    <row r="601" spans="1:35" x14ac:dyDescent="0.3">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row>
    <row r="602" spans="1:35" x14ac:dyDescent="0.3">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row>
    <row r="603" spans="1:35" x14ac:dyDescent="0.3">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row>
    <row r="604" spans="1:35" x14ac:dyDescent="0.3">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row>
    <row r="605" spans="1:35" x14ac:dyDescent="0.3">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row>
    <row r="606" spans="1:35" x14ac:dyDescent="0.3">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row>
    <row r="607" spans="1:35" x14ac:dyDescent="0.3">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row>
    <row r="608" spans="1:35" x14ac:dyDescent="0.3">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row>
    <row r="609" spans="1:35" x14ac:dyDescent="0.3">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row>
    <row r="610" spans="1:35" x14ac:dyDescent="0.3">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row>
    <row r="611" spans="1:35" x14ac:dyDescent="0.3">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row>
    <row r="612" spans="1:35" x14ac:dyDescent="0.3">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row>
    <row r="613" spans="1:35" x14ac:dyDescent="0.3">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row>
    <row r="614" spans="1:35" x14ac:dyDescent="0.3">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row>
    <row r="615" spans="1:35" x14ac:dyDescent="0.3">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row>
    <row r="616" spans="1:35" x14ac:dyDescent="0.3">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row>
    <row r="617" spans="1:35" x14ac:dyDescent="0.3">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row>
    <row r="618" spans="1:35" x14ac:dyDescent="0.3">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row>
    <row r="619" spans="1:35" x14ac:dyDescent="0.3">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row>
    <row r="620" spans="1:35" x14ac:dyDescent="0.3">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row>
    <row r="621" spans="1:35" x14ac:dyDescent="0.3">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row>
    <row r="622" spans="1:35" x14ac:dyDescent="0.3">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row>
    <row r="623" spans="1:35" x14ac:dyDescent="0.3">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row>
    <row r="624" spans="1:35" x14ac:dyDescent="0.3">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row>
    <row r="625" spans="1:35" x14ac:dyDescent="0.3">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row>
    <row r="626" spans="1:35" x14ac:dyDescent="0.3">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row>
    <row r="627" spans="1:35" x14ac:dyDescent="0.3">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row>
    <row r="628" spans="1:35" x14ac:dyDescent="0.3">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row>
    <row r="629" spans="1:35" x14ac:dyDescent="0.3">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row>
    <row r="630" spans="1:35" x14ac:dyDescent="0.3">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row>
    <row r="631" spans="1:35" x14ac:dyDescent="0.3">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row>
    <row r="632" spans="1:35" x14ac:dyDescent="0.3">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row>
    <row r="633" spans="1:35" x14ac:dyDescent="0.3">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row>
    <row r="634" spans="1:35" x14ac:dyDescent="0.3">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row>
    <row r="635" spans="1:35" x14ac:dyDescent="0.3">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row>
    <row r="636" spans="1:35" x14ac:dyDescent="0.3">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row>
    <row r="637" spans="1:35" x14ac:dyDescent="0.3">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row>
    <row r="638" spans="1:35" x14ac:dyDescent="0.3">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row>
    <row r="639" spans="1:35" x14ac:dyDescent="0.3">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row>
    <row r="640" spans="1:35" x14ac:dyDescent="0.3">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row>
    <row r="641" spans="1:35" x14ac:dyDescent="0.3">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row>
    <row r="642" spans="1:35" x14ac:dyDescent="0.3">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row>
    <row r="643" spans="1:35" x14ac:dyDescent="0.3">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row>
    <row r="644" spans="1:35" x14ac:dyDescent="0.3">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row>
    <row r="645" spans="1:35" x14ac:dyDescent="0.3">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row>
    <row r="646" spans="1:35" x14ac:dyDescent="0.3">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row>
    <row r="647" spans="1:35" x14ac:dyDescent="0.3">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row>
    <row r="648" spans="1:35" x14ac:dyDescent="0.3">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row>
    <row r="649" spans="1:35" x14ac:dyDescent="0.3">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row>
    <row r="650" spans="1:35" x14ac:dyDescent="0.3">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row>
    <row r="651" spans="1:35" x14ac:dyDescent="0.3">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row>
    <row r="652" spans="1:35" x14ac:dyDescent="0.3">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row>
    <row r="653" spans="1:35" x14ac:dyDescent="0.3">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row>
    <row r="654" spans="1:35" x14ac:dyDescent="0.3">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row>
    <row r="655" spans="1:35" x14ac:dyDescent="0.3">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row>
    <row r="656" spans="1:35" x14ac:dyDescent="0.3">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row>
    <row r="657" spans="1:35" x14ac:dyDescent="0.3">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row>
    <row r="658" spans="1:35" x14ac:dyDescent="0.3">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row>
    <row r="659" spans="1:35" x14ac:dyDescent="0.3">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row>
    <row r="660" spans="1:35" x14ac:dyDescent="0.3">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row>
    <row r="661" spans="1:35" x14ac:dyDescent="0.3">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row>
    <row r="662" spans="1:35" x14ac:dyDescent="0.3">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row>
    <row r="663" spans="1:35" x14ac:dyDescent="0.3">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row>
    <row r="664" spans="1:35" x14ac:dyDescent="0.3">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row>
    <row r="665" spans="1:35" x14ac:dyDescent="0.3">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row>
    <row r="666" spans="1:35" x14ac:dyDescent="0.3">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row>
    <row r="667" spans="1:35" x14ac:dyDescent="0.3">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row>
    <row r="668" spans="1:35" x14ac:dyDescent="0.3">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row>
    <row r="669" spans="1:35" x14ac:dyDescent="0.3">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row>
    <row r="670" spans="1:35" x14ac:dyDescent="0.3">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row>
    <row r="671" spans="1:35" x14ac:dyDescent="0.3">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row>
    <row r="672" spans="1:35" x14ac:dyDescent="0.3">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row>
    <row r="673" spans="1:35" x14ac:dyDescent="0.3">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row>
    <row r="674" spans="1:35" x14ac:dyDescent="0.3">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row>
    <row r="675" spans="1:35" x14ac:dyDescent="0.3">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row>
    <row r="676" spans="1:35" x14ac:dyDescent="0.3">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row>
    <row r="677" spans="1:35" x14ac:dyDescent="0.3">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row>
    <row r="678" spans="1:35" x14ac:dyDescent="0.3">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row>
    <row r="679" spans="1:35" x14ac:dyDescent="0.3">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row>
    <row r="680" spans="1:35" x14ac:dyDescent="0.3">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row>
    <row r="681" spans="1:35" x14ac:dyDescent="0.3">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row>
    <row r="682" spans="1:35" x14ac:dyDescent="0.3">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row>
    <row r="683" spans="1:35" x14ac:dyDescent="0.3">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row>
    <row r="684" spans="1:35" x14ac:dyDescent="0.3">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row>
    <row r="685" spans="1:35" x14ac:dyDescent="0.3">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row>
    <row r="686" spans="1:35" x14ac:dyDescent="0.3">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row>
    <row r="687" spans="1:35" x14ac:dyDescent="0.3">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row>
    <row r="688" spans="1:35" x14ac:dyDescent="0.3">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row>
    <row r="689" spans="1:35" x14ac:dyDescent="0.3">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row>
    <row r="690" spans="1:35" x14ac:dyDescent="0.3">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row>
    <row r="691" spans="1:35" x14ac:dyDescent="0.3">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row>
    <row r="692" spans="1:35" x14ac:dyDescent="0.3">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row>
    <row r="693" spans="1:35" x14ac:dyDescent="0.3">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row>
    <row r="694" spans="1:35" x14ac:dyDescent="0.3">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row>
    <row r="695" spans="1:35" x14ac:dyDescent="0.3">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row>
    <row r="696" spans="1:35" x14ac:dyDescent="0.3">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row>
    <row r="697" spans="1:35" x14ac:dyDescent="0.3">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row>
    <row r="698" spans="1:35" x14ac:dyDescent="0.3">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row>
    <row r="699" spans="1:35" x14ac:dyDescent="0.3">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row>
    <row r="700" spans="1:35" x14ac:dyDescent="0.3">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row>
    <row r="701" spans="1:35" x14ac:dyDescent="0.3">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row>
    <row r="702" spans="1:35" x14ac:dyDescent="0.3">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row>
    <row r="703" spans="1:35" x14ac:dyDescent="0.3">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row>
    <row r="704" spans="1:35" x14ac:dyDescent="0.3">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row>
    <row r="705" spans="1:35" x14ac:dyDescent="0.3">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row>
    <row r="706" spans="1:35" x14ac:dyDescent="0.3">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row>
    <row r="707" spans="1:35" x14ac:dyDescent="0.3">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row>
    <row r="708" spans="1:35" x14ac:dyDescent="0.3">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row>
    <row r="709" spans="1:35" x14ac:dyDescent="0.3">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row>
    <row r="710" spans="1:35" x14ac:dyDescent="0.3">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row>
    <row r="711" spans="1:35" x14ac:dyDescent="0.3">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row>
    <row r="712" spans="1:35" x14ac:dyDescent="0.3">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row>
    <row r="713" spans="1:35" x14ac:dyDescent="0.3">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row>
    <row r="714" spans="1:35" x14ac:dyDescent="0.3">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row>
    <row r="715" spans="1:35" x14ac:dyDescent="0.3">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row>
    <row r="716" spans="1:35" x14ac:dyDescent="0.3">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row>
    <row r="717" spans="1:35" x14ac:dyDescent="0.3">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row>
    <row r="718" spans="1:35" x14ac:dyDescent="0.3">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row>
    <row r="719" spans="1:35" x14ac:dyDescent="0.3">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row>
    <row r="720" spans="1:35" x14ac:dyDescent="0.3">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row>
    <row r="721" spans="1:35" x14ac:dyDescent="0.3">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row>
    <row r="722" spans="1:35" x14ac:dyDescent="0.3">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row>
    <row r="723" spans="1:35" x14ac:dyDescent="0.3">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row>
    <row r="724" spans="1:35" x14ac:dyDescent="0.3">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row>
    <row r="725" spans="1:35" x14ac:dyDescent="0.3">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row>
    <row r="726" spans="1:35" x14ac:dyDescent="0.3">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row>
    <row r="727" spans="1:35" x14ac:dyDescent="0.3">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row>
    <row r="728" spans="1:35" x14ac:dyDescent="0.3">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row>
    <row r="729" spans="1:35" x14ac:dyDescent="0.3">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row>
    <row r="730" spans="1:35" x14ac:dyDescent="0.3">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row>
    <row r="731" spans="1:35" x14ac:dyDescent="0.3">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row>
    <row r="732" spans="1:35" x14ac:dyDescent="0.3">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row>
    <row r="733" spans="1:35" x14ac:dyDescent="0.3">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row>
    <row r="734" spans="1:35" x14ac:dyDescent="0.3">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row>
    <row r="735" spans="1:35" x14ac:dyDescent="0.3">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row>
    <row r="736" spans="1:35" x14ac:dyDescent="0.3">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row>
    <row r="737" spans="1:35" x14ac:dyDescent="0.3">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row>
    <row r="738" spans="1:35" x14ac:dyDescent="0.3">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row>
    <row r="739" spans="1:35" x14ac:dyDescent="0.3">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row>
    <row r="740" spans="1:35" x14ac:dyDescent="0.3">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row>
    <row r="741" spans="1:35" x14ac:dyDescent="0.3">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row>
    <row r="742" spans="1:35" x14ac:dyDescent="0.3">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row>
    <row r="743" spans="1:35" x14ac:dyDescent="0.3">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row>
    <row r="744" spans="1:35" x14ac:dyDescent="0.3">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row>
    <row r="745" spans="1:35" x14ac:dyDescent="0.3">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row>
    <row r="746" spans="1:35" x14ac:dyDescent="0.3">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row>
    <row r="747" spans="1:35" x14ac:dyDescent="0.3">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row>
    <row r="748" spans="1:35" x14ac:dyDescent="0.3">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row>
    <row r="749" spans="1:35" x14ac:dyDescent="0.3">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row>
    <row r="750" spans="1:35" x14ac:dyDescent="0.3">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row>
    <row r="751" spans="1:35" x14ac:dyDescent="0.3">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row>
    <row r="752" spans="1:35" x14ac:dyDescent="0.3">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row>
    <row r="753" spans="1:35" x14ac:dyDescent="0.3">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row>
    <row r="754" spans="1:35" x14ac:dyDescent="0.3">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row>
    <row r="755" spans="1:35" x14ac:dyDescent="0.3">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row>
    <row r="756" spans="1:35" x14ac:dyDescent="0.3">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row>
    <row r="757" spans="1:35" x14ac:dyDescent="0.3">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row>
    <row r="758" spans="1:35" x14ac:dyDescent="0.3">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row>
    <row r="759" spans="1:35" x14ac:dyDescent="0.3">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row>
    <row r="760" spans="1:35" x14ac:dyDescent="0.3">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row>
    <row r="761" spans="1:35" x14ac:dyDescent="0.3">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row>
    <row r="762" spans="1:35" x14ac:dyDescent="0.3">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row>
    <row r="763" spans="1:35" x14ac:dyDescent="0.3">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row>
    <row r="764" spans="1:35" x14ac:dyDescent="0.3">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row>
    <row r="765" spans="1:35" x14ac:dyDescent="0.3">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row>
    <row r="766" spans="1:35" x14ac:dyDescent="0.3">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row>
    <row r="767" spans="1:35" x14ac:dyDescent="0.3">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row>
    <row r="768" spans="1:35" x14ac:dyDescent="0.3">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row>
    <row r="769" spans="1:35" x14ac:dyDescent="0.3">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row>
    <row r="770" spans="1:35" x14ac:dyDescent="0.3">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row>
    <row r="771" spans="1:35" x14ac:dyDescent="0.3">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row>
    <row r="772" spans="1:35" x14ac:dyDescent="0.3">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row>
    <row r="773" spans="1:35" x14ac:dyDescent="0.3">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row>
    <row r="774" spans="1:35" x14ac:dyDescent="0.3">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row>
    <row r="775" spans="1:35" x14ac:dyDescent="0.3">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row>
    <row r="776" spans="1:35" x14ac:dyDescent="0.3">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row>
    <row r="777" spans="1:35" x14ac:dyDescent="0.3">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row>
    <row r="778" spans="1:35" x14ac:dyDescent="0.3">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row>
    <row r="779" spans="1:35" x14ac:dyDescent="0.3">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row>
    <row r="780" spans="1:35" x14ac:dyDescent="0.3">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row>
    <row r="781" spans="1:35" x14ac:dyDescent="0.3">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row>
    <row r="782" spans="1:35" x14ac:dyDescent="0.3">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row>
    <row r="783" spans="1:35" x14ac:dyDescent="0.3">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row>
    <row r="784" spans="1:35" x14ac:dyDescent="0.3">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row>
    <row r="785" spans="1:35" x14ac:dyDescent="0.3">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row>
    <row r="786" spans="1:35" x14ac:dyDescent="0.3">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row>
    <row r="787" spans="1:35" x14ac:dyDescent="0.3">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row>
    <row r="788" spans="1:35" x14ac:dyDescent="0.3">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row>
    <row r="789" spans="1:35" x14ac:dyDescent="0.3">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row>
    <row r="790" spans="1:35" x14ac:dyDescent="0.3">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row>
    <row r="791" spans="1:35" x14ac:dyDescent="0.3">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row>
    <row r="792" spans="1:35" x14ac:dyDescent="0.3">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row>
    <row r="793" spans="1:35" x14ac:dyDescent="0.3">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row>
    <row r="794" spans="1:35" x14ac:dyDescent="0.3">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row>
    <row r="795" spans="1:35" x14ac:dyDescent="0.3">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row>
    <row r="796" spans="1:35" x14ac:dyDescent="0.3">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row>
    <row r="797" spans="1:35" x14ac:dyDescent="0.3">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row>
    <row r="798" spans="1:35" x14ac:dyDescent="0.3">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row>
    <row r="799" spans="1:35" x14ac:dyDescent="0.3">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row>
    <row r="800" spans="1:35" x14ac:dyDescent="0.3">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row>
    <row r="801" spans="1:35" x14ac:dyDescent="0.3">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row>
    <row r="802" spans="1:35" x14ac:dyDescent="0.3">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row>
    <row r="803" spans="1:35" x14ac:dyDescent="0.3">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row>
    <row r="804" spans="1:35" x14ac:dyDescent="0.3">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row>
    <row r="805" spans="1:35" x14ac:dyDescent="0.3">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row>
    <row r="806" spans="1:35" x14ac:dyDescent="0.3">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row>
    <row r="807" spans="1:35" x14ac:dyDescent="0.3">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row>
    <row r="808" spans="1:35" x14ac:dyDescent="0.3">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row>
    <row r="809" spans="1:35" x14ac:dyDescent="0.3">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row>
    <row r="810" spans="1:35" x14ac:dyDescent="0.3">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row>
    <row r="811" spans="1:35" x14ac:dyDescent="0.3">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row>
    <row r="812" spans="1:35" x14ac:dyDescent="0.3">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row>
    <row r="813" spans="1:35" x14ac:dyDescent="0.3">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row>
    <row r="814" spans="1:35" x14ac:dyDescent="0.3">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row>
    <row r="815" spans="1:35" x14ac:dyDescent="0.3">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row>
    <row r="816" spans="1:35" x14ac:dyDescent="0.3">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row>
    <row r="817" spans="1:35" x14ac:dyDescent="0.3">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row>
    <row r="818" spans="1:35" x14ac:dyDescent="0.3">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row>
    <row r="819" spans="1:35" x14ac:dyDescent="0.3">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row>
    <row r="820" spans="1:35" x14ac:dyDescent="0.3">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row>
    <row r="821" spans="1:35" x14ac:dyDescent="0.3">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row>
    <row r="822" spans="1:35" x14ac:dyDescent="0.3">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row>
    <row r="823" spans="1:35" x14ac:dyDescent="0.3">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row>
    <row r="824" spans="1:35" x14ac:dyDescent="0.3">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row>
    <row r="825" spans="1:35" x14ac:dyDescent="0.3">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row>
    <row r="826" spans="1:35" x14ac:dyDescent="0.3">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row>
    <row r="827" spans="1:35" x14ac:dyDescent="0.3">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row>
    <row r="828" spans="1:35" x14ac:dyDescent="0.3">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row>
    <row r="829" spans="1:35" x14ac:dyDescent="0.3">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row>
    <row r="830" spans="1:35" x14ac:dyDescent="0.3">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row>
    <row r="831" spans="1:35" x14ac:dyDescent="0.3">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row>
    <row r="832" spans="1:35" x14ac:dyDescent="0.3">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row>
    <row r="833" spans="1:35" x14ac:dyDescent="0.3">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row>
    <row r="834" spans="1:35" x14ac:dyDescent="0.3">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row>
    <row r="835" spans="1:35" x14ac:dyDescent="0.3">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row>
    <row r="836" spans="1:35" x14ac:dyDescent="0.3">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row>
    <row r="837" spans="1:35" x14ac:dyDescent="0.3">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row>
    <row r="838" spans="1:35" x14ac:dyDescent="0.3">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row>
    <row r="839" spans="1:35" x14ac:dyDescent="0.3">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row>
    <row r="840" spans="1:35" x14ac:dyDescent="0.3">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row>
    <row r="841" spans="1:35" x14ac:dyDescent="0.3">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row>
    <row r="842" spans="1:35" x14ac:dyDescent="0.3">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row>
    <row r="843" spans="1:35" x14ac:dyDescent="0.3">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row>
    <row r="844" spans="1:35" x14ac:dyDescent="0.3">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row>
    <row r="845" spans="1:35" x14ac:dyDescent="0.3">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row>
    <row r="846" spans="1:35" x14ac:dyDescent="0.3">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row>
    <row r="847" spans="1:35" x14ac:dyDescent="0.3">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row>
    <row r="848" spans="1:35" x14ac:dyDescent="0.3">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row>
    <row r="849" spans="1:35" x14ac:dyDescent="0.3">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row>
    <row r="850" spans="1:35" x14ac:dyDescent="0.3">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row>
    <row r="851" spans="1:35" x14ac:dyDescent="0.3">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row>
    <row r="852" spans="1:35" x14ac:dyDescent="0.3">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row>
    <row r="853" spans="1:35" x14ac:dyDescent="0.3">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row>
    <row r="854" spans="1:35" x14ac:dyDescent="0.3">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row>
    <row r="855" spans="1:35" x14ac:dyDescent="0.3">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row>
    <row r="856" spans="1:35" x14ac:dyDescent="0.3">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row>
    <row r="857" spans="1:35" x14ac:dyDescent="0.3">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row>
    <row r="858" spans="1:35" x14ac:dyDescent="0.3">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row>
    <row r="859" spans="1:35" x14ac:dyDescent="0.3">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row>
    <row r="860" spans="1:35" x14ac:dyDescent="0.3">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row>
    <row r="861" spans="1:35" x14ac:dyDescent="0.3">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row>
    <row r="862" spans="1:35" x14ac:dyDescent="0.3">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row>
    <row r="863" spans="1:35" x14ac:dyDescent="0.3">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row>
    <row r="864" spans="1:35" x14ac:dyDescent="0.3">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row>
    <row r="865" spans="1:35" x14ac:dyDescent="0.3">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row>
    <row r="866" spans="1:35" x14ac:dyDescent="0.3">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row>
    <row r="867" spans="1:35" x14ac:dyDescent="0.3">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row>
    <row r="868" spans="1:35" x14ac:dyDescent="0.3">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row>
    <row r="869" spans="1:35" x14ac:dyDescent="0.3">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row>
    <row r="870" spans="1:35" x14ac:dyDescent="0.3">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row>
    <row r="871" spans="1:35" x14ac:dyDescent="0.3">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row>
    <row r="872" spans="1:35" x14ac:dyDescent="0.3">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row>
    <row r="873" spans="1:35" x14ac:dyDescent="0.3">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row>
    <row r="874" spans="1:35" x14ac:dyDescent="0.3">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row>
    <row r="875" spans="1:35" x14ac:dyDescent="0.3">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row>
    <row r="876" spans="1:35" x14ac:dyDescent="0.3">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row>
    <row r="877" spans="1:35" x14ac:dyDescent="0.3">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row>
    <row r="878" spans="1:35" x14ac:dyDescent="0.3">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row>
    <row r="879" spans="1:35" x14ac:dyDescent="0.3">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row>
    <row r="880" spans="1:35" x14ac:dyDescent="0.3">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row>
    <row r="881" spans="1:35" x14ac:dyDescent="0.3">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row>
    <row r="882" spans="1:35" x14ac:dyDescent="0.3">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row>
    <row r="883" spans="1:35" x14ac:dyDescent="0.3">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row>
    <row r="884" spans="1:35" x14ac:dyDescent="0.3">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row>
    <row r="885" spans="1:35" x14ac:dyDescent="0.3">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row>
    <row r="886" spans="1:35" x14ac:dyDescent="0.3">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row>
    <row r="887" spans="1:35" x14ac:dyDescent="0.3">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row>
    <row r="888" spans="1:35" x14ac:dyDescent="0.3">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row>
    <row r="889" spans="1:35" x14ac:dyDescent="0.3">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row>
    <row r="890" spans="1:35" x14ac:dyDescent="0.3">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row>
    <row r="891" spans="1:35" x14ac:dyDescent="0.3">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row>
    <row r="892" spans="1:35" x14ac:dyDescent="0.3">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row>
    <row r="893" spans="1:35" x14ac:dyDescent="0.3">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row>
    <row r="894" spans="1:35" x14ac:dyDescent="0.3">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row>
    <row r="895" spans="1:35" x14ac:dyDescent="0.3">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row>
    <row r="896" spans="1:35" x14ac:dyDescent="0.3">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row>
    <row r="897" spans="1:35" x14ac:dyDescent="0.3">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row>
    <row r="898" spans="1:35" x14ac:dyDescent="0.3">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row>
    <row r="899" spans="1:35" x14ac:dyDescent="0.3">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row>
    <row r="900" spans="1:35" x14ac:dyDescent="0.3">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row>
    <row r="901" spans="1:35" x14ac:dyDescent="0.3">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row>
    <row r="902" spans="1:35" x14ac:dyDescent="0.3">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row>
    <row r="903" spans="1:35" x14ac:dyDescent="0.3">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row>
    <row r="904" spans="1:35" x14ac:dyDescent="0.3">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row>
    <row r="905" spans="1:35" x14ac:dyDescent="0.3">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row>
    <row r="906" spans="1:35" x14ac:dyDescent="0.3">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row>
    <row r="907" spans="1:35" x14ac:dyDescent="0.3">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row>
    <row r="908" spans="1:35" x14ac:dyDescent="0.3">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row>
    <row r="909" spans="1:35" x14ac:dyDescent="0.3">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row>
    <row r="910" spans="1:35" x14ac:dyDescent="0.3">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row>
    <row r="911" spans="1:35" x14ac:dyDescent="0.3">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row>
    <row r="912" spans="1:35" x14ac:dyDescent="0.3">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row>
    <row r="913" spans="1:35" x14ac:dyDescent="0.3">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row>
    <row r="914" spans="1:35" x14ac:dyDescent="0.3">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row>
    <row r="915" spans="1:35" x14ac:dyDescent="0.3">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row>
    <row r="916" spans="1:35" x14ac:dyDescent="0.3">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row>
    <row r="917" spans="1:35" x14ac:dyDescent="0.3">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row>
    <row r="918" spans="1:35" x14ac:dyDescent="0.3">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row>
    <row r="919" spans="1:35" x14ac:dyDescent="0.3">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row>
    <row r="920" spans="1:35" x14ac:dyDescent="0.3">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row>
    <row r="921" spans="1:35" x14ac:dyDescent="0.3">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row>
    <row r="922" spans="1:35" x14ac:dyDescent="0.3">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row>
    <row r="923" spans="1:35" x14ac:dyDescent="0.3">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row>
    <row r="924" spans="1:35" x14ac:dyDescent="0.3">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row>
    <row r="925" spans="1:35" x14ac:dyDescent="0.3">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row>
    <row r="926" spans="1:35" x14ac:dyDescent="0.3">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row>
    <row r="927" spans="1:35" x14ac:dyDescent="0.3">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row>
    <row r="928" spans="1:35" x14ac:dyDescent="0.3">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row>
    <row r="929" spans="1:35" x14ac:dyDescent="0.3">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row>
    <row r="930" spans="1:35" x14ac:dyDescent="0.3">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row>
    <row r="931" spans="1:35" x14ac:dyDescent="0.3">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row>
    <row r="932" spans="1:35" x14ac:dyDescent="0.3">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row>
    <row r="933" spans="1:35" x14ac:dyDescent="0.3">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row>
    <row r="934" spans="1:35" x14ac:dyDescent="0.3">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row>
    <row r="935" spans="1:35" x14ac:dyDescent="0.3">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row>
    <row r="936" spans="1:35" x14ac:dyDescent="0.3">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row>
    <row r="937" spans="1:35" x14ac:dyDescent="0.3">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row>
    <row r="938" spans="1:35" x14ac:dyDescent="0.3">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row>
    <row r="939" spans="1:35" x14ac:dyDescent="0.3">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row>
    <row r="940" spans="1:35" x14ac:dyDescent="0.3">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row>
    <row r="941" spans="1:35" x14ac:dyDescent="0.3">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row>
    <row r="942" spans="1:35" x14ac:dyDescent="0.3">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row>
    <row r="943" spans="1:35" x14ac:dyDescent="0.3">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row>
    <row r="944" spans="1:35" x14ac:dyDescent="0.3">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row>
    <row r="945" spans="1:35" x14ac:dyDescent="0.3">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row>
    <row r="946" spans="1:35" x14ac:dyDescent="0.3">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row>
    <row r="947" spans="1:35" x14ac:dyDescent="0.3">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row>
    <row r="948" spans="1:35" x14ac:dyDescent="0.3">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row>
    <row r="949" spans="1:35" x14ac:dyDescent="0.3">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row>
    <row r="950" spans="1:35" x14ac:dyDescent="0.3">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row>
    <row r="951" spans="1:35" x14ac:dyDescent="0.3">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row>
    <row r="952" spans="1:35" x14ac:dyDescent="0.3">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row>
    <row r="953" spans="1:35" x14ac:dyDescent="0.3">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row>
    <row r="954" spans="1:35" x14ac:dyDescent="0.3">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row>
    <row r="955" spans="1:35" x14ac:dyDescent="0.3">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row>
    <row r="956" spans="1:35" x14ac:dyDescent="0.3">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row>
    <row r="957" spans="1:35" x14ac:dyDescent="0.3">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row>
    <row r="958" spans="1:35" x14ac:dyDescent="0.3">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row>
    <row r="959" spans="1:35" x14ac:dyDescent="0.3">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row>
    <row r="960" spans="1:35" x14ac:dyDescent="0.3">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row>
    <row r="961" spans="1:35" x14ac:dyDescent="0.3">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row>
    <row r="962" spans="1:35" x14ac:dyDescent="0.3">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row>
    <row r="963" spans="1:35" x14ac:dyDescent="0.3">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row>
    <row r="964" spans="1:35" x14ac:dyDescent="0.3">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row>
    <row r="965" spans="1:35" x14ac:dyDescent="0.3">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row>
    <row r="966" spans="1:35" x14ac:dyDescent="0.3">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row>
    <row r="967" spans="1:35" x14ac:dyDescent="0.3">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row>
    <row r="968" spans="1:35" x14ac:dyDescent="0.3">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row>
    <row r="969" spans="1:35" x14ac:dyDescent="0.3">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row>
    <row r="970" spans="1:35" x14ac:dyDescent="0.3">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row>
    <row r="971" spans="1:35" x14ac:dyDescent="0.3">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row>
    <row r="972" spans="1:35" x14ac:dyDescent="0.3">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row>
    <row r="973" spans="1:35" x14ac:dyDescent="0.3">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row>
    <row r="974" spans="1:35" x14ac:dyDescent="0.3">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row>
    <row r="975" spans="1:35" x14ac:dyDescent="0.3">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row>
    <row r="976" spans="1:35" x14ac:dyDescent="0.3">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row>
    <row r="977" spans="1:35" x14ac:dyDescent="0.3">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row>
    <row r="978" spans="1:35" x14ac:dyDescent="0.3">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row>
    <row r="979" spans="1:35" x14ac:dyDescent="0.3">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row>
    <row r="980" spans="1:35" x14ac:dyDescent="0.3">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row>
    <row r="981" spans="1:35" x14ac:dyDescent="0.3">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row>
    <row r="982" spans="1:35" x14ac:dyDescent="0.3">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row>
    <row r="983" spans="1:35" x14ac:dyDescent="0.3">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row>
    <row r="984" spans="1:35" x14ac:dyDescent="0.3">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row>
    <row r="985" spans="1:35" x14ac:dyDescent="0.3">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row>
    <row r="986" spans="1:35" x14ac:dyDescent="0.3">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row>
    <row r="987" spans="1:35" x14ac:dyDescent="0.3">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row>
    <row r="988" spans="1:35" x14ac:dyDescent="0.3">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row>
    <row r="989" spans="1:35" x14ac:dyDescent="0.3">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row>
    <row r="990" spans="1:35" x14ac:dyDescent="0.3">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row>
    <row r="991" spans="1:35" x14ac:dyDescent="0.3">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row>
    <row r="992" spans="1:35" x14ac:dyDescent="0.3">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row>
    <row r="993" spans="1:35" x14ac:dyDescent="0.3">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row>
    <row r="994" spans="1:35" x14ac:dyDescent="0.3">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row>
    <row r="995" spans="1:35" x14ac:dyDescent="0.3">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row>
    <row r="996" spans="1:35" x14ac:dyDescent="0.3">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row>
    <row r="997" spans="1:35" x14ac:dyDescent="0.3">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row>
    <row r="998" spans="1:35" x14ac:dyDescent="0.3">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row>
    <row r="999" spans="1:35" x14ac:dyDescent="0.3">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row>
    <row r="1000" spans="1:35" x14ac:dyDescent="0.3">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row>
    <row r="1001" spans="1:35" x14ac:dyDescent="0.3">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row>
    <row r="1002" spans="1:35" x14ac:dyDescent="0.3">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row>
    <row r="1003" spans="1:35" x14ac:dyDescent="0.3">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row>
    <row r="1004" spans="1:35" x14ac:dyDescent="0.3">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row>
    <row r="1005" spans="1:35" x14ac:dyDescent="0.3">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row>
    <row r="1006" spans="1:35" x14ac:dyDescent="0.3">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row>
    <row r="1007" spans="1:35" x14ac:dyDescent="0.3">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row>
    <row r="1008" spans="1:35" x14ac:dyDescent="0.3">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row>
    <row r="1009" spans="1:35" x14ac:dyDescent="0.3">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row>
    <row r="1010" spans="1:35" x14ac:dyDescent="0.3">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row>
    <row r="1011" spans="1:35" x14ac:dyDescent="0.3">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row>
    <row r="1012" spans="1:35" x14ac:dyDescent="0.3">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row>
    <row r="1013" spans="1:35" x14ac:dyDescent="0.3">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row>
    <row r="1014" spans="1:35" x14ac:dyDescent="0.3">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row>
    <row r="1015" spans="1:35" x14ac:dyDescent="0.3">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row>
    <row r="1016" spans="1:35" x14ac:dyDescent="0.3">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row>
    <row r="1017" spans="1:35" x14ac:dyDescent="0.3">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row>
    <row r="1018" spans="1:35" x14ac:dyDescent="0.3">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row>
    <row r="1019" spans="1:35" x14ac:dyDescent="0.3">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row>
    <row r="1020" spans="1:35" x14ac:dyDescent="0.3">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row>
    <row r="1021" spans="1:35" x14ac:dyDescent="0.3">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row>
    <row r="1022" spans="1:35" x14ac:dyDescent="0.3">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row>
    <row r="1023" spans="1:35" x14ac:dyDescent="0.3">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row>
    <row r="1024" spans="1:35" x14ac:dyDescent="0.3">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row>
    <row r="1025" spans="1:35" x14ac:dyDescent="0.3">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row>
    <row r="1026" spans="1:35" x14ac:dyDescent="0.3">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row>
    <row r="1027" spans="1:35" x14ac:dyDescent="0.3">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row>
    <row r="1028" spans="1:35" x14ac:dyDescent="0.3">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row>
    <row r="1029" spans="1:35" x14ac:dyDescent="0.3">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row>
    <row r="1030" spans="1:35" x14ac:dyDescent="0.3">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row>
    <row r="1031" spans="1:35" x14ac:dyDescent="0.3">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row>
    <row r="1032" spans="1:35" x14ac:dyDescent="0.3">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row>
    <row r="1033" spans="1:35" x14ac:dyDescent="0.3">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row>
    <row r="1034" spans="1:35" x14ac:dyDescent="0.3">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row>
    <row r="1035" spans="1:35" x14ac:dyDescent="0.3">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row>
    <row r="1036" spans="1:35" x14ac:dyDescent="0.3">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row>
    <row r="1037" spans="1:35" x14ac:dyDescent="0.3">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row>
    <row r="1038" spans="1:35" x14ac:dyDescent="0.3">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row>
    <row r="1039" spans="1:35" x14ac:dyDescent="0.3">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row>
    <row r="1040" spans="1:35" x14ac:dyDescent="0.3">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row>
    <row r="1041" spans="1:35" x14ac:dyDescent="0.3">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row>
    <row r="1042" spans="1:35" x14ac:dyDescent="0.3">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row>
    <row r="1043" spans="1:35" x14ac:dyDescent="0.3">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row>
    <row r="1044" spans="1:35" x14ac:dyDescent="0.3">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row>
    <row r="1045" spans="1:35" x14ac:dyDescent="0.3">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row>
    <row r="1046" spans="1:35" x14ac:dyDescent="0.3">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row>
    <row r="1047" spans="1:35" x14ac:dyDescent="0.3">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row>
    <row r="1048" spans="1:35" x14ac:dyDescent="0.3">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row>
    <row r="1049" spans="1:35" x14ac:dyDescent="0.3">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row>
    <row r="1050" spans="1:35" x14ac:dyDescent="0.3">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row>
    <row r="1051" spans="1:35" x14ac:dyDescent="0.3">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row>
    <row r="1052" spans="1:35" x14ac:dyDescent="0.3">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row>
    <row r="1053" spans="1:35" x14ac:dyDescent="0.3">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row>
    <row r="1054" spans="1:35" x14ac:dyDescent="0.3">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row>
    <row r="1055" spans="1:35" x14ac:dyDescent="0.3">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row>
    <row r="1056" spans="1:35" x14ac:dyDescent="0.3">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row>
    <row r="1057" spans="1:35" x14ac:dyDescent="0.3">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row>
    <row r="1058" spans="1:35" x14ac:dyDescent="0.3">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row>
    <row r="1059" spans="1:35" x14ac:dyDescent="0.3">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row>
    <row r="1060" spans="1:35" x14ac:dyDescent="0.3">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row>
    <row r="1061" spans="1:35" x14ac:dyDescent="0.3">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row>
    <row r="1062" spans="1:35" x14ac:dyDescent="0.3">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row>
    <row r="1063" spans="1:35" x14ac:dyDescent="0.3">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row>
    <row r="1064" spans="1:35" x14ac:dyDescent="0.3">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row>
    <row r="1065" spans="1:35" x14ac:dyDescent="0.3">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row>
    <row r="1066" spans="1:35" x14ac:dyDescent="0.3">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row>
    <row r="1067" spans="1:35" x14ac:dyDescent="0.3">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row>
    <row r="1068" spans="1:35" x14ac:dyDescent="0.3">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row>
    <row r="1069" spans="1:35" x14ac:dyDescent="0.3">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row>
    <row r="1070" spans="1:35" x14ac:dyDescent="0.3">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row>
    <row r="1071" spans="1:35" x14ac:dyDescent="0.3">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row>
    <row r="1072" spans="1:35" x14ac:dyDescent="0.3">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row>
    <row r="1073" spans="1:35" x14ac:dyDescent="0.3">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row>
    <row r="1074" spans="1:35" x14ac:dyDescent="0.3">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row>
    <row r="1075" spans="1:35" x14ac:dyDescent="0.3">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row>
    <row r="1076" spans="1:35" x14ac:dyDescent="0.3">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row>
    <row r="1077" spans="1:35" x14ac:dyDescent="0.3">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row>
    <row r="1078" spans="1:35" x14ac:dyDescent="0.3">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row>
    <row r="1079" spans="1:35" x14ac:dyDescent="0.3">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row>
    <row r="1080" spans="1:35" x14ac:dyDescent="0.3">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row>
    <row r="1081" spans="1:35" x14ac:dyDescent="0.3">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row>
    <row r="1082" spans="1:35" x14ac:dyDescent="0.3">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row>
    <row r="1083" spans="1:35" x14ac:dyDescent="0.3">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row>
    <row r="1084" spans="1:35" x14ac:dyDescent="0.3">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row>
    <row r="1085" spans="1:35" x14ac:dyDescent="0.3">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row>
    <row r="1086" spans="1:35" x14ac:dyDescent="0.3">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row>
    <row r="1087" spans="1:35" x14ac:dyDescent="0.3">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row>
    <row r="1088" spans="1:35" x14ac:dyDescent="0.3">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row>
    <row r="1089" spans="1:35" x14ac:dyDescent="0.3">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row>
    <row r="1090" spans="1:35" x14ac:dyDescent="0.3">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row>
    <row r="1091" spans="1:35" x14ac:dyDescent="0.3">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row>
    <row r="1092" spans="1:35" x14ac:dyDescent="0.3">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row>
    <row r="1093" spans="1:35" x14ac:dyDescent="0.3">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row>
    <row r="1094" spans="1:35" x14ac:dyDescent="0.3">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row>
    <row r="1095" spans="1:35" x14ac:dyDescent="0.3">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row>
    <row r="1096" spans="1:35" x14ac:dyDescent="0.3">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row>
    <row r="1097" spans="1:35" x14ac:dyDescent="0.3">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row>
    <row r="1098" spans="1:35" x14ac:dyDescent="0.3">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row>
    <row r="1099" spans="1:35" x14ac:dyDescent="0.3">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row>
    <row r="1100" spans="1:35" x14ac:dyDescent="0.3">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row>
    <row r="1101" spans="1:35" x14ac:dyDescent="0.3">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row>
    <row r="1102" spans="1:35" x14ac:dyDescent="0.3">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row>
    <row r="1103" spans="1:35" x14ac:dyDescent="0.3">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row>
    <row r="1104" spans="1:35" x14ac:dyDescent="0.3">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row>
    <row r="1105" spans="1:35" x14ac:dyDescent="0.3">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row>
    <row r="1106" spans="1:35" x14ac:dyDescent="0.3">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row>
    <row r="1107" spans="1:35" x14ac:dyDescent="0.3">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row>
    <row r="1108" spans="1:35" x14ac:dyDescent="0.3">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row>
    <row r="1109" spans="1:35" x14ac:dyDescent="0.3">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row>
    <row r="1110" spans="1:35" x14ac:dyDescent="0.3">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row>
    <row r="1111" spans="1:35" x14ac:dyDescent="0.3">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row>
    <row r="1112" spans="1:35" x14ac:dyDescent="0.3">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row>
    <row r="1113" spans="1:35" x14ac:dyDescent="0.3">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row>
    <row r="1114" spans="1:35" x14ac:dyDescent="0.3">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row>
    <row r="1115" spans="1:35" x14ac:dyDescent="0.3">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row>
    <row r="1116" spans="1:35" x14ac:dyDescent="0.3">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row>
    <row r="1117" spans="1:35" x14ac:dyDescent="0.3">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row>
    <row r="1118" spans="1:35" x14ac:dyDescent="0.3">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row>
    <row r="1119" spans="1:35" x14ac:dyDescent="0.3">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row>
    <row r="1120" spans="1:35" x14ac:dyDescent="0.3">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row>
    <row r="1121" spans="1:35" x14ac:dyDescent="0.3">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row>
    <row r="1122" spans="1:35" x14ac:dyDescent="0.3">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row>
    <row r="1123" spans="1:35" x14ac:dyDescent="0.3">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row>
    <row r="1124" spans="1:35" x14ac:dyDescent="0.3">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row>
    <row r="1125" spans="1:35" x14ac:dyDescent="0.3">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row>
    <row r="1126" spans="1:35" x14ac:dyDescent="0.3">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row>
    <row r="1127" spans="1:35" x14ac:dyDescent="0.3">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row>
    <row r="1128" spans="1:35" x14ac:dyDescent="0.3">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row>
    <row r="1129" spans="1:35" x14ac:dyDescent="0.3">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row>
    <row r="1130" spans="1:35" x14ac:dyDescent="0.3">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row>
    <row r="1131" spans="1:35" x14ac:dyDescent="0.3">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row>
    <row r="1132" spans="1:35" x14ac:dyDescent="0.3">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row>
    <row r="1133" spans="1:35" x14ac:dyDescent="0.3">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row>
    <row r="1134" spans="1:35" x14ac:dyDescent="0.3">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row>
    <row r="1135" spans="1:35" x14ac:dyDescent="0.3">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row>
    <row r="1136" spans="1:35" x14ac:dyDescent="0.3">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row>
    <row r="1137" spans="1:35" x14ac:dyDescent="0.3">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row>
    <row r="1138" spans="1:35" x14ac:dyDescent="0.3">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row>
    <row r="1139" spans="1:35" x14ac:dyDescent="0.3">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row>
    <row r="1140" spans="1:35" x14ac:dyDescent="0.3">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row>
    <row r="1141" spans="1:35" x14ac:dyDescent="0.3">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row>
    <row r="1142" spans="1:35" x14ac:dyDescent="0.3">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row>
    <row r="1143" spans="1:35" x14ac:dyDescent="0.3">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row>
    <row r="1144" spans="1:35" x14ac:dyDescent="0.3">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row>
    <row r="1145" spans="1:35" x14ac:dyDescent="0.3">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row>
    <row r="1146" spans="1:35" x14ac:dyDescent="0.3">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row>
    <row r="1147" spans="1:35" x14ac:dyDescent="0.3">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row>
    <row r="1148" spans="1:35" x14ac:dyDescent="0.3">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row>
    <row r="1149" spans="1:35" x14ac:dyDescent="0.3">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row>
    <row r="1150" spans="1:35" x14ac:dyDescent="0.3">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row>
    <row r="1151" spans="1:35" x14ac:dyDescent="0.3">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row>
    <row r="1152" spans="1:35" x14ac:dyDescent="0.3">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row>
    <row r="1153" spans="1:35" x14ac:dyDescent="0.3">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row>
    <row r="1154" spans="1:35" x14ac:dyDescent="0.3">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row>
    <row r="1155" spans="1:35" x14ac:dyDescent="0.3">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row>
    <row r="1156" spans="1:35" x14ac:dyDescent="0.3">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row>
    <row r="1157" spans="1:35" x14ac:dyDescent="0.3">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row>
    <row r="1158" spans="1:35" x14ac:dyDescent="0.3">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row>
    <row r="1159" spans="1:35" x14ac:dyDescent="0.3">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row>
    <row r="1160" spans="1:35" x14ac:dyDescent="0.3">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row>
    <row r="1161" spans="1:35" x14ac:dyDescent="0.3">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row>
    <row r="1162" spans="1:35" x14ac:dyDescent="0.3">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row>
    <row r="1163" spans="1:35" x14ac:dyDescent="0.3">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row>
    <row r="1164" spans="1:35" x14ac:dyDescent="0.3">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row>
    <row r="1165" spans="1:35" x14ac:dyDescent="0.3">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row>
    <row r="1166" spans="1:35" x14ac:dyDescent="0.3">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row>
    <row r="1167" spans="1:35" x14ac:dyDescent="0.3">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row>
    <row r="1168" spans="1:35" x14ac:dyDescent="0.3">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row>
    <row r="1169" spans="1:35" x14ac:dyDescent="0.3">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row>
    <row r="1170" spans="1:35" x14ac:dyDescent="0.3">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row>
    <row r="1171" spans="1:35" x14ac:dyDescent="0.3">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row>
    <row r="1172" spans="1:35" x14ac:dyDescent="0.3">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row>
    <row r="1173" spans="1:35" x14ac:dyDescent="0.3">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row>
    <row r="1174" spans="1:35" x14ac:dyDescent="0.3">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row>
    <row r="1175" spans="1:35" x14ac:dyDescent="0.3">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row>
    <row r="1176" spans="1:35" x14ac:dyDescent="0.3">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row>
    <row r="1177" spans="1:35" x14ac:dyDescent="0.3">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row>
    <row r="1178" spans="1:35" x14ac:dyDescent="0.3">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row>
    <row r="1179" spans="1:35" x14ac:dyDescent="0.3">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row>
    <row r="1180" spans="1:35" x14ac:dyDescent="0.3">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row>
    <row r="1181" spans="1:35" x14ac:dyDescent="0.3">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row>
    <row r="1182" spans="1:35" x14ac:dyDescent="0.3">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row>
    <row r="1183" spans="1:35" x14ac:dyDescent="0.3">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row>
    <row r="1184" spans="1:35" x14ac:dyDescent="0.3">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row>
    <row r="1185" spans="1:35" x14ac:dyDescent="0.3">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row>
    <row r="1186" spans="1:35" x14ac:dyDescent="0.3">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row>
    <row r="1187" spans="1:35" x14ac:dyDescent="0.3">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row>
    <row r="1188" spans="1:35" x14ac:dyDescent="0.3">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row>
    <row r="1189" spans="1:35" x14ac:dyDescent="0.3">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row>
    <row r="1190" spans="1:35" x14ac:dyDescent="0.3">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row>
    <row r="1191" spans="1:35" x14ac:dyDescent="0.3">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row>
    <row r="1192" spans="1:35" x14ac:dyDescent="0.3">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row>
    <row r="1193" spans="1:35" x14ac:dyDescent="0.3">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row>
    <row r="1194" spans="1:35" x14ac:dyDescent="0.3">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row>
    <row r="1195" spans="1:35" x14ac:dyDescent="0.3">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row>
    <row r="1196" spans="1:35" x14ac:dyDescent="0.3">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row>
    <row r="1197" spans="1:35" x14ac:dyDescent="0.3">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row>
    <row r="1198" spans="1:35" x14ac:dyDescent="0.3">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row>
    <row r="1199" spans="1:35" x14ac:dyDescent="0.3">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row>
    <row r="1200" spans="1:35" x14ac:dyDescent="0.3">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row>
    <row r="1201" spans="1:35" x14ac:dyDescent="0.3">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row>
    <row r="1202" spans="1:35" x14ac:dyDescent="0.3">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row>
    <row r="1203" spans="1:35" x14ac:dyDescent="0.3">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row>
    <row r="1204" spans="1:35" x14ac:dyDescent="0.3">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row>
    <row r="1205" spans="1:35" x14ac:dyDescent="0.3">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row>
    <row r="1206" spans="1:35" x14ac:dyDescent="0.3">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row>
    <row r="1207" spans="1:35" x14ac:dyDescent="0.3">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row>
    <row r="1208" spans="1:35" x14ac:dyDescent="0.3">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row>
    <row r="1209" spans="1:35" x14ac:dyDescent="0.3">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row>
    <row r="1210" spans="1:35" x14ac:dyDescent="0.3">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row>
    <row r="1211" spans="1:35" x14ac:dyDescent="0.3">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row>
    <row r="1212" spans="1:35" x14ac:dyDescent="0.3">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row>
    <row r="1213" spans="1:35" x14ac:dyDescent="0.3">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row>
    <row r="1214" spans="1:35" x14ac:dyDescent="0.3">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row>
    <row r="1215" spans="1:35" x14ac:dyDescent="0.3">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row>
    <row r="1216" spans="1:35" x14ac:dyDescent="0.3">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row>
    <row r="1217" spans="1:35" x14ac:dyDescent="0.3">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row>
    <row r="1218" spans="1:35" x14ac:dyDescent="0.3">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row>
    <row r="1219" spans="1:35" x14ac:dyDescent="0.3">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row>
    <row r="1220" spans="1:35" x14ac:dyDescent="0.3">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row>
    <row r="1221" spans="1:35" x14ac:dyDescent="0.3">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row>
    <row r="1222" spans="1:35" x14ac:dyDescent="0.3">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row>
    <row r="1223" spans="1:35" x14ac:dyDescent="0.3">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row>
    <row r="1224" spans="1:35" x14ac:dyDescent="0.3">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row>
    <row r="1225" spans="1:35" x14ac:dyDescent="0.3">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row>
    <row r="1226" spans="1:35" x14ac:dyDescent="0.3">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row>
    <row r="1227" spans="1:35" x14ac:dyDescent="0.3">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row>
    <row r="1228" spans="1:35" x14ac:dyDescent="0.3">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row>
    <row r="1229" spans="1:35" x14ac:dyDescent="0.3">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row>
    <row r="1230" spans="1:35" x14ac:dyDescent="0.3">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row>
    <row r="1231" spans="1:35" x14ac:dyDescent="0.3">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row>
    <row r="1232" spans="1:35" x14ac:dyDescent="0.3">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row>
    <row r="1233" spans="1:35" x14ac:dyDescent="0.3">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row>
    <row r="1234" spans="1:35" x14ac:dyDescent="0.3">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row>
    <row r="1235" spans="1:35" x14ac:dyDescent="0.3">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row>
    <row r="1236" spans="1:35" x14ac:dyDescent="0.3">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row>
    <row r="1237" spans="1:35" x14ac:dyDescent="0.3">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row>
    <row r="1238" spans="1:35" x14ac:dyDescent="0.3">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row>
    <row r="1239" spans="1:35" x14ac:dyDescent="0.3">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row>
    <row r="1240" spans="1:35" x14ac:dyDescent="0.3">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row>
    <row r="1241" spans="1:35" x14ac:dyDescent="0.3">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row>
    <row r="1242" spans="1:35" x14ac:dyDescent="0.3">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row>
    <row r="1243" spans="1:35" x14ac:dyDescent="0.3">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row>
    <row r="1244" spans="1:35" x14ac:dyDescent="0.3">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row>
    <row r="1245" spans="1:35" x14ac:dyDescent="0.3">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row>
    <row r="1246" spans="1:35" x14ac:dyDescent="0.3">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row>
    <row r="1247" spans="1:35" x14ac:dyDescent="0.3">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row>
    <row r="1248" spans="1:35" x14ac:dyDescent="0.3">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row>
    <row r="1249" spans="1:35" x14ac:dyDescent="0.3">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row>
    <row r="1250" spans="1:35" x14ac:dyDescent="0.3">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row>
    <row r="1251" spans="1:35" x14ac:dyDescent="0.3">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row>
    <row r="1252" spans="1:35" x14ac:dyDescent="0.3">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row>
    <row r="1253" spans="1:35" x14ac:dyDescent="0.3">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row>
    <row r="1254" spans="1:35" x14ac:dyDescent="0.3">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row>
    <row r="1255" spans="1:35" x14ac:dyDescent="0.3">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row>
    <row r="1256" spans="1:35" x14ac:dyDescent="0.3">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row>
    <row r="1257" spans="1:35" x14ac:dyDescent="0.3">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row>
    <row r="1258" spans="1:35" x14ac:dyDescent="0.3">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row>
    <row r="1259" spans="1:35" x14ac:dyDescent="0.3">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row>
    <row r="1260" spans="1:35" x14ac:dyDescent="0.3">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row>
    <row r="1261" spans="1:35" x14ac:dyDescent="0.3">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row>
    <row r="1262" spans="1:35" x14ac:dyDescent="0.3">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row>
    <row r="1263" spans="1:35" x14ac:dyDescent="0.3">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row>
    <row r="1264" spans="1:35" x14ac:dyDescent="0.3">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row>
    <row r="1265" spans="1:35" x14ac:dyDescent="0.3">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row>
    <row r="1266" spans="1:35" x14ac:dyDescent="0.3">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row>
    <row r="1267" spans="1:35" x14ac:dyDescent="0.3">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row>
    <row r="1268" spans="1:35" x14ac:dyDescent="0.3">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row>
    <row r="1269" spans="1:35" x14ac:dyDescent="0.3">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row>
    <row r="1270" spans="1:35" x14ac:dyDescent="0.3">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row>
    <row r="1271" spans="1:35" x14ac:dyDescent="0.3">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row>
    <row r="1272" spans="1:35" x14ac:dyDescent="0.3">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row>
    <row r="1273" spans="1:35" x14ac:dyDescent="0.3">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row>
    <row r="1274" spans="1:35" x14ac:dyDescent="0.3">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row>
    <row r="1275" spans="1:35" x14ac:dyDescent="0.3">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row>
    <row r="1276" spans="1:35" x14ac:dyDescent="0.3">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row>
    <row r="1277" spans="1:35" x14ac:dyDescent="0.3">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row>
    <row r="1278" spans="1:35" x14ac:dyDescent="0.3">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row>
    <row r="1279" spans="1:35" x14ac:dyDescent="0.3">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row>
    <row r="1280" spans="1:35" x14ac:dyDescent="0.3">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row>
    <row r="1281" spans="1:35" x14ac:dyDescent="0.3">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row>
    <row r="1282" spans="1:35" x14ac:dyDescent="0.3">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row>
    <row r="1283" spans="1:35" x14ac:dyDescent="0.3">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row>
    <row r="1284" spans="1:35" x14ac:dyDescent="0.3">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row>
    <row r="1285" spans="1:35" x14ac:dyDescent="0.3">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row>
    <row r="1286" spans="1:35" x14ac:dyDescent="0.3">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row>
    <row r="1287" spans="1:35" x14ac:dyDescent="0.3">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row>
    <row r="1288" spans="1:35" x14ac:dyDescent="0.3">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row>
    <row r="1289" spans="1:35" x14ac:dyDescent="0.3">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row>
    <row r="1290" spans="1:35" x14ac:dyDescent="0.3">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row>
    <row r="1291" spans="1:35" x14ac:dyDescent="0.3">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row>
    <row r="1292" spans="1:35" x14ac:dyDescent="0.3">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row>
    <row r="1293" spans="1:35" x14ac:dyDescent="0.3">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row>
    <row r="1294" spans="1:35" x14ac:dyDescent="0.3">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row>
    <row r="1295" spans="1:35" x14ac:dyDescent="0.3">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row>
    <row r="1296" spans="1:35" x14ac:dyDescent="0.3">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row>
    <row r="1297" spans="1:35" x14ac:dyDescent="0.3">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row>
    <row r="1298" spans="1:35" x14ac:dyDescent="0.3">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row>
    <row r="1299" spans="1:35" x14ac:dyDescent="0.3">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row>
    <row r="1300" spans="1:35" x14ac:dyDescent="0.3">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row>
    <row r="1301" spans="1:35" x14ac:dyDescent="0.3">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row>
    <row r="1302" spans="1:35" x14ac:dyDescent="0.3">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row>
    <row r="1303" spans="1:35" x14ac:dyDescent="0.3">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row>
    <row r="1304" spans="1:35" x14ac:dyDescent="0.3">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row>
    <row r="1305" spans="1:35" x14ac:dyDescent="0.3">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row>
    <row r="1306" spans="1:35" x14ac:dyDescent="0.3">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row>
    <row r="1307" spans="1:35" x14ac:dyDescent="0.3">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row>
    <row r="1308" spans="1:35" x14ac:dyDescent="0.3">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row>
    <row r="1309" spans="1:35" x14ac:dyDescent="0.3">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row>
    <row r="1310" spans="1:35" x14ac:dyDescent="0.3">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row>
    <row r="1311" spans="1:35" x14ac:dyDescent="0.3">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row>
    <row r="1312" spans="1:35" x14ac:dyDescent="0.3">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row>
    <row r="1313" spans="1:35" x14ac:dyDescent="0.3">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row>
    <row r="1314" spans="1:35" x14ac:dyDescent="0.3">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row>
    <row r="1315" spans="1:35" x14ac:dyDescent="0.3">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row>
    <row r="1316" spans="1:35" x14ac:dyDescent="0.3">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row>
    <row r="1317" spans="1:35" x14ac:dyDescent="0.3">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row>
    <row r="1318" spans="1:35" x14ac:dyDescent="0.3">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row>
    <row r="1319" spans="1:35" x14ac:dyDescent="0.3">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row>
    <row r="1320" spans="1:35" x14ac:dyDescent="0.3">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row>
    <row r="1321" spans="1:35" x14ac:dyDescent="0.3">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row>
    <row r="1322" spans="1:35" x14ac:dyDescent="0.3">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row>
    <row r="1323" spans="1:35" x14ac:dyDescent="0.3">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row>
    <row r="1324" spans="1:35" x14ac:dyDescent="0.3">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row>
    <row r="1325" spans="1:35" x14ac:dyDescent="0.3">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row>
    <row r="1326" spans="1:35" x14ac:dyDescent="0.3">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row>
    <row r="1327" spans="1:35" x14ac:dyDescent="0.3">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row>
    <row r="1328" spans="1:35" x14ac:dyDescent="0.3">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row>
    <row r="1329" spans="1:35" x14ac:dyDescent="0.3">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row>
    <row r="1330" spans="1:35" x14ac:dyDescent="0.3">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row>
    <row r="1331" spans="1:35" x14ac:dyDescent="0.3">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row>
    <row r="1332" spans="1:35" x14ac:dyDescent="0.3">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row>
    <row r="1333" spans="1:35" x14ac:dyDescent="0.3">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row>
    <row r="1334" spans="1:35" x14ac:dyDescent="0.3">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row>
    <row r="1335" spans="1:35" x14ac:dyDescent="0.3">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row>
    <row r="1336" spans="1:35" x14ac:dyDescent="0.3">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row>
    <row r="1337" spans="1:35" x14ac:dyDescent="0.3">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row>
    <row r="1338" spans="1:35" x14ac:dyDescent="0.3">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row>
    <row r="1339" spans="1:35" x14ac:dyDescent="0.3">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row>
    <row r="1340" spans="1:35" x14ac:dyDescent="0.3">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row>
    <row r="1341" spans="1:35" x14ac:dyDescent="0.3">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row>
    <row r="1342" spans="1:35" x14ac:dyDescent="0.3">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row>
    <row r="1343" spans="1:35" x14ac:dyDescent="0.3">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row>
    <row r="1344" spans="1:35" x14ac:dyDescent="0.3">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row>
    <row r="1345" spans="1:35" x14ac:dyDescent="0.3">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row>
    <row r="1346" spans="1:35" x14ac:dyDescent="0.3">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row>
    <row r="1347" spans="1:35" x14ac:dyDescent="0.3">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row>
    <row r="1348" spans="1:35" x14ac:dyDescent="0.3">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row>
    <row r="1349" spans="1:35" x14ac:dyDescent="0.3">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row>
    <row r="1350" spans="1:35" x14ac:dyDescent="0.3">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row>
    <row r="1351" spans="1:35" x14ac:dyDescent="0.3">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row>
    <row r="1352" spans="1:35" x14ac:dyDescent="0.3">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row>
    <row r="1353" spans="1:35" x14ac:dyDescent="0.3">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row>
    <row r="1354" spans="1:35" x14ac:dyDescent="0.3">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row>
    <row r="1355" spans="1:35" x14ac:dyDescent="0.3">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row>
    <row r="1356" spans="1:35" x14ac:dyDescent="0.3">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row>
    <row r="1357" spans="1:35" x14ac:dyDescent="0.3">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row>
    <row r="1358" spans="1:35" x14ac:dyDescent="0.3">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row>
    <row r="1359" spans="1:35" x14ac:dyDescent="0.3">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row>
    <row r="1360" spans="1:35" x14ac:dyDescent="0.3">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row>
    <row r="1361" spans="1:35" x14ac:dyDescent="0.3">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row>
    <row r="1362" spans="1:35" x14ac:dyDescent="0.3">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row>
    <row r="1363" spans="1:35" x14ac:dyDescent="0.3">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row>
    <row r="1364" spans="1:35" x14ac:dyDescent="0.3">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row>
    <row r="1365" spans="1:35" x14ac:dyDescent="0.3">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row>
    <row r="1366" spans="1:35" x14ac:dyDescent="0.3">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row>
    <row r="1367" spans="1:35" x14ac:dyDescent="0.3">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row>
    <row r="1368" spans="1:35" x14ac:dyDescent="0.3">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row>
    <row r="1369" spans="1:35" x14ac:dyDescent="0.3">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row>
    <row r="1370" spans="1:35" x14ac:dyDescent="0.3">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row>
    <row r="1371" spans="1:35" x14ac:dyDescent="0.3">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row>
    <row r="1372" spans="1:35" x14ac:dyDescent="0.3">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row>
    <row r="1373" spans="1:35" x14ac:dyDescent="0.3">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row>
    <row r="1374" spans="1:35" x14ac:dyDescent="0.3">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row>
    <row r="1375" spans="1:35" x14ac:dyDescent="0.3">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row>
    <row r="1376" spans="1:35" x14ac:dyDescent="0.3">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row>
    <row r="1377" spans="1:35" x14ac:dyDescent="0.3">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row>
    <row r="1378" spans="1:35" x14ac:dyDescent="0.3">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row>
    <row r="1379" spans="1:35" x14ac:dyDescent="0.3">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row>
    <row r="1380" spans="1:35" x14ac:dyDescent="0.3">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row>
    <row r="1381" spans="1:35" x14ac:dyDescent="0.3">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row>
    <row r="1382" spans="1:35" x14ac:dyDescent="0.3">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row>
    <row r="1383" spans="1:35" x14ac:dyDescent="0.3">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row>
    <row r="1384" spans="1:35" x14ac:dyDescent="0.3">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row>
    <row r="1385" spans="1:35" x14ac:dyDescent="0.3">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row>
    <row r="1386" spans="1:35" x14ac:dyDescent="0.3">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row>
    <row r="1387" spans="1:35" x14ac:dyDescent="0.3">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row>
    <row r="1388" spans="1:35" x14ac:dyDescent="0.3">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row>
    <row r="1389" spans="1:35" x14ac:dyDescent="0.3">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row>
    <row r="1390" spans="1:35" x14ac:dyDescent="0.3">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row>
    <row r="1391" spans="1:35" x14ac:dyDescent="0.3">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row>
    <row r="1392" spans="1:35" x14ac:dyDescent="0.3">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row>
    <row r="1393" spans="1:35" x14ac:dyDescent="0.3">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row>
    <row r="1394" spans="1:35" x14ac:dyDescent="0.3">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row>
    <row r="1395" spans="1:35" x14ac:dyDescent="0.3">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row>
    <row r="1396" spans="1:35" x14ac:dyDescent="0.3">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row>
    <row r="1397" spans="1:35" x14ac:dyDescent="0.3">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row>
    <row r="1398" spans="1:35" x14ac:dyDescent="0.3">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row>
    <row r="1399" spans="1:35" x14ac:dyDescent="0.3">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row>
    <row r="1400" spans="1:35" x14ac:dyDescent="0.3">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row>
    <row r="1401" spans="1:35" x14ac:dyDescent="0.3">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row>
    <row r="1402" spans="1:35" x14ac:dyDescent="0.3">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row>
    <row r="1403" spans="1:35" x14ac:dyDescent="0.3">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row>
    <row r="1404" spans="1:35" x14ac:dyDescent="0.3">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row>
    <row r="1405" spans="1:35" x14ac:dyDescent="0.3">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row>
    <row r="1406" spans="1:35" x14ac:dyDescent="0.3">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row>
    <row r="1407" spans="1:35" x14ac:dyDescent="0.3">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row>
    <row r="1408" spans="1:35" x14ac:dyDescent="0.3">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row>
    <row r="1409" spans="1:35" x14ac:dyDescent="0.3">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row>
    <row r="1410" spans="1:35" x14ac:dyDescent="0.3">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row>
    <row r="1411" spans="1:35" x14ac:dyDescent="0.3">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row>
    <row r="1412" spans="1:35" x14ac:dyDescent="0.3">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row>
    <row r="1413" spans="1:35" x14ac:dyDescent="0.3">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row>
    <row r="1414" spans="1:35" x14ac:dyDescent="0.3">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row>
    <row r="1415" spans="1:35" x14ac:dyDescent="0.3">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row>
    <row r="1416" spans="1:35" x14ac:dyDescent="0.3">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row>
    <row r="1417" spans="1:35" x14ac:dyDescent="0.3">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row>
    <row r="1418" spans="1:35" x14ac:dyDescent="0.3">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row>
    <row r="1419" spans="1:35" x14ac:dyDescent="0.3">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row>
    <row r="1420" spans="1:35" x14ac:dyDescent="0.3">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row>
    <row r="1421" spans="1:35" x14ac:dyDescent="0.3">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row>
    <row r="1422" spans="1:35" x14ac:dyDescent="0.3">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row>
    <row r="1423" spans="1:35" x14ac:dyDescent="0.3">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row>
    <row r="1424" spans="1:35" x14ac:dyDescent="0.3">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row>
    <row r="1425" spans="1:35" x14ac:dyDescent="0.3">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row>
    <row r="1426" spans="1:35" x14ac:dyDescent="0.3">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row>
    <row r="1427" spans="1:35" x14ac:dyDescent="0.3">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row>
    <row r="1428" spans="1:35" x14ac:dyDescent="0.3">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row>
    <row r="1429" spans="1:35" x14ac:dyDescent="0.3">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row>
    <row r="1430" spans="1:35" x14ac:dyDescent="0.3">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row>
    <row r="1431" spans="1:35" x14ac:dyDescent="0.3">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row>
    <row r="1432" spans="1:35" x14ac:dyDescent="0.3">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row>
    <row r="1433" spans="1:35" x14ac:dyDescent="0.3">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row>
    <row r="1434" spans="1:35" x14ac:dyDescent="0.3">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row>
    <row r="1435" spans="1:35" x14ac:dyDescent="0.3">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row>
    <row r="1436" spans="1:35" x14ac:dyDescent="0.3">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row>
    <row r="1437" spans="1:35" x14ac:dyDescent="0.3">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row>
    <row r="1438" spans="1:35" x14ac:dyDescent="0.3">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row>
    <row r="1439" spans="1:35" x14ac:dyDescent="0.3">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row>
    <row r="1440" spans="1:35" x14ac:dyDescent="0.3">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row>
    <row r="1441" spans="1:35" x14ac:dyDescent="0.3">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row>
    <row r="1442" spans="1:35" x14ac:dyDescent="0.3">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row>
    <row r="1443" spans="1:35" x14ac:dyDescent="0.3">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row>
    <row r="1444" spans="1:35" x14ac:dyDescent="0.3">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row>
    <row r="1445" spans="1:35" x14ac:dyDescent="0.3">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row>
    <row r="1446" spans="1:35" x14ac:dyDescent="0.3">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row>
    <row r="1447" spans="1:35" x14ac:dyDescent="0.3">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row>
    <row r="1448" spans="1:35" x14ac:dyDescent="0.3">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row>
    <row r="1449" spans="1:35" x14ac:dyDescent="0.3">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row>
    <row r="1450" spans="1:35" x14ac:dyDescent="0.3">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row>
    <row r="1451" spans="1:35" x14ac:dyDescent="0.3">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row>
    <row r="1452" spans="1:35" x14ac:dyDescent="0.3">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row>
    <row r="1453" spans="1:35" x14ac:dyDescent="0.3">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row>
    <row r="1454" spans="1:35" x14ac:dyDescent="0.3">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row>
    <row r="1455" spans="1:35" x14ac:dyDescent="0.3">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row>
    <row r="1456" spans="1:35" x14ac:dyDescent="0.3">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row>
    <row r="1457" spans="1:35" x14ac:dyDescent="0.3">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row>
    <row r="1458" spans="1:35" x14ac:dyDescent="0.3">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row>
    <row r="1459" spans="1:35" x14ac:dyDescent="0.3">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row>
    <row r="1460" spans="1:35" x14ac:dyDescent="0.3">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row>
    <row r="1461" spans="1:35" x14ac:dyDescent="0.3">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row>
    <row r="1462" spans="1:35" x14ac:dyDescent="0.3">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row>
    <row r="1463" spans="1:35" x14ac:dyDescent="0.3">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row>
    <row r="1464" spans="1:35" x14ac:dyDescent="0.3">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row>
    <row r="1465" spans="1:35" x14ac:dyDescent="0.3">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row>
    <row r="1466" spans="1:35" x14ac:dyDescent="0.3">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row>
    <row r="1467" spans="1:35" x14ac:dyDescent="0.3">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row>
    <row r="1468" spans="1:35" x14ac:dyDescent="0.3">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row>
    <row r="1469" spans="1:35" x14ac:dyDescent="0.3">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row>
    <row r="1470" spans="1:35" x14ac:dyDescent="0.3">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row>
    <row r="1471" spans="1:35" x14ac:dyDescent="0.3">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48F90-F0BA-4557-8212-6309542C9512}">
  <dimension ref="A1:AP1471"/>
  <sheetViews>
    <sheetView topLeftCell="A2" workbookViewId="0">
      <selection activeCell="AI8" sqref="AI8"/>
    </sheetView>
  </sheetViews>
  <sheetFormatPr defaultRowHeight="14.4" x14ac:dyDescent="0.3"/>
  <cols>
    <col min="2" max="2" width="9.88671875" customWidth="1"/>
    <col min="3" max="3" width="15.109375" customWidth="1"/>
    <col min="4" max="4" width="10.77734375" customWidth="1"/>
    <col min="5" max="5" width="13" customWidth="1"/>
    <col min="6" max="6" width="19.33203125" customWidth="1"/>
    <col min="7" max="7" width="11.33203125" customWidth="1"/>
    <col min="8" max="8" width="15.21875" customWidth="1"/>
    <col min="9" max="9" width="16.33203125" customWidth="1"/>
    <col min="10" max="10" width="18.109375" customWidth="1"/>
    <col min="11" max="11" width="23.5546875" customWidth="1"/>
    <col min="12" max="12" width="9" customWidth="1"/>
    <col min="13" max="13" width="12.21875" customWidth="1"/>
    <col min="14" max="14" width="16.44140625" customWidth="1"/>
    <col min="15" max="15" width="10.109375" customWidth="1"/>
    <col min="16" max="16" width="9.44140625" customWidth="1"/>
    <col min="17" max="17" width="15.5546875" customWidth="1"/>
    <col min="18" max="18" width="14.109375" customWidth="1"/>
    <col min="19" max="19" width="16.44140625" customWidth="1"/>
    <col min="20" max="20" width="13.88671875" customWidth="1"/>
    <col min="21" max="21" width="23" customWidth="1"/>
    <col min="23" max="23" width="11" customWidth="1"/>
    <col min="24" max="24" width="18.109375" customWidth="1"/>
    <col min="25" max="25" width="19.109375" customWidth="1"/>
    <col min="26" max="26" width="23" customWidth="1"/>
    <col min="27" max="27" width="15.44140625" customWidth="1"/>
    <col min="28" max="28" width="17.6640625" customWidth="1"/>
    <col min="29" max="29" width="18.6640625" customWidth="1"/>
    <col min="30" max="30" width="21.5546875" customWidth="1"/>
    <col min="31" max="31" width="17" customWidth="1"/>
    <col min="32" max="32" width="17.33203125" customWidth="1"/>
    <col min="33" max="33" width="19" customWidth="1"/>
    <col min="34" max="34" width="24.109375" customWidth="1"/>
    <col min="35" max="35" width="22.44140625" customWidth="1"/>
    <col min="39" max="39" width="13.6640625" bestFit="1" customWidth="1"/>
  </cols>
  <sheetData>
    <row r="1" spans="1:4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62</v>
      </c>
      <c r="AK1" t="s">
        <v>63</v>
      </c>
      <c r="AL1" t="s">
        <v>64</v>
      </c>
      <c r="AM1" t="s">
        <v>65</v>
      </c>
      <c r="AN1" t="s">
        <v>66</v>
      </c>
      <c r="AO1" t="s">
        <v>67</v>
      </c>
      <c r="AP1" t="s">
        <v>68</v>
      </c>
    </row>
    <row r="2" spans="1:42" x14ac:dyDescent="0.3">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c r="AJ2">
        <f>IF(HR_Data[[#This Row],[Attrition]]="Yes",1,0)</f>
        <v>1</v>
      </c>
      <c r="AK2">
        <f>IF(HR_Data[[#This Row],[Attrition]]="No",1,0)</f>
        <v>0</v>
      </c>
      <c r="AL2" t="str">
        <f>IF(HR_Data[[#This Row],[Age]]&lt;25,"Under 25",IF(HR_Data[[#This Row],[Age]]&lt;=34,"25-34",IF(HR_Data[[#This Row],[Age]]&lt;=44,"35-44",IF(HR_Data[[#This Row],[Age]]&lt;=54,"45-54","55+"))))</f>
        <v>35-44</v>
      </c>
      <c r="AM2" s="1" t="str">
        <f>IF(HR_Data[[#This Row],[MonthlyIncome]]&lt;3000,"Low Salary",IF(HR_Data[[#This Row],[MonthlyIncome]]&lt;=7000,"Medium Salary","High Salary"))</f>
        <v>Medium Salary</v>
      </c>
      <c r="AN2" s="1" t="str">
        <f>IF(HR_Data[[#This Row],[YearsAtCompany]]&lt;2,"0-1 Years",IF(HR_Data[[#This Row],[YearsAtCompany]]&lt;=5,"2-5 Years",IF(HR_Data[[#This Row],[YearsAtCompany]]&lt;=10,"6-10 Years","10+ Years")))</f>
        <v>6-10 Years</v>
      </c>
      <c r="AO2" s="1" t="str">
        <f>IF(HR_Data[[#This Row],[JobSatisfaction]]=1,"Low",IF(HR_Data[[#This Row],[JobSatisfaction]]=2,"Medium",IF(HR_Data[[#This Row],[JobSatisfaction]]=3,"High","Very High")))</f>
        <v>Very High</v>
      </c>
      <c r="AP2" s="1" t="str">
        <f>IF(HR_Data[[#This Row],[WorkLifeBalance]]=1,"Bad",IF(HR_Data[[#This Row],[WorkLifeBalance]]=2,"Good",IF(HR_Data[[#This Row],[WorkLifeBalance]]=3,"Better","Best")))</f>
        <v>Bad</v>
      </c>
    </row>
    <row r="3" spans="1:42" x14ac:dyDescent="0.3">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c r="AJ3">
        <f>IF(HR_Data[[#This Row],[Attrition]]="Yes",1,0)</f>
        <v>0</v>
      </c>
      <c r="AK3">
        <f>IF(HR_Data[[#This Row],[Attrition]]="No",1,0)</f>
        <v>1</v>
      </c>
      <c r="AL3" t="str">
        <f>IF(HR_Data[[#This Row],[Age]]&lt;25,"Under 25",IF(HR_Data[[#This Row],[Age]]&lt;=34,"25-34",IF(HR_Data[[#This Row],[Age]]&lt;=44,"35-44",IF(HR_Data[[#This Row],[Age]]&lt;=54,"45-54","55+"))))</f>
        <v>45-54</v>
      </c>
      <c r="AM3" s="1" t="str">
        <f>IF(HR_Data[[#This Row],[MonthlyIncome]]&lt;3000,"Low Salary",IF(HR_Data[[#This Row],[MonthlyIncome]]&lt;=7000,"Medium Salary","High Salary"))</f>
        <v>Medium Salary</v>
      </c>
      <c r="AN3" s="1" t="str">
        <f>IF(HR_Data[[#This Row],[YearsAtCompany]]&lt;2,"0-1 Years",IF(HR_Data[[#This Row],[YearsAtCompany]]&lt;=5,"2-5 Years",IF(HR_Data[[#This Row],[YearsAtCompany]]&lt;=10,"6-10 Years","10+ Years")))</f>
        <v>6-10 Years</v>
      </c>
      <c r="AO3" s="1" t="str">
        <f>IF(HR_Data[[#This Row],[JobSatisfaction]]=1,"Low",IF(HR_Data[[#This Row],[JobSatisfaction]]=2,"Medium",IF(HR_Data[[#This Row],[JobSatisfaction]]=3,"High","Very High")))</f>
        <v>Medium</v>
      </c>
      <c r="AP3" s="1" t="str">
        <f>IF(HR_Data[[#This Row],[WorkLifeBalance]]=1,"Bad",IF(HR_Data[[#This Row],[WorkLifeBalance]]=2,"Good",IF(HR_Data[[#This Row],[WorkLifeBalance]]=3,"Better","Best")))</f>
        <v>Better</v>
      </c>
    </row>
    <row r="4" spans="1:42" x14ac:dyDescent="0.3">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c r="AJ4">
        <f>IF(HR_Data[[#This Row],[Attrition]]="Yes",1,0)</f>
        <v>1</v>
      </c>
      <c r="AK4">
        <f>IF(HR_Data[[#This Row],[Attrition]]="No",1,0)</f>
        <v>0</v>
      </c>
      <c r="AL4" t="str">
        <f>IF(HR_Data[[#This Row],[Age]]&lt;25,"Under 25",IF(HR_Data[[#This Row],[Age]]&lt;=34,"25-34",IF(HR_Data[[#This Row],[Age]]&lt;=44,"35-44",IF(HR_Data[[#This Row],[Age]]&lt;=54,"45-54","55+"))))</f>
        <v>35-44</v>
      </c>
      <c r="AM4" s="1" t="str">
        <f>IF(HR_Data[[#This Row],[MonthlyIncome]]&lt;3000,"Low Salary",IF(HR_Data[[#This Row],[MonthlyIncome]]&lt;=7000,"Medium Salary","High Salary"))</f>
        <v>Low Salary</v>
      </c>
      <c r="AN4" s="1" t="str">
        <f>IF(HR_Data[[#This Row],[YearsAtCompany]]&lt;2,"0-1 Years",IF(HR_Data[[#This Row],[YearsAtCompany]]&lt;=5,"2-5 Years",IF(HR_Data[[#This Row],[YearsAtCompany]]&lt;=10,"6-10 Years","10+ Years")))</f>
        <v>0-1 Years</v>
      </c>
      <c r="AO4" s="1" t="str">
        <f>IF(HR_Data[[#This Row],[JobSatisfaction]]=1,"Low",IF(HR_Data[[#This Row],[JobSatisfaction]]=2,"Medium",IF(HR_Data[[#This Row],[JobSatisfaction]]=3,"High","Very High")))</f>
        <v>High</v>
      </c>
      <c r="AP4" s="1" t="str">
        <f>IF(HR_Data[[#This Row],[WorkLifeBalance]]=1,"Bad",IF(HR_Data[[#This Row],[WorkLifeBalance]]=2,"Good",IF(HR_Data[[#This Row],[WorkLifeBalance]]=3,"Better","Best")))</f>
        <v>Better</v>
      </c>
    </row>
    <row r="5" spans="1:42" x14ac:dyDescent="0.3">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c r="AJ5">
        <f>IF(HR_Data[[#This Row],[Attrition]]="Yes",1,0)</f>
        <v>0</v>
      </c>
      <c r="AK5">
        <f>IF(HR_Data[[#This Row],[Attrition]]="No",1,0)</f>
        <v>1</v>
      </c>
      <c r="AL5" t="str">
        <f>IF(HR_Data[[#This Row],[Age]]&lt;25,"Under 25",IF(HR_Data[[#This Row],[Age]]&lt;=34,"25-34",IF(HR_Data[[#This Row],[Age]]&lt;=44,"35-44",IF(HR_Data[[#This Row],[Age]]&lt;=54,"45-54","55+"))))</f>
        <v>25-34</v>
      </c>
      <c r="AM5" s="1" t="str">
        <f>IF(HR_Data[[#This Row],[MonthlyIncome]]&lt;3000,"Low Salary",IF(HR_Data[[#This Row],[MonthlyIncome]]&lt;=7000,"Medium Salary","High Salary"))</f>
        <v>Low Salary</v>
      </c>
      <c r="AN5" s="1" t="str">
        <f>IF(HR_Data[[#This Row],[YearsAtCompany]]&lt;2,"0-1 Years",IF(HR_Data[[#This Row],[YearsAtCompany]]&lt;=5,"2-5 Years",IF(HR_Data[[#This Row],[YearsAtCompany]]&lt;=10,"6-10 Years","10+ Years")))</f>
        <v>6-10 Years</v>
      </c>
      <c r="AO5" s="1" t="str">
        <f>IF(HR_Data[[#This Row],[JobSatisfaction]]=1,"Low",IF(HR_Data[[#This Row],[JobSatisfaction]]=2,"Medium",IF(HR_Data[[#This Row],[JobSatisfaction]]=3,"High","Very High")))</f>
        <v>High</v>
      </c>
      <c r="AP5" s="1" t="str">
        <f>IF(HR_Data[[#This Row],[WorkLifeBalance]]=1,"Bad",IF(HR_Data[[#This Row],[WorkLifeBalance]]=2,"Good",IF(HR_Data[[#This Row],[WorkLifeBalance]]=3,"Better","Best")))</f>
        <v>Better</v>
      </c>
    </row>
    <row r="6" spans="1:42" x14ac:dyDescent="0.3">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c r="AJ6">
        <f>IF(HR_Data[[#This Row],[Attrition]]="Yes",1,0)</f>
        <v>0</v>
      </c>
      <c r="AK6">
        <f>IF(HR_Data[[#This Row],[Attrition]]="No",1,0)</f>
        <v>1</v>
      </c>
      <c r="AL6" t="str">
        <f>IF(HR_Data[[#This Row],[Age]]&lt;25,"Under 25",IF(HR_Data[[#This Row],[Age]]&lt;=34,"25-34",IF(HR_Data[[#This Row],[Age]]&lt;=44,"35-44",IF(HR_Data[[#This Row],[Age]]&lt;=54,"45-54","55+"))))</f>
        <v>25-34</v>
      </c>
      <c r="AM6" s="1" t="str">
        <f>IF(HR_Data[[#This Row],[MonthlyIncome]]&lt;3000,"Low Salary",IF(HR_Data[[#This Row],[MonthlyIncome]]&lt;=7000,"Medium Salary","High Salary"))</f>
        <v>Medium Salary</v>
      </c>
      <c r="AN6" s="1" t="str">
        <f>IF(HR_Data[[#This Row],[YearsAtCompany]]&lt;2,"0-1 Years",IF(HR_Data[[#This Row],[YearsAtCompany]]&lt;=5,"2-5 Years",IF(HR_Data[[#This Row],[YearsAtCompany]]&lt;=10,"6-10 Years","10+ Years")))</f>
        <v>2-5 Years</v>
      </c>
      <c r="AO6" s="1" t="str">
        <f>IF(HR_Data[[#This Row],[JobSatisfaction]]=1,"Low",IF(HR_Data[[#This Row],[JobSatisfaction]]=2,"Medium",IF(HR_Data[[#This Row],[JobSatisfaction]]=3,"High","Very High")))</f>
        <v>Medium</v>
      </c>
      <c r="AP6" s="1" t="str">
        <f>IF(HR_Data[[#This Row],[WorkLifeBalance]]=1,"Bad",IF(HR_Data[[#This Row],[WorkLifeBalance]]=2,"Good",IF(HR_Data[[#This Row],[WorkLifeBalance]]=3,"Better","Best")))</f>
        <v>Better</v>
      </c>
    </row>
    <row r="7" spans="1:42" x14ac:dyDescent="0.3">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c r="AJ7">
        <f>IF(HR_Data[[#This Row],[Attrition]]="Yes",1,0)</f>
        <v>0</v>
      </c>
      <c r="AK7">
        <f>IF(HR_Data[[#This Row],[Attrition]]="No",1,0)</f>
        <v>1</v>
      </c>
      <c r="AL7" t="str">
        <f>IF(HR_Data[[#This Row],[Age]]&lt;25,"Under 25",IF(HR_Data[[#This Row],[Age]]&lt;=34,"25-34",IF(HR_Data[[#This Row],[Age]]&lt;=44,"35-44",IF(HR_Data[[#This Row],[Age]]&lt;=54,"45-54","55+"))))</f>
        <v>25-34</v>
      </c>
      <c r="AM7" s="1" t="str">
        <f>IF(HR_Data[[#This Row],[MonthlyIncome]]&lt;3000,"Low Salary",IF(HR_Data[[#This Row],[MonthlyIncome]]&lt;=7000,"Medium Salary","High Salary"))</f>
        <v>Medium Salary</v>
      </c>
      <c r="AN7" s="1" t="str">
        <f>IF(HR_Data[[#This Row],[YearsAtCompany]]&lt;2,"0-1 Years",IF(HR_Data[[#This Row],[YearsAtCompany]]&lt;=5,"2-5 Years",IF(HR_Data[[#This Row],[YearsAtCompany]]&lt;=10,"6-10 Years","10+ Years")))</f>
        <v>6-10 Years</v>
      </c>
      <c r="AO7" s="1" t="str">
        <f>IF(HR_Data[[#This Row],[JobSatisfaction]]=1,"Low",IF(HR_Data[[#This Row],[JobSatisfaction]]=2,"Medium",IF(HR_Data[[#This Row],[JobSatisfaction]]=3,"High","Very High")))</f>
        <v>Very High</v>
      </c>
      <c r="AP7" s="1" t="str">
        <f>IF(HR_Data[[#This Row],[WorkLifeBalance]]=1,"Bad",IF(HR_Data[[#This Row],[WorkLifeBalance]]=2,"Good",IF(HR_Data[[#This Row],[WorkLifeBalance]]=3,"Better","Best")))</f>
        <v>Good</v>
      </c>
    </row>
    <row r="8" spans="1:42" x14ac:dyDescent="0.3">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c r="AJ8">
        <f>IF(HR_Data[[#This Row],[Attrition]]="Yes",1,0)</f>
        <v>0</v>
      </c>
      <c r="AK8">
        <f>IF(HR_Data[[#This Row],[Attrition]]="No",1,0)</f>
        <v>1</v>
      </c>
      <c r="AL8" t="str">
        <f>IF(HR_Data[[#This Row],[Age]]&lt;25,"Under 25",IF(HR_Data[[#This Row],[Age]]&lt;=34,"25-34",IF(HR_Data[[#This Row],[Age]]&lt;=44,"35-44",IF(HR_Data[[#This Row],[Age]]&lt;=54,"45-54","55+"))))</f>
        <v>55+</v>
      </c>
      <c r="AM8" s="1" t="str">
        <f>IF(HR_Data[[#This Row],[MonthlyIncome]]&lt;3000,"Low Salary",IF(HR_Data[[#This Row],[MonthlyIncome]]&lt;=7000,"Medium Salary","High Salary"))</f>
        <v>Low Salary</v>
      </c>
      <c r="AN8" s="1" t="str">
        <f>IF(HR_Data[[#This Row],[YearsAtCompany]]&lt;2,"0-1 Years",IF(HR_Data[[#This Row],[YearsAtCompany]]&lt;=5,"2-5 Years",IF(HR_Data[[#This Row],[YearsAtCompany]]&lt;=10,"6-10 Years","10+ Years")))</f>
        <v>0-1 Years</v>
      </c>
      <c r="AO8" s="1" t="str">
        <f>IF(HR_Data[[#This Row],[JobSatisfaction]]=1,"Low",IF(HR_Data[[#This Row],[JobSatisfaction]]=2,"Medium",IF(HR_Data[[#This Row],[JobSatisfaction]]=3,"High","Very High")))</f>
        <v>Low</v>
      </c>
      <c r="AP8" s="1" t="str">
        <f>IF(HR_Data[[#This Row],[WorkLifeBalance]]=1,"Bad",IF(HR_Data[[#This Row],[WorkLifeBalance]]=2,"Good",IF(HR_Data[[#This Row],[WorkLifeBalance]]=3,"Better","Best")))</f>
        <v>Good</v>
      </c>
    </row>
    <row r="9" spans="1:42" x14ac:dyDescent="0.3">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c r="AJ9">
        <f>IF(HR_Data[[#This Row],[Attrition]]="Yes",1,0)</f>
        <v>0</v>
      </c>
      <c r="AK9">
        <f>IF(HR_Data[[#This Row],[Attrition]]="No",1,0)</f>
        <v>1</v>
      </c>
      <c r="AL9" t="str">
        <f>IF(HR_Data[[#This Row],[Age]]&lt;25,"Under 25",IF(HR_Data[[#This Row],[Age]]&lt;=34,"25-34",IF(HR_Data[[#This Row],[Age]]&lt;=44,"35-44",IF(HR_Data[[#This Row],[Age]]&lt;=54,"45-54","55+"))))</f>
        <v>25-34</v>
      </c>
      <c r="AM9" s="1" t="str">
        <f>IF(HR_Data[[#This Row],[MonthlyIncome]]&lt;3000,"Low Salary",IF(HR_Data[[#This Row],[MonthlyIncome]]&lt;=7000,"Medium Salary","High Salary"))</f>
        <v>Low Salary</v>
      </c>
      <c r="AN9" s="1" t="str">
        <f>IF(HR_Data[[#This Row],[YearsAtCompany]]&lt;2,"0-1 Years",IF(HR_Data[[#This Row],[YearsAtCompany]]&lt;=5,"2-5 Years",IF(HR_Data[[#This Row],[YearsAtCompany]]&lt;=10,"6-10 Years","10+ Years")))</f>
        <v>0-1 Years</v>
      </c>
      <c r="AO9" s="1" t="str">
        <f>IF(HR_Data[[#This Row],[JobSatisfaction]]=1,"Low",IF(HR_Data[[#This Row],[JobSatisfaction]]=2,"Medium",IF(HR_Data[[#This Row],[JobSatisfaction]]=3,"High","Very High")))</f>
        <v>High</v>
      </c>
      <c r="AP9" s="1" t="str">
        <f>IF(HR_Data[[#This Row],[WorkLifeBalance]]=1,"Bad",IF(HR_Data[[#This Row],[WorkLifeBalance]]=2,"Good",IF(HR_Data[[#This Row],[WorkLifeBalance]]=3,"Better","Best")))</f>
        <v>Better</v>
      </c>
    </row>
    <row r="10" spans="1:42" x14ac:dyDescent="0.3">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c r="AJ10">
        <f>IF(HR_Data[[#This Row],[Attrition]]="Yes",1,0)</f>
        <v>0</v>
      </c>
      <c r="AK10">
        <f>IF(HR_Data[[#This Row],[Attrition]]="No",1,0)</f>
        <v>1</v>
      </c>
      <c r="AL10" t="str">
        <f>IF(HR_Data[[#This Row],[Age]]&lt;25,"Under 25",IF(HR_Data[[#This Row],[Age]]&lt;=34,"25-34",IF(HR_Data[[#This Row],[Age]]&lt;=44,"35-44",IF(HR_Data[[#This Row],[Age]]&lt;=54,"45-54","55+"))))</f>
        <v>35-44</v>
      </c>
      <c r="AM10" s="1" t="str">
        <f>IF(HR_Data[[#This Row],[MonthlyIncome]]&lt;3000,"Low Salary",IF(HR_Data[[#This Row],[MonthlyIncome]]&lt;=7000,"Medium Salary","High Salary"))</f>
        <v>High Salary</v>
      </c>
      <c r="AN10" s="1" t="str">
        <f>IF(HR_Data[[#This Row],[YearsAtCompany]]&lt;2,"0-1 Years",IF(HR_Data[[#This Row],[YearsAtCompany]]&lt;=5,"2-5 Years",IF(HR_Data[[#This Row],[YearsAtCompany]]&lt;=10,"6-10 Years","10+ Years")))</f>
        <v>6-10 Years</v>
      </c>
      <c r="AO10" s="1" t="str">
        <f>IF(HR_Data[[#This Row],[JobSatisfaction]]=1,"Low",IF(HR_Data[[#This Row],[JobSatisfaction]]=2,"Medium",IF(HR_Data[[#This Row],[JobSatisfaction]]=3,"High","Very High")))</f>
        <v>High</v>
      </c>
      <c r="AP10" s="1" t="str">
        <f>IF(HR_Data[[#This Row],[WorkLifeBalance]]=1,"Bad",IF(HR_Data[[#This Row],[WorkLifeBalance]]=2,"Good",IF(HR_Data[[#This Row],[WorkLifeBalance]]=3,"Better","Best")))</f>
        <v>Better</v>
      </c>
    </row>
    <row r="11" spans="1:42" x14ac:dyDescent="0.3">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c r="AJ11">
        <f>IF(HR_Data[[#This Row],[Attrition]]="Yes",1,0)</f>
        <v>0</v>
      </c>
      <c r="AK11">
        <f>IF(HR_Data[[#This Row],[Attrition]]="No",1,0)</f>
        <v>1</v>
      </c>
      <c r="AL11" t="str">
        <f>IF(HR_Data[[#This Row],[Age]]&lt;25,"Under 25",IF(HR_Data[[#This Row],[Age]]&lt;=34,"25-34",IF(HR_Data[[#This Row],[Age]]&lt;=44,"35-44",IF(HR_Data[[#This Row],[Age]]&lt;=54,"45-54","55+"))))</f>
        <v>35-44</v>
      </c>
      <c r="AM11" s="1" t="str">
        <f>IF(HR_Data[[#This Row],[MonthlyIncome]]&lt;3000,"Low Salary",IF(HR_Data[[#This Row],[MonthlyIncome]]&lt;=7000,"Medium Salary","High Salary"))</f>
        <v>Medium Salary</v>
      </c>
      <c r="AN11" s="1" t="str">
        <f>IF(HR_Data[[#This Row],[YearsAtCompany]]&lt;2,"0-1 Years",IF(HR_Data[[#This Row],[YearsAtCompany]]&lt;=5,"2-5 Years",IF(HR_Data[[#This Row],[YearsAtCompany]]&lt;=10,"6-10 Years","10+ Years")))</f>
        <v>6-10 Years</v>
      </c>
      <c r="AO11" s="1" t="str">
        <f>IF(HR_Data[[#This Row],[JobSatisfaction]]=1,"Low",IF(HR_Data[[#This Row],[JobSatisfaction]]=2,"Medium",IF(HR_Data[[#This Row],[JobSatisfaction]]=3,"High","Very High")))</f>
        <v>High</v>
      </c>
      <c r="AP11" s="1" t="str">
        <f>IF(HR_Data[[#This Row],[WorkLifeBalance]]=1,"Bad",IF(HR_Data[[#This Row],[WorkLifeBalance]]=2,"Good",IF(HR_Data[[#This Row],[WorkLifeBalance]]=3,"Better","Best")))</f>
        <v>Good</v>
      </c>
    </row>
    <row r="12" spans="1:42" x14ac:dyDescent="0.3">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c r="AJ12">
        <f>IF(HR_Data[[#This Row],[Attrition]]="Yes",1,0)</f>
        <v>0</v>
      </c>
      <c r="AK12">
        <f>IF(HR_Data[[#This Row],[Attrition]]="No",1,0)</f>
        <v>1</v>
      </c>
      <c r="AL12" t="str">
        <f>IF(HR_Data[[#This Row],[Age]]&lt;25,"Under 25",IF(HR_Data[[#This Row],[Age]]&lt;=34,"25-34",IF(HR_Data[[#This Row],[Age]]&lt;=44,"35-44",IF(HR_Data[[#This Row],[Age]]&lt;=54,"45-54","55+"))))</f>
        <v>35-44</v>
      </c>
      <c r="AM12" s="1" t="str">
        <f>IF(HR_Data[[#This Row],[MonthlyIncome]]&lt;3000,"Low Salary",IF(HR_Data[[#This Row],[MonthlyIncome]]&lt;=7000,"Medium Salary","High Salary"))</f>
        <v>Low Salary</v>
      </c>
      <c r="AN12" s="1" t="str">
        <f>IF(HR_Data[[#This Row],[YearsAtCompany]]&lt;2,"0-1 Years",IF(HR_Data[[#This Row],[YearsAtCompany]]&lt;=5,"2-5 Years",IF(HR_Data[[#This Row],[YearsAtCompany]]&lt;=10,"6-10 Years","10+ Years")))</f>
        <v>2-5 Years</v>
      </c>
      <c r="AO12" s="1" t="str">
        <f>IF(HR_Data[[#This Row],[JobSatisfaction]]=1,"Low",IF(HR_Data[[#This Row],[JobSatisfaction]]=2,"Medium",IF(HR_Data[[#This Row],[JobSatisfaction]]=3,"High","Very High")))</f>
        <v>Medium</v>
      </c>
      <c r="AP12" s="1" t="str">
        <f>IF(HR_Data[[#This Row],[WorkLifeBalance]]=1,"Bad",IF(HR_Data[[#This Row],[WorkLifeBalance]]=2,"Good",IF(HR_Data[[#This Row],[WorkLifeBalance]]=3,"Better","Best")))</f>
        <v>Better</v>
      </c>
    </row>
    <row r="13" spans="1:42" x14ac:dyDescent="0.3">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c r="AJ13">
        <f>IF(HR_Data[[#This Row],[Attrition]]="Yes",1,0)</f>
        <v>0</v>
      </c>
      <c r="AK13">
        <f>IF(HR_Data[[#This Row],[Attrition]]="No",1,0)</f>
        <v>1</v>
      </c>
      <c r="AL13" t="str">
        <f>IF(HR_Data[[#This Row],[Age]]&lt;25,"Under 25",IF(HR_Data[[#This Row],[Age]]&lt;=34,"25-34",IF(HR_Data[[#This Row],[Age]]&lt;=44,"35-44",IF(HR_Data[[#This Row],[Age]]&lt;=54,"45-54","55+"))))</f>
        <v>25-34</v>
      </c>
      <c r="AM13" s="1" t="str">
        <f>IF(HR_Data[[#This Row],[MonthlyIncome]]&lt;3000,"Low Salary",IF(HR_Data[[#This Row],[MonthlyIncome]]&lt;=7000,"Medium Salary","High Salary"))</f>
        <v>Medium Salary</v>
      </c>
      <c r="AN13" s="1" t="str">
        <f>IF(HR_Data[[#This Row],[YearsAtCompany]]&lt;2,"0-1 Years",IF(HR_Data[[#This Row],[YearsAtCompany]]&lt;=5,"2-5 Years",IF(HR_Data[[#This Row],[YearsAtCompany]]&lt;=10,"6-10 Years","10+ Years")))</f>
        <v>6-10 Years</v>
      </c>
      <c r="AO13" s="1" t="str">
        <f>IF(HR_Data[[#This Row],[JobSatisfaction]]=1,"Low",IF(HR_Data[[#This Row],[JobSatisfaction]]=2,"Medium",IF(HR_Data[[#This Row],[JobSatisfaction]]=3,"High","Very High")))</f>
        <v>High</v>
      </c>
      <c r="AP13" s="1" t="str">
        <f>IF(HR_Data[[#This Row],[WorkLifeBalance]]=1,"Bad",IF(HR_Data[[#This Row],[WorkLifeBalance]]=2,"Good",IF(HR_Data[[#This Row],[WorkLifeBalance]]=3,"Better","Best")))</f>
        <v>Better</v>
      </c>
    </row>
    <row r="14" spans="1:42" x14ac:dyDescent="0.3">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c r="AJ14">
        <f>IF(HR_Data[[#This Row],[Attrition]]="Yes",1,0)</f>
        <v>0</v>
      </c>
      <c r="AK14">
        <f>IF(HR_Data[[#This Row],[Attrition]]="No",1,0)</f>
        <v>1</v>
      </c>
      <c r="AL14" t="str">
        <f>IF(HR_Data[[#This Row],[Age]]&lt;25,"Under 25",IF(HR_Data[[#This Row],[Age]]&lt;=34,"25-34",IF(HR_Data[[#This Row],[Age]]&lt;=44,"35-44",IF(HR_Data[[#This Row],[Age]]&lt;=54,"45-54","55+"))))</f>
        <v>25-34</v>
      </c>
      <c r="AM14" s="1" t="str">
        <f>IF(HR_Data[[#This Row],[MonthlyIncome]]&lt;3000,"Low Salary",IF(HR_Data[[#This Row],[MonthlyIncome]]&lt;=7000,"Medium Salary","High Salary"))</f>
        <v>Low Salary</v>
      </c>
      <c r="AN14" s="1" t="str">
        <f>IF(HR_Data[[#This Row],[YearsAtCompany]]&lt;2,"0-1 Years",IF(HR_Data[[#This Row],[YearsAtCompany]]&lt;=5,"2-5 Years",IF(HR_Data[[#This Row],[YearsAtCompany]]&lt;=10,"6-10 Years","10+ Years")))</f>
        <v>2-5 Years</v>
      </c>
      <c r="AO14" s="1" t="str">
        <f>IF(HR_Data[[#This Row],[JobSatisfaction]]=1,"Low",IF(HR_Data[[#This Row],[JobSatisfaction]]=2,"Medium",IF(HR_Data[[#This Row],[JobSatisfaction]]=3,"High","Very High")))</f>
        <v>High</v>
      </c>
      <c r="AP14" s="1" t="str">
        <f>IF(HR_Data[[#This Row],[WorkLifeBalance]]=1,"Bad",IF(HR_Data[[#This Row],[WorkLifeBalance]]=2,"Good",IF(HR_Data[[#This Row],[WorkLifeBalance]]=3,"Better","Best")))</f>
        <v>Good</v>
      </c>
    </row>
    <row r="15" spans="1:42" x14ac:dyDescent="0.3">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c r="AJ15">
        <f>IF(HR_Data[[#This Row],[Attrition]]="Yes",1,0)</f>
        <v>0</v>
      </c>
      <c r="AK15">
        <f>IF(HR_Data[[#This Row],[Attrition]]="No",1,0)</f>
        <v>1</v>
      </c>
      <c r="AL15" t="str">
        <f>IF(HR_Data[[#This Row],[Age]]&lt;25,"Under 25",IF(HR_Data[[#This Row],[Age]]&lt;=34,"25-34",IF(HR_Data[[#This Row],[Age]]&lt;=44,"35-44",IF(HR_Data[[#This Row],[Age]]&lt;=54,"45-54","55+"))))</f>
        <v>25-34</v>
      </c>
      <c r="AM15" s="1" t="str">
        <f>IF(HR_Data[[#This Row],[MonthlyIncome]]&lt;3000,"Low Salary",IF(HR_Data[[#This Row],[MonthlyIncome]]&lt;=7000,"Medium Salary","High Salary"))</f>
        <v>Low Salary</v>
      </c>
      <c r="AN15" s="1" t="str">
        <f>IF(HR_Data[[#This Row],[YearsAtCompany]]&lt;2,"0-1 Years",IF(HR_Data[[#This Row],[YearsAtCompany]]&lt;=5,"2-5 Years",IF(HR_Data[[#This Row],[YearsAtCompany]]&lt;=10,"6-10 Years","10+ Years")))</f>
        <v>2-5 Years</v>
      </c>
      <c r="AO15" s="1" t="str">
        <f>IF(HR_Data[[#This Row],[JobSatisfaction]]=1,"Low",IF(HR_Data[[#This Row],[JobSatisfaction]]=2,"Medium",IF(HR_Data[[#This Row],[JobSatisfaction]]=3,"High","Very High")))</f>
        <v>Very High</v>
      </c>
      <c r="AP15" s="1" t="str">
        <f>IF(HR_Data[[#This Row],[WorkLifeBalance]]=1,"Bad",IF(HR_Data[[#This Row],[WorkLifeBalance]]=2,"Good",IF(HR_Data[[#This Row],[WorkLifeBalance]]=3,"Better","Best")))</f>
        <v>Better</v>
      </c>
    </row>
    <row r="16" spans="1:42" x14ac:dyDescent="0.3">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c r="AJ16">
        <f>IF(HR_Data[[#This Row],[Attrition]]="Yes",1,0)</f>
        <v>1</v>
      </c>
      <c r="AK16">
        <f>IF(HR_Data[[#This Row],[Attrition]]="No",1,0)</f>
        <v>0</v>
      </c>
      <c r="AL16" t="str">
        <f>IF(HR_Data[[#This Row],[Age]]&lt;25,"Under 25",IF(HR_Data[[#This Row],[Age]]&lt;=34,"25-34",IF(HR_Data[[#This Row],[Age]]&lt;=44,"35-44",IF(HR_Data[[#This Row],[Age]]&lt;=54,"45-54","55+"))))</f>
        <v>25-34</v>
      </c>
      <c r="AM16" s="1" t="str">
        <f>IF(HR_Data[[#This Row],[MonthlyIncome]]&lt;3000,"Low Salary",IF(HR_Data[[#This Row],[MonthlyIncome]]&lt;=7000,"Medium Salary","High Salary"))</f>
        <v>Low Salary</v>
      </c>
      <c r="AN16" s="1" t="str">
        <f>IF(HR_Data[[#This Row],[YearsAtCompany]]&lt;2,"0-1 Years",IF(HR_Data[[#This Row],[YearsAtCompany]]&lt;=5,"2-5 Years",IF(HR_Data[[#This Row],[YearsAtCompany]]&lt;=10,"6-10 Years","10+ Years")))</f>
        <v>2-5 Years</v>
      </c>
      <c r="AO16" s="1" t="str">
        <f>IF(HR_Data[[#This Row],[JobSatisfaction]]=1,"Low",IF(HR_Data[[#This Row],[JobSatisfaction]]=2,"Medium",IF(HR_Data[[#This Row],[JobSatisfaction]]=3,"High","Very High")))</f>
        <v>High</v>
      </c>
      <c r="AP16" s="1" t="str">
        <f>IF(HR_Data[[#This Row],[WorkLifeBalance]]=1,"Bad",IF(HR_Data[[#This Row],[WorkLifeBalance]]=2,"Good",IF(HR_Data[[#This Row],[WorkLifeBalance]]=3,"Better","Best")))</f>
        <v>Better</v>
      </c>
    </row>
    <row r="17" spans="1:42" x14ac:dyDescent="0.3">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c r="AJ17">
        <f>IF(HR_Data[[#This Row],[Attrition]]="Yes",1,0)</f>
        <v>0</v>
      </c>
      <c r="AK17">
        <f>IF(HR_Data[[#This Row],[Attrition]]="No",1,0)</f>
        <v>1</v>
      </c>
      <c r="AL17" t="str">
        <f>IF(HR_Data[[#This Row],[Age]]&lt;25,"Under 25",IF(HR_Data[[#This Row],[Age]]&lt;=34,"25-34",IF(HR_Data[[#This Row],[Age]]&lt;=44,"35-44",IF(HR_Data[[#This Row],[Age]]&lt;=54,"45-54","55+"))))</f>
        <v>25-34</v>
      </c>
      <c r="AM17" s="1" t="str">
        <f>IF(HR_Data[[#This Row],[MonthlyIncome]]&lt;3000,"Low Salary",IF(HR_Data[[#This Row],[MonthlyIncome]]&lt;=7000,"Medium Salary","High Salary"))</f>
        <v>High Salary</v>
      </c>
      <c r="AN17" s="1" t="str">
        <f>IF(HR_Data[[#This Row],[YearsAtCompany]]&lt;2,"0-1 Years",IF(HR_Data[[#This Row],[YearsAtCompany]]&lt;=5,"2-5 Years",IF(HR_Data[[#This Row],[YearsAtCompany]]&lt;=10,"6-10 Years","10+ Years")))</f>
        <v>6-10 Years</v>
      </c>
      <c r="AO17" s="1" t="str">
        <f>IF(HR_Data[[#This Row],[JobSatisfaction]]=1,"Low",IF(HR_Data[[#This Row],[JobSatisfaction]]=2,"Medium",IF(HR_Data[[#This Row],[JobSatisfaction]]=3,"High","Very High")))</f>
        <v>Low</v>
      </c>
      <c r="AP17" s="1" t="str">
        <f>IF(HR_Data[[#This Row],[WorkLifeBalance]]=1,"Bad",IF(HR_Data[[#This Row],[WorkLifeBalance]]=2,"Good",IF(HR_Data[[#This Row],[WorkLifeBalance]]=3,"Better","Best")))</f>
        <v>Better</v>
      </c>
    </row>
    <row r="18" spans="1:42" x14ac:dyDescent="0.3">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c r="AJ18">
        <f>IF(HR_Data[[#This Row],[Attrition]]="Yes",1,0)</f>
        <v>0</v>
      </c>
      <c r="AK18">
        <f>IF(HR_Data[[#This Row],[Attrition]]="No",1,0)</f>
        <v>1</v>
      </c>
      <c r="AL18" t="str">
        <f>IF(HR_Data[[#This Row],[Age]]&lt;25,"Under 25",IF(HR_Data[[#This Row],[Age]]&lt;=34,"25-34",IF(HR_Data[[#This Row],[Age]]&lt;=44,"35-44",IF(HR_Data[[#This Row],[Age]]&lt;=54,"45-54","55+"))))</f>
        <v>25-34</v>
      </c>
      <c r="AM18" s="1" t="str">
        <f>IF(HR_Data[[#This Row],[MonthlyIncome]]&lt;3000,"Low Salary",IF(HR_Data[[#This Row],[MonthlyIncome]]&lt;=7000,"Medium Salary","High Salary"))</f>
        <v>Medium Salary</v>
      </c>
      <c r="AN18" s="1" t="str">
        <f>IF(HR_Data[[#This Row],[YearsAtCompany]]&lt;2,"0-1 Years",IF(HR_Data[[#This Row],[YearsAtCompany]]&lt;=5,"2-5 Years",IF(HR_Data[[#This Row],[YearsAtCompany]]&lt;=10,"6-10 Years","10+ Years")))</f>
        <v>6-10 Years</v>
      </c>
      <c r="AO18" s="1" t="str">
        <f>IF(HR_Data[[#This Row],[JobSatisfaction]]=1,"Low",IF(HR_Data[[#This Row],[JobSatisfaction]]=2,"Medium",IF(HR_Data[[#This Row],[JobSatisfaction]]=3,"High","Very High")))</f>
        <v>Medium</v>
      </c>
      <c r="AP18" s="1" t="str">
        <f>IF(HR_Data[[#This Row],[WorkLifeBalance]]=1,"Bad",IF(HR_Data[[#This Row],[WorkLifeBalance]]=2,"Good",IF(HR_Data[[#This Row],[WorkLifeBalance]]=3,"Better","Best")))</f>
        <v>Good</v>
      </c>
    </row>
    <row r="19" spans="1:42" x14ac:dyDescent="0.3">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c r="AJ19">
        <f>IF(HR_Data[[#This Row],[Attrition]]="Yes",1,0)</f>
        <v>0</v>
      </c>
      <c r="AK19">
        <f>IF(HR_Data[[#This Row],[Attrition]]="No",1,0)</f>
        <v>1</v>
      </c>
      <c r="AL19" t="str">
        <f>IF(HR_Data[[#This Row],[Age]]&lt;25,"Under 25",IF(HR_Data[[#This Row],[Age]]&lt;=34,"25-34",IF(HR_Data[[#This Row],[Age]]&lt;=44,"35-44",IF(HR_Data[[#This Row],[Age]]&lt;=54,"45-54","55+"))))</f>
        <v>Under 25</v>
      </c>
      <c r="AM19" s="1" t="str">
        <f>IF(HR_Data[[#This Row],[MonthlyIncome]]&lt;3000,"Low Salary",IF(HR_Data[[#This Row],[MonthlyIncome]]&lt;=7000,"Medium Salary","High Salary"))</f>
        <v>Low Salary</v>
      </c>
      <c r="AN19" s="1" t="str">
        <f>IF(HR_Data[[#This Row],[YearsAtCompany]]&lt;2,"0-1 Years",IF(HR_Data[[#This Row],[YearsAtCompany]]&lt;=5,"2-5 Years",IF(HR_Data[[#This Row],[YearsAtCompany]]&lt;=10,"6-10 Years","10+ Years")))</f>
        <v>0-1 Years</v>
      </c>
      <c r="AO19" s="1" t="str">
        <f>IF(HR_Data[[#This Row],[JobSatisfaction]]=1,"Low",IF(HR_Data[[#This Row],[JobSatisfaction]]=2,"Medium",IF(HR_Data[[#This Row],[JobSatisfaction]]=3,"High","Very High")))</f>
        <v>Very High</v>
      </c>
      <c r="AP19" s="1" t="str">
        <f>IF(HR_Data[[#This Row],[WorkLifeBalance]]=1,"Bad",IF(HR_Data[[#This Row],[WorkLifeBalance]]=2,"Good",IF(HR_Data[[#This Row],[WorkLifeBalance]]=3,"Better","Best")))</f>
        <v>Good</v>
      </c>
    </row>
    <row r="20" spans="1:42" x14ac:dyDescent="0.3">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c r="AJ20">
        <f>IF(HR_Data[[#This Row],[Attrition]]="Yes",1,0)</f>
        <v>0</v>
      </c>
      <c r="AK20">
        <f>IF(HR_Data[[#This Row],[Attrition]]="No",1,0)</f>
        <v>1</v>
      </c>
      <c r="AL20" t="str">
        <f>IF(HR_Data[[#This Row],[Age]]&lt;25,"Under 25",IF(HR_Data[[#This Row],[Age]]&lt;=34,"25-34",IF(HR_Data[[#This Row],[Age]]&lt;=44,"35-44",IF(HR_Data[[#This Row],[Age]]&lt;=54,"45-54","55+"))))</f>
        <v>45-54</v>
      </c>
      <c r="AM20" s="1" t="str">
        <f>IF(HR_Data[[#This Row],[MonthlyIncome]]&lt;3000,"Low Salary",IF(HR_Data[[#This Row],[MonthlyIncome]]&lt;=7000,"Medium Salary","High Salary"))</f>
        <v>High Salary</v>
      </c>
      <c r="AN20" s="1" t="str">
        <f>IF(HR_Data[[#This Row],[YearsAtCompany]]&lt;2,"0-1 Years",IF(HR_Data[[#This Row],[YearsAtCompany]]&lt;=5,"2-5 Years",IF(HR_Data[[#This Row],[YearsAtCompany]]&lt;=10,"6-10 Years","10+ Years")))</f>
        <v>10+ Years</v>
      </c>
      <c r="AO20" s="1" t="str">
        <f>IF(HR_Data[[#This Row],[JobSatisfaction]]=1,"Low",IF(HR_Data[[#This Row],[JobSatisfaction]]=2,"Medium",IF(HR_Data[[#This Row],[JobSatisfaction]]=3,"High","Very High")))</f>
        <v>Very High</v>
      </c>
      <c r="AP20" s="1" t="str">
        <f>IF(HR_Data[[#This Row],[WorkLifeBalance]]=1,"Bad",IF(HR_Data[[#This Row],[WorkLifeBalance]]=2,"Good",IF(HR_Data[[#This Row],[WorkLifeBalance]]=3,"Better","Best")))</f>
        <v>Better</v>
      </c>
    </row>
    <row r="21" spans="1:42" x14ac:dyDescent="0.3">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c r="AJ21">
        <f>IF(HR_Data[[#This Row],[Attrition]]="Yes",1,0)</f>
        <v>0</v>
      </c>
      <c r="AK21">
        <f>IF(HR_Data[[#This Row],[Attrition]]="No",1,0)</f>
        <v>1</v>
      </c>
      <c r="AL21" t="str">
        <f>IF(HR_Data[[#This Row],[Age]]&lt;25,"Under 25",IF(HR_Data[[#This Row],[Age]]&lt;=34,"25-34",IF(HR_Data[[#This Row],[Age]]&lt;=44,"35-44",IF(HR_Data[[#This Row],[Age]]&lt;=54,"45-54","55+"))))</f>
        <v>35-44</v>
      </c>
      <c r="AM21" s="1" t="str">
        <f>IF(HR_Data[[#This Row],[MonthlyIncome]]&lt;3000,"Low Salary",IF(HR_Data[[#This Row],[MonthlyIncome]]&lt;=7000,"Medium Salary","High Salary"))</f>
        <v>Medium Salary</v>
      </c>
      <c r="AN21" s="1" t="str">
        <f>IF(HR_Data[[#This Row],[YearsAtCompany]]&lt;2,"0-1 Years",IF(HR_Data[[#This Row],[YearsAtCompany]]&lt;=5,"2-5 Years",IF(HR_Data[[#This Row],[YearsAtCompany]]&lt;=10,"6-10 Years","10+ Years")))</f>
        <v>2-5 Years</v>
      </c>
      <c r="AO21" s="1" t="str">
        <f>IF(HR_Data[[#This Row],[JobSatisfaction]]=1,"Low",IF(HR_Data[[#This Row],[JobSatisfaction]]=2,"Medium",IF(HR_Data[[#This Row],[JobSatisfaction]]=3,"High","Very High")))</f>
        <v>Very High</v>
      </c>
      <c r="AP21" s="1" t="str">
        <f>IF(HR_Data[[#This Row],[WorkLifeBalance]]=1,"Bad",IF(HR_Data[[#This Row],[WorkLifeBalance]]=2,"Good",IF(HR_Data[[#This Row],[WorkLifeBalance]]=3,"Better","Best")))</f>
        <v>Better</v>
      </c>
    </row>
    <row r="22" spans="1:42" x14ac:dyDescent="0.3">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c r="AJ22">
        <f>IF(HR_Data[[#This Row],[Attrition]]="Yes",1,0)</f>
        <v>0</v>
      </c>
      <c r="AK22">
        <f>IF(HR_Data[[#This Row],[Attrition]]="No",1,0)</f>
        <v>1</v>
      </c>
      <c r="AL22" t="str">
        <f>IF(HR_Data[[#This Row],[Age]]&lt;25,"Under 25",IF(HR_Data[[#This Row],[Age]]&lt;=34,"25-34",IF(HR_Data[[#This Row],[Age]]&lt;=44,"35-44",IF(HR_Data[[#This Row],[Age]]&lt;=54,"45-54","55+"))))</f>
        <v>Under 25</v>
      </c>
      <c r="AM22" s="1" t="str">
        <f>IF(HR_Data[[#This Row],[MonthlyIncome]]&lt;3000,"Low Salary",IF(HR_Data[[#This Row],[MonthlyIncome]]&lt;=7000,"Medium Salary","High Salary"))</f>
        <v>Medium Salary</v>
      </c>
      <c r="AN22" s="1" t="str">
        <f>IF(HR_Data[[#This Row],[YearsAtCompany]]&lt;2,"0-1 Years",IF(HR_Data[[#This Row],[YearsAtCompany]]&lt;=5,"2-5 Years",IF(HR_Data[[#This Row],[YearsAtCompany]]&lt;=10,"6-10 Years","10+ Years")))</f>
        <v>2-5 Years</v>
      </c>
      <c r="AO22" s="1" t="str">
        <f>IF(HR_Data[[#This Row],[JobSatisfaction]]=1,"Low",IF(HR_Data[[#This Row],[JobSatisfaction]]=2,"Medium",IF(HR_Data[[#This Row],[JobSatisfaction]]=3,"High","Very High")))</f>
        <v>High</v>
      </c>
      <c r="AP22" s="1" t="str">
        <f>IF(HR_Data[[#This Row],[WorkLifeBalance]]=1,"Bad",IF(HR_Data[[#This Row],[WorkLifeBalance]]=2,"Good",IF(HR_Data[[#This Row],[WorkLifeBalance]]=3,"Better","Best")))</f>
        <v>Good</v>
      </c>
    </row>
    <row r="23" spans="1:42" x14ac:dyDescent="0.3">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c r="AJ23">
        <f>IF(HR_Data[[#This Row],[Attrition]]="Yes",1,0)</f>
        <v>1</v>
      </c>
      <c r="AK23">
        <f>IF(HR_Data[[#This Row],[Attrition]]="No",1,0)</f>
        <v>0</v>
      </c>
      <c r="AL23" t="str">
        <f>IF(HR_Data[[#This Row],[Age]]&lt;25,"Under 25",IF(HR_Data[[#This Row],[Age]]&lt;=34,"25-34",IF(HR_Data[[#This Row],[Age]]&lt;=44,"35-44",IF(HR_Data[[#This Row],[Age]]&lt;=54,"45-54","55+"))))</f>
        <v>35-44</v>
      </c>
      <c r="AM23" s="1" t="str">
        <f>IF(HR_Data[[#This Row],[MonthlyIncome]]&lt;3000,"Low Salary",IF(HR_Data[[#This Row],[MonthlyIncome]]&lt;=7000,"Medium Salary","High Salary"))</f>
        <v>Medium Salary</v>
      </c>
      <c r="AN23" s="1" t="str">
        <f>IF(HR_Data[[#This Row],[YearsAtCompany]]&lt;2,"0-1 Years",IF(HR_Data[[#This Row],[YearsAtCompany]]&lt;=5,"2-5 Years",IF(HR_Data[[#This Row],[YearsAtCompany]]&lt;=10,"6-10 Years","10+ Years")))</f>
        <v>2-5 Years</v>
      </c>
      <c r="AO23" s="1" t="str">
        <f>IF(HR_Data[[#This Row],[JobSatisfaction]]=1,"Low",IF(HR_Data[[#This Row],[JobSatisfaction]]=2,"Medium",IF(HR_Data[[#This Row],[JobSatisfaction]]=3,"High","Very High")))</f>
        <v>Low</v>
      </c>
      <c r="AP23" s="1" t="str">
        <f>IF(HR_Data[[#This Row],[WorkLifeBalance]]=1,"Bad",IF(HR_Data[[#This Row],[WorkLifeBalance]]=2,"Good",IF(HR_Data[[#This Row],[WorkLifeBalance]]=3,"Better","Best")))</f>
        <v>Better</v>
      </c>
    </row>
    <row r="24" spans="1:42" x14ac:dyDescent="0.3">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c r="AJ24">
        <f>IF(HR_Data[[#This Row],[Attrition]]="Yes",1,0)</f>
        <v>0</v>
      </c>
      <c r="AK24">
        <f>IF(HR_Data[[#This Row],[Attrition]]="No",1,0)</f>
        <v>1</v>
      </c>
      <c r="AL24" t="str">
        <f>IF(HR_Data[[#This Row],[Age]]&lt;25,"Under 25",IF(HR_Data[[#This Row],[Age]]&lt;=34,"25-34",IF(HR_Data[[#This Row],[Age]]&lt;=44,"35-44",IF(HR_Data[[#This Row],[Age]]&lt;=54,"45-54","55+"))))</f>
        <v>25-34</v>
      </c>
      <c r="AM24" s="1" t="str">
        <f>IF(HR_Data[[#This Row],[MonthlyIncome]]&lt;3000,"Low Salary",IF(HR_Data[[#This Row],[MonthlyIncome]]&lt;=7000,"Medium Salary","High Salary"))</f>
        <v>High Salary</v>
      </c>
      <c r="AN24" s="1" t="str">
        <f>IF(HR_Data[[#This Row],[YearsAtCompany]]&lt;2,"0-1 Years",IF(HR_Data[[#This Row],[YearsAtCompany]]&lt;=5,"2-5 Years",IF(HR_Data[[#This Row],[YearsAtCompany]]&lt;=10,"6-10 Years","10+ Years")))</f>
        <v>10+ Years</v>
      </c>
      <c r="AO24" s="1" t="str">
        <f>IF(HR_Data[[#This Row],[JobSatisfaction]]=1,"Low",IF(HR_Data[[#This Row],[JobSatisfaction]]=2,"Medium",IF(HR_Data[[#This Row],[JobSatisfaction]]=3,"High","Very High")))</f>
        <v>Medium</v>
      </c>
      <c r="AP24" s="1" t="str">
        <f>IF(HR_Data[[#This Row],[WorkLifeBalance]]=1,"Bad",IF(HR_Data[[#This Row],[WorkLifeBalance]]=2,"Good",IF(HR_Data[[#This Row],[WorkLifeBalance]]=3,"Better","Best")))</f>
        <v>Better</v>
      </c>
    </row>
    <row r="25" spans="1:42" x14ac:dyDescent="0.3">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c r="AJ25">
        <f>IF(HR_Data[[#This Row],[Attrition]]="Yes",1,0)</f>
        <v>0</v>
      </c>
      <c r="AK25">
        <f>IF(HR_Data[[#This Row],[Attrition]]="No",1,0)</f>
        <v>1</v>
      </c>
      <c r="AL25" t="str">
        <f>IF(HR_Data[[#This Row],[Age]]&lt;25,"Under 25",IF(HR_Data[[#This Row],[Age]]&lt;=34,"25-34",IF(HR_Data[[#This Row],[Age]]&lt;=44,"35-44",IF(HR_Data[[#This Row],[Age]]&lt;=54,"45-54","55+"))))</f>
        <v>Under 25</v>
      </c>
      <c r="AM25" s="1" t="str">
        <f>IF(HR_Data[[#This Row],[MonthlyIncome]]&lt;3000,"Low Salary",IF(HR_Data[[#This Row],[MonthlyIncome]]&lt;=7000,"Medium Salary","High Salary"))</f>
        <v>Low Salary</v>
      </c>
      <c r="AN25" s="1" t="str">
        <f>IF(HR_Data[[#This Row],[YearsAtCompany]]&lt;2,"0-1 Years",IF(HR_Data[[#This Row],[YearsAtCompany]]&lt;=5,"2-5 Years",IF(HR_Data[[#This Row],[YearsAtCompany]]&lt;=10,"6-10 Years","10+ Years")))</f>
        <v>0-1 Years</v>
      </c>
      <c r="AO25" s="1" t="str">
        <f>IF(HR_Data[[#This Row],[JobSatisfaction]]=1,"Low",IF(HR_Data[[#This Row],[JobSatisfaction]]=2,"Medium",IF(HR_Data[[#This Row],[JobSatisfaction]]=3,"High","Very High")))</f>
        <v>Very High</v>
      </c>
      <c r="AP25" s="1" t="str">
        <f>IF(HR_Data[[#This Row],[WorkLifeBalance]]=1,"Bad",IF(HR_Data[[#This Row],[WorkLifeBalance]]=2,"Good",IF(HR_Data[[#This Row],[WorkLifeBalance]]=3,"Better","Best")))</f>
        <v>Better</v>
      </c>
    </row>
    <row r="26" spans="1:42" x14ac:dyDescent="0.3">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c r="AJ26">
        <f>IF(HR_Data[[#This Row],[Attrition]]="Yes",1,0)</f>
        <v>1</v>
      </c>
      <c r="AK26">
        <f>IF(HR_Data[[#This Row],[Attrition]]="No",1,0)</f>
        <v>0</v>
      </c>
      <c r="AL26" t="str">
        <f>IF(HR_Data[[#This Row],[Age]]&lt;25,"Under 25",IF(HR_Data[[#This Row],[Age]]&lt;=34,"25-34",IF(HR_Data[[#This Row],[Age]]&lt;=44,"35-44",IF(HR_Data[[#This Row],[Age]]&lt;=54,"45-54","55+"))))</f>
        <v>25-34</v>
      </c>
      <c r="AM26" s="1" t="str">
        <f>IF(HR_Data[[#This Row],[MonthlyIncome]]&lt;3000,"Low Salary",IF(HR_Data[[#This Row],[MonthlyIncome]]&lt;=7000,"Medium Salary","High Salary"))</f>
        <v>Low Salary</v>
      </c>
      <c r="AN26" s="1" t="str">
        <f>IF(HR_Data[[#This Row],[YearsAtCompany]]&lt;2,"0-1 Years",IF(HR_Data[[#This Row],[YearsAtCompany]]&lt;=5,"2-5 Years",IF(HR_Data[[#This Row],[YearsAtCompany]]&lt;=10,"6-10 Years","10+ Years")))</f>
        <v>2-5 Years</v>
      </c>
      <c r="AO26" s="1" t="str">
        <f>IF(HR_Data[[#This Row],[JobSatisfaction]]=1,"Low",IF(HR_Data[[#This Row],[JobSatisfaction]]=2,"Medium",IF(HR_Data[[#This Row],[JobSatisfaction]]=3,"High","Very High")))</f>
        <v>Low</v>
      </c>
      <c r="AP26" s="1" t="str">
        <f>IF(HR_Data[[#This Row],[WorkLifeBalance]]=1,"Bad",IF(HR_Data[[#This Row],[WorkLifeBalance]]=2,"Good",IF(HR_Data[[#This Row],[WorkLifeBalance]]=3,"Better","Best")))</f>
        <v>Better</v>
      </c>
    </row>
    <row r="27" spans="1:42" x14ac:dyDescent="0.3">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c r="AJ27">
        <f>IF(HR_Data[[#This Row],[Attrition]]="Yes",1,0)</f>
        <v>0</v>
      </c>
      <c r="AK27">
        <f>IF(HR_Data[[#This Row],[Attrition]]="No",1,0)</f>
        <v>1</v>
      </c>
      <c r="AL27" t="str">
        <f>IF(HR_Data[[#This Row],[Age]]&lt;25,"Under 25",IF(HR_Data[[#This Row],[Age]]&lt;=34,"25-34",IF(HR_Data[[#This Row],[Age]]&lt;=44,"35-44",IF(HR_Data[[#This Row],[Age]]&lt;=54,"45-54","55+"))))</f>
        <v>45-54</v>
      </c>
      <c r="AM27" s="1" t="str">
        <f>IF(HR_Data[[#This Row],[MonthlyIncome]]&lt;3000,"Low Salary",IF(HR_Data[[#This Row],[MonthlyIncome]]&lt;=7000,"Medium Salary","High Salary"))</f>
        <v>High Salary</v>
      </c>
      <c r="AN27" s="1" t="str">
        <f>IF(HR_Data[[#This Row],[YearsAtCompany]]&lt;2,"0-1 Years",IF(HR_Data[[#This Row],[YearsAtCompany]]&lt;=5,"2-5 Years",IF(HR_Data[[#This Row],[YearsAtCompany]]&lt;=10,"6-10 Years","10+ Years")))</f>
        <v>10+ Years</v>
      </c>
      <c r="AO27" s="1" t="str">
        <f>IF(HR_Data[[#This Row],[JobSatisfaction]]=1,"Low",IF(HR_Data[[#This Row],[JobSatisfaction]]=2,"Medium",IF(HR_Data[[#This Row],[JobSatisfaction]]=3,"High","Very High")))</f>
        <v>High</v>
      </c>
      <c r="AP27" s="1" t="str">
        <f>IF(HR_Data[[#This Row],[WorkLifeBalance]]=1,"Bad",IF(HR_Data[[#This Row],[WorkLifeBalance]]=2,"Good",IF(HR_Data[[#This Row],[WorkLifeBalance]]=3,"Better","Best")))</f>
        <v>Good</v>
      </c>
    </row>
    <row r="28" spans="1:42" x14ac:dyDescent="0.3">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c r="AJ28">
        <f>IF(HR_Data[[#This Row],[Attrition]]="Yes",1,0)</f>
        <v>1</v>
      </c>
      <c r="AK28">
        <f>IF(HR_Data[[#This Row],[Attrition]]="No",1,0)</f>
        <v>0</v>
      </c>
      <c r="AL28" t="str">
        <f>IF(HR_Data[[#This Row],[Age]]&lt;25,"Under 25",IF(HR_Data[[#This Row],[Age]]&lt;=34,"25-34",IF(HR_Data[[#This Row],[Age]]&lt;=44,"35-44",IF(HR_Data[[#This Row],[Age]]&lt;=54,"45-54","55+"))))</f>
        <v>25-34</v>
      </c>
      <c r="AM28" s="1" t="str">
        <f>IF(HR_Data[[#This Row],[MonthlyIncome]]&lt;3000,"Low Salary",IF(HR_Data[[#This Row],[MonthlyIncome]]&lt;=7000,"Medium Salary","High Salary"))</f>
        <v>Medium Salary</v>
      </c>
      <c r="AN28" s="1" t="str">
        <f>IF(HR_Data[[#This Row],[YearsAtCompany]]&lt;2,"0-1 Years",IF(HR_Data[[#This Row],[YearsAtCompany]]&lt;=5,"2-5 Years",IF(HR_Data[[#This Row],[YearsAtCompany]]&lt;=10,"6-10 Years","10+ Years")))</f>
        <v>6-10 Years</v>
      </c>
      <c r="AO28" s="1" t="str">
        <f>IF(HR_Data[[#This Row],[JobSatisfaction]]=1,"Low",IF(HR_Data[[#This Row],[JobSatisfaction]]=2,"Medium",IF(HR_Data[[#This Row],[JobSatisfaction]]=3,"High","Very High")))</f>
        <v>Low</v>
      </c>
      <c r="AP28" s="1" t="str">
        <f>IF(HR_Data[[#This Row],[WorkLifeBalance]]=1,"Bad",IF(HR_Data[[#This Row],[WorkLifeBalance]]=2,"Good",IF(HR_Data[[#This Row],[WorkLifeBalance]]=3,"Better","Best")))</f>
        <v>Better</v>
      </c>
    </row>
    <row r="29" spans="1:42" x14ac:dyDescent="0.3">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c r="AJ29">
        <f>IF(HR_Data[[#This Row],[Attrition]]="Yes",1,0)</f>
        <v>0</v>
      </c>
      <c r="AK29">
        <f>IF(HR_Data[[#This Row],[Attrition]]="No",1,0)</f>
        <v>1</v>
      </c>
      <c r="AL29" t="str">
        <f>IF(HR_Data[[#This Row],[Age]]&lt;25,"Under 25",IF(HR_Data[[#This Row],[Age]]&lt;=34,"25-34",IF(HR_Data[[#This Row],[Age]]&lt;=44,"35-44",IF(HR_Data[[#This Row],[Age]]&lt;=54,"45-54","55+"))))</f>
        <v>35-44</v>
      </c>
      <c r="AM29" s="1" t="str">
        <f>IF(HR_Data[[#This Row],[MonthlyIncome]]&lt;3000,"Low Salary",IF(HR_Data[[#This Row],[MonthlyIncome]]&lt;=7000,"Medium Salary","High Salary"))</f>
        <v>Medium Salary</v>
      </c>
      <c r="AN29" s="1" t="str">
        <f>IF(HR_Data[[#This Row],[YearsAtCompany]]&lt;2,"0-1 Years",IF(HR_Data[[#This Row],[YearsAtCompany]]&lt;=5,"2-5 Years",IF(HR_Data[[#This Row],[YearsAtCompany]]&lt;=10,"6-10 Years","10+ Years")))</f>
        <v>6-10 Years</v>
      </c>
      <c r="AO29" s="1" t="str">
        <f>IF(HR_Data[[#This Row],[JobSatisfaction]]=1,"Low",IF(HR_Data[[#This Row],[JobSatisfaction]]=2,"Medium",IF(HR_Data[[#This Row],[JobSatisfaction]]=3,"High","Very High")))</f>
        <v>Medium</v>
      </c>
      <c r="AP29" s="1" t="str">
        <f>IF(HR_Data[[#This Row],[WorkLifeBalance]]=1,"Bad",IF(HR_Data[[#This Row],[WorkLifeBalance]]=2,"Good",IF(HR_Data[[#This Row],[WorkLifeBalance]]=3,"Better","Best")))</f>
        <v>Better</v>
      </c>
    </row>
    <row r="30" spans="1:42" x14ac:dyDescent="0.3">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c r="AJ30">
        <f>IF(HR_Data[[#This Row],[Attrition]]="Yes",1,0)</f>
        <v>0</v>
      </c>
      <c r="AK30">
        <f>IF(HR_Data[[#This Row],[Attrition]]="No",1,0)</f>
        <v>1</v>
      </c>
      <c r="AL30" t="str">
        <f>IF(HR_Data[[#This Row],[Age]]&lt;25,"Under 25",IF(HR_Data[[#This Row],[Age]]&lt;=34,"25-34",IF(HR_Data[[#This Row],[Age]]&lt;=44,"35-44",IF(HR_Data[[#This Row],[Age]]&lt;=54,"45-54","55+"))))</f>
        <v>35-44</v>
      </c>
      <c r="AM30" s="1" t="str">
        <f>IF(HR_Data[[#This Row],[MonthlyIncome]]&lt;3000,"Low Salary",IF(HR_Data[[#This Row],[MonthlyIncome]]&lt;=7000,"Medium Salary","High Salary"))</f>
        <v>High Salary</v>
      </c>
      <c r="AN30" s="1" t="str">
        <f>IF(HR_Data[[#This Row],[YearsAtCompany]]&lt;2,"0-1 Years",IF(HR_Data[[#This Row],[YearsAtCompany]]&lt;=5,"2-5 Years",IF(HR_Data[[#This Row],[YearsAtCompany]]&lt;=10,"6-10 Years","10+ Years")))</f>
        <v>10+ Years</v>
      </c>
      <c r="AO30" s="1" t="str">
        <f>IF(HR_Data[[#This Row],[JobSatisfaction]]=1,"Low",IF(HR_Data[[#This Row],[JobSatisfaction]]=2,"Medium",IF(HR_Data[[#This Row],[JobSatisfaction]]=3,"High","Very High")))</f>
        <v>Very High</v>
      </c>
      <c r="AP30" s="1" t="str">
        <f>IF(HR_Data[[#This Row],[WorkLifeBalance]]=1,"Bad",IF(HR_Data[[#This Row],[WorkLifeBalance]]=2,"Good",IF(HR_Data[[#This Row],[WorkLifeBalance]]=3,"Better","Best")))</f>
        <v>Better</v>
      </c>
    </row>
    <row r="31" spans="1:42" x14ac:dyDescent="0.3">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c r="AJ31">
        <f>IF(HR_Data[[#This Row],[Attrition]]="Yes",1,0)</f>
        <v>0</v>
      </c>
      <c r="AK31">
        <f>IF(HR_Data[[#This Row],[Attrition]]="No",1,0)</f>
        <v>1</v>
      </c>
      <c r="AL31" t="str">
        <f>IF(HR_Data[[#This Row],[Age]]&lt;25,"Under 25",IF(HR_Data[[#This Row],[Age]]&lt;=34,"25-34",IF(HR_Data[[#This Row],[Age]]&lt;=44,"35-44",IF(HR_Data[[#This Row],[Age]]&lt;=54,"45-54","55+"))))</f>
        <v>45-54</v>
      </c>
      <c r="AM31" s="1" t="str">
        <f>IF(HR_Data[[#This Row],[MonthlyIncome]]&lt;3000,"Low Salary",IF(HR_Data[[#This Row],[MonthlyIncome]]&lt;=7000,"Medium Salary","High Salary"))</f>
        <v>High Salary</v>
      </c>
      <c r="AN31" s="1" t="str">
        <f>IF(HR_Data[[#This Row],[YearsAtCompany]]&lt;2,"0-1 Years",IF(HR_Data[[#This Row],[YearsAtCompany]]&lt;=5,"2-5 Years",IF(HR_Data[[#This Row],[YearsAtCompany]]&lt;=10,"6-10 Years","10+ Years")))</f>
        <v>2-5 Years</v>
      </c>
      <c r="AO31" s="1" t="str">
        <f>IF(HR_Data[[#This Row],[JobSatisfaction]]=1,"Low",IF(HR_Data[[#This Row],[JobSatisfaction]]=2,"Medium",IF(HR_Data[[#This Row],[JobSatisfaction]]=3,"High","Very High")))</f>
        <v>Low</v>
      </c>
      <c r="AP31" s="1" t="str">
        <f>IF(HR_Data[[#This Row],[WorkLifeBalance]]=1,"Bad",IF(HR_Data[[#This Row],[WorkLifeBalance]]=2,"Good",IF(HR_Data[[#This Row],[WorkLifeBalance]]=3,"Better","Best")))</f>
        <v>Good</v>
      </c>
    </row>
    <row r="32" spans="1:42" x14ac:dyDescent="0.3">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c r="AJ32">
        <f>IF(HR_Data[[#This Row],[Attrition]]="Yes",1,0)</f>
        <v>0</v>
      </c>
      <c r="AK32">
        <f>IF(HR_Data[[#This Row],[Attrition]]="No",1,0)</f>
        <v>1</v>
      </c>
      <c r="AL32" t="str">
        <f>IF(HR_Data[[#This Row],[Age]]&lt;25,"Under 25",IF(HR_Data[[#This Row],[Age]]&lt;=34,"25-34",IF(HR_Data[[#This Row],[Age]]&lt;=44,"35-44",IF(HR_Data[[#This Row],[Age]]&lt;=54,"45-54","55+"))))</f>
        <v>25-34</v>
      </c>
      <c r="AM32" s="1" t="str">
        <f>IF(HR_Data[[#This Row],[MonthlyIncome]]&lt;3000,"Low Salary",IF(HR_Data[[#This Row],[MonthlyIncome]]&lt;=7000,"Medium Salary","High Salary"))</f>
        <v>Low Salary</v>
      </c>
      <c r="AN32" s="1" t="str">
        <f>IF(HR_Data[[#This Row],[YearsAtCompany]]&lt;2,"0-1 Years",IF(HR_Data[[#This Row],[YearsAtCompany]]&lt;=5,"2-5 Years",IF(HR_Data[[#This Row],[YearsAtCompany]]&lt;=10,"6-10 Years","10+ Years")))</f>
        <v>0-1 Years</v>
      </c>
      <c r="AO32" s="1" t="str">
        <f>IF(HR_Data[[#This Row],[JobSatisfaction]]=1,"Low",IF(HR_Data[[#This Row],[JobSatisfaction]]=2,"Medium",IF(HR_Data[[#This Row],[JobSatisfaction]]=3,"High","Very High")))</f>
        <v>Very High</v>
      </c>
      <c r="AP32" s="1" t="str">
        <f>IF(HR_Data[[#This Row],[WorkLifeBalance]]=1,"Bad",IF(HR_Data[[#This Row],[WorkLifeBalance]]=2,"Good",IF(HR_Data[[#This Row],[WorkLifeBalance]]=3,"Better","Best")))</f>
        <v>Better</v>
      </c>
    </row>
    <row r="33" spans="1:42" x14ac:dyDescent="0.3">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c r="AJ33">
        <f>IF(HR_Data[[#This Row],[Attrition]]="Yes",1,0)</f>
        <v>0</v>
      </c>
      <c r="AK33">
        <f>IF(HR_Data[[#This Row],[Attrition]]="No",1,0)</f>
        <v>1</v>
      </c>
      <c r="AL33" t="str">
        <f>IF(HR_Data[[#This Row],[Age]]&lt;25,"Under 25",IF(HR_Data[[#This Row],[Age]]&lt;=34,"25-34",IF(HR_Data[[#This Row],[Age]]&lt;=44,"35-44",IF(HR_Data[[#This Row],[Age]]&lt;=54,"45-54","55+"))))</f>
        <v>35-44</v>
      </c>
      <c r="AM33" s="1" t="str">
        <f>IF(HR_Data[[#This Row],[MonthlyIncome]]&lt;3000,"Low Salary",IF(HR_Data[[#This Row],[MonthlyIncome]]&lt;=7000,"Medium Salary","High Salary"))</f>
        <v>Medium Salary</v>
      </c>
      <c r="AN33" s="1" t="str">
        <f>IF(HR_Data[[#This Row],[YearsAtCompany]]&lt;2,"0-1 Years",IF(HR_Data[[#This Row],[YearsAtCompany]]&lt;=5,"2-5 Years",IF(HR_Data[[#This Row],[YearsAtCompany]]&lt;=10,"6-10 Years","10+ Years")))</f>
        <v>2-5 Years</v>
      </c>
      <c r="AO33" s="1" t="str">
        <f>IF(HR_Data[[#This Row],[JobSatisfaction]]=1,"Low",IF(HR_Data[[#This Row],[JobSatisfaction]]=2,"Medium",IF(HR_Data[[#This Row],[JobSatisfaction]]=3,"High","Very High")))</f>
        <v>Very High</v>
      </c>
      <c r="AP33" s="1" t="str">
        <f>IF(HR_Data[[#This Row],[WorkLifeBalance]]=1,"Bad",IF(HR_Data[[#This Row],[WorkLifeBalance]]=2,"Good",IF(HR_Data[[#This Row],[WorkLifeBalance]]=3,"Better","Best")))</f>
        <v>Best</v>
      </c>
    </row>
    <row r="34" spans="1:42" x14ac:dyDescent="0.3">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c r="AJ34">
        <f>IF(HR_Data[[#This Row],[Attrition]]="Yes",1,0)</f>
        <v>0</v>
      </c>
      <c r="AK34">
        <f>IF(HR_Data[[#This Row],[Attrition]]="No",1,0)</f>
        <v>1</v>
      </c>
      <c r="AL34" t="str">
        <f>IF(HR_Data[[#This Row],[Age]]&lt;25,"Under 25",IF(HR_Data[[#This Row],[Age]]&lt;=34,"25-34",IF(HR_Data[[#This Row],[Age]]&lt;=44,"35-44",IF(HR_Data[[#This Row],[Age]]&lt;=54,"45-54","55+"))))</f>
        <v>25-34</v>
      </c>
      <c r="AM34" s="1" t="str">
        <f>IF(HR_Data[[#This Row],[MonthlyIncome]]&lt;3000,"Low Salary",IF(HR_Data[[#This Row],[MonthlyIncome]]&lt;=7000,"Medium Salary","High Salary"))</f>
        <v>Low Salary</v>
      </c>
      <c r="AN34" s="1" t="str">
        <f>IF(HR_Data[[#This Row],[YearsAtCompany]]&lt;2,"0-1 Years",IF(HR_Data[[#This Row],[YearsAtCompany]]&lt;=5,"2-5 Years",IF(HR_Data[[#This Row],[YearsAtCompany]]&lt;=10,"6-10 Years","10+ Years")))</f>
        <v>6-10 Years</v>
      </c>
      <c r="AO34" s="1" t="str">
        <f>IF(HR_Data[[#This Row],[JobSatisfaction]]=1,"Low",IF(HR_Data[[#This Row],[JobSatisfaction]]=2,"Medium",IF(HR_Data[[#This Row],[JobSatisfaction]]=3,"High","Very High")))</f>
        <v>High</v>
      </c>
      <c r="AP34" s="1" t="str">
        <f>IF(HR_Data[[#This Row],[WorkLifeBalance]]=1,"Bad",IF(HR_Data[[#This Row],[WorkLifeBalance]]=2,"Good",IF(HR_Data[[#This Row],[WorkLifeBalance]]=3,"Better","Best")))</f>
        <v>Better</v>
      </c>
    </row>
    <row r="35" spans="1:42" x14ac:dyDescent="0.3">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c r="AJ35">
        <f>IF(HR_Data[[#This Row],[Attrition]]="Yes",1,0)</f>
        <v>1</v>
      </c>
      <c r="AK35">
        <f>IF(HR_Data[[#This Row],[Attrition]]="No",1,0)</f>
        <v>0</v>
      </c>
      <c r="AL35" t="str">
        <f>IF(HR_Data[[#This Row],[Age]]&lt;25,"Under 25",IF(HR_Data[[#This Row],[Age]]&lt;=34,"25-34",IF(HR_Data[[#This Row],[Age]]&lt;=44,"35-44",IF(HR_Data[[#This Row],[Age]]&lt;=54,"45-54","55+"))))</f>
        <v>35-44</v>
      </c>
      <c r="AM35" s="1" t="str">
        <f>IF(HR_Data[[#This Row],[MonthlyIncome]]&lt;3000,"Low Salary",IF(HR_Data[[#This Row],[MonthlyIncome]]&lt;=7000,"Medium Salary","High Salary"))</f>
        <v>Low Salary</v>
      </c>
      <c r="AN35" s="1" t="str">
        <f>IF(HR_Data[[#This Row],[YearsAtCompany]]&lt;2,"0-1 Years",IF(HR_Data[[#This Row],[YearsAtCompany]]&lt;=5,"2-5 Years",IF(HR_Data[[#This Row],[YearsAtCompany]]&lt;=10,"6-10 Years","10+ Years")))</f>
        <v>0-1 Years</v>
      </c>
      <c r="AO35" s="1" t="str">
        <f>IF(HR_Data[[#This Row],[JobSatisfaction]]=1,"Low",IF(HR_Data[[#This Row],[JobSatisfaction]]=2,"Medium",IF(HR_Data[[#This Row],[JobSatisfaction]]=3,"High","Very High")))</f>
        <v>Very High</v>
      </c>
      <c r="AP35" s="1" t="str">
        <f>IF(HR_Data[[#This Row],[WorkLifeBalance]]=1,"Bad",IF(HR_Data[[#This Row],[WorkLifeBalance]]=2,"Good",IF(HR_Data[[#This Row],[WorkLifeBalance]]=3,"Better","Best")))</f>
        <v>Best</v>
      </c>
    </row>
    <row r="36" spans="1:42" x14ac:dyDescent="0.3">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c r="AJ36">
        <f>IF(HR_Data[[#This Row],[Attrition]]="Yes",1,0)</f>
        <v>1</v>
      </c>
      <c r="AK36">
        <f>IF(HR_Data[[#This Row],[Attrition]]="No",1,0)</f>
        <v>0</v>
      </c>
      <c r="AL36" t="str">
        <f>IF(HR_Data[[#This Row],[Age]]&lt;25,"Under 25",IF(HR_Data[[#This Row],[Age]]&lt;=34,"25-34",IF(HR_Data[[#This Row],[Age]]&lt;=44,"35-44",IF(HR_Data[[#This Row],[Age]]&lt;=54,"45-54","55+"))))</f>
        <v>Under 25</v>
      </c>
      <c r="AM36" s="1" t="str">
        <f>IF(HR_Data[[#This Row],[MonthlyIncome]]&lt;3000,"Low Salary",IF(HR_Data[[#This Row],[MonthlyIncome]]&lt;=7000,"Medium Salary","High Salary"))</f>
        <v>Low Salary</v>
      </c>
      <c r="AN36" s="1" t="str">
        <f>IF(HR_Data[[#This Row],[YearsAtCompany]]&lt;2,"0-1 Years",IF(HR_Data[[#This Row],[YearsAtCompany]]&lt;=5,"2-5 Years",IF(HR_Data[[#This Row],[YearsAtCompany]]&lt;=10,"6-10 Years","10+ Years")))</f>
        <v>2-5 Years</v>
      </c>
      <c r="AO36" s="1" t="str">
        <f>IF(HR_Data[[#This Row],[JobSatisfaction]]=1,"Low",IF(HR_Data[[#This Row],[JobSatisfaction]]=2,"Medium",IF(HR_Data[[#This Row],[JobSatisfaction]]=3,"High","Very High")))</f>
        <v>Very High</v>
      </c>
      <c r="AP36" s="1" t="str">
        <f>IF(HR_Data[[#This Row],[WorkLifeBalance]]=1,"Bad",IF(HR_Data[[#This Row],[WorkLifeBalance]]=2,"Good",IF(HR_Data[[#This Row],[WorkLifeBalance]]=3,"Better","Best")))</f>
        <v>Good</v>
      </c>
    </row>
    <row r="37" spans="1:42" x14ac:dyDescent="0.3">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c r="AJ37">
        <f>IF(HR_Data[[#This Row],[Attrition]]="Yes",1,0)</f>
        <v>0</v>
      </c>
      <c r="AK37">
        <f>IF(HR_Data[[#This Row],[Attrition]]="No",1,0)</f>
        <v>1</v>
      </c>
      <c r="AL37" t="str">
        <f>IF(HR_Data[[#This Row],[Age]]&lt;25,"Under 25",IF(HR_Data[[#This Row],[Age]]&lt;=34,"25-34",IF(HR_Data[[#This Row],[Age]]&lt;=44,"35-44",IF(HR_Data[[#This Row],[Age]]&lt;=54,"45-54","55+"))))</f>
        <v>35-44</v>
      </c>
      <c r="AM37" s="1" t="str">
        <f>IF(HR_Data[[#This Row],[MonthlyIncome]]&lt;3000,"Low Salary",IF(HR_Data[[#This Row],[MonthlyIncome]]&lt;=7000,"Medium Salary","High Salary"))</f>
        <v>Low Salary</v>
      </c>
      <c r="AN37" s="1" t="str">
        <f>IF(HR_Data[[#This Row],[YearsAtCompany]]&lt;2,"0-1 Years",IF(HR_Data[[#This Row],[YearsAtCompany]]&lt;=5,"2-5 Years",IF(HR_Data[[#This Row],[YearsAtCompany]]&lt;=10,"6-10 Years","10+ Years")))</f>
        <v>2-5 Years</v>
      </c>
      <c r="AO37" s="1" t="str">
        <f>IF(HR_Data[[#This Row],[JobSatisfaction]]=1,"Low",IF(HR_Data[[#This Row],[JobSatisfaction]]=2,"Medium",IF(HR_Data[[#This Row],[JobSatisfaction]]=3,"High","Very High")))</f>
        <v>High</v>
      </c>
      <c r="AP37" s="1" t="str">
        <f>IF(HR_Data[[#This Row],[WorkLifeBalance]]=1,"Bad",IF(HR_Data[[#This Row],[WorkLifeBalance]]=2,"Good",IF(HR_Data[[#This Row],[WorkLifeBalance]]=3,"Better","Best")))</f>
        <v>Good</v>
      </c>
    </row>
    <row r="38" spans="1:42" x14ac:dyDescent="0.3">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c r="AJ38">
        <f>IF(HR_Data[[#This Row],[Attrition]]="Yes",1,0)</f>
        <v>1</v>
      </c>
      <c r="AK38">
        <f>IF(HR_Data[[#This Row],[Attrition]]="No",1,0)</f>
        <v>0</v>
      </c>
      <c r="AL38" t="str">
        <f>IF(HR_Data[[#This Row],[Age]]&lt;25,"Under 25",IF(HR_Data[[#This Row],[Age]]&lt;=34,"25-34",IF(HR_Data[[#This Row],[Age]]&lt;=44,"35-44",IF(HR_Data[[#This Row],[Age]]&lt;=54,"45-54","55+"))))</f>
        <v>45-54</v>
      </c>
      <c r="AM38" s="1" t="str">
        <f>IF(HR_Data[[#This Row],[MonthlyIncome]]&lt;3000,"Low Salary",IF(HR_Data[[#This Row],[MonthlyIncome]]&lt;=7000,"Medium Salary","High Salary"))</f>
        <v>Low Salary</v>
      </c>
      <c r="AN38" s="1" t="str">
        <f>IF(HR_Data[[#This Row],[YearsAtCompany]]&lt;2,"0-1 Years",IF(HR_Data[[#This Row],[YearsAtCompany]]&lt;=5,"2-5 Years",IF(HR_Data[[#This Row],[YearsAtCompany]]&lt;=10,"6-10 Years","10+ Years")))</f>
        <v>2-5 Years</v>
      </c>
      <c r="AO38" s="1" t="str">
        <f>IF(HR_Data[[#This Row],[JobSatisfaction]]=1,"Low",IF(HR_Data[[#This Row],[JobSatisfaction]]=2,"Medium",IF(HR_Data[[#This Row],[JobSatisfaction]]=3,"High","Very High")))</f>
        <v>High</v>
      </c>
      <c r="AP38" s="1" t="str">
        <f>IF(HR_Data[[#This Row],[WorkLifeBalance]]=1,"Bad",IF(HR_Data[[#This Row],[WorkLifeBalance]]=2,"Good",IF(HR_Data[[#This Row],[WorkLifeBalance]]=3,"Better","Best")))</f>
        <v>Better</v>
      </c>
    </row>
    <row r="39" spans="1:42" x14ac:dyDescent="0.3">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c r="AJ39">
        <f>IF(HR_Data[[#This Row],[Attrition]]="Yes",1,0)</f>
        <v>0</v>
      </c>
      <c r="AK39">
        <f>IF(HR_Data[[#This Row],[Attrition]]="No",1,0)</f>
        <v>1</v>
      </c>
      <c r="AL39" t="str">
        <f>IF(HR_Data[[#This Row],[Age]]&lt;25,"Under 25",IF(HR_Data[[#This Row],[Age]]&lt;=34,"25-34",IF(HR_Data[[#This Row],[Age]]&lt;=44,"35-44",IF(HR_Data[[#This Row],[Age]]&lt;=54,"45-54","55+"))))</f>
        <v>35-44</v>
      </c>
      <c r="AM39" s="1" t="str">
        <f>IF(HR_Data[[#This Row],[MonthlyIncome]]&lt;3000,"Low Salary",IF(HR_Data[[#This Row],[MonthlyIncome]]&lt;=7000,"Medium Salary","High Salary"))</f>
        <v>Low Salary</v>
      </c>
      <c r="AN39" s="1" t="str">
        <f>IF(HR_Data[[#This Row],[YearsAtCompany]]&lt;2,"0-1 Years",IF(HR_Data[[#This Row],[YearsAtCompany]]&lt;=5,"2-5 Years",IF(HR_Data[[#This Row],[YearsAtCompany]]&lt;=10,"6-10 Years","10+ Years")))</f>
        <v>2-5 Years</v>
      </c>
      <c r="AO39" s="1" t="str">
        <f>IF(HR_Data[[#This Row],[JobSatisfaction]]=1,"Low",IF(HR_Data[[#This Row],[JobSatisfaction]]=2,"Medium",IF(HR_Data[[#This Row],[JobSatisfaction]]=3,"High","Very High")))</f>
        <v>Very High</v>
      </c>
      <c r="AP39" s="1" t="str">
        <f>IF(HR_Data[[#This Row],[WorkLifeBalance]]=1,"Bad",IF(HR_Data[[#This Row],[WorkLifeBalance]]=2,"Good",IF(HR_Data[[#This Row],[WorkLifeBalance]]=3,"Better","Best")))</f>
        <v>Better</v>
      </c>
    </row>
    <row r="40" spans="1:42" x14ac:dyDescent="0.3">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c r="AJ40">
        <f>IF(HR_Data[[#This Row],[Attrition]]="Yes",1,0)</f>
        <v>0</v>
      </c>
      <c r="AK40">
        <f>IF(HR_Data[[#This Row],[Attrition]]="No",1,0)</f>
        <v>1</v>
      </c>
      <c r="AL40" t="str">
        <f>IF(HR_Data[[#This Row],[Age]]&lt;25,"Under 25",IF(HR_Data[[#This Row],[Age]]&lt;=34,"25-34",IF(HR_Data[[#This Row],[Age]]&lt;=44,"35-44",IF(HR_Data[[#This Row],[Age]]&lt;=54,"45-54","55+"))))</f>
        <v>35-44</v>
      </c>
      <c r="AM40" s="1" t="str">
        <f>IF(HR_Data[[#This Row],[MonthlyIncome]]&lt;3000,"Low Salary",IF(HR_Data[[#This Row],[MonthlyIncome]]&lt;=7000,"Medium Salary","High Salary"))</f>
        <v>Medium Salary</v>
      </c>
      <c r="AN40" s="1" t="str">
        <f>IF(HR_Data[[#This Row],[YearsAtCompany]]&lt;2,"0-1 Years",IF(HR_Data[[#This Row],[YearsAtCompany]]&lt;=5,"2-5 Years",IF(HR_Data[[#This Row],[YearsAtCompany]]&lt;=10,"6-10 Years","10+ Years")))</f>
        <v>0-1 Years</v>
      </c>
      <c r="AO40" s="1" t="str">
        <f>IF(HR_Data[[#This Row],[JobSatisfaction]]=1,"Low",IF(HR_Data[[#This Row],[JobSatisfaction]]=2,"Medium",IF(HR_Data[[#This Row],[JobSatisfaction]]=3,"High","Very High")))</f>
        <v>Low</v>
      </c>
      <c r="AP40" s="1" t="str">
        <f>IF(HR_Data[[#This Row],[WorkLifeBalance]]=1,"Bad",IF(HR_Data[[#This Row],[WorkLifeBalance]]=2,"Good",IF(HR_Data[[#This Row],[WorkLifeBalance]]=3,"Better","Best")))</f>
        <v>Best</v>
      </c>
    </row>
    <row r="41" spans="1:42" x14ac:dyDescent="0.3">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c r="AJ41">
        <f>IF(HR_Data[[#This Row],[Attrition]]="Yes",1,0)</f>
        <v>0</v>
      </c>
      <c r="AK41">
        <f>IF(HR_Data[[#This Row],[Attrition]]="No",1,0)</f>
        <v>1</v>
      </c>
      <c r="AL41" t="str">
        <f>IF(HR_Data[[#This Row],[Age]]&lt;25,"Under 25",IF(HR_Data[[#This Row],[Age]]&lt;=34,"25-34",IF(HR_Data[[#This Row],[Age]]&lt;=44,"35-44",IF(HR_Data[[#This Row],[Age]]&lt;=54,"45-54","55+"))))</f>
        <v>25-34</v>
      </c>
      <c r="AM41" s="1" t="str">
        <f>IF(HR_Data[[#This Row],[MonthlyIncome]]&lt;3000,"Low Salary",IF(HR_Data[[#This Row],[MonthlyIncome]]&lt;=7000,"Medium Salary","High Salary"))</f>
        <v>Medium Salary</v>
      </c>
      <c r="AN41" s="1" t="str">
        <f>IF(HR_Data[[#This Row],[YearsAtCompany]]&lt;2,"0-1 Years",IF(HR_Data[[#This Row],[YearsAtCompany]]&lt;=5,"2-5 Years",IF(HR_Data[[#This Row],[YearsAtCompany]]&lt;=10,"6-10 Years","10+ Years")))</f>
        <v>2-5 Years</v>
      </c>
      <c r="AO41" s="1" t="str">
        <f>IF(HR_Data[[#This Row],[JobSatisfaction]]=1,"Low",IF(HR_Data[[#This Row],[JobSatisfaction]]=2,"Medium",IF(HR_Data[[#This Row],[JobSatisfaction]]=3,"High","Very High")))</f>
        <v>Low</v>
      </c>
      <c r="AP41" s="1" t="str">
        <f>IF(HR_Data[[#This Row],[WorkLifeBalance]]=1,"Bad",IF(HR_Data[[#This Row],[WorkLifeBalance]]=2,"Good",IF(HR_Data[[#This Row],[WorkLifeBalance]]=3,"Better","Best")))</f>
        <v>Better</v>
      </c>
    </row>
    <row r="42" spans="1:42" x14ac:dyDescent="0.3">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c r="AJ42">
        <f>IF(HR_Data[[#This Row],[Attrition]]="Yes",1,0)</f>
        <v>0</v>
      </c>
      <c r="AK42">
        <f>IF(HR_Data[[#This Row],[Attrition]]="No",1,0)</f>
        <v>1</v>
      </c>
      <c r="AL42" t="str">
        <f>IF(HR_Data[[#This Row],[Age]]&lt;25,"Under 25",IF(HR_Data[[#This Row],[Age]]&lt;=34,"25-34",IF(HR_Data[[#This Row],[Age]]&lt;=44,"35-44",IF(HR_Data[[#This Row],[Age]]&lt;=54,"45-54","55+"))))</f>
        <v>35-44</v>
      </c>
      <c r="AM42" s="1" t="str">
        <f>IF(HR_Data[[#This Row],[MonthlyIncome]]&lt;3000,"Low Salary",IF(HR_Data[[#This Row],[MonthlyIncome]]&lt;=7000,"Medium Salary","High Salary"))</f>
        <v>Low Salary</v>
      </c>
      <c r="AN42" s="1" t="str">
        <f>IF(HR_Data[[#This Row],[YearsAtCompany]]&lt;2,"0-1 Years",IF(HR_Data[[#This Row],[YearsAtCompany]]&lt;=5,"2-5 Years",IF(HR_Data[[#This Row],[YearsAtCompany]]&lt;=10,"6-10 Years","10+ Years")))</f>
        <v>0-1 Years</v>
      </c>
      <c r="AO42" s="1" t="str">
        <f>IF(HR_Data[[#This Row],[JobSatisfaction]]=1,"Low",IF(HR_Data[[#This Row],[JobSatisfaction]]=2,"Medium",IF(HR_Data[[#This Row],[JobSatisfaction]]=3,"High","Very High")))</f>
        <v>Very High</v>
      </c>
      <c r="AP42" s="1" t="str">
        <f>IF(HR_Data[[#This Row],[WorkLifeBalance]]=1,"Bad",IF(HR_Data[[#This Row],[WorkLifeBalance]]=2,"Good",IF(HR_Data[[#This Row],[WorkLifeBalance]]=3,"Better","Best")))</f>
        <v>Better</v>
      </c>
    </row>
    <row r="43" spans="1:42" x14ac:dyDescent="0.3">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c r="AJ43">
        <f>IF(HR_Data[[#This Row],[Attrition]]="Yes",1,0)</f>
        <v>0</v>
      </c>
      <c r="AK43">
        <f>IF(HR_Data[[#This Row],[Attrition]]="No",1,0)</f>
        <v>1</v>
      </c>
      <c r="AL43" t="str">
        <f>IF(HR_Data[[#This Row],[Age]]&lt;25,"Under 25",IF(HR_Data[[#This Row],[Age]]&lt;=34,"25-34",IF(HR_Data[[#This Row],[Age]]&lt;=44,"35-44",IF(HR_Data[[#This Row],[Age]]&lt;=54,"45-54","55+"))))</f>
        <v>25-34</v>
      </c>
      <c r="AM43" s="1" t="str">
        <f>IF(HR_Data[[#This Row],[MonthlyIncome]]&lt;3000,"Low Salary",IF(HR_Data[[#This Row],[MonthlyIncome]]&lt;=7000,"Medium Salary","High Salary"))</f>
        <v>Low Salary</v>
      </c>
      <c r="AN43" s="1" t="str">
        <f>IF(HR_Data[[#This Row],[YearsAtCompany]]&lt;2,"0-1 Years",IF(HR_Data[[#This Row],[YearsAtCompany]]&lt;=5,"2-5 Years",IF(HR_Data[[#This Row],[YearsAtCompany]]&lt;=10,"6-10 Years","10+ Years")))</f>
        <v>0-1 Years</v>
      </c>
      <c r="AO43" s="1" t="str">
        <f>IF(HR_Data[[#This Row],[JobSatisfaction]]=1,"Low",IF(HR_Data[[#This Row],[JobSatisfaction]]=2,"Medium",IF(HR_Data[[#This Row],[JobSatisfaction]]=3,"High","Very High")))</f>
        <v>Low</v>
      </c>
      <c r="AP43" s="1" t="str">
        <f>IF(HR_Data[[#This Row],[WorkLifeBalance]]=1,"Bad",IF(HR_Data[[#This Row],[WorkLifeBalance]]=2,"Good",IF(HR_Data[[#This Row],[WorkLifeBalance]]=3,"Better","Best")))</f>
        <v>Better</v>
      </c>
    </row>
    <row r="44" spans="1:42" x14ac:dyDescent="0.3">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c r="AJ44">
        <f>IF(HR_Data[[#This Row],[Attrition]]="Yes",1,0)</f>
        <v>1</v>
      </c>
      <c r="AK44">
        <f>IF(HR_Data[[#This Row],[Attrition]]="No",1,0)</f>
        <v>0</v>
      </c>
      <c r="AL44" t="str">
        <f>IF(HR_Data[[#This Row],[Age]]&lt;25,"Under 25",IF(HR_Data[[#This Row],[Age]]&lt;=34,"25-34",IF(HR_Data[[#This Row],[Age]]&lt;=44,"35-44",IF(HR_Data[[#This Row],[Age]]&lt;=54,"45-54","55+"))))</f>
        <v>25-34</v>
      </c>
      <c r="AM44" s="1" t="str">
        <f>IF(HR_Data[[#This Row],[MonthlyIncome]]&lt;3000,"Low Salary",IF(HR_Data[[#This Row],[MonthlyIncome]]&lt;=7000,"Medium Salary","High Salary"))</f>
        <v>Low Salary</v>
      </c>
      <c r="AN44" s="1" t="str">
        <f>IF(HR_Data[[#This Row],[YearsAtCompany]]&lt;2,"0-1 Years",IF(HR_Data[[#This Row],[YearsAtCompany]]&lt;=5,"2-5 Years",IF(HR_Data[[#This Row],[YearsAtCompany]]&lt;=10,"6-10 Years","10+ Years")))</f>
        <v>0-1 Years</v>
      </c>
      <c r="AO44" s="1" t="str">
        <f>IF(HR_Data[[#This Row],[JobSatisfaction]]=1,"Low",IF(HR_Data[[#This Row],[JobSatisfaction]]=2,"Medium",IF(HR_Data[[#This Row],[JobSatisfaction]]=3,"High","Very High")))</f>
        <v>High</v>
      </c>
      <c r="AP44" s="1" t="str">
        <f>IF(HR_Data[[#This Row],[WorkLifeBalance]]=1,"Bad",IF(HR_Data[[#This Row],[WorkLifeBalance]]=2,"Good",IF(HR_Data[[#This Row],[WorkLifeBalance]]=3,"Better","Best")))</f>
        <v>Good</v>
      </c>
    </row>
    <row r="45" spans="1:42" x14ac:dyDescent="0.3">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c r="AJ45">
        <f>IF(HR_Data[[#This Row],[Attrition]]="Yes",1,0)</f>
        <v>0</v>
      </c>
      <c r="AK45">
        <f>IF(HR_Data[[#This Row],[Attrition]]="No",1,0)</f>
        <v>1</v>
      </c>
      <c r="AL45" t="str">
        <f>IF(HR_Data[[#This Row],[Age]]&lt;25,"Under 25",IF(HR_Data[[#This Row],[Age]]&lt;=34,"25-34",IF(HR_Data[[#This Row],[Age]]&lt;=44,"35-44",IF(HR_Data[[#This Row],[Age]]&lt;=54,"45-54","55+"))))</f>
        <v>25-34</v>
      </c>
      <c r="AM45" s="1" t="str">
        <f>IF(HR_Data[[#This Row],[MonthlyIncome]]&lt;3000,"Low Salary",IF(HR_Data[[#This Row],[MonthlyIncome]]&lt;=7000,"Medium Salary","High Salary"))</f>
        <v>High Salary</v>
      </c>
      <c r="AN45" s="1" t="str">
        <f>IF(HR_Data[[#This Row],[YearsAtCompany]]&lt;2,"0-1 Years",IF(HR_Data[[#This Row],[YearsAtCompany]]&lt;=5,"2-5 Years",IF(HR_Data[[#This Row],[YearsAtCompany]]&lt;=10,"6-10 Years","10+ Years")))</f>
        <v>6-10 Years</v>
      </c>
      <c r="AO45" s="1" t="str">
        <f>IF(HR_Data[[#This Row],[JobSatisfaction]]=1,"Low",IF(HR_Data[[#This Row],[JobSatisfaction]]=2,"Medium",IF(HR_Data[[#This Row],[JobSatisfaction]]=3,"High","Very High")))</f>
        <v>High</v>
      </c>
      <c r="AP45" s="1" t="str">
        <f>IF(HR_Data[[#This Row],[WorkLifeBalance]]=1,"Bad",IF(HR_Data[[#This Row],[WorkLifeBalance]]=2,"Good",IF(HR_Data[[#This Row],[WorkLifeBalance]]=3,"Better","Best")))</f>
        <v>Better</v>
      </c>
    </row>
    <row r="46" spans="1:42" x14ac:dyDescent="0.3">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c r="AJ46">
        <f>IF(HR_Data[[#This Row],[Attrition]]="Yes",1,0)</f>
        <v>0</v>
      </c>
      <c r="AK46">
        <f>IF(HR_Data[[#This Row],[Attrition]]="No",1,0)</f>
        <v>1</v>
      </c>
      <c r="AL46" t="str">
        <f>IF(HR_Data[[#This Row],[Age]]&lt;25,"Under 25",IF(HR_Data[[#This Row],[Age]]&lt;=34,"25-34",IF(HR_Data[[#This Row],[Age]]&lt;=44,"35-44",IF(HR_Data[[#This Row],[Age]]&lt;=54,"45-54","55+"))))</f>
        <v>25-34</v>
      </c>
      <c r="AM46" s="1" t="str">
        <f>IF(HR_Data[[#This Row],[MonthlyIncome]]&lt;3000,"Low Salary",IF(HR_Data[[#This Row],[MonthlyIncome]]&lt;=7000,"Medium Salary","High Salary"))</f>
        <v>Medium Salary</v>
      </c>
      <c r="AN46" s="1" t="str">
        <f>IF(HR_Data[[#This Row],[YearsAtCompany]]&lt;2,"0-1 Years",IF(HR_Data[[#This Row],[YearsAtCompany]]&lt;=5,"2-5 Years",IF(HR_Data[[#This Row],[YearsAtCompany]]&lt;=10,"6-10 Years","10+ Years")))</f>
        <v>10+ Years</v>
      </c>
      <c r="AO46" s="1" t="str">
        <f>IF(HR_Data[[#This Row],[JobSatisfaction]]=1,"Low",IF(HR_Data[[#This Row],[JobSatisfaction]]=2,"Medium",IF(HR_Data[[#This Row],[JobSatisfaction]]=3,"High","Very High")))</f>
        <v>Very High</v>
      </c>
      <c r="AP46" s="1" t="str">
        <f>IF(HR_Data[[#This Row],[WorkLifeBalance]]=1,"Bad",IF(HR_Data[[#This Row],[WorkLifeBalance]]=2,"Good",IF(HR_Data[[#This Row],[WorkLifeBalance]]=3,"Better","Best")))</f>
        <v>Better</v>
      </c>
    </row>
    <row r="47" spans="1:42" x14ac:dyDescent="0.3">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c r="AJ47">
        <f>IF(HR_Data[[#This Row],[Attrition]]="Yes",1,0)</f>
        <v>1</v>
      </c>
      <c r="AK47">
        <f>IF(HR_Data[[#This Row],[Attrition]]="No",1,0)</f>
        <v>0</v>
      </c>
      <c r="AL47" t="str">
        <f>IF(HR_Data[[#This Row],[Age]]&lt;25,"Under 25",IF(HR_Data[[#This Row],[Age]]&lt;=34,"25-34",IF(HR_Data[[#This Row],[Age]]&lt;=44,"35-44",IF(HR_Data[[#This Row],[Age]]&lt;=54,"45-54","55+"))))</f>
        <v>35-44</v>
      </c>
      <c r="AM47" s="1" t="str">
        <f>IF(HR_Data[[#This Row],[MonthlyIncome]]&lt;3000,"Low Salary",IF(HR_Data[[#This Row],[MonthlyIncome]]&lt;=7000,"Medium Salary","High Salary"))</f>
        <v>High Salary</v>
      </c>
      <c r="AN47" s="1" t="str">
        <f>IF(HR_Data[[#This Row],[YearsAtCompany]]&lt;2,"0-1 Years",IF(HR_Data[[#This Row],[YearsAtCompany]]&lt;=5,"2-5 Years",IF(HR_Data[[#This Row],[YearsAtCompany]]&lt;=10,"6-10 Years","10+ Years")))</f>
        <v>10+ Years</v>
      </c>
      <c r="AO47" s="1" t="str">
        <f>IF(HR_Data[[#This Row],[JobSatisfaction]]=1,"Low",IF(HR_Data[[#This Row],[JobSatisfaction]]=2,"Medium",IF(HR_Data[[#This Row],[JobSatisfaction]]=3,"High","Very High")))</f>
        <v>High</v>
      </c>
      <c r="AP47" s="1" t="str">
        <f>IF(HR_Data[[#This Row],[WorkLifeBalance]]=1,"Bad",IF(HR_Data[[#This Row],[WorkLifeBalance]]=2,"Good",IF(HR_Data[[#This Row],[WorkLifeBalance]]=3,"Better","Best")))</f>
        <v>Better</v>
      </c>
    </row>
    <row r="48" spans="1:42" x14ac:dyDescent="0.3">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c r="AJ48">
        <f>IF(HR_Data[[#This Row],[Attrition]]="Yes",1,0)</f>
        <v>0</v>
      </c>
      <c r="AK48">
        <f>IF(HR_Data[[#This Row],[Attrition]]="No",1,0)</f>
        <v>1</v>
      </c>
      <c r="AL48" t="str">
        <f>IF(HR_Data[[#This Row],[Age]]&lt;25,"Under 25",IF(HR_Data[[#This Row],[Age]]&lt;=34,"25-34",IF(HR_Data[[#This Row],[Age]]&lt;=44,"35-44",IF(HR_Data[[#This Row],[Age]]&lt;=54,"45-54","55+"))))</f>
        <v>25-34</v>
      </c>
      <c r="AM48" s="1" t="str">
        <f>IF(HR_Data[[#This Row],[MonthlyIncome]]&lt;3000,"Low Salary",IF(HR_Data[[#This Row],[MonthlyIncome]]&lt;=7000,"Medium Salary","High Salary"))</f>
        <v>Medium Salary</v>
      </c>
      <c r="AN48" s="1" t="str">
        <f>IF(HR_Data[[#This Row],[YearsAtCompany]]&lt;2,"0-1 Years",IF(HR_Data[[#This Row],[YearsAtCompany]]&lt;=5,"2-5 Years",IF(HR_Data[[#This Row],[YearsAtCompany]]&lt;=10,"6-10 Years","10+ Years")))</f>
        <v>6-10 Years</v>
      </c>
      <c r="AO48" s="1" t="str">
        <f>IF(HR_Data[[#This Row],[JobSatisfaction]]=1,"Low",IF(HR_Data[[#This Row],[JobSatisfaction]]=2,"Medium",IF(HR_Data[[#This Row],[JobSatisfaction]]=3,"High","Very High")))</f>
        <v>High</v>
      </c>
      <c r="AP48" s="1" t="str">
        <f>IF(HR_Data[[#This Row],[WorkLifeBalance]]=1,"Bad",IF(HR_Data[[#This Row],[WorkLifeBalance]]=2,"Good",IF(HR_Data[[#This Row],[WorkLifeBalance]]=3,"Better","Best")))</f>
        <v>Better</v>
      </c>
    </row>
    <row r="49" spans="1:42" x14ac:dyDescent="0.3">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c r="AJ49">
        <f>IF(HR_Data[[#This Row],[Attrition]]="Yes",1,0)</f>
        <v>0</v>
      </c>
      <c r="AK49">
        <f>IF(HR_Data[[#This Row],[Attrition]]="No",1,0)</f>
        <v>1</v>
      </c>
      <c r="AL49" t="str">
        <f>IF(HR_Data[[#This Row],[Age]]&lt;25,"Under 25",IF(HR_Data[[#This Row],[Age]]&lt;=34,"25-34",IF(HR_Data[[#This Row],[Age]]&lt;=44,"35-44",IF(HR_Data[[#This Row],[Age]]&lt;=54,"45-54","55+"))))</f>
        <v>35-44</v>
      </c>
      <c r="AM49" s="1" t="str">
        <f>IF(HR_Data[[#This Row],[MonthlyIncome]]&lt;3000,"Low Salary",IF(HR_Data[[#This Row],[MonthlyIncome]]&lt;=7000,"Medium Salary","High Salary"))</f>
        <v>Medium Salary</v>
      </c>
      <c r="AN49" s="1" t="str">
        <f>IF(HR_Data[[#This Row],[YearsAtCompany]]&lt;2,"0-1 Years",IF(HR_Data[[#This Row],[YearsAtCompany]]&lt;=5,"2-5 Years",IF(HR_Data[[#This Row],[YearsAtCompany]]&lt;=10,"6-10 Years","10+ Years")))</f>
        <v>0-1 Years</v>
      </c>
      <c r="AO49" s="1" t="str">
        <f>IF(HR_Data[[#This Row],[JobSatisfaction]]=1,"Low",IF(HR_Data[[#This Row],[JobSatisfaction]]=2,"Medium",IF(HR_Data[[#This Row],[JobSatisfaction]]=3,"High","Very High")))</f>
        <v>Medium</v>
      </c>
      <c r="AP49" s="1" t="str">
        <f>IF(HR_Data[[#This Row],[WorkLifeBalance]]=1,"Bad",IF(HR_Data[[#This Row],[WorkLifeBalance]]=2,"Good",IF(HR_Data[[#This Row],[WorkLifeBalance]]=3,"Better","Best")))</f>
        <v>Better</v>
      </c>
    </row>
    <row r="50" spans="1:42" x14ac:dyDescent="0.3">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c r="AJ50">
        <f>IF(HR_Data[[#This Row],[Attrition]]="Yes",1,0)</f>
        <v>0</v>
      </c>
      <c r="AK50">
        <f>IF(HR_Data[[#This Row],[Attrition]]="No",1,0)</f>
        <v>1</v>
      </c>
      <c r="AL50" t="str">
        <f>IF(HR_Data[[#This Row],[Age]]&lt;25,"Under 25",IF(HR_Data[[#This Row],[Age]]&lt;=34,"25-34",IF(HR_Data[[#This Row],[Age]]&lt;=44,"35-44",IF(HR_Data[[#This Row],[Age]]&lt;=54,"45-54","55+"))))</f>
        <v>45-54</v>
      </c>
      <c r="AM50" s="1" t="str">
        <f>IF(HR_Data[[#This Row],[MonthlyIncome]]&lt;3000,"Low Salary",IF(HR_Data[[#This Row],[MonthlyIncome]]&lt;=7000,"Medium Salary","High Salary"))</f>
        <v>Medium Salary</v>
      </c>
      <c r="AN50" s="1" t="str">
        <f>IF(HR_Data[[#This Row],[YearsAtCompany]]&lt;2,"0-1 Years",IF(HR_Data[[#This Row],[YearsAtCompany]]&lt;=5,"2-5 Years",IF(HR_Data[[#This Row],[YearsAtCompany]]&lt;=10,"6-10 Years","10+ Years")))</f>
        <v>6-10 Years</v>
      </c>
      <c r="AO50" s="1" t="str">
        <f>IF(HR_Data[[#This Row],[JobSatisfaction]]=1,"Low",IF(HR_Data[[#This Row],[JobSatisfaction]]=2,"Medium",IF(HR_Data[[#This Row],[JobSatisfaction]]=3,"High","Very High")))</f>
        <v>Very High</v>
      </c>
      <c r="AP50" s="1" t="str">
        <f>IF(HR_Data[[#This Row],[WorkLifeBalance]]=1,"Bad",IF(HR_Data[[#This Row],[WorkLifeBalance]]=2,"Good",IF(HR_Data[[#This Row],[WorkLifeBalance]]=3,"Better","Best")))</f>
        <v>Better</v>
      </c>
    </row>
    <row r="51" spans="1:42" x14ac:dyDescent="0.3">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c r="AJ51">
        <f>IF(HR_Data[[#This Row],[Attrition]]="Yes",1,0)</f>
        <v>0</v>
      </c>
      <c r="AK51">
        <f>IF(HR_Data[[#This Row],[Attrition]]="No",1,0)</f>
        <v>1</v>
      </c>
      <c r="AL51" t="str">
        <f>IF(HR_Data[[#This Row],[Age]]&lt;25,"Under 25",IF(HR_Data[[#This Row],[Age]]&lt;=34,"25-34",IF(HR_Data[[#This Row],[Age]]&lt;=44,"35-44",IF(HR_Data[[#This Row],[Age]]&lt;=54,"45-54","55+"))))</f>
        <v>35-44</v>
      </c>
      <c r="AM51" s="1" t="str">
        <f>IF(HR_Data[[#This Row],[MonthlyIncome]]&lt;3000,"Low Salary",IF(HR_Data[[#This Row],[MonthlyIncome]]&lt;=7000,"Medium Salary","High Salary"))</f>
        <v>Low Salary</v>
      </c>
      <c r="AN51" s="1" t="str">
        <f>IF(HR_Data[[#This Row],[YearsAtCompany]]&lt;2,"0-1 Years",IF(HR_Data[[#This Row],[YearsAtCompany]]&lt;=5,"2-5 Years",IF(HR_Data[[#This Row],[YearsAtCompany]]&lt;=10,"6-10 Years","10+ Years")))</f>
        <v>0-1 Years</v>
      </c>
      <c r="AO51" s="1" t="str">
        <f>IF(HR_Data[[#This Row],[JobSatisfaction]]=1,"Low",IF(HR_Data[[#This Row],[JobSatisfaction]]=2,"Medium",IF(HR_Data[[#This Row],[JobSatisfaction]]=3,"High","Very High")))</f>
        <v>Very High</v>
      </c>
      <c r="AP51" s="1" t="str">
        <f>IF(HR_Data[[#This Row],[WorkLifeBalance]]=1,"Bad",IF(HR_Data[[#This Row],[WorkLifeBalance]]=2,"Good",IF(HR_Data[[#This Row],[WorkLifeBalance]]=3,"Better","Best")))</f>
        <v>Better</v>
      </c>
    </row>
    <row r="52" spans="1:42" x14ac:dyDescent="0.3">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c r="AJ52">
        <f>IF(HR_Data[[#This Row],[Attrition]]="Yes",1,0)</f>
        <v>1</v>
      </c>
      <c r="AK52">
        <f>IF(HR_Data[[#This Row],[Attrition]]="No",1,0)</f>
        <v>0</v>
      </c>
      <c r="AL52" t="str">
        <f>IF(HR_Data[[#This Row],[Age]]&lt;25,"Under 25",IF(HR_Data[[#This Row],[Age]]&lt;=34,"25-34",IF(HR_Data[[#This Row],[Age]]&lt;=44,"35-44",IF(HR_Data[[#This Row],[Age]]&lt;=54,"45-54","55+"))))</f>
        <v>45-54</v>
      </c>
      <c r="AM52" s="1" t="str">
        <f>IF(HR_Data[[#This Row],[MonthlyIncome]]&lt;3000,"Low Salary",IF(HR_Data[[#This Row],[MonthlyIncome]]&lt;=7000,"Medium Salary","High Salary"))</f>
        <v>Medium Salary</v>
      </c>
      <c r="AN52" s="1" t="str">
        <f>IF(HR_Data[[#This Row],[YearsAtCompany]]&lt;2,"0-1 Years",IF(HR_Data[[#This Row],[YearsAtCompany]]&lt;=5,"2-5 Years",IF(HR_Data[[#This Row],[YearsAtCompany]]&lt;=10,"6-10 Years","10+ Years")))</f>
        <v>0-1 Years</v>
      </c>
      <c r="AO52" s="1" t="str">
        <f>IF(HR_Data[[#This Row],[JobSatisfaction]]=1,"Low",IF(HR_Data[[#This Row],[JobSatisfaction]]=2,"Medium",IF(HR_Data[[#This Row],[JobSatisfaction]]=3,"High","Very High")))</f>
        <v>High</v>
      </c>
      <c r="AP52" s="1" t="str">
        <f>IF(HR_Data[[#This Row],[WorkLifeBalance]]=1,"Bad",IF(HR_Data[[#This Row],[WorkLifeBalance]]=2,"Good",IF(HR_Data[[#This Row],[WorkLifeBalance]]=3,"Better","Best")))</f>
        <v>Better</v>
      </c>
    </row>
    <row r="53" spans="1:42" x14ac:dyDescent="0.3">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c r="AJ53">
        <f>IF(HR_Data[[#This Row],[Attrition]]="Yes",1,0)</f>
        <v>1</v>
      </c>
      <c r="AK53">
        <f>IF(HR_Data[[#This Row],[Attrition]]="No",1,0)</f>
        <v>0</v>
      </c>
      <c r="AL53" t="str">
        <f>IF(HR_Data[[#This Row],[Age]]&lt;25,"Under 25",IF(HR_Data[[#This Row],[Age]]&lt;=34,"25-34",IF(HR_Data[[#This Row],[Age]]&lt;=44,"35-44",IF(HR_Data[[#This Row],[Age]]&lt;=54,"45-54","55+"))))</f>
        <v>25-34</v>
      </c>
      <c r="AM53" s="1" t="str">
        <f>IF(HR_Data[[#This Row],[MonthlyIncome]]&lt;3000,"Low Salary",IF(HR_Data[[#This Row],[MonthlyIncome]]&lt;=7000,"Medium Salary","High Salary"))</f>
        <v>Medium Salary</v>
      </c>
      <c r="AN53" s="1" t="str">
        <f>IF(HR_Data[[#This Row],[YearsAtCompany]]&lt;2,"0-1 Years",IF(HR_Data[[#This Row],[YearsAtCompany]]&lt;=5,"2-5 Years",IF(HR_Data[[#This Row],[YearsAtCompany]]&lt;=10,"6-10 Years","10+ Years")))</f>
        <v>2-5 Years</v>
      </c>
      <c r="AO53" s="1" t="str">
        <f>IF(HR_Data[[#This Row],[JobSatisfaction]]=1,"Low",IF(HR_Data[[#This Row],[JobSatisfaction]]=2,"Medium",IF(HR_Data[[#This Row],[JobSatisfaction]]=3,"High","Very High")))</f>
        <v>High</v>
      </c>
      <c r="AP53" s="1" t="str">
        <f>IF(HR_Data[[#This Row],[WorkLifeBalance]]=1,"Bad",IF(HR_Data[[#This Row],[WorkLifeBalance]]=2,"Good",IF(HR_Data[[#This Row],[WorkLifeBalance]]=3,"Better","Best")))</f>
        <v>Good</v>
      </c>
    </row>
    <row r="54" spans="1:42" x14ac:dyDescent="0.3">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c r="AJ54">
        <f>IF(HR_Data[[#This Row],[Attrition]]="Yes",1,0)</f>
        <v>0</v>
      </c>
      <c r="AK54">
        <f>IF(HR_Data[[#This Row],[Attrition]]="No",1,0)</f>
        <v>1</v>
      </c>
      <c r="AL54" t="str">
        <f>IF(HR_Data[[#This Row],[Age]]&lt;25,"Under 25",IF(HR_Data[[#This Row],[Age]]&lt;=34,"25-34",IF(HR_Data[[#This Row],[Age]]&lt;=44,"35-44",IF(HR_Data[[#This Row],[Age]]&lt;=54,"45-54","55+"))))</f>
        <v>35-44</v>
      </c>
      <c r="AM54" s="1" t="str">
        <f>IF(HR_Data[[#This Row],[MonthlyIncome]]&lt;3000,"Low Salary",IF(HR_Data[[#This Row],[MonthlyIncome]]&lt;=7000,"Medium Salary","High Salary"))</f>
        <v>Medium Salary</v>
      </c>
      <c r="AN54" s="1" t="str">
        <f>IF(HR_Data[[#This Row],[YearsAtCompany]]&lt;2,"0-1 Years",IF(HR_Data[[#This Row],[YearsAtCompany]]&lt;=5,"2-5 Years",IF(HR_Data[[#This Row],[YearsAtCompany]]&lt;=10,"6-10 Years","10+ Years")))</f>
        <v>2-5 Years</v>
      </c>
      <c r="AO54" s="1" t="str">
        <f>IF(HR_Data[[#This Row],[JobSatisfaction]]=1,"Low",IF(HR_Data[[#This Row],[JobSatisfaction]]=2,"Medium",IF(HR_Data[[#This Row],[JobSatisfaction]]=3,"High","Very High")))</f>
        <v>Low</v>
      </c>
      <c r="AP54" s="1" t="str">
        <f>IF(HR_Data[[#This Row],[WorkLifeBalance]]=1,"Bad",IF(HR_Data[[#This Row],[WorkLifeBalance]]=2,"Good",IF(HR_Data[[#This Row],[WorkLifeBalance]]=3,"Better","Best")))</f>
        <v>Good</v>
      </c>
    </row>
    <row r="55" spans="1:42" x14ac:dyDescent="0.3">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c r="AJ55">
        <f>IF(HR_Data[[#This Row],[Attrition]]="Yes",1,0)</f>
        <v>0</v>
      </c>
      <c r="AK55">
        <f>IF(HR_Data[[#This Row],[Attrition]]="No",1,0)</f>
        <v>1</v>
      </c>
      <c r="AL55" t="str">
        <f>IF(HR_Data[[#This Row],[Age]]&lt;25,"Under 25",IF(HR_Data[[#This Row],[Age]]&lt;=34,"25-34",IF(HR_Data[[#This Row],[Age]]&lt;=44,"35-44",IF(HR_Data[[#This Row],[Age]]&lt;=54,"45-54","55+"))))</f>
        <v>35-44</v>
      </c>
      <c r="AM55" s="1" t="str">
        <f>IF(HR_Data[[#This Row],[MonthlyIncome]]&lt;3000,"Low Salary",IF(HR_Data[[#This Row],[MonthlyIncome]]&lt;=7000,"Medium Salary","High Salary"))</f>
        <v>High Salary</v>
      </c>
      <c r="AN55" s="1" t="str">
        <f>IF(HR_Data[[#This Row],[YearsAtCompany]]&lt;2,"0-1 Years",IF(HR_Data[[#This Row],[YearsAtCompany]]&lt;=5,"2-5 Years",IF(HR_Data[[#This Row],[YearsAtCompany]]&lt;=10,"6-10 Years","10+ Years")))</f>
        <v>2-5 Years</v>
      </c>
      <c r="AO55" s="1" t="str">
        <f>IF(HR_Data[[#This Row],[JobSatisfaction]]=1,"Low",IF(HR_Data[[#This Row],[JobSatisfaction]]=2,"Medium",IF(HR_Data[[#This Row],[JobSatisfaction]]=3,"High","Very High")))</f>
        <v>Low</v>
      </c>
      <c r="AP55" s="1" t="str">
        <f>IF(HR_Data[[#This Row],[WorkLifeBalance]]=1,"Bad",IF(HR_Data[[#This Row],[WorkLifeBalance]]=2,"Good",IF(HR_Data[[#This Row],[WorkLifeBalance]]=3,"Better","Best")))</f>
        <v>Better</v>
      </c>
    </row>
    <row r="56" spans="1:42" x14ac:dyDescent="0.3">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c r="AJ56">
        <f>IF(HR_Data[[#This Row],[Attrition]]="Yes",1,0)</f>
        <v>0</v>
      </c>
      <c r="AK56">
        <f>IF(HR_Data[[#This Row],[Attrition]]="No",1,0)</f>
        <v>1</v>
      </c>
      <c r="AL56" t="str">
        <f>IF(HR_Data[[#This Row],[Age]]&lt;25,"Under 25",IF(HR_Data[[#This Row],[Age]]&lt;=34,"25-34",IF(HR_Data[[#This Row],[Age]]&lt;=44,"35-44",IF(HR_Data[[#This Row],[Age]]&lt;=54,"45-54","55+"))))</f>
        <v>25-34</v>
      </c>
      <c r="AM56" s="1" t="str">
        <f>IF(HR_Data[[#This Row],[MonthlyIncome]]&lt;3000,"Low Salary",IF(HR_Data[[#This Row],[MonthlyIncome]]&lt;=7000,"Medium Salary","High Salary"))</f>
        <v>Medium Salary</v>
      </c>
      <c r="AN56" s="1" t="str">
        <f>IF(HR_Data[[#This Row],[YearsAtCompany]]&lt;2,"0-1 Years",IF(HR_Data[[#This Row],[YearsAtCompany]]&lt;=5,"2-5 Years",IF(HR_Data[[#This Row],[YearsAtCompany]]&lt;=10,"6-10 Years","10+ Years")))</f>
        <v>2-5 Years</v>
      </c>
      <c r="AO56" s="1" t="str">
        <f>IF(HR_Data[[#This Row],[JobSatisfaction]]=1,"Low",IF(HR_Data[[#This Row],[JobSatisfaction]]=2,"Medium",IF(HR_Data[[#This Row],[JobSatisfaction]]=3,"High","Very High")))</f>
        <v>Very High</v>
      </c>
      <c r="AP56" s="1" t="str">
        <f>IF(HR_Data[[#This Row],[WorkLifeBalance]]=1,"Bad",IF(HR_Data[[#This Row],[WorkLifeBalance]]=2,"Good",IF(HR_Data[[#This Row],[WorkLifeBalance]]=3,"Better","Best")))</f>
        <v>Good</v>
      </c>
    </row>
    <row r="57" spans="1:42" x14ac:dyDescent="0.3">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c r="AJ57">
        <f>IF(HR_Data[[#This Row],[Attrition]]="Yes",1,0)</f>
        <v>0</v>
      </c>
      <c r="AK57">
        <f>IF(HR_Data[[#This Row],[Attrition]]="No",1,0)</f>
        <v>1</v>
      </c>
      <c r="AL57" t="str">
        <f>IF(HR_Data[[#This Row],[Age]]&lt;25,"Under 25",IF(HR_Data[[#This Row],[Age]]&lt;=34,"25-34",IF(HR_Data[[#This Row],[Age]]&lt;=44,"35-44",IF(HR_Data[[#This Row],[Age]]&lt;=54,"45-54","55+"))))</f>
        <v>25-34</v>
      </c>
      <c r="AM57" s="1" t="str">
        <f>IF(HR_Data[[#This Row],[MonthlyIncome]]&lt;3000,"Low Salary",IF(HR_Data[[#This Row],[MonthlyIncome]]&lt;=7000,"Medium Salary","High Salary"))</f>
        <v>High Salary</v>
      </c>
      <c r="AN57" s="1" t="str">
        <f>IF(HR_Data[[#This Row],[YearsAtCompany]]&lt;2,"0-1 Years",IF(HR_Data[[#This Row],[YearsAtCompany]]&lt;=5,"2-5 Years",IF(HR_Data[[#This Row],[YearsAtCompany]]&lt;=10,"6-10 Years","10+ Years")))</f>
        <v>10+ Years</v>
      </c>
      <c r="AO57" s="1" t="str">
        <f>IF(HR_Data[[#This Row],[JobSatisfaction]]=1,"Low",IF(HR_Data[[#This Row],[JobSatisfaction]]=2,"Medium",IF(HR_Data[[#This Row],[JobSatisfaction]]=3,"High","Very High")))</f>
        <v>Very High</v>
      </c>
      <c r="AP57" s="1" t="str">
        <f>IF(HR_Data[[#This Row],[WorkLifeBalance]]=1,"Bad",IF(HR_Data[[#This Row],[WorkLifeBalance]]=2,"Good",IF(HR_Data[[#This Row],[WorkLifeBalance]]=3,"Better","Best")))</f>
        <v>Better</v>
      </c>
    </row>
    <row r="58" spans="1:42" x14ac:dyDescent="0.3">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c r="AJ58">
        <f>IF(HR_Data[[#This Row],[Attrition]]="Yes",1,0)</f>
        <v>0</v>
      </c>
      <c r="AK58">
        <f>IF(HR_Data[[#This Row],[Attrition]]="No",1,0)</f>
        <v>1</v>
      </c>
      <c r="AL58" t="str">
        <f>IF(HR_Data[[#This Row],[Age]]&lt;25,"Under 25",IF(HR_Data[[#This Row],[Age]]&lt;=34,"25-34",IF(HR_Data[[#This Row],[Age]]&lt;=44,"35-44",IF(HR_Data[[#This Row],[Age]]&lt;=54,"45-54","55+"))))</f>
        <v>35-44</v>
      </c>
      <c r="AM58" s="1" t="str">
        <f>IF(HR_Data[[#This Row],[MonthlyIncome]]&lt;3000,"Low Salary",IF(HR_Data[[#This Row],[MonthlyIncome]]&lt;=7000,"Medium Salary","High Salary"))</f>
        <v>High Salary</v>
      </c>
      <c r="AN58" s="1" t="str">
        <f>IF(HR_Data[[#This Row],[YearsAtCompany]]&lt;2,"0-1 Years",IF(HR_Data[[#This Row],[YearsAtCompany]]&lt;=5,"2-5 Years",IF(HR_Data[[#This Row],[YearsAtCompany]]&lt;=10,"6-10 Years","10+ Years")))</f>
        <v>6-10 Years</v>
      </c>
      <c r="AO58" s="1" t="str">
        <f>IF(HR_Data[[#This Row],[JobSatisfaction]]=1,"Low",IF(HR_Data[[#This Row],[JobSatisfaction]]=2,"Medium",IF(HR_Data[[#This Row],[JobSatisfaction]]=3,"High","Very High")))</f>
        <v>Low</v>
      </c>
      <c r="AP58" s="1" t="str">
        <f>IF(HR_Data[[#This Row],[WorkLifeBalance]]=1,"Bad",IF(HR_Data[[#This Row],[WorkLifeBalance]]=2,"Good",IF(HR_Data[[#This Row],[WorkLifeBalance]]=3,"Better","Best")))</f>
        <v>Good</v>
      </c>
    </row>
    <row r="59" spans="1:42" x14ac:dyDescent="0.3">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c r="AJ59">
        <f>IF(HR_Data[[#This Row],[Attrition]]="Yes",1,0)</f>
        <v>0</v>
      </c>
      <c r="AK59">
        <f>IF(HR_Data[[#This Row],[Attrition]]="No",1,0)</f>
        <v>1</v>
      </c>
      <c r="AL59" t="str">
        <f>IF(HR_Data[[#This Row],[Age]]&lt;25,"Under 25",IF(HR_Data[[#This Row],[Age]]&lt;=34,"25-34",IF(HR_Data[[#This Row],[Age]]&lt;=44,"35-44",IF(HR_Data[[#This Row],[Age]]&lt;=54,"45-54","55+"))))</f>
        <v>35-44</v>
      </c>
      <c r="AM59" s="1" t="str">
        <f>IF(HR_Data[[#This Row],[MonthlyIncome]]&lt;3000,"Low Salary",IF(HR_Data[[#This Row],[MonthlyIncome]]&lt;=7000,"Medium Salary","High Salary"))</f>
        <v>Medium Salary</v>
      </c>
      <c r="AN59" s="1" t="str">
        <f>IF(HR_Data[[#This Row],[YearsAtCompany]]&lt;2,"0-1 Years",IF(HR_Data[[#This Row],[YearsAtCompany]]&lt;=5,"2-5 Years",IF(HR_Data[[#This Row],[YearsAtCompany]]&lt;=10,"6-10 Years","10+ Years")))</f>
        <v>2-5 Years</v>
      </c>
      <c r="AO59" s="1" t="str">
        <f>IF(HR_Data[[#This Row],[JobSatisfaction]]=1,"Low",IF(HR_Data[[#This Row],[JobSatisfaction]]=2,"Medium",IF(HR_Data[[#This Row],[JobSatisfaction]]=3,"High","Very High")))</f>
        <v>Low</v>
      </c>
      <c r="AP59" s="1" t="str">
        <f>IF(HR_Data[[#This Row],[WorkLifeBalance]]=1,"Bad",IF(HR_Data[[#This Row],[WorkLifeBalance]]=2,"Good",IF(HR_Data[[#This Row],[WorkLifeBalance]]=3,"Better","Best")))</f>
        <v>Better</v>
      </c>
    </row>
    <row r="60" spans="1:42" x14ac:dyDescent="0.3">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c r="AJ60">
        <f>IF(HR_Data[[#This Row],[Attrition]]="Yes",1,0)</f>
        <v>0</v>
      </c>
      <c r="AK60">
        <f>IF(HR_Data[[#This Row],[Attrition]]="No",1,0)</f>
        <v>1</v>
      </c>
      <c r="AL60" t="str">
        <f>IF(HR_Data[[#This Row],[Age]]&lt;25,"Under 25",IF(HR_Data[[#This Row],[Age]]&lt;=34,"25-34",IF(HR_Data[[#This Row],[Age]]&lt;=44,"35-44",IF(HR_Data[[#This Row],[Age]]&lt;=54,"45-54","55+"))))</f>
        <v>25-34</v>
      </c>
      <c r="AM60" s="1" t="str">
        <f>IF(HR_Data[[#This Row],[MonthlyIncome]]&lt;3000,"Low Salary",IF(HR_Data[[#This Row],[MonthlyIncome]]&lt;=7000,"Medium Salary","High Salary"))</f>
        <v>Medium Salary</v>
      </c>
      <c r="AN60" s="1" t="str">
        <f>IF(HR_Data[[#This Row],[YearsAtCompany]]&lt;2,"0-1 Years",IF(HR_Data[[#This Row],[YearsAtCompany]]&lt;=5,"2-5 Years",IF(HR_Data[[#This Row],[YearsAtCompany]]&lt;=10,"6-10 Years","10+ Years")))</f>
        <v>6-10 Years</v>
      </c>
      <c r="AO60" s="1" t="str">
        <f>IF(HR_Data[[#This Row],[JobSatisfaction]]=1,"Low",IF(HR_Data[[#This Row],[JobSatisfaction]]=2,"Medium",IF(HR_Data[[#This Row],[JobSatisfaction]]=3,"High","Very High")))</f>
        <v>Very High</v>
      </c>
      <c r="AP60" s="1" t="str">
        <f>IF(HR_Data[[#This Row],[WorkLifeBalance]]=1,"Bad",IF(HR_Data[[#This Row],[WorkLifeBalance]]=2,"Good",IF(HR_Data[[#This Row],[WorkLifeBalance]]=3,"Better","Best")))</f>
        <v>Good</v>
      </c>
    </row>
    <row r="61" spans="1:42" x14ac:dyDescent="0.3">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c r="AJ61">
        <f>IF(HR_Data[[#This Row],[Attrition]]="Yes",1,0)</f>
        <v>0</v>
      </c>
      <c r="AK61">
        <f>IF(HR_Data[[#This Row],[Attrition]]="No",1,0)</f>
        <v>1</v>
      </c>
      <c r="AL61" t="str">
        <f>IF(HR_Data[[#This Row],[Age]]&lt;25,"Under 25",IF(HR_Data[[#This Row],[Age]]&lt;=34,"25-34",IF(HR_Data[[#This Row],[Age]]&lt;=44,"35-44",IF(HR_Data[[#This Row],[Age]]&lt;=54,"45-54","55+"))))</f>
        <v>35-44</v>
      </c>
      <c r="AM61" s="1" t="str">
        <f>IF(HR_Data[[#This Row],[MonthlyIncome]]&lt;3000,"Low Salary",IF(HR_Data[[#This Row],[MonthlyIncome]]&lt;=7000,"Medium Salary","High Salary"))</f>
        <v>Medium Salary</v>
      </c>
      <c r="AN61" s="1" t="str">
        <f>IF(HR_Data[[#This Row],[YearsAtCompany]]&lt;2,"0-1 Years",IF(HR_Data[[#This Row],[YearsAtCompany]]&lt;=5,"2-5 Years",IF(HR_Data[[#This Row],[YearsAtCompany]]&lt;=10,"6-10 Years","10+ Years")))</f>
        <v>6-10 Years</v>
      </c>
      <c r="AO61" s="1" t="str">
        <f>IF(HR_Data[[#This Row],[JobSatisfaction]]=1,"Low",IF(HR_Data[[#This Row],[JobSatisfaction]]=2,"Medium",IF(HR_Data[[#This Row],[JobSatisfaction]]=3,"High","Very High")))</f>
        <v>High</v>
      </c>
      <c r="AP61" s="1" t="str">
        <f>IF(HR_Data[[#This Row],[WorkLifeBalance]]=1,"Bad",IF(HR_Data[[#This Row],[WorkLifeBalance]]=2,"Good",IF(HR_Data[[#This Row],[WorkLifeBalance]]=3,"Better","Best")))</f>
        <v>Best</v>
      </c>
    </row>
    <row r="62" spans="1:42" x14ac:dyDescent="0.3">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c r="AJ62">
        <f>IF(HR_Data[[#This Row],[Attrition]]="Yes",1,0)</f>
        <v>0</v>
      </c>
      <c r="AK62">
        <f>IF(HR_Data[[#This Row],[Attrition]]="No",1,0)</f>
        <v>1</v>
      </c>
      <c r="AL62" t="str">
        <f>IF(HR_Data[[#This Row],[Age]]&lt;25,"Under 25",IF(HR_Data[[#This Row],[Age]]&lt;=34,"25-34",IF(HR_Data[[#This Row],[Age]]&lt;=44,"35-44",IF(HR_Data[[#This Row],[Age]]&lt;=54,"45-54","55+"))))</f>
        <v>25-34</v>
      </c>
      <c r="AM62" s="1" t="str">
        <f>IF(HR_Data[[#This Row],[MonthlyIncome]]&lt;3000,"Low Salary",IF(HR_Data[[#This Row],[MonthlyIncome]]&lt;=7000,"Medium Salary","High Salary"))</f>
        <v>Medium Salary</v>
      </c>
      <c r="AN62" s="1" t="str">
        <f>IF(HR_Data[[#This Row],[YearsAtCompany]]&lt;2,"0-1 Years",IF(HR_Data[[#This Row],[YearsAtCompany]]&lt;=5,"2-5 Years",IF(HR_Data[[#This Row],[YearsAtCompany]]&lt;=10,"6-10 Years","10+ Years")))</f>
        <v>6-10 Years</v>
      </c>
      <c r="AO62" s="1" t="str">
        <f>IF(HR_Data[[#This Row],[JobSatisfaction]]=1,"Low",IF(HR_Data[[#This Row],[JobSatisfaction]]=2,"Medium",IF(HR_Data[[#This Row],[JobSatisfaction]]=3,"High","Very High")))</f>
        <v>Very High</v>
      </c>
      <c r="AP62" s="1" t="str">
        <f>IF(HR_Data[[#This Row],[WorkLifeBalance]]=1,"Bad",IF(HR_Data[[#This Row],[WorkLifeBalance]]=2,"Good",IF(HR_Data[[#This Row],[WorkLifeBalance]]=3,"Better","Best")))</f>
        <v>Better</v>
      </c>
    </row>
    <row r="63" spans="1:42" x14ac:dyDescent="0.3">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c r="AJ63">
        <f>IF(HR_Data[[#This Row],[Attrition]]="Yes",1,0)</f>
        <v>0</v>
      </c>
      <c r="AK63">
        <f>IF(HR_Data[[#This Row],[Attrition]]="No",1,0)</f>
        <v>1</v>
      </c>
      <c r="AL63" t="str">
        <f>IF(HR_Data[[#This Row],[Age]]&lt;25,"Under 25",IF(HR_Data[[#This Row],[Age]]&lt;=34,"25-34",IF(HR_Data[[#This Row],[Age]]&lt;=44,"35-44",IF(HR_Data[[#This Row],[Age]]&lt;=54,"45-54","55+"))))</f>
        <v>35-44</v>
      </c>
      <c r="AM63" s="1" t="str">
        <f>IF(HR_Data[[#This Row],[MonthlyIncome]]&lt;3000,"Low Salary",IF(HR_Data[[#This Row],[MonthlyIncome]]&lt;=7000,"Medium Salary","High Salary"))</f>
        <v>Low Salary</v>
      </c>
      <c r="AN63" s="1" t="str">
        <f>IF(HR_Data[[#This Row],[YearsAtCompany]]&lt;2,"0-1 Years",IF(HR_Data[[#This Row],[YearsAtCompany]]&lt;=5,"2-5 Years",IF(HR_Data[[#This Row],[YearsAtCompany]]&lt;=10,"6-10 Years","10+ Years")))</f>
        <v>6-10 Years</v>
      </c>
      <c r="AO63" s="1" t="str">
        <f>IF(HR_Data[[#This Row],[JobSatisfaction]]=1,"Low",IF(HR_Data[[#This Row],[JobSatisfaction]]=2,"Medium",IF(HR_Data[[#This Row],[JobSatisfaction]]=3,"High","Very High")))</f>
        <v>Very High</v>
      </c>
      <c r="AP63" s="1" t="str">
        <f>IF(HR_Data[[#This Row],[WorkLifeBalance]]=1,"Bad",IF(HR_Data[[#This Row],[WorkLifeBalance]]=2,"Good",IF(HR_Data[[#This Row],[WorkLifeBalance]]=3,"Better","Best")))</f>
        <v>Better</v>
      </c>
    </row>
    <row r="64" spans="1:42" x14ac:dyDescent="0.3">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c r="AJ64">
        <f>IF(HR_Data[[#This Row],[Attrition]]="Yes",1,0)</f>
        <v>0</v>
      </c>
      <c r="AK64">
        <f>IF(HR_Data[[#This Row],[Attrition]]="No",1,0)</f>
        <v>1</v>
      </c>
      <c r="AL64" t="str">
        <f>IF(HR_Data[[#This Row],[Age]]&lt;25,"Under 25",IF(HR_Data[[#This Row],[Age]]&lt;=34,"25-34",IF(HR_Data[[#This Row],[Age]]&lt;=44,"35-44",IF(HR_Data[[#This Row],[Age]]&lt;=54,"45-54","55+"))))</f>
        <v>45-54</v>
      </c>
      <c r="AM64" s="1" t="str">
        <f>IF(HR_Data[[#This Row],[MonthlyIncome]]&lt;3000,"Low Salary",IF(HR_Data[[#This Row],[MonthlyIncome]]&lt;=7000,"Medium Salary","High Salary"))</f>
        <v>High Salary</v>
      </c>
      <c r="AN64" s="1" t="str">
        <f>IF(HR_Data[[#This Row],[YearsAtCompany]]&lt;2,"0-1 Years",IF(HR_Data[[#This Row],[YearsAtCompany]]&lt;=5,"2-5 Years",IF(HR_Data[[#This Row],[YearsAtCompany]]&lt;=10,"6-10 Years","10+ Years")))</f>
        <v>10+ Years</v>
      </c>
      <c r="AO64" s="1" t="str">
        <f>IF(HR_Data[[#This Row],[JobSatisfaction]]=1,"Low",IF(HR_Data[[#This Row],[JobSatisfaction]]=2,"Medium",IF(HR_Data[[#This Row],[JobSatisfaction]]=3,"High","Very High")))</f>
        <v>High</v>
      </c>
      <c r="AP64" s="1" t="str">
        <f>IF(HR_Data[[#This Row],[WorkLifeBalance]]=1,"Bad",IF(HR_Data[[#This Row],[WorkLifeBalance]]=2,"Good",IF(HR_Data[[#This Row],[WorkLifeBalance]]=3,"Better","Best")))</f>
        <v>Good</v>
      </c>
    </row>
    <row r="65" spans="1:42" x14ac:dyDescent="0.3">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c r="AJ65">
        <f>IF(HR_Data[[#This Row],[Attrition]]="Yes",1,0)</f>
        <v>0</v>
      </c>
      <c r="AK65">
        <f>IF(HR_Data[[#This Row],[Attrition]]="No",1,0)</f>
        <v>1</v>
      </c>
      <c r="AL65" t="str">
        <f>IF(HR_Data[[#This Row],[Age]]&lt;25,"Under 25",IF(HR_Data[[#This Row],[Age]]&lt;=34,"25-34",IF(HR_Data[[#This Row],[Age]]&lt;=44,"35-44",IF(HR_Data[[#This Row],[Age]]&lt;=54,"45-54","55+"))))</f>
        <v>55+</v>
      </c>
      <c r="AM65" s="1" t="str">
        <f>IF(HR_Data[[#This Row],[MonthlyIncome]]&lt;3000,"Low Salary",IF(HR_Data[[#This Row],[MonthlyIncome]]&lt;=7000,"Medium Salary","High Salary"))</f>
        <v>High Salary</v>
      </c>
      <c r="AN65" s="1" t="str">
        <f>IF(HR_Data[[#This Row],[YearsAtCompany]]&lt;2,"0-1 Years",IF(HR_Data[[#This Row],[YearsAtCompany]]&lt;=5,"2-5 Years",IF(HR_Data[[#This Row],[YearsAtCompany]]&lt;=10,"6-10 Years","10+ Years")))</f>
        <v>10+ Years</v>
      </c>
      <c r="AO65" s="1" t="str">
        <f>IF(HR_Data[[#This Row],[JobSatisfaction]]=1,"Low",IF(HR_Data[[#This Row],[JobSatisfaction]]=2,"Medium",IF(HR_Data[[#This Row],[JobSatisfaction]]=3,"High","Very High")))</f>
        <v>Low</v>
      </c>
      <c r="AP65" s="1" t="str">
        <f>IF(HR_Data[[#This Row],[WorkLifeBalance]]=1,"Bad",IF(HR_Data[[#This Row],[WorkLifeBalance]]=2,"Good",IF(HR_Data[[#This Row],[WorkLifeBalance]]=3,"Better","Best")))</f>
        <v>Good</v>
      </c>
    </row>
    <row r="66" spans="1:42" x14ac:dyDescent="0.3">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c r="AJ66">
        <f>IF(HR_Data[[#This Row],[Attrition]]="Yes",1,0)</f>
        <v>0</v>
      </c>
      <c r="AK66">
        <f>IF(HR_Data[[#This Row],[Attrition]]="No",1,0)</f>
        <v>1</v>
      </c>
      <c r="AL66" t="str">
        <f>IF(HR_Data[[#This Row],[Age]]&lt;25,"Under 25",IF(HR_Data[[#This Row],[Age]]&lt;=34,"25-34",IF(HR_Data[[#This Row],[Age]]&lt;=44,"35-44",IF(HR_Data[[#This Row],[Age]]&lt;=54,"45-54","55+"))))</f>
        <v>35-44</v>
      </c>
      <c r="AM66" s="1" t="str">
        <f>IF(HR_Data[[#This Row],[MonthlyIncome]]&lt;3000,"Low Salary",IF(HR_Data[[#This Row],[MonthlyIncome]]&lt;=7000,"Medium Salary","High Salary"))</f>
        <v>High Salary</v>
      </c>
      <c r="AN66" s="1" t="str">
        <f>IF(HR_Data[[#This Row],[YearsAtCompany]]&lt;2,"0-1 Years",IF(HR_Data[[#This Row],[YearsAtCompany]]&lt;=5,"2-5 Years",IF(HR_Data[[#This Row],[YearsAtCompany]]&lt;=10,"6-10 Years","10+ Years")))</f>
        <v>10+ Years</v>
      </c>
      <c r="AO66" s="1" t="str">
        <f>IF(HR_Data[[#This Row],[JobSatisfaction]]=1,"Low",IF(HR_Data[[#This Row],[JobSatisfaction]]=2,"Medium",IF(HR_Data[[#This Row],[JobSatisfaction]]=3,"High","Very High")))</f>
        <v>High</v>
      </c>
      <c r="AP66" s="1" t="str">
        <f>IF(HR_Data[[#This Row],[WorkLifeBalance]]=1,"Bad",IF(HR_Data[[#This Row],[WorkLifeBalance]]=2,"Good",IF(HR_Data[[#This Row],[WorkLifeBalance]]=3,"Better","Best")))</f>
        <v>Better</v>
      </c>
    </row>
    <row r="67" spans="1:42" x14ac:dyDescent="0.3">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c r="AJ67">
        <f>IF(HR_Data[[#This Row],[Attrition]]="Yes",1,0)</f>
        <v>0</v>
      </c>
      <c r="AK67">
        <f>IF(HR_Data[[#This Row],[Attrition]]="No",1,0)</f>
        <v>1</v>
      </c>
      <c r="AL67" t="str">
        <f>IF(HR_Data[[#This Row],[Age]]&lt;25,"Under 25",IF(HR_Data[[#This Row],[Age]]&lt;=34,"25-34",IF(HR_Data[[#This Row],[Age]]&lt;=44,"35-44",IF(HR_Data[[#This Row],[Age]]&lt;=54,"45-54","55+"))))</f>
        <v>55+</v>
      </c>
      <c r="AM67" s="1" t="str">
        <f>IF(HR_Data[[#This Row],[MonthlyIncome]]&lt;3000,"Low Salary",IF(HR_Data[[#This Row],[MonthlyIncome]]&lt;=7000,"Medium Salary","High Salary"))</f>
        <v>High Salary</v>
      </c>
      <c r="AN67" s="1" t="str">
        <f>IF(HR_Data[[#This Row],[YearsAtCompany]]&lt;2,"0-1 Years",IF(HR_Data[[#This Row],[YearsAtCompany]]&lt;=5,"2-5 Years",IF(HR_Data[[#This Row],[YearsAtCompany]]&lt;=10,"6-10 Years","10+ Years")))</f>
        <v>2-5 Years</v>
      </c>
      <c r="AO67" s="1" t="str">
        <f>IF(HR_Data[[#This Row],[JobSatisfaction]]=1,"Low",IF(HR_Data[[#This Row],[JobSatisfaction]]=2,"Medium",IF(HR_Data[[#This Row],[JobSatisfaction]]=3,"High","Very High")))</f>
        <v>High</v>
      </c>
      <c r="AP67" s="1" t="str">
        <f>IF(HR_Data[[#This Row],[WorkLifeBalance]]=1,"Bad",IF(HR_Data[[#This Row],[WorkLifeBalance]]=2,"Good",IF(HR_Data[[#This Row],[WorkLifeBalance]]=3,"Better","Best")))</f>
        <v>Better</v>
      </c>
    </row>
    <row r="68" spans="1:42" x14ac:dyDescent="0.3">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c r="AJ68">
        <f>IF(HR_Data[[#This Row],[Attrition]]="Yes",1,0)</f>
        <v>0</v>
      </c>
      <c r="AK68">
        <f>IF(HR_Data[[#This Row],[Attrition]]="No",1,0)</f>
        <v>1</v>
      </c>
      <c r="AL68" t="str">
        <f>IF(HR_Data[[#This Row],[Age]]&lt;25,"Under 25",IF(HR_Data[[#This Row],[Age]]&lt;=34,"25-34",IF(HR_Data[[#This Row],[Age]]&lt;=44,"35-44",IF(HR_Data[[#This Row],[Age]]&lt;=54,"45-54","55+"))))</f>
        <v>35-44</v>
      </c>
      <c r="AM68" s="1" t="str">
        <f>IF(HR_Data[[#This Row],[MonthlyIncome]]&lt;3000,"Low Salary",IF(HR_Data[[#This Row],[MonthlyIncome]]&lt;=7000,"Medium Salary","High Salary"))</f>
        <v>Medium Salary</v>
      </c>
      <c r="AN68" s="1" t="str">
        <f>IF(HR_Data[[#This Row],[YearsAtCompany]]&lt;2,"0-1 Years",IF(HR_Data[[#This Row],[YearsAtCompany]]&lt;=5,"2-5 Years",IF(HR_Data[[#This Row],[YearsAtCompany]]&lt;=10,"6-10 Years","10+ Years")))</f>
        <v>6-10 Years</v>
      </c>
      <c r="AO68" s="1" t="str">
        <f>IF(HR_Data[[#This Row],[JobSatisfaction]]=1,"Low",IF(HR_Data[[#This Row],[JobSatisfaction]]=2,"Medium",IF(HR_Data[[#This Row],[JobSatisfaction]]=3,"High","Very High")))</f>
        <v>Medium</v>
      </c>
      <c r="AP68" s="1" t="str">
        <f>IF(HR_Data[[#This Row],[WorkLifeBalance]]=1,"Bad",IF(HR_Data[[#This Row],[WorkLifeBalance]]=2,"Good",IF(HR_Data[[#This Row],[WorkLifeBalance]]=3,"Better","Best")))</f>
        <v>Better</v>
      </c>
    </row>
    <row r="69" spans="1:42" x14ac:dyDescent="0.3">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c r="AJ69">
        <f>IF(HR_Data[[#This Row],[Attrition]]="Yes",1,0)</f>
        <v>0</v>
      </c>
      <c r="AK69">
        <f>IF(HR_Data[[#This Row],[Attrition]]="No",1,0)</f>
        <v>1</v>
      </c>
      <c r="AL69" t="str">
        <f>IF(HR_Data[[#This Row],[Age]]&lt;25,"Under 25",IF(HR_Data[[#This Row],[Age]]&lt;=34,"25-34",IF(HR_Data[[#This Row],[Age]]&lt;=44,"35-44",IF(HR_Data[[#This Row],[Age]]&lt;=54,"45-54","55+"))))</f>
        <v>45-54</v>
      </c>
      <c r="AM69" s="1" t="str">
        <f>IF(HR_Data[[#This Row],[MonthlyIncome]]&lt;3000,"Low Salary",IF(HR_Data[[#This Row],[MonthlyIncome]]&lt;=7000,"Medium Salary","High Salary"))</f>
        <v>High Salary</v>
      </c>
      <c r="AN69" s="1" t="str">
        <f>IF(HR_Data[[#This Row],[YearsAtCompany]]&lt;2,"0-1 Years",IF(HR_Data[[#This Row],[YearsAtCompany]]&lt;=5,"2-5 Years",IF(HR_Data[[#This Row],[YearsAtCompany]]&lt;=10,"6-10 Years","10+ Years")))</f>
        <v>0-1 Years</v>
      </c>
      <c r="AO69" s="1" t="str">
        <f>IF(HR_Data[[#This Row],[JobSatisfaction]]=1,"Low",IF(HR_Data[[#This Row],[JobSatisfaction]]=2,"Medium",IF(HR_Data[[#This Row],[JobSatisfaction]]=3,"High","Very High")))</f>
        <v>Low</v>
      </c>
      <c r="AP69" s="1" t="str">
        <f>IF(HR_Data[[#This Row],[WorkLifeBalance]]=1,"Bad",IF(HR_Data[[#This Row],[WorkLifeBalance]]=2,"Good",IF(HR_Data[[#This Row],[WorkLifeBalance]]=3,"Better","Best")))</f>
        <v>Better</v>
      </c>
    </row>
    <row r="70" spans="1:42" x14ac:dyDescent="0.3">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c r="AJ70">
        <f>IF(HR_Data[[#This Row],[Attrition]]="Yes",1,0)</f>
        <v>0</v>
      </c>
      <c r="AK70">
        <f>IF(HR_Data[[#This Row],[Attrition]]="No",1,0)</f>
        <v>1</v>
      </c>
      <c r="AL70" t="str">
        <f>IF(HR_Data[[#This Row],[Age]]&lt;25,"Under 25",IF(HR_Data[[#This Row],[Age]]&lt;=34,"25-34",IF(HR_Data[[#This Row],[Age]]&lt;=44,"35-44",IF(HR_Data[[#This Row],[Age]]&lt;=54,"45-54","55+"))))</f>
        <v>35-44</v>
      </c>
      <c r="AM70" s="1" t="str">
        <f>IF(HR_Data[[#This Row],[MonthlyIncome]]&lt;3000,"Low Salary",IF(HR_Data[[#This Row],[MonthlyIncome]]&lt;=7000,"Medium Salary","High Salary"))</f>
        <v>Low Salary</v>
      </c>
      <c r="AN70" s="1" t="str">
        <f>IF(HR_Data[[#This Row],[YearsAtCompany]]&lt;2,"0-1 Years",IF(HR_Data[[#This Row],[YearsAtCompany]]&lt;=5,"2-5 Years",IF(HR_Data[[#This Row],[YearsAtCompany]]&lt;=10,"6-10 Years","10+ Years")))</f>
        <v>2-5 Years</v>
      </c>
      <c r="AO70" s="1" t="str">
        <f>IF(HR_Data[[#This Row],[JobSatisfaction]]=1,"Low",IF(HR_Data[[#This Row],[JobSatisfaction]]=2,"Medium",IF(HR_Data[[#This Row],[JobSatisfaction]]=3,"High","Very High")))</f>
        <v>Low</v>
      </c>
      <c r="AP70" s="1" t="str">
        <f>IF(HR_Data[[#This Row],[WorkLifeBalance]]=1,"Bad",IF(HR_Data[[#This Row],[WorkLifeBalance]]=2,"Good",IF(HR_Data[[#This Row],[WorkLifeBalance]]=3,"Better","Best")))</f>
        <v>Good</v>
      </c>
    </row>
    <row r="71" spans="1:42" x14ac:dyDescent="0.3">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c r="AJ71">
        <f>IF(HR_Data[[#This Row],[Attrition]]="Yes",1,0)</f>
        <v>1</v>
      </c>
      <c r="AK71">
        <f>IF(HR_Data[[#This Row],[Attrition]]="No",1,0)</f>
        <v>0</v>
      </c>
      <c r="AL71" t="str">
        <f>IF(HR_Data[[#This Row],[Age]]&lt;25,"Under 25",IF(HR_Data[[#This Row],[Age]]&lt;=34,"25-34",IF(HR_Data[[#This Row],[Age]]&lt;=44,"35-44",IF(HR_Data[[#This Row],[Age]]&lt;=54,"45-54","55+"))))</f>
        <v>35-44</v>
      </c>
      <c r="AM71" s="1" t="str">
        <f>IF(HR_Data[[#This Row],[MonthlyIncome]]&lt;3000,"Low Salary",IF(HR_Data[[#This Row],[MonthlyIncome]]&lt;=7000,"Medium Salary","High Salary"))</f>
        <v>Medium Salary</v>
      </c>
      <c r="AN71" s="1" t="str">
        <f>IF(HR_Data[[#This Row],[YearsAtCompany]]&lt;2,"0-1 Years",IF(HR_Data[[#This Row],[YearsAtCompany]]&lt;=5,"2-5 Years",IF(HR_Data[[#This Row],[YearsAtCompany]]&lt;=10,"6-10 Years","10+ Years")))</f>
        <v>0-1 Years</v>
      </c>
      <c r="AO71" s="1" t="str">
        <f>IF(HR_Data[[#This Row],[JobSatisfaction]]=1,"Low",IF(HR_Data[[#This Row],[JobSatisfaction]]=2,"Medium",IF(HR_Data[[#This Row],[JobSatisfaction]]=3,"High","Very High")))</f>
        <v>High</v>
      </c>
      <c r="AP71" s="1" t="str">
        <f>IF(HR_Data[[#This Row],[WorkLifeBalance]]=1,"Bad",IF(HR_Data[[#This Row],[WorkLifeBalance]]=2,"Good",IF(HR_Data[[#This Row],[WorkLifeBalance]]=3,"Better","Best")))</f>
        <v>Good</v>
      </c>
    </row>
    <row r="72" spans="1:42" x14ac:dyDescent="0.3">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c r="AJ72">
        <f>IF(HR_Data[[#This Row],[Attrition]]="Yes",1,0)</f>
        <v>0</v>
      </c>
      <c r="AK72">
        <f>IF(HR_Data[[#This Row],[Attrition]]="No",1,0)</f>
        <v>1</v>
      </c>
      <c r="AL72" t="str">
        <f>IF(HR_Data[[#This Row],[Age]]&lt;25,"Under 25",IF(HR_Data[[#This Row],[Age]]&lt;=34,"25-34",IF(HR_Data[[#This Row],[Age]]&lt;=44,"35-44",IF(HR_Data[[#This Row],[Age]]&lt;=54,"45-54","55+"))))</f>
        <v>55+</v>
      </c>
      <c r="AM72" s="1" t="str">
        <f>IF(HR_Data[[#This Row],[MonthlyIncome]]&lt;3000,"Low Salary",IF(HR_Data[[#This Row],[MonthlyIncome]]&lt;=7000,"Medium Salary","High Salary"))</f>
        <v>Medium Salary</v>
      </c>
      <c r="AN72" s="1" t="str">
        <f>IF(HR_Data[[#This Row],[YearsAtCompany]]&lt;2,"0-1 Years",IF(HR_Data[[#This Row],[YearsAtCompany]]&lt;=5,"2-5 Years",IF(HR_Data[[#This Row],[YearsAtCompany]]&lt;=10,"6-10 Years","10+ Years")))</f>
        <v>2-5 Years</v>
      </c>
      <c r="AO72" s="1" t="str">
        <f>IF(HR_Data[[#This Row],[JobSatisfaction]]=1,"Low",IF(HR_Data[[#This Row],[JobSatisfaction]]=2,"Medium",IF(HR_Data[[#This Row],[JobSatisfaction]]=3,"High","Very High")))</f>
        <v>High</v>
      </c>
      <c r="AP72" s="1" t="str">
        <f>IF(HR_Data[[#This Row],[WorkLifeBalance]]=1,"Bad",IF(HR_Data[[#This Row],[WorkLifeBalance]]=2,"Good",IF(HR_Data[[#This Row],[WorkLifeBalance]]=3,"Better","Best")))</f>
        <v>Good</v>
      </c>
    </row>
    <row r="73" spans="1:42" x14ac:dyDescent="0.3">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c r="AJ73">
        <f>IF(HR_Data[[#This Row],[Attrition]]="Yes",1,0)</f>
        <v>0</v>
      </c>
      <c r="AK73">
        <f>IF(HR_Data[[#This Row],[Attrition]]="No",1,0)</f>
        <v>1</v>
      </c>
      <c r="AL73" t="str">
        <f>IF(HR_Data[[#This Row],[Age]]&lt;25,"Under 25",IF(HR_Data[[#This Row],[Age]]&lt;=34,"25-34",IF(HR_Data[[#This Row],[Age]]&lt;=44,"35-44",IF(HR_Data[[#This Row],[Age]]&lt;=54,"45-54","55+"))))</f>
        <v>25-34</v>
      </c>
      <c r="AM73" s="1" t="str">
        <f>IF(HR_Data[[#This Row],[MonthlyIncome]]&lt;3000,"Low Salary",IF(HR_Data[[#This Row],[MonthlyIncome]]&lt;=7000,"Medium Salary","High Salary"))</f>
        <v>Low Salary</v>
      </c>
      <c r="AN73" s="1" t="str">
        <f>IF(HR_Data[[#This Row],[YearsAtCompany]]&lt;2,"0-1 Years",IF(HR_Data[[#This Row],[YearsAtCompany]]&lt;=5,"2-5 Years",IF(HR_Data[[#This Row],[YearsAtCompany]]&lt;=10,"6-10 Years","10+ Years")))</f>
        <v>2-5 Years</v>
      </c>
      <c r="AO73" s="1" t="str">
        <f>IF(HR_Data[[#This Row],[JobSatisfaction]]=1,"Low",IF(HR_Data[[#This Row],[JobSatisfaction]]=2,"Medium",IF(HR_Data[[#This Row],[JobSatisfaction]]=3,"High","Very High")))</f>
        <v>Medium</v>
      </c>
      <c r="AP73" s="1" t="str">
        <f>IF(HR_Data[[#This Row],[WorkLifeBalance]]=1,"Bad",IF(HR_Data[[#This Row],[WorkLifeBalance]]=2,"Good",IF(HR_Data[[#This Row],[WorkLifeBalance]]=3,"Better","Best")))</f>
        <v>Better</v>
      </c>
    </row>
    <row r="74" spans="1:42" x14ac:dyDescent="0.3">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c r="AJ74">
        <f>IF(HR_Data[[#This Row],[Attrition]]="Yes",1,0)</f>
        <v>0</v>
      </c>
      <c r="AK74">
        <f>IF(HR_Data[[#This Row],[Attrition]]="No",1,0)</f>
        <v>1</v>
      </c>
      <c r="AL74" t="str">
        <f>IF(HR_Data[[#This Row],[Age]]&lt;25,"Under 25",IF(HR_Data[[#This Row],[Age]]&lt;=34,"25-34",IF(HR_Data[[#This Row],[Age]]&lt;=44,"35-44",IF(HR_Data[[#This Row],[Age]]&lt;=54,"45-54","55+"))))</f>
        <v>25-34</v>
      </c>
      <c r="AM74" s="1" t="str">
        <f>IF(HR_Data[[#This Row],[MonthlyIncome]]&lt;3000,"Low Salary",IF(HR_Data[[#This Row],[MonthlyIncome]]&lt;=7000,"Medium Salary","High Salary"))</f>
        <v>Low Salary</v>
      </c>
      <c r="AN74" s="1" t="str">
        <f>IF(HR_Data[[#This Row],[YearsAtCompany]]&lt;2,"0-1 Years",IF(HR_Data[[#This Row],[YearsAtCompany]]&lt;=5,"2-5 Years",IF(HR_Data[[#This Row],[YearsAtCompany]]&lt;=10,"6-10 Years","10+ Years")))</f>
        <v>0-1 Years</v>
      </c>
      <c r="AO74" s="1" t="str">
        <f>IF(HR_Data[[#This Row],[JobSatisfaction]]=1,"Low",IF(HR_Data[[#This Row],[JobSatisfaction]]=2,"Medium",IF(HR_Data[[#This Row],[JobSatisfaction]]=3,"High","Very High")))</f>
        <v>Medium</v>
      </c>
      <c r="AP74" s="1" t="str">
        <f>IF(HR_Data[[#This Row],[WorkLifeBalance]]=1,"Bad",IF(HR_Data[[#This Row],[WorkLifeBalance]]=2,"Good",IF(HR_Data[[#This Row],[WorkLifeBalance]]=3,"Better","Best")))</f>
        <v>Better</v>
      </c>
    </row>
    <row r="75" spans="1:42" x14ac:dyDescent="0.3">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c r="AJ75">
        <f>IF(HR_Data[[#This Row],[Attrition]]="Yes",1,0)</f>
        <v>0</v>
      </c>
      <c r="AK75">
        <f>IF(HR_Data[[#This Row],[Attrition]]="No",1,0)</f>
        <v>1</v>
      </c>
      <c r="AL75" t="str">
        <f>IF(HR_Data[[#This Row],[Age]]&lt;25,"Under 25",IF(HR_Data[[#This Row],[Age]]&lt;=34,"25-34",IF(HR_Data[[#This Row],[Age]]&lt;=44,"35-44",IF(HR_Data[[#This Row],[Age]]&lt;=54,"45-54","55+"))))</f>
        <v>25-34</v>
      </c>
      <c r="AM75" s="1" t="str">
        <f>IF(HR_Data[[#This Row],[MonthlyIncome]]&lt;3000,"Low Salary",IF(HR_Data[[#This Row],[MonthlyIncome]]&lt;=7000,"Medium Salary","High Salary"))</f>
        <v>Medium Salary</v>
      </c>
      <c r="AN75" s="1" t="str">
        <f>IF(HR_Data[[#This Row],[YearsAtCompany]]&lt;2,"0-1 Years",IF(HR_Data[[#This Row],[YearsAtCompany]]&lt;=5,"2-5 Years",IF(HR_Data[[#This Row],[YearsAtCompany]]&lt;=10,"6-10 Years","10+ Years")))</f>
        <v>6-10 Years</v>
      </c>
      <c r="AO75" s="1" t="str">
        <f>IF(HR_Data[[#This Row],[JobSatisfaction]]=1,"Low",IF(HR_Data[[#This Row],[JobSatisfaction]]=2,"Medium",IF(HR_Data[[#This Row],[JobSatisfaction]]=3,"High","Very High")))</f>
        <v>Medium</v>
      </c>
      <c r="AP75" s="1" t="str">
        <f>IF(HR_Data[[#This Row],[WorkLifeBalance]]=1,"Bad",IF(HR_Data[[#This Row],[WorkLifeBalance]]=2,"Good",IF(HR_Data[[#This Row],[WorkLifeBalance]]=3,"Better","Best")))</f>
        <v>Better</v>
      </c>
    </row>
    <row r="76" spans="1:42" x14ac:dyDescent="0.3">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c r="AJ76">
        <f>IF(HR_Data[[#This Row],[Attrition]]="Yes",1,0)</f>
        <v>0</v>
      </c>
      <c r="AK76">
        <f>IF(HR_Data[[#This Row],[Attrition]]="No",1,0)</f>
        <v>1</v>
      </c>
      <c r="AL76" t="str">
        <f>IF(HR_Data[[#This Row],[Age]]&lt;25,"Under 25",IF(HR_Data[[#This Row],[Age]]&lt;=34,"25-34",IF(HR_Data[[#This Row],[Age]]&lt;=44,"35-44",IF(HR_Data[[#This Row],[Age]]&lt;=54,"45-54","55+"))))</f>
        <v>35-44</v>
      </c>
      <c r="AM76" s="1" t="str">
        <f>IF(HR_Data[[#This Row],[MonthlyIncome]]&lt;3000,"Low Salary",IF(HR_Data[[#This Row],[MonthlyIncome]]&lt;=7000,"Medium Salary","High Salary"))</f>
        <v>Medium Salary</v>
      </c>
      <c r="AN76" s="1" t="str">
        <f>IF(HR_Data[[#This Row],[YearsAtCompany]]&lt;2,"0-1 Years",IF(HR_Data[[#This Row],[YearsAtCompany]]&lt;=5,"2-5 Years",IF(HR_Data[[#This Row],[YearsAtCompany]]&lt;=10,"6-10 Years","10+ Years")))</f>
        <v>0-1 Years</v>
      </c>
      <c r="AO76" s="1" t="str">
        <f>IF(HR_Data[[#This Row],[JobSatisfaction]]=1,"Low",IF(HR_Data[[#This Row],[JobSatisfaction]]=2,"Medium",IF(HR_Data[[#This Row],[JobSatisfaction]]=3,"High","Very High")))</f>
        <v>Very High</v>
      </c>
      <c r="AP76" s="1" t="str">
        <f>IF(HR_Data[[#This Row],[WorkLifeBalance]]=1,"Bad",IF(HR_Data[[#This Row],[WorkLifeBalance]]=2,"Good",IF(HR_Data[[#This Row],[WorkLifeBalance]]=3,"Better","Best")))</f>
        <v>Better</v>
      </c>
    </row>
    <row r="77" spans="1:42" x14ac:dyDescent="0.3">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c r="AJ77">
        <f>IF(HR_Data[[#This Row],[Attrition]]="Yes",1,0)</f>
        <v>0</v>
      </c>
      <c r="AK77">
        <f>IF(HR_Data[[#This Row],[Attrition]]="No",1,0)</f>
        <v>1</v>
      </c>
      <c r="AL77" t="str">
        <f>IF(HR_Data[[#This Row],[Age]]&lt;25,"Under 25",IF(HR_Data[[#This Row],[Age]]&lt;=34,"25-34",IF(HR_Data[[#This Row],[Age]]&lt;=44,"35-44",IF(HR_Data[[#This Row],[Age]]&lt;=54,"45-54","55+"))))</f>
        <v>25-34</v>
      </c>
      <c r="AM77" s="1" t="str">
        <f>IF(HR_Data[[#This Row],[MonthlyIncome]]&lt;3000,"Low Salary",IF(HR_Data[[#This Row],[MonthlyIncome]]&lt;=7000,"Medium Salary","High Salary"))</f>
        <v>Medium Salary</v>
      </c>
      <c r="AN77" s="1" t="str">
        <f>IF(HR_Data[[#This Row],[YearsAtCompany]]&lt;2,"0-1 Years",IF(HR_Data[[#This Row],[YearsAtCompany]]&lt;=5,"2-5 Years",IF(HR_Data[[#This Row],[YearsAtCompany]]&lt;=10,"6-10 Years","10+ Years")))</f>
        <v>10+ Years</v>
      </c>
      <c r="AO77" s="1" t="str">
        <f>IF(HR_Data[[#This Row],[JobSatisfaction]]=1,"Low",IF(HR_Data[[#This Row],[JobSatisfaction]]=2,"Medium",IF(HR_Data[[#This Row],[JobSatisfaction]]=3,"High","Very High")))</f>
        <v>Very High</v>
      </c>
      <c r="AP77" s="1" t="str">
        <f>IF(HR_Data[[#This Row],[WorkLifeBalance]]=1,"Bad",IF(HR_Data[[#This Row],[WorkLifeBalance]]=2,"Good",IF(HR_Data[[#This Row],[WorkLifeBalance]]=3,"Better","Best")))</f>
        <v>Better</v>
      </c>
    </row>
    <row r="78" spans="1:42" x14ac:dyDescent="0.3">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c r="AJ78">
        <f>IF(HR_Data[[#This Row],[Attrition]]="Yes",1,0)</f>
        <v>0</v>
      </c>
      <c r="AK78">
        <f>IF(HR_Data[[#This Row],[Attrition]]="No",1,0)</f>
        <v>1</v>
      </c>
      <c r="AL78" t="str">
        <f>IF(HR_Data[[#This Row],[Age]]&lt;25,"Under 25",IF(HR_Data[[#This Row],[Age]]&lt;=34,"25-34",IF(HR_Data[[#This Row],[Age]]&lt;=44,"35-44",IF(HR_Data[[#This Row],[Age]]&lt;=54,"45-54","55+"))))</f>
        <v>35-44</v>
      </c>
      <c r="AM78" s="1" t="str">
        <f>IF(HR_Data[[#This Row],[MonthlyIncome]]&lt;3000,"Low Salary",IF(HR_Data[[#This Row],[MonthlyIncome]]&lt;=7000,"Medium Salary","High Salary"))</f>
        <v>Medium Salary</v>
      </c>
      <c r="AN78" s="1" t="str">
        <f>IF(HR_Data[[#This Row],[YearsAtCompany]]&lt;2,"0-1 Years",IF(HR_Data[[#This Row],[YearsAtCompany]]&lt;=5,"2-5 Years",IF(HR_Data[[#This Row],[YearsAtCompany]]&lt;=10,"6-10 Years","10+ Years")))</f>
        <v>10+ Years</v>
      </c>
      <c r="AO78" s="1" t="str">
        <f>IF(HR_Data[[#This Row],[JobSatisfaction]]=1,"Low",IF(HR_Data[[#This Row],[JobSatisfaction]]=2,"Medium",IF(HR_Data[[#This Row],[JobSatisfaction]]=3,"High","Very High")))</f>
        <v>Low</v>
      </c>
      <c r="AP78" s="1" t="str">
        <f>IF(HR_Data[[#This Row],[WorkLifeBalance]]=1,"Bad",IF(HR_Data[[#This Row],[WorkLifeBalance]]=2,"Good",IF(HR_Data[[#This Row],[WorkLifeBalance]]=3,"Better","Best")))</f>
        <v>Better</v>
      </c>
    </row>
    <row r="79" spans="1:42" x14ac:dyDescent="0.3">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c r="AJ79">
        <f>IF(HR_Data[[#This Row],[Attrition]]="Yes",1,0)</f>
        <v>0</v>
      </c>
      <c r="AK79">
        <f>IF(HR_Data[[#This Row],[Attrition]]="No",1,0)</f>
        <v>1</v>
      </c>
      <c r="AL79" t="str">
        <f>IF(HR_Data[[#This Row],[Age]]&lt;25,"Under 25",IF(HR_Data[[#This Row],[Age]]&lt;=34,"25-34",IF(HR_Data[[#This Row],[Age]]&lt;=44,"35-44",IF(HR_Data[[#This Row],[Age]]&lt;=54,"45-54","55+"))))</f>
        <v>45-54</v>
      </c>
      <c r="AM79" s="1" t="str">
        <f>IF(HR_Data[[#This Row],[MonthlyIncome]]&lt;3000,"Low Salary",IF(HR_Data[[#This Row],[MonthlyIncome]]&lt;=7000,"Medium Salary","High Salary"))</f>
        <v>High Salary</v>
      </c>
      <c r="AN79" s="1" t="str">
        <f>IF(HR_Data[[#This Row],[YearsAtCompany]]&lt;2,"0-1 Years",IF(HR_Data[[#This Row],[YearsAtCompany]]&lt;=5,"2-5 Years",IF(HR_Data[[#This Row],[YearsAtCompany]]&lt;=10,"6-10 Years","10+ Years")))</f>
        <v>0-1 Years</v>
      </c>
      <c r="AO79" s="1" t="str">
        <f>IF(HR_Data[[#This Row],[JobSatisfaction]]=1,"Low",IF(HR_Data[[#This Row],[JobSatisfaction]]=2,"Medium",IF(HR_Data[[#This Row],[JobSatisfaction]]=3,"High","Very High")))</f>
        <v>Low</v>
      </c>
      <c r="AP79" s="1" t="str">
        <f>IF(HR_Data[[#This Row],[WorkLifeBalance]]=1,"Bad",IF(HR_Data[[#This Row],[WorkLifeBalance]]=2,"Good",IF(HR_Data[[#This Row],[WorkLifeBalance]]=3,"Better","Best")))</f>
        <v>Best</v>
      </c>
    </row>
    <row r="80" spans="1:42" x14ac:dyDescent="0.3">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c r="AJ80">
        <f>IF(HR_Data[[#This Row],[Attrition]]="Yes",1,0)</f>
        <v>0</v>
      </c>
      <c r="AK80">
        <f>IF(HR_Data[[#This Row],[Attrition]]="No",1,0)</f>
        <v>1</v>
      </c>
      <c r="AL80" t="str">
        <f>IF(HR_Data[[#This Row],[Age]]&lt;25,"Under 25",IF(HR_Data[[#This Row],[Age]]&lt;=34,"25-34",IF(HR_Data[[#This Row],[Age]]&lt;=44,"35-44",IF(HR_Data[[#This Row],[Age]]&lt;=54,"45-54","55+"))))</f>
        <v>35-44</v>
      </c>
      <c r="AM80" s="1" t="str">
        <f>IF(HR_Data[[#This Row],[MonthlyIncome]]&lt;3000,"Low Salary",IF(HR_Data[[#This Row],[MonthlyIncome]]&lt;=7000,"Medium Salary","High Salary"))</f>
        <v>High Salary</v>
      </c>
      <c r="AN80" s="1" t="str">
        <f>IF(HR_Data[[#This Row],[YearsAtCompany]]&lt;2,"0-1 Years",IF(HR_Data[[#This Row],[YearsAtCompany]]&lt;=5,"2-5 Years",IF(HR_Data[[#This Row],[YearsAtCompany]]&lt;=10,"6-10 Years","10+ Years")))</f>
        <v>2-5 Years</v>
      </c>
      <c r="AO80" s="1" t="str">
        <f>IF(HR_Data[[#This Row],[JobSatisfaction]]=1,"Low",IF(HR_Data[[#This Row],[JobSatisfaction]]=2,"Medium",IF(HR_Data[[#This Row],[JobSatisfaction]]=3,"High","Very High")))</f>
        <v>High</v>
      </c>
      <c r="AP80" s="1" t="str">
        <f>IF(HR_Data[[#This Row],[WorkLifeBalance]]=1,"Bad",IF(HR_Data[[#This Row],[WorkLifeBalance]]=2,"Good",IF(HR_Data[[#This Row],[WorkLifeBalance]]=3,"Better","Best")))</f>
        <v>Best</v>
      </c>
    </row>
    <row r="81" spans="1:42" x14ac:dyDescent="0.3">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c r="AJ81">
        <f>IF(HR_Data[[#This Row],[Attrition]]="Yes",1,0)</f>
        <v>0</v>
      </c>
      <c r="AK81">
        <f>IF(HR_Data[[#This Row],[Attrition]]="No",1,0)</f>
        <v>1</v>
      </c>
      <c r="AL81" t="str">
        <f>IF(HR_Data[[#This Row],[Age]]&lt;25,"Under 25",IF(HR_Data[[#This Row],[Age]]&lt;=34,"25-34",IF(HR_Data[[#This Row],[Age]]&lt;=44,"35-44",IF(HR_Data[[#This Row],[Age]]&lt;=54,"45-54","55+"))))</f>
        <v>45-54</v>
      </c>
      <c r="AM81" s="1" t="str">
        <f>IF(HR_Data[[#This Row],[MonthlyIncome]]&lt;3000,"Low Salary",IF(HR_Data[[#This Row],[MonthlyIncome]]&lt;=7000,"Medium Salary","High Salary"))</f>
        <v>Medium Salary</v>
      </c>
      <c r="AN81" s="1" t="str">
        <f>IF(HR_Data[[#This Row],[YearsAtCompany]]&lt;2,"0-1 Years",IF(HR_Data[[#This Row],[YearsAtCompany]]&lt;=5,"2-5 Years",IF(HR_Data[[#This Row],[YearsAtCompany]]&lt;=10,"6-10 Years","10+ Years")))</f>
        <v>2-5 Years</v>
      </c>
      <c r="AO81" s="1" t="str">
        <f>IF(HR_Data[[#This Row],[JobSatisfaction]]=1,"Low",IF(HR_Data[[#This Row],[JobSatisfaction]]=2,"Medium",IF(HR_Data[[#This Row],[JobSatisfaction]]=3,"High","Very High")))</f>
        <v>Medium</v>
      </c>
      <c r="AP81" s="1" t="str">
        <f>IF(HR_Data[[#This Row],[WorkLifeBalance]]=1,"Bad",IF(HR_Data[[#This Row],[WorkLifeBalance]]=2,"Good",IF(HR_Data[[#This Row],[WorkLifeBalance]]=3,"Better","Best")))</f>
        <v>Better</v>
      </c>
    </row>
    <row r="82" spans="1:42" x14ac:dyDescent="0.3">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c r="AJ82">
        <f>IF(HR_Data[[#This Row],[Attrition]]="Yes",1,0)</f>
        <v>0</v>
      </c>
      <c r="AK82">
        <f>IF(HR_Data[[#This Row],[Attrition]]="No",1,0)</f>
        <v>1</v>
      </c>
      <c r="AL82" t="str">
        <f>IF(HR_Data[[#This Row],[Age]]&lt;25,"Under 25",IF(HR_Data[[#This Row],[Age]]&lt;=34,"25-34",IF(HR_Data[[#This Row],[Age]]&lt;=44,"35-44",IF(HR_Data[[#This Row],[Age]]&lt;=54,"45-54","55+"))))</f>
        <v>25-34</v>
      </c>
      <c r="AM82" s="1" t="str">
        <f>IF(HR_Data[[#This Row],[MonthlyIncome]]&lt;3000,"Low Salary",IF(HR_Data[[#This Row],[MonthlyIncome]]&lt;=7000,"Medium Salary","High Salary"))</f>
        <v>Medium Salary</v>
      </c>
      <c r="AN82" s="1" t="str">
        <f>IF(HR_Data[[#This Row],[YearsAtCompany]]&lt;2,"0-1 Years",IF(HR_Data[[#This Row],[YearsAtCompany]]&lt;=5,"2-5 Years",IF(HR_Data[[#This Row],[YearsAtCompany]]&lt;=10,"6-10 Years","10+ Years")))</f>
        <v>6-10 Years</v>
      </c>
      <c r="AO82" s="1" t="str">
        <f>IF(HR_Data[[#This Row],[JobSatisfaction]]=1,"Low",IF(HR_Data[[#This Row],[JobSatisfaction]]=2,"Medium",IF(HR_Data[[#This Row],[JobSatisfaction]]=3,"High","Very High")))</f>
        <v>Very High</v>
      </c>
      <c r="AP82" s="1" t="str">
        <f>IF(HR_Data[[#This Row],[WorkLifeBalance]]=1,"Bad",IF(HR_Data[[#This Row],[WorkLifeBalance]]=2,"Good",IF(HR_Data[[#This Row],[WorkLifeBalance]]=3,"Better","Best")))</f>
        <v>Good</v>
      </c>
    </row>
    <row r="83" spans="1:42" x14ac:dyDescent="0.3">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c r="AJ83">
        <f>IF(HR_Data[[#This Row],[Attrition]]="Yes",1,0)</f>
        <v>0</v>
      </c>
      <c r="AK83">
        <f>IF(HR_Data[[#This Row],[Attrition]]="No",1,0)</f>
        <v>1</v>
      </c>
      <c r="AL83" t="str">
        <f>IF(HR_Data[[#This Row],[Age]]&lt;25,"Under 25",IF(HR_Data[[#This Row],[Age]]&lt;=34,"25-34",IF(HR_Data[[#This Row],[Age]]&lt;=44,"35-44",IF(HR_Data[[#This Row],[Age]]&lt;=54,"45-54","55+"))))</f>
        <v>35-44</v>
      </c>
      <c r="AM83" s="1" t="str">
        <f>IF(HR_Data[[#This Row],[MonthlyIncome]]&lt;3000,"Low Salary",IF(HR_Data[[#This Row],[MonthlyIncome]]&lt;=7000,"Medium Salary","High Salary"))</f>
        <v>Low Salary</v>
      </c>
      <c r="AN83" s="1" t="str">
        <f>IF(HR_Data[[#This Row],[YearsAtCompany]]&lt;2,"0-1 Years",IF(HR_Data[[#This Row],[YearsAtCompany]]&lt;=5,"2-5 Years",IF(HR_Data[[#This Row],[YearsAtCompany]]&lt;=10,"6-10 Years","10+ Years")))</f>
        <v>6-10 Years</v>
      </c>
      <c r="AO83" s="1" t="str">
        <f>IF(HR_Data[[#This Row],[JobSatisfaction]]=1,"Low",IF(HR_Data[[#This Row],[JobSatisfaction]]=2,"Medium",IF(HR_Data[[#This Row],[JobSatisfaction]]=3,"High","Very High")))</f>
        <v>High</v>
      </c>
      <c r="AP83" s="1" t="str">
        <f>IF(HR_Data[[#This Row],[WorkLifeBalance]]=1,"Bad",IF(HR_Data[[#This Row],[WorkLifeBalance]]=2,"Good",IF(HR_Data[[#This Row],[WorkLifeBalance]]=3,"Better","Best")))</f>
        <v>Better</v>
      </c>
    </row>
    <row r="84" spans="1:42" x14ac:dyDescent="0.3">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c r="AJ84">
        <f>IF(HR_Data[[#This Row],[Attrition]]="Yes",1,0)</f>
        <v>0</v>
      </c>
      <c r="AK84">
        <f>IF(HR_Data[[#This Row],[Attrition]]="No",1,0)</f>
        <v>1</v>
      </c>
      <c r="AL84" t="str">
        <f>IF(HR_Data[[#This Row],[Age]]&lt;25,"Under 25",IF(HR_Data[[#This Row],[Age]]&lt;=34,"25-34",IF(HR_Data[[#This Row],[Age]]&lt;=44,"35-44",IF(HR_Data[[#This Row],[Age]]&lt;=54,"45-54","55+"))))</f>
        <v>55+</v>
      </c>
      <c r="AM84" s="1" t="str">
        <f>IF(HR_Data[[#This Row],[MonthlyIncome]]&lt;3000,"Low Salary",IF(HR_Data[[#This Row],[MonthlyIncome]]&lt;=7000,"Medium Salary","High Salary"))</f>
        <v>High Salary</v>
      </c>
      <c r="AN84" s="1" t="str">
        <f>IF(HR_Data[[#This Row],[YearsAtCompany]]&lt;2,"0-1 Years",IF(HR_Data[[#This Row],[YearsAtCompany]]&lt;=5,"2-5 Years",IF(HR_Data[[#This Row],[YearsAtCompany]]&lt;=10,"6-10 Years","10+ Years")))</f>
        <v>0-1 Years</v>
      </c>
      <c r="AO84" s="1" t="str">
        <f>IF(HR_Data[[#This Row],[JobSatisfaction]]=1,"Low",IF(HR_Data[[#This Row],[JobSatisfaction]]=2,"Medium",IF(HR_Data[[#This Row],[JobSatisfaction]]=3,"High","Very High")))</f>
        <v>Very High</v>
      </c>
      <c r="AP84" s="1" t="str">
        <f>IF(HR_Data[[#This Row],[WorkLifeBalance]]=1,"Bad",IF(HR_Data[[#This Row],[WorkLifeBalance]]=2,"Good",IF(HR_Data[[#This Row],[WorkLifeBalance]]=3,"Better","Best")))</f>
        <v>Better</v>
      </c>
    </row>
    <row r="85" spans="1:42" x14ac:dyDescent="0.3">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c r="AJ85">
        <f>IF(HR_Data[[#This Row],[Attrition]]="Yes",1,0)</f>
        <v>0</v>
      </c>
      <c r="AK85">
        <f>IF(HR_Data[[#This Row],[Attrition]]="No",1,0)</f>
        <v>1</v>
      </c>
      <c r="AL85" t="str">
        <f>IF(HR_Data[[#This Row],[Age]]&lt;25,"Under 25",IF(HR_Data[[#This Row],[Age]]&lt;=34,"25-34",IF(HR_Data[[#This Row],[Age]]&lt;=44,"35-44",IF(HR_Data[[#This Row],[Age]]&lt;=54,"45-54","55+"))))</f>
        <v>35-44</v>
      </c>
      <c r="AM85" s="1" t="str">
        <f>IF(HR_Data[[#This Row],[MonthlyIncome]]&lt;3000,"Low Salary",IF(HR_Data[[#This Row],[MonthlyIncome]]&lt;=7000,"Medium Salary","High Salary"))</f>
        <v>Medium Salary</v>
      </c>
      <c r="AN85" s="1" t="str">
        <f>IF(HR_Data[[#This Row],[YearsAtCompany]]&lt;2,"0-1 Years",IF(HR_Data[[#This Row],[YearsAtCompany]]&lt;=5,"2-5 Years",IF(HR_Data[[#This Row],[YearsAtCompany]]&lt;=10,"6-10 Years","10+ Years")))</f>
        <v>10+ Years</v>
      </c>
      <c r="AO85" s="1" t="str">
        <f>IF(HR_Data[[#This Row],[JobSatisfaction]]=1,"Low",IF(HR_Data[[#This Row],[JobSatisfaction]]=2,"Medium",IF(HR_Data[[#This Row],[JobSatisfaction]]=3,"High","Very High")))</f>
        <v>Very High</v>
      </c>
      <c r="AP85" s="1" t="str">
        <f>IF(HR_Data[[#This Row],[WorkLifeBalance]]=1,"Bad",IF(HR_Data[[#This Row],[WorkLifeBalance]]=2,"Good",IF(HR_Data[[#This Row],[WorkLifeBalance]]=3,"Better","Best")))</f>
        <v>Better</v>
      </c>
    </row>
    <row r="86" spans="1:42" x14ac:dyDescent="0.3">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c r="AJ86">
        <f>IF(HR_Data[[#This Row],[Attrition]]="Yes",1,0)</f>
        <v>0</v>
      </c>
      <c r="AK86">
        <f>IF(HR_Data[[#This Row],[Attrition]]="No",1,0)</f>
        <v>1</v>
      </c>
      <c r="AL86" t="str">
        <f>IF(HR_Data[[#This Row],[Age]]&lt;25,"Under 25",IF(HR_Data[[#This Row],[Age]]&lt;=34,"25-34",IF(HR_Data[[#This Row],[Age]]&lt;=44,"35-44",IF(HR_Data[[#This Row],[Age]]&lt;=54,"45-54","55+"))))</f>
        <v>25-34</v>
      </c>
      <c r="AM86" s="1" t="str">
        <f>IF(HR_Data[[#This Row],[MonthlyIncome]]&lt;3000,"Low Salary",IF(HR_Data[[#This Row],[MonthlyIncome]]&lt;=7000,"Medium Salary","High Salary"))</f>
        <v>Medium Salary</v>
      </c>
      <c r="AN86" s="1" t="str">
        <f>IF(HR_Data[[#This Row],[YearsAtCompany]]&lt;2,"0-1 Years",IF(HR_Data[[#This Row],[YearsAtCompany]]&lt;=5,"2-5 Years",IF(HR_Data[[#This Row],[YearsAtCompany]]&lt;=10,"6-10 Years","10+ Years")))</f>
        <v>2-5 Years</v>
      </c>
      <c r="AO86" s="1" t="str">
        <f>IF(HR_Data[[#This Row],[JobSatisfaction]]=1,"Low",IF(HR_Data[[#This Row],[JobSatisfaction]]=2,"Medium",IF(HR_Data[[#This Row],[JobSatisfaction]]=3,"High","Very High")))</f>
        <v>Medium</v>
      </c>
      <c r="AP86" s="1" t="str">
        <f>IF(HR_Data[[#This Row],[WorkLifeBalance]]=1,"Bad",IF(HR_Data[[#This Row],[WorkLifeBalance]]=2,"Good",IF(HR_Data[[#This Row],[WorkLifeBalance]]=3,"Better","Best")))</f>
        <v>Better</v>
      </c>
    </row>
    <row r="87" spans="1:42" x14ac:dyDescent="0.3">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c r="AJ87">
        <f>IF(HR_Data[[#This Row],[Attrition]]="Yes",1,0)</f>
        <v>0</v>
      </c>
      <c r="AK87">
        <f>IF(HR_Data[[#This Row],[Attrition]]="No",1,0)</f>
        <v>1</v>
      </c>
      <c r="AL87" t="str">
        <f>IF(HR_Data[[#This Row],[Age]]&lt;25,"Under 25",IF(HR_Data[[#This Row],[Age]]&lt;=34,"25-34",IF(HR_Data[[#This Row],[Age]]&lt;=44,"35-44",IF(HR_Data[[#This Row],[Age]]&lt;=54,"45-54","55+"))))</f>
        <v>55+</v>
      </c>
      <c r="AM87" s="1" t="str">
        <f>IF(HR_Data[[#This Row],[MonthlyIncome]]&lt;3000,"Low Salary",IF(HR_Data[[#This Row],[MonthlyIncome]]&lt;=7000,"Medium Salary","High Salary"))</f>
        <v>High Salary</v>
      </c>
      <c r="AN87" s="1" t="str">
        <f>IF(HR_Data[[#This Row],[YearsAtCompany]]&lt;2,"0-1 Years",IF(HR_Data[[#This Row],[YearsAtCompany]]&lt;=5,"2-5 Years",IF(HR_Data[[#This Row],[YearsAtCompany]]&lt;=10,"6-10 Years","10+ Years")))</f>
        <v>6-10 Years</v>
      </c>
      <c r="AO87" s="1" t="str">
        <f>IF(HR_Data[[#This Row],[JobSatisfaction]]=1,"Low",IF(HR_Data[[#This Row],[JobSatisfaction]]=2,"Medium",IF(HR_Data[[#This Row],[JobSatisfaction]]=3,"High","Very High")))</f>
        <v>Very High</v>
      </c>
      <c r="AP87" s="1" t="str">
        <f>IF(HR_Data[[#This Row],[WorkLifeBalance]]=1,"Bad",IF(HR_Data[[#This Row],[WorkLifeBalance]]=2,"Good",IF(HR_Data[[#This Row],[WorkLifeBalance]]=3,"Better","Best")))</f>
        <v>Good</v>
      </c>
    </row>
    <row r="88" spans="1:42" x14ac:dyDescent="0.3">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c r="AJ88">
        <f>IF(HR_Data[[#This Row],[Attrition]]="Yes",1,0)</f>
        <v>0</v>
      </c>
      <c r="AK88">
        <f>IF(HR_Data[[#This Row],[Attrition]]="No",1,0)</f>
        <v>1</v>
      </c>
      <c r="AL88" t="str">
        <f>IF(HR_Data[[#This Row],[Age]]&lt;25,"Under 25",IF(HR_Data[[#This Row],[Age]]&lt;=34,"25-34",IF(HR_Data[[#This Row],[Age]]&lt;=44,"35-44",IF(HR_Data[[#This Row],[Age]]&lt;=54,"45-54","55+"))))</f>
        <v>Under 25</v>
      </c>
      <c r="AM88" s="1" t="str">
        <f>IF(HR_Data[[#This Row],[MonthlyIncome]]&lt;3000,"Low Salary",IF(HR_Data[[#This Row],[MonthlyIncome]]&lt;=7000,"Medium Salary","High Salary"))</f>
        <v>Low Salary</v>
      </c>
      <c r="AN88" s="1" t="str">
        <f>IF(HR_Data[[#This Row],[YearsAtCompany]]&lt;2,"0-1 Years",IF(HR_Data[[#This Row],[YearsAtCompany]]&lt;=5,"2-5 Years",IF(HR_Data[[#This Row],[YearsAtCompany]]&lt;=10,"6-10 Years","10+ Years")))</f>
        <v>0-1 Years</v>
      </c>
      <c r="AO88" s="1" t="str">
        <f>IF(HR_Data[[#This Row],[JobSatisfaction]]=1,"Low",IF(HR_Data[[#This Row],[JobSatisfaction]]=2,"Medium",IF(HR_Data[[#This Row],[JobSatisfaction]]=3,"High","Very High")))</f>
        <v>Low</v>
      </c>
      <c r="AP88" s="1" t="str">
        <f>IF(HR_Data[[#This Row],[WorkLifeBalance]]=1,"Bad",IF(HR_Data[[#This Row],[WorkLifeBalance]]=2,"Good",IF(HR_Data[[#This Row],[WorkLifeBalance]]=3,"Better","Best")))</f>
        <v>Better</v>
      </c>
    </row>
    <row r="89" spans="1:42" x14ac:dyDescent="0.3">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c r="AJ89">
        <f>IF(HR_Data[[#This Row],[Attrition]]="Yes",1,0)</f>
        <v>0</v>
      </c>
      <c r="AK89">
        <f>IF(HR_Data[[#This Row],[Attrition]]="No",1,0)</f>
        <v>1</v>
      </c>
      <c r="AL89" t="str">
        <f>IF(HR_Data[[#This Row],[Age]]&lt;25,"Under 25",IF(HR_Data[[#This Row],[Age]]&lt;=34,"25-34",IF(HR_Data[[#This Row],[Age]]&lt;=44,"35-44",IF(HR_Data[[#This Row],[Age]]&lt;=54,"45-54","55+"))))</f>
        <v>45-54</v>
      </c>
      <c r="AM89" s="1" t="str">
        <f>IF(HR_Data[[#This Row],[MonthlyIncome]]&lt;3000,"Low Salary",IF(HR_Data[[#This Row],[MonthlyIncome]]&lt;=7000,"Medium Salary","High Salary"))</f>
        <v>Low Salary</v>
      </c>
      <c r="AN89" s="1" t="str">
        <f>IF(HR_Data[[#This Row],[YearsAtCompany]]&lt;2,"0-1 Years",IF(HR_Data[[#This Row],[YearsAtCompany]]&lt;=5,"2-5 Years",IF(HR_Data[[#This Row],[YearsAtCompany]]&lt;=10,"6-10 Years","10+ Years")))</f>
        <v>2-5 Years</v>
      </c>
      <c r="AO89" s="1" t="str">
        <f>IF(HR_Data[[#This Row],[JobSatisfaction]]=1,"Low",IF(HR_Data[[#This Row],[JobSatisfaction]]=2,"Medium",IF(HR_Data[[#This Row],[JobSatisfaction]]=3,"High","Very High")))</f>
        <v>Very High</v>
      </c>
      <c r="AP89" s="1" t="str">
        <f>IF(HR_Data[[#This Row],[WorkLifeBalance]]=1,"Bad",IF(HR_Data[[#This Row],[WorkLifeBalance]]=2,"Good",IF(HR_Data[[#This Row],[WorkLifeBalance]]=3,"Better","Best")))</f>
        <v>Better</v>
      </c>
    </row>
    <row r="90" spans="1:42" x14ac:dyDescent="0.3">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c r="AJ90">
        <f>IF(HR_Data[[#This Row],[Attrition]]="Yes",1,0)</f>
        <v>0</v>
      </c>
      <c r="AK90">
        <f>IF(HR_Data[[#This Row],[Attrition]]="No",1,0)</f>
        <v>1</v>
      </c>
      <c r="AL90" t="str">
        <f>IF(HR_Data[[#This Row],[Age]]&lt;25,"Under 25",IF(HR_Data[[#This Row],[Age]]&lt;=34,"25-34",IF(HR_Data[[#This Row],[Age]]&lt;=44,"35-44",IF(HR_Data[[#This Row],[Age]]&lt;=54,"45-54","55+"))))</f>
        <v>25-34</v>
      </c>
      <c r="AM90" s="1" t="str">
        <f>IF(HR_Data[[#This Row],[MonthlyIncome]]&lt;3000,"Low Salary",IF(HR_Data[[#This Row],[MonthlyIncome]]&lt;=7000,"Medium Salary","High Salary"))</f>
        <v>Medium Salary</v>
      </c>
      <c r="AN90" s="1" t="str">
        <f>IF(HR_Data[[#This Row],[YearsAtCompany]]&lt;2,"0-1 Years",IF(HR_Data[[#This Row],[YearsAtCompany]]&lt;=5,"2-5 Years",IF(HR_Data[[#This Row],[YearsAtCompany]]&lt;=10,"6-10 Years","10+ Years")))</f>
        <v>10+ Years</v>
      </c>
      <c r="AO90" s="1" t="str">
        <f>IF(HR_Data[[#This Row],[JobSatisfaction]]=1,"Low",IF(HR_Data[[#This Row],[JobSatisfaction]]=2,"Medium",IF(HR_Data[[#This Row],[JobSatisfaction]]=3,"High","Very High")))</f>
        <v>Very High</v>
      </c>
      <c r="AP90" s="1" t="str">
        <f>IF(HR_Data[[#This Row],[WorkLifeBalance]]=1,"Bad",IF(HR_Data[[#This Row],[WorkLifeBalance]]=2,"Good",IF(HR_Data[[#This Row],[WorkLifeBalance]]=3,"Better","Best")))</f>
        <v>Better</v>
      </c>
    </row>
    <row r="91" spans="1:42" x14ac:dyDescent="0.3">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c r="AJ91">
        <f>IF(HR_Data[[#This Row],[Attrition]]="Yes",1,0)</f>
        <v>1</v>
      </c>
      <c r="AK91">
        <f>IF(HR_Data[[#This Row],[Attrition]]="No",1,0)</f>
        <v>0</v>
      </c>
      <c r="AL91" t="str">
        <f>IF(HR_Data[[#This Row],[Age]]&lt;25,"Under 25",IF(HR_Data[[#This Row],[Age]]&lt;=34,"25-34",IF(HR_Data[[#This Row],[Age]]&lt;=44,"35-44",IF(HR_Data[[#This Row],[Age]]&lt;=54,"45-54","55+"))))</f>
        <v>45-54</v>
      </c>
      <c r="AM91" s="1" t="str">
        <f>IF(HR_Data[[#This Row],[MonthlyIncome]]&lt;3000,"Low Salary",IF(HR_Data[[#This Row],[MonthlyIncome]]&lt;=7000,"Medium Salary","High Salary"))</f>
        <v>High Salary</v>
      </c>
      <c r="AN91" s="1" t="str">
        <f>IF(HR_Data[[#This Row],[YearsAtCompany]]&lt;2,"0-1 Years",IF(HR_Data[[#This Row],[YearsAtCompany]]&lt;=5,"2-5 Years",IF(HR_Data[[#This Row],[YearsAtCompany]]&lt;=10,"6-10 Years","10+ Years")))</f>
        <v>6-10 Years</v>
      </c>
      <c r="AO91" s="1" t="str">
        <f>IF(HR_Data[[#This Row],[JobSatisfaction]]=1,"Low",IF(HR_Data[[#This Row],[JobSatisfaction]]=2,"Medium",IF(HR_Data[[#This Row],[JobSatisfaction]]=3,"High","Very High")))</f>
        <v>Very High</v>
      </c>
      <c r="AP91" s="1" t="str">
        <f>IF(HR_Data[[#This Row],[WorkLifeBalance]]=1,"Bad",IF(HR_Data[[#This Row],[WorkLifeBalance]]=2,"Good",IF(HR_Data[[#This Row],[WorkLifeBalance]]=3,"Better","Best")))</f>
        <v>Better</v>
      </c>
    </row>
    <row r="92" spans="1:42" x14ac:dyDescent="0.3">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c r="AJ92">
        <f>IF(HR_Data[[#This Row],[Attrition]]="Yes",1,0)</f>
        <v>0</v>
      </c>
      <c r="AK92">
        <f>IF(HR_Data[[#This Row],[Attrition]]="No",1,0)</f>
        <v>1</v>
      </c>
      <c r="AL92" t="str">
        <f>IF(HR_Data[[#This Row],[Age]]&lt;25,"Under 25",IF(HR_Data[[#This Row],[Age]]&lt;=34,"25-34",IF(HR_Data[[#This Row],[Age]]&lt;=44,"35-44",IF(HR_Data[[#This Row],[Age]]&lt;=54,"45-54","55+"))))</f>
        <v>35-44</v>
      </c>
      <c r="AM92" s="1" t="str">
        <f>IF(HR_Data[[#This Row],[MonthlyIncome]]&lt;3000,"Low Salary",IF(HR_Data[[#This Row],[MonthlyIncome]]&lt;=7000,"Medium Salary","High Salary"))</f>
        <v>High Salary</v>
      </c>
      <c r="AN92" s="1" t="str">
        <f>IF(HR_Data[[#This Row],[YearsAtCompany]]&lt;2,"0-1 Years",IF(HR_Data[[#This Row],[YearsAtCompany]]&lt;=5,"2-5 Years",IF(HR_Data[[#This Row],[YearsAtCompany]]&lt;=10,"6-10 Years","10+ Years")))</f>
        <v>10+ Years</v>
      </c>
      <c r="AO92" s="1" t="str">
        <f>IF(HR_Data[[#This Row],[JobSatisfaction]]=1,"Low",IF(HR_Data[[#This Row],[JobSatisfaction]]=2,"Medium",IF(HR_Data[[#This Row],[JobSatisfaction]]=3,"High","Very High")))</f>
        <v>Medium</v>
      </c>
      <c r="AP92" s="1" t="str">
        <f>IF(HR_Data[[#This Row],[WorkLifeBalance]]=1,"Bad",IF(HR_Data[[#This Row],[WorkLifeBalance]]=2,"Good",IF(HR_Data[[#This Row],[WorkLifeBalance]]=3,"Better","Best")))</f>
        <v>Good</v>
      </c>
    </row>
    <row r="93" spans="1:42" x14ac:dyDescent="0.3">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c r="AJ93">
        <f>IF(HR_Data[[#This Row],[Attrition]]="Yes",1,0)</f>
        <v>0</v>
      </c>
      <c r="AK93">
        <f>IF(HR_Data[[#This Row],[Attrition]]="No",1,0)</f>
        <v>1</v>
      </c>
      <c r="AL93" t="str">
        <f>IF(HR_Data[[#This Row],[Age]]&lt;25,"Under 25",IF(HR_Data[[#This Row],[Age]]&lt;=34,"25-34",IF(HR_Data[[#This Row],[Age]]&lt;=44,"35-44",IF(HR_Data[[#This Row],[Age]]&lt;=54,"45-54","55+"))))</f>
        <v>45-54</v>
      </c>
      <c r="AM93" s="1" t="str">
        <f>IF(HR_Data[[#This Row],[MonthlyIncome]]&lt;3000,"Low Salary",IF(HR_Data[[#This Row],[MonthlyIncome]]&lt;=7000,"Medium Salary","High Salary"))</f>
        <v>Medium Salary</v>
      </c>
      <c r="AN93" s="1" t="str">
        <f>IF(HR_Data[[#This Row],[YearsAtCompany]]&lt;2,"0-1 Years",IF(HR_Data[[#This Row],[YearsAtCompany]]&lt;=5,"2-5 Years",IF(HR_Data[[#This Row],[YearsAtCompany]]&lt;=10,"6-10 Years","10+ Years")))</f>
        <v>6-10 Years</v>
      </c>
      <c r="AO93" s="1" t="str">
        <f>IF(HR_Data[[#This Row],[JobSatisfaction]]=1,"Low",IF(HR_Data[[#This Row],[JobSatisfaction]]=2,"Medium",IF(HR_Data[[#This Row],[JobSatisfaction]]=3,"High","Very High")))</f>
        <v>Very High</v>
      </c>
      <c r="AP93" s="1" t="str">
        <f>IF(HR_Data[[#This Row],[WorkLifeBalance]]=1,"Bad",IF(HR_Data[[#This Row],[WorkLifeBalance]]=2,"Good",IF(HR_Data[[#This Row],[WorkLifeBalance]]=3,"Better","Best")))</f>
        <v>Bad</v>
      </c>
    </row>
    <row r="94" spans="1:42" x14ac:dyDescent="0.3">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c r="AJ94">
        <f>IF(HR_Data[[#This Row],[Attrition]]="Yes",1,0)</f>
        <v>0</v>
      </c>
      <c r="AK94">
        <f>IF(HR_Data[[#This Row],[Attrition]]="No",1,0)</f>
        <v>1</v>
      </c>
      <c r="AL94" t="str">
        <f>IF(HR_Data[[#This Row],[Age]]&lt;25,"Under 25",IF(HR_Data[[#This Row],[Age]]&lt;=34,"25-34",IF(HR_Data[[#This Row],[Age]]&lt;=44,"35-44",IF(HR_Data[[#This Row],[Age]]&lt;=54,"45-54","55+"))))</f>
        <v>25-34</v>
      </c>
      <c r="AM94" s="1" t="str">
        <f>IF(HR_Data[[#This Row],[MonthlyIncome]]&lt;3000,"Low Salary",IF(HR_Data[[#This Row],[MonthlyIncome]]&lt;=7000,"Medium Salary","High Salary"))</f>
        <v>Medium Salary</v>
      </c>
      <c r="AN94" s="1" t="str">
        <f>IF(HR_Data[[#This Row],[YearsAtCompany]]&lt;2,"0-1 Years",IF(HR_Data[[#This Row],[YearsAtCompany]]&lt;=5,"2-5 Years",IF(HR_Data[[#This Row],[YearsAtCompany]]&lt;=10,"6-10 Years","10+ Years")))</f>
        <v>10+ Years</v>
      </c>
      <c r="AO94" s="1" t="str">
        <f>IF(HR_Data[[#This Row],[JobSatisfaction]]=1,"Low",IF(HR_Data[[#This Row],[JobSatisfaction]]=2,"Medium",IF(HR_Data[[#This Row],[JobSatisfaction]]=3,"High","Very High")))</f>
        <v>Medium</v>
      </c>
      <c r="AP94" s="1" t="str">
        <f>IF(HR_Data[[#This Row],[WorkLifeBalance]]=1,"Bad",IF(HR_Data[[#This Row],[WorkLifeBalance]]=2,"Good",IF(HR_Data[[#This Row],[WorkLifeBalance]]=3,"Better","Best")))</f>
        <v>Good</v>
      </c>
    </row>
    <row r="95" spans="1:42" x14ac:dyDescent="0.3">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c r="AJ95">
        <f>IF(HR_Data[[#This Row],[Attrition]]="Yes",1,0)</f>
        <v>0</v>
      </c>
      <c r="AK95">
        <f>IF(HR_Data[[#This Row],[Attrition]]="No",1,0)</f>
        <v>1</v>
      </c>
      <c r="AL95" t="str">
        <f>IF(HR_Data[[#This Row],[Age]]&lt;25,"Under 25",IF(HR_Data[[#This Row],[Age]]&lt;=34,"25-34",IF(HR_Data[[#This Row],[Age]]&lt;=44,"35-44",IF(HR_Data[[#This Row],[Age]]&lt;=54,"45-54","55+"))))</f>
        <v>45-54</v>
      </c>
      <c r="AM95" s="1" t="str">
        <f>IF(HR_Data[[#This Row],[MonthlyIncome]]&lt;3000,"Low Salary",IF(HR_Data[[#This Row],[MonthlyIncome]]&lt;=7000,"Medium Salary","High Salary"))</f>
        <v>High Salary</v>
      </c>
      <c r="AN95" s="1" t="str">
        <f>IF(HR_Data[[#This Row],[YearsAtCompany]]&lt;2,"0-1 Years",IF(HR_Data[[#This Row],[YearsAtCompany]]&lt;=5,"2-5 Years",IF(HR_Data[[#This Row],[YearsAtCompany]]&lt;=10,"6-10 Years","10+ Years")))</f>
        <v>6-10 Years</v>
      </c>
      <c r="AO95" s="1" t="str">
        <f>IF(HR_Data[[#This Row],[JobSatisfaction]]=1,"Low",IF(HR_Data[[#This Row],[JobSatisfaction]]=2,"Medium",IF(HR_Data[[#This Row],[JobSatisfaction]]=3,"High","Very High")))</f>
        <v>Low</v>
      </c>
      <c r="AP95" s="1" t="str">
        <f>IF(HR_Data[[#This Row],[WorkLifeBalance]]=1,"Bad",IF(HR_Data[[#This Row],[WorkLifeBalance]]=2,"Good",IF(HR_Data[[#This Row],[WorkLifeBalance]]=3,"Better","Best")))</f>
        <v>Good</v>
      </c>
    </row>
    <row r="96" spans="1:42" x14ac:dyDescent="0.3">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c r="AJ96">
        <f>IF(HR_Data[[#This Row],[Attrition]]="Yes",1,0)</f>
        <v>0</v>
      </c>
      <c r="AK96">
        <f>IF(HR_Data[[#This Row],[Attrition]]="No",1,0)</f>
        <v>1</v>
      </c>
      <c r="AL96" t="str">
        <f>IF(HR_Data[[#This Row],[Age]]&lt;25,"Under 25",IF(HR_Data[[#This Row],[Age]]&lt;=34,"25-34",IF(HR_Data[[#This Row],[Age]]&lt;=44,"35-44",IF(HR_Data[[#This Row],[Age]]&lt;=54,"45-54","55+"))))</f>
        <v>25-34</v>
      </c>
      <c r="AM96" s="1" t="str">
        <f>IF(HR_Data[[#This Row],[MonthlyIncome]]&lt;3000,"Low Salary",IF(HR_Data[[#This Row],[MonthlyIncome]]&lt;=7000,"Medium Salary","High Salary"))</f>
        <v>Medium Salary</v>
      </c>
      <c r="AN96" s="1" t="str">
        <f>IF(HR_Data[[#This Row],[YearsAtCompany]]&lt;2,"0-1 Years",IF(HR_Data[[#This Row],[YearsAtCompany]]&lt;=5,"2-5 Years",IF(HR_Data[[#This Row],[YearsAtCompany]]&lt;=10,"6-10 Years","10+ Years")))</f>
        <v>10+ Years</v>
      </c>
      <c r="AO96" s="1" t="str">
        <f>IF(HR_Data[[#This Row],[JobSatisfaction]]=1,"Low",IF(HR_Data[[#This Row],[JobSatisfaction]]=2,"Medium",IF(HR_Data[[#This Row],[JobSatisfaction]]=3,"High","Very High")))</f>
        <v>High</v>
      </c>
      <c r="AP96" s="1" t="str">
        <f>IF(HR_Data[[#This Row],[WorkLifeBalance]]=1,"Bad",IF(HR_Data[[#This Row],[WorkLifeBalance]]=2,"Good",IF(HR_Data[[#This Row],[WorkLifeBalance]]=3,"Better","Best")))</f>
        <v>Better</v>
      </c>
    </row>
    <row r="97" spans="1:42" x14ac:dyDescent="0.3">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c r="AJ97">
        <f>IF(HR_Data[[#This Row],[Attrition]]="Yes",1,0)</f>
        <v>0</v>
      </c>
      <c r="AK97">
        <f>IF(HR_Data[[#This Row],[Attrition]]="No",1,0)</f>
        <v>1</v>
      </c>
      <c r="AL97" t="str">
        <f>IF(HR_Data[[#This Row],[Age]]&lt;25,"Under 25",IF(HR_Data[[#This Row],[Age]]&lt;=34,"25-34",IF(HR_Data[[#This Row],[Age]]&lt;=44,"35-44",IF(HR_Data[[#This Row],[Age]]&lt;=54,"45-54","55+"))))</f>
        <v>45-54</v>
      </c>
      <c r="AM97" s="1" t="str">
        <f>IF(HR_Data[[#This Row],[MonthlyIncome]]&lt;3000,"Low Salary",IF(HR_Data[[#This Row],[MonthlyIncome]]&lt;=7000,"Medium Salary","High Salary"))</f>
        <v>High Salary</v>
      </c>
      <c r="AN97" s="1" t="str">
        <f>IF(HR_Data[[#This Row],[YearsAtCompany]]&lt;2,"0-1 Years",IF(HR_Data[[#This Row],[YearsAtCompany]]&lt;=5,"2-5 Years",IF(HR_Data[[#This Row],[YearsAtCompany]]&lt;=10,"6-10 Years","10+ Years")))</f>
        <v>2-5 Years</v>
      </c>
      <c r="AO97" s="1" t="str">
        <f>IF(HR_Data[[#This Row],[JobSatisfaction]]=1,"Low",IF(HR_Data[[#This Row],[JobSatisfaction]]=2,"Medium",IF(HR_Data[[#This Row],[JobSatisfaction]]=3,"High","Very High")))</f>
        <v>High</v>
      </c>
      <c r="AP97" s="1" t="str">
        <f>IF(HR_Data[[#This Row],[WorkLifeBalance]]=1,"Bad",IF(HR_Data[[#This Row],[WorkLifeBalance]]=2,"Good",IF(HR_Data[[#This Row],[WorkLifeBalance]]=3,"Better","Best")))</f>
        <v>Bad</v>
      </c>
    </row>
    <row r="98" spans="1:42" x14ac:dyDescent="0.3">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c r="AJ98">
        <f>IF(HR_Data[[#This Row],[Attrition]]="Yes",1,0)</f>
        <v>0</v>
      </c>
      <c r="AK98">
        <f>IF(HR_Data[[#This Row],[Attrition]]="No",1,0)</f>
        <v>1</v>
      </c>
      <c r="AL98" t="str">
        <f>IF(HR_Data[[#This Row],[Age]]&lt;25,"Under 25",IF(HR_Data[[#This Row],[Age]]&lt;=34,"25-34",IF(HR_Data[[#This Row],[Age]]&lt;=44,"35-44",IF(HR_Data[[#This Row],[Age]]&lt;=54,"45-54","55+"))))</f>
        <v>Under 25</v>
      </c>
      <c r="AM98" s="1" t="str">
        <f>IF(HR_Data[[#This Row],[MonthlyIncome]]&lt;3000,"Low Salary",IF(HR_Data[[#This Row],[MonthlyIncome]]&lt;=7000,"Medium Salary","High Salary"))</f>
        <v>Medium Salary</v>
      </c>
      <c r="AN98" s="1" t="str">
        <f>IF(HR_Data[[#This Row],[YearsAtCompany]]&lt;2,"0-1 Years",IF(HR_Data[[#This Row],[YearsAtCompany]]&lt;=5,"2-5 Years",IF(HR_Data[[#This Row],[YearsAtCompany]]&lt;=10,"6-10 Years","10+ Years")))</f>
        <v>2-5 Years</v>
      </c>
      <c r="AO98" s="1" t="str">
        <f>IF(HR_Data[[#This Row],[JobSatisfaction]]=1,"Low",IF(HR_Data[[#This Row],[JobSatisfaction]]=2,"Medium",IF(HR_Data[[#This Row],[JobSatisfaction]]=3,"High","Very High")))</f>
        <v>High</v>
      </c>
      <c r="AP98" s="1" t="str">
        <f>IF(HR_Data[[#This Row],[WorkLifeBalance]]=1,"Bad",IF(HR_Data[[#This Row],[WorkLifeBalance]]=2,"Good",IF(HR_Data[[#This Row],[WorkLifeBalance]]=3,"Better","Best")))</f>
        <v>Good</v>
      </c>
    </row>
    <row r="99" spans="1:42" x14ac:dyDescent="0.3">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c r="AJ99">
        <f>IF(HR_Data[[#This Row],[Attrition]]="Yes",1,0)</f>
        <v>0</v>
      </c>
      <c r="AK99">
        <f>IF(HR_Data[[#This Row],[Attrition]]="No",1,0)</f>
        <v>1</v>
      </c>
      <c r="AL99" t="str">
        <f>IF(HR_Data[[#This Row],[Age]]&lt;25,"Under 25",IF(HR_Data[[#This Row],[Age]]&lt;=34,"25-34",IF(HR_Data[[#This Row],[Age]]&lt;=44,"35-44",IF(HR_Data[[#This Row],[Age]]&lt;=54,"45-54","55+"))))</f>
        <v>25-34</v>
      </c>
      <c r="AM99" s="1" t="str">
        <f>IF(HR_Data[[#This Row],[MonthlyIncome]]&lt;3000,"Low Salary",IF(HR_Data[[#This Row],[MonthlyIncome]]&lt;=7000,"Medium Salary","High Salary"))</f>
        <v>Medium Salary</v>
      </c>
      <c r="AN99" s="1" t="str">
        <f>IF(HR_Data[[#This Row],[YearsAtCompany]]&lt;2,"0-1 Years",IF(HR_Data[[#This Row],[YearsAtCompany]]&lt;=5,"2-5 Years",IF(HR_Data[[#This Row],[YearsAtCompany]]&lt;=10,"6-10 Years","10+ Years")))</f>
        <v>2-5 Years</v>
      </c>
      <c r="AO99" s="1" t="str">
        <f>IF(HR_Data[[#This Row],[JobSatisfaction]]=1,"Low",IF(HR_Data[[#This Row],[JobSatisfaction]]=2,"Medium",IF(HR_Data[[#This Row],[JobSatisfaction]]=3,"High","Very High")))</f>
        <v>High</v>
      </c>
      <c r="AP99" s="1" t="str">
        <f>IF(HR_Data[[#This Row],[WorkLifeBalance]]=1,"Bad",IF(HR_Data[[#This Row],[WorkLifeBalance]]=2,"Good",IF(HR_Data[[#This Row],[WorkLifeBalance]]=3,"Better","Best")))</f>
        <v>Best</v>
      </c>
    </row>
    <row r="100" spans="1:42" x14ac:dyDescent="0.3">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c r="AJ100">
        <f>IF(HR_Data[[#This Row],[Attrition]]="Yes",1,0)</f>
        <v>0</v>
      </c>
      <c r="AK100">
        <f>IF(HR_Data[[#This Row],[Attrition]]="No",1,0)</f>
        <v>1</v>
      </c>
      <c r="AL100" t="str">
        <f>IF(HR_Data[[#This Row],[Age]]&lt;25,"Under 25",IF(HR_Data[[#This Row],[Age]]&lt;=34,"25-34",IF(HR_Data[[#This Row],[Age]]&lt;=44,"35-44",IF(HR_Data[[#This Row],[Age]]&lt;=54,"45-54","55+"))))</f>
        <v>55+</v>
      </c>
      <c r="AM100" s="1" t="str">
        <f>IF(HR_Data[[#This Row],[MonthlyIncome]]&lt;3000,"Low Salary",IF(HR_Data[[#This Row],[MonthlyIncome]]&lt;=7000,"Medium Salary","High Salary"))</f>
        <v>High Salary</v>
      </c>
      <c r="AN100" s="1" t="str">
        <f>IF(HR_Data[[#This Row],[YearsAtCompany]]&lt;2,"0-1 Years",IF(HR_Data[[#This Row],[YearsAtCompany]]&lt;=5,"2-5 Years",IF(HR_Data[[#This Row],[YearsAtCompany]]&lt;=10,"6-10 Years","10+ Years")))</f>
        <v>10+ Years</v>
      </c>
      <c r="AO100" s="1" t="str">
        <f>IF(HR_Data[[#This Row],[JobSatisfaction]]=1,"Low",IF(HR_Data[[#This Row],[JobSatisfaction]]=2,"Medium",IF(HR_Data[[#This Row],[JobSatisfaction]]=3,"High","Very High")))</f>
        <v>High</v>
      </c>
      <c r="AP100" s="1" t="str">
        <f>IF(HR_Data[[#This Row],[WorkLifeBalance]]=1,"Bad",IF(HR_Data[[#This Row],[WorkLifeBalance]]=2,"Good",IF(HR_Data[[#This Row],[WorkLifeBalance]]=3,"Better","Best")))</f>
        <v>Good</v>
      </c>
    </row>
    <row r="101" spans="1:42" x14ac:dyDescent="0.3">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c r="AJ101">
        <f>IF(HR_Data[[#This Row],[Attrition]]="Yes",1,0)</f>
        <v>0</v>
      </c>
      <c r="AK101">
        <f>IF(HR_Data[[#This Row],[Attrition]]="No",1,0)</f>
        <v>1</v>
      </c>
      <c r="AL101" t="str">
        <f>IF(HR_Data[[#This Row],[Age]]&lt;25,"Under 25",IF(HR_Data[[#This Row],[Age]]&lt;=34,"25-34",IF(HR_Data[[#This Row],[Age]]&lt;=44,"35-44",IF(HR_Data[[#This Row],[Age]]&lt;=54,"45-54","55+"))))</f>
        <v>35-44</v>
      </c>
      <c r="AM101" s="1" t="str">
        <f>IF(HR_Data[[#This Row],[MonthlyIncome]]&lt;3000,"Low Salary",IF(HR_Data[[#This Row],[MonthlyIncome]]&lt;=7000,"Medium Salary","High Salary"))</f>
        <v>Low Salary</v>
      </c>
      <c r="AN101" s="1" t="str">
        <f>IF(HR_Data[[#This Row],[YearsAtCompany]]&lt;2,"0-1 Years",IF(HR_Data[[#This Row],[YearsAtCompany]]&lt;=5,"2-5 Years",IF(HR_Data[[#This Row],[YearsAtCompany]]&lt;=10,"6-10 Years","10+ Years")))</f>
        <v>2-5 Years</v>
      </c>
      <c r="AO101" s="1" t="str">
        <f>IF(HR_Data[[#This Row],[JobSatisfaction]]=1,"Low",IF(HR_Data[[#This Row],[JobSatisfaction]]=2,"Medium",IF(HR_Data[[#This Row],[JobSatisfaction]]=3,"High","Very High")))</f>
        <v>Medium</v>
      </c>
      <c r="AP101" s="1" t="str">
        <f>IF(HR_Data[[#This Row],[WorkLifeBalance]]=1,"Bad",IF(HR_Data[[#This Row],[WorkLifeBalance]]=2,"Good",IF(HR_Data[[#This Row],[WorkLifeBalance]]=3,"Better","Best")))</f>
        <v>Best</v>
      </c>
    </row>
    <row r="102" spans="1:42" x14ac:dyDescent="0.3">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c r="AJ102">
        <f>IF(HR_Data[[#This Row],[Attrition]]="Yes",1,0)</f>
        <v>1</v>
      </c>
      <c r="AK102">
        <f>IF(HR_Data[[#This Row],[Attrition]]="No",1,0)</f>
        <v>0</v>
      </c>
      <c r="AL102" t="str">
        <f>IF(HR_Data[[#This Row],[Age]]&lt;25,"Under 25",IF(HR_Data[[#This Row],[Age]]&lt;=34,"25-34",IF(HR_Data[[#This Row],[Age]]&lt;=44,"35-44",IF(HR_Data[[#This Row],[Age]]&lt;=54,"45-54","55+"))))</f>
        <v>35-44</v>
      </c>
      <c r="AM102" s="1" t="str">
        <f>IF(HR_Data[[#This Row],[MonthlyIncome]]&lt;3000,"Low Salary",IF(HR_Data[[#This Row],[MonthlyIncome]]&lt;=7000,"Medium Salary","High Salary"))</f>
        <v>Low Salary</v>
      </c>
      <c r="AN102" s="1" t="str">
        <f>IF(HR_Data[[#This Row],[YearsAtCompany]]&lt;2,"0-1 Years",IF(HR_Data[[#This Row],[YearsAtCompany]]&lt;=5,"2-5 Years",IF(HR_Data[[#This Row],[YearsAtCompany]]&lt;=10,"6-10 Years","10+ Years")))</f>
        <v>2-5 Years</v>
      </c>
      <c r="AO102" s="1" t="str">
        <f>IF(HR_Data[[#This Row],[JobSatisfaction]]=1,"Low",IF(HR_Data[[#This Row],[JobSatisfaction]]=2,"Medium",IF(HR_Data[[#This Row],[JobSatisfaction]]=3,"High","Very High")))</f>
        <v>Low</v>
      </c>
      <c r="AP102" s="1" t="str">
        <f>IF(HR_Data[[#This Row],[WorkLifeBalance]]=1,"Bad",IF(HR_Data[[#This Row],[WorkLifeBalance]]=2,"Good",IF(HR_Data[[#This Row],[WorkLifeBalance]]=3,"Better","Best")))</f>
        <v>Better</v>
      </c>
    </row>
    <row r="103" spans="1:42" x14ac:dyDescent="0.3">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c r="AJ103">
        <f>IF(HR_Data[[#This Row],[Attrition]]="Yes",1,0)</f>
        <v>0</v>
      </c>
      <c r="AK103">
        <f>IF(HR_Data[[#This Row],[Attrition]]="No",1,0)</f>
        <v>1</v>
      </c>
      <c r="AL103" t="str">
        <f>IF(HR_Data[[#This Row],[Age]]&lt;25,"Under 25",IF(HR_Data[[#This Row],[Age]]&lt;=34,"25-34",IF(HR_Data[[#This Row],[Age]]&lt;=44,"35-44",IF(HR_Data[[#This Row],[Age]]&lt;=54,"45-54","55+"))))</f>
        <v>25-34</v>
      </c>
      <c r="AM103" s="1" t="str">
        <f>IF(HR_Data[[#This Row],[MonthlyIncome]]&lt;3000,"Low Salary",IF(HR_Data[[#This Row],[MonthlyIncome]]&lt;=7000,"Medium Salary","High Salary"))</f>
        <v>Low Salary</v>
      </c>
      <c r="AN103" s="1" t="str">
        <f>IF(HR_Data[[#This Row],[YearsAtCompany]]&lt;2,"0-1 Years",IF(HR_Data[[#This Row],[YearsAtCompany]]&lt;=5,"2-5 Years",IF(HR_Data[[#This Row],[YearsAtCompany]]&lt;=10,"6-10 Years","10+ Years")))</f>
        <v>0-1 Years</v>
      </c>
      <c r="AO103" s="1" t="str">
        <f>IF(HR_Data[[#This Row],[JobSatisfaction]]=1,"Low",IF(HR_Data[[#This Row],[JobSatisfaction]]=2,"Medium",IF(HR_Data[[#This Row],[JobSatisfaction]]=3,"High","Very High")))</f>
        <v>Low</v>
      </c>
      <c r="AP103" s="1" t="str">
        <f>IF(HR_Data[[#This Row],[WorkLifeBalance]]=1,"Bad",IF(HR_Data[[#This Row],[WorkLifeBalance]]=2,"Good",IF(HR_Data[[#This Row],[WorkLifeBalance]]=3,"Better","Best")))</f>
        <v>Better</v>
      </c>
    </row>
    <row r="104" spans="1:42" x14ac:dyDescent="0.3">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c r="AJ104">
        <f>IF(HR_Data[[#This Row],[Attrition]]="Yes",1,0)</f>
        <v>1</v>
      </c>
      <c r="AK104">
        <f>IF(HR_Data[[#This Row],[Attrition]]="No",1,0)</f>
        <v>0</v>
      </c>
      <c r="AL104" t="str">
        <f>IF(HR_Data[[#This Row],[Age]]&lt;25,"Under 25",IF(HR_Data[[#This Row],[Age]]&lt;=34,"25-34",IF(HR_Data[[#This Row],[Age]]&lt;=44,"35-44",IF(HR_Data[[#This Row],[Age]]&lt;=54,"45-54","55+"))))</f>
        <v>Under 25</v>
      </c>
      <c r="AM104" s="1" t="str">
        <f>IF(HR_Data[[#This Row],[MonthlyIncome]]&lt;3000,"Low Salary",IF(HR_Data[[#This Row],[MonthlyIncome]]&lt;=7000,"Medium Salary","High Salary"))</f>
        <v>Low Salary</v>
      </c>
      <c r="AN104" s="1" t="str">
        <f>IF(HR_Data[[#This Row],[YearsAtCompany]]&lt;2,"0-1 Years",IF(HR_Data[[#This Row],[YearsAtCompany]]&lt;=5,"2-5 Years",IF(HR_Data[[#This Row],[YearsAtCompany]]&lt;=10,"6-10 Years","10+ Years")))</f>
        <v>0-1 Years</v>
      </c>
      <c r="AO104" s="1" t="str">
        <f>IF(HR_Data[[#This Row],[JobSatisfaction]]=1,"Low",IF(HR_Data[[#This Row],[JobSatisfaction]]=2,"Medium",IF(HR_Data[[#This Row],[JobSatisfaction]]=3,"High","Very High")))</f>
        <v>Very High</v>
      </c>
      <c r="AP104" s="1" t="str">
        <f>IF(HR_Data[[#This Row],[WorkLifeBalance]]=1,"Bad",IF(HR_Data[[#This Row],[WorkLifeBalance]]=2,"Good",IF(HR_Data[[#This Row],[WorkLifeBalance]]=3,"Better","Best")))</f>
        <v>Better</v>
      </c>
    </row>
    <row r="105" spans="1:42" x14ac:dyDescent="0.3">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c r="AJ105">
        <f>IF(HR_Data[[#This Row],[Attrition]]="Yes",1,0)</f>
        <v>0</v>
      </c>
      <c r="AK105">
        <f>IF(HR_Data[[#This Row],[Attrition]]="No",1,0)</f>
        <v>1</v>
      </c>
      <c r="AL105" t="str">
        <f>IF(HR_Data[[#This Row],[Age]]&lt;25,"Under 25",IF(HR_Data[[#This Row],[Age]]&lt;=34,"25-34",IF(HR_Data[[#This Row],[Age]]&lt;=44,"35-44",IF(HR_Data[[#This Row],[Age]]&lt;=54,"45-54","55+"))))</f>
        <v>25-34</v>
      </c>
      <c r="AM105" s="1" t="str">
        <f>IF(HR_Data[[#This Row],[MonthlyIncome]]&lt;3000,"Low Salary",IF(HR_Data[[#This Row],[MonthlyIncome]]&lt;=7000,"Medium Salary","High Salary"))</f>
        <v>Medium Salary</v>
      </c>
      <c r="AN105" s="1" t="str">
        <f>IF(HR_Data[[#This Row],[YearsAtCompany]]&lt;2,"0-1 Years",IF(HR_Data[[#This Row],[YearsAtCompany]]&lt;=5,"2-5 Years",IF(HR_Data[[#This Row],[YearsAtCompany]]&lt;=10,"6-10 Years","10+ Years")))</f>
        <v>10+ Years</v>
      </c>
      <c r="AO105" s="1" t="str">
        <f>IF(HR_Data[[#This Row],[JobSatisfaction]]=1,"Low",IF(HR_Data[[#This Row],[JobSatisfaction]]=2,"Medium",IF(HR_Data[[#This Row],[JobSatisfaction]]=3,"High","Very High")))</f>
        <v>High</v>
      </c>
      <c r="AP105" s="1" t="str">
        <f>IF(HR_Data[[#This Row],[WorkLifeBalance]]=1,"Bad",IF(HR_Data[[#This Row],[WorkLifeBalance]]=2,"Good",IF(HR_Data[[#This Row],[WorkLifeBalance]]=3,"Better","Best")))</f>
        <v>Better</v>
      </c>
    </row>
    <row r="106" spans="1:42" x14ac:dyDescent="0.3">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c r="AJ106">
        <f>IF(HR_Data[[#This Row],[Attrition]]="Yes",1,0)</f>
        <v>0</v>
      </c>
      <c r="AK106">
        <f>IF(HR_Data[[#This Row],[Attrition]]="No",1,0)</f>
        <v>1</v>
      </c>
      <c r="AL106" t="str">
        <f>IF(HR_Data[[#This Row],[Age]]&lt;25,"Under 25",IF(HR_Data[[#This Row],[Age]]&lt;=34,"25-34",IF(HR_Data[[#This Row],[Age]]&lt;=44,"35-44",IF(HR_Data[[#This Row],[Age]]&lt;=54,"45-54","55+"))))</f>
        <v>35-44</v>
      </c>
      <c r="AM106" s="1" t="str">
        <f>IF(HR_Data[[#This Row],[MonthlyIncome]]&lt;3000,"Low Salary",IF(HR_Data[[#This Row],[MonthlyIncome]]&lt;=7000,"Medium Salary","High Salary"))</f>
        <v>Medium Salary</v>
      </c>
      <c r="AN106" s="1" t="str">
        <f>IF(HR_Data[[#This Row],[YearsAtCompany]]&lt;2,"0-1 Years",IF(HR_Data[[#This Row],[YearsAtCompany]]&lt;=5,"2-5 Years",IF(HR_Data[[#This Row],[YearsAtCompany]]&lt;=10,"6-10 Years","10+ Years")))</f>
        <v>0-1 Years</v>
      </c>
      <c r="AO106" s="1" t="str">
        <f>IF(HR_Data[[#This Row],[JobSatisfaction]]=1,"Low",IF(HR_Data[[#This Row],[JobSatisfaction]]=2,"Medium",IF(HR_Data[[#This Row],[JobSatisfaction]]=3,"High","Very High")))</f>
        <v>Very High</v>
      </c>
      <c r="AP106" s="1" t="str">
        <f>IF(HR_Data[[#This Row],[WorkLifeBalance]]=1,"Bad",IF(HR_Data[[#This Row],[WorkLifeBalance]]=2,"Good",IF(HR_Data[[#This Row],[WorkLifeBalance]]=3,"Better","Best")))</f>
        <v>Best</v>
      </c>
    </row>
    <row r="107" spans="1:42" x14ac:dyDescent="0.3">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c r="AJ107">
        <f>IF(HR_Data[[#This Row],[Attrition]]="Yes",1,0)</f>
        <v>0</v>
      </c>
      <c r="AK107">
        <f>IF(HR_Data[[#This Row],[Attrition]]="No",1,0)</f>
        <v>1</v>
      </c>
      <c r="AL107" t="str">
        <f>IF(HR_Data[[#This Row],[Age]]&lt;25,"Under 25",IF(HR_Data[[#This Row],[Age]]&lt;=34,"25-34",IF(HR_Data[[#This Row],[Age]]&lt;=44,"35-44",IF(HR_Data[[#This Row],[Age]]&lt;=54,"45-54","55+"))))</f>
        <v>55+</v>
      </c>
      <c r="AM107" s="1" t="str">
        <f>IF(HR_Data[[#This Row],[MonthlyIncome]]&lt;3000,"Low Salary",IF(HR_Data[[#This Row],[MonthlyIncome]]&lt;=7000,"Medium Salary","High Salary"))</f>
        <v>High Salary</v>
      </c>
      <c r="AN107" s="1" t="str">
        <f>IF(HR_Data[[#This Row],[YearsAtCompany]]&lt;2,"0-1 Years",IF(HR_Data[[#This Row],[YearsAtCompany]]&lt;=5,"2-5 Years",IF(HR_Data[[#This Row],[YearsAtCompany]]&lt;=10,"6-10 Years","10+ Years")))</f>
        <v>2-5 Years</v>
      </c>
      <c r="AO107" s="1" t="str">
        <f>IF(HR_Data[[#This Row],[JobSatisfaction]]=1,"Low",IF(HR_Data[[#This Row],[JobSatisfaction]]=2,"Medium",IF(HR_Data[[#This Row],[JobSatisfaction]]=3,"High","Very High")))</f>
        <v>Very High</v>
      </c>
      <c r="AP107" s="1" t="str">
        <f>IF(HR_Data[[#This Row],[WorkLifeBalance]]=1,"Bad",IF(HR_Data[[#This Row],[WorkLifeBalance]]=2,"Good",IF(HR_Data[[#This Row],[WorkLifeBalance]]=3,"Better","Best")))</f>
        <v>Better</v>
      </c>
    </row>
    <row r="108" spans="1:42" x14ac:dyDescent="0.3">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c r="AJ108">
        <f>IF(HR_Data[[#This Row],[Attrition]]="Yes",1,0)</f>
        <v>0</v>
      </c>
      <c r="AK108">
        <f>IF(HR_Data[[#This Row],[Attrition]]="No",1,0)</f>
        <v>1</v>
      </c>
      <c r="AL108" t="str">
        <f>IF(HR_Data[[#This Row],[Age]]&lt;25,"Under 25",IF(HR_Data[[#This Row],[Age]]&lt;=34,"25-34",IF(HR_Data[[#This Row],[Age]]&lt;=44,"35-44",IF(HR_Data[[#This Row],[Age]]&lt;=54,"45-54","55+"))))</f>
        <v>45-54</v>
      </c>
      <c r="AM108" s="1" t="str">
        <f>IF(HR_Data[[#This Row],[MonthlyIncome]]&lt;3000,"Low Salary",IF(HR_Data[[#This Row],[MonthlyIncome]]&lt;=7000,"Medium Salary","High Salary"))</f>
        <v>High Salary</v>
      </c>
      <c r="AN108" s="1" t="str">
        <f>IF(HR_Data[[#This Row],[YearsAtCompany]]&lt;2,"0-1 Years",IF(HR_Data[[#This Row],[YearsAtCompany]]&lt;=5,"2-5 Years",IF(HR_Data[[#This Row],[YearsAtCompany]]&lt;=10,"6-10 Years","10+ Years")))</f>
        <v>6-10 Years</v>
      </c>
      <c r="AO108" s="1" t="str">
        <f>IF(HR_Data[[#This Row],[JobSatisfaction]]=1,"Low",IF(HR_Data[[#This Row],[JobSatisfaction]]=2,"Medium",IF(HR_Data[[#This Row],[JobSatisfaction]]=3,"High","Very High")))</f>
        <v>Medium</v>
      </c>
      <c r="AP108" s="1" t="str">
        <f>IF(HR_Data[[#This Row],[WorkLifeBalance]]=1,"Bad",IF(HR_Data[[#This Row],[WorkLifeBalance]]=2,"Good",IF(HR_Data[[#This Row],[WorkLifeBalance]]=3,"Better","Best")))</f>
        <v>Good</v>
      </c>
    </row>
    <row r="109" spans="1:42" x14ac:dyDescent="0.3">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c r="AJ109">
        <f>IF(HR_Data[[#This Row],[Attrition]]="Yes",1,0)</f>
        <v>1</v>
      </c>
      <c r="AK109">
        <f>IF(HR_Data[[#This Row],[Attrition]]="No",1,0)</f>
        <v>0</v>
      </c>
      <c r="AL109" t="str">
        <f>IF(HR_Data[[#This Row],[Age]]&lt;25,"Under 25",IF(HR_Data[[#This Row],[Age]]&lt;=34,"25-34",IF(HR_Data[[#This Row],[Age]]&lt;=44,"35-44",IF(HR_Data[[#This Row],[Age]]&lt;=54,"45-54","55+"))))</f>
        <v>25-34</v>
      </c>
      <c r="AM109" s="1" t="str">
        <f>IF(HR_Data[[#This Row],[MonthlyIncome]]&lt;3000,"Low Salary",IF(HR_Data[[#This Row],[MonthlyIncome]]&lt;=7000,"Medium Salary","High Salary"))</f>
        <v>Medium Salary</v>
      </c>
      <c r="AN109" s="1" t="str">
        <f>IF(HR_Data[[#This Row],[YearsAtCompany]]&lt;2,"0-1 Years",IF(HR_Data[[#This Row],[YearsAtCompany]]&lt;=5,"2-5 Years",IF(HR_Data[[#This Row],[YearsAtCompany]]&lt;=10,"6-10 Years","10+ Years")))</f>
        <v>6-10 Years</v>
      </c>
      <c r="AO109" s="1" t="str">
        <f>IF(HR_Data[[#This Row],[JobSatisfaction]]=1,"Low",IF(HR_Data[[#This Row],[JobSatisfaction]]=2,"Medium",IF(HR_Data[[#This Row],[JobSatisfaction]]=3,"High","Very High")))</f>
        <v>High</v>
      </c>
      <c r="AP109" s="1" t="str">
        <f>IF(HR_Data[[#This Row],[WorkLifeBalance]]=1,"Bad",IF(HR_Data[[#This Row],[WorkLifeBalance]]=2,"Good",IF(HR_Data[[#This Row],[WorkLifeBalance]]=3,"Better","Best")))</f>
        <v>Better</v>
      </c>
    </row>
    <row r="110" spans="1:42" x14ac:dyDescent="0.3">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c r="AJ110">
        <f>IF(HR_Data[[#This Row],[Attrition]]="Yes",1,0)</f>
        <v>0</v>
      </c>
      <c r="AK110">
        <f>IF(HR_Data[[#This Row],[Attrition]]="No",1,0)</f>
        <v>1</v>
      </c>
      <c r="AL110" t="str">
        <f>IF(HR_Data[[#This Row],[Age]]&lt;25,"Under 25",IF(HR_Data[[#This Row],[Age]]&lt;=34,"25-34",IF(HR_Data[[#This Row],[Age]]&lt;=44,"35-44",IF(HR_Data[[#This Row],[Age]]&lt;=54,"45-54","55+"))))</f>
        <v>25-34</v>
      </c>
      <c r="AM110" s="1" t="str">
        <f>IF(HR_Data[[#This Row],[MonthlyIncome]]&lt;3000,"Low Salary",IF(HR_Data[[#This Row],[MonthlyIncome]]&lt;=7000,"Medium Salary","High Salary"))</f>
        <v>Low Salary</v>
      </c>
      <c r="AN110" s="1" t="str">
        <f>IF(HR_Data[[#This Row],[YearsAtCompany]]&lt;2,"0-1 Years",IF(HR_Data[[#This Row],[YearsAtCompany]]&lt;=5,"2-5 Years",IF(HR_Data[[#This Row],[YearsAtCompany]]&lt;=10,"6-10 Years","10+ Years")))</f>
        <v>2-5 Years</v>
      </c>
      <c r="AO110" s="1" t="str">
        <f>IF(HR_Data[[#This Row],[JobSatisfaction]]=1,"Low",IF(HR_Data[[#This Row],[JobSatisfaction]]=2,"Medium",IF(HR_Data[[#This Row],[JobSatisfaction]]=3,"High","Very High")))</f>
        <v>Very High</v>
      </c>
      <c r="AP110" s="1" t="str">
        <f>IF(HR_Data[[#This Row],[WorkLifeBalance]]=1,"Bad",IF(HR_Data[[#This Row],[WorkLifeBalance]]=2,"Good",IF(HR_Data[[#This Row],[WorkLifeBalance]]=3,"Better","Best")))</f>
        <v>Better</v>
      </c>
    </row>
    <row r="111" spans="1:42" x14ac:dyDescent="0.3">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c r="AJ111">
        <f>IF(HR_Data[[#This Row],[Attrition]]="Yes",1,0)</f>
        <v>0</v>
      </c>
      <c r="AK111">
        <f>IF(HR_Data[[#This Row],[Attrition]]="No",1,0)</f>
        <v>1</v>
      </c>
      <c r="AL111" t="str">
        <f>IF(HR_Data[[#This Row],[Age]]&lt;25,"Under 25",IF(HR_Data[[#This Row],[Age]]&lt;=34,"25-34",IF(HR_Data[[#This Row],[Age]]&lt;=44,"35-44",IF(HR_Data[[#This Row],[Age]]&lt;=54,"45-54","55+"))))</f>
        <v>Under 25</v>
      </c>
      <c r="AM111" s="1" t="str">
        <f>IF(HR_Data[[#This Row],[MonthlyIncome]]&lt;3000,"Low Salary",IF(HR_Data[[#This Row],[MonthlyIncome]]&lt;=7000,"Medium Salary","High Salary"))</f>
        <v>Low Salary</v>
      </c>
      <c r="AN111" s="1" t="str">
        <f>IF(HR_Data[[#This Row],[YearsAtCompany]]&lt;2,"0-1 Years",IF(HR_Data[[#This Row],[YearsAtCompany]]&lt;=5,"2-5 Years",IF(HR_Data[[#This Row],[YearsAtCompany]]&lt;=10,"6-10 Years","10+ Years")))</f>
        <v>0-1 Years</v>
      </c>
      <c r="AO111" s="1" t="str">
        <f>IF(HR_Data[[#This Row],[JobSatisfaction]]=1,"Low",IF(HR_Data[[#This Row],[JobSatisfaction]]=2,"Medium",IF(HR_Data[[#This Row],[JobSatisfaction]]=3,"High","Very High")))</f>
        <v>Very High</v>
      </c>
      <c r="AP111" s="1" t="str">
        <f>IF(HR_Data[[#This Row],[WorkLifeBalance]]=1,"Bad",IF(HR_Data[[#This Row],[WorkLifeBalance]]=2,"Good",IF(HR_Data[[#This Row],[WorkLifeBalance]]=3,"Better","Best")))</f>
        <v>Better</v>
      </c>
    </row>
    <row r="112" spans="1:42" x14ac:dyDescent="0.3">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c r="AJ112">
        <f>IF(HR_Data[[#This Row],[Attrition]]="Yes",1,0)</f>
        <v>0</v>
      </c>
      <c r="AK112">
        <f>IF(HR_Data[[#This Row],[Attrition]]="No",1,0)</f>
        <v>1</v>
      </c>
      <c r="AL112" t="str">
        <f>IF(HR_Data[[#This Row],[Age]]&lt;25,"Under 25",IF(HR_Data[[#This Row],[Age]]&lt;=34,"25-34",IF(HR_Data[[#This Row],[Age]]&lt;=44,"35-44",IF(HR_Data[[#This Row],[Age]]&lt;=54,"45-54","55+"))))</f>
        <v>45-54</v>
      </c>
      <c r="AM112" s="1" t="str">
        <f>IF(HR_Data[[#This Row],[MonthlyIncome]]&lt;3000,"Low Salary",IF(HR_Data[[#This Row],[MonthlyIncome]]&lt;=7000,"Medium Salary","High Salary"))</f>
        <v>High Salary</v>
      </c>
      <c r="AN112" s="1" t="str">
        <f>IF(HR_Data[[#This Row],[YearsAtCompany]]&lt;2,"0-1 Years",IF(HR_Data[[#This Row],[YearsAtCompany]]&lt;=5,"2-5 Years",IF(HR_Data[[#This Row],[YearsAtCompany]]&lt;=10,"6-10 Years","10+ Years")))</f>
        <v>10+ Years</v>
      </c>
      <c r="AO112" s="1" t="str">
        <f>IF(HR_Data[[#This Row],[JobSatisfaction]]=1,"Low",IF(HR_Data[[#This Row],[JobSatisfaction]]=2,"Medium",IF(HR_Data[[#This Row],[JobSatisfaction]]=3,"High","Very High")))</f>
        <v>Low</v>
      </c>
      <c r="AP112" s="1" t="str">
        <f>IF(HR_Data[[#This Row],[WorkLifeBalance]]=1,"Bad",IF(HR_Data[[#This Row],[WorkLifeBalance]]=2,"Good",IF(HR_Data[[#This Row],[WorkLifeBalance]]=3,"Better","Best")))</f>
        <v>Good</v>
      </c>
    </row>
    <row r="113" spans="1:42" x14ac:dyDescent="0.3">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c r="AJ113">
        <f>IF(HR_Data[[#This Row],[Attrition]]="Yes",1,0)</f>
        <v>1</v>
      </c>
      <c r="AK113">
        <f>IF(HR_Data[[#This Row],[Attrition]]="No",1,0)</f>
        <v>0</v>
      </c>
      <c r="AL113" t="str">
        <f>IF(HR_Data[[#This Row],[Age]]&lt;25,"Under 25",IF(HR_Data[[#This Row],[Age]]&lt;=34,"25-34",IF(HR_Data[[#This Row],[Age]]&lt;=44,"35-44",IF(HR_Data[[#This Row],[Age]]&lt;=54,"45-54","55+"))))</f>
        <v>25-34</v>
      </c>
      <c r="AM113" s="1" t="str">
        <f>IF(HR_Data[[#This Row],[MonthlyIncome]]&lt;3000,"Low Salary",IF(HR_Data[[#This Row],[MonthlyIncome]]&lt;=7000,"Medium Salary","High Salary"))</f>
        <v>Medium Salary</v>
      </c>
      <c r="AN113" s="1" t="str">
        <f>IF(HR_Data[[#This Row],[YearsAtCompany]]&lt;2,"0-1 Years",IF(HR_Data[[#This Row],[YearsAtCompany]]&lt;=5,"2-5 Years",IF(HR_Data[[#This Row],[YearsAtCompany]]&lt;=10,"6-10 Years","10+ Years")))</f>
        <v>6-10 Years</v>
      </c>
      <c r="AO113" s="1" t="str">
        <f>IF(HR_Data[[#This Row],[JobSatisfaction]]=1,"Low",IF(HR_Data[[#This Row],[JobSatisfaction]]=2,"Medium",IF(HR_Data[[#This Row],[JobSatisfaction]]=3,"High","Very High")))</f>
        <v>High</v>
      </c>
      <c r="AP113" s="1" t="str">
        <f>IF(HR_Data[[#This Row],[WorkLifeBalance]]=1,"Bad",IF(HR_Data[[#This Row],[WorkLifeBalance]]=2,"Good",IF(HR_Data[[#This Row],[WorkLifeBalance]]=3,"Better","Best")))</f>
        <v>Better</v>
      </c>
    </row>
    <row r="114" spans="1:42" x14ac:dyDescent="0.3">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c r="AJ114">
        <f>IF(HR_Data[[#This Row],[Attrition]]="Yes",1,0)</f>
        <v>0</v>
      </c>
      <c r="AK114">
        <f>IF(HR_Data[[#This Row],[Attrition]]="No",1,0)</f>
        <v>1</v>
      </c>
      <c r="AL114" t="str">
        <f>IF(HR_Data[[#This Row],[Age]]&lt;25,"Under 25",IF(HR_Data[[#This Row],[Age]]&lt;=34,"25-34",IF(HR_Data[[#This Row],[Age]]&lt;=44,"35-44",IF(HR_Data[[#This Row],[Age]]&lt;=54,"45-54","55+"))))</f>
        <v>45-54</v>
      </c>
      <c r="AM114" s="1" t="str">
        <f>IF(HR_Data[[#This Row],[MonthlyIncome]]&lt;3000,"Low Salary",IF(HR_Data[[#This Row],[MonthlyIncome]]&lt;=7000,"Medium Salary","High Salary"))</f>
        <v>High Salary</v>
      </c>
      <c r="AN114" s="1" t="str">
        <f>IF(HR_Data[[#This Row],[YearsAtCompany]]&lt;2,"0-1 Years",IF(HR_Data[[#This Row],[YearsAtCompany]]&lt;=5,"2-5 Years",IF(HR_Data[[#This Row],[YearsAtCompany]]&lt;=10,"6-10 Years","10+ Years")))</f>
        <v>2-5 Years</v>
      </c>
      <c r="AO114" s="1" t="str">
        <f>IF(HR_Data[[#This Row],[JobSatisfaction]]=1,"Low",IF(HR_Data[[#This Row],[JobSatisfaction]]=2,"Medium",IF(HR_Data[[#This Row],[JobSatisfaction]]=3,"High","Very High")))</f>
        <v>Very High</v>
      </c>
      <c r="AP114" s="1" t="str">
        <f>IF(HR_Data[[#This Row],[WorkLifeBalance]]=1,"Bad",IF(HR_Data[[#This Row],[WorkLifeBalance]]=2,"Good",IF(HR_Data[[#This Row],[WorkLifeBalance]]=3,"Better","Best")))</f>
        <v>Better</v>
      </c>
    </row>
    <row r="115" spans="1:42" x14ac:dyDescent="0.3">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c r="AJ115">
        <f>IF(HR_Data[[#This Row],[Attrition]]="Yes",1,0)</f>
        <v>0</v>
      </c>
      <c r="AK115">
        <f>IF(HR_Data[[#This Row],[Attrition]]="No",1,0)</f>
        <v>1</v>
      </c>
      <c r="AL115" t="str">
        <f>IF(HR_Data[[#This Row],[Age]]&lt;25,"Under 25",IF(HR_Data[[#This Row],[Age]]&lt;=34,"25-34",IF(HR_Data[[#This Row],[Age]]&lt;=44,"35-44",IF(HR_Data[[#This Row],[Age]]&lt;=54,"45-54","55+"))))</f>
        <v>Under 25</v>
      </c>
      <c r="AM115" s="1" t="str">
        <f>IF(HR_Data[[#This Row],[MonthlyIncome]]&lt;3000,"Low Salary",IF(HR_Data[[#This Row],[MonthlyIncome]]&lt;=7000,"Medium Salary","High Salary"))</f>
        <v>Low Salary</v>
      </c>
      <c r="AN115" s="1" t="str">
        <f>IF(HR_Data[[#This Row],[YearsAtCompany]]&lt;2,"0-1 Years",IF(HR_Data[[#This Row],[YearsAtCompany]]&lt;=5,"2-5 Years",IF(HR_Data[[#This Row],[YearsAtCompany]]&lt;=10,"6-10 Years","10+ Years")))</f>
        <v>2-5 Years</v>
      </c>
      <c r="AO115" s="1" t="str">
        <f>IF(HR_Data[[#This Row],[JobSatisfaction]]=1,"Low",IF(HR_Data[[#This Row],[JobSatisfaction]]=2,"Medium",IF(HR_Data[[#This Row],[JobSatisfaction]]=3,"High","Very High")))</f>
        <v>High</v>
      </c>
      <c r="AP115" s="1" t="str">
        <f>IF(HR_Data[[#This Row],[WorkLifeBalance]]=1,"Bad",IF(HR_Data[[#This Row],[WorkLifeBalance]]=2,"Good",IF(HR_Data[[#This Row],[WorkLifeBalance]]=3,"Better","Best")))</f>
        <v>Better</v>
      </c>
    </row>
    <row r="116" spans="1:42" x14ac:dyDescent="0.3">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c r="AJ116">
        <f>IF(HR_Data[[#This Row],[Attrition]]="Yes",1,0)</f>
        <v>0</v>
      </c>
      <c r="AK116">
        <f>IF(HR_Data[[#This Row],[Attrition]]="No",1,0)</f>
        <v>1</v>
      </c>
      <c r="AL116" t="str">
        <f>IF(HR_Data[[#This Row],[Age]]&lt;25,"Under 25",IF(HR_Data[[#This Row],[Age]]&lt;=34,"25-34",IF(HR_Data[[#This Row],[Age]]&lt;=44,"35-44",IF(HR_Data[[#This Row],[Age]]&lt;=54,"45-54","55+"))))</f>
        <v>25-34</v>
      </c>
      <c r="AM116" s="1" t="str">
        <f>IF(HR_Data[[#This Row],[MonthlyIncome]]&lt;3000,"Low Salary",IF(HR_Data[[#This Row],[MonthlyIncome]]&lt;=7000,"Medium Salary","High Salary"))</f>
        <v>Medium Salary</v>
      </c>
      <c r="AN116" s="1" t="str">
        <f>IF(HR_Data[[#This Row],[YearsAtCompany]]&lt;2,"0-1 Years",IF(HR_Data[[#This Row],[YearsAtCompany]]&lt;=5,"2-5 Years",IF(HR_Data[[#This Row],[YearsAtCompany]]&lt;=10,"6-10 Years","10+ Years")))</f>
        <v>0-1 Years</v>
      </c>
      <c r="AO116" s="1" t="str">
        <f>IF(HR_Data[[#This Row],[JobSatisfaction]]=1,"Low",IF(HR_Data[[#This Row],[JobSatisfaction]]=2,"Medium",IF(HR_Data[[#This Row],[JobSatisfaction]]=3,"High","Very High")))</f>
        <v>Medium</v>
      </c>
      <c r="AP116" s="1" t="str">
        <f>IF(HR_Data[[#This Row],[WorkLifeBalance]]=1,"Bad",IF(HR_Data[[#This Row],[WorkLifeBalance]]=2,"Good",IF(HR_Data[[#This Row],[WorkLifeBalance]]=3,"Better","Best")))</f>
        <v>Better</v>
      </c>
    </row>
    <row r="117" spans="1:42" x14ac:dyDescent="0.3">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c r="AJ117">
        <f>IF(HR_Data[[#This Row],[Attrition]]="Yes",1,0)</f>
        <v>0</v>
      </c>
      <c r="AK117">
        <f>IF(HR_Data[[#This Row],[Attrition]]="No",1,0)</f>
        <v>1</v>
      </c>
      <c r="AL117" t="str">
        <f>IF(HR_Data[[#This Row],[Age]]&lt;25,"Under 25",IF(HR_Data[[#This Row],[Age]]&lt;=34,"25-34",IF(HR_Data[[#This Row],[Age]]&lt;=44,"35-44",IF(HR_Data[[#This Row],[Age]]&lt;=54,"45-54","55+"))))</f>
        <v>35-44</v>
      </c>
      <c r="AM117" s="1" t="str">
        <f>IF(HR_Data[[#This Row],[MonthlyIncome]]&lt;3000,"Low Salary",IF(HR_Data[[#This Row],[MonthlyIncome]]&lt;=7000,"Medium Salary","High Salary"))</f>
        <v>High Salary</v>
      </c>
      <c r="AN117" s="1" t="str">
        <f>IF(HR_Data[[#This Row],[YearsAtCompany]]&lt;2,"0-1 Years",IF(HR_Data[[#This Row],[YearsAtCompany]]&lt;=5,"2-5 Years",IF(HR_Data[[#This Row],[YearsAtCompany]]&lt;=10,"6-10 Years","10+ Years")))</f>
        <v>2-5 Years</v>
      </c>
      <c r="AO117" s="1" t="str">
        <f>IF(HR_Data[[#This Row],[JobSatisfaction]]=1,"Low",IF(HR_Data[[#This Row],[JobSatisfaction]]=2,"Medium",IF(HR_Data[[#This Row],[JobSatisfaction]]=3,"High","Very High")))</f>
        <v>Very High</v>
      </c>
      <c r="AP117" s="1" t="str">
        <f>IF(HR_Data[[#This Row],[WorkLifeBalance]]=1,"Bad",IF(HR_Data[[#This Row],[WorkLifeBalance]]=2,"Good",IF(HR_Data[[#This Row],[WorkLifeBalance]]=3,"Better","Best")))</f>
        <v>Better</v>
      </c>
    </row>
    <row r="118" spans="1:42" x14ac:dyDescent="0.3">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c r="AJ118">
        <f>IF(HR_Data[[#This Row],[Attrition]]="Yes",1,0)</f>
        <v>0</v>
      </c>
      <c r="AK118">
        <f>IF(HR_Data[[#This Row],[Attrition]]="No",1,0)</f>
        <v>1</v>
      </c>
      <c r="AL118" t="str">
        <f>IF(HR_Data[[#This Row],[Age]]&lt;25,"Under 25",IF(HR_Data[[#This Row],[Age]]&lt;=34,"25-34",IF(HR_Data[[#This Row],[Age]]&lt;=44,"35-44",IF(HR_Data[[#This Row],[Age]]&lt;=54,"45-54","55+"))))</f>
        <v>25-34</v>
      </c>
      <c r="AM118" s="1" t="str">
        <f>IF(HR_Data[[#This Row],[MonthlyIncome]]&lt;3000,"Low Salary",IF(HR_Data[[#This Row],[MonthlyIncome]]&lt;=7000,"Medium Salary","High Salary"))</f>
        <v>High Salary</v>
      </c>
      <c r="AN118" s="1" t="str">
        <f>IF(HR_Data[[#This Row],[YearsAtCompany]]&lt;2,"0-1 Years",IF(HR_Data[[#This Row],[YearsAtCompany]]&lt;=5,"2-5 Years",IF(HR_Data[[#This Row],[YearsAtCompany]]&lt;=10,"6-10 Years","10+ Years")))</f>
        <v>10+ Years</v>
      </c>
      <c r="AO118" s="1" t="str">
        <f>IF(HR_Data[[#This Row],[JobSatisfaction]]=1,"Low",IF(HR_Data[[#This Row],[JobSatisfaction]]=2,"Medium",IF(HR_Data[[#This Row],[JobSatisfaction]]=3,"High","Very High")))</f>
        <v>Low</v>
      </c>
      <c r="AP118" s="1" t="str">
        <f>IF(HR_Data[[#This Row],[WorkLifeBalance]]=1,"Bad",IF(HR_Data[[#This Row],[WorkLifeBalance]]=2,"Good",IF(HR_Data[[#This Row],[WorkLifeBalance]]=3,"Better","Best")))</f>
        <v>Better</v>
      </c>
    </row>
    <row r="119" spans="1:42" x14ac:dyDescent="0.3">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c r="AJ119">
        <f>IF(HR_Data[[#This Row],[Attrition]]="Yes",1,0)</f>
        <v>0</v>
      </c>
      <c r="AK119">
        <f>IF(HR_Data[[#This Row],[Attrition]]="No",1,0)</f>
        <v>1</v>
      </c>
      <c r="AL119" t="str">
        <f>IF(HR_Data[[#This Row],[Age]]&lt;25,"Under 25",IF(HR_Data[[#This Row],[Age]]&lt;=34,"25-34",IF(HR_Data[[#This Row],[Age]]&lt;=44,"35-44",IF(HR_Data[[#This Row],[Age]]&lt;=54,"45-54","55+"))))</f>
        <v>35-44</v>
      </c>
      <c r="AM119" s="1" t="str">
        <f>IF(HR_Data[[#This Row],[MonthlyIncome]]&lt;3000,"Low Salary",IF(HR_Data[[#This Row],[MonthlyIncome]]&lt;=7000,"Medium Salary","High Salary"))</f>
        <v>High Salary</v>
      </c>
      <c r="AN119" s="1" t="str">
        <f>IF(HR_Data[[#This Row],[YearsAtCompany]]&lt;2,"0-1 Years",IF(HR_Data[[#This Row],[YearsAtCompany]]&lt;=5,"2-5 Years",IF(HR_Data[[#This Row],[YearsAtCompany]]&lt;=10,"6-10 Years","10+ Years")))</f>
        <v>6-10 Years</v>
      </c>
      <c r="AO119" s="1" t="str">
        <f>IF(HR_Data[[#This Row],[JobSatisfaction]]=1,"Low",IF(HR_Data[[#This Row],[JobSatisfaction]]=2,"Medium",IF(HR_Data[[#This Row],[JobSatisfaction]]=3,"High","Very High")))</f>
        <v>Very High</v>
      </c>
      <c r="AP119" s="1" t="str">
        <f>IF(HR_Data[[#This Row],[WorkLifeBalance]]=1,"Bad",IF(HR_Data[[#This Row],[WorkLifeBalance]]=2,"Good",IF(HR_Data[[#This Row],[WorkLifeBalance]]=3,"Better","Best")))</f>
        <v>Better</v>
      </c>
    </row>
    <row r="120" spans="1:42" x14ac:dyDescent="0.3">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c r="AJ120">
        <f>IF(HR_Data[[#This Row],[Attrition]]="Yes",1,0)</f>
        <v>0</v>
      </c>
      <c r="AK120">
        <f>IF(HR_Data[[#This Row],[Attrition]]="No",1,0)</f>
        <v>1</v>
      </c>
      <c r="AL120" t="str">
        <f>IF(HR_Data[[#This Row],[Age]]&lt;25,"Under 25",IF(HR_Data[[#This Row],[Age]]&lt;=34,"25-34",IF(HR_Data[[#This Row],[Age]]&lt;=44,"35-44",IF(HR_Data[[#This Row],[Age]]&lt;=54,"45-54","55+"))))</f>
        <v>35-44</v>
      </c>
      <c r="AM120" s="1" t="str">
        <f>IF(HR_Data[[#This Row],[MonthlyIncome]]&lt;3000,"Low Salary",IF(HR_Data[[#This Row],[MonthlyIncome]]&lt;=7000,"Medium Salary","High Salary"))</f>
        <v>Low Salary</v>
      </c>
      <c r="AN120" s="1" t="str">
        <f>IF(HR_Data[[#This Row],[YearsAtCompany]]&lt;2,"0-1 Years",IF(HR_Data[[#This Row],[YearsAtCompany]]&lt;=5,"2-5 Years",IF(HR_Data[[#This Row],[YearsAtCompany]]&lt;=10,"6-10 Years","10+ Years")))</f>
        <v>0-1 Years</v>
      </c>
      <c r="AO120" s="1" t="str">
        <f>IF(HR_Data[[#This Row],[JobSatisfaction]]=1,"Low",IF(HR_Data[[#This Row],[JobSatisfaction]]=2,"Medium",IF(HR_Data[[#This Row],[JobSatisfaction]]=3,"High","Very High")))</f>
        <v>Very High</v>
      </c>
      <c r="AP120" s="1" t="str">
        <f>IF(HR_Data[[#This Row],[WorkLifeBalance]]=1,"Bad",IF(HR_Data[[#This Row],[WorkLifeBalance]]=2,"Good",IF(HR_Data[[#This Row],[WorkLifeBalance]]=3,"Better","Best")))</f>
        <v>Better</v>
      </c>
    </row>
    <row r="121" spans="1:42" x14ac:dyDescent="0.3">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c r="AJ121">
        <f>IF(HR_Data[[#This Row],[Attrition]]="Yes",1,0)</f>
        <v>0</v>
      </c>
      <c r="AK121">
        <f>IF(HR_Data[[#This Row],[Attrition]]="No",1,0)</f>
        <v>1</v>
      </c>
      <c r="AL121" t="str">
        <f>IF(HR_Data[[#This Row],[Age]]&lt;25,"Under 25",IF(HR_Data[[#This Row],[Age]]&lt;=34,"25-34",IF(HR_Data[[#This Row],[Age]]&lt;=44,"35-44",IF(HR_Data[[#This Row],[Age]]&lt;=54,"45-54","55+"))))</f>
        <v>35-44</v>
      </c>
      <c r="AM121" s="1" t="str">
        <f>IF(HR_Data[[#This Row],[MonthlyIncome]]&lt;3000,"Low Salary",IF(HR_Data[[#This Row],[MonthlyIncome]]&lt;=7000,"Medium Salary","High Salary"))</f>
        <v>High Salary</v>
      </c>
      <c r="AN121" s="1" t="str">
        <f>IF(HR_Data[[#This Row],[YearsAtCompany]]&lt;2,"0-1 Years",IF(HR_Data[[#This Row],[YearsAtCompany]]&lt;=5,"2-5 Years",IF(HR_Data[[#This Row],[YearsAtCompany]]&lt;=10,"6-10 Years","10+ Years")))</f>
        <v>10+ Years</v>
      </c>
      <c r="AO121" s="1" t="str">
        <f>IF(HR_Data[[#This Row],[JobSatisfaction]]=1,"Low",IF(HR_Data[[#This Row],[JobSatisfaction]]=2,"Medium",IF(HR_Data[[#This Row],[JobSatisfaction]]=3,"High","Very High")))</f>
        <v>Very High</v>
      </c>
      <c r="AP121" s="1" t="str">
        <f>IF(HR_Data[[#This Row],[WorkLifeBalance]]=1,"Bad",IF(HR_Data[[#This Row],[WorkLifeBalance]]=2,"Good",IF(HR_Data[[#This Row],[WorkLifeBalance]]=3,"Better","Best")))</f>
        <v>Best</v>
      </c>
    </row>
    <row r="122" spans="1:42" x14ac:dyDescent="0.3">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c r="AJ122">
        <f>IF(HR_Data[[#This Row],[Attrition]]="Yes",1,0)</f>
        <v>0</v>
      </c>
      <c r="AK122">
        <f>IF(HR_Data[[#This Row],[Attrition]]="No",1,0)</f>
        <v>1</v>
      </c>
      <c r="AL122" t="str">
        <f>IF(HR_Data[[#This Row],[Age]]&lt;25,"Under 25",IF(HR_Data[[#This Row],[Age]]&lt;=34,"25-34",IF(HR_Data[[#This Row],[Age]]&lt;=44,"35-44",IF(HR_Data[[#This Row],[Age]]&lt;=54,"45-54","55+"))))</f>
        <v>25-34</v>
      </c>
      <c r="AM122" s="1" t="str">
        <f>IF(HR_Data[[#This Row],[MonthlyIncome]]&lt;3000,"Low Salary",IF(HR_Data[[#This Row],[MonthlyIncome]]&lt;=7000,"Medium Salary","High Salary"))</f>
        <v>Low Salary</v>
      </c>
      <c r="AN122" s="1" t="str">
        <f>IF(HR_Data[[#This Row],[YearsAtCompany]]&lt;2,"0-1 Years",IF(HR_Data[[#This Row],[YearsAtCompany]]&lt;=5,"2-5 Years",IF(HR_Data[[#This Row],[YearsAtCompany]]&lt;=10,"6-10 Years","10+ Years")))</f>
        <v>6-10 Years</v>
      </c>
      <c r="AO122" s="1" t="str">
        <f>IF(HR_Data[[#This Row],[JobSatisfaction]]=1,"Low",IF(HR_Data[[#This Row],[JobSatisfaction]]=2,"Medium",IF(HR_Data[[#This Row],[JobSatisfaction]]=3,"High","Very High")))</f>
        <v>High</v>
      </c>
      <c r="AP122" s="1" t="str">
        <f>IF(HR_Data[[#This Row],[WorkLifeBalance]]=1,"Bad",IF(HR_Data[[#This Row],[WorkLifeBalance]]=2,"Good",IF(HR_Data[[#This Row],[WorkLifeBalance]]=3,"Better","Best")))</f>
        <v>Good</v>
      </c>
    </row>
    <row r="123" spans="1:42" x14ac:dyDescent="0.3">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c r="AJ123">
        <f>IF(HR_Data[[#This Row],[Attrition]]="Yes",1,0)</f>
        <v>0</v>
      </c>
      <c r="AK123">
        <f>IF(HR_Data[[#This Row],[Attrition]]="No",1,0)</f>
        <v>1</v>
      </c>
      <c r="AL123" t="str">
        <f>IF(HR_Data[[#This Row],[Age]]&lt;25,"Under 25",IF(HR_Data[[#This Row],[Age]]&lt;=34,"25-34",IF(HR_Data[[#This Row],[Age]]&lt;=44,"35-44",IF(HR_Data[[#This Row],[Age]]&lt;=54,"45-54","55+"))))</f>
        <v>25-34</v>
      </c>
      <c r="AM123" s="1" t="str">
        <f>IF(HR_Data[[#This Row],[MonthlyIncome]]&lt;3000,"Low Salary",IF(HR_Data[[#This Row],[MonthlyIncome]]&lt;=7000,"Medium Salary","High Salary"))</f>
        <v>Medium Salary</v>
      </c>
      <c r="AN123" s="1" t="str">
        <f>IF(HR_Data[[#This Row],[YearsAtCompany]]&lt;2,"0-1 Years",IF(HR_Data[[#This Row],[YearsAtCompany]]&lt;=5,"2-5 Years",IF(HR_Data[[#This Row],[YearsAtCompany]]&lt;=10,"6-10 Years","10+ Years")))</f>
        <v>6-10 Years</v>
      </c>
      <c r="AO123" s="1" t="str">
        <f>IF(HR_Data[[#This Row],[JobSatisfaction]]=1,"Low",IF(HR_Data[[#This Row],[JobSatisfaction]]=2,"Medium",IF(HR_Data[[#This Row],[JobSatisfaction]]=3,"High","Very High")))</f>
        <v>Medium</v>
      </c>
      <c r="AP123" s="1" t="str">
        <f>IF(HR_Data[[#This Row],[WorkLifeBalance]]=1,"Bad",IF(HR_Data[[#This Row],[WorkLifeBalance]]=2,"Good",IF(HR_Data[[#This Row],[WorkLifeBalance]]=3,"Better","Best")))</f>
        <v>Best</v>
      </c>
    </row>
    <row r="124" spans="1:42" x14ac:dyDescent="0.3">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c r="AJ124">
        <f>IF(HR_Data[[#This Row],[Attrition]]="Yes",1,0)</f>
        <v>1</v>
      </c>
      <c r="AK124">
        <f>IF(HR_Data[[#This Row],[Attrition]]="No",1,0)</f>
        <v>0</v>
      </c>
      <c r="AL124" t="str">
        <f>IF(HR_Data[[#This Row],[Age]]&lt;25,"Under 25",IF(HR_Data[[#This Row],[Age]]&lt;=34,"25-34",IF(HR_Data[[#This Row],[Age]]&lt;=44,"35-44",IF(HR_Data[[#This Row],[Age]]&lt;=54,"45-54","55+"))))</f>
        <v>55+</v>
      </c>
      <c r="AM124" s="1" t="str">
        <f>IF(HR_Data[[#This Row],[MonthlyIncome]]&lt;3000,"Low Salary",IF(HR_Data[[#This Row],[MonthlyIncome]]&lt;=7000,"Medium Salary","High Salary"))</f>
        <v>Medium Salary</v>
      </c>
      <c r="AN124" s="1" t="str">
        <f>IF(HR_Data[[#This Row],[YearsAtCompany]]&lt;2,"0-1 Years",IF(HR_Data[[#This Row],[YearsAtCompany]]&lt;=5,"2-5 Years",IF(HR_Data[[#This Row],[YearsAtCompany]]&lt;=10,"6-10 Years","10+ Years")))</f>
        <v>2-5 Years</v>
      </c>
      <c r="AO124" s="1" t="str">
        <f>IF(HR_Data[[#This Row],[JobSatisfaction]]=1,"Low",IF(HR_Data[[#This Row],[JobSatisfaction]]=2,"Medium",IF(HR_Data[[#This Row],[JobSatisfaction]]=3,"High","Very High")))</f>
        <v>Medium</v>
      </c>
      <c r="AP124" s="1" t="str">
        <f>IF(HR_Data[[#This Row],[WorkLifeBalance]]=1,"Bad",IF(HR_Data[[#This Row],[WorkLifeBalance]]=2,"Good",IF(HR_Data[[#This Row],[WorkLifeBalance]]=3,"Better","Best")))</f>
        <v>Better</v>
      </c>
    </row>
    <row r="125" spans="1:42" x14ac:dyDescent="0.3">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c r="AJ125">
        <f>IF(HR_Data[[#This Row],[Attrition]]="Yes",1,0)</f>
        <v>0</v>
      </c>
      <c r="AK125">
        <f>IF(HR_Data[[#This Row],[Attrition]]="No",1,0)</f>
        <v>1</v>
      </c>
      <c r="AL125" t="str">
        <f>IF(HR_Data[[#This Row],[Age]]&lt;25,"Under 25",IF(HR_Data[[#This Row],[Age]]&lt;=34,"25-34",IF(HR_Data[[#This Row],[Age]]&lt;=44,"35-44",IF(HR_Data[[#This Row],[Age]]&lt;=54,"45-54","55+"))))</f>
        <v>45-54</v>
      </c>
      <c r="AM125" s="1" t="str">
        <f>IF(HR_Data[[#This Row],[MonthlyIncome]]&lt;3000,"Low Salary",IF(HR_Data[[#This Row],[MonthlyIncome]]&lt;=7000,"Medium Salary","High Salary"))</f>
        <v>High Salary</v>
      </c>
      <c r="AN125" s="1" t="str">
        <f>IF(HR_Data[[#This Row],[YearsAtCompany]]&lt;2,"0-1 Years",IF(HR_Data[[#This Row],[YearsAtCompany]]&lt;=5,"2-5 Years",IF(HR_Data[[#This Row],[YearsAtCompany]]&lt;=10,"6-10 Years","10+ Years")))</f>
        <v>10+ Years</v>
      </c>
      <c r="AO125" s="1" t="str">
        <f>IF(HR_Data[[#This Row],[JobSatisfaction]]=1,"Low",IF(HR_Data[[#This Row],[JobSatisfaction]]=2,"Medium",IF(HR_Data[[#This Row],[JobSatisfaction]]=3,"High","Very High")))</f>
        <v>High</v>
      </c>
      <c r="AP125" s="1" t="str">
        <f>IF(HR_Data[[#This Row],[WorkLifeBalance]]=1,"Bad",IF(HR_Data[[#This Row],[WorkLifeBalance]]=2,"Good",IF(HR_Data[[#This Row],[WorkLifeBalance]]=3,"Better","Best")))</f>
        <v>Better</v>
      </c>
    </row>
    <row r="126" spans="1:42" x14ac:dyDescent="0.3">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c r="AJ126">
        <f>IF(HR_Data[[#This Row],[Attrition]]="Yes",1,0)</f>
        <v>1</v>
      </c>
      <c r="AK126">
        <f>IF(HR_Data[[#This Row],[Attrition]]="No",1,0)</f>
        <v>0</v>
      </c>
      <c r="AL126" t="str">
        <f>IF(HR_Data[[#This Row],[Age]]&lt;25,"Under 25",IF(HR_Data[[#This Row],[Age]]&lt;=34,"25-34",IF(HR_Data[[#This Row],[Age]]&lt;=44,"35-44",IF(HR_Data[[#This Row],[Age]]&lt;=54,"45-54","55+"))))</f>
        <v>25-34</v>
      </c>
      <c r="AM126" s="1" t="str">
        <f>IF(HR_Data[[#This Row],[MonthlyIncome]]&lt;3000,"Low Salary",IF(HR_Data[[#This Row],[MonthlyIncome]]&lt;=7000,"Medium Salary","High Salary"))</f>
        <v>Medium Salary</v>
      </c>
      <c r="AN126" s="1" t="str">
        <f>IF(HR_Data[[#This Row],[YearsAtCompany]]&lt;2,"0-1 Years",IF(HR_Data[[#This Row],[YearsAtCompany]]&lt;=5,"2-5 Years",IF(HR_Data[[#This Row],[YearsAtCompany]]&lt;=10,"6-10 Years","10+ Years")))</f>
        <v>6-10 Years</v>
      </c>
      <c r="AO126" s="1" t="str">
        <f>IF(HR_Data[[#This Row],[JobSatisfaction]]=1,"Low",IF(HR_Data[[#This Row],[JobSatisfaction]]=2,"Medium",IF(HR_Data[[#This Row],[JobSatisfaction]]=3,"High","Very High")))</f>
        <v>High</v>
      </c>
      <c r="AP126" s="1" t="str">
        <f>IF(HR_Data[[#This Row],[WorkLifeBalance]]=1,"Bad",IF(HR_Data[[#This Row],[WorkLifeBalance]]=2,"Good",IF(HR_Data[[#This Row],[WorkLifeBalance]]=3,"Better","Best")))</f>
        <v>Good</v>
      </c>
    </row>
    <row r="127" spans="1:42" x14ac:dyDescent="0.3">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c r="AJ127">
        <f>IF(HR_Data[[#This Row],[Attrition]]="Yes",1,0)</f>
        <v>0</v>
      </c>
      <c r="AK127">
        <f>IF(HR_Data[[#This Row],[Attrition]]="No",1,0)</f>
        <v>1</v>
      </c>
      <c r="AL127" t="str">
        <f>IF(HR_Data[[#This Row],[Age]]&lt;25,"Under 25",IF(HR_Data[[#This Row],[Age]]&lt;=34,"25-34",IF(HR_Data[[#This Row],[Age]]&lt;=44,"35-44",IF(HR_Data[[#This Row],[Age]]&lt;=54,"45-54","55+"))))</f>
        <v>25-34</v>
      </c>
      <c r="AM127" s="1" t="str">
        <f>IF(HR_Data[[#This Row],[MonthlyIncome]]&lt;3000,"Low Salary",IF(HR_Data[[#This Row],[MonthlyIncome]]&lt;=7000,"Medium Salary","High Salary"))</f>
        <v>Low Salary</v>
      </c>
      <c r="AN127" s="1" t="str">
        <f>IF(HR_Data[[#This Row],[YearsAtCompany]]&lt;2,"0-1 Years",IF(HR_Data[[#This Row],[YearsAtCompany]]&lt;=5,"2-5 Years",IF(HR_Data[[#This Row],[YearsAtCompany]]&lt;=10,"6-10 Years","10+ Years")))</f>
        <v>2-5 Years</v>
      </c>
      <c r="AO127" s="1" t="str">
        <f>IF(HR_Data[[#This Row],[JobSatisfaction]]=1,"Low",IF(HR_Data[[#This Row],[JobSatisfaction]]=2,"Medium",IF(HR_Data[[#This Row],[JobSatisfaction]]=3,"High","Very High")))</f>
        <v>Medium</v>
      </c>
      <c r="AP127" s="1" t="str">
        <f>IF(HR_Data[[#This Row],[WorkLifeBalance]]=1,"Bad",IF(HR_Data[[#This Row],[WorkLifeBalance]]=2,"Good",IF(HR_Data[[#This Row],[WorkLifeBalance]]=3,"Better","Best")))</f>
        <v>Good</v>
      </c>
    </row>
    <row r="128" spans="1:42" x14ac:dyDescent="0.3">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c r="AJ128">
        <f>IF(HR_Data[[#This Row],[Attrition]]="Yes",1,0)</f>
        <v>1</v>
      </c>
      <c r="AK128">
        <f>IF(HR_Data[[#This Row],[Attrition]]="No",1,0)</f>
        <v>0</v>
      </c>
      <c r="AL128" t="str">
        <f>IF(HR_Data[[#This Row],[Age]]&lt;25,"Under 25",IF(HR_Data[[#This Row],[Age]]&lt;=34,"25-34",IF(HR_Data[[#This Row],[Age]]&lt;=44,"35-44",IF(HR_Data[[#This Row],[Age]]&lt;=54,"45-54","55+"))))</f>
        <v>55+</v>
      </c>
      <c r="AM128" s="1" t="str">
        <f>IF(HR_Data[[#This Row],[MonthlyIncome]]&lt;3000,"Low Salary",IF(HR_Data[[#This Row],[MonthlyIncome]]&lt;=7000,"Medium Salary","High Salary"))</f>
        <v>High Salary</v>
      </c>
      <c r="AN128" s="1" t="str">
        <f>IF(HR_Data[[#This Row],[YearsAtCompany]]&lt;2,"0-1 Years",IF(HR_Data[[#This Row],[YearsAtCompany]]&lt;=5,"2-5 Years",IF(HR_Data[[#This Row],[YearsAtCompany]]&lt;=10,"6-10 Years","10+ Years")))</f>
        <v>10+ Years</v>
      </c>
      <c r="AO128" s="1" t="str">
        <f>IF(HR_Data[[#This Row],[JobSatisfaction]]=1,"Low",IF(HR_Data[[#This Row],[JobSatisfaction]]=2,"Medium",IF(HR_Data[[#This Row],[JobSatisfaction]]=3,"High","Very High")))</f>
        <v>Very High</v>
      </c>
      <c r="AP128" s="1" t="str">
        <f>IF(HR_Data[[#This Row],[WorkLifeBalance]]=1,"Bad",IF(HR_Data[[#This Row],[WorkLifeBalance]]=2,"Good",IF(HR_Data[[#This Row],[WorkLifeBalance]]=3,"Better","Best")))</f>
        <v>Good</v>
      </c>
    </row>
    <row r="129" spans="1:42" x14ac:dyDescent="0.3">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c r="AJ129">
        <f>IF(HR_Data[[#This Row],[Attrition]]="Yes",1,0)</f>
        <v>1</v>
      </c>
      <c r="AK129">
        <f>IF(HR_Data[[#This Row],[Attrition]]="No",1,0)</f>
        <v>0</v>
      </c>
      <c r="AL129" t="str">
        <f>IF(HR_Data[[#This Row],[Age]]&lt;25,"Under 25",IF(HR_Data[[#This Row],[Age]]&lt;=34,"25-34",IF(HR_Data[[#This Row],[Age]]&lt;=44,"35-44",IF(HR_Data[[#This Row],[Age]]&lt;=54,"45-54","55+"))))</f>
        <v>Under 25</v>
      </c>
      <c r="AM129" s="1" t="str">
        <f>IF(HR_Data[[#This Row],[MonthlyIncome]]&lt;3000,"Low Salary",IF(HR_Data[[#This Row],[MonthlyIncome]]&lt;=7000,"Medium Salary","High Salary"))</f>
        <v>Low Salary</v>
      </c>
      <c r="AN129" s="1" t="str">
        <f>IF(HR_Data[[#This Row],[YearsAtCompany]]&lt;2,"0-1 Years",IF(HR_Data[[#This Row],[YearsAtCompany]]&lt;=5,"2-5 Years",IF(HR_Data[[#This Row],[YearsAtCompany]]&lt;=10,"6-10 Years","10+ Years")))</f>
        <v>0-1 Years</v>
      </c>
      <c r="AO129" s="1" t="str">
        <f>IF(HR_Data[[#This Row],[JobSatisfaction]]=1,"Low",IF(HR_Data[[#This Row],[JobSatisfaction]]=2,"Medium",IF(HR_Data[[#This Row],[JobSatisfaction]]=3,"High","Very High")))</f>
        <v>High</v>
      </c>
      <c r="AP129" s="1" t="str">
        <f>IF(HR_Data[[#This Row],[WorkLifeBalance]]=1,"Bad",IF(HR_Data[[#This Row],[WorkLifeBalance]]=2,"Good",IF(HR_Data[[#This Row],[WorkLifeBalance]]=3,"Better","Best")))</f>
        <v>Good</v>
      </c>
    </row>
    <row r="130" spans="1:42" x14ac:dyDescent="0.3">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c r="AJ130">
        <f>IF(HR_Data[[#This Row],[Attrition]]="Yes",1,0)</f>
        <v>0</v>
      </c>
      <c r="AK130">
        <f>IF(HR_Data[[#This Row],[Attrition]]="No",1,0)</f>
        <v>1</v>
      </c>
      <c r="AL130" t="str">
        <f>IF(HR_Data[[#This Row],[Age]]&lt;25,"Under 25",IF(HR_Data[[#This Row],[Age]]&lt;=34,"25-34",IF(HR_Data[[#This Row],[Age]]&lt;=44,"35-44",IF(HR_Data[[#This Row],[Age]]&lt;=54,"45-54","55+"))))</f>
        <v>Under 25</v>
      </c>
      <c r="AM130" s="1" t="str">
        <f>IF(HR_Data[[#This Row],[MonthlyIncome]]&lt;3000,"Low Salary",IF(HR_Data[[#This Row],[MonthlyIncome]]&lt;=7000,"Medium Salary","High Salary"))</f>
        <v>Low Salary</v>
      </c>
      <c r="AN130" s="1" t="str">
        <f>IF(HR_Data[[#This Row],[YearsAtCompany]]&lt;2,"0-1 Years",IF(HR_Data[[#This Row],[YearsAtCompany]]&lt;=5,"2-5 Years",IF(HR_Data[[#This Row],[YearsAtCompany]]&lt;=10,"6-10 Years","10+ Years")))</f>
        <v>2-5 Years</v>
      </c>
      <c r="AO130" s="1" t="str">
        <f>IF(HR_Data[[#This Row],[JobSatisfaction]]=1,"Low",IF(HR_Data[[#This Row],[JobSatisfaction]]=2,"Medium",IF(HR_Data[[#This Row],[JobSatisfaction]]=3,"High","Very High")))</f>
        <v>Very High</v>
      </c>
      <c r="AP130" s="1" t="str">
        <f>IF(HR_Data[[#This Row],[WorkLifeBalance]]=1,"Bad",IF(HR_Data[[#This Row],[WorkLifeBalance]]=2,"Good",IF(HR_Data[[#This Row],[WorkLifeBalance]]=3,"Better","Best")))</f>
        <v>Better</v>
      </c>
    </row>
    <row r="131" spans="1:42" x14ac:dyDescent="0.3">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c r="AJ131">
        <f>IF(HR_Data[[#This Row],[Attrition]]="Yes",1,0)</f>
        <v>0</v>
      </c>
      <c r="AK131">
        <f>IF(HR_Data[[#This Row],[Attrition]]="No",1,0)</f>
        <v>1</v>
      </c>
      <c r="AL131" t="str">
        <f>IF(HR_Data[[#This Row],[Age]]&lt;25,"Under 25",IF(HR_Data[[#This Row],[Age]]&lt;=34,"25-34",IF(HR_Data[[#This Row],[Age]]&lt;=44,"35-44",IF(HR_Data[[#This Row],[Age]]&lt;=54,"45-54","55+"))))</f>
        <v>45-54</v>
      </c>
      <c r="AM131" s="1" t="str">
        <f>IF(HR_Data[[#This Row],[MonthlyIncome]]&lt;3000,"Low Salary",IF(HR_Data[[#This Row],[MonthlyIncome]]&lt;=7000,"Medium Salary","High Salary"))</f>
        <v>Medium Salary</v>
      </c>
      <c r="AN131" s="1" t="str">
        <f>IF(HR_Data[[#This Row],[YearsAtCompany]]&lt;2,"0-1 Years",IF(HR_Data[[#This Row],[YearsAtCompany]]&lt;=5,"2-5 Years",IF(HR_Data[[#This Row],[YearsAtCompany]]&lt;=10,"6-10 Years","10+ Years")))</f>
        <v>10+ Years</v>
      </c>
      <c r="AO131" s="1" t="str">
        <f>IF(HR_Data[[#This Row],[JobSatisfaction]]=1,"Low",IF(HR_Data[[#This Row],[JobSatisfaction]]=2,"Medium",IF(HR_Data[[#This Row],[JobSatisfaction]]=3,"High","Very High")))</f>
        <v>Low</v>
      </c>
      <c r="AP131" s="1" t="str">
        <f>IF(HR_Data[[#This Row],[WorkLifeBalance]]=1,"Bad",IF(HR_Data[[#This Row],[WorkLifeBalance]]=2,"Good",IF(HR_Data[[#This Row],[WorkLifeBalance]]=3,"Better","Best")))</f>
        <v>Good</v>
      </c>
    </row>
    <row r="132" spans="1:42" x14ac:dyDescent="0.3">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c r="AJ132">
        <f>IF(HR_Data[[#This Row],[Attrition]]="Yes",1,0)</f>
        <v>0</v>
      </c>
      <c r="AK132">
        <f>IF(HR_Data[[#This Row],[Attrition]]="No",1,0)</f>
        <v>1</v>
      </c>
      <c r="AL132" t="str">
        <f>IF(HR_Data[[#This Row],[Age]]&lt;25,"Under 25",IF(HR_Data[[#This Row],[Age]]&lt;=34,"25-34",IF(HR_Data[[#This Row],[Age]]&lt;=44,"35-44",IF(HR_Data[[#This Row],[Age]]&lt;=54,"45-54","55+"))))</f>
        <v>35-44</v>
      </c>
      <c r="AM132" s="1" t="str">
        <f>IF(HR_Data[[#This Row],[MonthlyIncome]]&lt;3000,"Low Salary",IF(HR_Data[[#This Row],[MonthlyIncome]]&lt;=7000,"Medium Salary","High Salary"))</f>
        <v>Medium Salary</v>
      </c>
      <c r="AN132" s="1" t="str">
        <f>IF(HR_Data[[#This Row],[YearsAtCompany]]&lt;2,"0-1 Years",IF(HR_Data[[#This Row],[YearsAtCompany]]&lt;=5,"2-5 Years",IF(HR_Data[[#This Row],[YearsAtCompany]]&lt;=10,"6-10 Years","10+ Years")))</f>
        <v>2-5 Years</v>
      </c>
      <c r="AO132" s="1" t="str">
        <f>IF(HR_Data[[#This Row],[JobSatisfaction]]=1,"Low",IF(HR_Data[[#This Row],[JobSatisfaction]]=2,"Medium",IF(HR_Data[[#This Row],[JobSatisfaction]]=3,"High","Very High")))</f>
        <v>High</v>
      </c>
      <c r="AP132" s="1" t="str">
        <f>IF(HR_Data[[#This Row],[WorkLifeBalance]]=1,"Bad",IF(HR_Data[[#This Row],[WorkLifeBalance]]=2,"Good",IF(HR_Data[[#This Row],[WorkLifeBalance]]=3,"Better","Best")))</f>
        <v>Better</v>
      </c>
    </row>
    <row r="133" spans="1:42" x14ac:dyDescent="0.3">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c r="AJ133">
        <f>IF(HR_Data[[#This Row],[Attrition]]="Yes",1,0)</f>
        <v>0</v>
      </c>
      <c r="AK133">
        <f>IF(HR_Data[[#This Row],[Attrition]]="No",1,0)</f>
        <v>1</v>
      </c>
      <c r="AL133" t="str">
        <f>IF(HR_Data[[#This Row],[Age]]&lt;25,"Under 25",IF(HR_Data[[#This Row],[Age]]&lt;=34,"25-34",IF(HR_Data[[#This Row],[Age]]&lt;=44,"35-44",IF(HR_Data[[#This Row],[Age]]&lt;=54,"45-54","55+"))))</f>
        <v>45-54</v>
      </c>
      <c r="AM133" s="1" t="str">
        <f>IF(HR_Data[[#This Row],[MonthlyIncome]]&lt;3000,"Low Salary",IF(HR_Data[[#This Row],[MonthlyIncome]]&lt;=7000,"Medium Salary","High Salary"))</f>
        <v>High Salary</v>
      </c>
      <c r="AN133" s="1" t="str">
        <f>IF(HR_Data[[#This Row],[YearsAtCompany]]&lt;2,"0-1 Years",IF(HR_Data[[#This Row],[YearsAtCompany]]&lt;=5,"2-5 Years",IF(HR_Data[[#This Row],[YearsAtCompany]]&lt;=10,"6-10 Years","10+ Years")))</f>
        <v>2-5 Years</v>
      </c>
      <c r="AO133" s="1" t="str">
        <f>IF(HR_Data[[#This Row],[JobSatisfaction]]=1,"Low",IF(HR_Data[[#This Row],[JobSatisfaction]]=2,"Medium",IF(HR_Data[[#This Row],[JobSatisfaction]]=3,"High","Very High")))</f>
        <v>Very High</v>
      </c>
      <c r="AP133" s="1" t="str">
        <f>IF(HR_Data[[#This Row],[WorkLifeBalance]]=1,"Bad",IF(HR_Data[[#This Row],[WorkLifeBalance]]=2,"Good",IF(HR_Data[[#This Row],[WorkLifeBalance]]=3,"Better","Best")))</f>
        <v>Better</v>
      </c>
    </row>
    <row r="134" spans="1:42" x14ac:dyDescent="0.3">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c r="AJ134">
        <f>IF(HR_Data[[#This Row],[Attrition]]="Yes",1,0)</f>
        <v>1</v>
      </c>
      <c r="AK134">
        <f>IF(HR_Data[[#This Row],[Attrition]]="No",1,0)</f>
        <v>0</v>
      </c>
      <c r="AL134" t="str">
        <f>IF(HR_Data[[#This Row],[Age]]&lt;25,"Under 25",IF(HR_Data[[#This Row],[Age]]&lt;=34,"25-34",IF(HR_Data[[#This Row],[Age]]&lt;=44,"35-44",IF(HR_Data[[#This Row],[Age]]&lt;=54,"45-54","55+"))))</f>
        <v>25-34</v>
      </c>
      <c r="AM134" s="1" t="str">
        <f>IF(HR_Data[[#This Row],[MonthlyIncome]]&lt;3000,"Low Salary",IF(HR_Data[[#This Row],[MonthlyIncome]]&lt;=7000,"Medium Salary","High Salary"))</f>
        <v>Medium Salary</v>
      </c>
      <c r="AN134" s="1" t="str">
        <f>IF(HR_Data[[#This Row],[YearsAtCompany]]&lt;2,"0-1 Years",IF(HR_Data[[#This Row],[YearsAtCompany]]&lt;=5,"2-5 Years",IF(HR_Data[[#This Row],[YearsAtCompany]]&lt;=10,"6-10 Years","10+ Years")))</f>
        <v>2-5 Years</v>
      </c>
      <c r="AO134" s="1" t="str">
        <f>IF(HR_Data[[#This Row],[JobSatisfaction]]=1,"Low",IF(HR_Data[[#This Row],[JobSatisfaction]]=2,"Medium",IF(HR_Data[[#This Row],[JobSatisfaction]]=3,"High","Very High")))</f>
        <v>High</v>
      </c>
      <c r="AP134" s="1" t="str">
        <f>IF(HR_Data[[#This Row],[WorkLifeBalance]]=1,"Bad",IF(HR_Data[[#This Row],[WorkLifeBalance]]=2,"Good",IF(HR_Data[[#This Row],[WorkLifeBalance]]=3,"Better","Best")))</f>
        <v>Better</v>
      </c>
    </row>
    <row r="135" spans="1:42" x14ac:dyDescent="0.3">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c r="AJ135">
        <f>IF(HR_Data[[#This Row],[Attrition]]="Yes",1,0)</f>
        <v>0</v>
      </c>
      <c r="AK135">
        <f>IF(HR_Data[[#This Row],[Attrition]]="No",1,0)</f>
        <v>1</v>
      </c>
      <c r="AL135" t="str">
        <f>IF(HR_Data[[#This Row],[Age]]&lt;25,"Under 25",IF(HR_Data[[#This Row],[Age]]&lt;=34,"25-34",IF(HR_Data[[#This Row],[Age]]&lt;=44,"35-44",IF(HR_Data[[#This Row],[Age]]&lt;=54,"45-54","55+"))))</f>
        <v>35-44</v>
      </c>
      <c r="AM135" s="1" t="str">
        <f>IF(HR_Data[[#This Row],[MonthlyIncome]]&lt;3000,"Low Salary",IF(HR_Data[[#This Row],[MonthlyIncome]]&lt;=7000,"Medium Salary","High Salary"))</f>
        <v>High Salary</v>
      </c>
      <c r="AN135" s="1" t="str">
        <f>IF(HR_Data[[#This Row],[YearsAtCompany]]&lt;2,"0-1 Years",IF(HR_Data[[#This Row],[YearsAtCompany]]&lt;=5,"2-5 Years",IF(HR_Data[[#This Row],[YearsAtCompany]]&lt;=10,"6-10 Years","10+ Years")))</f>
        <v>6-10 Years</v>
      </c>
      <c r="AO135" s="1" t="str">
        <f>IF(HR_Data[[#This Row],[JobSatisfaction]]=1,"Low",IF(HR_Data[[#This Row],[JobSatisfaction]]=2,"Medium",IF(HR_Data[[#This Row],[JobSatisfaction]]=3,"High","Very High")))</f>
        <v>High</v>
      </c>
      <c r="AP135" s="1" t="str">
        <f>IF(HR_Data[[#This Row],[WorkLifeBalance]]=1,"Bad",IF(HR_Data[[#This Row],[WorkLifeBalance]]=2,"Good",IF(HR_Data[[#This Row],[WorkLifeBalance]]=3,"Better","Best")))</f>
        <v>Better</v>
      </c>
    </row>
    <row r="136" spans="1:42" x14ac:dyDescent="0.3">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c r="AJ136">
        <f>IF(HR_Data[[#This Row],[Attrition]]="Yes",1,0)</f>
        <v>0</v>
      </c>
      <c r="AK136">
        <f>IF(HR_Data[[#This Row],[Attrition]]="No",1,0)</f>
        <v>1</v>
      </c>
      <c r="AL136" t="str">
        <f>IF(HR_Data[[#This Row],[Age]]&lt;25,"Under 25",IF(HR_Data[[#This Row],[Age]]&lt;=34,"25-34",IF(HR_Data[[#This Row],[Age]]&lt;=44,"35-44",IF(HR_Data[[#This Row],[Age]]&lt;=54,"45-54","55+"))))</f>
        <v>25-34</v>
      </c>
      <c r="AM136" s="1" t="str">
        <f>IF(HR_Data[[#This Row],[MonthlyIncome]]&lt;3000,"Low Salary",IF(HR_Data[[#This Row],[MonthlyIncome]]&lt;=7000,"Medium Salary","High Salary"))</f>
        <v>Low Salary</v>
      </c>
      <c r="AN136" s="1" t="str">
        <f>IF(HR_Data[[#This Row],[YearsAtCompany]]&lt;2,"0-1 Years",IF(HR_Data[[#This Row],[YearsAtCompany]]&lt;=5,"2-5 Years",IF(HR_Data[[#This Row],[YearsAtCompany]]&lt;=10,"6-10 Years","10+ Years")))</f>
        <v>6-10 Years</v>
      </c>
      <c r="AO136" s="1" t="str">
        <f>IF(HR_Data[[#This Row],[JobSatisfaction]]=1,"Low",IF(HR_Data[[#This Row],[JobSatisfaction]]=2,"Medium",IF(HR_Data[[#This Row],[JobSatisfaction]]=3,"High","Very High")))</f>
        <v>High</v>
      </c>
      <c r="AP136" s="1" t="str">
        <f>IF(HR_Data[[#This Row],[WorkLifeBalance]]=1,"Bad",IF(HR_Data[[#This Row],[WorkLifeBalance]]=2,"Good",IF(HR_Data[[#This Row],[WorkLifeBalance]]=3,"Better","Best")))</f>
        <v>Better</v>
      </c>
    </row>
    <row r="137" spans="1:42" x14ac:dyDescent="0.3">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c r="AJ137">
        <f>IF(HR_Data[[#This Row],[Attrition]]="Yes",1,0)</f>
        <v>0</v>
      </c>
      <c r="AK137">
        <f>IF(HR_Data[[#This Row],[Attrition]]="No",1,0)</f>
        <v>1</v>
      </c>
      <c r="AL137" t="str">
        <f>IF(HR_Data[[#This Row],[Age]]&lt;25,"Under 25",IF(HR_Data[[#This Row],[Age]]&lt;=34,"25-34",IF(HR_Data[[#This Row],[Age]]&lt;=44,"35-44",IF(HR_Data[[#This Row],[Age]]&lt;=54,"45-54","55+"))))</f>
        <v>35-44</v>
      </c>
      <c r="AM137" s="1" t="str">
        <f>IF(HR_Data[[#This Row],[MonthlyIncome]]&lt;3000,"Low Salary",IF(HR_Data[[#This Row],[MonthlyIncome]]&lt;=7000,"Medium Salary","High Salary"))</f>
        <v>Medium Salary</v>
      </c>
      <c r="AN137" s="1" t="str">
        <f>IF(HR_Data[[#This Row],[YearsAtCompany]]&lt;2,"0-1 Years",IF(HR_Data[[#This Row],[YearsAtCompany]]&lt;=5,"2-5 Years",IF(HR_Data[[#This Row],[YearsAtCompany]]&lt;=10,"6-10 Years","10+ Years")))</f>
        <v>2-5 Years</v>
      </c>
      <c r="AO137" s="1" t="str">
        <f>IF(HR_Data[[#This Row],[JobSatisfaction]]=1,"Low",IF(HR_Data[[#This Row],[JobSatisfaction]]=2,"Medium",IF(HR_Data[[#This Row],[JobSatisfaction]]=3,"High","Very High")))</f>
        <v>Medium</v>
      </c>
      <c r="AP137" s="1" t="str">
        <f>IF(HR_Data[[#This Row],[WorkLifeBalance]]=1,"Bad",IF(HR_Data[[#This Row],[WorkLifeBalance]]=2,"Good",IF(HR_Data[[#This Row],[WorkLifeBalance]]=3,"Better","Best")))</f>
        <v>Better</v>
      </c>
    </row>
    <row r="138" spans="1:42" x14ac:dyDescent="0.3">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c r="AJ138">
        <f>IF(HR_Data[[#This Row],[Attrition]]="Yes",1,0)</f>
        <v>1</v>
      </c>
      <c r="AK138">
        <f>IF(HR_Data[[#This Row],[Attrition]]="No",1,0)</f>
        <v>0</v>
      </c>
      <c r="AL138" t="str">
        <f>IF(HR_Data[[#This Row],[Age]]&lt;25,"Under 25",IF(HR_Data[[#This Row],[Age]]&lt;=34,"25-34",IF(HR_Data[[#This Row],[Age]]&lt;=44,"35-44",IF(HR_Data[[#This Row],[Age]]&lt;=54,"45-54","55+"))))</f>
        <v>45-54</v>
      </c>
      <c r="AM138" s="1" t="str">
        <f>IF(HR_Data[[#This Row],[MonthlyIncome]]&lt;3000,"Low Salary",IF(HR_Data[[#This Row],[MonthlyIncome]]&lt;=7000,"Medium Salary","High Salary"))</f>
        <v>High Salary</v>
      </c>
      <c r="AN138" s="1" t="str">
        <f>IF(HR_Data[[#This Row],[YearsAtCompany]]&lt;2,"0-1 Years",IF(HR_Data[[#This Row],[YearsAtCompany]]&lt;=5,"2-5 Years",IF(HR_Data[[#This Row],[YearsAtCompany]]&lt;=10,"6-10 Years","10+ Years")))</f>
        <v>2-5 Years</v>
      </c>
      <c r="AO138" s="1" t="str">
        <f>IF(HR_Data[[#This Row],[JobSatisfaction]]=1,"Low",IF(HR_Data[[#This Row],[JobSatisfaction]]=2,"Medium",IF(HR_Data[[#This Row],[JobSatisfaction]]=3,"High","Very High")))</f>
        <v>Very High</v>
      </c>
      <c r="AP138" s="1" t="str">
        <f>IF(HR_Data[[#This Row],[WorkLifeBalance]]=1,"Bad",IF(HR_Data[[#This Row],[WorkLifeBalance]]=2,"Good",IF(HR_Data[[#This Row],[WorkLifeBalance]]=3,"Better","Best")))</f>
        <v>Better</v>
      </c>
    </row>
    <row r="139" spans="1:42" x14ac:dyDescent="0.3">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c r="AJ139">
        <f>IF(HR_Data[[#This Row],[Attrition]]="Yes",1,0)</f>
        <v>0</v>
      </c>
      <c r="AK139">
        <f>IF(HR_Data[[#This Row],[Attrition]]="No",1,0)</f>
        <v>1</v>
      </c>
      <c r="AL139" t="str">
        <f>IF(HR_Data[[#This Row],[Age]]&lt;25,"Under 25",IF(HR_Data[[#This Row],[Age]]&lt;=34,"25-34",IF(HR_Data[[#This Row],[Age]]&lt;=44,"35-44",IF(HR_Data[[#This Row],[Age]]&lt;=54,"45-54","55+"))))</f>
        <v>35-44</v>
      </c>
      <c r="AM139" s="1" t="str">
        <f>IF(HR_Data[[#This Row],[MonthlyIncome]]&lt;3000,"Low Salary",IF(HR_Data[[#This Row],[MonthlyIncome]]&lt;=7000,"Medium Salary","High Salary"))</f>
        <v>Medium Salary</v>
      </c>
      <c r="AN139" s="1" t="str">
        <f>IF(HR_Data[[#This Row],[YearsAtCompany]]&lt;2,"0-1 Years",IF(HR_Data[[#This Row],[YearsAtCompany]]&lt;=5,"2-5 Years",IF(HR_Data[[#This Row],[YearsAtCompany]]&lt;=10,"6-10 Years","10+ Years")))</f>
        <v>10+ Years</v>
      </c>
      <c r="AO139" s="1" t="str">
        <f>IF(HR_Data[[#This Row],[JobSatisfaction]]=1,"Low",IF(HR_Data[[#This Row],[JobSatisfaction]]=2,"Medium",IF(HR_Data[[#This Row],[JobSatisfaction]]=3,"High","Very High")))</f>
        <v>High</v>
      </c>
      <c r="AP139" s="1" t="str">
        <f>IF(HR_Data[[#This Row],[WorkLifeBalance]]=1,"Bad",IF(HR_Data[[#This Row],[WorkLifeBalance]]=2,"Good",IF(HR_Data[[#This Row],[WorkLifeBalance]]=3,"Better","Best")))</f>
        <v>Best</v>
      </c>
    </row>
    <row r="140" spans="1:42" x14ac:dyDescent="0.3">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c r="AJ140">
        <f>IF(HR_Data[[#This Row],[Attrition]]="Yes",1,0)</f>
        <v>0</v>
      </c>
      <c r="AK140">
        <f>IF(HR_Data[[#This Row],[Attrition]]="No",1,0)</f>
        <v>1</v>
      </c>
      <c r="AL140" t="str">
        <f>IF(HR_Data[[#This Row],[Age]]&lt;25,"Under 25",IF(HR_Data[[#This Row],[Age]]&lt;=34,"25-34",IF(HR_Data[[#This Row],[Age]]&lt;=44,"35-44",IF(HR_Data[[#This Row],[Age]]&lt;=54,"45-54","55+"))))</f>
        <v>25-34</v>
      </c>
      <c r="AM140" s="1" t="str">
        <f>IF(HR_Data[[#This Row],[MonthlyIncome]]&lt;3000,"Low Salary",IF(HR_Data[[#This Row],[MonthlyIncome]]&lt;=7000,"Medium Salary","High Salary"))</f>
        <v>High Salary</v>
      </c>
      <c r="AN140" s="1" t="str">
        <f>IF(HR_Data[[#This Row],[YearsAtCompany]]&lt;2,"0-1 Years",IF(HR_Data[[#This Row],[YearsAtCompany]]&lt;=5,"2-5 Years",IF(HR_Data[[#This Row],[YearsAtCompany]]&lt;=10,"6-10 Years","10+ Years")))</f>
        <v>2-5 Years</v>
      </c>
      <c r="AO140" s="1" t="str">
        <f>IF(HR_Data[[#This Row],[JobSatisfaction]]=1,"Low",IF(HR_Data[[#This Row],[JobSatisfaction]]=2,"Medium",IF(HR_Data[[#This Row],[JobSatisfaction]]=3,"High","Very High")))</f>
        <v>High</v>
      </c>
      <c r="AP140" s="1" t="str">
        <f>IF(HR_Data[[#This Row],[WorkLifeBalance]]=1,"Bad",IF(HR_Data[[#This Row],[WorkLifeBalance]]=2,"Good",IF(HR_Data[[#This Row],[WorkLifeBalance]]=3,"Better","Best")))</f>
        <v>Better</v>
      </c>
    </row>
    <row r="141" spans="1:42" x14ac:dyDescent="0.3">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c r="AJ141">
        <f>IF(HR_Data[[#This Row],[Attrition]]="Yes",1,0)</f>
        <v>0</v>
      </c>
      <c r="AK141">
        <f>IF(HR_Data[[#This Row],[Attrition]]="No",1,0)</f>
        <v>1</v>
      </c>
      <c r="AL141" t="str">
        <f>IF(HR_Data[[#This Row],[Age]]&lt;25,"Under 25",IF(HR_Data[[#This Row],[Age]]&lt;=34,"25-34",IF(HR_Data[[#This Row],[Age]]&lt;=44,"35-44",IF(HR_Data[[#This Row],[Age]]&lt;=54,"45-54","55+"))))</f>
        <v>25-34</v>
      </c>
      <c r="AM141" s="1" t="str">
        <f>IF(HR_Data[[#This Row],[MonthlyIncome]]&lt;3000,"Low Salary",IF(HR_Data[[#This Row],[MonthlyIncome]]&lt;=7000,"Medium Salary","High Salary"))</f>
        <v>Medium Salary</v>
      </c>
      <c r="AN141" s="1" t="str">
        <f>IF(HR_Data[[#This Row],[YearsAtCompany]]&lt;2,"0-1 Years",IF(HR_Data[[#This Row],[YearsAtCompany]]&lt;=5,"2-5 Years",IF(HR_Data[[#This Row],[YearsAtCompany]]&lt;=10,"6-10 Years","10+ Years")))</f>
        <v>10+ Years</v>
      </c>
      <c r="AO141" s="1" t="str">
        <f>IF(HR_Data[[#This Row],[JobSatisfaction]]=1,"Low",IF(HR_Data[[#This Row],[JobSatisfaction]]=2,"Medium",IF(HR_Data[[#This Row],[JobSatisfaction]]=3,"High","Very High")))</f>
        <v>Very High</v>
      </c>
      <c r="AP141" s="1" t="str">
        <f>IF(HR_Data[[#This Row],[WorkLifeBalance]]=1,"Bad",IF(HR_Data[[#This Row],[WorkLifeBalance]]=2,"Good",IF(HR_Data[[#This Row],[WorkLifeBalance]]=3,"Better","Best")))</f>
        <v>Bad</v>
      </c>
    </row>
    <row r="142" spans="1:42" x14ac:dyDescent="0.3">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c r="AJ142">
        <f>IF(HR_Data[[#This Row],[Attrition]]="Yes",1,0)</f>
        <v>1</v>
      </c>
      <c r="AK142">
        <f>IF(HR_Data[[#This Row],[Attrition]]="No",1,0)</f>
        <v>0</v>
      </c>
      <c r="AL142" t="str">
        <f>IF(HR_Data[[#This Row],[Age]]&lt;25,"Under 25",IF(HR_Data[[#This Row],[Age]]&lt;=34,"25-34",IF(HR_Data[[#This Row],[Age]]&lt;=44,"35-44",IF(HR_Data[[#This Row],[Age]]&lt;=54,"45-54","55+"))))</f>
        <v>25-34</v>
      </c>
      <c r="AM142" s="1" t="str">
        <f>IF(HR_Data[[#This Row],[MonthlyIncome]]&lt;3000,"Low Salary",IF(HR_Data[[#This Row],[MonthlyIncome]]&lt;=7000,"Medium Salary","High Salary"))</f>
        <v>Medium Salary</v>
      </c>
      <c r="AN142" s="1" t="str">
        <f>IF(HR_Data[[#This Row],[YearsAtCompany]]&lt;2,"0-1 Years",IF(HR_Data[[#This Row],[YearsAtCompany]]&lt;=5,"2-5 Years",IF(HR_Data[[#This Row],[YearsAtCompany]]&lt;=10,"6-10 Years","10+ Years")))</f>
        <v>2-5 Years</v>
      </c>
      <c r="AO142" s="1" t="str">
        <f>IF(HR_Data[[#This Row],[JobSatisfaction]]=1,"Low",IF(HR_Data[[#This Row],[JobSatisfaction]]=2,"Medium",IF(HR_Data[[#This Row],[JobSatisfaction]]=3,"High","Very High")))</f>
        <v>Low</v>
      </c>
      <c r="AP142" s="1" t="str">
        <f>IF(HR_Data[[#This Row],[WorkLifeBalance]]=1,"Bad",IF(HR_Data[[#This Row],[WorkLifeBalance]]=2,"Good",IF(HR_Data[[#This Row],[WorkLifeBalance]]=3,"Better","Best")))</f>
        <v>Best</v>
      </c>
    </row>
    <row r="143" spans="1:42" x14ac:dyDescent="0.3">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c r="AJ143">
        <f>IF(HR_Data[[#This Row],[Attrition]]="Yes",1,0)</f>
        <v>0</v>
      </c>
      <c r="AK143">
        <f>IF(HR_Data[[#This Row],[Attrition]]="No",1,0)</f>
        <v>1</v>
      </c>
      <c r="AL143" t="str">
        <f>IF(HR_Data[[#This Row],[Age]]&lt;25,"Under 25",IF(HR_Data[[#This Row],[Age]]&lt;=34,"25-34",IF(HR_Data[[#This Row],[Age]]&lt;=44,"35-44",IF(HR_Data[[#This Row],[Age]]&lt;=54,"45-54","55+"))))</f>
        <v>45-54</v>
      </c>
      <c r="AM143" s="1" t="str">
        <f>IF(HR_Data[[#This Row],[MonthlyIncome]]&lt;3000,"Low Salary",IF(HR_Data[[#This Row],[MonthlyIncome]]&lt;=7000,"Medium Salary","High Salary"))</f>
        <v>Medium Salary</v>
      </c>
      <c r="AN143" s="1" t="str">
        <f>IF(HR_Data[[#This Row],[YearsAtCompany]]&lt;2,"0-1 Years",IF(HR_Data[[#This Row],[YearsAtCompany]]&lt;=5,"2-5 Years",IF(HR_Data[[#This Row],[YearsAtCompany]]&lt;=10,"6-10 Years","10+ Years")))</f>
        <v>6-10 Years</v>
      </c>
      <c r="AO143" s="1" t="str">
        <f>IF(HR_Data[[#This Row],[JobSatisfaction]]=1,"Low",IF(HR_Data[[#This Row],[JobSatisfaction]]=2,"Medium",IF(HR_Data[[#This Row],[JobSatisfaction]]=3,"High","Very High")))</f>
        <v>Very High</v>
      </c>
      <c r="AP143" s="1" t="str">
        <f>IF(HR_Data[[#This Row],[WorkLifeBalance]]=1,"Bad",IF(HR_Data[[#This Row],[WorkLifeBalance]]=2,"Good",IF(HR_Data[[#This Row],[WorkLifeBalance]]=3,"Better","Best")))</f>
        <v>Good</v>
      </c>
    </row>
    <row r="144" spans="1:42" x14ac:dyDescent="0.3">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c r="AJ144">
        <f>IF(HR_Data[[#This Row],[Attrition]]="Yes",1,0)</f>
        <v>0</v>
      </c>
      <c r="AK144">
        <f>IF(HR_Data[[#This Row],[Attrition]]="No",1,0)</f>
        <v>1</v>
      </c>
      <c r="AL144" t="str">
        <f>IF(HR_Data[[#This Row],[Age]]&lt;25,"Under 25",IF(HR_Data[[#This Row],[Age]]&lt;=34,"25-34",IF(HR_Data[[#This Row],[Age]]&lt;=44,"35-44",IF(HR_Data[[#This Row],[Age]]&lt;=54,"45-54","55+"))))</f>
        <v>35-44</v>
      </c>
      <c r="AM144" s="1" t="str">
        <f>IF(HR_Data[[#This Row],[MonthlyIncome]]&lt;3000,"Low Salary",IF(HR_Data[[#This Row],[MonthlyIncome]]&lt;=7000,"Medium Salary","High Salary"))</f>
        <v>Medium Salary</v>
      </c>
      <c r="AN144" s="1" t="str">
        <f>IF(HR_Data[[#This Row],[YearsAtCompany]]&lt;2,"0-1 Years",IF(HR_Data[[#This Row],[YearsAtCompany]]&lt;=5,"2-5 Years",IF(HR_Data[[#This Row],[YearsAtCompany]]&lt;=10,"6-10 Years","10+ Years")))</f>
        <v>2-5 Years</v>
      </c>
      <c r="AO144" s="1" t="str">
        <f>IF(HR_Data[[#This Row],[JobSatisfaction]]=1,"Low",IF(HR_Data[[#This Row],[JobSatisfaction]]=2,"Medium",IF(HR_Data[[#This Row],[JobSatisfaction]]=3,"High","Very High")))</f>
        <v>High</v>
      </c>
      <c r="AP144" s="1" t="str">
        <f>IF(HR_Data[[#This Row],[WorkLifeBalance]]=1,"Bad",IF(HR_Data[[#This Row],[WorkLifeBalance]]=2,"Good",IF(HR_Data[[#This Row],[WorkLifeBalance]]=3,"Better","Best")))</f>
        <v>Better</v>
      </c>
    </row>
    <row r="145" spans="1:42" x14ac:dyDescent="0.3">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c r="AJ145">
        <f>IF(HR_Data[[#This Row],[Attrition]]="Yes",1,0)</f>
        <v>0</v>
      </c>
      <c r="AK145">
        <f>IF(HR_Data[[#This Row],[Attrition]]="No",1,0)</f>
        <v>1</v>
      </c>
      <c r="AL145" t="str">
        <f>IF(HR_Data[[#This Row],[Age]]&lt;25,"Under 25",IF(HR_Data[[#This Row],[Age]]&lt;=34,"25-34",IF(HR_Data[[#This Row],[Age]]&lt;=44,"35-44",IF(HR_Data[[#This Row],[Age]]&lt;=54,"45-54","55+"))))</f>
        <v>25-34</v>
      </c>
      <c r="AM145" s="1" t="str">
        <f>IF(HR_Data[[#This Row],[MonthlyIncome]]&lt;3000,"Low Salary",IF(HR_Data[[#This Row],[MonthlyIncome]]&lt;=7000,"Medium Salary","High Salary"))</f>
        <v>Low Salary</v>
      </c>
      <c r="AN145" s="1" t="str">
        <f>IF(HR_Data[[#This Row],[YearsAtCompany]]&lt;2,"0-1 Years",IF(HR_Data[[#This Row],[YearsAtCompany]]&lt;=5,"2-5 Years",IF(HR_Data[[#This Row],[YearsAtCompany]]&lt;=10,"6-10 Years","10+ Years")))</f>
        <v>2-5 Years</v>
      </c>
      <c r="AO145" s="1" t="str">
        <f>IF(HR_Data[[#This Row],[JobSatisfaction]]=1,"Low",IF(HR_Data[[#This Row],[JobSatisfaction]]=2,"Medium",IF(HR_Data[[#This Row],[JobSatisfaction]]=3,"High","Very High")))</f>
        <v>High</v>
      </c>
      <c r="AP145" s="1" t="str">
        <f>IF(HR_Data[[#This Row],[WorkLifeBalance]]=1,"Bad",IF(HR_Data[[#This Row],[WorkLifeBalance]]=2,"Good",IF(HR_Data[[#This Row],[WorkLifeBalance]]=3,"Better","Best")))</f>
        <v>Good</v>
      </c>
    </row>
    <row r="146" spans="1:42" x14ac:dyDescent="0.3">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c r="AJ146">
        <f>IF(HR_Data[[#This Row],[Attrition]]="Yes",1,0)</f>
        <v>0</v>
      </c>
      <c r="AK146">
        <f>IF(HR_Data[[#This Row],[Attrition]]="No",1,0)</f>
        <v>1</v>
      </c>
      <c r="AL146" t="str">
        <f>IF(HR_Data[[#This Row],[Age]]&lt;25,"Under 25",IF(HR_Data[[#This Row],[Age]]&lt;=34,"25-34",IF(HR_Data[[#This Row],[Age]]&lt;=44,"35-44",IF(HR_Data[[#This Row],[Age]]&lt;=54,"45-54","55+"))))</f>
        <v>25-34</v>
      </c>
      <c r="AM146" s="1" t="str">
        <f>IF(HR_Data[[#This Row],[MonthlyIncome]]&lt;3000,"Low Salary",IF(HR_Data[[#This Row],[MonthlyIncome]]&lt;=7000,"Medium Salary","High Salary"))</f>
        <v>Medium Salary</v>
      </c>
      <c r="AN146" s="1" t="str">
        <f>IF(HR_Data[[#This Row],[YearsAtCompany]]&lt;2,"0-1 Years",IF(HR_Data[[#This Row],[YearsAtCompany]]&lt;=5,"2-5 Years",IF(HR_Data[[#This Row],[YearsAtCompany]]&lt;=10,"6-10 Years","10+ Years")))</f>
        <v>6-10 Years</v>
      </c>
      <c r="AO146" s="1" t="str">
        <f>IF(HR_Data[[#This Row],[JobSatisfaction]]=1,"Low",IF(HR_Data[[#This Row],[JobSatisfaction]]=2,"Medium",IF(HR_Data[[#This Row],[JobSatisfaction]]=3,"High","Very High")))</f>
        <v>Very High</v>
      </c>
      <c r="AP146" s="1" t="str">
        <f>IF(HR_Data[[#This Row],[WorkLifeBalance]]=1,"Bad",IF(HR_Data[[#This Row],[WorkLifeBalance]]=2,"Good",IF(HR_Data[[#This Row],[WorkLifeBalance]]=3,"Better","Best")))</f>
        <v>Best</v>
      </c>
    </row>
    <row r="147" spans="1:42" x14ac:dyDescent="0.3">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c r="AJ147">
        <f>IF(HR_Data[[#This Row],[Attrition]]="Yes",1,0)</f>
        <v>0</v>
      </c>
      <c r="AK147">
        <f>IF(HR_Data[[#This Row],[Attrition]]="No",1,0)</f>
        <v>1</v>
      </c>
      <c r="AL147" t="str">
        <f>IF(HR_Data[[#This Row],[Age]]&lt;25,"Under 25",IF(HR_Data[[#This Row],[Age]]&lt;=34,"25-34",IF(HR_Data[[#This Row],[Age]]&lt;=44,"35-44",IF(HR_Data[[#This Row],[Age]]&lt;=54,"45-54","55+"))))</f>
        <v>25-34</v>
      </c>
      <c r="AM147" s="1" t="str">
        <f>IF(HR_Data[[#This Row],[MonthlyIncome]]&lt;3000,"Low Salary",IF(HR_Data[[#This Row],[MonthlyIncome]]&lt;=7000,"Medium Salary","High Salary"))</f>
        <v>Medium Salary</v>
      </c>
      <c r="AN147" s="1" t="str">
        <f>IF(HR_Data[[#This Row],[YearsAtCompany]]&lt;2,"0-1 Years",IF(HR_Data[[#This Row],[YearsAtCompany]]&lt;=5,"2-5 Years",IF(HR_Data[[#This Row],[YearsAtCompany]]&lt;=10,"6-10 Years","10+ Years")))</f>
        <v>2-5 Years</v>
      </c>
      <c r="AO147" s="1" t="str">
        <f>IF(HR_Data[[#This Row],[JobSatisfaction]]=1,"Low",IF(HR_Data[[#This Row],[JobSatisfaction]]=2,"Medium",IF(HR_Data[[#This Row],[JobSatisfaction]]=3,"High","Very High")))</f>
        <v>Low</v>
      </c>
      <c r="AP147" s="1" t="str">
        <f>IF(HR_Data[[#This Row],[WorkLifeBalance]]=1,"Bad",IF(HR_Data[[#This Row],[WorkLifeBalance]]=2,"Good",IF(HR_Data[[#This Row],[WorkLifeBalance]]=3,"Better","Best")))</f>
        <v>Better</v>
      </c>
    </row>
    <row r="148" spans="1:42" x14ac:dyDescent="0.3">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c r="AJ148">
        <f>IF(HR_Data[[#This Row],[Attrition]]="Yes",1,0)</f>
        <v>0</v>
      </c>
      <c r="AK148">
        <f>IF(HR_Data[[#This Row],[Attrition]]="No",1,0)</f>
        <v>1</v>
      </c>
      <c r="AL148" t="str">
        <f>IF(HR_Data[[#This Row],[Age]]&lt;25,"Under 25",IF(HR_Data[[#This Row],[Age]]&lt;=34,"25-34",IF(HR_Data[[#This Row],[Age]]&lt;=44,"35-44",IF(HR_Data[[#This Row],[Age]]&lt;=54,"45-54","55+"))))</f>
        <v>25-34</v>
      </c>
      <c r="AM148" s="1" t="str">
        <f>IF(HR_Data[[#This Row],[MonthlyIncome]]&lt;3000,"Low Salary",IF(HR_Data[[#This Row],[MonthlyIncome]]&lt;=7000,"Medium Salary","High Salary"))</f>
        <v>Low Salary</v>
      </c>
      <c r="AN148" s="1" t="str">
        <f>IF(HR_Data[[#This Row],[YearsAtCompany]]&lt;2,"0-1 Years",IF(HR_Data[[#This Row],[YearsAtCompany]]&lt;=5,"2-5 Years",IF(HR_Data[[#This Row],[YearsAtCompany]]&lt;=10,"6-10 Years","10+ Years")))</f>
        <v>2-5 Years</v>
      </c>
      <c r="AO148" s="1" t="str">
        <f>IF(HR_Data[[#This Row],[JobSatisfaction]]=1,"Low",IF(HR_Data[[#This Row],[JobSatisfaction]]=2,"Medium",IF(HR_Data[[#This Row],[JobSatisfaction]]=3,"High","Very High")))</f>
        <v>Very High</v>
      </c>
      <c r="AP148" s="1" t="str">
        <f>IF(HR_Data[[#This Row],[WorkLifeBalance]]=1,"Bad",IF(HR_Data[[#This Row],[WorkLifeBalance]]=2,"Good",IF(HR_Data[[#This Row],[WorkLifeBalance]]=3,"Better","Best")))</f>
        <v>Better</v>
      </c>
    </row>
    <row r="149" spans="1:42" x14ac:dyDescent="0.3">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c r="AJ149">
        <f>IF(HR_Data[[#This Row],[Attrition]]="Yes",1,0)</f>
        <v>0</v>
      </c>
      <c r="AK149">
        <f>IF(HR_Data[[#This Row],[Attrition]]="No",1,0)</f>
        <v>1</v>
      </c>
      <c r="AL149" t="str">
        <f>IF(HR_Data[[#This Row],[Age]]&lt;25,"Under 25",IF(HR_Data[[#This Row],[Age]]&lt;=34,"25-34",IF(HR_Data[[#This Row],[Age]]&lt;=44,"35-44",IF(HR_Data[[#This Row],[Age]]&lt;=54,"45-54","55+"))))</f>
        <v>35-44</v>
      </c>
      <c r="AM149" s="1" t="str">
        <f>IF(HR_Data[[#This Row],[MonthlyIncome]]&lt;3000,"Low Salary",IF(HR_Data[[#This Row],[MonthlyIncome]]&lt;=7000,"Medium Salary","High Salary"))</f>
        <v>High Salary</v>
      </c>
      <c r="AN149" s="1" t="str">
        <f>IF(HR_Data[[#This Row],[YearsAtCompany]]&lt;2,"0-1 Years",IF(HR_Data[[#This Row],[YearsAtCompany]]&lt;=5,"2-5 Years",IF(HR_Data[[#This Row],[YearsAtCompany]]&lt;=10,"6-10 Years","10+ Years")))</f>
        <v>6-10 Years</v>
      </c>
      <c r="AO149" s="1" t="str">
        <f>IF(HR_Data[[#This Row],[JobSatisfaction]]=1,"Low",IF(HR_Data[[#This Row],[JobSatisfaction]]=2,"Medium",IF(HR_Data[[#This Row],[JobSatisfaction]]=3,"High","Very High")))</f>
        <v>Low</v>
      </c>
      <c r="AP149" s="1" t="str">
        <f>IF(HR_Data[[#This Row],[WorkLifeBalance]]=1,"Bad",IF(HR_Data[[#This Row],[WorkLifeBalance]]=2,"Good",IF(HR_Data[[#This Row],[WorkLifeBalance]]=3,"Better","Best")))</f>
        <v>Good</v>
      </c>
    </row>
    <row r="150" spans="1:42" x14ac:dyDescent="0.3">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c r="AJ150">
        <f>IF(HR_Data[[#This Row],[Attrition]]="Yes",1,0)</f>
        <v>0</v>
      </c>
      <c r="AK150">
        <f>IF(HR_Data[[#This Row],[Attrition]]="No",1,0)</f>
        <v>1</v>
      </c>
      <c r="AL150" t="str">
        <f>IF(HR_Data[[#This Row],[Age]]&lt;25,"Under 25",IF(HR_Data[[#This Row],[Age]]&lt;=34,"25-34",IF(HR_Data[[#This Row],[Age]]&lt;=44,"35-44",IF(HR_Data[[#This Row],[Age]]&lt;=54,"45-54","55+"))))</f>
        <v>35-44</v>
      </c>
      <c r="AM150" s="1" t="str">
        <f>IF(HR_Data[[#This Row],[MonthlyIncome]]&lt;3000,"Low Salary",IF(HR_Data[[#This Row],[MonthlyIncome]]&lt;=7000,"Medium Salary","High Salary"))</f>
        <v>Low Salary</v>
      </c>
      <c r="AN150" s="1" t="str">
        <f>IF(HR_Data[[#This Row],[YearsAtCompany]]&lt;2,"0-1 Years",IF(HR_Data[[#This Row],[YearsAtCompany]]&lt;=5,"2-5 Years",IF(HR_Data[[#This Row],[YearsAtCompany]]&lt;=10,"6-10 Years","10+ Years")))</f>
        <v>2-5 Years</v>
      </c>
      <c r="AO150" s="1" t="str">
        <f>IF(HR_Data[[#This Row],[JobSatisfaction]]=1,"Low",IF(HR_Data[[#This Row],[JobSatisfaction]]=2,"Medium",IF(HR_Data[[#This Row],[JobSatisfaction]]=3,"High","Very High")))</f>
        <v>Low</v>
      </c>
      <c r="AP150" s="1" t="str">
        <f>IF(HR_Data[[#This Row],[WorkLifeBalance]]=1,"Bad",IF(HR_Data[[#This Row],[WorkLifeBalance]]=2,"Good",IF(HR_Data[[#This Row],[WorkLifeBalance]]=3,"Better","Best")))</f>
        <v>Better</v>
      </c>
    </row>
    <row r="151" spans="1:42" x14ac:dyDescent="0.3">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c r="AJ151">
        <f>IF(HR_Data[[#This Row],[Attrition]]="Yes",1,0)</f>
        <v>0</v>
      </c>
      <c r="AK151">
        <f>IF(HR_Data[[#This Row],[Attrition]]="No",1,0)</f>
        <v>1</v>
      </c>
      <c r="AL151" t="str">
        <f>IF(HR_Data[[#This Row],[Age]]&lt;25,"Under 25",IF(HR_Data[[#This Row],[Age]]&lt;=34,"25-34",IF(HR_Data[[#This Row],[Age]]&lt;=44,"35-44",IF(HR_Data[[#This Row],[Age]]&lt;=54,"45-54","55+"))))</f>
        <v>Under 25</v>
      </c>
      <c r="AM151" s="1" t="str">
        <f>IF(HR_Data[[#This Row],[MonthlyIncome]]&lt;3000,"Low Salary",IF(HR_Data[[#This Row],[MonthlyIncome]]&lt;=7000,"Medium Salary","High Salary"))</f>
        <v>Low Salary</v>
      </c>
      <c r="AN151" s="1" t="str">
        <f>IF(HR_Data[[#This Row],[YearsAtCompany]]&lt;2,"0-1 Years",IF(HR_Data[[#This Row],[YearsAtCompany]]&lt;=5,"2-5 Years",IF(HR_Data[[#This Row],[YearsAtCompany]]&lt;=10,"6-10 Years","10+ Years")))</f>
        <v>0-1 Years</v>
      </c>
      <c r="AO151" s="1" t="str">
        <f>IF(HR_Data[[#This Row],[JobSatisfaction]]=1,"Low",IF(HR_Data[[#This Row],[JobSatisfaction]]=2,"Medium",IF(HR_Data[[#This Row],[JobSatisfaction]]=3,"High","Very High")))</f>
        <v>Medium</v>
      </c>
      <c r="AP151" s="1" t="str">
        <f>IF(HR_Data[[#This Row],[WorkLifeBalance]]=1,"Bad",IF(HR_Data[[#This Row],[WorkLifeBalance]]=2,"Good",IF(HR_Data[[#This Row],[WorkLifeBalance]]=3,"Better","Best")))</f>
        <v>Better</v>
      </c>
    </row>
    <row r="152" spans="1:42" x14ac:dyDescent="0.3">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c r="AJ152">
        <f>IF(HR_Data[[#This Row],[Attrition]]="Yes",1,0)</f>
        <v>0</v>
      </c>
      <c r="AK152">
        <f>IF(HR_Data[[#This Row],[Attrition]]="No",1,0)</f>
        <v>1</v>
      </c>
      <c r="AL152" t="str">
        <f>IF(HR_Data[[#This Row],[Age]]&lt;25,"Under 25",IF(HR_Data[[#This Row],[Age]]&lt;=34,"25-34",IF(HR_Data[[#This Row],[Age]]&lt;=44,"35-44",IF(HR_Data[[#This Row],[Age]]&lt;=54,"45-54","55+"))))</f>
        <v>35-44</v>
      </c>
      <c r="AM152" s="1" t="str">
        <f>IF(HR_Data[[#This Row],[MonthlyIncome]]&lt;3000,"Low Salary",IF(HR_Data[[#This Row],[MonthlyIncome]]&lt;=7000,"Medium Salary","High Salary"))</f>
        <v>Medium Salary</v>
      </c>
      <c r="AN152" s="1" t="str">
        <f>IF(HR_Data[[#This Row],[YearsAtCompany]]&lt;2,"0-1 Years",IF(HR_Data[[#This Row],[YearsAtCompany]]&lt;=5,"2-5 Years",IF(HR_Data[[#This Row],[YearsAtCompany]]&lt;=10,"6-10 Years","10+ Years")))</f>
        <v>10+ Years</v>
      </c>
      <c r="AO152" s="1" t="str">
        <f>IF(HR_Data[[#This Row],[JobSatisfaction]]=1,"Low",IF(HR_Data[[#This Row],[JobSatisfaction]]=2,"Medium",IF(HR_Data[[#This Row],[JobSatisfaction]]=3,"High","Very High")))</f>
        <v>Medium</v>
      </c>
      <c r="AP152" s="1" t="str">
        <f>IF(HR_Data[[#This Row],[WorkLifeBalance]]=1,"Bad",IF(HR_Data[[#This Row],[WorkLifeBalance]]=2,"Good",IF(HR_Data[[#This Row],[WorkLifeBalance]]=3,"Better","Best")))</f>
        <v>Better</v>
      </c>
    </row>
    <row r="153" spans="1:42" x14ac:dyDescent="0.3">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c r="AJ153">
        <f>IF(HR_Data[[#This Row],[Attrition]]="Yes",1,0)</f>
        <v>0</v>
      </c>
      <c r="AK153">
        <f>IF(HR_Data[[#This Row],[Attrition]]="No",1,0)</f>
        <v>1</v>
      </c>
      <c r="AL153" t="str">
        <f>IF(HR_Data[[#This Row],[Age]]&lt;25,"Under 25",IF(HR_Data[[#This Row],[Age]]&lt;=34,"25-34",IF(HR_Data[[#This Row],[Age]]&lt;=44,"35-44",IF(HR_Data[[#This Row],[Age]]&lt;=54,"45-54","55+"))))</f>
        <v>35-44</v>
      </c>
      <c r="AM153" s="1" t="str">
        <f>IF(HR_Data[[#This Row],[MonthlyIncome]]&lt;3000,"Low Salary",IF(HR_Data[[#This Row],[MonthlyIncome]]&lt;=7000,"Medium Salary","High Salary"))</f>
        <v>High Salary</v>
      </c>
      <c r="AN153" s="1" t="str">
        <f>IF(HR_Data[[#This Row],[YearsAtCompany]]&lt;2,"0-1 Years",IF(HR_Data[[#This Row],[YearsAtCompany]]&lt;=5,"2-5 Years",IF(HR_Data[[#This Row],[YearsAtCompany]]&lt;=10,"6-10 Years","10+ Years")))</f>
        <v>6-10 Years</v>
      </c>
      <c r="AO153" s="1" t="str">
        <f>IF(HR_Data[[#This Row],[JobSatisfaction]]=1,"Low",IF(HR_Data[[#This Row],[JobSatisfaction]]=2,"Medium",IF(HR_Data[[#This Row],[JobSatisfaction]]=3,"High","Very High")))</f>
        <v>Medium</v>
      </c>
      <c r="AP153" s="1" t="str">
        <f>IF(HR_Data[[#This Row],[WorkLifeBalance]]=1,"Bad",IF(HR_Data[[#This Row],[WorkLifeBalance]]=2,"Good",IF(HR_Data[[#This Row],[WorkLifeBalance]]=3,"Better","Best")))</f>
        <v>Better</v>
      </c>
    </row>
    <row r="154" spans="1:42" x14ac:dyDescent="0.3">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c r="AJ154">
        <f>IF(HR_Data[[#This Row],[Attrition]]="Yes",1,0)</f>
        <v>0</v>
      </c>
      <c r="AK154">
        <f>IF(HR_Data[[#This Row],[Attrition]]="No",1,0)</f>
        <v>1</v>
      </c>
      <c r="AL154" t="str">
        <f>IF(HR_Data[[#This Row],[Age]]&lt;25,"Under 25",IF(HR_Data[[#This Row],[Age]]&lt;=34,"25-34",IF(HR_Data[[#This Row],[Age]]&lt;=44,"35-44",IF(HR_Data[[#This Row],[Age]]&lt;=54,"45-54","55+"))))</f>
        <v>45-54</v>
      </c>
      <c r="AM154" s="1" t="str">
        <f>IF(HR_Data[[#This Row],[MonthlyIncome]]&lt;3000,"Low Salary",IF(HR_Data[[#This Row],[MonthlyIncome]]&lt;=7000,"Medium Salary","High Salary"))</f>
        <v>Low Salary</v>
      </c>
      <c r="AN154" s="1" t="str">
        <f>IF(HR_Data[[#This Row],[YearsAtCompany]]&lt;2,"0-1 Years",IF(HR_Data[[#This Row],[YearsAtCompany]]&lt;=5,"2-5 Years",IF(HR_Data[[#This Row],[YearsAtCompany]]&lt;=10,"6-10 Years","10+ Years")))</f>
        <v>6-10 Years</v>
      </c>
      <c r="AO154" s="1" t="str">
        <f>IF(HR_Data[[#This Row],[JobSatisfaction]]=1,"Low",IF(HR_Data[[#This Row],[JobSatisfaction]]=2,"Medium",IF(HR_Data[[#This Row],[JobSatisfaction]]=3,"High","Very High")))</f>
        <v>High</v>
      </c>
      <c r="AP154" s="1" t="str">
        <f>IF(HR_Data[[#This Row],[WorkLifeBalance]]=1,"Bad",IF(HR_Data[[#This Row],[WorkLifeBalance]]=2,"Good",IF(HR_Data[[#This Row],[WorkLifeBalance]]=3,"Better","Best")))</f>
        <v>Bad</v>
      </c>
    </row>
    <row r="155" spans="1:42" x14ac:dyDescent="0.3">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c r="AJ155">
        <f>IF(HR_Data[[#This Row],[Attrition]]="Yes",1,0)</f>
        <v>0</v>
      </c>
      <c r="AK155">
        <f>IF(HR_Data[[#This Row],[Attrition]]="No",1,0)</f>
        <v>1</v>
      </c>
      <c r="AL155" t="str">
        <f>IF(HR_Data[[#This Row],[Age]]&lt;25,"Under 25",IF(HR_Data[[#This Row],[Age]]&lt;=34,"25-34",IF(HR_Data[[#This Row],[Age]]&lt;=44,"35-44",IF(HR_Data[[#This Row],[Age]]&lt;=54,"45-54","55+"))))</f>
        <v>45-54</v>
      </c>
      <c r="AM155" s="1" t="str">
        <f>IF(HR_Data[[#This Row],[MonthlyIncome]]&lt;3000,"Low Salary",IF(HR_Data[[#This Row],[MonthlyIncome]]&lt;=7000,"Medium Salary","High Salary"))</f>
        <v>Low Salary</v>
      </c>
      <c r="AN155" s="1" t="str">
        <f>IF(HR_Data[[#This Row],[YearsAtCompany]]&lt;2,"0-1 Years",IF(HR_Data[[#This Row],[YearsAtCompany]]&lt;=5,"2-5 Years",IF(HR_Data[[#This Row],[YearsAtCompany]]&lt;=10,"6-10 Years","10+ Years")))</f>
        <v>10+ Years</v>
      </c>
      <c r="AO155" s="1" t="str">
        <f>IF(HR_Data[[#This Row],[JobSatisfaction]]=1,"Low",IF(HR_Data[[#This Row],[JobSatisfaction]]=2,"Medium",IF(HR_Data[[#This Row],[JobSatisfaction]]=3,"High","Very High")))</f>
        <v>Medium</v>
      </c>
      <c r="AP155" s="1" t="str">
        <f>IF(HR_Data[[#This Row],[WorkLifeBalance]]=1,"Bad",IF(HR_Data[[#This Row],[WorkLifeBalance]]=2,"Good",IF(HR_Data[[#This Row],[WorkLifeBalance]]=3,"Better","Best")))</f>
        <v>Bad</v>
      </c>
    </row>
    <row r="156" spans="1:42" x14ac:dyDescent="0.3">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c r="AJ156">
        <f>IF(HR_Data[[#This Row],[Attrition]]="Yes",1,0)</f>
        <v>0</v>
      </c>
      <c r="AK156">
        <f>IF(HR_Data[[#This Row],[Attrition]]="No",1,0)</f>
        <v>1</v>
      </c>
      <c r="AL156" t="str">
        <f>IF(HR_Data[[#This Row],[Age]]&lt;25,"Under 25",IF(HR_Data[[#This Row],[Age]]&lt;=34,"25-34",IF(HR_Data[[#This Row],[Age]]&lt;=44,"35-44",IF(HR_Data[[#This Row],[Age]]&lt;=54,"45-54","55+"))))</f>
        <v>25-34</v>
      </c>
      <c r="AM156" s="1" t="str">
        <f>IF(HR_Data[[#This Row],[MonthlyIncome]]&lt;3000,"Low Salary",IF(HR_Data[[#This Row],[MonthlyIncome]]&lt;=7000,"Medium Salary","High Salary"))</f>
        <v>High Salary</v>
      </c>
      <c r="AN156" s="1" t="str">
        <f>IF(HR_Data[[#This Row],[YearsAtCompany]]&lt;2,"0-1 Years",IF(HR_Data[[#This Row],[YearsAtCompany]]&lt;=5,"2-5 Years",IF(HR_Data[[#This Row],[YearsAtCompany]]&lt;=10,"6-10 Years","10+ Years")))</f>
        <v>6-10 Years</v>
      </c>
      <c r="AO156" s="1" t="str">
        <f>IF(HR_Data[[#This Row],[JobSatisfaction]]=1,"Low",IF(HR_Data[[#This Row],[JobSatisfaction]]=2,"Medium",IF(HR_Data[[#This Row],[JobSatisfaction]]=3,"High","Very High")))</f>
        <v>Very High</v>
      </c>
      <c r="AP156" s="1" t="str">
        <f>IF(HR_Data[[#This Row],[WorkLifeBalance]]=1,"Bad",IF(HR_Data[[#This Row],[WorkLifeBalance]]=2,"Good",IF(HR_Data[[#This Row],[WorkLifeBalance]]=3,"Better","Best")))</f>
        <v>Better</v>
      </c>
    </row>
    <row r="157" spans="1:42" x14ac:dyDescent="0.3">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c r="AJ157">
        <f>IF(HR_Data[[#This Row],[Attrition]]="Yes",1,0)</f>
        <v>0</v>
      </c>
      <c r="AK157">
        <f>IF(HR_Data[[#This Row],[Attrition]]="No",1,0)</f>
        <v>1</v>
      </c>
      <c r="AL157" t="str">
        <f>IF(HR_Data[[#This Row],[Age]]&lt;25,"Under 25",IF(HR_Data[[#This Row],[Age]]&lt;=34,"25-34",IF(HR_Data[[#This Row],[Age]]&lt;=44,"35-44",IF(HR_Data[[#This Row],[Age]]&lt;=54,"45-54","55+"))))</f>
        <v>25-34</v>
      </c>
      <c r="AM157" s="1" t="str">
        <f>IF(HR_Data[[#This Row],[MonthlyIncome]]&lt;3000,"Low Salary",IF(HR_Data[[#This Row],[MonthlyIncome]]&lt;=7000,"Medium Salary","High Salary"))</f>
        <v>Medium Salary</v>
      </c>
      <c r="AN157" s="1" t="str">
        <f>IF(HR_Data[[#This Row],[YearsAtCompany]]&lt;2,"0-1 Years",IF(HR_Data[[#This Row],[YearsAtCompany]]&lt;=5,"2-5 Years",IF(HR_Data[[#This Row],[YearsAtCompany]]&lt;=10,"6-10 Years","10+ Years")))</f>
        <v>6-10 Years</v>
      </c>
      <c r="AO157" s="1" t="str">
        <f>IF(HR_Data[[#This Row],[JobSatisfaction]]=1,"Low",IF(HR_Data[[#This Row],[JobSatisfaction]]=2,"Medium",IF(HR_Data[[#This Row],[JobSatisfaction]]=3,"High","Very High")))</f>
        <v>High</v>
      </c>
      <c r="AP157" s="1" t="str">
        <f>IF(HR_Data[[#This Row],[WorkLifeBalance]]=1,"Bad",IF(HR_Data[[#This Row],[WorkLifeBalance]]=2,"Good",IF(HR_Data[[#This Row],[WorkLifeBalance]]=3,"Better","Best")))</f>
        <v>Better</v>
      </c>
    </row>
    <row r="158" spans="1:42" x14ac:dyDescent="0.3">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c r="AJ158">
        <f>IF(HR_Data[[#This Row],[Attrition]]="Yes",1,0)</f>
        <v>0</v>
      </c>
      <c r="AK158">
        <f>IF(HR_Data[[#This Row],[Attrition]]="No",1,0)</f>
        <v>1</v>
      </c>
      <c r="AL158" t="str">
        <f>IF(HR_Data[[#This Row],[Age]]&lt;25,"Under 25",IF(HR_Data[[#This Row],[Age]]&lt;=34,"25-34",IF(HR_Data[[#This Row],[Age]]&lt;=44,"35-44",IF(HR_Data[[#This Row],[Age]]&lt;=54,"45-54","55+"))))</f>
        <v>45-54</v>
      </c>
      <c r="AM158" s="1" t="str">
        <f>IF(HR_Data[[#This Row],[MonthlyIncome]]&lt;3000,"Low Salary",IF(HR_Data[[#This Row],[MonthlyIncome]]&lt;=7000,"Medium Salary","High Salary"))</f>
        <v>Medium Salary</v>
      </c>
      <c r="AN158" s="1" t="str">
        <f>IF(HR_Data[[#This Row],[YearsAtCompany]]&lt;2,"0-1 Years",IF(HR_Data[[#This Row],[YearsAtCompany]]&lt;=5,"2-5 Years",IF(HR_Data[[#This Row],[YearsAtCompany]]&lt;=10,"6-10 Years","10+ Years")))</f>
        <v>0-1 Years</v>
      </c>
      <c r="AO158" s="1" t="str">
        <f>IF(HR_Data[[#This Row],[JobSatisfaction]]=1,"Low",IF(HR_Data[[#This Row],[JobSatisfaction]]=2,"Medium",IF(HR_Data[[#This Row],[JobSatisfaction]]=3,"High","Very High")))</f>
        <v>High</v>
      </c>
      <c r="AP158" s="1" t="str">
        <f>IF(HR_Data[[#This Row],[WorkLifeBalance]]=1,"Bad",IF(HR_Data[[#This Row],[WorkLifeBalance]]=2,"Good",IF(HR_Data[[#This Row],[WorkLifeBalance]]=3,"Better","Best")))</f>
        <v>Better</v>
      </c>
    </row>
    <row r="159" spans="1:42" x14ac:dyDescent="0.3">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c r="AJ159">
        <f>IF(HR_Data[[#This Row],[Attrition]]="Yes",1,0)</f>
        <v>0</v>
      </c>
      <c r="AK159">
        <f>IF(HR_Data[[#This Row],[Attrition]]="No",1,0)</f>
        <v>1</v>
      </c>
      <c r="AL159" t="str">
        <f>IF(HR_Data[[#This Row],[Age]]&lt;25,"Under 25",IF(HR_Data[[#This Row],[Age]]&lt;=34,"25-34",IF(HR_Data[[#This Row],[Age]]&lt;=44,"35-44",IF(HR_Data[[#This Row],[Age]]&lt;=54,"45-54","55+"))))</f>
        <v>55+</v>
      </c>
      <c r="AM159" s="1" t="str">
        <f>IF(HR_Data[[#This Row],[MonthlyIncome]]&lt;3000,"Low Salary",IF(HR_Data[[#This Row],[MonthlyIncome]]&lt;=7000,"Medium Salary","High Salary"))</f>
        <v>Medium Salary</v>
      </c>
      <c r="AN159" s="1" t="str">
        <f>IF(HR_Data[[#This Row],[YearsAtCompany]]&lt;2,"0-1 Years",IF(HR_Data[[#This Row],[YearsAtCompany]]&lt;=5,"2-5 Years",IF(HR_Data[[#This Row],[YearsAtCompany]]&lt;=10,"6-10 Years","10+ Years")))</f>
        <v>0-1 Years</v>
      </c>
      <c r="AO159" s="1" t="str">
        <f>IF(HR_Data[[#This Row],[JobSatisfaction]]=1,"Low",IF(HR_Data[[#This Row],[JobSatisfaction]]=2,"Medium",IF(HR_Data[[#This Row],[JobSatisfaction]]=3,"High","Very High")))</f>
        <v>Medium</v>
      </c>
      <c r="AP159" s="1" t="str">
        <f>IF(HR_Data[[#This Row],[WorkLifeBalance]]=1,"Bad",IF(HR_Data[[#This Row],[WorkLifeBalance]]=2,"Good",IF(HR_Data[[#This Row],[WorkLifeBalance]]=3,"Better","Best")))</f>
        <v>Good</v>
      </c>
    </row>
    <row r="160" spans="1:42" x14ac:dyDescent="0.3">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c r="AJ160">
        <f>IF(HR_Data[[#This Row],[Attrition]]="Yes",1,0)</f>
        <v>0</v>
      </c>
      <c r="AK160">
        <f>IF(HR_Data[[#This Row],[Attrition]]="No",1,0)</f>
        <v>1</v>
      </c>
      <c r="AL160" t="str">
        <f>IF(HR_Data[[#This Row],[Age]]&lt;25,"Under 25",IF(HR_Data[[#This Row],[Age]]&lt;=34,"25-34",IF(HR_Data[[#This Row],[Age]]&lt;=44,"35-44",IF(HR_Data[[#This Row],[Age]]&lt;=54,"45-54","55+"))))</f>
        <v>35-44</v>
      </c>
      <c r="AM160" s="1" t="str">
        <f>IF(HR_Data[[#This Row],[MonthlyIncome]]&lt;3000,"Low Salary",IF(HR_Data[[#This Row],[MonthlyIncome]]&lt;=7000,"Medium Salary","High Salary"))</f>
        <v>High Salary</v>
      </c>
      <c r="AN160" s="1" t="str">
        <f>IF(HR_Data[[#This Row],[YearsAtCompany]]&lt;2,"0-1 Years",IF(HR_Data[[#This Row],[YearsAtCompany]]&lt;=5,"2-5 Years",IF(HR_Data[[#This Row],[YearsAtCompany]]&lt;=10,"6-10 Years","10+ Years")))</f>
        <v>10+ Years</v>
      </c>
      <c r="AO160" s="1" t="str">
        <f>IF(HR_Data[[#This Row],[JobSatisfaction]]=1,"Low",IF(HR_Data[[#This Row],[JobSatisfaction]]=2,"Medium",IF(HR_Data[[#This Row],[JobSatisfaction]]=3,"High","Very High")))</f>
        <v>Very High</v>
      </c>
      <c r="AP160" s="1" t="str">
        <f>IF(HR_Data[[#This Row],[WorkLifeBalance]]=1,"Bad",IF(HR_Data[[#This Row],[WorkLifeBalance]]=2,"Good",IF(HR_Data[[#This Row],[WorkLifeBalance]]=3,"Better","Best")))</f>
        <v>Good</v>
      </c>
    </row>
    <row r="161" spans="1:42" x14ac:dyDescent="0.3">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c r="AJ161">
        <f>IF(HR_Data[[#This Row],[Attrition]]="Yes",1,0)</f>
        <v>0</v>
      </c>
      <c r="AK161">
        <f>IF(HR_Data[[#This Row],[Attrition]]="No",1,0)</f>
        <v>1</v>
      </c>
      <c r="AL161" t="str">
        <f>IF(HR_Data[[#This Row],[Age]]&lt;25,"Under 25",IF(HR_Data[[#This Row],[Age]]&lt;=34,"25-34",IF(HR_Data[[#This Row],[Age]]&lt;=44,"35-44",IF(HR_Data[[#This Row],[Age]]&lt;=54,"45-54","55+"))))</f>
        <v>25-34</v>
      </c>
      <c r="AM161" s="1" t="str">
        <f>IF(HR_Data[[#This Row],[MonthlyIncome]]&lt;3000,"Low Salary",IF(HR_Data[[#This Row],[MonthlyIncome]]&lt;=7000,"Medium Salary","High Salary"))</f>
        <v>Low Salary</v>
      </c>
      <c r="AN161" s="1" t="str">
        <f>IF(HR_Data[[#This Row],[YearsAtCompany]]&lt;2,"0-1 Years",IF(HR_Data[[#This Row],[YearsAtCompany]]&lt;=5,"2-5 Years",IF(HR_Data[[#This Row],[YearsAtCompany]]&lt;=10,"6-10 Years","10+ Years")))</f>
        <v>2-5 Years</v>
      </c>
      <c r="AO161" s="1" t="str">
        <f>IF(HR_Data[[#This Row],[JobSatisfaction]]=1,"Low",IF(HR_Data[[#This Row],[JobSatisfaction]]=2,"Medium",IF(HR_Data[[#This Row],[JobSatisfaction]]=3,"High","Very High")))</f>
        <v>High</v>
      </c>
      <c r="AP161" s="1" t="str">
        <f>IF(HR_Data[[#This Row],[WorkLifeBalance]]=1,"Bad",IF(HR_Data[[#This Row],[WorkLifeBalance]]=2,"Good",IF(HR_Data[[#This Row],[WorkLifeBalance]]=3,"Better","Best")))</f>
        <v>Better</v>
      </c>
    </row>
    <row r="162" spans="1:42" x14ac:dyDescent="0.3">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c r="AJ162">
        <f>IF(HR_Data[[#This Row],[Attrition]]="Yes",1,0)</f>
        <v>0</v>
      </c>
      <c r="AK162">
        <f>IF(HR_Data[[#This Row],[Attrition]]="No",1,0)</f>
        <v>1</v>
      </c>
      <c r="AL162" t="str">
        <f>IF(HR_Data[[#This Row],[Age]]&lt;25,"Under 25",IF(HR_Data[[#This Row],[Age]]&lt;=34,"25-34",IF(HR_Data[[#This Row],[Age]]&lt;=44,"35-44",IF(HR_Data[[#This Row],[Age]]&lt;=54,"45-54","55+"))))</f>
        <v>Under 25</v>
      </c>
      <c r="AM162" s="1" t="str">
        <f>IF(HR_Data[[#This Row],[MonthlyIncome]]&lt;3000,"Low Salary",IF(HR_Data[[#This Row],[MonthlyIncome]]&lt;=7000,"Medium Salary","High Salary"))</f>
        <v>Low Salary</v>
      </c>
      <c r="AN162" s="1" t="str">
        <f>IF(HR_Data[[#This Row],[YearsAtCompany]]&lt;2,"0-1 Years",IF(HR_Data[[#This Row],[YearsAtCompany]]&lt;=5,"2-5 Years",IF(HR_Data[[#This Row],[YearsAtCompany]]&lt;=10,"6-10 Years","10+ Years")))</f>
        <v>2-5 Years</v>
      </c>
      <c r="AO162" s="1" t="str">
        <f>IF(HR_Data[[#This Row],[JobSatisfaction]]=1,"Low",IF(HR_Data[[#This Row],[JobSatisfaction]]=2,"Medium",IF(HR_Data[[#This Row],[JobSatisfaction]]=3,"High","Very High")))</f>
        <v>Very High</v>
      </c>
      <c r="AP162" s="1" t="str">
        <f>IF(HR_Data[[#This Row],[WorkLifeBalance]]=1,"Bad",IF(HR_Data[[#This Row],[WorkLifeBalance]]=2,"Good",IF(HR_Data[[#This Row],[WorkLifeBalance]]=3,"Better","Best")))</f>
        <v>Better</v>
      </c>
    </row>
    <row r="163" spans="1:42" x14ac:dyDescent="0.3">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c r="AJ163">
        <f>IF(HR_Data[[#This Row],[Attrition]]="Yes",1,0)</f>
        <v>0</v>
      </c>
      <c r="AK163">
        <f>IF(HR_Data[[#This Row],[Attrition]]="No",1,0)</f>
        <v>1</v>
      </c>
      <c r="AL163" t="str">
        <f>IF(HR_Data[[#This Row],[Age]]&lt;25,"Under 25",IF(HR_Data[[#This Row],[Age]]&lt;=34,"25-34",IF(HR_Data[[#This Row],[Age]]&lt;=44,"35-44",IF(HR_Data[[#This Row],[Age]]&lt;=54,"45-54","55+"))))</f>
        <v>25-34</v>
      </c>
      <c r="AM163" s="1" t="str">
        <f>IF(HR_Data[[#This Row],[MonthlyIncome]]&lt;3000,"Low Salary",IF(HR_Data[[#This Row],[MonthlyIncome]]&lt;=7000,"Medium Salary","High Salary"))</f>
        <v>Low Salary</v>
      </c>
      <c r="AN163" s="1" t="str">
        <f>IF(HR_Data[[#This Row],[YearsAtCompany]]&lt;2,"0-1 Years",IF(HR_Data[[#This Row],[YearsAtCompany]]&lt;=5,"2-5 Years",IF(HR_Data[[#This Row],[YearsAtCompany]]&lt;=10,"6-10 Years","10+ Years")))</f>
        <v>2-5 Years</v>
      </c>
      <c r="AO163" s="1" t="str">
        <f>IF(HR_Data[[#This Row],[JobSatisfaction]]=1,"Low",IF(HR_Data[[#This Row],[JobSatisfaction]]=2,"Medium",IF(HR_Data[[#This Row],[JobSatisfaction]]=3,"High","Very High")))</f>
        <v>Medium</v>
      </c>
      <c r="AP163" s="1" t="str">
        <f>IF(HR_Data[[#This Row],[WorkLifeBalance]]=1,"Bad",IF(HR_Data[[#This Row],[WorkLifeBalance]]=2,"Good",IF(HR_Data[[#This Row],[WorkLifeBalance]]=3,"Better","Best")))</f>
        <v>Bad</v>
      </c>
    </row>
    <row r="164" spans="1:42" x14ac:dyDescent="0.3">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c r="AJ164">
        <f>IF(HR_Data[[#This Row],[Attrition]]="Yes",1,0)</f>
        <v>0</v>
      </c>
      <c r="AK164">
        <f>IF(HR_Data[[#This Row],[Attrition]]="No",1,0)</f>
        <v>1</v>
      </c>
      <c r="AL164" t="str">
        <f>IF(HR_Data[[#This Row],[Age]]&lt;25,"Under 25",IF(HR_Data[[#This Row],[Age]]&lt;=34,"25-34",IF(HR_Data[[#This Row],[Age]]&lt;=44,"35-44",IF(HR_Data[[#This Row],[Age]]&lt;=54,"45-54","55+"))))</f>
        <v>25-34</v>
      </c>
      <c r="AM164" s="1" t="str">
        <f>IF(HR_Data[[#This Row],[MonthlyIncome]]&lt;3000,"Low Salary",IF(HR_Data[[#This Row],[MonthlyIncome]]&lt;=7000,"Medium Salary","High Salary"))</f>
        <v>Low Salary</v>
      </c>
      <c r="AN164" s="1" t="str">
        <f>IF(HR_Data[[#This Row],[YearsAtCompany]]&lt;2,"0-1 Years",IF(HR_Data[[#This Row],[YearsAtCompany]]&lt;=5,"2-5 Years",IF(HR_Data[[#This Row],[YearsAtCompany]]&lt;=10,"6-10 Years","10+ Years")))</f>
        <v>2-5 Years</v>
      </c>
      <c r="AO164" s="1" t="str">
        <f>IF(HR_Data[[#This Row],[JobSatisfaction]]=1,"Low",IF(HR_Data[[#This Row],[JobSatisfaction]]=2,"Medium",IF(HR_Data[[#This Row],[JobSatisfaction]]=3,"High","Very High")))</f>
        <v>Very High</v>
      </c>
      <c r="AP164" s="1" t="str">
        <f>IF(HR_Data[[#This Row],[WorkLifeBalance]]=1,"Bad",IF(HR_Data[[#This Row],[WorkLifeBalance]]=2,"Good",IF(HR_Data[[#This Row],[WorkLifeBalance]]=3,"Better","Best")))</f>
        <v>Bad</v>
      </c>
    </row>
    <row r="165" spans="1:42" x14ac:dyDescent="0.3">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c r="AJ165">
        <f>IF(HR_Data[[#This Row],[Attrition]]="Yes",1,0)</f>
        <v>0</v>
      </c>
      <c r="AK165">
        <f>IF(HR_Data[[#This Row],[Attrition]]="No",1,0)</f>
        <v>1</v>
      </c>
      <c r="AL165" t="str">
        <f>IF(HR_Data[[#This Row],[Age]]&lt;25,"Under 25",IF(HR_Data[[#This Row],[Age]]&lt;=34,"25-34",IF(HR_Data[[#This Row],[Age]]&lt;=44,"35-44",IF(HR_Data[[#This Row],[Age]]&lt;=54,"45-54","55+"))))</f>
        <v>55+</v>
      </c>
      <c r="AM165" s="1" t="str">
        <f>IF(HR_Data[[#This Row],[MonthlyIncome]]&lt;3000,"Low Salary",IF(HR_Data[[#This Row],[MonthlyIncome]]&lt;=7000,"Medium Salary","High Salary"))</f>
        <v>High Salary</v>
      </c>
      <c r="AN165" s="1" t="str">
        <f>IF(HR_Data[[#This Row],[YearsAtCompany]]&lt;2,"0-1 Years",IF(HR_Data[[#This Row],[YearsAtCompany]]&lt;=5,"2-5 Years",IF(HR_Data[[#This Row],[YearsAtCompany]]&lt;=10,"6-10 Years","10+ Years")))</f>
        <v>2-5 Years</v>
      </c>
      <c r="AO165" s="1" t="str">
        <f>IF(HR_Data[[#This Row],[JobSatisfaction]]=1,"Low",IF(HR_Data[[#This Row],[JobSatisfaction]]=2,"Medium",IF(HR_Data[[#This Row],[JobSatisfaction]]=3,"High","Very High")))</f>
        <v>Very High</v>
      </c>
      <c r="AP165" s="1" t="str">
        <f>IF(HR_Data[[#This Row],[WorkLifeBalance]]=1,"Bad",IF(HR_Data[[#This Row],[WorkLifeBalance]]=2,"Good",IF(HR_Data[[#This Row],[WorkLifeBalance]]=3,"Better","Best")))</f>
        <v>Bad</v>
      </c>
    </row>
    <row r="166" spans="1:42" x14ac:dyDescent="0.3">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c r="AJ166">
        <f>IF(HR_Data[[#This Row],[Attrition]]="Yes",1,0)</f>
        <v>0</v>
      </c>
      <c r="AK166">
        <f>IF(HR_Data[[#This Row],[Attrition]]="No",1,0)</f>
        <v>1</v>
      </c>
      <c r="AL166" t="str">
        <f>IF(HR_Data[[#This Row],[Age]]&lt;25,"Under 25",IF(HR_Data[[#This Row],[Age]]&lt;=34,"25-34",IF(HR_Data[[#This Row],[Age]]&lt;=44,"35-44",IF(HR_Data[[#This Row],[Age]]&lt;=54,"45-54","55+"))))</f>
        <v>25-34</v>
      </c>
      <c r="AM166" s="1" t="str">
        <f>IF(HR_Data[[#This Row],[MonthlyIncome]]&lt;3000,"Low Salary",IF(HR_Data[[#This Row],[MonthlyIncome]]&lt;=7000,"Medium Salary","High Salary"))</f>
        <v>Low Salary</v>
      </c>
      <c r="AN166" s="1" t="str">
        <f>IF(HR_Data[[#This Row],[YearsAtCompany]]&lt;2,"0-1 Years",IF(HR_Data[[#This Row],[YearsAtCompany]]&lt;=5,"2-5 Years",IF(HR_Data[[#This Row],[YearsAtCompany]]&lt;=10,"6-10 Years","10+ Years")))</f>
        <v>0-1 Years</v>
      </c>
      <c r="AO166" s="1" t="str">
        <f>IF(HR_Data[[#This Row],[JobSatisfaction]]=1,"Low",IF(HR_Data[[#This Row],[JobSatisfaction]]=2,"Medium",IF(HR_Data[[#This Row],[JobSatisfaction]]=3,"High","Very High")))</f>
        <v>High</v>
      </c>
      <c r="AP166" s="1" t="str">
        <f>IF(HR_Data[[#This Row],[WorkLifeBalance]]=1,"Bad",IF(HR_Data[[#This Row],[WorkLifeBalance]]=2,"Good",IF(HR_Data[[#This Row],[WorkLifeBalance]]=3,"Better","Best")))</f>
        <v>Good</v>
      </c>
    </row>
    <row r="167" spans="1:42" x14ac:dyDescent="0.3">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c r="AJ167">
        <f>IF(HR_Data[[#This Row],[Attrition]]="Yes",1,0)</f>
        <v>0</v>
      </c>
      <c r="AK167">
        <f>IF(HR_Data[[#This Row],[Attrition]]="No",1,0)</f>
        <v>1</v>
      </c>
      <c r="AL167" t="str">
        <f>IF(HR_Data[[#This Row],[Age]]&lt;25,"Under 25",IF(HR_Data[[#This Row],[Age]]&lt;=34,"25-34",IF(HR_Data[[#This Row],[Age]]&lt;=44,"35-44",IF(HR_Data[[#This Row],[Age]]&lt;=54,"45-54","55+"))))</f>
        <v>45-54</v>
      </c>
      <c r="AM167" s="1" t="str">
        <f>IF(HR_Data[[#This Row],[MonthlyIncome]]&lt;3000,"Low Salary",IF(HR_Data[[#This Row],[MonthlyIncome]]&lt;=7000,"Medium Salary","High Salary"))</f>
        <v>High Salary</v>
      </c>
      <c r="AN167" s="1" t="str">
        <f>IF(HR_Data[[#This Row],[YearsAtCompany]]&lt;2,"0-1 Years",IF(HR_Data[[#This Row],[YearsAtCompany]]&lt;=5,"2-5 Years",IF(HR_Data[[#This Row],[YearsAtCompany]]&lt;=10,"6-10 Years","10+ Years")))</f>
        <v>2-5 Years</v>
      </c>
      <c r="AO167" s="1" t="str">
        <f>IF(HR_Data[[#This Row],[JobSatisfaction]]=1,"Low",IF(HR_Data[[#This Row],[JobSatisfaction]]=2,"Medium",IF(HR_Data[[#This Row],[JobSatisfaction]]=3,"High","Very High")))</f>
        <v>Medium</v>
      </c>
      <c r="AP167" s="1" t="str">
        <f>IF(HR_Data[[#This Row],[WorkLifeBalance]]=1,"Bad",IF(HR_Data[[#This Row],[WorkLifeBalance]]=2,"Good",IF(HR_Data[[#This Row],[WorkLifeBalance]]=3,"Better","Best")))</f>
        <v>Better</v>
      </c>
    </row>
    <row r="168" spans="1:42" x14ac:dyDescent="0.3">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c r="AJ168">
        <f>IF(HR_Data[[#This Row],[Attrition]]="Yes",1,0)</f>
        <v>0</v>
      </c>
      <c r="AK168">
        <f>IF(HR_Data[[#This Row],[Attrition]]="No",1,0)</f>
        <v>1</v>
      </c>
      <c r="AL168" t="str">
        <f>IF(HR_Data[[#This Row],[Age]]&lt;25,"Under 25",IF(HR_Data[[#This Row],[Age]]&lt;=34,"25-34",IF(HR_Data[[#This Row],[Age]]&lt;=44,"35-44",IF(HR_Data[[#This Row],[Age]]&lt;=54,"45-54","55+"))))</f>
        <v>35-44</v>
      </c>
      <c r="AM168" s="1" t="str">
        <f>IF(HR_Data[[#This Row],[MonthlyIncome]]&lt;3000,"Low Salary",IF(HR_Data[[#This Row],[MonthlyIncome]]&lt;=7000,"Medium Salary","High Salary"))</f>
        <v>Low Salary</v>
      </c>
      <c r="AN168" s="1" t="str">
        <f>IF(HR_Data[[#This Row],[YearsAtCompany]]&lt;2,"0-1 Years",IF(HR_Data[[#This Row],[YearsAtCompany]]&lt;=5,"2-5 Years",IF(HR_Data[[#This Row],[YearsAtCompany]]&lt;=10,"6-10 Years","10+ Years")))</f>
        <v>6-10 Years</v>
      </c>
      <c r="AO168" s="1" t="str">
        <f>IF(HR_Data[[#This Row],[JobSatisfaction]]=1,"Low",IF(HR_Data[[#This Row],[JobSatisfaction]]=2,"Medium",IF(HR_Data[[#This Row],[JobSatisfaction]]=3,"High","Very High")))</f>
        <v>High</v>
      </c>
      <c r="AP168" s="1" t="str">
        <f>IF(HR_Data[[#This Row],[WorkLifeBalance]]=1,"Bad",IF(HR_Data[[#This Row],[WorkLifeBalance]]=2,"Good",IF(HR_Data[[#This Row],[WorkLifeBalance]]=3,"Better","Best")))</f>
        <v>Better</v>
      </c>
    </row>
    <row r="169" spans="1:42" x14ac:dyDescent="0.3">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c r="AJ169">
        <f>IF(HR_Data[[#This Row],[Attrition]]="Yes",1,0)</f>
        <v>0</v>
      </c>
      <c r="AK169">
        <f>IF(HR_Data[[#This Row],[Attrition]]="No",1,0)</f>
        <v>1</v>
      </c>
      <c r="AL169" t="str">
        <f>IF(HR_Data[[#This Row],[Age]]&lt;25,"Under 25",IF(HR_Data[[#This Row],[Age]]&lt;=34,"25-34",IF(HR_Data[[#This Row],[Age]]&lt;=44,"35-44",IF(HR_Data[[#This Row],[Age]]&lt;=54,"45-54","55+"))))</f>
        <v>25-34</v>
      </c>
      <c r="AM169" s="1" t="str">
        <f>IF(HR_Data[[#This Row],[MonthlyIncome]]&lt;3000,"Low Salary",IF(HR_Data[[#This Row],[MonthlyIncome]]&lt;=7000,"Medium Salary","High Salary"))</f>
        <v>High Salary</v>
      </c>
      <c r="AN169" s="1" t="str">
        <f>IF(HR_Data[[#This Row],[YearsAtCompany]]&lt;2,"0-1 Years",IF(HR_Data[[#This Row],[YearsAtCompany]]&lt;=5,"2-5 Years",IF(HR_Data[[#This Row],[YearsAtCompany]]&lt;=10,"6-10 Years","10+ Years")))</f>
        <v>6-10 Years</v>
      </c>
      <c r="AO169" s="1" t="str">
        <f>IF(HR_Data[[#This Row],[JobSatisfaction]]=1,"Low",IF(HR_Data[[#This Row],[JobSatisfaction]]=2,"Medium",IF(HR_Data[[#This Row],[JobSatisfaction]]=3,"High","Very High")))</f>
        <v>Very High</v>
      </c>
      <c r="AP169" s="1" t="str">
        <f>IF(HR_Data[[#This Row],[WorkLifeBalance]]=1,"Bad",IF(HR_Data[[#This Row],[WorkLifeBalance]]=2,"Good",IF(HR_Data[[#This Row],[WorkLifeBalance]]=3,"Better","Best")))</f>
        <v>Better</v>
      </c>
    </row>
    <row r="170" spans="1:42" x14ac:dyDescent="0.3">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c r="AJ170">
        <f>IF(HR_Data[[#This Row],[Attrition]]="Yes",1,0)</f>
        <v>0</v>
      </c>
      <c r="AK170">
        <f>IF(HR_Data[[#This Row],[Attrition]]="No",1,0)</f>
        <v>1</v>
      </c>
      <c r="AL170" t="str">
        <f>IF(HR_Data[[#This Row],[Age]]&lt;25,"Under 25",IF(HR_Data[[#This Row],[Age]]&lt;=34,"25-34",IF(HR_Data[[#This Row],[Age]]&lt;=44,"35-44",IF(HR_Data[[#This Row],[Age]]&lt;=54,"45-54","55+"))))</f>
        <v>35-44</v>
      </c>
      <c r="AM170" s="1" t="str">
        <f>IF(HR_Data[[#This Row],[MonthlyIncome]]&lt;3000,"Low Salary",IF(HR_Data[[#This Row],[MonthlyIncome]]&lt;=7000,"Medium Salary","High Salary"))</f>
        <v>High Salary</v>
      </c>
      <c r="AN170" s="1" t="str">
        <f>IF(HR_Data[[#This Row],[YearsAtCompany]]&lt;2,"0-1 Years",IF(HR_Data[[#This Row],[YearsAtCompany]]&lt;=5,"2-5 Years",IF(HR_Data[[#This Row],[YearsAtCompany]]&lt;=10,"6-10 Years","10+ Years")))</f>
        <v>6-10 Years</v>
      </c>
      <c r="AO170" s="1" t="str">
        <f>IF(HR_Data[[#This Row],[JobSatisfaction]]=1,"Low",IF(HR_Data[[#This Row],[JobSatisfaction]]=2,"Medium",IF(HR_Data[[#This Row],[JobSatisfaction]]=3,"High","Very High")))</f>
        <v>Very High</v>
      </c>
      <c r="AP170" s="1" t="str">
        <f>IF(HR_Data[[#This Row],[WorkLifeBalance]]=1,"Bad",IF(HR_Data[[#This Row],[WorkLifeBalance]]=2,"Good",IF(HR_Data[[#This Row],[WorkLifeBalance]]=3,"Better","Best")))</f>
        <v>Best</v>
      </c>
    </row>
    <row r="171" spans="1:42" x14ac:dyDescent="0.3">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c r="AJ171">
        <f>IF(HR_Data[[#This Row],[Attrition]]="Yes",1,0)</f>
        <v>0</v>
      </c>
      <c r="AK171">
        <f>IF(HR_Data[[#This Row],[Attrition]]="No",1,0)</f>
        <v>1</v>
      </c>
      <c r="AL171" t="str">
        <f>IF(HR_Data[[#This Row],[Age]]&lt;25,"Under 25",IF(HR_Data[[#This Row],[Age]]&lt;=34,"25-34",IF(HR_Data[[#This Row],[Age]]&lt;=44,"35-44",IF(HR_Data[[#This Row],[Age]]&lt;=54,"45-54","55+"))))</f>
        <v>25-34</v>
      </c>
      <c r="AM171" s="1" t="str">
        <f>IF(HR_Data[[#This Row],[MonthlyIncome]]&lt;3000,"Low Salary",IF(HR_Data[[#This Row],[MonthlyIncome]]&lt;=7000,"Medium Salary","High Salary"))</f>
        <v>Medium Salary</v>
      </c>
      <c r="AN171" s="1" t="str">
        <f>IF(HR_Data[[#This Row],[YearsAtCompany]]&lt;2,"0-1 Years",IF(HR_Data[[#This Row],[YearsAtCompany]]&lt;=5,"2-5 Years",IF(HR_Data[[#This Row],[YearsAtCompany]]&lt;=10,"6-10 Years","10+ Years")))</f>
        <v>2-5 Years</v>
      </c>
      <c r="AO171" s="1" t="str">
        <f>IF(HR_Data[[#This Row],[JobSatisfaction]]=1,"Low",IF(HR_Data[[#This Row],[JobSatisfaction]]=2,"Medium",IF(HR_Data[[#This Row],[JobSatisfaction]]=3,"High","Very High")))</f>
        <v>High</v>
      </c>
      <c r="AP171" s="1" t="str">
        <f>IF(HR_Data[[#This Row],[WorkLifeBalance]]=1,"Bad",IF(HR_Data[[#This Row],[WorkLifeBalance]]=2,"Good",IF(HR_Data[[#This Row],[WorkLifeBalance]]=3,"Better","Best")))</f>
        <v>Better</v>
      </c>
    </row>
    <row r="172" spans="1:42" x14ac:dyDescent="0.3">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c r="AJ172">
        <f>IF(HR_Data[[#This Row],[Attrition]]="Yes",1,0)</f>
        <v>0</v>
      </c>
      <c r="AK172">
        <f>IF(HR_Data[[#This Row],[Attrition]]="No",1,0)</f>
        <v>1</v>
      </c>
      <c r="AL172" t="str">
        <f>IF(HR_Data[[#This Row],[Age]]&lt;25,"Under 25",IF(HR_Data[[#This Row],[Age]]&lt;=34,"25-34",IF(HR_Data[[#This Row],[Age]]&lt;=44,"35-44",IF(HR_Data[[#This Row],[Age]]&lt;=54,"45-54","55+"))))</f>
        <v>25-34</v>
      </c>
      <c r="AM172" s="1" t="str">
        <f>IF(HR_Data[[#This Row],[MonthlyIncome]]&lt;3000,"Low Salary",IF(HR_Data[[#This Row],[MonthlyIncome]]&lt;=7000,"Medium Salary","High Salary"))</f>
        <v>Medium Salary</v>
      </c>
      <c r="AN172" s="1" t="str">
        <f>IF(HR_Data[[#This Row],[YearsAtCompany]]&lt;2,"0-1 Years",IF(HR_Data[[#This Row],[YearsAtCompany]]&lt;=5,"2-5 Years",IF(HR_Data[[#This Row],[YearsAtCompany]]&lt;=10,"6-10 Years","10+ Years")))</f>
        <v>2-5 Years</v>
      </c>
      <c r="AO172" s="1" t="str">
        <f>IF(HR_Data[[#This Row],[JobSatisfaction]]=1,"Low",IF(HR_Data[[#This Row],[JobSatisfaction]]=2,"Medium",IF(HR_Data[[#This Row],[JobSatisfaction]]=3,"High","Very High")))</f>
        <v>Medium</v>
      </c>
      <c r="AP172" s="1" t="str">
        <f>IF(HR_Data[[#This Row],[WorkLifeBalance]]=1,"Bad",IF(HR_Data[[#This Row],[WorkLifeBalance]]=2,"Good",IF(HR_Data[[#This Row],[WorkLifeBalance]]=3,"Better","Best")))</f>
        <v>Good</v>
      </c>
    </row>
    <row r="173" spans="1:42" x14ac:dyDescent="0.3">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c r="AJ173">
        <f>IF(HR_Data[[#This Row],[Attrition]]="Yes",1,0)</f>
        <v>1</v>
      </c>
      <c r="AK173">
        <f>IF(HR_Data[[#This Row],[Attrition]]="No",1,0)</f>
        <v>0</v>
      </c>
      <c r="AL173" t="str">
        <f>IF(HR_Data[[#This Row],[Age]]&lt;25,"Under 25",IF(HR_Data[[#This Row],[Age]]&lt;=34,"25-34",IF(HR_Data[[#This Row],[Age]]&lt;=44,"35-44",IF(HR_Data[[#This Row],[Age]]&lt;=54,"45-54","55+"))))</f>
        <v>Under 25</v>
      </c>
      <c r="AM173" s="1" t="str">
        <f>IF(HR_Data[[#This Row],[MonthlyIncome]]&lt;3000,"Low Salary",IF(HR_Data[[#This Row],[MonthlyIncome]]&lt;=7000,"Medium Salary","High Salary"))</f>
        <v>Low Salary</v>
      </c>
      <c r="AN173" s="1" t="str">
        <f>IF(HR_Data[[#This Row],[YearsAtCompany]]&lt;2,"0-1 Years",IF(HR_Data[[#This Row],[YearsAtCompany]]&lt;=5,"2-5 Years",IF(HR_Data[[#This Row],[YearsAtCompany]]&lt;=10,"6-10 Years","10+ Years")))</f>
        <v>0-1 Years</v>
      </c>
      <c r="AO173" s="1" t="str">
        <f>IF(HR_Data[[#This Row],[JobSatisfaction]]=1,"Low",IF(HR_Data[[#This Row],[JobSatisfaction]]=2,"Medium",IF(HR_Data[[#This Row],[JobSatisfaction]]=3,"High","Very High")))</f>
        <v>Low</v>
      </c>
      <c r="AP173" s="1" t="str">
        <f>IF(HR_Data[[#This Row],[WorkLifeBalance]]=1,"Bad",IF(HR_Data[[#This Row],[WorkLifeBalance]]=2,"Good",IF(HR_Data[[#This Row],[WorkLifeBalance]]=3,"Better","Best")))</f>
        <v>Best</v>
      </c>
    </row>
    <row r="174" spans="1:42" x14ac:dyDescent="0.3">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c r="AJ174">
        <f>IF(HR_Data[[#This Row],[Attrition]]="Yes",1,0)</f>
        <v>0</v>
      </c>
      <c r="AK174">
        <f>IF(HR_Data[[#This Row],[Attrition]]="No",1,0)</f>
        <v>1</v>
      </c>
      <c r="AL174" t="str">
        <f>IF(HR_Data[[#This Row],[Age]]&lt;25,"Under 25",IF(HR_Data[[#This Row],[Age]]&lt;=34,"25-34",IF(HR_Data[[#This Row],[Age]]&lt;=44,"35-44",IF(HR_Data[[#This Row],[Age]]&lt;=54,"45-54","55+"))))</f>
        <v>35-44</v>
      </c>
      <c r="AM174" s="1" t="str">
        <f>IF(HR_Data[[#This Row],[MonthlyIncome]]&lt;3000,"Low Salary",IF(HR_Data[[#This Row],[MonthlyIncome]]&lt;=7000,"Medium Salary","High Salary"))</f>
        <v>Low Salary</v>
      </c>
      <c r="AN174" s="1" t="str">
        <f>IF(HR_Data[[#This Row],[YearsAtCompany]]&lt;2,"0-1 Years",IF(HR_Data[[#This Row],[YearsAtCompany]]&lt;=5,"2-5 Years",IF(HR_Data[[#This Row],[YearsAtCompany]]&lt;=10,"6-10 Years","10+ Years")))</f>
        <v>6-10 Years</v>
      </c>
      <c r="AO174" s="1" t="str">
        <f>IF(HR_Data[[#This Row],[JobSatisfaction]]=1,"Low",IF(HR_Data[[#This Row],[JobSatisfaction]]=2,"Medium",IF(HR_Data[[#This Row],[JobSatisfaction]]=3,"High","Very High")))</f>
        <v>Medium</v>
      </c>
      <c r="AP174" s="1" t="str">
        <f>IF(HR_Data[[#This Row],[WorkLifeBalance]]=1,"Bad",IF(HR_Data[[#This Row],[WorkLifeBalance]]=2,"Good",IF(HR_Data[[#This Row],[WorkLifeBalance]]=3,"Better","Best")))</f>
        <v>Good</v>
      </c>
    </row>
    <row r="175" spans="1:42" x14ac:dyDescent="0.3">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c r="AJ175">
        <f>IF(HR_Data[[#This Row],[Attrition]]="Yes",1,0)</f>
        <v>0</v>
      </c>
      <c r="AK175">
        <f>IF(HR_Data[[#This Row],[Attrition]]="No",1,0)</f>
        <v>1</v>
      </c>
      <c r="AL175" t="str">
        <f>IF(HR_Data[[#This Row],[Age]]&lt;25,"Under 25",IF(HR_Data[[#This Row],[Age]]&lt;=34,"25-34",IF(HR_Data[[#This Row],[Age]]&lt;=44,"35-44",IF(HR_Data[[#This Row],[Age]]&lt;=54,"45-54","55+"))))</f>
        <v>25-34</v>
      </c>
      <c r="AM175" s="1" t="str">
        <f>IF(HR_Data[[#This Row],[MonthlyIncome]]&lt;3000,"Low Salary",IF(HR_Data[[#This Row],[MonthlyIncome]]&lt;=7000,"Medium Salary","High Salary"))</f>
        <v>Medium Salary</v>
      </c>
      <c r="AN175" s="1" t="str">
        <f>IF(HR_Data[[#This Row],[YearsAtCompany]]&lt;2,"0-1 Years",IF(HR_Data[[#This Row],[YearsAtCompany]]&lt;=5,"2-5 Years",IF(HR_Data[[#This Row],[YearsAtCompany]]&lt;=10,"6-10 Years","10+ Years")))</f>
        <v>10+ Years</v>
      </c>
      <c r="AO175" s="1" t="str">
        <f>IF(HR_Data[[#This Row],[JobSatisfaction]]=1,"Low",IF(HR_Data[[#This Row],[JobSatisfaction]]=2,"Medium",IF(HR_Data[[#This Row],[JobSatisfaction]]=3,"High","Very High")))</f>
        <v>Low</v>
      </c>
      <c r="AP175" s="1" t="str">
        <f>IF(HR_Data[[#This Row],[WorkLifeBalance]]=1,"Bad",IF(HR_Data[[#This Row],[WorkLifeBalance]]=2,"Good",IF(HR_Data[[#This Row],[WorkLifeBalance]]=3,"Better","Best")))</f>
        <v>Better</v>
      </c>
    </row>
    <row r="176" spans="1:42" x14ac:dyDescent="0.3">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c r="AJ176">
        <f>IF(HR_Data[[#This Row],[Attrition]]="Yes",1,0)</f>
        <v>0</v>
      </c>
      <c r="AK176">
        <f>IF(HR_Data[[#This Row],[Attrition]]="No",1,0)</f>
        <v>1</v>
      </c>
      <c r="AL176" t="str">
        <f>IF(HR_Data[[#This Row],[Age]]&lt;25,"Under 25",IF(HR_Data[[#This Row],[Age]]&lt;=34,"25-34",IF(HR_Data[[#This Row],[Age]]&lt;=44,"35-44",IF(HR_Data[[#This Row],[Age]]&lt;=54,"45-54","55+"))))</f>
        <v>45-54</v>
      </c>
      <c r="AM176" s="1" t="str">
        <f>IF(HR_Data[[#This Row],[MonthlyIncome]]&lt;3000,"Low Salary",IF(HR_Data[[#This Row],[MonthlyIncome]]&lt;=7000,"Medium Salary","High Salary"))</f>
        <v>Medium Salary</v>
      </c>
      <c r="AN176" s="1" t="str">
        <f>IF(HR_Data[[#This Row],[YearsAtCompany]]&lt;2,"0-1 Years",IF(HR_Data[[#This Row],[YearsAtCompany]]&lt;=5,"2-5 Years",IF(HR_Data[[#This Row],[YearsAtCompany]]&lt;=10,"6-10 Years","10+ Years")))</f>
        <v>2-5 Years</v>
      </c>
      <c r="AO176" s="1" t="str">
        <f>IF(HR_Data[[#This Row],[JobSatisfaction]]=1,"Low",IF(HR_Data[[#This Row],[JobSatisfaction]]=2,"Medium",IF(HR_Data[[#This Row],[JobSatisfaction]]=3,"High","Very High")))</f>
        <v>Low</v>
      </c>
      <c r="AP176" s="1" t="str">
        <f>IF(HR_Data[[#This Row],[WorkLifeBalance]]=1,"Bad",IF(HR_Data[[#This Row],[WorkLifeBalance]]=2,"Good",IF(HR_Data[[#This Row],[WorkLifeBalance]]=3,"Better","Best")))</f>
        <v>Best</v>
      </c>
    </row>
    <row r="177" spans="1:42" x14ac:dyDescent="0.3">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c r="AJ177">
        <f>IF(HR_Data[[#This Row],[Attrition]]="Yes",1,0)</f>
        <v>0</v>
      </c>
      <c r="AK177">
        <f>IF(HR_Data[[#This Row],[Attrition]]="No",1,0)</f>
        <v>1</v>
      </c>
      <c r="AL177" t="str">
        <f>IF(HR_Data[[#This Row],[Age]]&lt;25,"Under 25",IF(HR_Data[[#This Row],[Age]]&lt;=34,"25-34",IF(HR_Data[[#This Row],[Age]]&lt;=44,"35-44",IF(HR_Data[[#This Row],[Age]]&lt;=54,"45-54","55+"))))</f>
        <v>55+</v>
      </c>
      <c r="AM177" s="1" t="str">
        <f>IF(HR_Data[[#This Row],[MonthlyIncome]]&lt;3000,"Low Salary",IF(HR_Data[[#This Row],[MonthlyIncome]]&lt;=7000,"Medium Salary","High Salary"))</f>
        <v>Medium Salary</v>
      </c>
      <c r="AN177" s="1" t="str">
        <f>IF(HR_Data[[#This Row],[YearsAtCompany]]&lt;2,"0-1 Years",IF(HR_Data[[#This Row],[YearsAtCompany]]&lt;=5,"2-5 Years",IF(HR_Data[[#This Row],[YearsAtCompany]]&lt;=10,"6-10 Years","10+ Years")))</f>
        <v>2-5 Years</v>
      </c>
      <c r="AO177" s="1" t="str">
        <f>IF(HR_Data[[#This Row],[JobSatisfaction]]=1,"Low",IF(HR_Data[[#This Row],[JobSatisfaction]]=2,"Medium",IF(HR_Data[[#This Row],[JobSatisfaction]]=3,"High","Very High")))</f>
        <v>Low</v>
      </c>
      <c r="AP177" s="1" t="str">
        <f>IF(HR_Data[[#This Row],[WorkLifeBalance]]=1,"Bad",IF(HR_Data[[#This Row],[WorkLifeBalance]]=2,"Good",IF(HR_Data[[#This Row],[WorkLifeBalance]]=3,"Better","Best")))</f>
        <v>Better</v>
      </c>
    </row>
    <row r="178" spans="1:42" x14ac:dyDescent="0.3">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c r="AJ178">
        <f>IF(HR_Data[[#This Row],[Attrition]]="Yes",1,0)</f>
        <v>0</v>
      </c>
      <c r="AK178">
        <f>IF(HR_Data[[#This Row],[Attrition]]="No",1,0)</f>
        <v>1</v>
      </c>
      <c r="AL178" t="str">
        <f>IF(HR_Data[[#This Row],[Age]]&lt;25,"Under 25",IF(HR_Data[[#This Row],[Age]]&lt;=34,"25-34",IF(HR_Data[[#This Row],[Age]]&lt;=44,"35-44",IF(HR_Data[[#This Row],[Age]]&lt;=54,"45-54","55+"))))</f>
        <v>25-34</v>
      </c>
      <c r="AM178" s="1" t="str">
        <f>IF(HR_Data[[#This Row],[MonthlyIncome]]&lt;3000,"Low Salary",IF(HR_Data[[#This Row],[MonthlyIncome]]&lt;=7000,"Medium Salary","High Salary"))</f>
        <v>Low Salary</v>
      </c>
      <c r="AN178" s="1" t="str">
        <f>IF(HR_Data[[#This Row],[YearsAtCompany]]&lt;2,"0-1 Years",IF(HR_Data[[#This Row],[YearsAtCompany]]&lt;=5,"2-5 Years",IF(HR_Data[[#This Row],[YearsAtCompany]]&lt;=10,"6-10 Years","10+ Years")))</f>
        <v>2-5 Years</v>
      </c>
      <c r="AO178" s="1" t="str">
        <f>IF(HR_Data[[#This Row],[JobSatisfaction]]=1,"Low",IF(HR_Data[[#This Row],[JobSatisfaction]]=2,"Medium",IF(HR_Data[[#This Row],[JobSatisfaction]]=3,"High","Very High")))</f>
        <v>Very High</v>
      </c>
      <c r="AP178" s="1" t="str">
        <f>IF(HR_Data[[#This Row],[WorkLifeBalance]]=1,"Bad",IF(HR_Data[[#This Row],[WorkLifeBalance]]=2,"Good",IF(HR_Data[[#This Row],[WorkLifeBalance]]=3,"Better","Best")))</f>
        <v>Best</v>
      </c>
    </row>
    <row r="179" spans="1:42" x14ac:dyDescent="0.3">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c r="AJ179">
        <f>IF(HR_Data[[#This Row],[Attrition]]="Yes",1,0)</f>
        <v>1</v>
      </c>
      <c r="AK179">
        <f>IF(HR_Data[[#This Row],[Attrition]]="No",1,0)</f>
        <v>0</v>
      </c>
      <c r="AL179" t="str">
        <f>IF(HR_Data[[#This Row],[Age]]&lt;25,"Under 25",IF(HR_Data[[#This Row],[Age]]&lt;=34,"25-34",IF(HR_Data[[#This Row],[Age]]&lt;=44,"35-44",IF(HR_Data[[#This Row],[Age]]&lt;=54,"45-54","55+"))))</f>
        <v>Under 25</v>
      </c>
      <c r="AM179" s="1" t="str">
        <f>IF(HR_Data[[#This Row],[MonthlyIncome]]&lt;3000,"Low Salary",IF(HR_Data[[#This Row],[MonthlyIncome]]&lt;=7000,"Medium Salary","High Salary"))</f>
        <v>Low Salary</v>
      </c>
      <c r="AN179" s="1" t="str">
        <f>IF(HR_Data[[#This Row],[YearsAtCompany]]&lt;2,"0-1 Years",IF(HR_Data[[#This Row],[YearsAtCompany]]&lt;=5,"2-5 Years",IF(HR_Data[[#This Row],[YearsAtCompany]]&lt;=10,"6-10 Years","10+ Years")))</f>
        <v>0-1 Years</v>
      </c>
      <c r="AO179" s="1" t="str">
        <f>IF(HR_Data[[#This Row],[JobSatisfaction]]=1,"Low",IF(HR_Data[[#This Row],[JobSatisfaction]]=2,"Medium",IF(HR_Data[[#This Row],[JobSatisfaction]]=3,"High","Very High")))</f>
        <v>Very High</v>
      </c>
      <c r="AP179" s="1" t="str">
        <f>IF(HR_Data[[#This Row],[WorkLifeBalance]]=1,"Bad",IF(HR_Data[[#This Row],[WorkLifeBalance]]=2,"Good",IF(HR_Data[[#This Row],[WorkLifeBalance]]=3,"Better","Best")))</f>
        <v>Good</v>
      </c>
    </row>
    <row r="180" spans="1:42" x14ac:dyDescent="0.3">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c r="AJ180">
        <f>IF(HR_Data[[#This Row],[Attrition]]="Yes",1,0)</f>
        <v>0</v>
      </c>
      <c r="AK180">
        <f>IF(HR_Data[[#This Row],[Attrition]]="No",1,0)</f>
        <v>1</v>
      </c>
      <c r="AL180" t="str">
        <f>IF(HR_Data[[#This Row],[Age]]&lt;25,"Under 25",IF(HR_Data[[#This Row],[Age]]&lt;=34,"25-34",IF(HR_Data[[#This Row],[Age]]&lt;=44,"35-44",IF(HR_Data[[#This Row],[Age]]&lt;=54,"45-54","55+"))))</f>
        <v>45-54</v>
      </c>
      <c r="AM180" s="1" t="str">
        <f>IF(HR_Data[[#This Row],[MonthlyIncome]]&lt;3000,"Low Salary",IF(HR_Data[[#This Row],[MonthlyIncome]]&lt;=7000,"Medium Salary","High Salary"))</f>
        <v>High Salary</v>
      </c>
      <c r="AN180" s="1" t="str">
        <f>IF(HR_Data[[#This Row],[YearsAtCompany]]&lt;2,"0-1 Years",IF(HR_Data[[#This Row],[YearsAtCompany]]&lt;=5,"2-5 Years",IF(HR_Data[[#This Row],[YearsAtCompany]]&lt;=10,"6-10 Years","10+ Years")))</f>
        <v>10+ Years</v>
      </c>
      <c r="AO180" s="1" t="str">
        <f>IF(HR_Data[[#This Row],[JobSatisfaction]]=1,"Low",IF(HR_Data[[#This Row],[JobSatisfaction]]=2,"Medium",IF(HR_Data[[#This Row],[JobSatisfaction]]=3,"High","Very High")))</f>
        <v>Low</v>
      </c>
      <c r="AP180" s="1" t="str">
        <f>IF(HR_Data[[#This Row],[WorkLifeBalance]]=1,"Bad",IF(HR_Data[[#This Row],[WorkLifeBalance]]=2,"Good",IF(HR_Data[[#This Row],[WorkLifeBalance]]=3,"Better","Best")))</f>
        <v>Better</v>
      </c>
    </row>
    <row r="181" spans="1:42" x14ac:dyDescent="0.3">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c r="AJ181">
        <f>IF(HR_Data[[#This Row],[Attrition]]="Yes",1,0)</f>
        <v>0</v>
      </c>
      <c r="AK181">
        <f>IF(HR_Data[[#This Row],[Attrition]]="No",1,0)</f>
        <v>1</v>
      </c>
      <c r="AL181" t="str">
        <f>IF(HR_Data[[#This Row],[Age]]&lt;25,"Under 25",IF(HR_Data[[#This Row],[Age]]&lt;=34,"25-34",IF(HR_Data[[#This Row],[Age]]&lt;=44,"35-44",IF(HR_Data[[#This Row],[Age]]&lt;=54,"45-54","55+"))))</f>
        <v>35-44</v>
      </c>
      <c r="AM181" s="1" t="str">
        <f>IF(HR_Data[[#This Row],[MonthlyIncome]]&lt;3000,"Low Salary",IF(HR_Data[[#This Row],[MonthlyIncome]]&lt;=7000,"Medium Salary","High Salary"))</f>
        <v>Low Salary</v>
      </c>
      <c r="AN181" s="1" t="str">
        <f>IF(HR_Data[[#This Row],[YearsAtCompany]]&lt;2,"0-1 Years",IF(HR_Data[[#This Row],[YearsAtCompany]]&lt;=5,"2-5 Years",IF(HR_Data[[#This Row],[YearsAtCompany]]&lt;=10,"6-10 Years","10+ Years")))</f>
        <v>2-5 Years</v>
      </c>
      <c r="AO181" s="1" t="str">
        <f>IF(HR_Data[[#This Row],[JobSatisfaction]]=1,"Low",IF(HR_Data[[#This Row],[JobSatisfaction]]=2,"Medium",IF(HR_Data[[#This Row],[JobSatisfaction]]=3,"High","Very High")))</f>
        <v>Very High</v>
      </c>
      <c r="AP181" s="1" t="str">
        <f>IF(HR_Data[[#This Row],[WorkLifeBalance]]=1,"Bad",IF(HR_Data[[#This Row],[WorkLifeBalance]]=2,"Good",IF(HR_Data[[#This Row],[WorkLifeBalance]]=3,"Better","Best")))</f>
        <v>Better</v>
      </c>
    </row>
    <row r="182" spans="1:42" x14ac:dyDescent="0.3">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c r="AJ182">
        <f>IF(HR_Data[[#This Row],[Attrition]]="Yes",1,0)</f>
        <v>0</v>
      </c>
      <c r="AK182">
        <f>IF(HR_Data[[#This Row],[Attrition]]="No",1,0)</f>
        <v>1</v>
      </c>
      <c r="AL182" t="str">
        <f>IF(HR_Data[[#This Row],[Age]]&lt;25,"Under 25",IF(HR_Data[[#This Row],[Age]]&lt;=34,"25-34",IF(HR_Data[[#This Row],[Age]]&lt;=44,"35-44",IF(HR_Data[[#This Row],[Age]]&lt;=54,"45-54","55+"))))</f>
        <v>25-34</v>
      </c>
      <c r="AM182" s="1" t="str">
        <f>IF(HR_Data[[#This Row],[MonthlyIncome]]&lt;3000,"Low Salary",IF(HR_Data[[#This Row],[MonthlyIncome]]&lt;=7000,"Medium Salary","High Salary"))</f>
        <v>Medium Salary</v>
      </c>
      <c r="AN182" s="1" t="str">
        <f>IF(HR_Data[[#This Row],[YearsAtCompany]]&lt;2,"0-1 Years",IF(HR_Data[[#This Row],[YearsAtCompany]]&lt;=5,"2-5 Years",IF(HR_Data[[#This Row],[YearsAtCompany]]&lt;=10,"6-10 Years","10+ Years")))</f>
        <v>2-5 Years</v>
      </c>
      <c r="AO182" s="1" t="str">
        <f>IF(HR_Data[[#This Row],[JobSatisfaction]]=1,"Low",IF(HR_Data[[#This Row],[JobSatisfaction]]=2,"Medium",IF(HR_Data[[#This Row],[JobSatisfaction]]=3,"High","Very High")))</f>
        <v>Very High</v>
      </c>
      <c r="AP182" s="1" t="str">
        <f>IF(HR_Data[[#This Row],[WorkLifeBalance]]=1,"Bad",IF(HR_Data[[#This Row],[WorkLifeBalance]]=2,"Good",IF(HR_Data[[#This Row],[WorkLifeBalance]]=3,"Better","Best")))</f>
        <v>Better</v>
      </c>
    </row>
    <row r="183" spans="1:42" x14ac:dyDescent="0.3">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c r="AJ183">
        <f>IF(HR_Data[[#This Row],[Attrition]]="Yes",1,0)</f>
        <v>0</v>
      </c>
      <c r="AK183">
        <f>IF(HR_Data[[#This Row],[Attrition]]="No",1,0)</f>
        <v>1</v>
      </c>
      <c r="AL183" t="str">
        <f>IF(HR_Data[[#This Row],[Age]]&lt;25,"Under 25",IF(HR_Data[[#This Row],[Age]]&lt;=34,"25-34",IF(HR_Data[[#This Row],[Age]]&lt;=44,"35-44",IF(HR_Data[[#This Row],[Age]]&lt;=54,"45-54","55+"))))</f>
        <v>25-34</v>
      </c>
      <c r="AM183" s="1" t="str">
        <f>IF(HR_Data[[#This Row],[MonthlyIncome]]&lt;3000,"Low Salary",IF(HR_Data[[#This Row],[MonthlyIncome]]&lt;=7000,"Medium Salary","High Salary"))</f>
        <v>Low Salary</v>
      </c>
      <c r="AN183" s="1" t="str">
        <f>IF(HR_Data[[#This Row],[YearsAtCompany]]&lt;2,"0-1 Years",IF(HR_Data[[#This Row],[YearsAtCompany]]&lt;=5,"2-5 Years",IF(HR_Data[[#This Row],[YearsAtCompany]]&lt;=10,"6-10 Years","10+ Years")))</f>
        <v>2-5 Years</v>
      </c>
      <c r="AO183" s="1" t="str">
        <f>IF(HR_Data[[#This Row],[JobSatisfaction]]=1,"Low",IF(HR_Data[[#This Row],[JobSatisfaction]]=2,"Medium",IF(HR_Data[[#This Row],[JobSatisfaction]]=3,"High","Very High")))</f>
        <v>Medium</v>
      </c>
      <c r="AP183" s="1" t="str">
        <f>IF(HR_Data[[#This Row],[WorkLifeBalance]]=1,"Bad",IF(HR_Data[[#This Row],[WorkLifeBalance]]=2,"Good",IF(HR_Data[[#This Row],[WorkLifeBalance]]=3,"Better","Best")))</f>
        <v>Better</v>
      </c>
    </row>
    <row r="184" spans="1:42" x14ac:dyDescent="0.3">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c r="AJ184">
        <f>IF(HR_Data[[#This Row],[Attrition]]="Yes",1,0)</f>
        <v>1</v>
      </c>
      <c r="AK184">
        <f>IF(HR_Data[[#This Row],[Attrition]]="No",1,0)</f>
        <v>0</v>
      </c>
      <c r="AL184" t="str">
        <f>IF(HR_Data[[#This Row],[Age]]&lt;25,"Under 25",IF(HR_Data[[#This Row],[Age]]&lt;=34,"25-34",IF(HR_Data[[#This Row],[Age]]&lt;=44,"35-44",IF(HR_Data[[#This Row],[Age]]&lt;=54,"45-54","55+"))))</f>
        <v>35-44</v>
      </c>
      <c r="AM184" s="1" t="str">
        <f>IF(HR_Data[[#This Row],[MonthlyIncome]]&lt;3000,"Low Salary",IF(HR_Data[[#This Row],[MonthlyIncome]]&lt;=7000,"Medium Salary","High Salary"))</f>
        <v>Medium Salary</v>
      </c>
      <c r="AN184" s="1" t="str">
        <f>IF(HR_Data[[#This Row],[YearsAtCompany]]&lt;2,"0-1 Years",IF(HR_Data[[#This Row],[YearsAtCompany]]&lt;=5,"2-5 Years",IF(HR_Data[[#This Row],[YearsAtCompany]]&lt;=10,"6-10 Years","10+ Years")))</f>
        <v>2-5 Years</v>
      </c>
      <c r="AO184" s="1" t="str">
        <f>IF(HR_Data[[#This Row],[JobSatisfaction]]=1,"Low",IF(HR_Data[[#This Row],[JobSatisfaction]]=2,"Medium",IF(HR_Data[[#This Row],[JobSatisfaction]]=3,"High","Very High")))</f>
        <v>Medium</v>
      </c>
      <c r="AP184" s="1" t="str">
        <f>IF(HR_Data[[#This Row],[WorkLifeBalance]]=1,"Bad",IF(HR_Data[[#This Row],[WorkLifeBalance]]=2,"Good",IF(HR_Data[[#This Row],[WorkLifeBalance]]=3,"Better","Best")))</f>
        <v>Good</v>
      </c>
    </row>
    <row r="185" spans="1:42" x14ac:dyDescent="0.3">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c r="AJ185">
        <f>IF(HR_Data[[#This Row],[Attrition]]="Yes",1,0)</f>
        <v>0</v>
      </c>
      <c r="AK185">
        <f>IF(HR_Data[[#This Row],[Attrition]]="No",1,0)</f>
        <v>1</v>
      </c>
      <c r="AL185" t="str">
        <f>IF(HR_Data[[#This Row],[Age]]&lt;25,"Under 25",IF(HR_Data[[#This Row],[Age]]&lt;=34,"25-34",IF(HR_Data[[#This Row],[Age]]&lt;=44,"35-44",IF(HR_Data[[#This Row],[Age]]&lt;=54,"45-54","55+"))))</f>
        <v>45-54</v>
      </c>
      <c r="AM185" s="1" t="str">
        <f>IF(HR_Data[[#This Row],[MonthlyIncome]]&lt;3000,"Low Salary",IF(HR_Data[[#This Row],[MonthlyIncome]]&lt;=7000,"Medium Salary","High Salary"))</f>
        <v>Medium Salary</v>
      </c>
      <c r="AN185" s="1" t="str">
        <f>IF(HR_Data[[#This Row],[YearsAtCompany]]&lt;2,"0-1 Years",IF(HR_Data[[#This Row],[YearsAtCompany]]&lt;=5,"2-5 Years",IF(HR_Data[[#This Row],[YearsAtCompany]]&lt;=10,"6-10 Years","10+ Years")))</f>
        <v>2-5 Years</v>
      </c>
      <c r="AO185" s="1" t="str">
        <f>IF(HR_Data[[#This Row],[JobSatisfaction]]=1,"Low",IF(HR_Data[[#This Row],[JobSatisfaction]]=2,"Medium",IF(HR_Data[[#This Row],[JobSatisfaction]]=3,"High","Very High")))</f>
        <v>High</v>
      </c>
      <c r="AP185" s="1" t="str">
        <f>IF(HR_Data[[#This Row],[WorkLifeBalance]]=1,"Bad",IF(HR_Data[[#This Row],[WorkLifeBalance]]=2,"Good",IF(HR_Data[[#This Row],[WorkLifeBalance]]=3,"Better","Best")))</f>
        <v>Good</v>
      </c>
    </row>
    <row r="186" spans="1:42" x14ac:dyDescent="0.3">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c r="AJ186">
        <f>IF(HR_Data[[#This Row],[Attrition]]="Yes",1,0)</f>
        <v>0</v>
      </c>
      <c r="AK186">
        <f>IF(HR_Data[[#This Row],[Attrition]]="No",1,0)</f>
        <v>1</v>
      </c>
      <c r="AL186" t="str">
        <f>IF(HR_Data[[#This Row],[Age]]&lt;25,"Under 25",IF(HR_Data[[#This Row],[Age]]&lt;=34,"25-34",IF(HR_Data[[#This Row],[Age]]&lt;=44,"35-44",IF(HR_Data[[#This Row],[Age]]&lt;=54,"45-54","55+"))))</f>
        <v>45-54</v>
      </c>
      <c r="AM186" s="1" t="str">
        <f>IF(HR_Data[[#This Row],[MonthlyIncome]]&lt;3000,"Low Salary",IF(HR_Data[[#This Row],[MonthlyIncome]]&lt;=7000,"Medium Salary","High Salary"))</f>
        <v>Medium Salary</v>
      </c>
      <c r="AN186" s="1" t="str">
        <f>IF(HR_Data[[#This Row],[YearsAtCompany]]&lt;2,"0-1 Years",IF(HR_Data[[#This Row],[YearsAtCompany]]&lt;=5,"2-5 Years",IF(HR_Data[[#This Row],[YearsAtCompany]]&lt;=10,"6-10 Years","10+ Years")))</f>
        <v>2-5 Years</v>
      </c>
      <c r="AO186" s="1" t="str">
        <f>IF(HR_Data[[#This Row],[JobSatisfaction]]=1,"Low",IF(HR_Data[[#This Row],[JobSatisfaction]]=2,"Medium",IF(HR_Data[[#This Row],[JobSatisfaction]]=3,"High","Very High")))</f>
        <v>Low</v>
      </c>
      <c r="AP186" s="1" t="str">
        <f>IF(HR_Data[[#This Row],[WorkLifeBalance]]=1,"Bad",IF(HR_Data[[#This Row],[WorkLifeBalance]]=2,"Good",IF(HR_Data[[#This Row],[WorkLifeBalance]]=3,"Better","Best")))</f>
        <v>Better</v>
      </c>
    </row>
    <row r="187" spans="1:42" x14ac:dyDescent="0.3">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c r="AJ187">
        <f>IF(HR_Data[[#This Row],[Attrition]]="Yes",1,0)</f>
        <v>0</v>
      </c>
      <c r="AK187">
        <f>IF(HR_Data[[#This Row],[Attrition]]="No",1,0)</f>
        <v>1</v>
      </c>
      <c r="AL187" t="str">
        <f>IF(HR_Data[[#This Row],[Age]]&lt;25,"Under 25",IF(HR_Data[[#This Row],[Age]]&lt;=34,"25-34",IF(HR_Data[[#This Row],[Age]]&lt;=44,"35-44",IF(HR_Data[[#This Row],[Age]]&lt;=54,"45-54","55+"))))</f>
        <v>25-34</v>
      </c>
      <c r="AM187" s="1" t="str">
        <f>IF(HR_Data[[#This Row],[MonthlyIncome]]&lt;3000,"Low Salary",IF(HR_Data[[#This Row],[MonthlyIncome]]&lt;=7000,"Medium Salary","High Salary"))</f>
        <v>Low Salary</v>
      </c>
      <c r="AN187" s="1" t="str">
        <f>IF(HR_Data[[#This Row],[YearsAtCompany]]&lt;2,"0-1 Years",IF(HR_Data[[#This Row],[YearsAtCompany]]&lt;=5,"2-5 Years",IF(HR_Data[[#This Row],[YearsAtCompany]]&lt;=10,"6-10 Years","10+ Years")))</f>
        <v>6-10 Years</v>
      </c>
      <c r="AO187" s="1" t="str">
        <f>IF(HR_Data[[#This Row],[JobSatisfaction]]=1,"Low",IF(HR_Data[[#This Row],[JobSatisfaction]]=2,"Medium",IF(HR_Data[[#This Row],[JobSatisfaction]]=3,"High","Very High")))</f>
        <v>Medium</v>
      </c>
      <c r="AP187" s="1" t="str">
        <f>IF(HR_Data[[#This Row],[WorkLifeBalance]]=1,"Bad",IF(HR_Data[[#This Row],[WorkLifeBalance]]=2,"Good",IF(HR_Data[[#This Row],[WorkLifeBalance]]=3,"Better","Best")))</f>
        <v>Better</v>
      </c>
    </row>
    <row r="188" spans="1:42" x14ac:dyDescent="0.3">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c r="AJ188">
        <f>IF(HR_Data[[#This Row],[Attrition]]="Yes",1,0)</f>
        <v>0</v>
      </c>
      <c r="AK188">
        <f>IF(HR_Data[[#This Row],[Attrition]]="No",1,0)</f>
        <v>1</v>
      </c>
      <c r="AL188" t="str">
        <f>IF(HR_Data[[#This Row],[Age]]&lt;25,"Under 25",IF(HR_Data[[#This Row],[Age]]&lt;=34,"25-34",IF(HR_Data[[#This Row],[Age]]&lt;=44,"35-44",IF(HR_Data[[#This Row],[Age]]&lt;=54,"45-54","55+"))))</f>
        <v>35-44</v>
      </c>
      <c r="AM188" s="1" t="str">
        <f>IF(HR_Data[[#This Row],[MonthlyIncome]]&lt;3000,"Low Salary",IF(HR_Data[[#This Row],[MonthlyIncome]]&lt;=7000,"Medium Salary","High Salary"))</f>
        <v>High Salary</v>
      </c>
      <c r="AN188" s="1" t="str">
        <f>IF(HR_Data[[#This Row],[YearsAtCompany]]&lt;2,"0-1 Years",IF(HR_Data[[#This Row],[YearsAtCompany]]&lt;=5,"2-5 Years",IF(HR_Data[[#This Row],[YearsAtCompany]]&lt;=10,"6-10 Years","10+ Years")))</f>
        <v>10+ Years</v>
      </c>
      <c r="AO188" s="1" t="str">
        <f>IF(HR_Data[[#This Row],[JobSatisfaction]]=1,"Low",IF(HR_Data[[#This Row],[JobSatisfaction]]=2,"Medium",IF(HR_Data[[#This Row],[JobSatisfaction]]=3,"High","Very High")))</f>
        <v>High</v>
      </c>
      <c r="AP188" s="1" t="str">
        <f>IF(HR_Data[[#This Row],[WorkLifeBalance]]=1,"Bad",IF(HR_Data[[#This Row],[WorkLifeBalance]]=2,"Good",IF(HR_Data[[#This Row],[WorkLifeBalance]]=3,"Better","Best")))</f>
        <v>Better</v>
      </c>
    </row>
    <row r="189" spans="1:42" x14ac:dyDescent="0.3">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c r="AJ189">
        <f>IF(HR_Data[[#This Row],[Attrition]]="Yes",1,0)</f>
        <v>0</v>
      </c>
      <c r="AK189">
        <f>IF(HR_Data[[#This Row],[Attrition]]="No",1,0)</f>
        <v>1</v>
      </c>
      <c r="AL189" t="str">
        <f>IF(HR_Data[[#This Row],[Age]]&lt;25,"Under 25",IF(HR_Data[[#This Row],[Age]]&lt;=34,"25-34",IF(HR_Data[[#This Row],[Age]]&lt;=44,"35-44",IF(HR_Data[[#This Row],[Age]]&lt;=54,"45-54","55+"))))</f>
        <v>55+</v>
      </c>
      <c r="AM189" s="1" t="str">
        <f>IF(HR_Data[[#This Row],[MonthlyIncome]]&lt;3000,"Low Salary",IF(HR_Data[[#This Row],[MonthlyIncome]]&lt;=7000,"Medium Salary","High Salary"))</f>
        <v>High Salary</v>
      </c>
      <c r="AN189" s="1" t="str">
        <f>IF(HR_Data[[#This Row],[YearsAtCompany]]&lt;2,"0-1 Years",IF(HR_Data[[#This Row],[YearsAtCompany]]&lt;=5,"2-5 Years",IF(HR_Data[[#This Row],[YearsAtCompany]]&lt;=10,"6-10 Years","10+ Years")))</f>
        <v>10+ Years</v>
      </c>
      <c r="AO189" s="1" t="str">
        <f>IF(HR_Data[[#This Row],[JobSatisfaction]]=1,"Low",IF(HR_Data[[#This Row],[JobSatisfaction]]=2,"Medium",IF(HR_Data[[#This Row],[JobSatisfaction]]=3,"High","Very High")))</f>
        <v>Medium</v>
      </c>
      <c r="AP189" s="1" t="str">
        <f>IF(HR_Data[[#This Row],[WorkLifeBalance]]=1,"Bad",IF(HR_Data[[#This Row],[WorkLifeBalance]]=2,"Good",IF(HR_Data[[#This Row],[WorkLifeBalance]]=3,"Better","Best")))</f>
        <v>Better</v>
      </c>
    </row>
    <row r="190" spans="1:42" x14ac:dyDescent="0.3">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c r="AJ190">
        <f>IF(HR_Data[[#This Row],[Attrition]]="Yes",1,0)</f>
        <v>0</v>
      </c>
      <c r="AK190">
        <f>IF(HR_Data[[#This Row],[Attrition]]="No",1,0)</f>
        <v>1</v>
      </c>
      <c r="AL190" t="str">
        <f>IF(HR_Data[[#This Row],[Age]]&lt;25,"Under 25",IF(HR_Data[[#This Row],[Age]]&lt;=34,"25-34",IF(HR_Data[[#This Row],[Age]]&lt;=44,"35-44",IF(HR_Data[[#This Row],[Age]]&lt;=54,"45-54","55+"))))</f>
        <v>25-34</v>
      </c>
      <c r="AM190" s="1" t="str">
        <f>IF(HR_Data[[#This Row],[MonthlyIncome]]&lt;3000,"Low Salary",IF(HR_Data[[#This Row],[MonthlyIncome]]&lt;=7000,"Medium Salary","High Salary"))</f>
        <v>High Salary</v>
      </c>
      <c r="AN190" s="1" t="str">
        <f>IF(HR_Data[[#This Row],[YearsAtCompany]]&lt;2,"0-1 Years",IF(HR_Data[[#This Row],[YearsAtCompany]]&lt;=5,"2-5 Years",IF(HR_Data[[#This Row],[YearsAtCompany]]&lt;=10,"6-10 Years","10+ Years")))</f>
        <v>6-10 Years</v>
      </c>
      <c r="AO190" s="1" t="str">
        <f>IF(HR_Data[[#This Row],[JobSatisfaction]]=1,"Low",IF(HR_Data[[#This Row],[JobSatisfaction]]=2,"Medium",IF(HR_Data[[#This Row],[JobSatisfaction]]=3,"High","Very High")))</f>
        <v>High</v>
      </c>
      <c r="AP190" s="1" t="str">
        <f>IF(HR_Data[[#This Row],[WorkLifeBalance]]=1,"Bad",IF(HR_Data[[#This Row],[WorkLifeBalance]]=2,"Good",IF(HR_Data[[#This Row],[WorkLifeBalance]]=3,"Better","Best")))</f>
        <v>Good</v>
      </c>
    </row>
    <row r="191" spans="1:42" x14ac:dyDescent="0.3">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c r="AJ191">
        <f>IF(HR_Data[[#This Row],[Attrition]]="Yes",1,0)</f>
        <v>0</v>
      </c>
      <c r="AK191">
        <f>IF(HR_Data[[#This Row],[Attrition]]="No",1,0)</f>
        <v>1</v>
      </c>
      <c r="AL191" t="str">
        <f>IF(HR_Data[[#This Row],[Age]]&lt;25,"Under 25",IF(HR_Data[[#This Row],[Age]]&lt;=34,"25-34",IF(HR_Data[[#This Row],[Age]]&lt;=44,"35-44",IF(HR_Data[[#This Row],[Age]]&lt;=54,"45-54","55+"))))</f>
        <v>45-54</v>
      </c>
      <c r="AM191" s="1" t="str">
        <f>IF(HR_Data[[#This Row],[MonthlyIncome]]&lt;3000,"Low Salary",IF(HR_Data[[#This Row],[MonthlyIncome]]&lt;=7000,"Medium Salary","High Salary"))</f>
        <v>High Salary</v>
      </c>
      <c r="AN191" s="1" t="str">
        <f>IF(HR_Data[[#This Row],[YearsAtCompany]]&lt;2,"0-1 Years",IF(HR_Data[[#This Row],[YearsAtCompany]]&lt;=5,"2-5 Years",IF(HR_Data[[#This Row],[YearsAtCompany]]&lt;=10,"6-10 Years","10+ Years")))</f>
        <v>6-10 Years</v>
      </c>
      <c r="AO191" s="1" t="str">
        <f>IF(HR_Data[[#This Row],[JobSatisfaction]]=1,"Low",IF(HR_Data[[#This Row],[JobSatisfaction]]=2,"Medium",IF(HR_Data[[#This Row],[JobSatisfaction]]=3,"High","Very High")))</f>
        <v>Medium</v>
      </c>
      <c r="AP191" s="1" t="str">
        <f>IF(HR_Data[[#This Row],[WorkLifeBalance]]=1,"Bad",IF(HR_Data[[#This Row],[WorkLifeBalance]]=2,"Good",IF(HR_Data[[#This Row],[WorkLifeBalance]]=3,"Better","Best")))</f>
        <v>Better</v>
      </c>
    </row>
    <row r="192" spans="1:42" x14ac:dyDescent="0.3">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c r="AJ192">
        <f>IF(HR_Data[[#This Row],[Attrition]]="Yes",1,0)</f>
        <v>0</v>
      </c>
      <c r="AK192">
        <f>IF(HR_Data[[#This Row],[Attrition]]="No",1,0)</f>
        <v>1</v>
      </c>
      <c r="AL192" t="str">
        <f>IF(HR_Data[[#This Row],[Age]]&lt;25,"Under 25",IF(HR_Data[[#This Row],[Age]]&lt;=34,"25-34",IF(HR_Data[[#This Row],[Age]]&lt;=44,"35-44",IF(HR_Data[[#This Row],[Age]]&lt;=54,"45-54","55+"))))</f>
        <v>45-54</v>
      </c>
      <c r="AM192" s="1" t="str">
        <f>IF(HR_Data[[#This Row],[MonthlyIncome]]&lt;3000,"Low Salary",IF(HR_Data[[#This Row],[MonthlyIncome]]&lt;=7000,"Medium Salary","High Salary"))</f>
        <v>High Salary</v>
      </c>
      <c r="AN192" s="1" t="str">
        <f>IF(HR_Data[[#This Row],[YearsAtCompany]]&lt;2,"0-1 Years",IF(HR_Data[[#This Row],[YearsAtCompany]]&lt;=5,"2-5 Years",IF(HR_Data[[#This Row],[YearsAtCompany]]&lt;=10,"6-10 Years","10+ Years")))</f>
        <v>10+ Years</v>
      </c>
      <c r="AO192" s="1" t="str">
        <f>IF(HR_Data[[#This Row],[JobSatisfaction]]=1,"Low",IF(HR_Data[[#This Row],[JobSatisfaction]]=2,"Medium",IF(HR_Data[[#This Row],[JobSatisfaction]]=3,"High","Very High")))</f>
        <v>High</v>
      </c>
      <c r="AP192" s="1" t="str">
        <f>IF(HR_Data[[#This Row],[WorkLifeBalance]]=1,"Bad",IF(HR_Data[[#This Row],[WorkLifeBalance]]=2,"Good",IF(HR_Data[[#This Row],[WorkLifeBalance]]=3,"Better","Best")))</f>
        <v>Better</v>
      </c>
    </row>
    <row r="193" spans="1:42" x14ac:dyDescent="0.3">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c r="AJ193">
        <f>IF(HR_Data[[#This Row],[Attrition]]="Yes",1,0)</f>
        <v>0</v>
      </c>
      <c r="AK193">
        <f>IF(HR_Data[[#This Row],[Attrition]]="No",1,0)</f>
        <v>1</v>
      </c>
      <c r="AL193" t="str">
        <f>IF(HR_Data[[#This Row],[Age]]&lt;25,"Under 25",IF(HR_Data[[#This Row],[Age]]&lt;=34,"25-34",IF(HR_Data[[#This Row],[Age]]&lt;=44,"35-44",IF(HR_Data[[#This Row],[Age]]&lt;=54,"45-54","55+"))))</f>
        <v>25-34</v>
      </c>
      <c r="AM193" s="1" t="str">
        <f>IF(HR_Data[[#This Row],[MonthlyIncome]]&lt;3000,"Low Salary",IF(HR_Data[[#This Row],[MonthlyIncome]]&lt;=7000,"Medium Salary","High Salary"))</f>
        <v>Low Salary</v>
      </c>
      <c r="AN193" s="1" t="str">
        <f>IF(HR_Data[[#This Row],[YearsAtCompany]]&lt;2,"0-1 Years",IF(HR_Data[[#This Row],[YearsAtCompany]]&lt;=5,"2-5 Years",IF(HR_Data[[#This Row],[YearsAtCompany]]&lt;=10,"6-10 Years","10+ Years")))</f>
        <v>6-10 Years</v>
      </c>
      <c r="AO193" s="1" t="str">
        <f>IF(HR_Data[[#This Row],[JobSatisfaction]]=1,"Low",IF(HR_Data[[#This Row],[JobSatisfaction]]=2,"Medium",IF(HR_Data[[#This Row],[JobSatisfaction]]=3,"High","Very High")))</f>
        <v>Medium</v>
      </c>
      <c r="AP193" s="1" t="str">
        <f>IF(HR_Data[[#This Row],[WorkLifeBalance]]=1,"Bad",IF(HR_Data[[#This Row],[WorkLifeBalance]]=2,"Good",IF(HR_Data[[#This Row],[WorkLifeBalance]]=3,"Better","Best")))</f>
        <v>Good</v>
      </c>
    </row>
    <row r="194" spans="1:42" x14ac:dyDescent="0.3">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c r="AJ194">
        <f>IF(HR_Data[[#This Row],[Attrition]]="Yes",1,0)</f>
        <v>1</v>
      </c>
      <c r="AK194">
        <f>IF(HR_Data[[#This Row],[Attrition]]="No",1,0)</f>
        <v>0</v>
      </c>
      <c r="AL194" t="str">
        <f>IF(HR_Data[[#This Row],[Age]]&lt;25,"Under 25",IF(HR_Data[[#This Row],[Age]]&lt;=34,"25-34",IF(HR_Data[[#This Row],[Age]]&lt;=44,"35-44",IF(HR_Data[[#This Row],[Age]]&lt;=54,"45-54","55+"))))</f>
        <v>35-44</v>
      </c>
      <c r="AM194" s="1" t="str">
        <f>IF(HR_Data[[#This Row],[MonthlyIncome]]&lt;3000,"Low Salary",IF(HR_Data[[#This Row],[MonthlyIncome]]&lt;=7000,"Medium Salary","High Salary"))</f>
        <v>Medium Salary</v>
      </c>
      <c r="AN194" s="1" t="str">
        <f>IF(HR_Data[[#This Row],[YearsAtCompany]]&lt;2,"0-1 Years",IF(HR_Data[[#This Row],[YearsAtCompany]]&lt;=5,"2-5 Years",IF(HR_Data[[#This Row],[YearsAtCompany]]&lt;=10,"6-10 Years","10+ Years")))</f>
        <v>0-1 Years</v>
      </c>
      <c r="AO194" s="1" t="str">
        <f>IF(HR_Data[[#This Row],[JobSatisfaction]]=1,"Low",IF(HR_Data[[#This Row],[JobSatisfaction]]=2,"Medium",IF(HR_Data[[#This Row],[JobSatisfaction]]=3,"High","Very High")))</f>
        <v>High</v>
      </c>
      <c r="AP194" s="1" t="str">
        <f>IF(HR_Data[[#This Row],[WorkLifeBalance]]=1,"Bad",IF(HR_Data[[#This Row],[WorkLifeBalance]]=2,"Good",IF(HR_Data[[#This Row],[WorkLifeBalance]]=3,"Better","Best")))</f>
        <v>Better</v>
      </c>
    </row>
    <row r="195" spans="1:42" x14ac:dyDescent="0.3">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c r="AJ195">
        <f>IF(HR_Data[[#This Row],[Attrition]]="Yes",1,0)</f>
        <v>0</v>
      </c>
      <c r="AK195">
        <f>IF(HR_Data[[#This Row],[Attrition]]="No",1,0)</f>
        <v>1</v>
      </c>
      <c r="AL195" t="str">
        <f>IF(HR_Data[[#This Row],[Age]]&lt;25,"Under 25",IF(HR_Data[[#This Row],[Age]]&lt;=34,"25-34",IF(HR_Data[[#This Row],[Age]]&lt;=44,"35-44",IF(HR_Data[[#This Row],[Age]]&lt;=54,"45-54","55+"))))</f>
        <v>35-44</v>
      </c>
      <c r="AM195" s="1" t="str">
        <f>IF(HR_Data[[#This Row],[MonthlyIncome]]&lt;3000,"Low Salary",IF(HR_Data[[#This Row],[MonthlyIncome]]&lt;=7000,"Medium Salary","High Salary"))</f>
        <v>Low Salary</v>
      </c>
      <c r="AN195" s="1" t="str">
        <f>IF(HR_Data[[#This Row],[YearsAtCompany]]&lt;2,"0-1 Years",IF(HR_Data[[#This Row],[YearsAtCompany]]&lt;=5,"2-5 Years",IF(HR_Data[[#This Row],[YearsAtCompany]]&lt;=10,"6-10 Years","10+ Years")))</f>
        <v>2-5 Years</v>
      </c>
      <c r="AO195" s="1" t="str">
        <f>IF(HR_Data[[#This Row],[JobSatisfaction]]=1,"Low",IF(HR_Data[[#This Row],[JobSatisfaction]]=2,"Medium",IF(HR_Data[[#This Row],[JobSatisfaction]]=3,"High","Very High")))</f>
        <v>Very High</v>
      </c>
      <c r="AP195" s="1" t="str">
        <f>IF(HR_Data[[#This Row],[WorkLifeBalance]]=1,"Bad",IF(HR_Data[[#This Row],[WorkLifeBalance]]=2,"Good",IF(HR_Data[[#This Row],[WorkLifeBalance]]=3,"Better","Best")))</f>
        <v>Best</v>
      </c>
    </row>
    <row r="196" spans="1:42" x14ac:dyDescent="0.3">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c r="AJ196">
        <f>IF(HR_Data[[#This Row],[Attrition]]="Yes",1,0)</f>
        <v>0</v>
      </c>
      <c r="AK196">
        <f>IF(HR_Data[[#This Row],[Attrition]]="No",1,0)</f>
        <v>1</v>
      </c>
      <c r="AL196" t="str">
        <f>IF(HR_Data[[#This Row],[Age]]&lt;25,"Under 25",IF(HR_Data[[#This Row],[Age]]&lt;=34,"25-34",IF(HR_Data[[#This Row],[Age]]&lt;=44,"35-44",IF(HR_Data[[#This Row],[Age]]&lt;=54,"45-54","55+"))))</f>
        <v>45-54</v>
      </c>
      <c r="AM196" s="1" t="str">
        <f>IF(HR_Data[[#This Row],[MonthlyIncome]]&lt;3000,"Low Salary",IF(HR_Data[[#This Row],[MonthlyIncome]]&lt;=7000,"Medium Salary","High Salary"))</f>
        <v>High Salary</v>
      </c>
      <c r="AN196" s="1" t="str">
        <f>IF(HR_Data[[#This Row],[YearsAtCompany]]&lt;2,"0-1 Years",IF(HR_Data[[#This Row],[YearsAtCompany]]&lt;=5,"2-5 Years",IF(HR_Data[[#This Row],[YearsAtCompany]]&lt;=10,"6-10 Years","10+ Years")))</f>
        <v>10+ Years</v>
      </c>
      <c r="AO196" s="1" t="str">
        <f>IF(HR_Data[[#This Row],[JobSatisfaction]]=1,"Low",IF(HR_Data[[#This Row],[JobSatisfaction]]=2,"Medium",IF(HR_Data[[#This Row],[JobSatisfaction]]=3,"High","Very High")))</f>
        <v>Very High</v>
      </c>
      <c r="AP196" s="1" t="str">
        <f>IF(HR_Data[[#This Row],[WorkLifeBalance]]=1,"Bad",IF(HR_Data[[#This Row],[WorkLifeBalance]]=2,"Good",IF(HR_Data[[#This Row],[WorkLifeBalance]]=3,"Better","Best")))</f>
        <v>Better</v>
      </c>
    </row>
    <row r="197" spans="1:42" x14ac:dyDescent="0.3">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c r="AJ197">
        <f>IF(HR_Data[[#This Row],[Attrition]]="Yes",1,0)</f>
        <v>0</v>
      </c>
      <c r="AK197">
        <f>IF(HR_Data[[#This Row],[Attrition]]="No",1,0)</f>
        <v>1</v>
      </c>
      <c r="AL197" t="str">
        <f>IF(HR_Data[[#This Row],[Age]]&lt;25,"Under 25",IF(HR_Data[[#This Row],[Age]]&lt;=34,"25-34",IF(HR_Data[[#This Row],[Age]]&lt;=44,"35-44",IF(HR_Data[[#This Row],[Age]]&lt;=54,"45-54","55+"))))</f>
        <v>35-44</v>
      </c>
      <c r="AM197" s="1" t="str">
        <f>IF(HR_Data[[#This Row],[MonthlyIncome]]&lt;3000,"Low Salary",IF(HR_Data[[#This Row],[MonthlyIncome]]&lt;=7000,"Medium Salary","High Salary"))</f>
        <v>Medium Salary</v>
      </c>
      <c r="AN197" s="1" t="str">
        <f>IF(HR_Data[[#This Row],[YearsAtCompany]]&lt;2,"0-1 Years",IF(HR_Data[[#This Row],[YearsAtCompany]]&lt;=5,"2-5 Years",IF(HR_Data[[#This Row],[YearsAtCompany]]&lt;=10,"6-10 Years","10+ Years")))</f>
        <v>6-10 Years</v>
      </c>
      <c r="AO197" s="1" t="str">
        <f>IF(HR_Data[[#This Row],[JobSatisfaction]]=1,"Low",IF(HR_Data[[#This Row],[JobSatisfaction]]=2,"Medium",IF(HR_Data[[#This Row],[JobSatisfaction]]=3,"High","Very High")))</f>
        <v>Low</v>
      </c>
      <c r="AP197" s="1" t="str">
        <f>IF(HR_Data[[#This Row],[WorkLifeBalance]]=1,"Bad",IF(HR_Data[[#This Row],[WorkLifeBalance]]=2,"Good",IF(HR_Data[[#This Row],[WorkLifeBalance]]=3,"Better","Best")))</f>
        <v>Good</v>
      </c>
    </row>
    <row r="198" spans="1:42" x14ac:dyDescent="0.3">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c r="AJ198">
        <f>IF(HR_Data[[#This Row],[Attrition]]="Yes",1,0)</f>
        <v>0</v>
      </c>
      <c r="AK198">
        <f>IF(HR_Data[[#This Row],[Attrition]]="No",1,0)</f>
        <v>1</v>
      </c>
      <c r="AL198" t="str">
        <f>IF(HR_Data[[#This Row],[Age]]&lt;25,"Under 25",IF(HR_Data[[#This Row],[Age]]&lt;=34,"25-34",IF(HR_Data[[#This Row],[Age]]&lt;=44,"35-44",IF(HR_Data[[#This Row],[Age]]&lt;=54,"45-54","55+"))))</f>
        <v>35-44</v>
      </c>
      <c r="AM198" s="1" t="str">
        <f>IF(HR_Data[[#This Row],[MonthlyIncome]]&lt;3000,"Low Salary",IF(HR_Data[[#This Row],[MonthlyIncome]]&lt;=7000,"Medium Salary","High Salary"))</f>
        <v>Medium Salary</v>
      </c>
      <c r="AN198" s="1" t="str">
        <f>IF(HR_Data[[#This Row],[YearsAtCompany]]&lt;2,"0-1 Years",IF(HR_Data[[#This Row],[YearsAtCompany]]&lt;=5,"2-5 Years",IF(HR_Data[[#This Row],[YearsAtCompany]]&lt;=10,"6-10 Years","10+ Years")))</f>
        <v>6-10 Years</v>
      </c>
      <c r="AO198" s="1" t="str">
        <f>IF(HR_Data[[#This Row],[JobSatisfaction]]=1,"Low",IF(HR_Data[[#This Row],[JobSatisfaction]]=2,"Medium",IF(HR_Data[[#This Row],[JobSatisfaction]]=3,"High","Very High")))</f>
        <v>Medium</v>
      </c>
      <c r="AP198" s="1" t="str">
        <f>IF(HR_Data[[#This Row],[WorkLifeBalance]]=1,"Bad",IF(HR_Data[[#This Row],[WorkLifeBalance]]=2,"Good",IF(HR_Data[[#This Row],[WorkLifeBalance]]=3,"Better","Best")))</f>
        <v>Better</v>
      </c>
    </row>
    <row r="199" spans="1:42" x14ac:dyDescent="0.3">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c r="AJ199">
        <f>IF(HR_Data[[#This Row],[Attrition]]="Yes",1,0)</f>
        <v>0</v>
      </c>
      <c r="AK199">
        <f>IF(HR_Data[[#This Row],[Attrition]]="No",1,0)</f>
        <v>1</v>
      </c>
      <c r="AL199" t="str">
        <f>IF(HR_Data[[#This Row],[Age]]&lt;25,"Under 25",IF(HR_Data[[#This Row],[Age]]&lt;=34,"25-34",IF(HR_Data[[#This Row],[Age]]&lt;=44,"35-44",IF(HR_Data[[#This Row],[Age]]&lt;=54,"45-54","55+"))))</f>
        <v>35-44</v>
      </c>
      <c r="AM199" s="1" t="str">
        <f>IF(HR_Data[[#This Row],[MonthlyIncome]]&lt;3000,"Low Salary",IF(HR_Data[[#This Row],[MonthlyIncome]]&lt;=7000,"Medium Salary","High Salary"))</f>
        <v>Medium Salary</v>
      </c>
      <c r="AN199" s="1" t="str">
        <f>IF(HR_Data[[#This Row],[YearsAtCompany]]&lt;2,"0-1 Years",IF(HR_Data[[#This Row],[YearsAtCompany]]&lt;=5,"2-5 Years",IF(HR_Data[[#This Row],[YearsAtCompany]]&lt;=10,"6-10 Years","10+ Years")))</f>
        <v>2-5 Years</v>
      </c>
      <c r="AO199" s="1" t="str">
        <f>IF(HR_Data[[#This Row],[JobSatisfaction]]=1,"Low",IF(HR_Data[[#This Row],[JobSatisfaction]]=2,"Medium",IF(HR_Data[[#This Row],[JobSatisfaction]]=3,"High","Very High")))</f>
        <v>High</v>
      </c>
      <c r="AP199" s="1" t="str">
        <f>IF(HR_Data[[#This Row],[WorkLifeBalance]]=1,"Bad",IF(HR_Data[[#This Row],[WorkLifeBalance]]=2,"Good",IF(HR_Data[[#This Row],[WorkLifeBalance]]=3,"Better","Best")))</f>
        <v>Better</v>
      </c>
    </row>
    <row r="200" spans="1:42" x14ac:dyDescent="0.3">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c r="AJ200">
        <f>IF(HR_Data[[#This Row],[Attrition]]="Yes",1,0)</f>
        <v>0</v>
      </c>
      <c r="AK200">
        <f>IF(HR_Data[[#This Row],[Attrition]]="No",1,0)</f>
        <v>1</v>
      </c>
      <c r="AL200" t="str">
        <f>IF(HR_Data[[#This Row],[Age]]&lt;25,"Under 25",IF(HR_Data[[#This Row],[Age]]&lt;=34,"25-34",IF(HR_Data[[#This Row],[Age]]&lt;=44,"35-44",IF(HR_Data[[#This Row],[Age]]&lt;=54,"45-54","55+"))))</f>
        <v>35-44</v>
      </c>
      <c r="AM200" s="1" t="str">
        <f>IF(HR_Data[[#This Row],[MonthlyIncome]]&lt;3000,"Low Salary",IF(HR_Data[[#This Row],[MonthlyIncome]]&lt;=7000,"Medium Salary","High Salary"))</f>
        <v>Medium Salary</v>
      </c>
      <c r="AN200" s="1" t="str">
        <f>IF(HR_Data[[#This Row],[YearsAtCompany]]&lt;2,"0-1 Years",IF(HR_Data[[#This Row],[YearsAtCompany]]&lt;=5,"2-5 Years",IF(HR_Data[[#This Row],[YearsAtCompany]]&lt;=10,"6-10 Years","10+ Years")))</f>
        <v>0-1 Years</v>
      </c>
      <c r="AO200" s="1" t="str">
        <f>IF(HR_Data[[#This Row],[JobSatisfaction]]=1,"Low",IF(HR_Data[[#This Row],[JobSatisfaction]]=2,"Medium",IF(HR_Data[[#This Row],[JobSatisfaction]]=3,"High","Very High")))</f>
        <v>High</v>
      </c>
      <c r="AP200" s="1" t="str">
        <f>IF(HR_Data[[#This Row],[WorkLifeBalance]]=1,"Bad",IF(HR_Data[[#This Row],[WorkLifeBalance]]=2,"Good",IF(HR_Data[[#This Row],[WorkLifeBalance]]=3,"Better","Best")))</f>
        <v>Better</v>
      </c>
    </row>
    <row r="201" spans="1:42" x14ac:dyDescent="0.3">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c r="AJ201">
        <f>IF(HR_Data[[#This Row],[Attrition]]="Yes",1,0)</f>
        <v>0</v>
      </c>
      <c r="AK201">
        <f>IF(HR_Data[[#This Row],[Attrition]]="No",1,0)</f>
        <v>1</v>
      </c>
      <c r="AL201" t="str">
        <f>IF(HR_Data[[#This Row],[Age]]&lt;25,"Under 25",IF(HR_Data[[#This Row],[Age]]&lt;=34,"25-34",IF(HR_Data[[#This Row],[Age]]&lt;=44,"35-44",IF(HR_Data[[#This Row],[Age]]&lt;=54,"45-54","55+"))))</f>
        <v>35-44</v>
      </c>
      <c r="AM201" s="1" t="str">
        <f>IF(HR_Data[[#This Row],[MonthlyIncome]]&lt;3000,"Low Salary",IF(HR_Data[[#This Row],[MonthlyIncome]]&lt;=7000,"Medium Salary","High Salary"))</f>
        <v>Medium Salary</v>
      </c>
      <c r="AN201" s="1" t="str">
        <f>IF(HR_Data[[#This Row],[YearsAtCompany]]&lt;2,"0-1 Years",IF(HR_Data[[#This Row],[YearsAtCompany]]&lt;=5,"2-5 Years",IF(HR_Data[[#This Row],[YearsAtCompany]]&lt;=10,"6-10 Years","10+ Years")))</f>
        <v>6-10 Years</v>
      </c>
      <c r="AO201" s="1" t="str">
        <f>IF(HR_Data[[#This Row],[JobSatisfaction]]=1,"Low",IF(HR_Data[[#This Row],[JobSatisfaction]]=2,"Medium",IF(HR_Data[[#This Row],[JobSatisfaction]]=3,"High","Very High")))</f>
        <v>Very High</v>
      </c>
      <c r="AP201" s="1" t="str">
        <f>IF(HR_Data[[#This Row],[WorkLifeBalance]]=1,"Bad",IF(HR_Data[[#This Row],[WorkLifeBalance]]=2,"Good",IF(HR_Data[[#This Row],[WorkLifeBalance]]=3,"Better","Best")))</f>
        <v>Bad</v>
      </c>
    </row>
    <row r="202" spans="1:42" x14ac:dyDescent="0.3">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c r="AJ202">
        <f>IF(HR_Data[[#This Row],[Attrition]]="Yes",1,0)</f>
        <v>0</v>
      </c>
      <c r="AK202">
        <f>IF(HR_Data[[#This Row],[Attrition]]="No",1,0)</f>
        <v>1</v>
      </c>
      <c r="AL202" t="str">
        <f>IF(HR_Data[[#This Row],[Age]]&lt;25,"Under 25",IF(HR_Data[[#This Row],[Age]]&lt;=34,"25-34",IF(HR_Data[[#This Row],[Age]]&lt;=44,"35-44",IF(HR_Data[[#This Row],[Age]]&lt;=54,"45-54","55+"))))</f>
        <v>25-34</v>
      </c>
      <c r="AM202" s="1" t="str">
        <f>IF(HR_Data[[#This Row],[MonthlyIncome]]&lt;3000,"Low Salary",IF(HR_Data[[#This Row],[MonthlyIncome]]&lt;=7000,"Medium Salary","High Salary"))</f>
        <v>Medium Salary</v>
      </c>
      <c r="AN202" s="1" t="str">
        <f>IF(HR_Data[[#This Row],[YearsAtCompany]]&lt;2,"0-1 Years",IF(HR_Data[[#This Row],[YearsAtCompany]]&lt;=5,"2-5 Years",IF(HR_Data[[#This Row],[YearsAtCompany]]&lt;=10,"6-10 Years","10+ Years")))</f>
        <v>2-5 Years</v>
      </c>
      <c r="AO202" s="1" t="str">
        <f>IF(HR_Data[[#This Row],[JobSatisfaction]]=1,"Low",IF(HR_Data[[#This Row],[JobSatisfaction]]=2,"Medium",IF(HR_Data[[#This Row],[JobSatisfaction]]=3,"High","Very High")))</f>
        <v>Low</v>
      </c>
      <c r="AP202" s="1" t="str">
        <f>IF(HR_Data[[#This Row],[WorkLifeBalance]]=1,"Bad",IF(HR_Data[[#This Row],[WorkLifeBalance]]=2,"Good",IF(HR_Data[[#This Row],[WorkLifeBalance]]=3,"Better","Best")))</f>
        <v>Better</v>
      </c>
    </row>
    <row r="203" spans="1:42" x14ac:dyDescent="0.3">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c r="AJ203">
        <f>IF(HR_Data[[#This Row],[Attrition]]="Yes",1,0)</f>
        <v>0</v>
      </c>
      <c r="AK203">
        <f>IF(HR_Data[[#This Row],[Attrition]]="No",1,0)</f>
        <v>1</v>
      </c>
      <c r="AL203" t="str">
        <f>IF(HR_Data[[#This Row],[Age]]&lt;25,"Under 25",IF(HR_Data[[#This Row],[Age]]&lt;=34,"25-34",IF(HR_Data[[#This Row],[Age]]&lt;=44,"35-44",IF(HR_Data[[#This Row],[Age]]&lt;=54,"45-54","55+"))))</f>
        <v>45-54</v>
      </c>
      <c r="AM203" s="1" t="str">
        <f>IF(HR_Data[[#This Row],[MonthlyIncome]]&lt;3000,"Low Salary",IF(HR_Data[[#This Row],[MonthlyIncome]]&lt;=7000,"Medium Salary","High Salary"))</f>
        <v>Medium Salary</v>
      </c>
      <c r="AN203" s="1" t="str">
        <f>IF(HR_Data[[#This Row],[YearsAtCompany]]&lt;2,"0-1 Years",IF(HR_Data[[#This Row],[YearsAtCompany]]&lt;=5,"2-5 Years",IF(HR_Data[[#This Row],[YearsAtCompany]]&lt;=10,"6-10 Years","10+ Years")))</f>
        <v>6-10 Years</v>
      </c>
      <c r="AO203" s="1" t="str">
        <f>IF(HR_Data[[#This Row],[JobSatisfaction]]=1,"Low",IF(HR_Data[[#This Row],[JobSatisfaction]]=2,"Medium",IF(HR_Data[[#This Row],[JobSatisfaction]]=3,"High","Very High")))</f>
        <v>Very High</v>
      </c>
      <c r="AP203" s="1" t="str">
        <f>IF(HR_Data[[#This Row],[WorkLifeBalance]]=1,"Bad",IF(HR_Data[[#This Row],[WorkLifeBalance]]=2,"Good",IF(HR_Data[[#This Row],[WorkLifeBalance]]=3,"Better","Best")))</f>
        <v>Better</v>
      </c>
    </row>
    <row r="204" spans="1:42" x14ac:dyDescent="0.3">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c r="AJ204">
        <f>IF(HR_Data[[#This Row],[Attrition]]="Yes",1,0)</f>
        <v>0</v>
      </c>
      <c r="AK204">
        <f>IF(HR_Data[[#This Row],[Attrition]]="No",1,0)</f>
        <v>1</v>
      </c>
      <c r="AL204" t="str">
        <f>IF(HR_Data[[#This Row],[Age]]&lt;25,"Under 25",IF(HR_Data[[#This Row],[Age]]&lt;=34,"25-34",IF(HR_Data[[#This Row],[Age]]&lt;=44,"35-44",IF(HR_Data[[#This Row],[Age]]&lt;=54,"45-54","55+"))))</f>
        <v>25-34</v>
      </c>
      <c r="AM204" s="1" t="str">
        <f>IF(HR_Data[[#This Row],[MonthlyIncome]]&lt;3000,"Low Salary",IF(HR_Data[[#This Row],[MonthlyIncome]]&lt;=7000,"Medium Salary","High Salary"))</f>
        <v>Medium Salary</v>
      </c>
      <c r="AN204" s="1" t="str">
        <f>IF(HR_Data[[#This Row],[YearsAtCompany]]&lt;2,"0-1 Years",IF(HR_Data[[#This Row],[YearsAtCompany]]&lt;=5,"2-5 Years",IF(HR_Data[[#This Row],[YearsAtCompany]]&lt;=10,"6-10 Years","10+ Years")))</f>
        <v>2-5 Years</v>
      </c>
      <c r="AO204" s="1" t="str">
        <f>IF(HR_Data[[#This Row],[JobSatisfaction]]=1,"Low",IF(HR_Data[[#This Row],[JobSatisfaction]]=2,"Medium",IF(HR_Data[[#This Row],[JobSatisfaction]]=3,"High","Very High")))</f>
        <v>High</v>
      </c>
      <c r="AP204" s="1" t="str">
        <f>IF(HR_Data[[#This Row],[WorkLifeBalance]]=1,"Bad",IF(HR_Data[[#This Row],[WorkLifeBalance]]=2,"Good",IF(HR_Data[[#This Row],[WorkLifeBalance]]=3,"Better","Best")))</f>
        <v>Best</v>
      </c>
    </row>
    <row r="205" spans="1:42" x14ac:dyDescent="0.3">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c r="AJ205">
        <f>IF(HR_Data[[#This Row],[Attrition]]="Yes",1,0)</f>
        <v>0</v>
      </c>
      <c r="AK205">
        <f>IF(HR_Data[[#This Row],[Attrition]]="No",1,0)</f>
        <v>1</v>
      </c>
      <c r="AL205" t="str">
        <f>IF(HR_Data[[#This Row],[Age]]&lt;25,"Under 25",IF(HR_Data[[#This Row],[Age]]&lt;=34,"25-34",IF(HR_Data[[#This Row],[Age]]&lt;=44,"35-44",IF(HR_Data[[#This Row],[Age]]&lt;=54,"45-54","55+"))))</f>
        <v>35-44</v>
      </c>
      <c r="AM205" s="1" t="str">
        <f>IF(HR_Data[[#This Row],[MonthlyIncome]]&lt;3000,"Low Salary",IF(HR_Data[[#This Row],[MonthlyIncome]]&lt;=7000,"Medium Salary","High Salary"))</f>
        <v>Low Salary</v>
      </c>
      <c r="AN205" s="1" t="str">
        <f>IF(HR_Data[[#This Row],[YearsAtCompany]]&lt;2,"0-1 Years",IF(HR_Data[[#This Row],[YearsAtCompany]]&lt;=5,"2-5 Years",IF(HR_Data[[#This Row],[YearsAtCompany]]&lt;=10,"6-10 Years","10+ Years")))</f>
        <v>6-10 Years</v>
      </c>
      <c r="AO205" s="1" t="str">
        <f>IF(HR_Data[[#This Row],[JobSatisfaction]]=1,"Low",IF(HR_Data[[#This Row],[JobSatisfaction]]=2,"Medium",IF(HR_Data[[#This Row],[JobSatisfaction]]=3,"High","Very High")))</f>
        <v>Very High</v>
      </c>
      <c r="AP205" s="1" t="str">
        <f>IF(HR_Data[[#This Row],[WorkLifeBalance]]=1,"Bad",IF(HR_Data[[#This Row],[WorkLifeBalance]]=2,"Good",IF(HR_Data[[#This Row],[WorkLifeBalance]]=3,"Better","Best")))</f>
        <v>Best</v>
      </c>
    </row>
    <row r="206" spans="1:42" x14ac:dyDescent="0.3">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c r="AJ206">
        <f>IF(HR_Data[[#This Row],[Attrition]]="Yes",1,0)</f>
        <v>1</v>
      </c>
      <c r="AK206">
        <f>IF(HR_Data[[#This Row],[Attrition]]="No",1,0)</f>
        <v>0</v>
      </c>
      <c r="AL206" t="str">
        <f>IF(HR_Data[[#This Row],[Age]]&lt;25,"Under 25",IF(HR_Data[[#This Row],[Age]]&lt;=34,"25-34",IF(HR_Data[[#This Row],[Age]]&lt;=44,"35-44",IF(HR_Data[[#This Row],[Age]]&lt;=54,"45-54","55+"))))</f>
        <v>35-44</v>
      </c>
      <c r="AM206" s="1" t="str">
        <f>IF(HR_Data[[#This Row],[MonthlyIncome]]&lt;3000,"Low Salary",IF(HR_Data[[#This Row],[MonthlyIncome]]&lt;=7000,"Medium Salary","High Salary"))</f>
        <v>Medium Salary</v>
      </c>
      <c r="AN206" s="1" t="str">
        <f>IF(HR_Data[[#This Row],[YearsAtCompany]]&lt;2,"0-1 Years",IF(HR_Data[[#This Row],[YearsAtCompany]]&lt;=5,"2-5 Years",IF(HR_Data[[#This Row],[YearsAtCompany]]&lt;=10,"6-10 Years","10+ Years")))</f>
        <v>0-1 Years</v>
      </c>
      <c r="AO206" s="1" t="str">
        <f>IF(HR_Data[[#This Row],[JobSatisfaction]]=1,"Low",IF(HR_Data[[#This Row],[JobSatisfaction]]=2,"Medium",IF(HR_Data[[#This Row],[JobSatisfaction]]=3,"High","Very High")))</f>
        <v>Low</v>
      </c>
      <c r="AP206" s="1" t="str">
        <f>IF(HR_Data[[#This Row],[WorkLifeBalance]]=1,"Bad",IF(HR_Data[[#This Row],[WorkLifeBalance]]=2,"Good",IF(HR_Data[[#This Row],[WorkLifeBalance]]=3,"Better","Best")))</f>
        <v>Better</v>
      </c>
    </row>
    <row r="207" spans="1:42" x14ac:dyDescent="0.3">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c r="AJ207">
        <f>IF(HR_Data[[#This Row],[Attrition]]="Yes",1,0)</f>
        <v>1</v>
      </c>
      <c r="AK207">
        <f>IF(HR_Data[[#This Row],[Attrition]]="No",1,0)</f>
        <v>0</v>
      </c>
      <c r="AL207" t="str">
        <f>IF(HR_Data[[#This Row],[Age]]&lt;25,"Under 25",IF(HR_Data[[#This Row],[Age]]&lt;=34,"25-34",IF(HR_Data[[#This Row],[Age]]&lt;=44,"35-44",IF(HR_Data[[#This Row],[Age]]&lt;=54,"45-54","55+"))))</f>
        <v>25-34</v>
      </c>
      <c r="AM207" s="1" t="str">
        <f>IF(HR_Data[[#This Row],[MonthlyIncome]]&lt;3000,"Low Salary",IF(HR_Data[[#This Row],[MonthlyIncome]]&lt;=7000,"Medium Salary","High Salary"))</f>
        <v>High Salary</v>
      </c>
      <c r="AN207" s="1" t="str">
        <f>IF(HR_Data[[#This Row],[YearsAtCompany]]&lt;2,"0-1 Years",IF(HR_Data[[#This Row],[YearsAtCompany]]&lt;=5,"2-5 Years",IF(HR_Data[[#This Row],[YearsAtCompany]]&lt;=10,"6-10 Years","10+ Years")))</f>
        <v>6-10 Years</v>
      </c>
      <c r="AO207" s="1" t="str">
        <f>IF(HR_Data[[#This Row],[JobSatisfaction]]=1,"Low",IF(HR_Data[[#This Row],[JobSatisfaction]]=2,"Medium",IF(HR_Data[[#This Row],[JobSatisfaction]]=3,"High","Very High")))</f>
        <v>Very High</v>
      </c>
      <c r="AP207" s="1" t="str">
        <f>IF(HR_Data[[#This Row],[WorkLifeBalance]]=1,"Bad",IF(HR_Data[[#This Row],[WorkLifeBalance]]=2,"Good",IF(HR_Data[[#This Row],[WorkLifeBalance]]=3,"Better","Best")))</f>
        <v>Good</v>
      </c>
    </row>
    <row r="208" spans="1:42" x14ac:dyDescent="0.3">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c r="AJ208">
        <f>IF(HR_Data[[#This Row],[Attrition]]="Yes",1,0)</f>
        <v>0</v>
      </c>
      <c r="AK208">
        <f>IF(HR_Data[[#This Row],[Attrition]]="No",1,0)</f>
        <v>1</v>
      </c>
      <c r="AL208" t="str">
        <f>IF(HR_Data[[#This Row],[Age]]&lt;25,"Under 25",IF(HR_Data[[#This Row],[Age]]&lt;=34,"25-34",IF(HR_Data[[#This Row],[Age]]&lt;=44,"35-44",IF(HR_Data[[#This Row],[Age]]&lt;=54,"45-54","55+"))))</f>
        <v>Under 25</v>
      </c>
      <c r="AM208" s="1" t="str">
        <f>IF(HR_Data[[#This Row],[MonthlyIncome]]&lt;3000,"Low Salary",IF(HR_Data[[#This Row],[MonthlyIncome]]&lt;=7000,"Medium Salary","High Salary"))</f>
        <v>Low Salary</v>
      </c>
      <c r="AN208" s="1" t="str">
        <f>IF(HR_Data[[#This Row],[YearsAtCompany]]&lt;2,"0-1 Years",IF(HR_Data[[#This Row],[YearsAtCompany]]&lt;=5,"2-5 Years",IF(HR_Data[[#This Row],[YearsAtCompany]]&lt;=10,"6-10 Years","10+ Years")))</f>
        <v>2-5 Years</v>
      </c>
      <c r="AO208" s="1" t="str">
        <f>IF(HR_Data[[#This Row],[JobSatisfaction]]=1,"Low",IF(HR_Data[[#This Row],[JobSatisfaction]]=2,"Medium",IF(HR_Data[[#This Row],[JobSatisfaction]]=3,"High","Very High")))</f>
        <v>Medium</v>
      </c>
      <c r="AP208" s="1" t="str">
        <f>IF(HR_Data[[#This Row],[WorkLifeBalance]]=1,"Bad",IF(HR_Data[[#This Row],[WorkLifeBalance]]=2,"Good",IF(HR_Data[[#This Row],[WorkLifeBalance]]=3,"Better","Best")))</f>
        <v>Good</v>
      </c>
    </row>
    <row r="209" spans="1:42" x14ac:dyDescent="0.3">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c r="AJ209">
        <f>IF(HR_Data[[#This Row],[Attrition]]="Yes",1,0)</f>
        <v>0</v>
      </c>
      <c r="AK209">
        <f>IF(HR_Data[[#This Row],[Attrition]]="No",1,0)</f>
        <v>1</v>
      </c>
      <c r="AL209" t="str">
        <f>IF(HR_Data[[#This Row],[Age]]&lt;25,"Under 25",IF(HR_Data[[#This Row],[Age]]&lt;=34,"25-34",IF(HR_Data[[#This Row],[Age]]&lt;=44,"35-44",IF(HR_Data[[#This Row],[Age]]&lt;=54,"45-54","55+"))))</f>
        <v>35-44</v>
      </c>
      <c r="AM209" s="1" t="str">
        <f>IF(HR_Data[[#This Row],[MonthlyIncome]]&lt;3000,"Low Salary",IF(HR_Data[[#This Row],[MonthlyIncome]]&lt;=7000,"Medium Salary","High Salary"))</f>
        <v>Low Salary</v>
      </c>
      <c r="AN209" s="1" t="str">
        <f>IF(HR_Data[[#This Row],[YearsAtCompany]]&lt;2,"0-1 Years",IF(HR_Data[[#This Row],[YearsAtCompany]]&lt;=5,"2-5 Years",IF(HR_Data[[#This Row],[YearsAtCompany]]&lt;=10,"6-10 Years","10+ Years")))</f>
        <v>6-10 Years</v>
      </c>
      <c r="AO209" s="1" t="str">
        <f>IF(HR_Data[[#This Row],[JobSatisfaction]]=1,"Low",IF(HR_Data[[#This Row],[JobSatisfaction]]=2,"Medium",IF(HR_Data[[#This Row],[JobSatisfaction]]=3,"High","Very High")))</f>
        <v>Very High</v>
      </c>
      <c r="AP209" s="1" t="str">
        <f>IF(HR_Data[[#This Row],[WorkLifeBalance]]=1,"Bad",IF(HR_Data[[#This Row],[WorkLifeBalance]]=2,"Good",IF(HR_Data[[#This Row],[WorkLifeBalance]]=3,"Better","Best")))</f>
        <v>Better</v>
      </c>
    </row>
    <row r="210" spans="1:42" x14ac:dyDescent="0.3">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c r="AJ210">
        <f>IF(HR_Data[[#This Row],[Attrition]]="Yes",1,0)</f>
        <v>0</v>
      </c>
      <c r="AK210">
        <f>IF(HR_Data[[#This Row],[Attrition]]="No",1,0)</f>
        <v>1</v>
      </c>
      <c r="AL210" t="str">
        <f>IF(HR_Data[[#This Row],[Age]]&lt;25,"Under 25",IF(HR_Data[[#This Row],[Age]]&lt;=34,"25-34",IF(HR_Data[[#This Row],[Age]]&lt;=44,"35-44",IF(HR_Data[[#This Row],[Age]]&lt;=54,"45-54","55+"))))</f>
        <v>35-44</v>
      </c>
      <c r="AM210" s="1" t="str">
        <f>IF(HR_Data[[#This Row],[MonthlyIncome]]&lt;3000,"Low Salary",IF(HR_Data[[#This Row],[MonthlyIncome]]&lt;=7000,"Medium Salary","High Salary"))</f>
        <v>Medium Salary</v>
      </c>
      <c r="AN210" s="1" t="str">
        <f>IF(HR_Data[[#This Row],[YearsAtCompany]]&lt;2,"0-1 Years",IF(HR_Data[[#This Row],[YearsAtCompany]]&lt;=5,"2-5 Years",IF(HR_Data[[#This Row],[YearsAtCompany]]&lt;=10,"6-10 Years","10+ Years")))</f>
        <v>2-5 Years</v>
      </c>
      <c r="AO210" s="1" t="str">
        <f>IF(HR_Data[[#This Row],[JobSatisfaction]]=1,"Low",IF(HR_Data[[#This Row],[JobSatisfaction]]=2,"Medium",IF(HR_Data[[#This Row],[JobSatisfaction]]=3,"High","Very High")))</f>
        <v>Very High</v>
      </c>
      <c r="AP210" s="1" t="str">
        <f>IF(HR_Data[[#This Row],[WorkLifeBalance]]=1,"Bad",IF(HR_Data[[#This Row],[WorkLifeBalance]]=2,"Good",IF(HR_Data[[#This Row],[WorkLifeBalance]]=3,"Better","Best")))</f>
        <v>Bad</v>
      </c>
    </row>
    <row r="211" spans="1:42" x14ac:dyDescent="0.3">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c r="AJ211">
        <f>IF(HR_Data[[#This Row],[Attrition]]="Yes",1,0)</f>
        <v>0</v>
      </c>
      <c r="AK211">
        <f>IF(HR_Data[[#This Row],[Attrition]]="No",1,0)</f>
        <v>1</v>
      </c>
      <c r="AL211" t="str">
        <f>IF(HR_Data[[#This Row],[Age]]&lt;25,"Under 25",IF(HR_Data[[#This Row],[Age]]&lt;=34,"25-34",IF(HR_Data[[#This Row],[Age]]&lt;=44,"35-44",IF(HR_Data[[#This Row],[Age]]&lt;=54,"45-54","55+"))))</f>
        <v>45-54</v>
      </c>
      <c r="AM211" s="1" t="str">
        <f>IF(HR_Data[[#This Row],[MonthlyIncome]]&lt;3000,"Low Salary",IF(HR_Data[[#This Row],[MonthlyIncome]]&lt;=7000,"Medium Salary","High Salary"))</f>
        <v>High Salary</v>
      </c>
      <c r="AN211" s="1" t="str">
        <f>IF(HR_Data[[#This Row],[YearsAtCompany]]&lt;2,"0-1 Years",IF(HR_Data[[#This Row],[YearsAtCompany]]&lt;=5,"2-5 Years",IF(HR_Data[[#This Row],[YearsAtCompany]]&lt;=10,"6-10 Years","10+ Years")))</f>
        <v>2-5 Years</v>
      </c>
      <c r="AO211" s="1" t="str">
        <f>IF(HR_Data[[#This Row],[JobSatisfaction]]=1,"Low",IF(HR_Data[[#This Row],[JobSatisfaction]]=2,"Medium",IF(HR_Data[[#This Row],[JobSatisfaction]]=3,"High","Very High")))</f>
        <v>Low</v>
      </c>
      <c r="AP211" s="1" t="str">
        <f>IF(HR_Data[[#This Row],[WorkLifeBalance]]=1,"Bad",IF(HR_Data[[#This Row],[WorkLifeBalance]]=2,"Good",IF(HR_Data[[#This Row],[WorkLifeBalance]]=3,"Better","Best")))</f>
        <v>Better</v>
      </c>
    </row>
    <row r="212" spans="1:42" x14ac:dyDescent="0.3">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c r="AJ212">
        <f>IF(HR_Data[[#This Row],[Attrition]]="Yes",1,0)</f>
        <v>1</v>
      </c>
      <c r="AK212">
        <f>IF(HR_Data[[#This Row],[Attrition]]="No",1,0)</f>
        <v>0</v>
      </c>
      <c r="AL212" t="str">
        <f>IF(HR_Data[[#This Row],[Age]]&lt;25,"Under 25",IF(HR_Data[[#This Row],[Age]]&lt;=34,"25-34",IF(HR_Data[[#This Row],[Age]]&lt;=44,"35-44",IF(HR_Data[[#This Row],[Age]]&lt;=54,"45-54","55+"))))</f>
        <v>25-34</v>
      </c>
      <c r="AM212" s="1" t="str">
        <f>IF(HR_Data[[#This Row],[MonthlyIncome]]&lt;3000,"Low Salary",IF(HR_Data[[#This Row],[MonthlyIncome]]&lt;=7000,"Medium Salary","High Salary"))</f>
        <v>High Salary</v>
      </c>
      <c r="AN212" s="1" t="str">
        <f>IF(HR_Data[[#This Row],[YearsAtCompany]]&lt;2,"0-1 Years",IF(HR_Data[[#This Row],[YearsAtCompany]]&lt;=5,"2-5 Years",IF(HR_Data[[#This Row],[YearsAtCompany]]&lt;=10,"6-10 Years","10+ Years")))</f>
        <v>10+ Years</v>
      </c>
      <c r="AO212" s="1" t="str">
        <f>IF(HR_Data[[#This Row],[JobSatisfaction]]=1,"Low",IF(HR_Data[[#This Row],[JobSatisfaction]]=2,"Medium",IF(HR_Data[[#This Row],[JobSatisfaction]]=3,"High","Very High")))</f>
        <v>Very High</v>
      </c>
      <c r="AP212" s="1" t="str">
        <f>IF(HR_Data[[#This Row],[WorkLifeBalance]]=1,"Bad",IF(HR_Data[[#This Row],[WorkLifeBalance]]=2,"Good",IF(HR_Data[[#This Row],[WorkLifeBalance]]=3,"Better","Best")))</f>
        <v>Good</v>
      </c>
    </row>
    <row r="213" spans="1:42" x14ac:dyDescent="0.3">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c r="AJ213">
        <f>IF(HR_Data[[#This Row],[Attrition]]="Yes",1,0)</f>
        <v>0</v>
      </c>
      <c r="AK213">
        <f>IF(HR_Data[[#This Row],[Attrition]]="No",1,0)</f>
        <v>1</v>
      </c>
      <c r="AL213" t="str">
        <f>IF(HR_Data[[#This Row],[Age]]&lt;25,"Under 25",IF(HR_Data[[#This Row],[Age]]&lt;=34,"25-34",IF(HR_Data[[#This Row],[Age]]&lt;=44,"35-44",IF(HR_Data[[#This Row],[Age]]&lt;=54,"45-54","55+"))))</f>
        <v>25-34</v>
      </c>
      <c r="AM213" s="1" t="str">
        <f>IF(HR_Data[[#This Row],[MonthlyIncome]]&lt;3000,"Low Salary",IF(HR_Data[[#This Row],[MonthlyIncome]]&lt;=7000,"Medium Salary","High Salary"))</f>
        <v>High Salary</v>
      </c>
      <c r="AN213" s="1" t="str">
        <f>IF(HR_Data[[#This Row],[YearsAtCompany]]&lt;2,"0-1 Years",IF(HR_Data[[#This Row],[YearsAtCompany]]&lt;=5,"2-5 Years",IF(HR_Data[[#This Row],[YearsAtCompany]]&lt;=10,"6-10 Years","10+ Years")))</f>
        <v>10+ Years</v>
      </c>
      <c r="AO213" s="1" t="str">
        <f>IF(HR_Data[[#This Row],[JobSatisfaction]]=1,"Low",IF(HR_Data[[#This Row],[JobSatisfaction]]=2,"Medium",IF(HR_Data[[#This Row],[JobSatisfaction]]=3,"High","Very High")))</f>
        <v>High</v>
      </c>
      <c r="AP213" s="1" t="str">
        <f>IF(HR_Data[[#This Row],[WorkLifeBalance]]=1,"Bad",IF(HR_Data[[#This Row],[WorkLifeBalance]]=2,"Good",IF(HR_Data[[#This Row],[WorkLifeBalance]]=3,"Better","Best")))</f>
        <v>Better</v>
      </c>
    </row>
    <row r="214" spans="1:42" x14ac:dyDescent="0.3">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c r="AJ214">
        <f>IF(HR_Data[[#This Row],[Attrition]]="Yes",1,0)</f>
        <v>0</v>
      </c>
      <c r="AK214">
        <f>IF(HR_Data[[#This Row],[Attrition]]="No",1,0)</f>
        <v>1</v>
      </c>
      <c r="AL214" t="str">
        <f>IF(HR_Data[[#This Row],[Age]]&lt;25,"Under 25",IF(HR_Data[[#This Row],[Age]]&lt;=34,"25-34",IF(HR_Data[[#This Row],[Age]]&lt;=44,"35-44",IF(HR_Data[[#This Row],[Age]]&lt;=54,"45-54","55+"))))</f>
        <v>25-34</v>
      </c>
      <c r="AM214" s="1" t="str">
        <f>IF(HR_Data[[#This Row],[MonthlyIncome]]&lt;3000,"Low Salary",IF(HR_Data[[#This Row],[MonthlyIncome]]&lt;=7000,"Medium Salary","High Salary"))</f>
        <v>High Salary</v>
      </c>
      <c r="AN214" s="1" t="str">
        <f>IF(HR_Data[[#This Row],[YearsAtCompany]]&lt;2,"0-1 Years",IF(HR_Data[[#This Row],[YearsAtCompany]]&lt;=5,"2-5 Years",IF(HR_Data[[#This Row],[YearsAtCompany]]&lt;=10,"6-10 Years","10+ Years")))</f>
        <v>6-10 Years</v>
      </c>
      <c r="AO214" s="1" t="str">
        <f>IF(HR_Data[[#This Row],[JobSatisfaction]]=1,"Low",IF(HR_Data[[#This Row],[JobSatisfaction]]=2,"Medium",IF(HR_Data[[#This Row],[JobSatisfaction]]=3,"High","Very High")))</f>
        <v>High</v>
      </c>
      <c r="AP214" s="1" t="str">
        <f>IF(HR_Data[[#This Row],[WorkLifeBalance]]=1,"Bad",IF(HR_Data[[#This Row],[WorkLifeBalance]]=2,"Good",IF(HR_Data[[#This Row],[WorkLifeBalance]]=3,"Better","Best")))</f>
        <v>Better</v>
      </c>
    </row>
    <row r="215" spans="1:42" x14ac:dyDescent="0.3">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c r="AJ215">
        <f>IF(HR_Data[[#This Row],[Attrition]]="Yes",1,0)</f>
        <v>0</v>
      </c>
      <c r="AK215">
        <f>IF(HR_Data[[#This Row],[Attrition]]="No",1,0)</f>
        <v>1</v>
      </c>
      <c r="AL215" t="str">
        <f>IF(HR_Data[[#This Row],[Age]]&lt;25,"Under 25",IF(HR_Data[[#This Row],[Age]]&lt;=34,"25-34",IF(HR_Data[[#This Row],[Age]]&lt;=44,"35-44",IF(HR_Data[[#This Row],[Age]]&lt;=54,"45-54","55+"))))</f>
        <v>45-54</v>
      </c>
      <c r="AM215" s="1" t="str">
        <f>IF(HR_Data[[#This Row],[MonthlyIncome]]&lt;3000,"Low Salary",IF(HR_Data[[#This Row],[MonthlyIncome]]&lt;=7000,"Medium Salary","High Salary"))</f>
        <v>High Salary</v>
      </c>
      <c r="AN215" s="1" t="str">
        <f>IF(HR_Data[[#This Row],[YearsAtCompany]]&lt;2,"0-1 Years",IF(HR_Data[[#This Row],[YearsAtCompany]]&lt;=5,"2-5 Years",IF(HR_Data[[#This Row],[YearsAtCompany]]&lt;=10,"6-10 Years","10+ Years")))</f>
        <v>6-10 Years</v>
      </c>
      <c r="AO215" s="1" t="str">
        <f>IF(HR_Data[[#This Row],[JobSatisfaction]]=1,"Low",IF(HR_Data[[#This Row],[JobSatisfaction]]=2,"Medium",IF(HR_Data[[#This Row],[JobSatisfaction]]=3,"High","Very High")))</f>
        <v>Medium</v>
      </c>
      <c r="AP215" s="1" t="str">
        <f>IF(HR_Data[[#This Row],[WorkLifeBalance]]=1,"Bad",IF(HR_Data[[#This Row],[WorkLifeBalance]]=2,"Good",IF(HR_Data[[#This Row],[WorkLifeBalance]]=3,"Better","Best")))</f>
        <v>Bad</v>
      </c>
    </row>
    <row r="216" spans="1:42" x14ac:dyDescent="0.3">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c r="AJ216">
        <f>IF(HR_Data[[#This Row],[Attrition]]="Yes",1,0)</f>
        <v>1</v>
      </c>
      <c r="AK216">
        <f>IF(HR_Data[[#This Row],[Attrition]]="No",1,0)</f>
        <v>0</v>
      </c>
      <c r="AL216" t="str">
        <f>IF(HR_Data[[#This Row],[Age]]&lt;25,"Under 25",IF(HR_Data[[#This Row],[Age]]&lt;=34,"25-34",IF(HR_Data[[#This Row],[Age]]&lt;=44,"35-44",IF(HR_Data[[#This Row],[Age]]&lt;=54,"45-54","55+"))))</f>
        <v>25-34</v>
      </c>
      <c r="AM216" s="1" t="str">
        <f>IF(HR_Data[[#This Row],[MonthlyIncome]]&lt;3000,"Low Salary",IF(HR_Data[[#This Row],[MonthlyIncome]]&lt;=7000,"Medium Salary","High Salary"))</f>
        <v>Low Salary</v>
      </c>
      <c r="AN216" s="1" t="str">
        <f>IF(HR_Data[[#This Row],[YearsAtCompany]]&lt;2,"0-1 Years",IF(HR_Data[[#This Row],[YearsAtCompany]]&lt;=5,"2-5 Years",IF(HR_Data[[#This Row],[YearsAtCompany]]&lt;=10,"6-10 Years","10+ Years")))</f>
        <v>2-5 Years</v>
      </c>
      <c r="AO216" s="1" t="str">
        <f>IF(HR_Data[[#This Row],[JobSatisfaction]]=1,"Low",IF(HR_Data[[#This Row],[JobSatisfaction]]=2,"Medium",IF(HR_Data[[#This Row],[JobSatisfaction]]=3,"High","Very High")))</f>
        <v>Low</v>
      </c>
      <c r="AP216" s="1" t="str">
        <f>IF(HR_Data[[#This Row],[WorkLifeBalance]]=1,"Bad",IF(HR_Data[[#This Row],[WorkLifeBalance]]=2,"Good",IF(HR_Data[[#This Row],[WorkLifeBalance]]=3,"Better","Best")))</f>
        <v>Better</v>
      </c>
    </row>
    <row r="217" spans="1:42" x14ac:dyDescent="0.3">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c r="AJ217">
        <f>IF(HR_Data[[#This Row],[Attrition]]="Yes",1,0)</f>
        <v>0</v>
      </c>
      <c r="AK217">
        <f>IF(HR_Data[[#This Row],[Attrition]]="No",1,0)</f>
        <v>1</v>
      </c>
      <c r="AL217" t="str">
        <f>IF(HR_Data[[#This Row],[Age]]&lt;25,"Under 25",IF(HR_Data[[#This Row],[Age]]&lt;=34,"25-34",IF(HR_Data[[#This Row],[Age]]&lt;=44,"35-44",IF(HR_Data[[#This Row],[Age]]&lt;=54,"45-54","55+"))))</f>
        <v>35-44</v>
      </c>
      <c r="AM217" s="1" t="str">
        <f>IF(HR_Data[[#This Row],[MonthlyIncome]]&lt;3000,"Low Salary",IF(HR_Data[[#This Row],[MonthlyIncome]]&lt;=7000,"Medium Salary","High Salary"))</f>
        <v>High Salary</v>
      </c>
      <c r="AN217" s="1" t="str">
        <f>IF(HR_Data[[#This Row],[YearsAtCompany]]&lt;2,"0-1 Years",IF(HR_Data[[#This Row],[YearsAtCompany]]&lt;=5,"2-5 Years",IF(HR_Data[[#This Row],[YearsAtCompany]]&lt;=10,"6-10 Years","10+ Years")))</f>
        <v>0-1 Years</v>
      </c>
      <c r="AO217" s="1" t="str">
        <f>IF(HR_Data[[#This Row],[JobSatisfaction]]=1,"Low",IF(HR_Data[[#This Row],[JobSatisfaction]]=2,"Medium",IF(HR_Data[[#This Row],[JobSatisfaction]]=3,"High","Very High")))</f>
        <v>Very High</v>
      </c>
      <c r="AP217" s="1" t="str">
        <f>IF(HR_Data[[#This Row],[WorkLifeBalance]]=1,"Bad",IF(HR_Data[[#This Row],[WorkLifeBalance]]=2,"Good",IF(HR_Data[[#This Row],[WorkLifeBalance]]=3,"Better","Best")))</f>
        <v>Better</v>
      </c>
    </row>
    <row r="218" spans="1:42" x14ac:dyDescent="0.3">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c r="AJ218">
        <f>IF(HR_Data[[#This Row],[Attrition]]="Yes",1,0)</f>
        <v>1</v>
      </c>
      <c r="AK218">
        <f>IF(HR_Data[[#This Row],[Attrition]]="No",1,0)</f>
        <v>0</v>
      </c>
      <c r="AL218" t="str">
        <f>IF(HR_Data[[#This Row],[Age]]&lt;25,"Under 25",IF(HR_Data[[#This Row],[Age]]&lt;=34,"25-34",IF(HR_Data[[#This Row],[Age]]&lt;=44,"35-44",IF(HR_Data[[#This Row],[Age]]&lt;=54,"45-54","55+"))))</f>
        <v>25-34</v>
      </c>
      <c r="AM218" s="1" t="str">
        <f>IF(HR_Data[[#This Row],[MonthlyIncome]]&lt;3000,"Low Salary",IF(HR_Data[[#This Row],[MonthlyIncome]]&lt;=7000,"Medium Salary","High Salary"))</f>
        <v>Medium Salary</v>
      </c>
      <c r="AN218" s="1" t="str">
        <f>IF(HR_Data[[#This Row],[YearsAtCompany]]&lt;2,"0-1 Years",IF(HR_Data[[#This Row],[YearsAtCompany]]&lt;=5,"2-5 Years",IF(HR_Data[[#This Row],[YearsAtCompany]]&lt;=10,"6-10 Years","10+ Years")))</f>
        <v>6-10 Years</v>
      </c>
      <c r="AO218" s="1" t="str">
        <f>IF(HR_Data[[#This Row],[JobSatisfaction]]=1,"Low",IF(HR_Data[[#This Row],[JobSatisfaction]]=2,"Medium",IF(HR_Data[[#This Row],[JobSatisfaction]]=3,"High","Very High")))</f>
        <v>Low</v>
      </c>
      <c r="AP218" s="1" t="str">
        <f>IF(HR_Data[[#This Row],[WorkLifeBalance]]=1,"Bad",IF(HR_Data[[#This Row],[WorkLifeBalance]]=2,"Good",IF(HR_Data[[#This Row],[WorkLifeBalance]]=3,"Better","Best")))</f>
        <v>Good</v>
      </c>
    </row>
    <row r="219" spans="1:42" x14ac:dyDescent="0.3">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c r="AJ219">
        <f>IF(HR_Data[[#This Row],[Attrition]]="Yes",1,0)</f>
        <v>1</v>
      </c>
      <c r="AK219">
        <f>IF(HR_Data[[#This Row],[Attrition]]="No",1,0)</f>
        <v>0</v>
      </c>
      <c r="AL219" t="str">
        <f>IF(HR_Data[[#This Row],[Age]]&lt;25,"Under 25",IF(HR_Data[[#This Row],[Age]]&lt;=34,"25-34",IF(HR_Data[[#This Row],[Age]]&lt;=44,"35-44",IF(HR_Data[[#This Row],[Age]]&lt;=54,"45-54","55+"))))</f>
        <v>25-34</v>
      </c>
      <c r="AM219" s="1" t="str">
        <f>IF(HR_Data[[#This Row],[MonthlyIncome]]&lt;3000,"Low Salary",IF(HR_Data[[#This Row],[MonthlyIncome]]&lt;=7000,"Medium Salary","High Salary"))</f>
        <v>Low Salary</v>
      </c>
      <c r="AN219" s="1" t="str">
        <f>IF(HR_Data[[#This Row],[YearsAtCompany]]&lt;2,"0-1 Years",IF(HR_Data[[#This Row],[YearsAtCompany]]&lt;=5,"2-5 Years",IF(HR_Data[[#This Row],[YearsAtCompany]]&lt;=10,"6-10 Years","10+ Years")))</f>
        <v>6-10 Years</v>
      </c>
      <c r="AO219" s="1" t="str">
        <f>IF(HR_Data[[#This Row],[JobSatisfaction]]=1,"Low",IF(HR_Data[[#This Row],[JobSatisfaction]]=2,"Medium",IF(HR_Data[[#This Row],[JobSatisfaction]]=3,"High","Very High")))</f>
        <v>High</v>
      </c>
      <c r="AP219" s="1" t="str">
        <f>IF(HR_Data[[#This Row],[WorkLifeBalance]]=1,"Bad",IF(HR_Data[[#This Row],[WorkLifeBalance]]=2,"Good",IF(HR_Data[[#This Row],[WorkLifeBalance]]=3,"Better","Best")))</f>
        <v>Good</v>
      </c>
    </row>
    <row r="220" spans="1:42" x14ac:dyDescent="0.3">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c r="AJ220">
        <f>IF(HR_Data[[#This Row],[Attrition]]="Yes",1,0)</f>
        <v>0</v>
      </c>
      <c r="AK220">
        <f>IF(HR_Data[[#This Row],[Attrition]]="No",1,0)</f>
        <v>1</v>
      </c>
      <c r="AL220" t="str">
        <f>IF(HR_Data[[#This Row],[Age]]&lt;25,"Under 25",IF(HR_Data[[#This Row],[Age]]&lt;=34,"25-34",IF(HR_Data[[#This Row],[Age]]&lt;=44,"35-44",IF(HR_Data[[#This Row],[Age]]&lt;=54,"45-54","55+"))))</f>
        <v>45-54</v>
      </c>
      <c r="AM220" s="1" t="str">
        <f>IF(HR_Data[[#This Row],[MonthlyIncome]]&lt;3000,"Low Salary",IF(HR_Data[[#This Row],[MonthlyIncome]]&lt;=7000,"Medium Salary","High Salary"))</f>
        <v>High Salary</v>
      </c>
      <c r="AN220" s="1" t="str">
        <f>IF(HR_Data[[#This Row],[YearsAtCompany]]&lt;2,"0-1 Years",IF(HR_Data[[#This Row],[YearsAtCompany]]&lt;=5,"2-5 Years",IF(HR_Data[[#This Row],[YearsAtCompany]]&lt;=10,"6-10 Years","10+ Years")))</f>
        <v>10+ Years</v>
      </c>
      <c r="AO220" s="1" t="str">
        <f>IF(HR_Data[[#This Row],[JobSatisfaction]]=1,"Low",IF(HR_Data[[#This Row],[JobSatisfaction]]=2,"Medium",IF(HR_Data[[#This Row],[JobSatisfaction]]=3,"High","Very High")))</f>
        <v>Very High</v>
      </c>
      <c r="AP220" s="1" t="str">
        <f>IF(HR_Data[[#This Row],[WorkLifeBalance]]=1,"Bad",IF(HR_Data[[#This Row],[WorkLifeBalance]]=2,"Good",IF(HR_Data[[#This Row],[WorkLifeBalance]]=3,"Better","Best")))</f>
        <v>Better</v>
      </c>
    </row>
    <row r="221" spans="1:42" x14ac:dyDescent="0.3">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c r="AJ221">
        <f>IF(HR_Data[[#This Row],[Attrition]]="Yes",1,0)</f>
        <v>0</v>
      </c>
      <c r="AK221">
        <f>IF(HR_Data[[#This Row],[Attrition]]="No",1,0)</f>
        <v>1</v>
      </c>
      <c r="AL221" t="str">
        <f>IF(HR_Data[[#This Row],[Age]]&lt;25,"Under 25",IF(HR_Data[[#This Row],[Age]]&lt;=34,"25-34",IF(HR_Data[[#This Row],[Age]]&lt;=44,"35-44",IF(HR_Data[[#This Row],[Age]]&lt;=54,"45-54","55+"))))</f>
        <v>45-54</v>
      </c>
      <c r="AM221" s="1" t="str">
        <f>IF(HR_Data[[#This Row],[MonthlyIncome]]&lt;3000,"Low Salary",IF(HR_Data[[#This Row],[MonthlyIncome]]&lt;=7000,"Medium Salary","High Salary"))</f>
        <v>Medium Salary</v>
      </c>
      <c r="AN221" s="1" t="str">
        <f>IF(HR_Data[[#This Row],[YearsAtCompany]]&lt;2,"0-1 Years",IF(HR_Data[[#This Row],[YearsAtCompany]]&lt;=5,"2-5 Years",IF(HR_Data[[#This Row],[YearsAtCompany]]&lt;=10,"6-10 Years","10+ Years")))</f>
        <v>6-10 Years</v>
      </c>
      <c r="AO221" s="1" t="str">
        <f>IF(HR_Data[[#This Row],[JobSatisfaction]]=1,"Low",IF(HR_Data[[#This Row],[JobSatisfaction]]=2,"Medium",IF(HR_Data[[#This Row],[JobSatisfaction]]=3,"High","Very High")))</f>
        <v>Low</v>
      </c>
      <c r="AP221" s="1" t="str">
        <f>IF(HR_Data[[#This Row],[WorkLifeBalance]]=1,"Bad",IF(HR_Data[[#This Row],[WorkLifeBalance]]=2,"Good",IF(HR_Data[[#This Row],[WorkLifeBalance]]=3,"Better","Best")))</f>
        <v>Better</v>
      </c>
    </row>
    <row r="222" spans="1:42" x14ac:dyDescent="0.3">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c r="AJ222">
        <f>IF(HR_Data[[#This Row],[Attrition]]="Yes",1,0)</f>
        <v>0</v>
      </c>
      <c r="AK222">
        <f>IF(HR_Data[[#This Row],[Attrition]]="No",1,0)</f>
        <v>1</v>
      </c>
      <c r="AL222" t="str">
        <f>IF(HR_Data[[#This Row],[Age]]&lt;25,"Under 25",IF(HR_Data[[#This Row],[Age]]&lt;=34,"25-34",IF(HR_Data[[#This Row],[Age]]&lt;=44,"35-44",IF(HR_Data[[#This Row],[Age]]&lt;=54,"45-54","55+"))))</f>
        <v>35-44</v>
      </c>
      <c r="AM222" s="1" t="str">
        <f>IF(HR_Data[[#This Row],[MonthlyIncome]]&lt;3000,"Low Salary",IF(HR_Data[[#This Row],[MonthlyIncome]]&lt;=7000,"Medium Salary","High Salary"))</f>
        <v>Medium Salary</v>
      </c>
      <c r="AN222" s="1" t="str">
        <f>IF(HR_Data[[#This Row],[YearsAtCompany]]&lt;2,"0-1 Years",IF(HR_Data[[#This Row],[YearsAtCompany]]&lt;=5,"2-5 Years",IF(HR_Data[[#This Row],[YearsAtCompany]]&lt;=10,"6-10 Years","10+ Years")))</f>
        <v>10+ Years</v>
      </c>
      <c r="AO222" s="1" t="str">
        <f>IF(HR_Data[[#This Row],[JobSatisfaction]]=1,"Low",IF(HR_Data[[#This Row],[JobSatisfaction]]=2,"Medium",IF(HR_Data[[#This Row],[JobSatisfaction]]=3,"High","Very High")))</f>
        <v>Medium</v>
      </c>
      <c r="AP222" s="1" t="str">
        <f>IF(HR_Data[[#This Row],[WorkLifeBalance]]=1,"Bad",IF(HR_Data[[#This Row],[WorkLifeBalance]]=2,"Good",IF(HR_Data[[#This Row],[WorkLifeBalance]]=3,"Better","Best")))</f>
        <v>Best</v>
      </c>
    </row>
    <row r="223" spans="1:42" x14ac:dyDescent="0.3">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c r="AJ223">
        <f>IF(HR_Data[[#This Row],[Attrition]]="Yes",1,0)</f>
        <v>0</v>
      </c>
      <c r="AK223">
        <f>IF(HR_Data[[#This Row],[Attrition]]="No",1,0)</f>
        <v>1</v>
      </c>
      <c r="AL223" t="str">
        <f>IF(HR_Data[[#This Row],[Age]]&lt;25,"Under 25",IF(HR_Data[[#This Row],[Age]]&lt;=34,"25-34",IF(HR_Data[[#This Row],[Age]]&lt;=44,"35-44",IF(HR_Data[[#This Row],[Age]]&lt;=54,"45-54","55+"))))</f>
        <v>25-34</v>
      </c>
      <c r="AM223" s="1" t="str">
        <f>IF(HR_Data[[#This Row],[MonthlyIncome]]&lt;3000,"Low Salary",IF(HR_Data[[#This Row],[MonthlyIncome]]&lt;=7000,"Medium Salary","High Salary"))</f>
        <v>Low Salary</v>
      </c>
      <c r="AN223" s="1" t="str">
        <f>IF(HR_Data[[#This Row],[YearsAtCompany]]&lt;2,"0-1 Years",IF(HR_Data[[#This Row],[YearsAtCompany]]&lt;=5,"2-5 Years",IF(HR_Data[[#This Row],[YearsAtCompany]]&lt;=10,"6-10 Years","10+ Years")))</f>
        <v>2-5 Years</v>
      </c>
      <c r="AO223" s="1" t="str">
        <f>IF(HR_Data[[#This Row],[JobSatisfaction]]=1,"Low",IF(HR_Data[[#This Row],[JobSatisfaction]]=2,"Medium",IF(HR_Data[[#This Row],[JobSatisfaction]]=3,"High","Very High")))</f>
        <v>Medium</v>
      </c>
      <c r="AP223" s="1" t="str">
        <f>IF(HR_Data[[#This Row],[WorkLifeBalance]]=1,"Bad",IF(HR_Data[[#This Row],[WorkLifeBalance]]=2,"Good",IF(HR_Data[[#This Row],[WorkLifeBalance]]=3,"Better","Best")))</f>
        <v>Better</v>
      </c>
    </row>
    <row r="224" spans="1:42" x14ac:dyDescent="0.3">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c r="AJ224">
        <f>IF(HR_Data[[#This Row],[Attrition]]="Yes",1,0)</f>
        <v>0</v>
      </c>
      <c r="AK224">
        <f>IF(HR_Data[[#This Row],[Attrition]]="No",1,0)</f>
        <v>1</v>
      </c>
      <c r="AL224" t="str">
        <f>IF(HR_Data[[#This Row],[Age]]&lt;25,"Under 25",IF(HR_Data[[#This Row],[Age]]&lt;=34,"25-34",IF(HR_Data[[#This Row],[Age]]&lt;=44,"35-44",IF(HR_Data[[#This Row],[Age]]&lt;=54,"45-54","55+"))))</f>
        <v>35-44</v>
      </c>
      <c r="AM224" s="1" t="str">
        <f>IF(HR_Data[[#This Row],[MonthlyIncome]]&lt;3000,"Low Salary",IF(HR_Data[[#This Row],[MonthlyIncome]]&lt;=7000,"Medium Salary","High Salary"))</f>
        <v>High Salary</v>
      </c>
      <c r="AN224" s="1" t="str">
        <f>IF(HR_Data[[#This Row],[YearsAtCompany]]&lt;2,"0-1 Years",IF(HR_Data[[#This Row],[YearsAtCompany]]&lt;=5,"2-5 Years",IF(HR_Data[[#This Row],[YearsAtCompany]]&lt;=10,"6-10 Years","10+ Years")))</f>
        <v>6-10 Years</v>
      </c>
      <c r="AO224" s="1" t="str">
        <f>IF(HR_Data[[#This Row],[JobSatisfaction]]=1,"Low",IF(HR_Data[[#This Row],[JobSatisfaction]]=2,"Medium",IF(HR_Data[[#This Row],[JobSatisfaction]]=3,"High","Very High")))</f>
        <v>Very High</v>
      </c>
      <c r="AP224" s="1" t="str">
        <f>IF(HR_Data[[#This Row],[WorkLifeBalance]]=1,"Bad",IF(HR_Data[[#This Row],[WorkLifeBalance]]=2,"Good",IF(HR_Data[[#This Row],[WorkLifeBalance]]=3,"Better","Best")))</f>
        <v>Better</v>
      </c>
    </row>
    <row r="225" spans="1:42" x14ac:dyDescent="0.3">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c r="AJ225">
        <f>IF(HR_Data[[#This Row],[Attrition]]="Yes",1,0)</f>
        <v>0</v>
      </c>
      <c r="AK225">
        <f>IF(HR_Data[[#This Row],[Attrition]]="No",1,0)</f>
        <v>1</v>
      </c>
      <c r="AL225" t="str">
        <f>IF(HR_Data[[#This Row],[Age]]&lt;25,"Under 25",IF(HR_Data[[#This Row],[Age]]&lt;=34,"25-34",IF(HR_Data[[#This Row],[Age]]&lt;=44,"35-44",IF(HR_Data[[#This Row],[Age]]&lt;=54,"45-54","55+"))))</f>
        <v>35-44</v>
      </c>
      <c r="AM225" s="1" t="str">
        <f>IF(HR_Data[[#This Row],[MonthlyIncome]]&lt;3000,"Low Salary",IF(HR_Data[[#This Row],[MonthlyIncome]]&lt;=7000,"Medium Salary","High Salary"))</f>
        <v>High Salary</v>
      </c>
      <c r="AN225" s="1" t="str">
        <f>IF(HR_Data[[#This Row],[YearsAtCompany]]&lt;2,"0-1 Years",IF(HR_Data[[#This Row],[YearsAtCompany]]&lt;=5,"2-5 Years",IF(HR_Data[[#This Row],[YearsAtCompany]]&lt;=10,"6-10 Years","10+ Years")))</f>
        <v>10+ Years</v>
      </c>
      <c r="AO225" s="1" t="str">
        <f>IF(HR_Data[[#This Row],[JobSatisfaction]]=1,"Low",IF(HR_Data[[#This Row],[JobSatisfaction]]=2,"Medium",IF(HR_Data[[#This Row],[JobSatisfaction]]=3,"High","Very High")))</f>
        <v>High</v>
      </c>
      <c r="AP225" s="1" t="str">
        <f>IF(HR_Data[[#This Row],[WorkLifeBalance]]=1,"Bad",IF(HR_Data[[#This Row],[WorkLifeBalance]]=2,"Good",IF(HR_Data[[#This Row],[WorkLifeBalance]]=3,"Better","Best")))</f>
        <v>Good</v>
      </c>
    </row>
    <row r="226" spans="1:42" x14ac:dyDescent="0.3">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c r="AJ226">
        <f>IF(HR_Data[[#This Row],[Attrition]]="Yes",1,0)</f>
        <v>0</v>
      </c>
      <c r="AK226">
        <f>IF(HR_Data[[#This Row],[Attrition]]="No",1,0)</f>
        <v>1</v>
      </c>
      <c r="AL226" t="str">
        <f>IF(HR_Data[[#This Row],[Age]]&lt;25,"Under 25",IF(HR_Data[[#This Row],[Age]]&lt;=34,"25-34",IF(HR_Data[[#This Row],[Age]]&lt;=44,"35-44",IF(HR_Data[[#This Row],[Age]]&lt;=54,"45-54","55+"))))</f>
        <v>25-34</v>
      </c>
      <c r="AM226" s="1" t="str">
        <f>IF(HR_Data[[#This Row],[MonthlyIncome]]&lt;3000,"Low Salary",IF(HR_Data[[#This Row],[MonthlyIncome]]&lt;=7000,"Medium Salary","High Salary"))</f>
        <v>Medium Salary</v>
      </c>
      <c r="AN226" s="1" t="str">
        <f>IF(HR_Data[[#This Row],[YearsAtCompany]]&lt;2,"0-1 Years",IF(HR_Data[[#This Row],[YearsAtCompany]]&lt;=5,"2-5 Years",IF(HR_Data[[#This Row],[YearsAtCompany]]&lt;=10,"6-10 Years","10+ Years")))</f>
        <v>2-5 Years</v>
      </c>
      <c r="AO226" s="1" t="str">
        <f>IF(HR_Data[[#This Row],[JobSatisfaction]]=1,"Low",IF(HR_Data[[#This Row],[JobSatisfaction]]=2,"Medium",IF(HR_Data[[#This Row],[JobSatisfaction]]=3,"High","Very High")))</f>
        <v>High</v>
      </c>
      <c r="AP226" s="1" t="str">
        <f>IF(HR_Data[[#This Row],[WorkLifeBalance]]=1,"Bad",IF(HR_Data[[#This Row],[WorkLifeBalance]]=2,"Good",IF(HR_Data[[#This Row],[WorkLifeBalance]]=3,"Better","Best")))</f>
        <v>Better</v>
      </c>
    </row>
    <row r="227" spans="1:42" x14ac:dyDescent="0.3">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c r="AJ227">
        <f>IF(HR_Data[[#This Row],[Attrition]]="Yes",1,0)</f>
        <v>0</v>
      </c>
      <c r="AK227">
        <f>IF(HR_Data[[#This Row],[Attrition]]="No",1,0)</f>
        <v>1</v>
      </c>
      <c r="AL227" t="str">
        <f>IF(HR_Data[[#This Row],[Age]]&lt;25,"Under 25",IF(HR_Data[[#This Row],[Age]]&lt;=34,"25-34",IF(HR_Data[[#This Row],[Age]]&lt;=44,"35-44",IF(HR_Data[[#This Row],[Age]]&lt;=54,"45-54","55+"))))</f>
        <v>55+</v>
      </c>
      <c r="AM227" s="1" t="str">
        <f>IF(HR_Data[[#This Row],[MonthlyIncome]]&lt;3000,"Low Salary",IF(HR_Data[[#This Row],[MonthlyIncome]]&lt;=7000,"Medium Salary","High Salary"))</f>
        <v>Low Salary</v>
      </c>
      <c r="AN227" s="1" t="str">
        <f>IF(HR_Data[[#This Row],[YearsAtCompany]]&lt;2,"0-1 Years",IF(HR_Data[[#This Row],[YearsAtCompany]]&lt;=5,"2-5 Years",IF(HR_Data[[#This Row],[YearsAtCompany]]&lt;=10,"6-10 Years","10+ Years")))</f>
        <v>0-1 Years</v>
      </c>
      <c r="AO227" s="1" t="str">
        <f>IF(HR_Data[[#This Row],[JobSatisfaction]]=1,"Low",IF(HR_Data[[#This Row],[JobSatisfaction]]=2,"Medium",IF(HR_Data[[#This Row],[JobSatisfaction]]=3,"High","Very High")))</f>
        <v>Very High</v>
      </c>
      <c r="AP227" s="1" t="str">
        <f>IF(HR_Data[[#This Row],[WorkLifeBalance]]=1,"Bad",IF(HR_Data[[#This Row],[WorkLifeBalance]]=2,"Good",IF(HR_Data[[#This Row],[WorkLifeBalance]]=3,"Better","Best")))</f>
        <v>Better</v>
      </c>
    </row>
    <row r="228" spans="1:42" x14ac:dyDescent="0.3">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c r="AJ228">
        <f>IF(HR_Data[[#This Row],[Attrition]]="Yes",1,0)</f>
        <v>0</v>
      </c>
      <c r="AK228">
        <f>IF(HR_Data[[#This Row],[Attrition]]="No",1,0)</f>
        <v>1</v>
      </c>
      <c r="AL228" t="str">
        <f>IF(HR_Data[[#This Row],[Age]]&lt;25,"Under 25",IF(HR_Data[[#This Row],[Age]]&lt;=34,"25-34",IF(HR_Data[[#This Row],[Age]]&lt;=44,"35-44",IF(HR_Data[[#This Row],[Age]]&lt;=54,"45-54","55+"))))</f>
        <v>35-44</v>
      </c>
      <c r="AM228" s="1" t="str">
        <f>IF(HR_Data[[#This Row],[MonthlyIncome]]&lt;3000,"Low Salary",IF(HR_Data[[#This Row],[MonthlyIncome]]&lt;=7000,"Medium Salary","High Salary"))</f>
        <v>Low Salary</v>
      </c>
      <c r="AN228" s="1" t="str">
        <f>IF(HR_Data[[#This Row],[YearsAtCompany]]&lt;2,"0-1 Years",IF(HR_Data[[#This Row],[YearsAtCompany]]&lt;=5,"2-5 Years",IF(HR_Data[[#This Row],[YearsAtCompany]]&lt;=10,"6-10 Years","10+ Years")))</f>
        <v>6-10 Years</v>
      </c>
      <c r="AO228" s="1" t="str">
        <f>IF(HR_Data[[#This Row],[JobSatisfaction]]=1,"Low",IF(HR_Data[[#This Row],[JobSatisfaction]]=2,"Medium",IF(HR_Data[[#This Row],[JobSatisfaction]]=3,"High","Very High")))</f>
        <v>Very High</v>
      </c>
      <c r="AP228" s="1" t="str">
        <f>IF(HR_Data[[#This Row],[WorkLifeBalance]]=1,"Bad",IF(HR_Data[[#This Row],[WorkLifeBalance]]=2,"Good",IF(HR_Data[[#This Row],[WorkLifeBalance]]=3,"Better","Best")))</f>
        <v>Better</v>
      </c>
    </row>
    <row r="229" spans="1:42" x14ac:dyDescent="0.3">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c r="AJ229">
        <f>IF(HR_Data[[#This Row],[Attrition]]="Yes",1,0)</f>
        <v>0</v>
      </c>
      <c r="AK229">
        <f>IF(HR_Data[[#This Row],[Attrition]]="No",1,0)</f>
        <v>1</v>
      </c>
      <c r="AL229" t="str">
        <f>IF(HR_Data[[#This Row],[Age]]&lt;25,"Under 25",IF(HR_Data[[#This Row],[Age]]&lt;=34,"25-34",IF(HR_Data[[#This Row],[Age]]&lt;=44,"35-44",IF(HR_Data[[#This Row],[Age]]&lt;=54,"45-54","55+"))))</f>
        <v>25-34</v>
      </c>
      <c r="AM229" s="1" t="str">
        <f>IF(HR_Data[[#This Row],[MonthlyIncome]]&lt;3000,"Low Salary",IF(HR_Data[[#This Row],[MonthlyIncome]]&lt;=7000,"Medium Salary","High Salary"))</f>
        <v>High Salary</v>
      </c>
      <c r="AN229" s="1" t="str">
        <f>IF(HR_Data[[#This Row],[YearsAtCompany]]&lt;2,"0-1 Years",IF(HR_Data[[#This Row],[YearsAtCompany]]&lt;=5,"2-5 Years",IF(HR_Data[[#This Row],[YearsAtCompany]]&lt;=10,"6-10 Years","10+ Years")))</f>
        <v>10+ Years</v>
      </c>
      <c r="AO229" s="1" t="str">
        <f>IF(HR_Data[[#This Row],[JobSatisfaction]]=1,"Low",IF(HR_Data[[#This Row],[JobSatisfaction]]=2,"Medium",IF(HR_Data[[#This Row],[JobSatisfaction]]=3,"High","Very High")))</f>
        <v>Very High</v>
      </c>
      <c r="AP229" s="1" t="str">
        <f>IF(HR_Data[[#This Row],[WorkLifeBalance]]=1,"Bad",IF(HR_Data[[#This Row],[WorkLifeBalance]]=2,"Good",IF(HR_Data[[#This Row],[WorkLifeBalance]]=3,"Better","Best")))</f>
        <v>Better</v>
      </c>
    </row>
    <row r="230" spans="1:42" x14ac:dyDescent="0.3">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c r="AJ230">
        <f>IF(HR_Data[[#This Row],[Attrition]]="Yes",1,0)</f>
        <v>0</v>
      </c>
      <c r="AK230">
        <f>IF(HR_Data[[#This Row],[Attrition]]="No",1,0)</f>
        <v>1</v>
      </c>
      <c r="AL230" t="str">
        <f>IF(HR_Data[[#This Row],[Age]]&lt;25,"Under 25",IF(HR_Data[[#This Row],[Age]]&lt;=34,"25-34",IF(HR_Data[[#This Row],[Age]]&lt;=44,"35-44",IF(HR_Data[[#This Row],[Age]]&lt;=54,"45-54","55+"))))</f>
        <v>35-44</v>
      </c>
      <c r="AM230" s="1" t="str">
        <f>IF(HR_Data[[#This Row],[MonthlyIncome]]&lt;3000,"Low Salary",IF(HR_Data[[#This Row],[MonthlyIncome]]&lt;=7000,"Medium Salary","High Salary"))</f>
        <v>High Salary</v>
      </c>
      <c r="AN230" s="1" t="str">
        <f>IF(HR_Data[[#This Row],[YearsAtCompany]]&lt;2,"0-1 Years",IF(HR_Data[[#This Row],[YearsAtCompany]]&lt;=5,"2-5 Years",IF(HR_Data[[#This Row],[YearsAtCompany]]&lt;=10,"6-10 Years","10+ Years")))</f>
        <v>6-10 Years</v>
      </c>
      <c r="AO230" s="1" t="str">
        <f>IF(HR_Data[[#This Row],[JobSatisfaction]]=1,"Low",IF(HR_Data[[#This Row],[JobSatisfaction]]=2,"Medium",IF(HR_Data[[#This Row],[JobSatisfaction]]=3,"High","Very High")))</f>
        <v>High</v>
      </c>
      <c r="AP230" s="1" t="str">
        <f>IF(HR_Data[[#This Row],[WorkLifeBalance]]=1,"Bad",IF(HR_Data[[#This Row],[WorkLifeBalance]]=2,"Good",IF(HR_Data[[#This Row],[WorkLifeBalance]]=3,"Better","Best")))</f>
        <v>Best</v>
      </c>
    </row>
    <row r="231" spans="1:42" x14ac:dyDescent="0.3">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c r="AJ231">
        <f>IF(HR_Data[[#This Row],[Attrition]]="Yes",1,0)</f>
        <v>1</v>
      </c>
      <c r="AK231">
        <f>IF(HR_Data[[#This Row],[Attrition]]="No",1,0)</f>
        <v>0</v>
      </c>
      <c r="AL231" t="str">
        <f>IF(HR_Data[[#This Row],[Age]]&lt;25,"Under 25",IF(HR_Data[[#This Row],[Age]]&lt;=34,"25-34",IF(HR_Data[[#This Row],[Age]]&lt;=44,"35-44",IF(HR_Data[[#This Row],[Age]]&lt;=54,"45-54","55+"))))</f>
        <v>25-34</v>
      </c>
      <c r="AM231" s="1" t="str">
        <f>IF(HR_Data[[#This Row],[MonthlyIncome]]&lt;3000,"Low Salary",IF(HR_Data[[#This Row],[MonthlyIncome]]&lt;=7000,"Medium Salary","High Salary"))</f>
        <v>Low Salary</v>
      </c>
      <c r="AN231" s="1" t="str">
        <f>IF(HR_Data[[#This Row],[YearsAtCompany]]&lt;2,"0-1 Years",IF(HR_Data[[#This Row],[YearsAtCompany]]&lt;=5,"2-5 Years",IF(HR_Data[[#This Row],[YearsAtCompany]]&lt;=10,"6-10 Years","10+ Years")))</f>
        <v>2-5 Years</v>
      </c>
      <c r="AO231" s="1" t="str">
        <f>IF(HR_Data[[#This Row],[JobSatisfaction]]=1,"Low",IF(HR_Data[[#This Row],[JobSatisfaction]]=2,"Medium",IF(HR_Data[[#This Row],[JobSatisfaction]]=3,"High","Very High")))</f>
        <v>Very High</v>
      </c>
      <c r="AP231" s="1" t="str">
        <f>IF(HR_Data[[#This Row],[WorkLifeBalance]]=1,"Bad",IF(HR_Data[[#This Row],[WorkLifeBalance]]=2,"Good",IF(HR_Data[[#This Row],[WorkLifeBalance]]=3,"Better","Best")))</f>
        <v>Good</v>
      </c>
    </row>
    <row r="232" spans="1:42" x14ac:dyDescent="0.3">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c r="AJ232">
        <f>IF(HR_Data[[#This Row],[Attrition]]="Yes",1,0)</f>
        <v>0</v>
      </c>
      <c r="AK232">
        <f>IF(HR_Data[[#This Row],[Attrition]]="No",1,0)</f>
        <v>1</v>
      </c>
      <c r="AL232" t="str">
        <f>IF(HR_Data[[#This Row],[Age]]&lt;25,"Under 25",IF(HR_Data[[#This Row],[Age]]&lt;=34,"25-34",IF(HR_Data[[#This Row],[Age]]&lt;=44,"35-44",IF(HR_Data[[#This Row],[Age]]&lt;=54,"45-54","55+"))))</f>
        <v>45-54</v>
      </c>
      <c r="AM232" s="1" t="str">
        <f>IF(HR_Data[[#This Row],[MonthlyIncome]]&lt;3000,"Low Salary",IF(HR_Data[[#This Row],[MonthlyIncome]]&lt;=7000,"Medium Salary","High Salary"))</f>
        <v>Medium Salary</v>
      </c>
      <c r="AN232" s="1" t="str">
        <f>IF(HR_Data[[#This Row],[YearsAtCompany]]&lt;2,"0-1 Years",IF(HR_Data[[#This Row],[YearsAtCompany]]&lt;=5,"2-5 Years",IF(HR_Data[[#This Row],[YearsAtCompany]]&lt;=10,"6-10 Years","10+ Years")))</f>
        <v>2-5 Years</v>
      </c>
      <c r="AO232" s="1" t="str">
        <f>IF(HR_Data[[#This Row],[JobSatisfaction]]=1,"Low",IF(HR_Data[[#This Row],[JobSatisfaction]]=2,"Medium",IF(HR_Data[[#This Row],[JobSatisfaction]]=3,"High","Very High")))</f>
        <v>Very High</v>
      </c>
      <c r="AP232" s="1" t="str">
        <f>IF(HR_Data[[#This Row],[WorkLifeBalance]]=1,"Bad",IF(HR_Data[[#This Row],[WorkLifeBalance]]=2,"Good",IF(HR_Data[[#This Row],[WorkLifeBalance]]=3,"Better","Best")))</f>
        <v>Good</v>
      </c>
    </row>
    <row r="233" spans="1:42" x14ac:dyDescent="0.3">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c r="AJ233">
        <f>IF(HR_Data[[#This Row],[Attrition]]="Yes",1,0)</f>
        <v>0</v>
      </c>
      <c r="AK233">
        <f>IF(HR_Data[[#This Row],[Attrition]]="No",1,0)</f>
        <v>1</v>
      </c>
      <c r="AL233" t="str">
        <f>IF(HR_Data[[#This Row],[Age]]&lt;25,"Under 25",IF(HR_Data[[#This Row],[Age]]&lt;=34,"25-34",IF(HR_Data[[#This Row],[Age]]&lt;=44,"35-44",IF(HR_Data[[#This Row],[Age]]&lt;=54,"45-54","55+"))))</f>
        <v>35-44</v>
      </c>
      <c r="AM233" s="1" t="str">
        <f>IF(HR_Data[[#This Row],[MonthlyIncome]]&lt;3000,"Low Salary",IF(HR_Data[[#This Row],[MonthlyIncome]]&lt;=7000,"Medium Salary","High Salary"))</f>
        <v>High Salary</v>
      </c>
      <c r="AN233" s="1" t="str">
        <f>IF(HR_Data[[#This Row],[YearsAtCompany]]&lt;2,"0-1 Years",IF(HR_Data[[#This Row],[YearsAtCompany]]&lt;=5,"2-5 Years",IF(HR_Data[[#This Row],[YearsAtCompany]]&lt;=10,"6-10 Years","10+ Years")))</f>
        <v>10+ Years</v>
      </c>
      <c r="AO233" s="1" t="str">
        <f>IF(HR_Data[[#This Row],[JobSatisfaction]]=1,"Low",IF(HR_Data[[#This Row],[JobSatisfaction]]=2,"Medium",IF(HR_Data[[#This Row],[JobSatisfaction]]=3,"High","Very High")))</f>
        <v>Very High</v>
      </c>
      <c r="AP233" s="1" t="str">
        <f>IF(HR_Data[[#This Row],[WorkLifeBalance]]=1,"Bad",IF(HR_Data[[#This Row],[WorkLifeBalance]]=2,"Good",IF(HR_Data[[#This Row],[WorkLifeBalance]]=3,"Better","Best")))</f>
        <v>Better</v>
      </c>
    </row>
    <row r="234" spans="1:42" x14ac:dyDescent="0.3">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c r="AJ234">
        <f>IF(HR_Data[[#This Row],[Attrition]]="Yes",1,0)</f>
        <v>0</v>
      </c>
      <c r="AK234">
        <f>IF(HR_Data[[#This Row],[Attrition]]="No",1,0)</f>
        <v>1</v>
      </c>
      <c r="AL234" t="str">
        <f>IF(HR_Data[[#This Row],[Age]]&lt;25,"Under 25",IF(HR_Data[[#This Row],[Age]]&lt;=34,"25-34",IF(HR_Data[[#This Row],[Age]]&lt;=44,"35-44",IF(HR_Data[[#This Row],[Age]]&lt;=54,"45-54","55+"))))</f>
        <v>55+</v>
      </c>
      <c r="AM234" s="1" t="str">
        <f>IF(HR_Data[[#This Row],[MonthlyIncome]]&lt;3000,"Low Salary",IF(HR_Data[[#This Row],[MonthlyIncome]]&lt;=7000,"Medium Salary","High Salary"))</f>
        <v>Low Salary</v>
      </c>
      <c r="AN234" s="1" t="str">
        <f>IF(HR_Data[[#This Row],[YearsAtCompany]]&lt;2,"0-1 Years",IF(HR_Data[[#This Row],[YearsAtCompany]]&lt;=5,"2-5 Years",IF(HR_Data[[#This Row],[YearsAtCompany]]&lt;=10,"6-10 Years","10+ Years")))</f>
        <v>2-5 Years</v>
      </c>
      <c r="AO234" s="1" t="str">
        <f>IF(HR_Data[[#This Row],[JobSatisfaction]]=1,"Low",IF(HR_Data[[#This Row],[JobSatisfaction]]=2,"Medium",IF(HR_Data[[#This Row],[JobSatisfaction]]=3,"High","Very High")))</f>
        <v>High</v>
      </c>
      <c r="AP234" s="1" t="str">
        <f>IF(HR_Data[[#This Row],[WorkLifeBalance]]=1,"Bad",IF(HR_Data[[#This Row],[WorkLifeBalance]]=2,"Good",IF(HR_Data[[#This Row],[WorkLifeBalance]]=3,"Better","Best")))</f>
        <v>Good</v>
      </c>
    </row>
    <row r="235" spans="1:42" x14ac:dyDescent="0.3">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c r="AJ235">
        <f>IF(HR_Data[[#This Row],[Attrition]]="Yes",1,0)</f>
        <v>0</v>
      </c>
      <c r="AK235">
        <f>IF(HR_Data[[#This Row],[Attrition]]="No",1,0)</f>
        <v>1</v>
      </c>
      <c r="AL235" t="str">
        <f>IF(HR_Data[[#This Row],[Age]]&lt;25,"Under 25",IF(HR_Data[[#This Row],[Age]]&lt;=34,"25-34",IF(HR_Data[[#This Row],[Age]]&lt;=44,"35-44",IF(HR_Data[[#This Row],[Age]]&lt;=54,"45-54","55+"))))</f>
        <v>45-54</v>
      </c>
      <c r="AM235" s="1" t="str">
        <f>IF(HR_Data[[#This Row],[MonthlyIncome]]&lt;3000,"Low Salary",IF(HR_Data[[#This Row],[MonthlyIncome]]&lt;=7000,"Medium Salary","High Salary"))</f>
        <v>High Salary</v>
      </c>
      <c r="AN235" s="1" t="str">
        <f>IF(HR_Data[[#This Row],[YearsAtCompany]]&lt;2,"0-1 Years",IF(HR_Data[[#This Row],[YearsAtCompany]]&lt;=5,"2-5 Years",IF(HR_Data[[#This Row],[YearsAtCompany]]&lt;=10,"6-10 Years","10+ Years")))</f>
        <v>6-10 Years</v>
      </c>
      <c r="AO235" s="1" t="str">
        <f>IF(HR_Data[[#This Row],[JobSatisfaction]]=1,"Low",IF(HR_Data[[#This Row],[JobSatisfaction]]=2,"Medium",IF(HR_Data[[#This Row],[JobSatisfaction]]=3,"High","Very High")))</f>
        <v>Very High</v>
      </c>
      <c r="AP235" s="1" t="str">
        <f>IF(HR_Data[[#This Row],[WorkLifeBalance]]=1,"Bad",IF(HR_Data[[#This Row],[WorkLifeBalance]]=2,"Good",IF(HR_Data[[#This Row],[WorkLifeBalance]]=3,"Better","Best")))</f>
        <v>Good</v>
      </c>
    </row>
    <row r="236" spans="1:42" x14ac:dyDescent="0.3">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c r="AJ236">
        <f>IF(HR_Data[[#This Row],[Attrition]]="Yes",1,0)</f>
        <v>1</v>
      </c>
      <c r="AK236">
        <f>IF(HR_Data[[#This Row],[Attrition]]="No",1,0)</f>
        <v>0</v>
      </c>
      <c r="AL236" t="str">
        <f>IF(HR_Data[[#This Row],[Age]]&lt;25,"Under 25",IF(HR_Data[[#This Row],[Age]]&lt;=34,"25-34",IF(HR_Data[[#This Row],[Age]]&lt;=44,"35-44",IF(HR_Data[[#This Row],[Age]]&lt;=54,"45-54","55+"))))</f>
        <v>25-34</v>
      </c>
      <c r="AM236" s="1" t="str">
        <f>IF(HR_Data[[#This Row],[MonthlyIncome]]&lt;3000,"Low Salary",IF(HR_Data[[#This Row],[MonthlyIncome]]&lt;=7000,"Medium Salary","High Salary"))</f>
        <v>Low Salary</v>
      </c>
      <c r="AN236" s="1" t="str">
        <f>IF(HR_Data[[#This Row],[YearsAtCompany]]&lt;2,"0-1 Years",IF(HR_Data[[#This Row],[YearsAtCompany]]&lt;=5,"2-5 Years",IF(HR_Data[[#This Row],[YearsAtCompany]]&lt;=10,"6-10 Years","10+ Years")))</f>
        <v>2-5 Years</v>
      </c>
      <c r="AO236" s="1" t="str">
        <f>IF(HR_Data[[#This Row],[JobSatisfaction]]=1,"Low",IF(HR_Data[[#This Row],[JobSatisfaction]]=2,"Medium",IF(HR_Data[[#This Row],[JobSatisfaction]]=3,"High","Very High")))</f>
        <v>Very High</v>
      </c>
      <c r="AP236" s="1" t="str">
        <f>IF(HR_Data[[#This Row],[WorkLifeBalance]]=1,"Bad",IF(HR_Data[[#This Row],[WorkLifeBalance]]=2,"Good",IF(HR_Data[[#This Row],[WorkLifeBalance]]=3,"Better","Best")))</f>
        <v>Bad</v>
      </c>
    </row>
    <row r="237" spans="1:42" x14ac:dyDescent="0.3">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c r="AJ237">
        <f>IF(HR_Data[[#This Row],[Attrition]]="Yes",1,0)</f>
        <v>0</v>
      </c>
      <c r="AK237">
        <f>IF(HR_Data[[#This Row],[Attrition]]="No",1,0)</f>
        <v>1</v>
      </c>
      <c r="AL237" t="str">
        <f>IF(HR_Data[[#This Row],[Age]]&lt;25,"Under 25",IF(HR_Data[[#This Row],[Age]]&lt;=34,"25-34",IF(HR_Data[[#This Row],[Age]]&lt;=44,"35-44",IF(HR_Data[[#This Row],[Age]]&lt;=54,"45-54","55+"))))</f>
        <v>35-44</v>
      </c>
      <c r="AM237" s="1" t="str">
        <f>IF(HR_Data[[#This Row],[MonthlyIncome]]&lt;3000,"Low Salary",IF(HR_Data[[#This Row],[MonthlyIncome]]&lt;=7000,"Medium Salary","High Salary"))</f>
        <v>High Salary</v>
      </c>
      <c r="AN237" s="1" t="str">
        <f>IF(HR_Data[[#This Row],[YearsAtCompany]]&lt;2,"0-1 Years",IF(HR_Data[[#This Row],[YearsAtCompany]]&lt;=5,"2-5 Years",IF(HR_Data[[#This Row],[YearsAtCompany]]&lt;=10,"6-10 Years","10+ Years")))</f>
        <v>10+ Years</v>
      </c>
      <c r="AO237" s="1" t="str">
        <f>IF(HR_Data[[#This Row],[JobSatisfaction]]=1,"Low",IF(HR_Data[[#This Row],[JobSatisfaction]]=2,"Medium",IF(HR_Data[[#This Row],[JobSatisfaction]]=3,"High","Very High")))</f>
        <v>Very High</v>
      </c>
      <c r="AP237" s="1" t="str">
        <f>IF(HR_Data[[#This Row],[WorkLifeBalance]]=1,"Bad",IF(HR_Data[[#This Row],[WorkLifeBalance]]=2,"Good",IF(HR_Data[[#This Row],[WorkLifeBalance]]=3,"Better","Best")))</f>
        <v>Better</v>
      </c>
    </row>
    <row r="238" spans="1:42" x14ac:dyDescent="0.3">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c r="AJ238">
        <f>IF(HR_Data[[#This Row],[Attrition]]="Yes",1,0)</f>
        <v>1</v>
      </c>
      <c r="AK238">
        <f>IF(HR_Data[[#This Row],[Attrition]]="No",1,0)</f>
        <v>0</v>
      </c>
      <c r="AL238" t="str">
        <f>IF(HR_Data[[#This Row],[Age]]&lt;25,"Under 25",IF(HR_Data[[#This Row],[Age]]&lt;=34,"25-34",IF(HR_Data[[#This Row],[Age]]&lt;=44,"35-44",IF(HR_Data[[#This Row],[Age]]&lt;=54,"45-54","55+"))))</f>
        <v>25-34</v>
      </c>
      <c r="AM238" s="1" t="str">
        <f>IF(HR_Data[[#This Row],[MonthlyIncome]]&lt;3000,"Low Salary",IF(HR_Data[[#This Row],[MonthlyIncome]]&lt;=7000,"Medium Salary","High Salary"))</f>
        <v>Low Salary</v>
      </c>
      <c r="AN238" s="1" t="str">
        <f>IF(HR_Data[[#This Row],[YearsAtCompany]]&lt;2,"0-1 Years",IF(HR_Data[[#This Row],[YearsAtCompany]]&lt;=5,"2-5 Years",IF(HR_Data[[#This Row],[YearsAtCompany]]&lt;=10,"6-10 Years","10+ Years")))</f>
        <v>6-10 Years</v>
      </c>
      <c r="AO238" s="1" t="str">
        <f>IF(HR_Data[[#This Row],[JobSatisfaction]]=1,"Low",IF(HR_Data[[#This Row],[JobSatisfaction]]=2,"Medium",IF(HR_Data[[#This Row],[JobSatisfaction]]=3,"High","Very High")))</f>
        <v>Low</v>
      </c>
      <c r="AP238" s="1" t="str">
        <f>IF(HR_Data[[#This Row],[WorkLifeBalance]]=1,"Bad",IF(HR_Data[[#This Row],[WorkLifeBalance]]=2,"Good",IF(HR_Data[[#This Row],[WorkLifeBalance]]=3,"Better","Best")))</f>
        <v>Best</v>
      </c>
    </row>
    <row r="239" spans="1:42" x14ac:dyDescent="0.3">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c r="AJ239">
        <f>IF(HR_Data[[#This Row],[Attrition]]="Yes",1,0)</f>
        <v>0</v>
      </c>
      <c r="AK239">
        <f>IF(HR_Data[[#This Row],[Attrition]]="No",1,0)</f>
        <v>1</v>
      </c>
      <c r="AL239" t="str">
        <f>IF(HR_Data[[#This Row],[Age]]&lt;25,"Under 25",IF(HR_Data[[#This Row],[Age]]&lt;=34,"25-34",IF(HR_Data[[#This Row],[Age]]&lt;=44,"35-44",IF(HR_Data[[#This Row],[Age]]&lt;=54,"45-54","55+"))))</f>
        <v>45-54</v>
      </c>
      <c r="AM239" s="1" t="str">
        <f>IF(HR_Data[[#This Row],[MonthlyIncome]]&lt;3000,"Low Salary",IF(HR_Data[[#This Row],[MonthlyIncome]]&lt;=7000,"Medium Salary","High Salary"))</f>
        <v>High Salary</v>
      </c>
      <c r="AN239" s="1" t="str">
        <f>IF(HR_Data[[#This Row],[YearsAtCompany]]&lt;2,"0-1 Years",IF(HR_Data[[#This Row],[YearsAtCompany]]&lt;=5,"2-5 Years",IF(HR_Data[[#This Row],[YearsAtCompany]]&lt;=10,"6-10 Years","10+ Years")))</f>
        <v>10+ Years</v>
      </c>
      <c r="AO239" s="1" t="str">
        <f>IF(HR_Data[[#This Row],[JobSatisfaction]]=1,"Low",IF(HR_Data[[#This Row],[JobSatisfaction]]=2,"Medium",IF(HR_Data[[#This Row],[JobSatisfaction]]=3,"High","Very High")))</f>
        <v>High</v>
      </c>
      <c r="AP239" s="1" t="str">
        <f>IF(HR_Data[[#This Row],[WorkLifeBalance]]=1,"Bad",IF(HR_Data[[#This Row],[WorkLifeBalance]]=2,"Good",IF(HR_Data[[#This Row],[WorkLifeBalance]]=3,"Better","Best")))</f>
        <v>Best</v>
      </c>
    </row>
    <row r="240" spans="1:42" x14ac:dyDescent="0.3">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c r="AJ240">
        <f>IF(HR_Data[[#This Row],[Attrition]]="Yes",1,0)</f>
        <v>0</v>
      </c>
      <c r="AK240">
        <f>IF(HR_Data[[#This Row],[Attrition]]="No",1,0)</f>
        <v>1</v>
      </c>
      <c r="AL240" t="str">
        <f>IF(HR_Data[[#This Row],[Age]]&lt;25,"Under 25",IF(HR_Data[[#This Row],[Age]]&lt;=34,"25-34",IF(HR_Data[[#This Row],[Age]]&lt;=44,"35-44",IF(HR_Data[[#This Row],[Age]]&lt;=54,"45-54","55+"))))</f>
        <v>25-34</v>
      </c>
      <c r="AM240" s="1" t="str">
        <f>IF(HR_Data[[#This Row],[MonthlyIncome]]&lt;3000,"Low Salary",IF(HR_Data[[#This Row],[MonthlyIncome]]&lt;=7000,"Medium Salary","High Salary"))</f>
        <v>Medium Salary</v>
      </c>
      <c r="AN240" s="1" t="str">
        <f>IF(HR_Data[[#This Row],[YearsAtCompany]]&lt;2,"0-1 Years",IF(HR_Data[[#This Row],[YearsAtCompany]]&lt;=5,"2-5 Years",IF(HR_Data[[#This Row],[YearsAtCompany]]&lt;=10,"6-10 Years","10+ Years")))</f>
        <v>2-5 Years</v>
      </c>
      <c r="AO240" s="1" t="str">
        <f>IF(HR_Data[[#This Row],[JobSatisfaction]]=1,"Low",IF(HR_Data[[#This Row],[JobSatisfaction]]=2,"Medium",IF(HR_Data[[#This Row],[JobSatisfaction]]=3,"High","Very High")))</f>
        <v>Medium</v>
      </c>
      <c r="AP240" s="1" t="str">
        <f>IF(HR_Data[[#This Row],[WorkLifeBalance]]=1,"Bad",IF(HR_Data[[#This Row],[WorkLifeBalance]]=2,"Good",IF(HR_Data[[#This Row],[WorkLifeBalance]]=3,"Better","Best")))</f>
        <v>Better</v>
      </c>
    </row>
    <row r="241" spans="1:42" x14ac:dyDescent="0.3">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c r="AJ241">
        <f>IF(HR_Data[[#This Row],[Attrition]]="Yes",1,0)</f>
        <v>1</v>
      </c>
      <c r="AK241">
        <f>IF(HR_Data[[#This Row],[Attrition]]="No",1,0)</f>
        <v>0</v>
      </c>
      <c r="AL241" t="str">
        <f>IF(HR_Data[[#This Row],[Age]]&lt;25,"Under 25",IF(HR_Data[[#This Row],[Age]]&lt;=34,"25-34",IF(HR_Data[[#This Row],[Age]]&lt;=44,"35-44",IF(HR_Data[[#This Row],[Age]]&lt;=54,"45-54","55+"))))</f>
        <v>25-34</v>
      </c>
      <c r="AM241" s="1" t="str">
        <f>IF(HR_Data[[#This Row],[MonthlyIncome]]&lt;3000,"Low Salary",IF(HR_Data[[#This Row],[MonthlyIncome]]&lt;=7000,"Medium Salary","High Salary"))</f>
        <v>Medium Salary</v>
      </c>
      <c r="AN241" s="1" t="str">
        <f>IF(HR_Data[[#This Row],[YearsAtCompany]]&lt;2,"0-1 Years",IF(HR_Data[[#This Row],[YearsAtCompany]]&lt;=5,"2-5 Years",IF(HR_Data[[#This Row],[YearsAtCompany]]&lt;=10,"6-10 Years","10+ Years")))</f>
        <v>2-5 Years</v>
      </c>
      <c r="AO241" s="1" t="str">
        <f>IF(HR_Data[[#This Row],[JobSatisfaction]]=1,"Low",IF(HR_Data[[#This Row],[JobSatisfaction]]=2,"Medium",IF(HR_Data[[#This Row],[JobSatisfaction]]=3,"High","Very High")))</f>
        <v>High</v>
      </c>
      <c r="AP241" s="1" t="str">
        <f>IF(HR_Data[[#This Row],[WorkLifeBalance]]=1,"Bad",IF(HR_Data[[#This Row],[WorkLifeBalance]]=2,"Good",IF(HR_Data[[#This Row],[WorkLifeBalance]]=3,"Better","Best")))</f>
        <v>Bad</v>
      </c>
    </row>
    <row r="242" spans="1:42" x14ac:dyDescent="0.3">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c r="AJ242">
        <f>IF(HR_Data[[#This Row],[Attrition]]="Yes",1,0)</f>
        <v>0</v>
      </c>
      <c r="AK242">
        <f>IF(HR_Data[[#This Row],[Attrition]]="No",1,0)</f>
        <v>1</v>
      </c>
      <c r="AL242" t="str">
        <f>IF(HR_Data[[#This Row],[Age]]&lt;25,"Under 25",IF(HR_Data[[#This Row],[Age]]&lt;=34,"25-34",IF(HR_Data[[#This Row],[Age]]&lt;=44,"35-44",IF(HR_Data[[#This Row],[Age]]&lt;=54,"45-54","55+"))))</f>
        <v>35-44</v>
      </c>
      <c r="AM242" s="1" t="str">
        <f>IF(HR_Data[[#This Row],[MonthlyIncome]]&lt;3000,"Low Salary",IF(HR_Data[[#This Row],[MonthlyIncome]]&lt;=7000,"Medium Salary","High Salary"))</f>
        <v>Low Salary</v>
      </c>
      <c r="AN242" s="1" t="str">
        <f>IF(HR_Data[[#This Row],[YearsAtCompany]]&lt;2,"0-1 Years",IF(HR_Data[[#This Row],[YearsAtCompany]]&lt;=5,"2-5 Years",IF(HR_Data[[#This Row],[YearsAtCompany]]&lt;=10,"6-10 Years","10+ Years")))</f>
        <v>2-5 Years</v>
      </c>
      <c r="AO242" s="1" t="str">
        <f>IF(HR_Data[[#This Row],[JobSatisfaction]]=1,"Low",IF(HR_Data[[#This Row],[JobSatisfaction]]=2,"Medium",IF(HR_Data[[#This Row],[JobSatisfaction]]=3,"High","Very High")))</f>
        <v>High</v>
      </c>
      <c r="AP242" s="1" t="str">
        <f>IF(HR_Data[[#This Row],[WorkLifeBalance]]=1,"Bad",IF(HR_Data[[#This Row],[WorkLifeBalance]]=2,"Good",IF(HR_Data[[#This Row],[WorkLifeBalance]]=3,"Better","Best")))</f>
        <v>Better</v>
      </c>
    </row>
    <row r="243" spans="1:42" x14ac:dyDescent="0.3">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c r="AJ243">
        <f>IF(HR_Data[[#This Row],[Attrition]]="Yes",1,0)</f>
        <v>0</v>
      </c>
      <c r="AK243">
        <f>IF(HR_Data[[#This Row],[Attrition]]="No",1,0)</f>
        <v>1</v>
      </c>
      <c r="AL243" t="str">
        <f>IF(HR_Data[[#This Row],[Age]]&lt;25,"Under 25",IF(HR_Data[[#This Row],[Age]]&lt;=34,"25-34",IF(HR_Data[[#This Row],[Age]]&lt;=44,"35-44",IF(HR_Data[[#This Row],[Age]]&lt;=54,"45-54","55+"))))</f>
        <v>25-34</v>
      </c>
      <c r="AM243" s="1" t="str">
        <f>IF(HR_Data[[#This Row],[MonthlyIncome]]&lt;3000,"Low Salary",IF(HR_Data[[#This Row],[MonthlyIncome]]&lt;=7000,"Medium Salary","High Salary"))</f>
        <v>Medium Salary</v>
      </c>
      <c r="AN243" s="1" t="str">
        <f>IF(HR_Data[[#This Row],[YearsAtCompany]]&lt;2,"0-1 Years",IF(HR_Data[[#This Row],[YearsAtCompany]]&lt;=5,"2-5 Years",IF(HR_Data[[#This Row],[YearsAtCompany]]&lt;=10,"6-10 Years","10+ Years")))</f>
        <v>2-5 Years</v>
      </c>
      <c r="AO243" s="1" t="str">
        <f>IF(HR_Data[[#This Row],[JobSatisfaction]]=1,"Low",IF(HR_Data[[#This Row],[JobSatisfaction]]=2,"Medium",IF(HR_Data[[#This Row],[JobSatisfaction]]=3,"High","Very High")))</f>
        <v>Very High</v>
      </c>
      <c r="AP243" s="1" t="str">
        <f>IF(HR_Data[[#This Row],[WorkLifeBalance]]=1,"Bad",IF(HR_Data[[#This Row],[WorkLifeBalance]]=2,"Good",IF(HR_Data[[#This Row],[WorkLifeBalance]]=3,"Better","Best")))</f>
        <v>Better</v>
      </c>
    </row>
    <row r="244" spans="1:42" x14ac:dyDescent="0.3">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c r="AJ244">
        <f>IF(HR_Data[[#This Row],[Attrition]]="Yes",1,0)</f>
        <v>0</v>
      </c>
      <c r="AK244">
        <f>IF(HR_Data[[#This Row],[Attrition]]="No",1,0)</f>
        <v>1</v>
      </c>
      <c r="AL244" t="str">
        <f>IF(HR_Data[[#This Row],[Age]]&lt;25,"Under 25",IF(HR_Data[[#This Row],[Age]]&lt;=34,"25-34",IF(HR_Data[[#This Row],[Age]]&lt;=44,"35-44",IF(HR_Data[[#This Row],[Age]]&lt;=54,"45-54","55+"))))</f>
        <v>35-44</v>
      </c>
      <c r="AM244" s="1" t="str">
        <f>IF(HR_Data[[#This Row],[MonthlyIncome]]&lt;3000,"Low Salary",IF(HR_Data[[#This Row],[MonthlyIncome]]&lt;=7000,"Medium Salary","High Salary"))</f>
        <v>Medium Salary</v>
      </c>
      <c r="AN244" s="1" t="str">
        <f>IF(HR_Data[[#This Row],[YearsAtCompany]]&lt;2,"0-1 Years",IF(HR_Data[[#This Row],[YearsAtCompany]]&lt;=5,"2-5 Years",IF(HR_Data[[#This Row],[YearsAtCompany]]&lt;=10,"6-10 Years","10+ Years")))</f>
        <v>0-1 Years</v>
      </c>
      <c r="AO244" s="1" t="str">
        <f>IF(HR_Data[[#This Row],[JobSatisfaction]]=1,"Low",IF(HR_Data[[#This Row],[JobSatisfaction]]=2,"Medium",IF(HR_Data[[#This Row],[JobSatisfaction]]=3,"High","Very High")))</f>
        <v>Low</v>
      </c>
      <c r="AP244" s="1" t="str">
        <f>IF(HR_Data[[#This Row],[WorkLifeBalance]]=1,"Bad",IF(HR_Data[[#This Row],[WorkLifeBalance]]=2,"Good",IF(HR_Data[[#This Row],[WorkLifeBalance]]=3,"Better","Best")))</f>
        <v>Good</v>
      </c>
    </row>
    <row r="245" spans="1:42" x14ac:dyDescent="0.3">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c r="AJ245">
        <f>IF(HR_Data[[#This Row],[Attrition]]="Yes",1,0)</f>
        <v>0</v>
      </c>
      <c r="AK245">
        <f>IF(HR_Data[[#This Row],[Attrition]]="No",1,0)</f>
        <v>1</v>
      </c>
      <c r="AL245" t="str">
        <f>IF(HR_Data[[#This Row],[Age]]&lt;25,"Under 25",IF(HR_Data[[#This Row],[Age]]&lt;=34,"25-34",IF(HR_Data[[#This Row],[Age]]&lt;=44,"35-44",IF(HR_Data[[#This Row],[Age]]&lt;=54,"45-54","55+"))))</f>
        <v>35-44</v>
      </c>
      <c r="AM245" s="1" t="str">
        <f>IF(HR_Data[[#This Row],[MonthlyIncome]]&lt;3000,"Low Salary",IF(HR_Data[[#This Row],[MonthlyIncome]]&lt;=7000,"Medium Salary","High Salary"))</f>
        <v>Medium Salary</v>
      </c>
      <c r="AN245" s="1" t="str">
        <f>IF(HR_Data[[#This Row],[YearsAtCompany]]&lt;2,"0-1 Years",IF(HR_Data[[#This Row],[YearsAtCompany]]&lt;=5,"2-5 Years",IF(HR_Data[[#This Row],[YearsAtCompany]]&lt;=10,"6-10 Years","10+ Years")))</f>
        <v>6-10 Years</v>
      </c>
      <c r="AO245" s="1" t="str">
        <f>IF(HR_Data[[#This Row],[JobSatisfaction]]=1,"Low",IF(HR_Data[[#This Row],[JobSatisfaction]]=2,"Medium",IF(HR_Data[[#This Row],[JobSatisfaction]]=3,"High","Very High")))</f>
        <v>Very High</v>
      </c>
      <c r="AP245" s="1" t="str">
        <f>IF(HR_Data[[#This Row],[WorkLifeBalance]]=1,"Bad",IF(HR_Data[[#This Row],[WorkLifeBalance]]=2,"Good",IF(HR_Data[[#This Row],[WorkLifeBalance]]=3,"Better","Best")))</f>
        <v>Better</v>
      </c>
    </row>
    <row r="246" spans="1:42" x14ac:dyDescent="0.3">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c r="AJ246">
        <f>IF(HR_Data[[#This Row],[Attrition]]="Yes",1,0)</f>
        <v>0</v>
      </c>
      <c r="AK246">
        <f>IF(HR_Data[[#This Row],[Attrition]]="No",1,0)</f>
        <v>1</v>
      </c>
      <c r="AL246" t="str">
        <f>IF(HR_Data[[#This Row],[Age]]&lt;25,"Under 25",IF(HR_Data[[#This Row],[Age]]&lt;=34,"25-34",IF(HR_Data[[#This Row],[Age]]&lt;=44,"35-44",IF(HR_Data[[#This Row],[Age]]&lt;=54,"45-54","55+"))))</f>
        <v>45-54</v>
      </c>
      <c r="AM246" s="1" t="str">
        <f>IF(HR_Data[[#This Row],[MonthlyIncome]]&lt;3000,"Low Salary",IF(HR_Data[[#This Row],[MonthlyIncome]]&lt;=7000,"Medium Salary","High Salary"))</f>
        <v>High Salary</v>
      </c>
      <c r="AN246" s="1" t="str">
        <f>IF(HR_Data[[#This Row],[YearsAtCompany]]&lt;2,"0-1 Years",IF(HR_Data[[#This Row],[YearsAtCompany]]&lt;=5,"2-5 Years",IF(HR_Data[[#This Row],[YearsAtCompany]]&lt;=10,"6-10 Years","10+ Years")))</f>
        <v>10+ Years</v>
      </c>
      <c r="AO246" s="1" t="str">
        <f>IF(HR_Data[[#This Row],[JobSatisfaction]]=1,"Low",IF(HR_Data[[#This Row],[JobSatisfaction]]=2,"Medium",IF(HR_Data[[#This Row],[JobSatisfaction]]=3,"High","Very High")))</f>
        <v>Very High</v>
      </c>
      <c r="AP246" s="1" t="str">
        <f>IF(HR_Data[[#This Row],[WorkLifeBalance]]=1,"Bad",IF(HR_Data[[#This Row],[WorkLifeBalance]]=2,"Good",IF(HR_Data[[#This Row],[WorkLifeBalance]]=3,"Better","Best")))</f>
        <v>Better</v>
      </c>
    </row>
    <row r="247" spans="1:42" x14ac:dyDescent="0.3">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c r="AJ247">
        <f>IF(HR_Data[[#This Row],[Attrition]]="Yes",1,0)</f>
        <v>0</v>
      </c>
      <c r="AK247">
        <f>IF(HR_Data[[#This Row],[Attrition]]="No",1,0)</f>
        <v>1</v>
      </c>
      <c r="AL247" t="str">
        <f>IF(HR_Data[[#This Row],[Age]]&lt;25,"Under 25",IF(HR_Data[[#This Row],[Age]]&lt;=34,"25-34",IF(HR_Data[[#This Row],[Age]]&lt;=44,"35-44",IF(HR_Data[[#This Row],[Age]]&lt;=54,"45-54","55+"))))</f>
        <v>25-34</v>
      </c>
      <c r="AM247" s="1" t="str">
        <f>IF(HR_Data[[#This Row],[MonthlyIncome]]&lt;3000,"Low Salary",IF(HR_Data[[#This Row],[MonthlyIncome]]&lt;=7000,"Medium Salary","High Salary"))</f>
        <v>High Salary</v>
      </c>
      <c r="AN247" s="1" t="str">
        <f>IF(HR_Data[[#This Row],[YearsAtCompany]]&lt;2,"0-1 Years",IF(HR_Data[[#This Row],[YearsAtCompany]]&lt;=5,"2-5 Years",IF(HR_Data[[#This Row],[YearsAtCompany]]&lt;=10,"6-10 Years","10+ Years")))</f>
        <v>2-5 Years</v>
      </c>
      <c r="AO247" s="1" t="str">
        <f>IF(HR_Data[[#This Row],[JobSatisfaction]]=1,"Low",IF(HR_Data[[#This Row],[JobSatisfaction]]=2,"Medium",IF(HR_Data[[#This Row],[JobSatisfaction]]=3,"High","Very High")))</f>
        <v>High</v>
      </c>
      <c r="AP247" s="1" t="str">
        <f>IF(HR_Data[[#This Row],[WorkLifeBalance]]=1,"Bad",IF(HR_Data[[#This Row],[WorkLifeBalance]]=2,"Good",IF(HR_Data[[#This Row],[WorkLifeBalance]]=3,"Better","Best")))</f>
        <v>Better</v>
      </c>
    </row>
    <row r="248" spans="1:42" x14ac:dyDescent="0.3">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c r="AJ248">
        <f>IF(HR_Data[[#This Row],[Attrition]]="Yes",1,0)</f>
        <v>0</v>
      </c>
      <c r="AK248">
        <f>IF(HR_Data[[#This Row],[Attrition]]="No",1,0)</f>
        <v>1</v>
      </c>
      <c r="AL248" t="str">
        <f>IF(HR_Data[[#This Row],[Age]]&lt;25,"Under 25",IF(HR_Data[[#This Row],[Age]]&lt;=34,"25-34",IF(HR_Data[[#This Row],[Age]]&lt;=44,"35-44",IF(HR_Data[[#This Row],[Age]]&lt;=54,"45-54","55+"))))</f>
        <v>25-34</v>
      </c>
      <c r="AM248" s="1" t="str">
        <f>IF(HR_Data[[#This Row],[MonthlyIncome]]&lt;3000,"Low Salary",IF(HR_Data[[#This Row],[MonthlyIncome]]&lt;=7000,"Medium Salary","High Salary"))</f>
        <v>Low Salary</v>
      </c>
      <c r="AN248" s="1" t="str">
        <f>IF(HR_Data[[#This Row],[YearsAtCompany]]&lt;2,"0-1 Years",IF(HR_Data[[#This Row],[YearsAtCompany]]&lt;=5,"2-5 Years",IF(HR_Data[[#This Row],[YearsAtCompany]]&lt;=10,"6-10 Years","10+ Years")))</f>
        <v>2-5 Years</v>
      </c>
      <c r="AO248" s="1" t="str">
        <f>IF(HR_Data[[#This Row],[JobSatisfaction]]=1,"Low",IF(HR_Data[[#This Row],[JobSatisfaction]]=2,"Medium",IF(HR_Data[[#This Row],[JobSatisfaction]]=3,"High","Very High")))</f>
        <v>Very High</v>
      </c>
      <c r="AP248" s="1" t="str">
        <f>IF(HR_Data[[#This Row],[WorkLifeBalance]]=1,"Bad",IF(HR_Data[[#This Row],[WorkLifeBalance]]=2,"Good",IF(HR_Data[[#This Row],[WorkLifeBalance]]=3,"Better","Best")))</f>
        <v>Good</v>
      </c>
    </row>
    <row r="249" spans="1:42" x14ac:dyDescent="0.3">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c r="AJ249">
        <f>IF(HR_Data[[#This Row],[Attrition]]="Yes",1,0)</f>
        <v>0</v>
      </c>
      <c r="AK249">
        <f>IF(HR_Data[[#This Row],[Attrition]]="No",1,0)</f>
        <v>1</v>
      </c>
      <c r="AL249" t="str">
        <f>IF(HR_Data[[#This Row],[Age]]&lt;25,"Under 25",IF(HR_Data[[#This Row],[Age]]&lt;=34,"25-34",IF(HR_Data[[#This Row],[Age]]&lt;=44,"35-44",IF(HR_Data[[#This Row],[Age]]&lt;=54,"45-54","55+"))))</f>
        <v>25-34</v>
      </c>
      <c r="AM249" s="1" t="str">
        <f>IF(HR_Data[[#This Row],[MonthlyIncome]]&lt;3000,"Low Salary",IF(HR_Data[[#This Row],[MonthlyIncome]]&lt;=7000,"Medium Salary","High Salary"))</f>
        <v>Medium Salary</v>
      </c>
      <c r="AN249" s="1" t="str">
        <f>IF(HR_Data[[#This Row],[YearsAtCompany]]&lt;2,"0-1 Years",IF(HR_Data[[#This Row],[YearsAtCompany]]&lt;=5,"2-5 Years",IF(HR_Data[[#This Row],[YearsAtCompany]]&lt;=10,"6-10 Years","10+ Years")))</f>
        <v>10+ Years</v>
      </c>
      <c r="AO249" s="1" t="str">
        <f>IF(HR_Data[[#This Row],[JobSatisfaction]]=1,"Low",IF(HR_Data[[#This Row],[JobSatisfaction]]=2,"Medium",IF(HR_Data[[#This Row],[JobSatisfaction]]=3,"High","Very High")))</f>
        <v>Low</v>
      </c>
      <c r="AP249" s="1" t="str">
        <f>IF(HR_Data[[#This Row],[WorkLifeBalance]]=1,"Bad",IF(HR_Data[[#This Row],[WorkLifeBalance]]=2,"Good",IF(HR_Data[[#This Row],[WorkLifeBalance]]=3,"Better","Best")))</f>
        <v>Better</v>
      </c>
    </row>
    <row r="250" spans="1:42" x14ac:dyDescent="0.3">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c r="AJ250">
        <f>IF(HR_Data[[#This Row],[Attrition]]="Yes",1,0)</f>
        <v>0</v>
      </c>
      <c r="AK250">
        <f>IF(HR_Data[[#This Row],[Attrition]]="No",1,0)</f>
        <v>1</v>
      </c>
      <c r="AL250" t="str">
        <f>IF(HR_Data[[#This Row],[Age]]&lt;25,"Under 25",IF(HR_Data[[#This Row],[Age]]&lt;=34,"25-34",IF(HR_Data[[#This Row],[Age]]&lt;=44,"35-44",IF(HR_Data[[#This Row],[Age]]&lt;=54,"45-54","55+"))))</f>
        <v>35-44</v>
      </c>
      <c r="AM250" s="1" t="str">
        <f>IF(HR_Data[[#This Row],[MonthlyIncome]]&lt;3000,"Low Salary",IF(HR_Data[[#This Row],[MonthlyIncome]]&lt;=7000,"Medium Salary","High Salary"))</f>
        <v>Medium Salary</v>
      </c>
      <c r="AN250" s="1" t="str">
        <f>IF(HR_Data[[#This Row],[YearsAtCompany]]&lt;2,"0-1 Years",IF(HR_Data[[#This Row],[YearsAtCompany]]&lt;=5,"2-5 Years",IF(HR_Data[[#This Row],[YearsAtCompany]]&lt;=10,"6-10 Years","10+ Years")))</f>
        <v>2-5 Years</v>
      </c>
      <c r="AO250" s="1" t="str">
        <f>IF(HR_Data[[#This Row],[JobSatisfaction]]=1,"Low",IF(HR_Data[[#This Row],[JobSatisfaction]]=2,"Medium",IF(HR_Data[[#This Row],[JobSatisfaction]]=3,"High","Very High")))</f>
        <v>Low</v>
      </c>
      <c r="AP250" s="1" t="str">
        <f>IF(HR_Data[[#This Row],[WorkLifeBalance]]=1,"Bad",IF(HR_Data[[#This Row],[WorkLifeBalance]]=2,"Good",IF(HR_Data[[#This Row],[WorkLifeBalance]]=3,"Better","Best")))</f>
        <v>Good</v>
      </c>
    </row>
    <row r="251" spans="1:42" x14ac:dyDescent="0.3">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c r="AJ251">
        <f>IF(HR_Data[[#This Row],[Attrition]]="Yes",1,0)</f>
        <v>0</v>
      </c>
      <c r="AK251">
        <f>IF(HR_Data[[#This Row],[Attrition]]="No",1,0)</f>
        <v>1</v>
      </c>
      <c r="AL251" t="str">
        <f>IF(HR_Data[[#This Row],[Age]]&lt;25,"Under 25",IF(HR_Data[[#This Row],[Age]]&lt;=34,"25-34",IF(HR_Data[[#This Row],[Age]]&lt;=44,"35-44",IF(HR_Data[[#This Row],[Age]]&lt;=54,"45-54","55+"))))</f>
        <v>45-54</v>
      </c>
      <c r="AM251" s="1" t="str">
        <f>IF(HR_Data[[#This Row],[MonthlyIncome]]&lt;3000,"Low Salary",IF(HR_Data[[#This Row],[MonthlyIncome]]&lt;=7000,"Medium Salary","High Salary"))</f>
        <v>Medium Salary</v>
      </c>
      <c r="AN251" s="1" t="str">
        <f>IF(HR_Data[[#This Row],[YearsAtCompany]]&lt;2,"0-1 Years",IF(HR_Data[[#This Row],[YearsAtCompany]]&lt;=5,"2-5 Years",IF(HR_Data[[#This Row],[YearsAtCompany]]&lt;=10,"6-10 Years","10+ Years")))</f>
        <v>2-5 Years</v>
      </c>
      <c r="AO251" s="1" t="str">
        <f>IF(HR_Data[[#This Row],[JobSatisfaction]]=1,"Low",IF(HR_Data[[#This Row],[JobSatisfaction]]=2,"Medium",IF(HR_Data[[#This Row],[JobSatisfaction]]=3,"High","Very High")))</f>
        <v>High</v>
      </c>
      <c r="AP251" s="1" t="str">
        <f>IF(HR_Data[[#This Row],[WorkLifeBalance]]=1,"Bad",IF(HR_Data[[#This Row],[WorkLifeBalance]]=2,"Good",IF(HR_Data[[#This Row],[WorkLifeBalance]]=3,"Better","Best")))</f>
        <v>Better</v>
      </c>
    </row>
    <row r="252" spans="1:42" x14ac:dyDescent="0.3">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c r="AJ252">
        <f>IF(HR_Data[[#This Row],[Attrition]]="Yes",1,0)</f>
        <v>1</v>
      </c>
      <c r="AK252">
        <f>IF(HR_Data[[#This Row],[Attrition]]="No",1,0)</f>
        <v>0</v>
      </c>
      <c r="AL252" t="str">
        <f>IF(HR_Data[[#This Row],[Age]]&lt;25,"Under 25",IF(HR_Data[[#This Row],[Age]]&lt;=34,"25-34",IF(HR_Data[[#This Row],[Age]]&lt;=44,"35-44",IF(HR_Data[[#This Row],[Age]]&lt;=54,"45-54","55+"))))</f>
        <v>35-44</v>
      </c>
      <c r="AM252" s="1" t="str">
        <f>IF(HR_Data[[#This Row],[MonthlyIncome]]&lt;3000,"Low Salary",IF(HR_Data[[#This Row],[MonthlyIncome]]&lt;=7000,"Medium Salary","High Salary"))</f>
        <v>High Salary</v>
      </c>
      <c r="AN252" s="1" t="str">
        <f>IF(HR_Data[[#This Row],[YearsAtCompany]]&lt;2,"0-1 Years",IF(HR_Data[[#This Row],[YearsAtCompany]]&lt;=5,"2-5 Years",IF(HR_Data[[#This Row],[YearsAtCompany]]&lt;=10,"6-10 Years","10+ Years")))</f>
        <v>0-1 Years</v>
      </c>
      <c r="AO252" s="1" t="str">
        <f>IF(HR_Data[[#This Row],[JobSatisfaction]]=1,"Low",IF(HR_Data[[#This Row],[JobSatisfaction]]=2,"Medium",IF(HR_Data[[#This Row],[JobSatisfaction]]=3,"High","Very High")))</f>
        <v>High</v>
      </c>
      <c r="AP252" s="1" t="str">
        <f>IF(HR_Data[[#This Row],[WorkLifeBalance]]=1,"Bad",IF(HR_Data[[#This Row],[WorkLifeBalance]]=2,"Good",IF(HR_Data[[#This Row],[WorkLifeBalance]]=3,"Better","Best")))</f>
        <v>Better</v>
      </c>
    </row>
    <row r="253" spans="1:42" x14ac:dyDescent="0.3">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c r="AJ253">
        <f>IF(HR_Data[[#This Row],[Attrition]]="Yes",1,0)</f>
        <v>0</v>
      </c>
      <c r="AK253">
        <f>IF(HR_Data[[#This Row],[Attrition]]="No",1,0)</f>
        <v>1</v>
      </c>
      <c r="AL253" t="str">
        <f>IF(HR_Data[[#This Row],[Age]]&lt;25,"Under 25",IF(HR_Data[[#This Row],[Age]]&lt;=34,"25-34",IF(HR_Data[[#This Row],[Age]]&lt;=44,"35-44",IF(HR_Data[[#This Row],[Age]]&lt;=54,"45-54","55+"))))</f>
        <v>35-44</v>
      </c>
      <c r="AM253" s="1" t="str">
        <f>IF(HR_Data[[#This Row],[MonthlyIncome]]&lt;3000,"Low Salary",IF(HR_Data[[#This Row],[MonthlyIncome]]&lt;=7000,"Medium Salary","High Salary"))</f>
        <v>High Salary</v>
      </c>
      <c r="AN253" s="1" t="str">
        <f>IF(HR_Data[[#This Row],[YearsAtCompany]]&lt;2,"0-1 Years",IF(HR_Data[[#This Row],[YearsAtCompany]]&lt;=5,"2-5 Years",IF(HR_Data[[#This Row],[YearsAtCompany]]&lt;=10,"6-10 Years","10+ Years")))</f>
        <v>10+ Years</v>
      </c>
      <c r="AO253" s="1" t="str">
        <f>IF(HR_Data[[#This Row],[JobSatisfaction]]=1,"Low",IF(HR_Data[[#This Row],[JobSatisfaction]]=2,"Medium",IF(HR_Data[[#This Row],[JobSatisfaction]]=3,"High","Very High")))</f>
        <v>High</v>
      </c>
      <c r="AP253" s="1" t="str">
        <f>IF(HR_Data[[#This Row],[WorkLifeBalance]]=1,"Bad",IF(HR_Data[[#This Row],[WorkLifeBalance]]=2,"Good",IF(HR_Data[[#This Row],[WorkLifeBalance]]=3,"Better","Best")))</f>
        <v>Better</v>
      </c>
    </row>
    <row r="254" spans="1:42" x14ac:dyDescent="0.3">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c r="AJ254">
        <f>IF(HR_Data[[#This Row],[Attrition]]="Yes",1,0)</f>
        <v>0</v>
      </c>
      <c r="AK254">
        <f>IF(HR_Data[[#This Row],[Attrition]]="No",1,0)</f>
        <v>1</v>
      </c>
      <c r="AL254" t="str">
        <f>IF(HR_Data[[#This Row],[Age]]&lt;25,"Under 25",IF(HR_Data[[#This Row],[Age]]&lt;=34,"25-34",IF(HR_Data[[#This Row],[Age]]&lt;=44,"35-44",IF(HR_Data[[#This Row],[Age]]&lt;=54,"45-54","55+"))))</f>
        <v>25-34</v>
      </c>
      <c r="AM254" s="1" t="str">
        <f>IF(HR_Data[[#This Row],[MonthlyIncome]]&lt;3000,"Low Salary",IF(HR_Data[[#This Row],[MonthlyIncome]]&lt;=7000,"Medium Salary","High Salary"))</f>
        <v>Low Salary</v>
      </c>
      <c r="AN254" s="1" t="str">
        <f>IF(HR_Data[[#This Row],[YearsAtCompany]]&lt;2,"0-1 Years",IF(HR_Data[[#This Row],[YearsAtCompany]]&lt;=5,"2-5 Years",IF(HR_Data[[#This Row],[YearsAtCompany]]&lt;=10,"6-10 Years","10+ Years")))</f>
        <v>6-10 Years</v>
      </c>
      <c r="AO254" s="1" t="str">
        <f>IF(HR_Data[[#This Row],[JobSatisfaction]]=1,"Low",IF(HR_Data[[#This Row],[JobSatisfaction]]=2,"Medium",IF(HR_Data[[#This Row],[JobSatisfaction]]=3,"High","Very High")))</f>
        <v>Very High</v>
      </c>
      <c r="AP254" s="1" t="str">
        <f>IF(HR_Data[[#This Row],[WorkLifeBalance]]=1,"Bad",IF(HR_Data[[#This Row],[WorkLifeBalance]]=2,"Good",IF(HR_Data[[#This Row],[WorkLifeBalance]]=3,"Better","Best")))</f>
        <v>Better</v>
      </c>
    </row>
    <row r="255" spans="1:42" x14ac:dyDescent="0.3">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c r="AJ255">
        <f>IF(HR_Data[[#This Row],[Attrition]]="Yes",1,0)</f>
        <v>0</v>
      </c>
      <c r="AK255">
        <f>IF(HR_Data[[#This Row],[Attrition]]="No",1,0)</f>
        <v>1</v>
      </c>
      <c r="AL255" t="str">
        <f>IF(HR_Data[[#This Row],[Age]]&lt;25,"Under 25",IF(HR_Data[[#This Row],[Age]]&lt;=34,"25-34",IF(HR_Data[[#This Row],[Age]]&lt;=44,"35-44",IF(HR_Data[[#This Row],[Age]]&lt;=54,"45-54","55+"))))</f>
        <v>35-44</v>
      </c>
      <c r="AM255" s="1" t="str">
        <f>IF(HR_Data[[#This Row],[MonthlyIncome]]&lt;3000,"Low Salary",IF(HR_Data[[#This Row],[MonthlyIncome]]&lt;=7000,"Medium Salary","High Salary"))</f>
        <v>Medium Salary</v>
      </c>
      <c r="AN255" s="1" t="str">
        <f>IF(HR_Data[[#This Row],[YearsAtCompany]]&lt;2,"0-1 Years",IF(HR_Data[[#This Row],[YearsAtCompany]]&lt;=5,"2-5 Years",IF(HR_Data[[#This Row],[YearsAtCompany]]&lt;=10,"6-10 Years","10+ Years")))</f>
        <v>2-5 Years</v>
      </c>
      <c r="AO255" s="1" t="str">
        <f>IF(HR_Data[[#This Row],[JobSatisfaction]]=1,"Low",IF(HR_Data[[#This Row],[JobSatisfaction]]=2,"Medium",IF(HR_Data[[#This Row],[JobSatisfaction]]=3,"High","Very High")))</f>
        <v>Low</v>
      </c>
      <c r="AP255" s="1" t="str">
        <f>IF(HR_Data[[#This Row],[WorkLifeBalance]]=1,"Bad",IF(HR_Data[[#This Row],[WorkLifeBalance]]=2,"Good",IF(HR_Data[[#This Row],[WorkLifeBalance]]=3,"Better","Best")))</f>
        <v>Better</v>
      </c>
    </row>
    <row r="256" spans="1:42" x14ac:dyDescent="0.3">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c r="AJ256">
        <f>IF(HR_Data[[#This Row],[Attrition]]="Yes",1,0)</f>
        <v>0</v>
      </c>
      <c r="AK256">
        <f>IF(HR_Data[[#This Row],[Attrition]]="No",1,0)</f>
        <v>1</v>
      </c>
      <c r="AL256" t="str">
        <f>IF(HR_Data[[#This Row],[Age]]&lt;25,"Under 25",IF(HR_Data[[#This Row],[Age]]&lt;=34,"25-34",IF(HR_Data[[#This Row],[Age]]&lt;=44,"35-44",IF(HR_Data[[#This Row],[Age]]&lt;=54,"45-54","55+"))))</f>
        <v>25-34</v>
      </c>
      <c r="AM256" s="1" t="str">
        <f>IF(HR_Data[[#This Row],[MonthlyIncome]]&lt;3000,"Low Salary",IF(HR_Data[[#This Row],[MonthlyIncome]]&lt;=7000,"Medium Salary","High Salary"))</f>
        <v>Medium Salary</v>
      </c>
      <c r="AN256" s="1" t="str">
        <f>IF(HR_Data[[#This Row],[YearsAtCompany]]&lt;2,"0-1 Years",IF(HR_Data[[#This Row],[YearsAtCompany]]&lt;=5,"2-5 Years",IF(HR_Data[[#This Row],[YearsAtCompany]]&lt;=10,"6-10 Years","10+ Years")))</f>
        <v>2-5 Years</v>
      </c>
      <c r="AO256" s="1" t="str">
        <f>IF(HR_Data[[#This Row],[JobSatisfaction]]=1,"Low",IF(HR_Data[[#This Row],[JobSatisfaction]]=2,"Medium",IF(HR_Data[[#This Row],[JobSatisfaction]]=3,"High","Very High")))</f>
        <v>Very High</v>
      </c>
      <c r="AP256" s="1" t="str">
        <f>IF(HR_Data[[#This Row],[WorkLifeBalance]]=1,"Bad",IF(HR_Data[[#This Row],[WorkLifeBalance]]=2,"Good",IF(HR_Data[[#This Row],[WorkLifeBalance]]=3,"Better","Best")))</f>
        <v>Better</v>
      </c>
    </row>
    <row r="257" spans="1:42" x14ac:dyDescent="0.3">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c r="AJ257">
        <f>IF(HR_Data[[#This Row],[Attrition]]="Yes",1,0)</f>
        <v>0</v>
      </c>
      <c r="AK257">
        <f>IF(HR_Data[[#This Row],[Attrition]]="No",1,0)</f>
        <v>1</v>
      </c>
      <c r="AL257" t="str">
        <f>IF(HR_Data[[#This Row],[Age]]&lt;25,"Under 25",IF(HR_Data[[#This Row],[Age]]&lt;=34,"25-34",IF(HR_Data[[#This Row],[Age]]&lt;=44,"35-44",IF(HR_Data[[#This Row],[Age]]&lt;=54,"45-54","55+"))))</f>
        <v>25-34</v>
      </c>
      <c r="AM257" s="1" t="str">
        <f>IF(HR_Data[[#This Row],[MonthlyIncome]]&lt;3000,"Low Salary",IF(HR_Data[[#This Row],[MonthlyIncome]]&lt;=7000,"Medium Salary","High Salary"))</f>
        <v>Medium Salary</v>
      </c>
      <c r="AN257" s="1" t="str">
        <f>IF(HR_Data[[#This Row],[YearsAtCompany]]&lt;2,"0-1 Years",IF(HR_Data[[#This Row],[YearsAtCompany]]&lt;=5,"2-5 Years",IF(HR_Data[[#This Row],[YearsAtCompany]]&lt;=10,"6-10 Years","10+ Years")))</f>
        <v>2-5 Years</v>
      </c>
      <c r="AO257" s="1" t="str">
        <f>IF(HR_Data[[#This Row],[JobSatisfaction]]=1,"Low",IF(HR_Data[[#This Row],[JobSatisfaction]]=2,"Medium",IF(HR_Data[[#This Row],[JobSatisfaction]]=3,"High","Very High")))</f>
        <v>High</v>
      </c>
      <c r="AP257" s="1" t="str">
        <f>IF(HR_Data[[#This Row],[WorkLifeBalance]]=1,"Bad",IF(HR_Data[[#This Row],[WorkLifeBalance]]=2,"Good",IF(HR_Data[[#This Row],[WorkLifeBalance]]=3,"Better","Best")))</f>
        <v>Better</v>
      </c>
    </row>
    <row r="258" spans="1:42" x14ac:dyDescent="0.3">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c r="AJ258">
        <f>IF(HR_Data[[#This Row],[Attrition]]="Yes",1,0)</f>
        <v>0</v>
      </c>
      <c r="AK258">
        <f>IF(HR_Data[[#This Row],[Attrition]]="No",1,0)</f>
        <v>1</v>
      </c>
      <c r="AL258" t="str">
        <f>IF(HR_Data[[#This Row],[Age]]&lt;25,"Under 25",IF(HR_Data[[#This Row],[Age]]&lt;=34,"25-34",IF(HR_Data[[#This Row],[Age]]&lt;=44,"35-44",IF(HR_Data[[#This Row],[Age]]&lt;=54,"45-54","55+"))))</f>
        <v>35-44</v>
      </c>
      <c r="AM258" s="1" t="str">
        <f>IF(HR_Data[[#This Row],[MonthlyIncome]]&lt;3000,"Low Salary",IF(HR_Data[[#This Row],[MonthlyIncome]]&lt;=7000,"Medium Salary","High Salary"))</f>
        <v>Low Salary</v>
      </c>
      <c r="AN258" s="1" t="str">
        <f>IF(HR_Data[[#This Row],[YearsAtCompany]]&lt;2,"0-1 Years",IF(HR_Data[[#This Row],[YearsAtCompany]]&lt;=5,"2-5 Years",IF(HR_Data[[#This Row],[YearsAtCompany]]&lt;=10,"6-10 Years","10+ Years")))</f>
        <v>6-10 Years</v>
      </c>
      <c r="AO258" s="1" t="str">
        <f>IF(HR_Data[[#This Row],[JobSatisfaction]]=1,"Low",IF(HR_Data[[#This Row],[JobSatisfaction]]=2,"Medium",IF(HR_Data[[#This Row],[JobSatisfaction]]=3,"High","Very High")))</f>
        <v>Low</v>
      </c>
      <c r="AP258" s="1" t="str">
        <f>IF(HR_Data[[#This Row],[WorkLifeBalance]]=1,"Bad",IF(HR_Data[[#This Row],[WorkLifeBalance]]=2,"Good",IF(HR_Data[[#This Row],[WorkLifeBalance]]=3,"Better","Best")))</f>
        <v>Better</v>
      </c>
    </row>
    <row r="259" spans="1:42" x14ac:dyDescent="0.3">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c r="AJ259">
        <f>IF(HR_Data[[#This Row],[Attrition]]="Yes",1,0)</f>
        <v>0</v>
      </c>
      <c r="AK259">
        <f>IF(HR_Data[[#This Row],[Attrition]]="No",1,0)</f>
        <v>1</v>
      </c>
      <c r="AL259" t="str">
        <f>IF(HR_Data[[#This Row],[Age]]&lt;25,"Under 25",IF(HR_Data[[#This Row],[Age]]&lt;=34,"25-34",IF(HR_Data[[#This Row],[Age]]&lt;=44,"35-44",IF(HR_Data[[#This Row],[Age]]&lt;=54,"45-54","55+"))))</f>
        <v>35-44</v>
      </c>
      <c r="AM259" s="1" t="str">
        <f>IF(HR_Data[[#This Row],[MonthlyIncome]]&lt;3000,"Low Salary",IF(HR_Data[[#This Row],[MonthlyIncome]]&lt;=7000,"Medium Salary","High Salary"))</f>
        <v>High Salary</v>
      </c>
      <c r="AN259" s="1" t="str">
        <f>IF(HR_Data[[#This Row],[YearsAtCompany]]&lt;2,"0-1 Years",IF(HR_Data[[#This Row],[YearsAtCompany]]&lt;=5,"2-5 Years",IF(HR_Data[[#This Row],[YearsAtCompany]]&lt;=10,"6-10 Years","10+ Years")))</f>
        <v>10+ Years</v>
      </c>
      <c r="AO259" s="1" t="str">
        <f>IF(HR_Data[[#This Row],[JobSatisfaction]]=1,"Low",IF(HR_Data[[#This Row],[JobSatisfaction]]=2,"Medium",IF(HR_Data[[#This Row],[JobSatisfaction]]=3,"High","Very High")))</f>
        <v>High</v>
      </c>
      <c r="AP259" s="1" t="str">
        <f>IF(HR_Data[[#This Row],[WorkLifeBalance]]=1,"Bad",IF(HR_Data[[#This Row],[WorkLifeBalance]]=2,"Good",IF(HR_Data[[#This Row],[WorkLifeBalance]]=3,"Better","Best")))</f>
        <v>Better</v>
      </c>
    </row>
    <row r="260" spans="1:42" x14ac:dyDescent="0.3">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c r="AJ260">
        <f>IF(HR_Data[[#This Row],[Attrition]]="Yes",1,0)</f>
        <v>0</v>
      </c>
      <c r="AK260">
        <f>IF(HR_Data[[#This Row],[Attrition]]="No",1,0)</f>
        <v>1</v>
      </c>
      <c r="AL260" t="str">
        <f>IF(HR_Data[[#This Row],[Age]]&lt;25,"Under 25",IF(HR_Data[[#This Row],[Age]]&lt;=34,"25-34",IF(HR_Data[[#This Row],[Age]]&lt;=44,"35-44",IF(HR_Data[[#This Row],[Age]]&lt;=54,"45-54","55+"))))</f>
        <v>45-54</v>
      </c>
      <c r="AM260" s="1" t="str">
        <f>IF(HR_Data[[#This Row],[MonthlyIncome]]&lt;3000,"Low Salary",IF(HR_Data[[#This Row],[MonthlyIncome]]&lt;=7000,"Medium Salary","High Salary"))</f>
        <v>Low Salary</v>
      </c>
      <c r="AN260" s="1" t="str">
        <f>IF(HR_Data[[#This Row],[YearsAtCompany]]&lt;2,"0-1 Years",IF(HR_Data[[#This Row],[YearsAtCompany]]&lt;=5,"2-5 Years",IF(HR_Data[[#This Row],[YearsAtCompany]]&lt;=10,"6-10 Years","10+ Years")))</f>
        <v>0-1 Years</v>
      </c>
      <c r="AO260" s="1" t="str">
        <f>IF(HR_Data[[#This Row],[JobSatisfaction]]=1,"Low",IF(HR_Data[[#This Row],[JobSatisfaction]]=2,"Medium",IF(HR_Data[[#This Row],[JobSatisfaction]]=3,"High","Very High")))</f>
        <v>Very High</v>
      </c>
      <c r="AP260" s="1" t="str">
        <f>IF(HR_Data[[#This Row],[WorkLifeBalance]]=1,"Bad",IF(HR_Data[[#This Row],[WorkLifeBalance]]=2,"Good",IF(HR_Data[[#This Row],[WorkLifeBalance]]=3,"Better","Best")))</f>
        <v>Good</v>
      </c>
    </row>
    <row r="261" spans="1:42" x14ac:dyDescent="0.3">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c r="AJ261">
        <f>IF(HR_Data[[#This Row],[Attrition]]="Yes",1,0)</f>
        <v>1</v>
      </c>
      <c r="AK261">
        <f>IF(HR_Data[[#This Row],[Attrition]]="No",1,0)</f>
        <v>0</v>
      </c>
      <c r="AL261" t="str">
        <f>IF(HR_Data[[#This Row],[Age]]&lt;25,"Under 25",IF(HR_Data[[#This Row],[Age]]&lt;=34,"25-34",IF(HR_Data[[#This Row],[Age]]&lt;=44,"35-44",IF(HR_Data[[#This Row],[Age]]&lt;=54,"45-54","55+"))))</f>
        <v>25-34</v>
      </c>
      <c r="AM261" s="1" t="str">
        <f>IF(HR_Data[[#This Row],[MonthlyIncome]]&lt;3000,"Low Salary",IF(HR_Data[[#This Row],[MonthlyIncome]]&lt;=7000,"Medium Salary","High Salary"))</f>
        <v>Medium Salary</v>
      </c>
      <c r="AN261" s="1" t="str">
        <f>IF(HR_Data[[#This Row],[YearsAtCompany]]&lt;2,"0-1 Years",IF(HR_Data[[#This Row],[YearsAtCompany]]&lt;=5,"2-5 Years",IF(HR_Data[[#This Row],[YearsAtCompany]]&lt;=10,"6-10 Years","10+ Years")))</f>
        <v>2-5 Years</v>
      </c>
      <c r="AO261" s="1" t="str">
        <f>IF(HR_Data[[#This Row],[JobSatisfaction]]=1,"Low",IF(HR_Data[[#This Row],[JobSatisfaction]]=2,"Medium",IF(HR_Data[[#This Row],[JobSatisfaction]]=3,"High","Very High")))</f>
        <v>Medium</v>
      </c>
      <c r="AP261" s="1" t="str">
        <f>IF(HR_Data[[#This Row],[WorkLifeBalance]]=1,"Bad",IF(HR_Data[[#This Row],[WorkLifeBalance]]=2,"Good",IF(HR_Data[[#This Row],[WorkLifeBalance]]=3,"Better","Best")))</f>
        <v>Best</v>
      </c>
    </row>
    <row r="262" spans="1:42" x14ac:dyDescent="0.3">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c r="AJ262">
        <f>IF(HR_Data[[#This Row],[Attrition]]="Yes",1,0)</f>
        <v>0</v>
      </c>
      <c r="AK262">
        <f>IF(HR_Data[[#This Row],[Attrition]]="No",1,0)</f>
        <v>1</v>
      </c>
      <c r="AL262" t="str">
        <f>IF(HR_Data[[#This Row],[Age]]&lt;25,"Under 25",IF(HR_Data[[#This Row],[Age]]&lt;=34,"25-34",IF(HR_Data[[#This Row],[Age]]&lt;=44,"35-44",IF(HR_Data[[#This Row],[Age]]&lt;=54,"45-54","55+"))))</f>
        <v>25-34</v>
      </c>
      <c r="AM262" s="1" t="str">
        <f>IF(HR_Data[[#This Row],[MonthlyIncome]]&lt;3000,"Low Salary",IF(HR_Data[[#This Row],[MonthlyIncome]]&lt;=7000,"Medium Salary","High Salary"))</f>
        <v>Low Salary</v>
      </c>
      <c r="AN262" s="1" t="str">
        <f>IF(HR_Data[[#This Row],[YearsAtCompany]]&lt;2,"0-1 Years",IF(HR_Data[[#This Row],[YearsAtCompany]]&lt;=5,"2-5 Years",IF(HR_Data[[#This Row],[YearsAtCompany]]&lt;=10,"6-10 Years","10+ Years")))</f>
        <v>2-5 Years</v>
      </c>
      <c r="AO262" s="1" t="str">
        <f>IF(HR_Data[[#This Row],[JobSatisfaction]]=1,"Low",IF(HR_Data[[#This Row],[JobSatisfaction]]=2,"Medium",IF(HR_Data[[#This Row],[JobSatisfaction]]=3,"High","Very High")))</f>
        <v>Medium</v>
      </c>
      <c r="AP262" s="1" t="str">
        <f>IF(HR_Data[[#This Row],[WorkLifeBalance]]=1,"Bad",IF(HR_Data[[#This Row],[WorkLifeBalance]]=2,"Good",IF(HR_Data[[#This Row],[WorkLifeBalance]]=3,"Better","Best")))</f>
        <v>Bad</v>
      </c>
    </row>
    <row r="263" spans="1:42" x14ac:dyDescent="0.3">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c r="AJ263">
        <f>IF(HR_Data[[#This Row],[Attrition]]="Yes",1,0)</f>
        <v>0</v>
      </c>
      <c r="AK263">
        <f>IF(HR_Data[[#This Row],[Attrition]]="No",1,0)</f>
        <v>1</v>
      </c>
      <c r="AL263" t="str">
        <f>IF(HR_Data[[#This Row],[Age]]&lt;25,"Under 25",IF(HR_Data[[#This Row],[Age]]&lt;=34,"25-34",IF(HR_Data[[#This Row],[Age]]&lt;=44,"35-44",IF(HR_Data[[#This Row],[Age]]&lt;=54,"45-54","55+"))))</f>
        <v>35-44</v>
      </c>
      <c r="AM263" s="1" t="str">
        <f>IF(HR_Data[[#This Row],[MonthlyIncome]]&lt;3000,"Low Salary",IF(HR_Data[[#This Row],[MonthlyIncome]]&lt;=7000,"Medium Salary","High Salary"))</f>
        <v>Medium Salary</v>
      </c>
      <c r="AN263" s="1" t="str">
        <f>IF(HR_Data[[#This Row],[YearsAtCompany]]&lt;2,"0-1 Years",IF(HR_Data[[#This Row],[YearsAtCompany]]&lt;=5,"2-5 Years",IF(HR_Data[[#This Row],[YearsAtCompany]]&lt;=10,"6-10 Years","10+ Years")))</f>
        <v>6-10 Years</v>
      </c>
      <c r="AO263" s="1" t="str">
        <f>IF(HR_Data[[#This Row],[JobSatisfaction]]=1,"Low",IF(HR_Data[[#This Row],[JobSatisfaction]]=2,"Medium",IF(HR_Data[[#This Row],[JobSatisfaction]]=3,"High","Very High")))</f>
        <v>Very High</v>
      </c>
      <c r="AP263" s="1" t="str">
        <f>IF(HR_Data[[#This Row],[WorkLifeBalance]]=1,"Bad",IF(HR_Data[[#This Row],[WorkLifeBalance]]=2,"Good",IF(HR_Data[[#This Row],[WorkLifeBalance]]=3,"Better","Best")))</f>
        <v>Better</v>
      </c>
    </row>
    <row r="264" spans="1:42" x14ac:dyDescent="0.3">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c r="AJ264">
        <f>IF(HR_Data[[#This Row],[Attrition]]="Yes",1,0)</f>
        <v>0</v>
      </c>
      <c r="AK264">
        <f>IF(HR_Data[[#This Row],[Attrition]]="No",1,0)</f>
        <v>1</v>
      </c>
      <c r="AL264" t="str">
        <f>IF(HR_Data[[#This Row],[Age]]&lt;25,"Under 25",IF(HR_Data[[#This Row],[Age]]&lt;=34,"25-34",IF(HR_Data[[#This Row],[Age]]&lt;=44,"35-44",IF(HR_Data[[#This Row],[Age]]&lt;=54,"45-54","55+"))))</f>
        <v>25-34</v>
      </c>
      <c r="AM264" s="1" t="str">
        <f>IF(HR_Data[[#This Row],[MonthlyIncome]]&lt;3000,"Low Salary",IF(HR_Data[[#This Row],[MonthlyIncome]]&lt;=7000,"Medium Salary","High Salary"))</f>
        <v>Low Salary</v>
      </c>
      <c r="AN264" s="1" t="str">
        <f>IF(HR_Data[[#This Row],[YearsAtCompany]]&lt;2,"0-1 Years",IF(HR_Data[[#This Row],[YearsAtCompany]]&lt;=5,"2-5 Years",IF(HR_Data[[#This Row],[YearsAtCompany]]&lt;=10,"6-10 Years","10+ Years")))</f>
        <v>6-10 Years</v>
      </c>
      <c r="AO264" s="1" t="str">
        <f>IF(HR_Data[[#This Row],[JobSatisfaction]]=1,"Low",IF(HR_Data[[#This Row],[JobSatisfaction]]=2,"Medium",IF(HR_Data[[#This Row],[JobSatisfaction]]=3,"High","Very High")))</f>
        <v>Low</v>
      </c>
      <c r="AP264" s="1" t="str">
        <f>IF(HR_Data[[#This Row],[WorkLifeBalance]]=1,"Bad",IF(HR_Data[[#This Row],[WorkLifeBalance]]=2,"Good",IF(HR_Data[[#This Row],[WorkLifeBalance]]=3,"Better","Best")))</f>
        <v>Better</v>
      </c>
    </row>
    <row r="265" spans="1:42" x14ac:dyDescent="0.3">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c r="AJ265">
        <f>IF(HR_Data[[#This Row],[Attrition]]="Yes",1,0)</f>
        <v>0</v>
      </c>
      <c r="AK265">
        <f>IF(HR_Data[[#This Row],[Attrition]]="No",1,0)</f>
        <v>1</v>
      </c>
      <c r="AL265" t="str">
        <f>IF(HR_Data[[#This Row],[Age]]&lt;25,"Under 25",IF(HR_Data[[#This Row],[Age]]&lt;=34,"25-34",IF(HR_Data[[#This Row],[Age]]&lt;=44,"35-44",IF(HR_Data[[#This Row],[Age]]&lt;=54,"45-54","55+"))))</f>
        <v>45-54</v>
      </c>
      <c r="AM265" s="1" t="str">
        <f>IF(HR_Data[[#This Row],[MonthlyIncome]]&lt;3000,"Low Salary",IF(HR_Data[[#This Row],[MonthlyIncome]]&lt;=7000,"Medium Salary","High Salary"))</f>
        <v>High Salary</v>
      </c>
      <c r="AN265" s="1" t="str">
        <f>IF(HR_Data[[#This Row],[YearsAtCompany]]&lt;2,"0-1 Years",IF(HR_Data[[#This Row],[YearsAtCompany]]&lt;=5,"2-5 Years",IF(HR_Data[[#This Row],[YearsAtCompany]]&lt;=10,"6-10 Years","10+ Years")))</f>
        <v>6-10 Years</v>
      </c>
      <c r="AO265" s="1" t="str">
        <f>IF(HR_Data[[#This Row],[JobSatisfaction]]=1,"Low",IF(HR_Data[[#This Row],[JobSatisfaction]]=2,"Medium",IF(HR_Data[[#This Row],[JobSatisfaction]]=3,"High","Very High")))</f>
        <v>Medium</v>
      </c>
      <c r="AP265" s="1" t="str">
        <f>IF(HR_Data[[#This Row],[WorkLifeBalance]]=1,"Bad",IF(HR_Data[[#This Row],[WorkLifeBalance]]=2,"Good",IF(HR_Data[[#This Row],[WorkLifeBalance]]=3,"Better","Best")))</f>
        <v>Good</v>
      </c>
    </row>
    <row r="266" spans="1:42" x14ac:dyDescent="0.3">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c r="AJ266">
        <f>IF(HR_Data[[#This Row],[Attrition]]="Yes",1,0)</f>
        <v>1</v>
      </c>
      <c r="AK266">
        <f>IF(HR_Data[[#This Row],[Attrition]]="No",1,0)</f>
        <v>0</v>
      </c>
      <c r="AL266" t="str">
        <f>IF(HR_Data[[#This Row],[Age]]&lt;25,"Under 25",IF(HR_Data[[#This Row],[Age]]&lt;=34,"25-34",IF(HR_Data[[#This Row],[Age]]&lt;=44,"35-44",IF(HR_Data[[#This Row],[Age]]&lt;=54,"45-54","55+"))))</f>
        <v>25-34</v>
      </c>
      <c r="AM266" s="1" t="str">
        <f>IF(HR_Data[[#This Row],[MonthlyIncome]]&lt;3000,"Low Salary",IF(HR_Data[[#This Row],[MonthlyIncome]]&lt;=7000,"Medium Salary","High Salary"))</f>
        <v>Medium Salary</v>
      </c>
      <c r="AN266" s="1" t="str">
        <f>IF(HR_Data[[#This Row],[YearsAtCompany]]&lt;2,"0-1 Years",IF(HR_Data[[#This Row],[YearsAtCompany]]&lt;=5,"2-5 Years",IF(HR_Data[[#This Row],[YearsAtCompany]]&lt;=10,"6-10 Years","10+ Years")))</f>
        <v>0-1 Years</v>
      </c>
      <c r="AO266" s="1" t="str">
        <f>IF(HR_Data[[#This Row],[JobSatisfaction]]=1,"Low",IF(HR_Data[[#This Row],[JobSatisfaction]]=2,"Medium",IF(HR_Data[[#This Row],[JobSatisfaction]]=3,"High","Very High")))</f>
        <v>High</v>
      </c>
      <c r="AP266" s="1" t="str">
        <f>IF(HR_Data[[#This Row],[WorkLifeBalance]]=1,"Bad",IF(HR_Data[[#This Row],[WorkLifeBalance]]=2,"Good",IF(HR_Data[[#This Row],[WorkLifeBalance]]=3,"Better","Best")))</f>
        <v>Bad</v>
      </c>
    </row>
    <row r="267" spans="1:42" x14ac:dyDescent="0.3">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c r="AJ267">
        <f>IF(HR_Data[[#This Row],[Attrition]]="Yes",1,0)</f>
        <v>0</v>
      </c>
      <c r="AK267">
        <f>IF(HR_Data[[#This Row],[Attrition]]="No",1,0)</f>
        <v>1</v>
      </c>
      <c r="AL267" t="str">
        <f>IF(HR_Data[[#This Row],[Age]]&lt;25,"Under 25",IF(HR_Data[[#This Row],[Age]]&lt;=34,"25-34",IF(HR_Data[[#This Row],[Age]]&lt;=44,"35-44",IF(HR_Data[[#This Row],[Age]]&lt;=54,"45-54","55+"))))</f>
        <v>25-34</v>
      </c>
      <c r="AM267" s="1" t="str">
        <f>IF(HR_Data[[#This Row],[MonthlyIncome]]&lt;3000,"Low Salary",IF(HR_Data[[#This Row],[MonthlyIncome]]&lt;=7000,"Medium Salary","High Salary"))</f>
        <v>Medium Salary</v>
      </c>
      <c r="AN267" s="1" t="str">
        <f>IF(HR_Data[[#This Row],[YearsAtCompany]]&lt;2,"0-1 Years",IF(HR_Data[[#This Row],[YearsAtCompany]]&lt;=5,"2-5 Years",IF(HR_Data[[#This Row],[YearsAtCompany]]&lt;=10,"6-10 Years","10+ Years")))</f>
        <v>0-1 Years</v>
      </c>
      <c r="AO267" s="1" t="str">
        <f>IF(HR_Data[[#This Row],[JobSatisfaction]]=1,"Low",IF(HR_Data[[#This Row],[JobSatisfaction]]=2,"Medium",IF(HR_Data[[#This Row],[JobSatisfaction]]=3,"High","Very High")))</f>
        <v>Medium</v>
      </c>
      <c r="AP267" s="1" t="str">
        <f>IF(HR_Data[[#This Row],[WorkLifeBalance]]=1,"Bad",IF(HR_Data[[#This Row],[WorkLifeBalance]]=2,"Good",IF(HR_Data[[#This Row],[WorkLifeBalance]]=3,"Better","Best")))</f>
        <v>Better</v>
      </c>
    </row>
    <row r="268" spans="1:42" x14ac:dyDescent="0.3">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c r="AJ268">
        <f>IF(HR_Data[[#This Row],[Attrition]]="Yes",1,0)</f>
        <v>0</v>
      </c>
      <c r="AK268">
        <f>IF(HR_Data[[#This Row],[Attrition]]="No",1,0)</f>
        <v>1</v>
      </c>
      <c r="AL268" t="str">
        <f>IF(HR_Data[[#This Row],[Age]]&lt;25,"Under 25",IF(HR_Data[[#This Row],[Age]]&lt;=34,"25-34",IF(HR_Data[[#This Row],[Age]]&lt;=44,"35-44",IF(HR_Data[[#This Row],[Age]]&lt;=54,"45-54","55+"))))</f>
        <v>25-34</v>
      </c>
      <c r="AM268" s="1" t="str">
        <f>IF(HR_Data[[#This Row],[MonthlyIncome]]&lt;3000,"Low Salary",IF(HR_Data[[#This Row],[MonthlyIncome]]&lt;=7000,"Medium Salary","High Salary"))</f>
        <v>Medium Salary</v>
      </c>
      <c r="AN268" s="1" t="str">
        <f>IF(HR_Data[[#This Row],[YearsAtCompany]]&lt;2,"0-1 Years",IF(HR_Data[[#This Row],[YearsAtCompany]]&lt;=5,"2-5 Years",IF(HR_Data[[#This Row],[YearsAtCompany]]&lt;=10,"6-10 Years","10+ Years")))</f>
        <v>6-10 Years</v>
      </c>
      <c r="AO268" s="1" t="str">
        <f>IF(HR_Data[[#This Row],[JobSatisfaction]]=1,"Low",IF(HR_Data[[#This Row],[JobSatisfaction]]=2,"Medium",IF(HR_Data[[#This Row],[JobSatisfaction]]=3,"High","Very High")))</f>
        <v>Very High</v>
      </c>
      <c r="AP268" s="1" t="str">
        <f>IF(HR_Data[[#This Row],[WorkLifeBalance]]=1,"Bad",IF(HR_Data[[#This Row],[WorkLifeBalance]]=2,"Good",IF(HR_Data[[#This Row],[WorkLifeBalance]]=3,"Better","Best")))</f>
        <v>Better</v>
      </c>
    </row>
    <row r="269" spans="1:42" x14ac:dyDescent="0.3">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c r="AJ269">
        <f>IF(HR_Data[[#This Row],[Attrition]]="Yes",1,0)</f>
        <v>0</v>
      </c>
      <c r="AK269">
        <f>IF(HR_Data[[#This Row],[Attrition]]="No",1,0)</f>
        <v>1</v>
      </c>
      <c r="AL269" t="str">
        <f>IF(HR_Data[[#This Row],[Age]]&lt;25,"Under 25",IF(HR_Data[[#This Row],[Age]]&lt;=34,"25-34",IF(HR_Data[[#This Row],[Age]]&lt;=44,"35-44",IF(HR_Data[[#This Row],[Age]]&lt;=54,"45-54","55+"))))</f>
        <v>25-34</v>
      </c>
      <c r="AM269" s="1" t="str">
        <f>IF(HR_Data[[#This Row],[MonthlyIncome]]&lt;3000,"Low Salary",IF(HR_Data[[#This Row],[MonthlyIncome]]&lt;=7000,"Medium Salary","High Salary"))</f>
        <v>Medium Salary</v>
      </c>
      <c r="AN269" s="1" t="str">
        <f>IF(HR_Data[[#This Row],[YearsAtCompany]]&lt;2,"0-1 Years",IF(HR_Data[[#This Row],[YearsAtCompany]]&lt;=5,"2-5 Years",IF(HR_Data[[#This Row],[YearsAtCompany]]&lt;=10,"6-10 Years","10+ Years")))</f>
        <v>6-10 Years</v>
      </c>
      <c r="AO269" s="1" t="str">
        <f>IF(HR_Data[[#This Row],[JobSatisfaction]]=1,"Low",IF(HR_Data[[#This Row],[JobSatisfaction]]=2,"Medium",IF(HR_Data[[#This Row],[JobSatisfaction]]=3,"High","Very High")))</f>
        <v>Low</v>
      </c>
      <c r="AP269" s="1" t="str">
        <f>IF(HR_Data[[#This Row],[WorkLifeBalance]]=1,"Bad",IF(HR_Data[[#This Row],[WorkLifeBalance]]=2,"Good",IF(HR_Data[[#This Row],[WorkLifeBalance]]=3,"Better","Best")))</f>
        <v>Better</v>
      </c>
    </row>
    <row r="270" spans="1:42" x14ac:dyDescent="0.3">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c r="AJ270">
        <f>IF(HR_Data[[#This Row],[Attrition]]="Yes",1,0)</f>
        <v>0</v>
      </c>
      <c r="AK270">
        <f>IF(HR_Data[[#This Row],[Attrition]]="No",1,0)</f>
        <v>1</v>
      </c>
      <c r="AL270" t="str">
        <f>IF(HR_Data[[#This Row],[Age]]&lt;25,"Under 25",IF(HR_Data[[#This Row],[Age]]&lt;=34,"25-34",IF(HR_Data[[#This Row],[Age]]&lt;=44,"35-44",IF(HR_Data[[#This Row],[Age]]&lt;=54,"45-54","55+"))))</f>
        <v>45-54</v>
      </c>
      <c r="AM270" s="1" t="str">
        <f>IF(HR_Data[[#This Row],[MonthlyIncome]]&lt;3000,"Low Salary",IF(HR_Data[[#This Row],[MonthlyIncome]]&lt;=7000,"Medium Salary","High Salary"))</f>
        <v>High Salary</v>
      </c>
      <c r="AN270" s="1" t="str">
        <f>IF(HR_Data[[#This Row],[YearsAtCompany]]&lt;2,"0-1 Years",IF(HR_Data[[#This Row],[YearsAtCompany]]&lt;=5,"2-5 Years",IF(HR_Data[[#This Row],[YearsAtCompany]]&lt;=10,"6-10 Years","10+ Years")))</f>
        <v>10+ Years</v>
      </c>
      <c r="AO270" s="1" t="str">
        <f>IF(HR_Data[[#This Row],[JobSatisfaction]]=1,"Low",IF(HR_Data[[#This Row],[JobSatisfaction]]=2,"Medium",IF(HR_Data[[#This Row],[JobSatisfaction]]=3,"High","Very High")))</f>
        <v>Very High</v>
      </c>
      <c r="AP270" s="1" t="str">
        <f>IF(HR_Data[[#This Row],[WorkLifeBalance]]=1,"Bad",IF(HR_Data[[#This Row],[WorkLifeBalance]]=2,"Good",IF(HR_Data[[#This Row],[WorkLifeBalance]]=3,"Better","Best")))</f>
        <v>Better</v>
      </c>
    </row>
    <row r="271" spans="1:42" x14ac:dyDescent="0.3">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c r="AJ271">
        <f>IF(HR_Data[[#This Row],[Attrition]]="Yes",1,0)</f>
        <v>0</v>
      </c>
      <c r="AK271">
        <f>IF(HR_Data[[#This Row],[Attrition]]="No",1,0)</f>
        <v>1</v>
      </c>
      <c r="AL271" t="str">
        <f>IF(HR_Data[[#This Row],[Age]]&lt;25,"Under 25",IF(HR_Data[[#This Row],[Age]]&lt;=34,"25-34",IF(HR_Data[[#This Row],[Age]]&lt;=44,"35-44",IF(HR_Data[[#This Row],[Age]]&lt;=54,"45-54","55+"))))</f>
        <v>35-44</v>
      </c>
      <c r="AM271" s="1" t="str">
        <f>IF(HR_Data[[#This Row],[MonthlyIncome]]&lt;3000,"Low Salary",IF(HR_Data[[#This Row],[MonthlyIncome]]&lt;=7000,"Medium Salary","High Salary"))</f>
        <v>Medium Salary</v>
      </c>
      <c r="AN271" s="1" t="str">
        <f>IF(HR_Data[[#This Row],[YearsAtCompany]]&lt;2,"0-1 Years",IF(HR_Data[[#This Row],[YearsAtCompany]]&lt;=5,"2-5 Years",IF(HR_Data[[#This Row],[YearsAtCompany]]&lt;=10,"6-10 Years","10+ Years")))</f>
        <v>10+ Years</v>
      </c>
      <c r="AO271" s="1" t="str">
        <f>IF(HR_Data[[#This Row],[JobSatisfaction]]=1,"Low",IF(HR_Data[[#This Row],[JobSatisfaction]]=2,"Medium",IF(HR_Data[[#This Row],[JobSatisfaction]]=3,"High","Very High")))</f>
        <v>Very High</v>
      </c>
      <c r="AP271" s="1" t="str">
        <f>IF(HR_Data[[#This Row],[WorkLifeBalance]]=1,"Bad",IF(HR_Data[[#This Row],[WorkLifeBalance]]=2,"Good",IF(HR_Data[[#This Row],[WorkLifeBalance]]=3,"Better","Best")))</f>
        <v>Better</v>
      </c>
    </row>
    <row r="272" spans="1:42" x14ac:dyDescent="0.3">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c r="AJ272">
        <f>IF(HR_Data[[#This Row],[Attrition]]="Yes",1,0)</f>
        <v>0</v>
      </c>
      <c r="AK272">
        <f>IF(HR_Data[[#This Row],[Attrition]]="No",1,0)</f>
        <v>1</v>
      </c>
      <c r="AL272" t="str">
        <f>IF(HR_Data[[#This Row],[Age]]&lt;25,"Under 25",IF(HR_Data[[#This Row],[Age]]&lt;=34,"25-34",IF(HR_Data[[#This Row],[Age]]&lt;=44,"35-44",IF(HR_Data[[#This Row],[Age]]&lt;=54,"45-54","55+"))))</f>
        <v>55+</v>
      </c>
      <c r="AM272" s="1" t="str">
        <f>IF(HR_Data[[#This Row],[MonthlyIncome]]&lt;3000,"Low Salary",IF(HR_Data[[#This Row],[MonthlyIncome]]&lt;=7000,"Medium Salary","High Salary"))</f>
        <v>High Salary</v>
      </c>
      <c r="AN272" s="1" t="str">
        <f>IF(HR_Data[[#This Row],[YearsAtCompany]]&lt;2,"0-1 Years",IF(HR_Data[[#This Row],[YearsAtCompany]]&lt;=5,"2-5 Years",IF(HR_Data[[#This Row],[YearsAtCompany]]&lt;=10,"6-10 Years","10+ Years")))</f>
        <v>10+ Years</v>
      </c>
      <c r="AO272" s="1" t="str">
        <f>IF(HR_Data[[#This Row],[JobSatisfaction]]=1,"Low",IF(HR_Data[[#This Row],[JobSatisfaction]]=2,"Medium",IF(HR_Data[[#This Row],[JobSatisfaction]]=3,"High","Very High")))</f>
        <v>Low</v>
      </c>
      <c r="AP272" s="1" t="str">
        <f>IF(HR_Data[[#This Row],[WorkLifeBalance]]=1,"Bad",IF(HR_Data[[#This Row],[WorkLifeBalance]]=2,"Good",IF(HR_Data[[#This Row],[WorkLifeBalance]]=3,"Better","Best")))</f>
        <v>Better</v>
      </c>
    </row>
    <row r="273" spans="1:42" x14ac:dyDescent="0.3">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c r="AJ273">
        <f>IF(HR_Data[[#This Row],[Attrition]]="Yes",1,0)</f>
        <v>1</v>
      </c>
      <c r="AK273">
        <f>IF(HR_Data[[#This Row],[Attrition]]="No",1,0)</f>
        <v>0</v>
      </c>
      <c r="AL273" t="str">
        <f>IF(HR_Data[[#This Row],[Age]]&lt;25,"Under 25",IF(HR_Data[[#This Row],[Age]]&lt;=34,"25-34",IF(HR_Data[[#This Row],[Age]]&lt;=44,"35-44",IF(HR_Data[[#This Row],[Age]]&lt;=54,"45-54","55+"))))</f>
        <v>45-54</v>
      </c>
      <c r="AM273" s="1" t="str">
        <f>IF(HR_Data[[#This Row],[MonthlyIncome]]&lt;3000,"Low Salary",IF(HR_Data[[#This Row],[MonthlyIncome]]&lt;=7000,"Medium Salary","High Salary"))</f>
        <v>High Salary</v>
      </c>
      <c r="AN273" s="1" t="str">
        <f>IF(HR_Data[[#This Row],[YearsAtCompany]]&lt;2,"0-1 Years",IF(HR_Data[[#This Row],[YearsAtCompany]]&lt;=5,"2-5 Years",IF(HR_Data[[#This Row],[YearsAtCompany]]&lt;=10,"6-10 Years","10+ Years")))</f>
        <v>6-10 Years</v>
      </c>
      <c r="AO273" s="1" t="str">
        <f>IF(HR_Data[[#This Row],[JobSatisfaction]]=1,"Low",IF(HR_Data[[#This Row],[JobSatisfaction]]=2,"Medium",IF(HR_Data[[#This Row],[JobSatisfaction]]=3,"High","Very High")))</f>
        <v>Medium</v>
      </c>
      <c r="AP273" s="1" t="str">
        <f>IF(HR_Data[[#This Row],[WorkLifeBalance]]=1,"Bad",IF(HR_Data[[#This Row],[WorkLifeBalance]]=2,"Good",IF(HR_Data[[#This Row],[WorkLifeBalance]]=3,"Better","Best")))</f>
        <v>Good</v>
      </c>
    </row>
    <row r="274" spans="1:42" x14ac:dyDescent="0.3">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c r="AJ274">
        <f>IF(HR_Data[[#This Row],[Attrition]]="Yes",1,0)</f>
        <v>0</v>
      </c>
      <c r="AK274">
        <f>IF(HR_Data[[#This Row],[Attrition]]="No",1,0)</f>
        <v>1</v>
      </c>
      <c r="AL274" t="str">
        <f>IF(HR_Data[[#This Row],[Age]]&lt;25,"Under 25",IF(HR_Data[[#This Row],[Age]]&lt;=34,"25-34",IF(HR_Data[[#This Row],[Age]]&lt;=44,"35-44",IF(HR_Data[[#This Row],[Age]]&lt;=54,"45-54","55+"))))</f>
        <v>25-34</v>
      </c>
      <c r="AM274" s="1" t="str">
        <f>IF(HR_Data[[#This Row],[MonthlyIncome]]&lt;3000,"Low Salary",IF(HR_Data[[#This Row],[MonthlyIncome]]&lt;=7000,"Medium Salary","High Salary"))</f>
        <v>Low Salary</v>
      </c>
      <c r="AN274" s="1" t="str">
        <f>IF(HR_Data[[#This Row],[YearsAtCompany]]&lt;2,"0-1 Years",IF(HR_Data[[#This Row],[YearsAtCompany]]&lt;=5,"2-5 Years",IF(HR_Data[[#This Row],[YearsAtCompany]]&lt;=10,"6-10 Years","10+ Years")))</f>
        <v>2-5 Years</v>
      </c>
      <c r="AO274" s="1" t="str">
        <f>IF(HR_Data[[#This Row],[JobSatisfaction]]=1,"Low",IF(HR_Data[[#This Row],[JobSatisfaction]]=2,"Medium",IF(HR_Data[[#This Row],[JobSatisfaction]]=3,"High","Very High")))</f>
        <v>Very High</v>
      </c>
      <c r="AP274" s="1" t="str">
        <f>IF(HR_Data[[#This Row],[WorkLifeBalance]]=1,"Bad",IF(HR_Data[[#This Row],[WorkLifeBalance]]=2,"Good",IF(HR_Data[[#This Row],[WorkLifeBalance]]=3,"Better","Best")))</f>
        <v>Good</v>
      </c>
    </row>
    <row r="275" spans="1:42" x14ac:dyDescent="0.3">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c r="AJ275">
        <f>IF(HR_Data[[#This Row],[Attrition]]="Yes",1,0)</f>
        <v>0</v>
      </c>
      <c r="AK275">
        <f>IF(HR_Data[[#This Row],[Attrition]]="No",1,0)</f>
        <v>1</v>
      </c>
      <c r="AL275" t="str">
        <f>IF(HR_Data[[#This Row],[Age]]&lt;25,"Under 25",IF(HR_Data[[#This Row],[Age]]&lt;=34,"25-34",IF(HR_Data[[#This Row],[Age]]&lt;=44,"35-44",IF(HR_Data[[#This Row],[Age]]&lt;=54,"45-54","55+"))))</f>
        <v>35-44</v>
      </c>
      <c r="AM275" s="1" t="str">
        <f>IF(HR_Data[[#This Row],[MonthlyIncome]]&lt;3000,"Low Salary",IF(HR_Data[[#This Row],[MonthlyIncome]]&lt;=7000,"Medium Salary","High Salary"))</f>
        <v>Medium Salary</v>
      </c>
      <c r="AN275" s="1" t="str">
        <f>IF(HR_Data[[#This Row],[YearsAtCompany]]&lt;2,"0-1 Years",IF(HR_Data[[#This Row],[YearsAtCompany]]&lt;=5,"2-5 Years",IF(HR_Data[[#This Row],[YearsAtCompany]]&lt;=10,"6-10 Years","10+ Years")))</f>
        <v>2-5 Years</v>
      </c>
      <c r="AO275" s="1" t="str">
        <f>IF(HR_Data[[#This Row],[JobSatisfaction]]=1,"Low",IF(HR_Data[[#This Row],[JobSatisfaction]]=2,"Medium",IF(HR_Data[[#This Row],[JobSatisfaction]]=3,"High","Very High")))</f>
        <v>Very High</v>
      </c>
      <c r="AP275" s="1" t="str">
        <f>IF(HR_Data[[#This Row],[WorkLifeBalance]]=1,"Bad",IF(HR_Data[[#This Row],[WorkLifeBalance]]=2,"Good",IF(HR_Data[[#This Row],[WorkLifeBalance]]=3,"Better","Best")))</f>
        <v>Best</v>
      </c>
    </row>
    <row r="276" spans="1:42" x14ac:dyDescent="0.3">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c r="AJ276">
        <f>IF(HR_Data[[#This Row],[Attrition]]="Yes",1,0)</f>
        <v>0</v>
      </c>
      <c r="AK276">
        <f>IF(HR_Data[[#This Row],[Attrition]]="No",1,0)</f>
        <v>1</v>
      </c>
      <c r="AL276" t="str">
        <f>IF(HR_Data[[#This Row],[Age]]&lt;25,"Under 25",IF(HR_Data[[#This Row],[Age]]&lt;=34,"25-34",IF(HR_Data[[#This Row],[Age]]&lt;=44,"35-44",IF(HR_Data[[#This Row],[Age]]&lt;=54,"45-54","55+"))))</f>
        <v>Under 25</v>
      </c>
      <c r="AM276" s="1" t="str">
        <f>IF(HR_Data[[#This Row],[MonthlyIncome]]&lt;3000,"Low Salary",IF(HR_Data[[#This Row],[MonthlyIncome]]&lt;=7000,"Medium Salary","High Salary"))</f>
        <v>Medium Salary</v>
      </c>
      <c r="AN276" s="1" t="str">
        <f>IF(HR_Data[[#This Row],[YearsAtCompany]]&lt;2,"0-1 Years",IF(HR_Data[[#This Row],[YearsAtCompany]]&lt;=5,"2-5 Years",IF(HR_Data[[#This Row],[YearsAtCompany]]&lt;=10,"6-10 Years","10+ Years")))</f>
        <v>2-5 Years</v>
      </c>
      <c r="AO276" s="1" t="str">
        <f>IF(HR_Data[[#This Row],[JobSatisfaction]]=1,"Low",IF(HR_Data[[#This Row],[JobSatisfaction]]=2,"Medium",IF(HR_Data[[#This Row],[JobSatisfaction]]=3,"High","Very High")))</f>
        <v>High</v>
      </c>
      <c r="AP276" s="1" t="str">
        <f>IF(HR_Data[[#This Row],[WorkLifeBalance]]=1,"Bad",IF(HR_Data[[#This Row],[WorkLifeBalance]]=2,"Good",IF(HR_Data[[#This Row],[WorkLifeBalance]]=3,"Better","Best")))</f>
        <v>Best</v>
      </c>
    </row>
    <row r="277" spans="1:42" x14ac:dyDescent="0.3">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c r="AJ277">
        <f>IF(HR_Data[[#This Row],[Attrition]]="Yes",1,0)</f>
        <v>0</v>
      </c>
      <c r="AK277">
        <f>IF(HR_Data[[#This Row],[Attrition]]="No",1,0)</f>
        <v>1</v>
      </c>
      <c r="AL277" t="str">
        <f>IF(HR_Data[[#This Row],[Age]]&lt;25,"Under 25",IF(HR_Data[[#This Row],[Age]]&lt;=34,"25-34",IF(HR_Data[[#This Row],[Age]]&lt;=44,"35-44",IF(HR_Data[[#This Row],[Age]]&lt;=54,"45-54","55+"))))</f>
        <v>35-44</v>
      </c>
      <c r="AM277" s="1" t="str">
        <f>IF(HR_Data[[#This Row],[MonthlyIncome]]&lt;3000,"Low Salary",IF(HR_Data[[#This Row],[MonthlyIncome]]&lt;=7000,"Medium Salary","High Salary"))</f>
        <v>High Salary</v>
      </c>
      <c r="AN277" s="1" t="str">
        <f>IF(HR_Data[[#This Row],[YearsAtCompany]]&lt;2,"0-1 Years",IF(HR_Data[[#This Row],[YearsAtCompany]]&lt;=5,"2-5 Years",IF(HR_Data[[#This Row],[YearsAtCompany]]&lt;=10,"6-10 Years","10+ Years")))</f>
        <v>2-5 Years</v>
      </c>
      <c r="AO277" s="1" t="str">
        <f>IF(HR_Data[[#This Row],[JobSatisfaction]]=1,"Low",IF(HR_Data[[#This Row],[JobSatisfaction]]=2,"Medium",IF(HR_Data[[#This Row],[JobSatisfaction]]=3,"High","Very High")))</f>
        <v>Very High</v>
      </c>
      <c r="AP277" s="1" t="str">
        <f>IF(HR_Data[[#This Row],[WorkLifeBalance]]=1,"Bad",IF(HR_Data[[#This Row],[WorkLifeBalance]]=2,"Good",IF(HR_Data[[#This Row],[WorkLifeBalance]]=3,"Better","Best")))</f>
        <v>Better</v>
      </c>
    </row>
    <row r="278" spans="1:42" x14ac:dyDescent="0.3">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c r="AJ278">
        <f>IF(HR_Data[[#This Row],[Attrition]]="Yes",1,0)</f>
        <v>0</v>
      </c>
      <c r="AK278">
        <f>IF(HR_Data[[#This Row],[Attrition]]="No",1,0)</f>
        <v>1</v>
      </c>
      <c r="AL278" t="str">
        <f>IF(HR_Data[[#This Row],[Age]]&lt;25,"Under 25",IF(HR_Data[[#This Row],[Age]]&lt;=34,"25-34",IF(HR_Data[[#This Row],[Age]]&lt;=44,"35-44",IF(HR_Data[[#This Row],[Age]]&lt;=54,"45-54","55+"))))</f>
        <v>35-44</v>
      </c>
      <c r="AM278" s="1" t="str">
        <f>IF(HR_Data[[#This Row],[MonthlyIncome]]&lt;3000,"Low Salary",IF(HR_Data[[#This Row],[MonthlyIncome]]&lt;=7000,"Medium Salary","High Salary"))</f>
        <v>High Salary</v>
      </c>
      <c r="AN278" s="1" t="str">
        <f>IF(HR_Data[[#This Row],[YearsAtCompany]]&lt;2,"0-1 Years",IF(HR_Data[[#This Row],[YearsAtCompany]]&lt;=5,"2-5 Years",IF(HR_Data[[#This Row],[YearsAtCompany]]&lt;=10,"6-10 Years","10+ Years")))</f>
        <v>6-10 Years</v>
      </c>
      <c r="AO278" s="1" t="str">
        <f>IF(HR_Data[[#This Row],[JobSatisfaction]]=1,"Low",IF(HR_Data[[#This Row],[JobSatisfaction]]=2,"Medium",IF(HR_Data[[#This Row],[JobSatisfaction]]=3,"High","Very High")))</f>
        <v>Medium</v>
      </c>
      <c r="AP278" s="1" t="str">
        <f>IF(HR_Data[[#This Row],[WorkLifeBalance]]=1,"Bad",IF(HR_Data[[#This Row],[WorkLifeBalance]]=2,"Good",IF(HR_Data[[#This Row],[WorkLifeBalance]]=3,"Better","Best")))</f>
        <v>Good</v>
      </c>
    </row>
    <row r="279" spans="1:42" x14ac:dyDescent="0.3">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c r="AJ279">
        <f>IF(HR_Data[[#This Row],[Attrition]]="Yes",1,0)</f>
        <v>0</v>
      </c>
      <c r="AK279">
        <f>IF(HR_Data[[#This Row],[Attrition]]="No",1,0)</f>
        <v>1</v>
      </c>
      <c r="AL279" t="str">
        <f>IF(HR_Data[[#This Row],[Age]]&lt;25,"Under 25",IF(HR_Data[[#This Row],[Age]]&lt;=34,"25-34",IF(HR_Data[[#This Row],[Age]]&lt;=44,"35-44",IF(HR_Data[[#This Row],[Age]]&lt;=54,"45-54","55+"))))</f>
        <v>35-44</v>
      </c>
      <c r="AM279" s="1" t="str">
        <f>IF(HR_Data[[#This Row],[MonthlyIncome]]&lt;3000,"Low Salary",IF(HR_Data[[#This Row],[MonthlyIncome]]&lt;=7000,"Medium Salary","High Salary"))</f>
        <v>Medium Salary</v>
      </c>
      <c r="AN279" s="1" t="str">
        <f>IF(HR_Data[[#This Row],[YearsAtCompany]]&lt;2,"0-1 Years",IF(HR_Data[[#This Row],[YearsAtCompany]]&lt;=5,"2-5 Years",IF(HR_Data[[#This Row],[YearsAtCompany]]&lt;=10,"6-10 Years","10+ Years")))</f>
        <v>6-10 Years</v>
      </c>
      <c r="AO279" s="1" t="str">
        <f>IF(HR_Data[[#This Row],[JobSatisfaction]]=1,"Low",IF(HR_Data[[#This Row],[JobSatisfaction]]=2,"Medium",IF(HR_Data[[#This Row],[JobSatisfaction]]=3,"High","Very High")))</f>
        <v>Low</v>
      </c>
      <c r="AP279" s="1" t="str">
        <f>IF(HR_Data[[#This Row],[WorkLifeBalance]]=1,"Bad",IF(HR_Data[[#This Row],[WorkLifeBalance]]=2,"Good",IF(HR_Data[[#This Row],[WorkLifeBalance]]=3,"Better","Best")))</f>
        <v>Better</v>
      </c>
    </row>
    <row r="280" spans="1:42" x14ac:dyDescent="0.3">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c r="AJ280">
        <f>IF(HR_Data[[#This Row],[Attrition]]="Yes",1,0)</f>
        <v>0</v>
      </c>
      <c r="AK280">
        <f>IF(HR_Data[[#This Row],[Attrition]]="No",1,0)</f>
        <v>1</v>
      </c>
      <c r="AL280" t="str">
        <f>IF(HR_Data[[#This Row],[Age]]&lt;25,"Under 25",IF(HR_Data[[#This Row],[Age]]&lt;=34,"25-34",IF(HR_Data[[#This Row],[Age]]&lt;=44,"35-44",IF(HR_Data[[#This Row],[Age]]&lt;=54,"45-54","55+"))))</f>
        <v>25-34</v>
      </c>
      <c r="AM280" s="1" t="str">
        <f>IF(HR_Data[[#This Row],[MonthlyIncome]]&lt;3000,"Low Salary",IF(HR_Data[[#This Row],[MonthlyIncome]]&lt;=7000,"Medium Salary","High Salary"))</f>
        <v>Medium Salary</v>
      </c>
      <c r="AN280" s="1" t="str">
        <f>IF(HR_Data[[#This Row],[YearsAtCompany]]&lt;2,"0-1 Years",IF(HR_Data[[#This Row],[YearsAtCompany]]&lt;=5,"2-5 Years",IF(HR_Data[[#This Row],[YearsAtCompany]]&lt;=10,"6-10 Years","10+ Years")))</f>
        <v>6-10 Years</v>
      </c>
      <c r="AO280" s="1" t="str">
        <f>IF(HR_Data[[#This Row],[JobSatisfaction]]=1,"Low",IF(HR_Data[[#This Row],[JobSatisfaction]]=2,"Medium",IF(HR_Data[[#This Row],[JobSatisfaction]]=3,"High","Very High")))</f>
        <v>Medium</v>
      </c>
      <c r="AP280" s="1" t="str">
        <f>IF(HR_Data[[#This Row],[WorkLifeBalance]]=1,"Bad",IF(HR_Data[[#This Row],[WorkLifeBalance]]=2,"Good",IF(HR_Data[[#This Row],[WorkLifeBalance]]=3,"Better","Best")))</f>
        <v>Bad</v>
      </c>
    </row>
    <row r="281" spans="1:42" x14ac:dyDescent="0.3">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c r="AJ281">
        <f>IF(HR_Data[[#This Row],[Attrition]]="Yes",1,0)</f>
        <v>0</v>
      </c>
      <c r="AK281">
        <f>IF(HR_Data[[#This Row],[Attrition]]="No",1,0)</f>
        <v>1</v>
      </c>
      <c r="AL281" t="str">
        <f>IF(HR_Data[[#This Row],[Age]]&lt;25,"Under 25",IF(HR_Data[[#This Row],[Age]]&lt;=34,"25-34",IF(HR_Data[[#This Row],[Age]]&lt;=44,"35-44",IF(HR_Data[[#This Row],[Age]]&lt;=54,"45-54","55+"))))</f>
        <v>45-54</v>
      </c>
      <c r="AM281" s="1" t="str">
        <f>IF(HR_Data[[#This Row],[MonthlyIncome]]&lt;3000,"Low Salary",IF(HR_Data[[#This Row],[MonthlyIncome]]&lt;=7000,"Medium Salary","High Salary"))</f>
        <v>High Salary</v>
      </c>
      <c r="AN281" s="1" t="str">
        <f>IF(HR_Data[[#This Row],[YearsAtCompany]]&lt;2,"0-1 Years",IF(HR_Data[[#This Row],[YearsAtCompany]]&lt;=5,"2-5 Years",IF(HR_Data[[#This Row],[YearsAtCompany]]&lt;=10,"6-10 Years","10+ Years")))</f>
        <v>6-10 Years</v>
      </c>
      <c r="AO281" s="1" t="str">
        <f>IF(HR_Data[[#This Row],[JobSatisfaction]]=1,"Low",IF(HR_Data[[#This Row],[JobSatisfaction]]=2,"Medium",IF(HR_Data[[#This Row],[JobSatisfaction]]=3,"High","Very High")))</f>
        <v>Medium</v>
      </c>
      <c r="AP281" s="1" t="str">
        <f>IF(HR_Data[[#This Row],[WorkLifeBalance]]=1,"Bad",IF(HR_Data[[#This Row],[WorkLifeBalance]]=2,"Good",IF(HR_Data[[#This Row],[WorkLifeBalance]]=3,"Better","Best")))</f>
        <v>Good</v>
      </c>
    </row>
    <row r="282" spans="1:42" x14ac:dyDescent="0.3">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c r="AJ282">
        <f>IF(HR_Data[[#This Row],[Attrition]]="Yes",1,0)</f>
        <v>0</v>
      </c>
      <c r="AK282">
        <f>IF(HR_Data[[#This Row],[Attrition]]="No",1,0)</f>
        <v>1</v>
      </c>
      <c r="AL282" t="str">
        <f>IF(HR_Data[[#This Row],[Age]]&lt;25,"Under 25",IF(HR_Data[[#This Row],[Age]]&lt;=34,"25-34",IF(HR_Data[[#This Row],[Age]]&lt;=44,"35-44",IF(HR_Data[[#This Row],[Age]]&lt;=54,"45-54","55+"))))</f>
        <v>45-54</v>
      </c>
      <c r="AM282" s="1" t="str">
        <f>IF(HR_Data[[#This Row],[MonthlyIncome]]&lt;3000,"Low Salary",IF(HR_Data[[#This Row],[MonthlyIncome]]&lt;=7000,"Medium Salary","High Salary"))</f>
        <v>High Salary</v>
      </c>
      <c r="AN282" s="1" t="str">
        <f>IF(HR_Data[[#This Row],[YearsAtCompany]]&lt;2,"0-1 Years",IF(HR_Data[[#This Row],[YearsAtCompany]]&lt;=5,"2-5 Years",IF(HR_Data[[#This Row],[YearsAtCompany]]&lt;=10,"6-10 Years","10+ Years")))</f>
        <v>2-5 Years</v>
      </c>
      <c r="AO282" s="1" t="str">
        <f>IF(HR_Data[[#This Row],[JobSatisfaction]]=1,"Low",IF(HR_Data[[#This Row],[JobSatisfaction]]=2,"Medium",IF(HR_Data[[#This Row],[JobSatisfaction]]=3,"High","Very High")))</f>
        <v>High</v>
      </c>
      <c r="AP282" s="1" t="str">
        <f>IF(HR_Data[[#This Row],[WorkLifeBalance]]=1,"Bad",IF(HR_Data[[#This Row],[WorkLifeBalance]]=2,"Good",IF(HR_Data[[#This Row],[WorkLifeBalance]]=3,"Better","Best")))</f>
        <v>Good</v>
      </c>
    </row>
    <row r="283" spans="1:42" x14ac:dyDescent="0.3">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c r="AJ283">
        <f>IF(HR_Data[[#This Row],[Attrition]]="Yes",1,0)</f>
        <v>0</v>
      </c>
      <c r="AK283">
        <f>IF(HR_Data[[#This Row],[Attrition]]="No",1,0)</f>
        <v>1</v>
      </c>
      <c r="AL283" t="str">
        <f>IF(HR_Data[[#This Row],[Age]]&lt;25,"Under 25",IF(HR_Data[[#This Row],[Age]]&lt;=34,"25-34",IF(HR_Data[[#This Row],[Age]]&lt;=44,"35-44",IF(HR_Data[[#This Row],[Age]]&lt;=54,"45-54","55+"))))</f>
        <v>35-44</v>
      </c>
      <c r="AM283" s="1" t="str">
        <f>IF(HR_Data[[#This Row],[MonthlyIncome]]&lt;3000,"Low Salary",IF(HR_Data[[#This Row],[MonthlyIncome]]&lt;=7000,"Medium Salary","High Salary"))</f>
        <v>Medium Salary</v>
      </c>
      <c r="AN283" s="1" t="str">
        <f>IF(HR_Data[[#This Row],[YearsAtCompany]]&lt;2,"0-1 Years",IF(HR_Data[[#This Row],[YearsAtCompany]]&lt;=5,"2-5 Years",IF(HR_Data[[#This Row],[YearsAtCompany]]&lt;=10,"6-10 Years","10+ Years")))</f>
        <v>10+ Years</v>
      </c>
      <c r="AO283" s="1" t="str">
        <f>IF(HR_Data[[#This Row],[JobSatisfaction]]=1,"Low",IF(HR_Data[[#This Row],[JobSatisfaction]]=2,"Medium",IF(HR_Data[[#This Row],[JobSatisfaction]]=3,"High","Very High")))</f>
        <v>High</v>
      </c>
      <c r="AP283" s="1" t="str">
        <f>IF(HR_Data[[#This Row],[WorkLifeBalance]]=1,"Bad",IF(HR_Data[[#This Row],[WorkLifeBalance]]=2,"Good",IF(HR_Data[[#This Row],[WorkLifeBalance]]=3,"Better","Best")))</f>
        <v>Better</v>
      </c>
    </row>
    <row r="284" spans="1:42" x14ac:dyDescent="0.3">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c r="AJ284">
        <f>IF(HR_Data[[#This Row],[Attrition]]="Yes",1,0)</f>
        <v>0</v>
      </c>
      <c r="AK284">
        <f>IF(HR_Data[[#This Row],[Attrition]]="No",1,0)</f>
        <v>1</v>
      </c>
      <c r="AL284" t="str">
        <f>IF(HR_Data[[#This Row],[Age]]&lt;25,"Under 25",IF(HR_Data[[#This Row],[Age]]&lt;=34,"25-34",IF(HR_Data[[#This Row],[Age]]&lt;=44,"35-44",IF(HR_Data[[#This Row],[Age]]&lt;=54,"45-54","55+"))))</f>
        <v>25-34</v>
      </c>
      <c r="AM284" s="1" t="str">
        <f>IF(HR_Data[[#This Row],[MonthlyIncome]]&lt;3000,"Low Salary",IF(HR_Data[[#This Row],[MonthlyIncome]]&lt;=7000,"Medium Salary","High Salary"))</f>
        <v>Medium Salary</v>
      </c>
      <c r="AN284" s="1" t="str">
        <f>IF(HR_Data[[#This Row],[YearsAtCompany]]&lt;2,"0-1 Years",IF(HR_Data[[#This Row],[YearsAtCompany]]&lt;=5,"2-5 Years",IF(HR_Data[[#This Row],[YearsAtCompany]]&lt;=10,"6-10 Years","10+ Years")))</f>
        <v>6-10 Years</v>
      </c>
      <c r="AO284" s="1" t="str">
        <f>IF(HR_Data[[#This Row],[JobSatisfaction]]=1,"Low",IF(HR_Data[[#This Row],[JobSatisfaction]]=2,"Medium",IF(HR_Data[[#This Row],[JobSatisfaction]]=3,"High","Very High")))</f>
        <v>Very High</v>
      </c>
      <c r="AP284" s="1" t="str">
        <f>IF(HR_Data[[#This Row],[WorkLifeBalance]]=1,"Bad",IF(HR_Data[[#This Row],[WorkLifeBalance]]=2,"Good",IF(HR_Data[[#This Row],[WorkLifeBalance]]=3,"Better","Best")))</f>
        <v>Good</v>
      </c>
    </row>
    <row r="285" spans="1:42" x14ac:dyDescent="0.3">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c r="AJ285">
        <f>IF(HR_Data[[#This Row],[Attrition]]="Yes",1,0)</f>
        <v>0</v>
      </c>
      <c r="AK285">
        <f>IF(HR_Data[[#This Row],[Attrition]]="No",1,0)</f>
        <v>1</v>
      </c>
      <c r="AL285" t="str">
        <f>IF(HR_Data[[#This Row],[Age]]&lt;25,"Under 25",IF(HR_Data[[#This Row],[Age]]&lt;=34,"25-34",IF(HR_Data[[#This Row],[Age]]&lt;=44,"35-44",IF(HR_Data[[#This Row],[Age]]&lt;=54,"45-54","55+"))))</f>
        <v>55+</v>
      </c>
      <c r="AM285" s="1" t="str">
        <f>IF(HR_Data[[#This Row],[MonthlyIncome]]&lt;3000,"Low Salary",IF(HR_Data[[#This Row],[MonthlyIncome]]&lt;=7000,"Medium Salary","High Salary"))</f>
        <v>Medium Salary</v>
      </c>
      <c r="AN285" s="1" t="str">
        <f>IF(HR_Data[[#This Row],[YearsAtCompany]]&lt;2,"0-1 Years",IF(HR_Data[[#This Row],[YearsAtCompany]]&lt;=5,"2-5 Years",IF(HR_Data[[#This Row],[YearsAtCompany]]&lt;=10,"6-10 Years","10+ Years")))</f>
        <v>6-10 Years</v>
      </c>
      <c r="AO285" s="1" t="str">
        <f>IF(HR_Data[[#This Row],[JobSatisfaction]]=1,"Low",IF(HR_Data[[#This Row],[JobSatisfaction]]=2,"Medium",IF(HR_Data[[#This Row],[JobSatisfaction]]=3,"High","Very High")))</f>
        <v>Very High</v>
      </c>
      <c r="AP285" s="1" t="str">
        <f>IF(HR_Data[[#This Row],[WorkLifeBalance]]=1,"Bad",IF(HR_Data[[#This Row],[WorkLifeBalance]]=2,"Good",IF(HR_Data[[#This Row],[WorkLifeBalance]]=3,"Better","Best")))</f>
        <v>Better</v>
      </c>
    </row>
    <row r="286" spans="1:42" x14ac:dyDescent="0.3">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c r="AJ286">
        <f>IF(HR_Data[[#This Row],[Attrition]]="Yes",1,0)</f>
        <v>0</v>
      </c>
      <c r="AK286">
        <f>IF(HR_Data[[#This Row],[Attrition]]="No",1,0)</f>
        <v>1</v>
      </c>
      <c r="AL286" t="str">
        <f>IF(HR_Data[[#This Row],[Age]]&lt;25,"Under 25",IF(HR_Data[[#This Row],[Age]]&lt;=34,"25-34",IF(HR_Data[[#This Row],[Age]]&lt;=44,"35-44",IF(HR_Data[[#This Row],[Age]]&lt;=54,"45-54","55+"))))</f>
        <v>25-34</v>
      </c>
      <c r="AM286" s="1" t="str">
        <f>IF(HR_Data[[#This Row],[MonthlyIncome]]&lt;3000,"Low Salary",IF(HR_Data[[#This Row],[MonthlyIncome]]&lt;=7000,"Medium Salary","High Salary"))</f>
        <v>Medium Salary</v>
      </c>
      <c r="AN286" s="1" t="str">
        <f>IF(HR_Data[[#This Row],[YearsAtCompany]]&lt;2,"0-1 Years",IF(HR_Data[[#This Row],[YearsAtCompany]]&lt;=5,"2-5 Years",IF(HR_Data[[#This Row],[YearsAtCompany]]&lt;=10,"6-10 Years","10+ Years")))</f>
        <v>2-5 Years</v>
      </c>
      <c r="AO286" s="1" t="str">
        <f>IF(HR_Data[[#This Row],[JobSatisfaction]]=1,"Low",IF(HR_Data[[#This Row],[JobSatisfaction]]=2,"Medium",IF(HR_Data[[#This Row],[JobSatisfaction]]=3,"High","Very High")))</f>
        <v>Low</v>
      </c>
      <c r="AP286" s="1" t="str">
        <f>IF(HR_Data[[#This Row],[WorkLifeBalance]]=1,"Bad",IF(HR_Data[[#This Row],[WorkLifeBalance]]=2,"Good",IF(HR_Data[[#This Row],[WorkLifeBalance]]=3,"Better","Best")))</f>
        <v>Better</v>
      </c>
    </row>
    <row r="287" spans="1:42" x14ac:dyDescent="0.3">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c r="AJ287">
        <f>IF(HR_Data[[#This Row],[Attrition]]="Yes",1,0)</f>
        <v>0</v>
      </c>
      <c r="AK287">
        <f>IF(HR_Data[[#This Row],[Attrition]]="No",1,0)</f>
        <v>1</v>
      </c>
      <c r="AL287" t="str">
        <f>IF(HR_Data[[#This Row],[Age]]&lt;25,"Under 25",IF(HR_Data[[#This Row],[Age]]&lt;=34,"25-34",IF(HR_Data[[#This Row],[Age]]&lt;=44,"35-44",IF(HR_Data[[#This Row],[Age]]&lt;=54,"45-54","55+"))))</f>
        <v>35-44</v>
      </c>
      <c r="AM287" s="1" t="str">
        <f>IF(HR_Data[[#This Row],[MonthlyIncome]]&lt;3000,"Low Salary",IF(HR_Data[[#This Row],[MonthlyIncome]]&lt;=7000,"Medium Salary","High Salary"))</f>
        <v>Low Salary</v>
      </c>
      <c r="AN287" s="1" t="str">
        <f>IF(HR_Data[[#This Row],[YearsAtCompany]]&lt;2,"0-1 Years",IF(HR_Data[[#This Row],[YearsAtCompany]]&lt;=5,"2-5 Years",IF(HR_Data[[#This Row],[YearsAtCompany]]&lt;=10,"6-10 Years","10+ Years")))</f>
        <v>10+ Years</v>
      </c>
      <c r="AO287" s="1" t="str">
        <f>IF(HR_Data[[#This Row],[JobSatisfaction]]=1,"Low",IF(HR_Data[[#This Row],[JobSatisfaction]]=2,"Medium",IF(HR_Data[[#This Row],[JobSatisfaction]]=3,"High","Very High")))</f>
        <v>Very High</v>
      </c>
      <c r="AP287" s="1" t="str">
        <f>IF(HR_Data[[#This Row],[WorkLifeBalance]]=1,"Bad",IF(HR_Data[[#This Row],[WorkLifeBalance]]=2,"Good",IF(HR_Data[[#This Row],[WorkLifeBalance]]=3,"Better","Best")))</f>
        <v>Better</v>
      </c>
    </row>
    <row r="288" spans="1:42" x14ac:dyDescent="0.3">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c r="AJ288">
        <f>IF(HR_Data[[#This Row],[Attrition]]="Yes",1,0)</f>
        <v>1</v>
      </c>
      <c r="AK288">
        <f>IF(HR_Data[[#This Row],[Attrition]]="No",1,0)</f>
        <v>0</v>
      </c>
      <c r="AL288" t="str">
        <f>IF(HR_Data[[#This Row],[Age]]&lt;25,"Under 25",IF(HR_Data[[#This Row],[Age]]&lt;=34,"25-34",IF(HR_Data[[#This Row],[Age]]&lt;=44,"35-44",IF(HR_Data[[#This Row],[Age]]&lt;=54,"45-54","55+"))))</f>
        <v>35-44</v>
      </c>
      <c r="AM288" s="1" t="str">
        <f>IF(HR_Data[[#This Row],[MonthlyIncome]]&lt;3000,"Low Salary",IF(HR_Data[[#This Row],[MonthlyIncome]]&lt;=7000,"Medium Salary","High Salary"))</f>
        <v>Medium Salary</v>
      </c>
      <c r="AN288" s="1" t="str">
        <f>IF(HR_Data[[#This Row],[YearsAtCompany]]&lt;2,"0-1 Years",IF(HR_Data[[#This Row],[YearsAtCompany]]&lt;=5,"2-5 Years",IF(HR_Data[[#This Row],[YearsAtCompany]]&lt;=10,"6-10 Years","10+ Years")))</f>
        <v>0-1 Years</v>
      </c>
      <c r="AO288" s="1" t="str">
        <f>IF(HR_Data[[#This Row],[JobSatisfaction]]=1,"Low",IF(HR_Data[[#This Row],[JobSatisfaction]]=2,"Medium",IF(HR_Data[[#This Row],[JobSatisfaction]]=3,"High","Very High")))</f>
        <v>High</v>
      </c>
      <c r="AP288" s="1" t="str">
        <f>IF(HR_Data[[#This Row],[WorkLifeBalance]]=1,"Bad",IF(HR_Data[[#This Row],[WorkLifeBalance]]=2,"Good",IF(HR_Data[[#This Row],[WorkLifeBalance]]=3,"Better","Best")))</f>
        <v>Bad</v>
      </c>
    </row>
    <row r="289" spans="1:42" x14ac:dyDescent="0.3">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c r="AJ289">
        <f>IF(HR_Data[[#This Row],[Attrition]]="Yes",1,0)</f>
        <v>0</v>
      </c>
      <c r="AK289">
        <f>IF(HR_Data[[#This Row],[Attrition]]="No",1,0)</f>
        <v>1</v>
      </c>
      <c r="AL289" t="str">
        <f>IF(HR_Data[[#This Row],[Age]]&lt;25,"Under 25",IF(HR_Data[[#This Row],[Age]]&lt;=34,"25-34",IF(HR_Data[[#This Row],[Age]]&lt;=44,"35-44",IF(HR_Data[[#This Row],[Age]]&lt;=54,"45-54","55+"))))</f>
        <v>35-44</v>
      </c>
      <c r="AM289" s="1" t="str">
        <f>IF(HR_Data[[#This Row],[MonthlyIncome]]&lt;3000,"Low Salary",IF(HR_Data[[#This Row],[MonthlyIncome]]&lt;=7000,"Medium Salary","High Salary"))</f>
        <v>Medium Salary</v>
      </c>
      <c r="AN289" s="1" t="str">
        <f>IF(HR_Data[[#This Row],[YearsAtCompany]]&lt;2,"0-1 Years",IF(HR_Data[[#This Row],[YearsAtCompany]]&lt;=5,"2-5 Years",IF(HR_Data[[#This Row],[YearsAtCompany]]&lt;=10,"6-10 Years","10+ Years")))</f>
        <v>2-5 Years</v>
      </c>
      <c r="AO289" s="1" t="str">
        <f>IF(HR_Data[[#This Row],[JobSatisfaction]]=1,"Low",IF(HR_Data[[#This Row],[JobSatisfaction]]=2,"Medium",IF(HR_Data[[#This Row],[JobSatisfaction]]=3,"High","Very High")))</f>
        <v>Very High</v>
      </c>
      <c r="AP289" s="1" t="str">
        <f>IF(HR_Data[[#This Row],[WorkLifeBalance]]=1,"Bad",IF(HR_Data[[#This Row],[WorkLifeBalance]]=2,"Good",IF(HR_Data[[#This Row],[WorkLifeBalance]]=3,"Better","Best")))</f>
        <v>Better</v>
      </c>
    </row>
    <row r="290" spans="1:42" x14ac:dyDescent="0.3">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c r="AJ290">
        <f>IF(HR_Data[[#This Row],[Attrition]]="Yes",1,0)</f>
        <v>1</v>
      </c>
      <c r="AK290">
        <f>IF(HR_Data[[#This Row],[Attrition]]="No",1,0)</f>
        <v>0</v>
      </c>
      <c r="AL290" t="str">
        <f>IF(HR_Data[[#This Row],[Age]]&lt;25,"Under 25",IF(HR_Data[[#This Row],[Age]]&lt;=34,"25-34",IF(HR_Data[[#This Row],[Age]]&lt;=44,"35-44",IF(HR_Data[[#This Row],[Age]]&lt;=54,"45-54","55+"))))</f>
        <v>25-34</v>
      </c>
      <c r="AM290" s="1" t="str">
        <f>IF(HR_Data[[#This Row],[MonthlyIncome]]&lt;3000,"Low Salary",IF(HR_Data[[#This Row],[MonthlyIncome]]&lt;=7000,"Medium Salary","High Salary"))</f>
        <v>Low Salary</v>
      </c>
      <c r="AN290" s="1" t="str">
        <f>IF(HR_Data[[#This Row],[YearsAtCompany]]&lt;2,"0-1 Years",IF(HR_Data[[#This Row],[YearsAtCompany]]&lt;=5,"2-5 Years",IF(HR_Data[[#This Row],[YearsAtCompany]]&lt;=10,"6-10 Years","10+ Years")))</f>
        <v>2-5 Years</v>
      </c>
      <c r="AO290" s="1" t="str">
        <f>IF(HR_Data[[#This Row],[JobSatisfaction]]=1,"Low",IF(HR_Data[[#This Row],[JobSatisfaction]]=2,"Medium",IF(HR_Data[[#This Row],[JobSatisfaction]]=3,"High","Very High")))</f>
        <v>Medium</v>
      </c>
      <c r="AP290" s="1" t="str">
        <f>IF(HR_Data[[#This Row],[WorkLifeBalance]]=1,"Bad",IF(HR_Data[[#This Row],[WorkLifeBalance]]=2,"Good",IF(HR_Data[[#This Row],[WorkLifeBalance]]=3,"Better","Best")))</f>
        <v>Better</v>
      </c>
    </row>
    <row r="291" spans="1:42" x14ac:dyDescent="0.3">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c r="AJ291">
        <f>IF(HR_Data[[#This Row],[Attrition]]="Yes",1,0)</f>
        <v>0</v>
      </c>
      <c r="AK291">
        <f>IF(HR_Data[[#This Row],[Attrition]]="No",1,0)</f>
        <v>1</v>
      </c>
      <c r="AL291" t="str">
        <f>IF(HR_Data[[#This Row],[Age]]&lt;25,"Under 25",IF(HR_Data[[#This Row],[Age]]&lt;=34,"25-34",IF(HR_Data[[#This Row],[Age]]&lt;=44,"35-44",IF(HR_Data[[#This Row],[Age]]&lt;=54,"45-54","55+"))))</f>
        <v>25-34</v>
      </c>
      <c r="AM291" s="1" t="str">
        <f>IF(HR_Data[[#This Row],[MonthlyIncome]]&lt;3000,"Low Salary",IF(HR_Data[[#This Row],[MonthlyIncome]]&lt;=7000,"Medium Salary","High Salary"))</f>
        <v>Medium Salary</v>
      </c>
      <c r="AN291" s="1" t="str">
        <f>IF(HR_Data[[#This Row],[YearsAtCompany]]&lt;2,"0-1 Years",IF(HR_Data[[#This Row],[YearsAtCompany]]&lt;=5,"2-5 Years",IF(HR_Data[[#This Row],[YearsAtCompany]]&lt;=10,"6-10 Years","10+ Years")))</f>
        <v>2-5 Years</v>
      </c>
      <c r="AO291" s="1" t="str">
        <f>IF(HR_Data[[#This Row],[JobSatisfaction]]=1,"Low",IF(HR_Data[[#This Row],[JobSatisfaction]]=2,"Medium",IF(HR_Data[[#This Row],[JobSatisfaction]]=3,"High","Very High")))</f>
        <v>Very High</v>
      </c>
      <c r="AP291" s="1" t="str">
        <f>IF(HR_Data[[#This Row],[WorkLifeBalance]]=1,"Bad",IF(HR_Data[[#This Row],[WorkLifeBalance]]=2,"Good",IF(HR_Data[[#This Row],[WorkLifeBalance]]=3,"Better","Best")))</f>
        <v>Better</v>
      </c>
    </row>
    <row r="292" spans="1:42" x14ac:dyDescent="0.3">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c r="AJ292">
        <f>IF(HR_Data[[#This Row],[Attrition]]="Yes",1,0)</f>
        <v>0</v>
      </c>
      <c r="AK292">
        <f>IF(HR_Data[[#This Row],[Attrition]]="No",1,0)</f>
        <v>1</v>
      </c>
      <c r="AL292" t="str">
        <f>IF(HR_Data[[#This Row],[Age]]&lt;25,"Under 25",IF(HR_Data[[#This Row],[Age]]&lt;=34,"25-34",IF(HR_Data[[#This Row],[Age]]&lt;=44,"35-44",IF(HR_Data[[#This Row],[Age]]&lt;=54,"45-54","55+"))))</f>
        <v>45-54</v>
      </c>
      <c r="AM292" s="1" t="str">
        <f>IF(HR_Data[[#This Row],[MonthlyIncome]]&lt;3000,"Low Salary",IF(HR_Data[[#This Row],[MonthlyIncome]]&lt;=7000,"Medium Salary","High Salary"))</f>
        <v>High Salary</v>
      </c>
      <c r="AN292" s="1" t="str">
        <f>IF(HR_Data[[#This Row],[YearsAtCompany]]&lt;2,"0-1 Years",IF(HR_Data[[#This Row],[YearsAtCompany]]&lt;=5,"2-5 Years",IF(HR_Data[[#This Row],[YearsAtCompany]]&lt;=10,"6-10 Years","10+ Years")))</f>
        <v>2-5 Years</v>
      </c>
      <c r="AO292" s="1" t="str">
        <f>IF(HR_Data[[#This Row],[JobSatisfaction]]=1,"Low",IF(HR_Data[[#This Row],[JobSatisfaction]]=2,"Medium",IF(HR_Data[[#This Row],[JobSatisfaction]]=3,"High","Very High")))</f>
        <v>Low</v>
      </c>
      <c r="AP292" s="1" t="str">
        <f>IF(HR_Data[[#This Row],[WorkLifeBalance]]=1,"Bad",IF(HR_Data[[#This Row],[WorkLifeBalance]]=2,"Good",IF(HR_Data[[#This Row],[WorkLifeBalance]]=3,"Better","Best")))</f>
        <v>Better</v>
      </c>
    </row>
    <row r="293" spans="1:42" x14ac:dyDescent="0.3">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c r="AJ293">
        <f>IF(HR_Data[[#This Row],[Attrition]]="Yes",1,0)</f>
        <v>0</v>
      </c>
      <c r="AK293">
        <f>IF(HR_Data[[#This Row],[Attrition]]="No",1,0)</f>
        <v>1</v>
      </c>
      <c r="AL293" t="str">
        <f>IF(HR_Data[[#This Row],[Age]]&lt;25,"Under 25",IF(HR_Data[[#This Row],[Age]]&lt;=34,"25-34",IF(HR_Data[[#This Row],[Age]]&lt;=44,"35-44",IF(HR_Data[[#This Row],[Age]]&lt;=54,"45-54","55+"))))</f>
        <v>35-44</v>
      </c>
      <c r="AM293" s="1" t="str">
        <f>IF(HR_Data[[#This Row],[MonthlyIncome]]&lt;3000,"Low Salary",IF(HR_Data[[#This Row],[MonthlyIncome]]&lt;=7000,"Medium Salary","High Salary"))</f>
        <v>Medium Salary</v>
      </c>
      <c r="AN293" s="1" t="str">
        <f>IF(HR_Data[[#This Row],[YearsAtCompany]]&lt;2,"0-1 Years",IF(HR_Data[[#This Row],[YearsAtCompany]]&lt;=5,"2-5 Years",IF(HR_Data[[#This Row],[YearsAtCompany]]&lt;=10,"6-10 Years","10+ Years")))</f>
        <v>6-10 Years</v>
      </c>
      <c r="AO293" s="1" t="str">
        <f>IF(HR_Data[[#This Row],[JobSatisfaction]]=1,"Low",IF(HR_Data[[#This Row],[JobSatisfaction]]=2,"Medium",IF(HR_Data[[#This Row],[JobSatisfaction]]=3,"High","Very High")))</f>
        <v>Medium</v>
      </c>
      <c r="AP293" s="1" t="str">
        <f>IF(HR_Data[[#This Row],[WorkLifeBalance]]=1,"Bad",IF(HR_Data[[#This Row],[WorkLifeBalance]]=2,"Good",IF(HR_Data[[#This Row],[WorkLifeBalance]]=3,"Better","Best")))</f>
        <v>Better</v>
      </c>
    </row>
    <row r="294" spans="1:42" x14ac:dyDescent="0.3">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c r="AJ294">
        <f>IF(HR_Data[[#This Row],[Attrition]]="Yes",1,0)</f>
        <v>0</v>
      </c>
      <c r="AK294">
        <f>IF(HR_Data[[#This Row],[Attrition]]="No",1,0)</f>
        <v>1</v>
      </c>
      <c r="AL294" t="str">
        <f>IF(HR_Data[[#This Row],[Age]]&lt;25,"Under 25",IF(HR_Data[[#This Row],[Age]]&lt;=34,"25-34",IF(HR_Data[[#This Row],[Age]]&lt;=44,"35-44",IF(HR_Data[[#This Row],[Age]]&lt;=54,"45-54","55+"))))</f>
        <v>25-34</v>
      </c>
      <c r="AM294" s="1" t="str">
        <f>IF(HR_Data[[#This Row],[MonthlyIncome]]&lt;3000,"Low Salary",IF(HR_Data[[#This Row],[MonthlyIncome]]&lt;=7000,"Medium Salary","High Salary"))</f>
        <v>Low Salary</v>
      </c>
      <c r="AN294" s="1" t="str">
        <f>IF(HR_Data[[#This Row],[YearsAtCompany]]&lt;2,"0-1 Years",IF(HR_Data[[#This Row],[YearsAtCompany]]&lt;=5,"2-5 Years",IF(HR_Data[[#This Row],[YearsAtCompany]]&lt;=10,"6-10 Years","10+ Years")))</f>
        <v>2-5 Years</v>
      </c>
      <c r="AO294" s="1" t="str">
        <f>IF(HR_Data[[#This Row],[JobSatisfaction]]=1,"Low",IF(HR_Data[[#This Row],[JobSatisfaction]]=2,"Medium",IF(HR_Data[[#This Row],[JobSatisfaction]]=3,"High","Very High")))</f>
        <v>Medium</v>
      </c>
      <c r="AP294" s="1" t="str">
        <f>IF(HR_Data[[#This Row],[WorkLifeBalance]]=1,"Bad",IF(HR_Data[[#This Row],[WorkLifeBalance]]=2,"Good",IF(HR_Data[[#This Row],[WorkLifeBalance]]=3,"Better","Best")))</f>
        <v>Good</v>
      </c>
    </row>
    <row r="295" spans="1:42" x14ac:dyDescent="0.3">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c r="AJ295">
        <f>IF(HR_Data[[#This Row],[Attrition]]="Yes",1,0)</f>
        <v>1</v>
      </c>
      <c r="AK295">
        <f>IF(HR_Data[[#This Row],[Attrition]]="No",1,0)</f>
        <v>0</v>
      </c>
      <c r="AL295" t="str">
        <f>IF(HR_Data[[#This Row],[Age]]&lt;25,"Under 25",IF(HR_Data[[#This Row],[Age]]&lt;=34,"25-34",IF(HR_Data[[#This Row],[Age]]&lt;=44,"35-44",IF(HR_Data[[#This Row],[Age]]&lt;=54,"45-54","55+"))))</f>
        <v>25-34</v>
      </c>
      <c r="AM295" s="1" t="str">
        <f>IF(HR_Data[[#This Row],[MonthlyIncome]]&lt;3000,"Low Salary",IF(HR_Data[[#This Row],[MonthlyIncome]]&lt;=7000,"Medium Salary","High Salary"))</f>
        <v>Medium Salary</v>
      </c>
      <c r="AN295" s="1" t="str">
        <f>IF(HR_Data[[#This Row],[YearsAtCompany]]&lt;2,"0-1 Years",IF(HR_Data[[#This Row],[YearsAtCompany]]&lt;=5,"2-5 Years",IF(HR_Data[[#This Row],[YearsAtCompany]]&lt;=10,"6-10 Years","10+ Years")))</f>
        <v>6-10 Years</v>
      </c>
      <c r="AO295" s="1" t="str">
        <f>IF(HR_Data[[#This Row],[JobSatisfaction]]=1,"Low",IF(HR_Data[[#This Row],[JobSatisfaction]]=2,"Medium",IF(HR_Data[[#This Row],[JobSatisfaction]]=3,"High","Very High")))</f>
        <v>Very High</v>
      </c>
      <c r="AP295" s="1" t="str">
        <f>IF(HR_Data[[#This Row],[WorkLifeBalance]]=1,"Bad",IF(HR_Data[[#This Row],[WorkLifeBalance]]=2,"Good",IF(HR_Data[[#This Row],[WorkLifeBalance]]=3,"Better","Best")))</f>
        <v>Better</v>
      </c>
    </row>
    <row r="296" spans="1:42" x14ac:dyDescent="0.3">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c r="AJ296">
        <f>IF(HR_Data[[#This Row],[Attrition]]="Yes",1,0)</f>
        <v>0</v>
      </c>
      <c r="AK296">
        <f>IF(HR_Data[[#This Row],[Attrition]]="No",1,0)</f>
        <v>1</v>
      </c>
      <c r="AL296" t="str">
        <f>IF(HR_Data[[#This Row],[Age]]&lt;25,"Under 25",IF(HR_Data[[#This Row],[Age]]&lt;=34,"25-34",IF(HR_Data[[#This Row],[Age]]&lt;=44,"35-44",IF(HR_Data[[#This Row],[Age]]&lt;=54,"45-54","55+"))))</f>
        <v>35-44</v>
      </c>
      <c r="AM296" s="1" t="str">
        <f>IF(HR_Data[[#This Row],[MonthlyIncome]]&lt;3000,"Low Salary",IF(HR_Data[[#This Row],[MonthlyIncome]]&lt;=7000,"Medium Salary","High Salary"))</f>
        <v>Low Salary</v>
      </c>
      <c r="AN296" s="1" t="str">
        <f>IF(HR_Data[[#This Row],[YearsAtCompany]]&lt;2,"0-1 Years",IF(HR_Data[[#This Row],[YearsAtCompany]]&lt;=5,"2-5 Years",IF(HR_Data[[#This Row],[YearsAtCompany]]&lt;=10,"6-10 Years","10+ Years")))</f>
        <v>2-5 Years</v>
      </c>
      <c r="AO296" s="1" t="str">
        <f>IF(HR_Data[[#This Row],[JobSatisfaction]]=1,"Low",IF(HR_Data[[#This Row],[JobSatisfaction]]=2,"Medium",IF(HR_Data[[#This Row],[JobSatisfaction]]=3,"High","Very High")))</f>
        <v>Very High</v>
      </c>
      <c r="AP296" s="1" t="str">
        <f>IF(HR_Data[[#This Row],[WorkLifeBalance]]=1,"Bad",IF(HR_Data[[#This Row],[WorkLifeBalance]]=2,"Good",IF(HR_Data[[#This Row],[WorkLifeBalance]]=3,"Better","Best")))</f>
        <v>Good</v>
      </c>
    </row>
    <row r="297" spans="1:42" x14ac:dyDescent="0.3">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c r="AJ297">
        <f>IF(HR_Data[[#This Row],[Attrition]]="Yes",1,0)</f>
        <v>0</v>
      </c>
      <c r="AK297">
        <f>IF(HR_Data[[#This Row],[Attrition]]="No",1,0)</f>
        <v>1</v>
      </c>
      <c r="AL297" t="str">
        <f>IF(HR_Data[[#This Row],[Age]]&lt;25,"Under 25",IF(HR_Data[[#This Row],[Age]]&lt;=34,"25-34",IF(HR_Data[[#This Row],[Age]]&lt;=44,"35-44",IF(HR_Data[[#This Row],[Age]]&lt;=54,"45-54","55+"))))</f>
        <v>35-44</v>
      </c>
      <c r="AM297" s="1" t="str">
        <f>IF(HR_Data[[#This Row],[MonthlyIncome]]&lt;3000,"Low Salary",IF(HR_Data[[#This Row],[MonthlyIncome]]&lt;=7000,"Medium Salary","High Salary"))</f>
        <v>High Salary</v>
      </c>
      <c r="AN297" s="1" t="str">
        <f>IF(HR_Data[[#This Row],[YearsAtCompany]]&lt;2,"0-1 Years",IF(HR_Data[[#This Row],[YearsAtCompany]]&lt;=5,"2-5 Years",IF(HR_Data[[#This Row],[YearsAtCompany]]&lt;=10,"6-10 Years","10+ Years")))</f>
        <v>10+ Years</v>
      </c>
      <c r="AO297" s="1" t="str">
        <f>IF(HR_Data[[#This Row],[JobSatisfaction]]=1,"Low",IF(HR_Data[[#This Row],[JobSatisfaction]]=2,"Medium",IF(HR_Data[[#This Row],[JobSatisfaction]]=3,"High","Very High")))</f>
        <v>Medium</v>
      </c>
      <c r="AP297" s="1" t="str">
        <f>IF(HR_Data[[#This Row],[WorkLifeBalance]]=1,"Bad",IF(HR_Data[[#This Row],[WorkLifeBalance]]=2,"Good",IF(HR_Data[[#This Row],[WorkLifeBalance]]=3,"Better","Best")))</f>
        <v>Best</v>
      </c>
    </row>
    <row r="298" spans="1:42" x14ac:dyDescent="0.3">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c r="AJ298">
        <f>IF(HR_Data[[#This Row],[Attrition]]="Yes",1,0)</f>
        <v>1</v>
      </c>
      <c r="AK298">
        <f>IF(HR_Data[[#This Row],[Attrition]]="No",1,0)</f>
        <v>0</v>
      </c>
      <c r="AL298" t="str">
        <f>IF(HR_Data[[#This Row],[Age]]&lt;25,"Under 25",IF(HR_Data[[#This Row],[Age]]&lt;=34,"25-34",IF(HR_Data[[#This Row],[Age]]&lt;=44,"35-44",IF(HR_Data[[#This Row],[Age]]&lt;=54,"45-54","55+"))))</f>
        <v>Under 25</v>
      </c>
      <c r="AM298" s="1" t="str">
        <f>IF(HR_Data[[#This Row],[MonthlyIncome]]&lt;3000,"Low Salary",IF(HR_Data[[#This Row],[MonthlyIncome]]&lt;=7000,"Medium Salary","High Salary"))</f>
        <v>Low Salary</v>
      </c>
      <c r="AN298" s="1" t="str">
        <f>IF(HR_Data[[#This Row],[YearsAtCompany]]&lt;2,"0-1 Years",IF(HR_Data[[#This Row],[YearsAtCompany]]&lt;=5,"2-5 Years",IF(HR_Data[[#This Row],[YearsAtCompany]]&lt;=10,"6-10 Years","10+ Years")))</f>
        <v>0-1 Years</v>
      </c>
      <c r="AO298" s="1" t="str">
        <f>IF(HR_Data[[#This Row],[JobSatisfaction]]=1,"Low",IF(HR_Data[[#This Row],[JobSatisfaction]]=2,"Medium",IF(HR_Data[[#This Row],[JobSatisfaction]]=3,"High","Very High")))</f>
        <v>High</v>
      </c>
      <c r="AP298" s="1" t="str">
        <f>IF(HR_Data[[#This Row],[WorkLifeBalance]]=1,"Bad",IF(HR_Data[[#This Row],[WorkLifeBalance]]=2,"Good",IF(HR_Data[[#This Row],[WorkLifeBalance]]=3,"Better","Best")))</f>
        <v>Better</v>
      </c>
    </row>
    <row r="299" spans="1:42" x14ac:dyDescent="0.3">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c r="AJ299">
        <f>IF(HR_Data[[#This Row],[Attrition]]="Yes",1,0)</f>
        <v>0</v>
      </c>
      <c r="AK299">
        <f>IF(HR_Data[[#This Row],[Attrition]]="No",1,0)</f>
        <v>1</v>
      </c>
      <c r="AL299" t="str">
        <f>IF(HR_Data[[#This Row],[Age]]&lt;25,"Under 25",IF(HR_Data[[#This Row],[Age]]&lt;=34,"25-34",IF(HR_Data[[#This Row],[Age]]&lt;=44,"35-44",IF(HR_Data[[#This Row],[Age]]&lt;=54,"45-54","55+"))))</f>
        <v>35-44</v>
      </c>
      <c r="AM299" s="1" t="str">
        <f>IF(HR_Data[[#This Row],[MonthlyIncome]]&lt;3000,"Low Salary",IF(HR_Data[[#This Row],[MonthlyIncome]]&lt;=7000,"Medium Salary","High Salary"))</f>
        <v>High Salary</v>
      </c>
      <c r="AN299" s="1" t="str">
        <f>IF(HR_Data[[#This Row],[YearsAtCompany]]&lt;2,"0-1 Years",IF(HR_Data[[#This Row],[YearsAtCompany]]&lt;=5,"2-5 Years",IF(HR_Data[[#This Row],[YearsAtCompany]]&lt;=10,"6-10 Years","10+ Years")))</f>
        <v>10+ Years</v>
      </c>
      <c r="AO299" s="1" t="str">
        <f>IF(HR_Data[[#This Row],[JobSatisfaction]]=1,"Low",IF(HR_Data[[#This Row],[JobSatisfaction]]=2,"Medium",IF(HR_Data[[#This Row],[JobSatisfaction]]=3,"High","Very High")))</f>
        <v>Medium</v>
      </c>
      <c r="AP299" s="1" t="str">
        <f>IF(HR_Data[[#This Row],[WorkLifeBalance]]=1,"Bad",IF(HR_Data[[#This Row],[WorkLifeBalance]]=2,"Good",IF(HR_Data[[#This Row],[WorkLifeBalance]]=3,"Better","Best")))</f>
        <v>Good</v>
      </c>
    </row>
    <row r="300" spans="1:42" x14ac:dyDescent="0.3">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c r="AJ300">
        <f>IF(HR_Data[[#This Row],[Attrition]]="Yes",1,0)</f>
        <v>0</v>
      </c>
      <c r="AK300">
        <f>IF(HR_Data[[#This Row],[Attrition]]="No",1,0)</f>
        <v>1</v>
      </c>
      <c r="AL300" t="str">
        <f>IF(HR_Data[[#This Row],[Age]]&lt;25,"Under 25",IF(HR_Data[[#This Row],[Age]]&lt;=34,"25-34",IF(HR_Data[[#This Row],[Age]]&lt;=44,"35-44",IF(HR_Data[[#This Row],[Age]]&lt;=54,"45-54","55+"))))</f>
        <v>35-44</v>
      </c>
      <c r="AM300" s="1" t="str">
        <f>IF(HR_Data[[#This Row],[MonthlyIncome]]&lt;3000,"Low Salary",IF(HR_Data[[#This Row],[MonthlyIncome]]&lt;=7000,"Medium Salary","High Salary"))</f>
        <v>Medium Salary</v>
      </c>
      <c r="AN300" s="1" t="str">
        <f>IF(HR_Data[[#This Row],[YearsAtCompany]]&lt;2,"0-1 Years",IF(HR_Data[[#This Row],[YearsAtCompany]]&lt;=5,"2-5 Years",IF(HR_Data[[#This Row],[YearsAtCompany]]&lt;=10,"6-10 Years","10+ Years")))</f>
        <v>0-1 Years</v>
      </c>
      <c r="AO300" s="1" t="str">
        <f>IF(HR_Data[[#This Row],[JobSatisfaction]]=1,"Low",IF(HR_Data[[#This Row],[JobSatisfaction]]=2,"Medium",IF(HR_Data[[#This Row],[JobSatisfaction]]=3,"High","Very High")))</f>
        <v>Very High</v>
      </c>
      <c r="AP300" s="1" t="str">
        <f>IF(HR_Data[[#This Row],[WorkLifeBalance]]=1,"Bad",IF(HR_Data[[#This Row],[WorkLifeBalance]]=2,"Good",IF(HR_Data[[#This Row],[WorkLifeBalance]]=3,"Better","Best")))</f>
        <v>Better</v>
      </c>
    </row>
    <row r="301" spans="1:42" x14ac:dyDescent="0.3">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c r="AJ301">
        <f>IF(HR_Data[[#This Row],[Attrition]]="Yes",1,0)</f>
        <v>0</v>
      </c>
      <c r="AK301">
        <f>IF(HR_Data[[#This Row],[Attrition]]="No",1,0)</f>
        <v>1</v>
      </c>
      <c r="AL301" t="str">
        <f>IF(HR_Data[[#This Row],[Age]]&lt;25,"Under 25",IF(HR_Data[[#This Row],[Age]]&lt;=34,"25-34",IF(HR_Data[[#This Row],[Age]]&lt;=44,"35-44",IF(HR_Data[[#This Row],[Age]]&lt;=54,"45-54","55+"))))</f>
        <v>45-54</v>
      </c>
      <c r="AM301" s="1" t="str">
        <f>IF(HR_Data[[#This Row],[MonthlyIncome]]&lt;3000,"Low Salary",IF(HR_Data[[#This Row],[MonthlyIncome]]&lt;=7000,"Medium Salary","High Salary"))</f>
        <v>Medium Salary</v>
      </c>
      <c r="AN301" s="1" t="str">
        <f>IF(HR_Data[[#This Row],[YearsAtCompany]]&lt;2,"0-1 Years",IF(HR_Data[[#This Row],[YearsAtCompany]]&lt;=5,"2-5 Years",IF(HR_Data[[#This Row],[YearsAtCompany]]&lt;=10,"6-10 Years","10+ Years")))</f>
        <v>2-5 Years</v>
      </c>
      <c r="AO301" s="1" t="str">
        <f>IF(HR_Data[[#This Row],[JobSatisfaction]]=1,"Low",IF(HR_Data[[#This Row],[JobSatisfaction]]=2,"Medium",IF(HR_Data[[#This Row],[JobSatisfaction]]=3,"High","Very High")))</f>
        <v>Medium</v>
      </c>
      <c r="AP301" s="1" t="str">
        <f>IF(HR_Data[[#This Row],[WorkLifeBalance]]=1,"Bad",IF(HR_Data[[#This Row],[WorkLifeBalance]]=2,"Good",IF(HR_Data[[#This Row],[WorkLifeBalance]]=3,"Better","Best")))</f>
        <v>Better</v>
      </c>
    </row>
    <row r="302" spans="1:42" x14ac:dyDescent="0.3">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c r="AJ302">
        <f>IF(HR_Data[[#This Row],[Attrition]]="Yes",1,0)</f>
        <v>0</v>
      </c>
      <c r="AK302">
        <f>IF(HR_Data[[#This Row],[Attrition]]="No",1,0)</f>
        <v>1</v>
      </c>
      <c r="AL302" t="str">
        <f>IF(HR_Data[[#This Row],[Age]]&lt;25,"Under 25",IF(HR_Data[[#This Row],[Age]]&lt;=34,"25-34",IF(HR_Data[[#This Row],[Age]]&lt;=44,"35-44",IF(HR_Data[[#This Row],[Age]]&lt;=54,"45-54","55+"))))</f>
        <v>35-44</v>
      </c>
      <c r="AM302" s="1" t="str">
        <f>IF(HR_Data[[#This Row],[MonthlyIncome]]&lt;3000,"Low Salary",IF(HR_Data[[#This Row],[MonthlyIncome]]&lt;=7000,"Medium Salary","High Salary"))</f>
        <v>High Salary</v>
      </c>
      <c r="AN302" s="1" t="str">
        <f>IF(HR_Data[[#This Row],[YearsAtCompany]]&lt;2,"0-1 Years",IF(HR_Data[[#This Row],[YearsAtCompany]]&lt;=5,"2-5 Years",IF(HR_Data[[#This Row],[YearsAtCompany]]&lt;=10,"6-10 Years","10+ Years")))</f>
        <v>10+ Years</v>
      </c>
      <c r="AO302" s="1" t="str">
        <f>IF(HR_Data[[#This Row],[JobSatisfaction]]=1,"Low",IF(HR_Data[[#This Row],[JobSatisfaction]]=2,"Medium",IF(HR_Data[[#This Row],[JobSatisfaction]]=3,"High","Very High")))</f>
        <v>Medium</v>
      </c>
      <c r="AP302" s="1" t="str">
        <f>IF(HR_Data[[#This Row],[WorkLifeBalance]]=1,"Bad",IF(HR_Data[[#This Row],[WorkLifeBalance]]=2,"Good",IF(HR_Data[[#This Row],[WorkLifeBalance]]=3,"Better","Best")))</f>
        <v>Better</v>
      </c>
    </row>
    <row r="303" spans="1:42" x14ac:dyDescent="0.3">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c r="AJ303">
        <f>IF(HR_Data[[#This Row],[Attrition]]="Yes",1,0)</f>
        <v>0</v>
      </c>
      <c r="AK303">
        <f>IF(HR_Data[[#This Row],[Attrition]]="No",1,0)</f>
        <v>1</v>
      </c>
      <c r="AL303" t="str">
        <f>IF(HR_Data[[#This Row],[Age]]&lt;25,"Under 25",IF(HR_Data[[#This Row],[Age]]&lt;=34,"25-34",IF(HR_Data[[#This Row],[Age]]&lt;=44,"35-44",IF(HR_Data[[#This Row],[Age]]&lt;=54,"45-54","55+"))))</f>
        <v>Under 25</v>
      </c>
      <c r="AM303" s="1" t="str">
        <f>IF(HR_Data[[#This Row],[MonthlyIncome]]&lt;3000,"Low Salary",IF(HR_Data[[#This Row],[MonthlyIncome]]&lt;=7000,"Medium Salary","High Salary"))</f>
        <v>Low Salary</v>
      </c>
      <c r="AN303" s="1" t="str">
        <f>IF(HR_Data[[#This Row],[YearsAtCompany]]&lt;2,"0-1 Years",IF(HR_Data[[#This Row],[YearsAtCompany]]&lt;=5,"2-5 Years",IF(HR_Data[[#This Row],[YearsAtCompany]]&lt;=10,"6-10 Years","10+ Years")))</f>
        <v>0-1 Years</v>
      </c>
      <c r="AO303" s="1" t="str">
        <f>IF(HR_Data[[#This Row],[JobSatisfaction]]=1,"Low",IF(HR_Data[[#This Row],[JobSatisfaction]]=2,"Medium",IF(HR_Data[[#This Row],[JobSatisfaction]]=3,"High","Very High")))</f>
        <v>High</v>
      </c>
      <c r="AP303" s="1" t="str">
        <f>IF(HR_Data[[#This Row],[WorkLifeBalance]]=1,"Bad",IF(HR_Data[[#This Row],[WorkLifeBalance]]=2,"Good",IF(HR_Data[[#This Row],[WorkLifeBalance]]=3,"Better","Best")))</f>
        <v>Better</v>
      </c>
    </row>
    <row r="304" spans="1:42" x14ac:dyDescent="0.3">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c r="AJ304">
        <f>IF(HR_Data[[#This Row],[Attrition]]="Yes",1,0)</f>
        <v>0</v>
      </c>
      <c r="AK304">
        <f>IF(HR_Data[[#This Row],[Attrition]]="No",1,0)</f>
        <v>1</v>
      </c>
      <c r="AL304" t="str">
        <f>IF(HR_Data[[#This Row],[Age]]&lt;25,"Under 25",IF(HR_Data[[#This Row],[Age]]&lt;=34,"25-34",IF(HR_Data[[#This Row],[Age]]&lt;=44,"35-44",IF(HR_Data[[#This Row],[Age]]&lt;=54,"45-54","55+"))))</f>
        <v>25-34</v>
      </c>
      <c r="AM304" s="1" t="str">
        <f>IF(HR_Data[[#This Row],[MonthlyIncome]]&lt;3000,"Low Salary",IF(HR_Data[[#This Row],[MonthlyIncome]]&lt;=7000,"Medium Salary","High Salary"))</f>
        <v>Medium Salary</v>
      </c>
      <c r="AN304" s="1" t="str">
        <f>IF(HR_Data[[#This Row],[YearsAtCompany]]&lt;2,"0-1 Years",IF(HR_Data[[#This Row],[YearsAtCompany]]&lt;=5,"2-5 Years",IF(HR_Data[[#This Row],[YearsAtCompany]]&lt;=10,"6-10 Years","10+ Years")))</f>
        <v>6-10 Years</v>
      </c>
      <c r="AO304" s="1" t="str">
        <f>IF(HR_Data[[#This Row],[JobSatisfaction]]=1,"Low",IF(HR_Data[[#This Row],[JobSatisfaction]]=2,"Medium",IF(HR_Data[[#This Row],[JobSatisfaction]]=3,"High","Very High")))</f>
        <v>Low</v>
      </c>
      <c r="AP304" s="1" t="str">
        <f>IF(HR_Data[[#This Row],[WorkLifeBalance]]=1,"Bad",IF(HR_Data[[#This Row],[WorkLifeBalance]]=2,"Good",IF(HR_Data[[#This Row],[WorkLifeBalance]]=3,"Better","Best")))</f>
        <v>Better</v>
      </c>
    </row>
    <row r="305" spans="1:42" x14ac:dyDescent="0.3">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c r="AJ305">
        <f>IF(HR_Data[[#This Row],[Attrition]]="Yes",1,0)</f>
        <v>0</v>
      </c>
      <c r="AK305">
        <f>IF(HR_Data[[#This Row],[Attrition]]="No",1,0)</f>
        <v>1</v>
      </c>
      <c r="AL305" t="str">
        <f>IF(HR_Data[[#This Row],[Age]]&lt;25,"Under 25",IF(HR_Data[[#This Row],[Age]]&lt;=34,"25-34",IF(HR_Data[[#This Row],[Age]]&lt;=44,"35-44",IF(HR_Data[[#This Row],[Age]]&lt;=54,"45-54","55+"))))</f>
        <v>25-34</v>
      </c>
      <c r="AM305" s="1" t="str">
        <f>IF(HR_Data[[#This Row],[MonthlyIncome]]&lt;3000,"Low Salary",IF(HR_Data[[#This Row],[MonthlyIncome]]&lt;=7000,"Medium Salary","High Salary"))</f>
        <v>Medium Salary</v>
      </c>
      <c r="AN305" s="1" t="str">
        <f>IF(HR_Data[[#This Row],[YearsAtCompany]]&lt;2,"0-1 Years",IF(HR_Data[[#This Row],[YearsAtCompany]]&lt;=5,"2-5 Years",IF(HR_Data[[#This Row],[YearsAtCompany]]&lt;=10,"6-10 Years","10+ Years")))</f>
        <v>6-10 Years</v>
      </c>
      <c r="AO305" s="1" t="str">
        <f>IF(HR_Data[[#This Row],[JobSatisfaction]]=1,"Low",IF(HR_Data[[#This Row],[JobSatisfaction]]=2,"Medium",IF(HR_Data[[#This Row],[JobSatisfaction]]=3,"High","Very High")))</f>
        <v>Very High</v>
      </c>
      <c r="AP305" s="1" t="str">
        <f>IF(HR_Data[[#This Row],[WorkLifeBalance]]=1,"Bad",IF(HR_Data[[#This Row],[WorkLifeBalance]]=2,"Good",IF(HR_Data[[#This Row],[WorkLifeBalance]]=3,"Better","Best")))</f>
        <v>Good</v>
      </c>
    </row>
    <row r="306" spans="1:42" x14ac:dyDescent="0.3">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c r="AJ306">
        <f>IF(HR_Data[[#This Row],[Attrition]]="Yes",1,0)</f>
        <v>0</v>
      </c>
      <c r="AK306">
        <f>IF(HR_Data[[#This Row],[Attrition]]="No",1,0)</f>
        <v>1</v>
      </c>
      <c r="AL306" t="str">
        <f>IF(HR_Data[[#This Row],[Age]]&lt;25,"Under 25",IF(HR_Data[[#This Row],[Age]]&lt;=34,"25-34",IF(HR_Data[[#This Row],[Age]]&lt;=44,"35-44",IF(HR_Data[[#This Row],[Age]]&lt;=54,"45-54","55+"))))</f>
        <v>35-44</v>
      </c>
      <c r="AM306" s="1" t="str">
        <f>IF(HR_Data[[#This Row],[MonthlyIncome]]&lt;3000,"Low Salary",IF(HR_Data[[#This Row],[MonthlyIncome]]&lt;=7000,"Medium Salary","High Salary"))</f>
        <v>High Salary</v>
      </c>
      <c r="AN306" s="1" t="str">
        <f>IF(HR_Data[[#This Row],[YearsAtCompany]]&lt;2,"0-1 Years",IF(HR_Data[[#This Row],[YearsAtCompany]]&lt;=5,"2-5 Years",IF(HR_Data[[#This Row],[YearsAtCompany]]&lt;=10,"6-10 Years","10+ Years")))</f>
        <v>10+ Years</v>
      </c>
      <c r="AO306" s="1" t="str">
        <f>IF(HR_Data[[#This Row],[JobSatisfaction]]=1,"Low",IF(HR_Data[[#This Row],[JobSatisfaction]]=2,"Medium",IF(HR_Data[[#This Row],[JobSatisfaction]]=3,"High","Very High")))</f>
        <v>Very High</v>
      </c>
      <c r="AP306" s="1" t="str">
        <f>IF(HR_Data[[#This Row],[WorkLifeBalance]]=1,"Bad",IF(HR_Data[[#This Row],[WorkLifeBalance]]=2,"Good",IF(HR_Data[[#This Row],[WorkLifeBalance]]=3,"Better","Best")))</f>
        <v>Good</v>
      </c>
    </row>
    <row r="307" spans="1:42" x14ac:dyDescent="0.3">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c r="AJ307">
        <f>IF(HR_Data[[#This Row],[Attrition]]="Yes",1,0)</f>
        <v>0</v>
      </c>
      <c r="AK307">
        <f>IF(HR_Data[[#This Row],[Attrition]]="No",1,0)</f>
        <v>1</v>
      </c>
      <c r="AL307" t="str">
        <f>IF(HR_Data[[#This Row],[Age]]&lt;25,"Under 25",IF(HR_Data[[#This Row],[Age]]&lt;=34,"25-34",IF(HR_Data[[#This Row],[Age]]&lt;=44,"35-44",IF(HR_Data[[#This Row],[Age]]&lt;=54,"45-54","55+"))))</f>
        <v>35-44</v>
      </c>
      <c r="AM307" s="1" t="str">
        <f>IF(HR_Data[[#This Row],[MonthlyIncome]]&lt;3000,"Low Salary",IF(HR_Data[[#This Row],[MonthlyIncome]]&lt;=7000,"Medium Salary","High Salary"))</f>
        <v>Medium Salary</v>
      </c>
      <c r="AN307" s="1" t="str">
        <f>IF(HR_Data[[#This Row],[YearsAtCompany]]&lt;2,"0-1 Years",IF(HR_Data[[#This Row],[YearsAtCompany]]&lt;=5,"2-5 Years",IF(HR_Data[[#This Row],[YearsAtCompany]]&lt;=10,"6-10 Years","10+ Years")))</f>
        <v>6-10 Years</v>
      </c>
      <c r="AO307" s="1" t="str">
        <f>IF(HR_Data[[#This Row],[JobSatisfaction]]=1,"Low",IF(HR_Data[[#This Row],[JobSatisfaction]]=2,"Medium",IF(HR_Data[[#This Row],[JobSatisfaction]]=3,"High","Very High")))</f>
        <v>Medium</v>
      </c>
      <c r="AP307" s="1" t="str">
        <f>IF(HR_Data[[#This Row],[WorkLifeBalance]]=1,"Bad",IF(HR_Data[[#This Row],[WorkLifeBalance]]=2,"Good",IF(HR_Data[[#This Row],[WorkLifeBalance]]=3,"Better","Best")))</f>
        <v>Better</v>
      </c>
    </row>
    <row r="308" spans="1:42" x14ac:dyDescent="0.3">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c r="AJ308">
        <f>IF(HR_Data[[#This Row],[Attrition]]="Yes",1,0)</f>
        <v>0</v>
      </c>
      <c r="AK308">
        <f>IF(HR_Data[[#This Row],[Attrition]]="No",1,0)</f>
        <v>1</v>
      </c>
      <c r="AL308" t="str">
        <f>IF(HR_Data[[#This Row],[Age]]&lt;25,"Under 25",IF(HR_Data[[#This Row],[Age]]&lt;=34,"25-34",IF(HR_Data[[#This Row],[Age]]&lt;=44,"35-44",IF(HR_Data[[#This Row],[Age]]&lt;=54,"45-54","55+"))))</f>
        <v>25-34</v>
      </c>
      <c r="AM308" s="1" t="str">
        <f>IF(HR_Data[[#This Row],[MonthlyIncome]]&lt;3000,"Low Salary",IF(HR_Data[[#This Row],[MonthlyIncome]]&lt;=7000,"Medium Salary","High Salary"))</f>
        <v>Medium Salary</v>
      </c>
      <c r="AN308" s="1" t="str">
        <f>IF(HR_Data[[#This Row],[YearsAtCompany]]&lt;2,"0-1 Years",IF(HR_Data[[#This Row],[YearsAtCompany]]&lt;=5,"2-5 Years",IF(HR_Data[[#This Row],[YearsAtCompany]]&lt;=10,"6-10 Years","10+ Years")))</f>
        <v>10+ Years</v>
      </c>
      <c r="AO308" s="1" t="str">
        <f>IF(HR_Data[[#This Row],[JobSatisfaction]]=1,"Low",IF(HR_Data[[#This Row],[JobSatisfaction]]=2,"Medium",IF(HR_Data[[#This Row],[JobSatisfaction]]=3,"High","Very High")))</f>
        <v>High</v>
      </c>
      <c r="AP308" s="1" t="str">
        <f>IF(HR_Data[[#This Row],[WorkLifeBalance]]=1,"Bad",IF(HR_Data[[#This Row],[WorkLifeBalance]]=2,"Good",IF(HR_Data[[#This Row],[WorkLifeBalance]]=3,"Better","Best")))</f>
        <v>Good</v>
      </c>
    </row>
    <row r="309" spans="1:42" x14ac:dyDescent="0.3">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c r="AJ309">
        <f>IF(HR_Data[[#This Row],[Attrition]]="Yes",1,0)</f>
        <v>0</v>
      </c>
      <c r="AK309">
        <f>IF(HR_Data[[#This Row],[Attrition]]="No",1,0)</f>
        <v>1</v>
      </c>
      <c r="AL309" t="str">
        <f>IF(HR_Data[[#This Row],[Age]]&lt;25,"Under 25",IF(HR_Data[[#This Row],[Age]]&lt;=34,"25-34",IF(HR_Data[[#This Row],[Age]]&lt;=44,"35-44",IF(HR_Data[[#This Row],[Age]]&lt;=54,"45-54","55+"))))</f>
        <v>35-44</v>
      </c>
      <c r="AM309" s="1" t="str">
        <f>IF(HR_Data[[#This Row],[MonthlyIncome]]&lt;3000,"Low Salary",IF(HR_Data[[#This Row],[MonthlyIncome]]&lt;=7000,"Medium Salary","High Salary"))</f>
        <v>High Salary</v>
      </c>
      <c r="AN309" s="1" t="str">
        <f>IF(HR_Data[[#This Row],[YearsAtCompany]]&lt;2,"0-1 Years",IF(HR_Data[[#This Row],[YearsAtCompany]]&lt;=5,"2-5 Years",IF(HR_Data[[#This Row],[YearsAtCompany]]&lt;=10,"6-10 Years","10+ Years")))</f>
        <v>6-10 Years</v>
      </c>
      <c r="AO309" s="1" t="str">
        <f>IF(HR_Data[[#This Row],[JobSatisfaction]]=1,"Low",IF(HR_Data[[#This Row],[JobSatisfaction]]=2,"Medium",IF(HR_Data[[#This Row],[JobSatisfaction]]=3,"High","Very High")))</f>
        <v>Medium</v>
      </c>
      <c r="AP309" s="1" t="str">
        <f>IF(HR_Data[[#This Row],[WorkLifeBalance]]=1,"Bad",IF(HR_Data[[#This Row],[WorkLifeBalance]]=2,"Good",IF(HR_Data[[#This Row],[WorkLifeBalance]]=3,"Better","Best")))</f>
        <v>Better</v>
      </c>
    </row>
    <row r="310" spans="1:42" x14ac:dyDescent="0.3">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c r="AJ310">
        <f>IF(HR_Data[[#This Row],[Attrition]]="Yes",1,0)</f>
        <v>0</v>
      </c>
      <c r="AK310">
        <f>IF(HR_Data[[#This Row],[Attrition]]="No",1,0)</f>
        <v>1</v>
      </c>
      <c r="AL310" t="str">
        <f>IF(HR_Data[[#This Row],[Age]]&lt;25,"Under 25",IF(HR_Data[[#This Row],[Age]]&lt;=34,"25-34",IF(HR_Data[[#This Row],[Age]]&lt;=44,"35-44",IF(HR_Data[[#This Row],[Age]]&lt;=54,"45-54","55+"))))</f>
        <v>55+</v>
      </c>
      <c r="AM310" s="1" t="str">
        <f>IF(HR_Data[[#This Row],[MonthlyIncome]]&lt;3000,"Low Salary",IF(HR_Data[[#This Row],[MonthlyIncome]]&lt;=7000,"Medium Salary","High Salary"))</f>
        <v>Medium Salary</v>
      </c>
      <c r="AN310" s="1" t="str">
        <f>IF(HR_Data[[#This Row],[YearsAtCompany]]&lt;2,"0-1 Years",IF(HR_Data[[#This Row],[YearsAtCompany]]&lt;=5,"2-5 Years",IF(HR_Data[[#This Row],[YearsAtCompany]]&lt;=10,"6-10 Years","10+ Years")))</f>
        <v>2-5 Years</v>
      </c>
      <c r="AO310" s="1" t="str">
        <f>IF(HR_Data[[#This Row],[JobSatisfaction]]=1,"Low",IF(HR_Data[[#This Row],[JobSatisfaction]]=2,"Medium",IF(HR_Data[[#This Row],[JobSatisfaction]]=3,"High","Very High")))</f>
        <v>High</v>
      </c>
      <c r="AP310" s="1" t="str">
        <f>IF(HR_Data[[#This Row],[WorkLifeBalance]]=1,"Bad",IF(HR_Data[[#This Row],[WorkLifeBalance]]=2,"Good",IF(HR_Data[[#This Row],[WorkLifeBalance]]=3,"Better","Best")))</f>
        <v>Better</v>
      </c>
    </row>
    <row r="311" spans="1:42" x14ac:dyDescent="0.3">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c r="AJ311">
        <f>IF(HR_Data[[#This Row],[Attrition]]="Yes",1,0)</f>
        <v>0</v>
      </c>
      <c r="AK311">
        <f>IF(HR_Data[[#This Row],[Attrition]]="No",1,0)</f>
        <v>1</v>
      </c>
      <c r="AL311" t="str">
        <f>IF(HR_Data[[#This Row],[Age]]&lt;25,"Under 25",IF(HR_Data[[#This Row],[Age]]&lt;=34,"25-34",IF(HR_Data[[#This Row],[Age]]&lt;=44,"35-44",IF(HR_Data[[#This Row],[Age]]&lt;=54,"45-54","55+"))))</f>
        <v>25-34</v>
      </c>
      <c r="AM311" s="1" t="str">
        <f>IF(HR_Data[[#This Row],[MonthlyIncome]]&lt;3000,"Low Salary",IF(HR_Data[[#This Row],[MonthlyIncome]]&lt;=7000,"Medium Salary","High Salary"))</f>
        <v>Medium Salary</v>
      </c>
      <c r="AN311" s="1" t="str">
        <f>IF(HR_Data[[#This Row],[YearsAtCompany]]&lt;2,"0-1 Years",IF(HR_Data[[#This Row],[YearsAtCompany]]&lt;=5,"2-5 Years",IF(HR_Data[[#This Row],[YearsAtCompany]]&lt;=10,"6-10 Years","10+ Years")))</f>
        <v>2-5 Years</v>
      </c>
      <c r="AO311" s="1" t="str">
        <f>IF(HR_Data[[#This Row],[JobSatisfaction]]=1,"Low",IF(HR_Data[[#This Row],[JobSatisfaction]]=2,"Medium",IF(HR_Data[[#This Row],[JobSatisfaction]]=3,"High","Very High")))</f>
        <v>Very High</v>
      </c>
      <c r="AP311" s="1" t="str">
        <f>IF(HR_Data[[#This Row],[WorkLifeBalance]]=1,"Bad",IF(HR_Data[[#This Row],[WorkLifeBalance]]=2,"Good",IF(HR_Data[[#This Row],[WorkLifeBalance]]=3,"Better","Best")))</f>
        <v>Better</v>
      </c>
    </row>
    <row r="312" spans="1:42" x14ac:dyDescent="0.3">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c r="AJ312">
        <f>IF(HR_Data[[#This Row],[Attrition]]="Yes",1,0)</f>
        <v>0</v>
      </c>
      <c r="AK312">
        <f>IF(HR_Data[[#This Row],[Attrition]]="No",1,0)</f>
        <v>1</v>
      </c>
      <c r="AL312" t="str">
        <f>IF(HR_Data[[#This Row],[Age]]&lt;25,"Under 25",IF(HR_Data[[#This Row],[Age]]&lt;=34,"25-34",IF(HR_Data[[#This Row],[Age]]&lt;=44,"35-44",IF(HR_Data[[#This Row],[Age]]&lt;=54,"45-54","55+"))))</f>
        <v>25-34</v>
      </c>
      <c r="AM312" s="1" t="str">
        <f>IF(HR_Data[[#This Row],[MonthlyIncome]]&lt;3000,"Low Salary",IF(HR_Data[[#This Row],[MonthlyIncome]]&lt;=7000,"Medium Salary","High Salary"))</f>
        <v>Medium Salary</v>
      </c>
      <c r="AN312" s="1" t="str">
        <f>IF(HR_Data[[#This Row],[YearsAtCompany]]&lt;2,"0-1 Years",IF(HR_Data[[#This Row],[YearsAtCompany]]&lt;=5,"2-5 Years",IF(HR_Data[[#This Row],[YearsAtCompany]]&lt;=10,"6-10 Years","10+ Years")))</f>
        <v>2-5 Years</v>
      </c>
      <c r="AO312" s="1" t="str">
        <f>IF(HR_Data[[#This Row],[JobSatisfaction]]=1,"Low",IF(HR_Data[[#This Row],[JobSatisfaction]]=2,"Medium",IF(HR_Data[[#This Row],[JobSatisfaction]]=3,"High","Very High")))</f>
        <v>Low</v>
      </c>
      <c r="AP312" s="1" t="str">
        <f>IF(HR_Data[[#This Row],[WorkLifeBalance]]=1,"Bad",IF(HR_Data[[#This Row],[WorkLifeBalance]]=2,"Good",IF(HR_Data[[#This Row],[WorkLifeBalance]]=3,"Better","Best")))</f>
        <v>Better</v>
      </c>
    </row>
    <row r="313" spans="1:42" x14ac:dyDescent="0.3">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c r="AJ313">
        <f>IF(HR_Data[[#This Row],[Attrition]]="Yes",1,0)</f>
        <v>0</v>
      </c>
      <c r="AK313">
        <f>IF(HR_Data[[#This Row],[Attrition]]="No",1,0)</f>
        <v>1</v>
      </c>
      <c r="AL313" t="str">
        <f>IF(HR_Data[[#This Row],[Age]]&lt;25,"Under 25",IF(HR_Data[[#This Row],[Age]]&lt;=34,"25-34",IF(HR_Data[[#This Row],[Age]]&lt;=44,"35-44",IF(HR_Data[[#This Row],[Age]]&lt;=54,"45-54","55+"))))</f>
        <v>45-54</v>
      </c>
      <c r="AM313" s="1" t="str">
        <f>IF(HR_Data[[#This Row],[MonthlyIncome]]&lt;3000,"Low Salary",IF(HR_Data[[#This Row],[MonthlyIncome]]&lt;=7000,"Medium Salary","High Salary"))</f>
        <v>Medium Salary</v>
      </c>
      <c r="AN313" s="1" t="str">
        <f>IF(HR_Data[[#This Row],[YearsAtCompany]]&lt;2,"0-1 Years",IF(HR_Data[[#This Row],[YearsAtCompany]]&lt;=5,"2-5 Years",IF(HR_Data[[#This Row],[YearsAtCompany]]&lt;=10,"6-10 Years","10+ Years")))</f>
        <v>10+ Years</v>
      </c>
      <c r="AO313" s="1" t="str">
        <f>IF(HR_Data[[#This Row],[JobSatisfaction]]=1,"Low",IF(HR_Data[[#This Row],[JobSatisfaction]]=2,"Medium",IF(HR_Data[[#This Row],[JobSatisfaction]]=3,"High","Very High")))</f>
        <v>Low</v>
      </c>
      <c r="AP313" s="1" t="str">
        <f>IF(HR_Data[[#This Row],[WorkLifeBalance]]=1,"Bad",IF(HR_Data[[#This Row],[WorkLifeBalance]]=2,"Good",IF(HR_Data[[#This Row],[WorkLifeBalance]]=3,"Better","Best")))</f>
        <v>Better</v>
      </c>
    </row>
    <row r="314" spans="1:42" x14ac:dyDescent="0.3">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c r="AJ314">
        <f>IF(HR_Data[[#This Row],[Attrition]]="Yes",1,0)</f>
        <v>0</v>
      </c>
      <c r="AK314">
        <f>IF(HR_Data[[#This Row],[Attrition]]="No",1,0)</f>
        <v>1</v>
      </c>
      <c r="AL314" t="str">
        <f>IF(HR_Data[[#This Row],[Age]]&lt;25,"Under 25",IF(HR_Data[[#This Row],[Age]]&lt;=34,"25-34",IF(HR_Data[[#This Row],[Age]]&lt;=44,"35-44",IF(HR_Data[[#This Row],[Age]]&lt;=54,"45-54","55+"))))</f>
        <v>25-34</v>
      </c>
      <c r="AM314" s="1" t="str">
        <f>IF(HR_Data[[#This Row],[MonthlyIncome]]&lt;3000,"Low Salary",IF(HR_Data[[#This Row],[MonthlyIncome]]&lt;=7000,"Medium Salary","High Salary"))</f>
        <v>Low Salary</v>
      </c>
      <c r="AN314" s="1" t="str">
        <f>IF(HR_Data[[#This Row],[YearsAtCompany]]&lt;2,"0-1 Years",IF(HR_Data[[#This Row],[YearsAtCompany]]&lt;=5,"2-5 Years",IF(HR_Data[[#This Row],[YearsAtCompany]]&lt;=10,"6-10 Years","10+ Years")))</f>
        <v>2-5 Years</v>
      </c>
      <c r="AO314" s="1" t="str">
        <f>IF(HR_Data[[#This Row],[JobSatisfaction]]=1,"Low",IF(HR_Data[[#This Row],[JobSatisfaction]]=2,"Medium",IF(HR_Data[[#This Row],[JobSatisfaction]]=3,"High","Very High")))</f>
        <v>Very High</v>
      </c>
      <c r="AP314" s="1" t="str">
        <f>IF(HR_Data[[#This Row],[WorkLifeBalance]]=1,"Bad",IF(HR_Data[[#This Row],[WorkLifeBalance]]=2,"Good",IF(HR_Data[[#This Row],[WorkLifeBalance]]=3,"Better","Best")))</f>
        <v>Bad</v>
      </c>
    </row>
    <row r="315" spans="1:42" x14ac:dyDescent="0.3">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c r="AJ315">
        <f>IF(HR_Data[[#This Row],[Attrition]]="Yes",1,0)</f>
        <v>0</v>
      </c>
      <c r="AK315">
        <f>IF(HR_Data[[#This Row],[Attrition]]="No",1,0)</f>
        <v>1</v>
      </c>
      <c r="AL315" t="str">
        <f>IF(HR_Data[[#This Row],[Age]]&lt;25,"Under 25",IF(HR_Data[[#This Row],[Age]]&lt;=34,"25-34",IF(HR_Data[[#This Row],[Age]]&lt;=44,"35-44",IF(HR_Data[[#This Row],[Age]]&lt;=54,"45-54","55+"))))</f>
        <v>25-34</v>
      </c>
      <c r="AM315" s="1" t="str">
        <f>IF(HR_Data[[#This Row],[MonthlyIncome]]&lt;3000,"Low Salary",IF(HR_Data[[#This Row],[MonthlyIncome]]&lt;=7000,"Medium Salary","High Salary"))</f>
        <v>High Salary</v>
      </c>
      <c r="AN315" s="1" t="str">
        <f>IF(HR_Data[[#This Row],[YearsAtCompany]]&lt;2,"0-1 Years",IF(HR_Data[[#This Row],[YearsAtCompany]]&lt;=5,"2-5 Years",IF(HR_Data[[#This Row],[YearsAtCompany]]&lt;=10,"6-10 Years","10+ Years")))</f>
        <v>6-10 Years</v>
      </c>
      <c r="AO315" s="1" t="str">
        <f>IF(HR_Data[[#This Row],[JobSatisfaction]]=1,"Low",IF(HR_Data[[#This Row],[JobSatisfaction]]=2,"Medium",IF(HR_Data[[#This Row],[JobSatisfaction]]=3,"High","Very High")))</f>
        <v>Medium</v>
      </c>
      <c r="AP315" s="1" t="str">
        <f>IF(HR_Data[[#This Row],[WorkLifeBalance]]=1,"Bad",IF(HR_Data[[#This Row],[WorkLifeBalance]]=2,"Good",IF(HR_Data[[#This Row],[WorkLifeBalance]]=3,"Better","Best")))</f>
        <v>Better</v>
      </c>
    </row>
    <row r="316" spans="1:42" x14ac:dyDescent="0.3">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c r="AJ316">
        <f>IF(HR_Data[[#This Row],[Attrition]]="Yes",1,0)</f>
        <v>0</v>
      </c>
      <c r="AK316">
        <f>IF(HR_Data[[#This Row],[Attrition]]="No",1,0)</f>
        <v>1</v>
      </c>
      <c r="AL316" t="str">
        <f>IF(HR_Data[[#This Row],[Age]]&lt;25,"Under 25",IF(HR_Data[[#This Row],[Age]]&lt;=34,"25-34",IF(HR_Data[[#This Row],[Age]]&lt;=44,"35-44",IF(HR_Data[[#This Row],[Age]]&lt;=54,"45-54","55+"))))</f>
        <v>35-44</v>
      </c>
      <c r="AM316" s="1" t="str">
        <f>IF(HR_Data[[#This Row],[MonthlyIncome]]&lt;3000,"Low Salary",IF(HR_Data[[#This Row],[MonthlyIncome]]&lt;=7000,"Medium Salary","High Salary"))</f>
        <v>High Salary</v>
      </c>
      <c r="AN316" s="1" t="str">
        <f>IF(HR_Data[[#This Row],[YearsAtCompany]]&lt;2,"0-1 Years",IF(HR_Data[[#This Row],[YearsAtCompany]]&lt;=5,"2-5 Years",IF(HR_Data[[#This Row],[YearsAtCompany]]&lt;=10,"6-10 Years","10+ Years")))</f>
        <v>10+ Years</v>
      </c>
      <c r="AO316" s="1" t="str">
        <f>IF(HR_Data[[#This Row],[JobSatisfaction]]=1,"Low",IF(HR_Data[[#This Row],[JobSatisfaction]]=2,"Medium",IF(HR_Data[[#This Row],[JobSatisfaction]]=3,"High","Very High")))</f>
        <v>Low</v>
      </c>
      <c r="AP316" s="1" t="str">
        <f>IF(HR_Data[[#This Row],[WorkLifeBalance]]=1,"Bad",IF(HR_Data[[#This Row],[WorkLifeBalance]]=2,"Good",IF(HR_Data[[#This Row],[WorkLifeBalance]]=3,"Better","Best")))</f>
        <v>Better</v>
      </c>
    </row>
    <row r="317" spans="1:42" x14ac:dyDescent="0.3">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c r="AJ317">
        <f>IF(HR_Data[[#This Row],[Attrition]]="Yes",1,0)</f>
        <v>0</v>
      </c>
      <c r="AK317">
        <f>IF(HR_Data[[#This Row],[Attrition]]="No",1,0)</f>
        <v>1</v>
      </c>
      <c r="AL317" t="str">
        <f>IF(HR_Data[[#This Row],[Age]]&lt;25,"Under 25",IF(HR_Data[[#This Row],[Age]]&lt;=34,"25-34",IF(HR_Data[[#This Row],[Age]]&lt;=44,"35-44",IF(HR_Data[[#This Row],[Age]]&lt;=54,"45-54","55+"))))</f>
        <v>35-44</v>
      </c>
      <c r="AM317" s="1" t="str">
        <f>IF(HR_Data[[#This Row],[MonthlyIncome]]&lt;3000,"Low Salary",IF(HR_Data[[#This Row],[MonthlyIncome]]&lt;=7000,"Medium Salary","High Salary"))</f>
        <v>Low Salary</v>
      </c>
      <c r="AN317" s="1" t="str">
        <f>IF(HR_Data[[#This Row],[YearsAtCompany]]&lt;2,"0-1 Years",IF(HR_Data[[#This Row],[YearsAtCompany]]&lt;=5,"2-5 Years",IF(HR_Data[[#This Row],[YearsAtCompany]]&lt;=10,"6-10 Years","10+ Years")))</f>
        <v>6-10 Years</v>
      </c>
      <c r="AO317" s="1" t="str">
        <f>IF(HR_Data[[#This Row],[JobSatisfaction]]=1,"Low",IF(HR_Data[[#This Row],[JobSatisfaction]]=2,"Medium",IF(HR_Data[[#This Row],[JobSatisfaction]]=3,"High","Very High")))</f>
        <v>Very High</v>
      </c>
      <c r="AP317" s="1" t="str">
        <f>IF(HR_Data[[#This Row],[WorkLifeBalance]]=1,"Bad",IF(HR_Data[[#This Row],[WorkLifeBalance]]=2,"Good",IF(HR_Data[[#This Row],[WorkLifeBalance]]=3,"Better","Best")))</f>
        <v>Better</v>
      </c>
    </row>
    <row r="318" spans="1:42" x14ac:dyDescent="0.3">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c r="AJ318">
        <f>IF(HR_Data[[#This Row],[Attrition]]="Yes",1,0)</f>
        <v>0</v>
      </c>
      <c r="AK318">
        <f>IF(HR_Data[[#This Row],[Attrition]]="No",1,0)</f>
        <v>1</v>
      </c>
      <c r="AL318" t="str">
        <f>IF(HR_Data[[#This Row],[Age]]&lt;25,"Under 25",IF(HR_Data[[#This Row],[Age]]&lt;=34,"25-34",IF(HR_Data[[#This Row],[Age]]&lt;=44,"35-44",IF(HR_Data[[#This Row],[Age]]&lt;=54,"45-54","55+"))))</f>
        <v>45-54</v>
      </c>
      <c r="AM318" s="1" t="str">
        <f>IF(HR_Data[[#This Row],[MonthlyIncome]]&lt;3000,"Low Salary",IF(HR_Data[[#This Row],[MonthlyIncome]]&lt;=7000,"Medium Salary","High Salary"))</f>
        <v>High Salary</v>
      </c>
      <c r="AN318" s="1" t="str">
        <f>IF(HR_Data[[#This Row],[YearsAtCompany]]&lt;2,"0-1 Years",IF(HR_Data[[#This Row],[YearsAtCompany]]&lt;=5,"2-5 Years",IF(HR_Data[[#This Row],[YearsAtCompany]]&lt;=10,"6-10 Years","10+ Years")))</f>
        <v>6-10 Years</v>
      </c>
      <c r="AO318" s="1" t="str">
        <f>IF(HR_Data[[#This Row],[JobSatisfaction]]=1,"Low",IF(HR_Data[[#This Row],[JobSatisfaction]]=2,"Medium",IF(HR_Data[[#This Row],[JobSatisfaction]]=3,"High","Very High")))</f>
        <v>High</v>
      </c>
      <c r="AP318" s="1" t="str">
        <f>IF(HR_Data[[#This Row],[WorkLifeBalance]]=1,"Bad",IF(HR_Data[[#This Row],[WorkLifeBalance]]=2,"Good",IF(HR_Data[[#This Row],[WorkLifeBalance]]=3,"Better","Best")))</f>
        <v>Better</v>
      </c>
    </row>
    <row r="319" spans="1:42" x14ac:dyDescent="0.3">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c r="AJ319">
        <f>IF(HR_Data[[#This Row],[Attrition]]="Yes",1,0)</f>
        <v>1</v>
      </c>
      <c r="AK319">
        <f>IF(HR_Data[[#This Row],[Attrition]]="No",1,0)</f>
        <v>0</v>
      </c>
      <c r="AL319" t="str">
        <f>IF(HR_Data[[#This Row],[Age]]&lt;25,"Under 25",IF(HR_Data[[#This Row],[Age]]&lt;=34,"25-34",IF(HR_Data[[#This Row],[Age]]&lt;=44,"35-44",IF(HR_Data[[#This Row],[Age]]&lt;=54,"45-54","55+"))))</f>
        <v>45-54</v>
      </c>
      <c r="AM319" s="1" t="str">
        <f>IF(HR_Data[[#This Row],[MonthlyIncome]]&lt;3000,"Low Salary",IF(HR_Data[[#This Row],[MonthlyIncome]]&lt;=7000,"Medium Salary","High Salary"))</f>
        <v>Medium Salary</v>
      </c>
      <c r="AN319" s="1" t="str">
        <f>IF(HR_Data[[#This Row],[YearsAtCompany]]&lt;2,"0-1 Years",IF(HR_Data[[#This Row],[YearsAtCompany]]&lt;=5,"2-5 Years",IF(HR_Data[[#This Row],[YearsAtCompany]]&lt;=10,"6-10 Years","10+ Years")))</f>
        <v>6-10 Years</v>
      </c>
      <c r="AO319" s="1" t="str">
        <f>IF(HR_Data[[#This Row],[JobSatisfaction]]=1,"Low",IF(HR_Data[[#This Row],[JobSatisfaction]]=2,"Medium",IF(HR_Data[[#This Row],[JobSatisfaction]]=3,"High","Very High")))</f>
        <v>Medium</v>
      </c>
      <c r="AP319" s="1" t="str">
        <f>IF(HR_Data[[#This Row],[WorkLifeBalance]]=1,"Bad",IF(HR_Data[[#This Row],[WorkLifeBalance]]=2,"Good",IF(HR_Data[[#This Row],[WorkLifeBalance]]=3,"Better","Best")))</f>
        <v>Good</v>
      </c>
    </row>
    <row r="320" spans="1:42" x14ac:dyDescent="0.3">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c r="AJ320">
        <f>IF(HR_Data[[#This Row],[Attrition]]="Yes",1,0)</f>
        <v>0</v>
      </c>
      <c r="AK320">
        <f>IF(HR_Data[[#This Row],[Attrition]]="No",1,0)</f>
        <v>1</v>
      </c>
      <c r="AL320" t="str">
        <f>IF(HR_Data[[#This Row],[Age]]&lt;25,"Under 25",IF(HR_Data[[#This Row],[Age]]&lt;=34,"25-34",IF(HR_Data[[#This Row],[Age]]&lt;=44,"35-44",IF(HR_Data[[#This Row],[Age]]&lt;=54,"45-54","55+"))))</f>
        <v>25-34</v>
      </c>
      <c r="AM320" s="1" t="str">
        <f>IF(HR_Data[[#This Row],[MonthlyIncome]]&lt;3000,"Low Salary",IF(HR_Data[[#This Row],[MonthlyIncome]]&lt;=7000,"Medium Salary","High Salary"))</f>
        <v>Low Salary</v>
      </c>
      <c r="AN320" s="1" t="str">
        <f>IF(HR_Data[[#This Row],[YearsAtCompany]]&lt;2,"0-1 Years",IF(HR_Data[[#This Row],[YearsAtCompany]]&lt;=5,"2-5 Years",IF(HR_Data[[#This Row],[YearsAtCompany]]&lt;=10,"6-10 Years","10+ Years")))</f>
        <v>2-5 Years</v>
      </c>
      <c r="AO320" s="1" t="str">
        <f>IF(HR_Data[[#This Row],[JobSatisfaction]]=1,"Low",IF(HR_Data[[#This Row],[JobSatisfaction]]=2,"Medium",IF(HR_Data[[#This Row],[JobSatisfaction]]=3,"High","Very High")))</f>
        <v>Medium</v>
      </c>
      <c r="AP320" s="1" t="str">
        <f>IF(HR_Data[[#This Row],[WorkLifeBalance]]=1,"Bad",IF(HR_Data[[#This Row],[WorkLifeBalance]]=2,"Good",IF(HR_Data[[#This Row],[WorkLifeBalance]]=3,"Better","Best")))</f>
        <v>Good</v>
      </c>
    </row>
    <row r="321" spans="1:42" x14ac:dyDescent="0.3">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c r="AJ321">
        <f>IF(HR_Data[[#This Row],[Attrition]]="Yes",1,0)</f>
        <v>0</v>
      </c>
      <c r="AK321">
        <f>IF(HR_Data[[#This Row],[Attrition]]="No",1,0)</f>
        <v>1</v>
      </c>
      <c r="AL321" t="str">
        <f>IF(HR_Data[[#This Row],[Age]]&lt;25,"Under 25",IF(HR_Data[[#This Row],[Age]]&lt;=34,"25-34",IF(HR_Data[[#This Row],[Age]]&lt;=44,"35-44",IF(HR_Data[[#This Row],[Age]]&lt;=54,"45-54","55+"))))</f>
        <v>25-34</v>
      </c>
      <c r="AM321" s="1" t="str">
        <f>IF(HR_Data[[#This Row],[MonthlyIncome]]&lt;3000,"Low Salary",IF(HR_Data[[#This Row],[MonthlyIncome]]&lt;=7000,"Medium Salary","High Salary"))</f>
        <v>Medium Salary</v>
      </c>
      <c r="AN321" s="1" t="str">
        <f>IF(HR_Data[[#This Row],[YearsAtCompany]]&lt;2,"0-1 Years",IF(HR_Data[[#This Row],[YearsAtCompany]]&lt;=5,"2-5 Years",IF(HR_Data[[#This Row],[YearsAtCompany]]&lt;=10,"6-10 Years","10+ Years")))</f>
        <v>10+ Years</v>
      </c>
      <c r="AO321" s="1" t="str">
        <f>IF(HR_Data[[#This Row],[JobSatisfaction]]=1,"Low",IF(HR_Data[[#This Row],[JobSatisfaction]]=2,"Medium",IF(HR_Data[[#This Row],[JobSatisfaction]]=3,"High","Very High")))</f>
        <v>Medium</v>
      </c>
      <c r="AP321" s="1" t="str">
        <f>IF(HR_Data[[#This Row],[WorkLifeBalance]]=1,"Bad",IF(HR_Data[[#This Row],[WorkLifeBalance]]=2,"Good",IF(HR_Data[[#This Row],[WorkLifeBalance]]=3,"Better","Best")))</f>
        <v>Better</v>
      </c>
    </row>
    <row r="322" spans="1:42" x14ac:dyDescent="0.3">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c r="AJ322">
        <f>IF(HR_Data[[#This Row],[Attrition]]="Yes",1,0)</f>
        <v>0</v>
      </c>
      <c r="AK322">
        <f>IF(HR_Data[[#This Row],[Attrition]]="No",1,0)</f>
        <v>1</v>
      </c>
      <c r="AL322" t="str">
        <f>IF(HR_Data[[#This Row],[Age]]&lt;25,"Under 25",IF(HR_Data[[#This Row],[Age]]&lt;=34,"25-34",IF(HR_Data[[#This Row],[Age]]&lt;=44,"35-44",IF(HR_Data[[#This Row],[Age]]&lt;=54,"45-54","55+"))))</f>
        <v>25-34</v>
      </c>
      <c r="AM322" s="1" t="str">
        <f>IF(HR_Data[[#This Row],[MonthlyIncome]]&lt;3000,"Low Salary",IF(HR_Data[[#This Row],[MonthlyIncome]]&lt;=7000,"Medium Salary","High Salary"))</f>
        <v>Medium Salary</v>
      </c>
      <c r="AN322" s="1" t="str">
        <f>IF(HR_Data[[#This Row],[YearsAtCompany]]&lt;2,"0-1 Years",IF(HR_Data[[#This Row],[YearsAtCompany]]&lt;=5,"2-5 Years",IF(HR_Data[[#This Row],[YearsAtCompany]]&lt;=10,"6-10 Years","10+ Years")))</f>
        <v>2-5 Years</v>
      </c>
      <c r="AO322" s="1" t="str">
        <f>IF(HR_Data[[#This Row],[JobSatisfaction]]=1,"Low",IF(HR_Data[[#This Row],[JobSatisfaction]]=2,"Medium",IF(HR_Data[[#This Row],[JobSatisfaction]]=3,"High","Very High")))</f>
        <v>High</v>
      </c>
      <c r="AP322" s="1" t="str">
        <f>IF(HR_Data[[#This Row],[WorkLifeBalance]]=1,"Bad",IF(HR_Data[[#This Row],[WorkLifeBalance]]=2,"Good",IF(HR_Data[[#This Row],[WorkLifeBalance]]=3,"Better","Best")))</f>
        <v>Better</v>
      </c>
    </row>
    <row r="323" spans="1:42" x14ac:dyDescent="0.3">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c r="AJ323">
        <f>IF(HR_Data[[#This Row],[Attrition]]="Yes",1,0)</f>
        <v>0</v>
      </c>
      <c r="AK323">
        <f>IF(HR_Data[[#This Row],[Attrition]]="No",1,0)</f>
        <v>1</v>
      </c>
      <c r="AL323" t="str">
        <f>IF(HR_Data[[#This Row],[Age]]&lt;25,"Under 25",IF(HR_Data[[#This Row],[Age]]&lt;=34,"25-34",IF(HR_Data[[#This Row],[Age]]&lt;=44,"35-44",IF(HR_Data[[#This Row],[Age]]&lt;=54,"45-54","55+"))))</f>
        <v>25-34</v>
      </c>
      <c r="AM323" s="1" t="str">
        <f>IF(HR_Data[[#This Row],[MonthlyIncome]]&lt;3000,"Low Salary",IF(HR_Data[[#This Row],[MonthlyIncome]]&lt;=7000,"Medium Salary","High Salary"))</f>
        <v>High Salary</v>
      </c>
      <c r="AN323" s="1" t="str">
        <f>IF(HR_Data[[#This Row],[YearsAtCompany]]&lt;2,"0-1 Years",IF(HR_Data[[#This Row],[YearsAtCompany]]&lt;=5,"2-5 Years",IF(HR_Data[[#This Row],[YearsAtCompany]]&lt;=10,"6-10 Years","10+ Years")))</f>
        <v>6-10 Years</v>
      </c>
      <c r="AO323" s="1" t="str">
        <f>IF(HR_Data[[#This Row],[JobSatisfaction]]=1,"Low",IF(HR_Data[[#This Row],[JobSatisfaction]]=2,"Medium",IF(HR_Data[[#This Row],[JobSatisfaction]]=3,"High","Very High")))</f>
        <v>Very High</v>
      </c>
      <c r="AP323" s="1" t="str">
        <f>IF(HR_Data[[#This Row],[WorkLifeBalance]]=1,"Bad",IF(HR_Data[[#This Row],[WorkLifeBalance]]=2,"Good",IF(HR_Data[[#This Row],[WorkLifeBalance]]=3,"Better","Best")))</f>
        <v>Better</v>
      </c>
    </row>
    <row r="324" spans="1:42" x14ac:dyDescent="0.3">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c r="AJ324">
        <f>IF(HR_Data[[#This Row],[Attrition]]="Yes",1,0)</f>
        <v>0</v>
      </c>
      <c r="AK324">
        <f>IF(HR_Data[[#This Row],[Attrition]]="No",1,0)</f>
        <v>1</v>
      </c>
      <c r="AL324" t="str">
        <f>IF(HR_Data[[#This Row],[Age]]&lt;25,"Under 25",IF(HR_Data[[#This Row],[Age]]&lt;=34,"25-34",IF(HR_Data[[#This Row],[Age]]&lt;=44,"35-44",IF(HR_Data[[#This Row],[Age]]&lt;=54,"45-54","55+"))))</f>
        <v>25-34</v>
      </c>
      <c r="AM324" s="1" t="str">
        <f>IF(HR_Data[[#This Row],[MonthlyIncome]]&lt;3000,"Low Salary",IF(HR_Data[[#This Row],[MonthlyIncome]]&lt;=7000,"Medium Salary","High Salary"))</f>
        <v>Medium Salary</v>
      </c>
      <c r="AN324" s="1" t="str">
        <f>IF(HR_Data[[#This Row],[YearsAtCompany]]&lt;2,"0-1 Years",IF(HR_Data[[#This Row],[YearsAtCompany]]&lt;=5,"2-5 Years",IF(HR_Data[[#This Row],[YearsAtCompany]]&lt;=10,"6-10 Years","10+ Years")))</f>
        <v>6-10 Years</v>
      </c>
      <c r="AO324" s="1" t="str">
        <f>IF(HR_Data[[#This Row],[JobSatisfaction]]=1,"Low",IF(HR_Data[[#This Row],[JobSatisfaction]]=2,"Medium",IF(HR_Data[[#This Row],[JobSatisfaction]]=3,"High","Very High")))</f>
        <v>Very High</v>
      </c>
      <c r="AP324" s="1" t="str">
        <f>IF(HR_Data[[#This Row],[WorkLifeBalance]]=1,"Bad",IF(HR_Data[[#This Row],[WorkLifeBalance]]=2,"Good",IF(HR_Data[[#This Row],[WorkLifeBalance]]=3,"Better","Best")))</f>
        <v>Good</v>
      </c>
    </row>
    <row r="325" spans="1:42" x14ac:dyDescent="0.3">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c r="AJ325">
        <f>IF(HR_Data[[#This Row],[Attrition]]="Yes",1,0)</f>
        <v>1</v>
      </c>
      <c r="AK325">
        <f>IF(HR_Data[[#This Row],[Attrition]]="No",1,0)</f>
        <v>0</v>
      </c>
      <c r="AL325" t="str">
        <f>IF(HR_Data[[#This Row],[Age]]&lt;25,"Under 25",IF(HR_Data[[#This Row],[Age]]&lt;=34,"25-34",IF(HR_Data[[#This Row],[Age]]&lt;=44,"35-44",IF(HR_Data[[#This Row],[Age]]&lt;=54,"45-54","55+"))))</f>
        <v>25-34</v>
      </c>
      <c r="AM325" s="1" t="str">
        <f>IF(HR_Data[[#This Row],[MonthlyIncome]]&lt;3000,"Low Salary",IF(HR_Data[[#This Row],[MonthlyIncome]]&lt;=7000,"Medium Salary","High Salary"))</f>
        <v>Medium Salary</v>
      </c>
      <c r="AN325" s="1" t="str">
        <f>IF(HR_Data[[#This Row],[YearsAtCompany]]&lt;2,"0-1 Years",IF(HR_Data[[#This Row],[YearsAtCompany]]&lt;=5,"2-5 Years",IF(HR_Data[[#This Row],[YearsAtCompany]]&lt;=10,"6-10 Years","10+ Years")))</f>
        <v>2-5 Years</v>
      </c>
      <c r="AO325" s="1" t="str">
        <f>IF(HR_Data[[#This Row],[JobSatisfaction]]=1,"Low",IF(HR_Data[[#This Row],[JobSatisfaction]]=2,"Medium",IF(HR_Data[[#This Row],[JobSatisfaction]]=3,"High","Very High")))</f>
        <v>Very High</v>
      </c>
      <c r="AP325" s="1" t="str">
        <f>IF(HR_Data[[#This Row],[WorkLifeBalance]]=1,"Bad",IF(HR_Data[[#This Row],[WorkLifeBalance]]=2,"Good",IF(HR_Data[[#This Row],[WorkLifeBalance]]=3,"Better","Best")))</f>
        <v>Good</v>
      </c>
    </row>
    <row r="326" spans="1:42" x14ac:dyDescent="0.3">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c r="AJ326">
        <f>IF(HR_Data[[#This Row],[Attrition]]="Yes",1,0)</f>
        <v>0</v>
      </c>
      <c r="AK326">
        <f>IF(HR_Data[[#This Row],[Attrition]]="No",1,0)</f>
        <v>1</v>
      </c>
      <c r="AL326" t="str">
        <f>IF(HR_Data[[#This Row],[Age]]&lt;25,"Under 25",IF(HR_Data[[#This Row],[Age]]&lt;=34,"25-34",IF(HR_Data[[#This Row],[Age]]&lt;=44,"35-44",IF(HR_Data[[#This Row],[Age]]&lt;=54,"45-54","55+"))))</f>
        <v>25-34</v>
      </c>
      <c r="AM326" s="1" t="str">
        <f>IF(HR_Data[[#This Row],[MonthlyIncome]]&lt;3000,"Low Salary",IF(HR_Data[[#This Row],[MonthlyIncome]]&lt;=7000,"Medium Salary","High Salary"))</f>
        <v>Medium Salary</v>
      </c>
      <c r="AN326" s="1" t="str">
        <f>IF(HR_Data[[#This Row],[YearsAtCompany]]&lt;2,"0-1 Years",IF(HR_Data[[#This Row],[YearsAtCompany]]&lt;=5,"2-5 Years",IF(HR_Data[[#This Row],[YearsAtCompany]]&lt;=10,"6-10 Years","10+ Years")))</f>
        <v>6-10 Years</v>
      </c>
      <c r="AO326" s="1" t="str">
        <f>IF(HR_Data[[#This Row],[JobSatisfaction]]=1,"Low",IF(HR_Data[[#This Row],[JobSatisfaction]]=2,"Medium",IF(HR_Data[[#This Row],[JobSatisfaction]]=3,"High","Very High")))</f>
        <v>Very High</v>
      </c>
      <c r="AP326" s="1" t="str">
        <f>IF(HR_Data[[#This Row],[WorkLifeBalance]]=1,"Bad",IF(HR_Data[[#This Row],[WorkLifeBalance]]=2,"Good",IF(HR_Data[[#This Row],[WorkLifeBalance]]=3,"Better","Best")))</f>
        <v>Better</v>
      </c>
    </row>
    <row r="327" spans="1:42" x14ac:dyDescent="0.3">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c r="AJ327">
        <f>IF(HR_Data[[#This Row],[Attrition]]="Yes",1,0)</f>
        <v>0</v>
      </c>
      <c r="AK327">
        <f>IF(HR_Data[[#This Row],[Attrition]]="No",1,0)</f>
        <v>1</v>
      </c>
      <c r="AL327" t="str">
        <f>IF(HR_Data[[#This Row],[Age]]&lt;25,"Under 25",IF(HR_Data[[#This Row],[Age]]&lt;=34,"25-34",IF(HR_Data[[#This Row],[Age]]&lt;=44,"35-44",IF(HR_Data[[#This Row],[Age]]&lt;=54,"45-54","55+"))))</f>
        <v>25-34</v>
      </c>
      <c r="AM327" s="1" t="str">
        <f>IF(HR_Data[[#This Row],[MonthlyIncome]]&lt;3000,"Low Salary",IF(HR_Data[[#This Row],[MonthlyIncome]]&lt;=7000,"Medium Salary","High Salary"))</f>
        <v>High Salary</v>
      </c>
      <c r="AN327" s="1" t="str">
        <f>IF(HR_Data[[#This Row],[YearsAtCompany]]&lt;2,"0-1 Years",IF(HR_Data[[#This Row],[YearsAtCompany]]&lt;=5,"2-5 Years",IF(HR_Data[[#This Row],[YearsAtCompany]]&lt;=10,"6-10 Years","10+ Years")))</f>
        <v>6-10 Years</v>
      </c>
      <c r="AO327" s="1" t="str">
        <f>IF(HR_Data[[#This Row],[JobSatisfaction]]=1,"Low",IF(HR_Data[[#This Row],[JobSatisfaction]]=2,"Medium",IF(HR_Data[[#This Row],[JobSatisfaction]]=3,"High","Very High")))</f>
        <v>High</v>
      </c>
      <c r="AP327" s="1" t="str">
        <f>IF(HR_Data[[#This Row],[WorkLifeBalance]]=1,"Bad",IF(HR_Data[[#This Row],[WorkLifeBalance]]=2,"Good",IF(HR_Data[[#This Row],[WorkLifeBalance]]=3,"Better","Best")))</f>
        <v>Better</v>
      </c>
    </row>
    <row r="328" spans="1:42" x14ac:dyDescent="0.3">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c r="AJ328">
        <f>IF(HR_Data[[#This Row],[Attrition]]="Yes",1,0)</f>
        <v>0</v>
      </c>
      <c r="AK328">
        <f>IF(HR_Data[[#This Row],[Attrition]]="No",1,0)</f>
        <v>1</v>
      </c>
      <c r="AL328" t="str">
        <f>IF(HR_Data[[#This Row],[Age]]&lt;25,"Under 25",IF(HR_Data[[#This Row],[Age]]&lt;=34,"25-34",IF(HR_Data[[#This Row],[Age]]&lt;=44,"35-44",IF(HR_Data[[#This Row],[Age]]&lt;=54,"45-54","55+"))))</f>
        <v>35-44</v>
      </c>
      <c r="AM328" s="1" t="str">
        <f>IF(HR_Data[[#This Row],[MonthlyIncome]]&lt;3000,"Low Salary",IF(HR_Data[[#This Row],[MonthlyIncome]]&lt;=7000,"Medium Salary","High Salary"))</f>
        <v>High Salary</v>
      </c>
      <c r="AN328" s="1" t="str">
        <f>IF(HR_Data[[#This Row],[YearsAtCompany]]&lt;2,"0-1 Years",IF(HR_Data[[#This Row],[YearsAtCompany]]&lt;=5,"2-5 Years",IF(HR_Data[[#This Row],[YearsAtCompany]]&lt;=10,"6-10 Years","10+ Years")))</f>
        <v>10+ Years</v>
      </c>
      <c r="AO328" s="1" t="str">
        <f>IF(HR_Data[[#This Row],[JobSatisfaction]]=1,"Low",IF(HR_Data[[#This Row],[JobSatisfaction]]=2,"Medium",IF(HR_Data[[#This Row],[JobSatisfaction]]=3,"High","Very High")))</f>
        <v>Very High</v>
      </c>
      <c r="AP328" s="1" t="str">
        <f>IF(HR_Data[[#This Row],[WorkLifeBalance]]=1,"Bad",IF(HR_Data[[#This Row],[WorkLifeBalance]]=2,"Good",IF(HR_Data[[#This Row],[WorkLifeBalance]]=3,"Better","Best")))</f>
        <v>Better</v>
      </c>
    </row>
    <row r="329" spans="1:42" x14ac:dyDescent="0.3">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c r="AJ329">
        <f>IF(HR_Data[[#This Row],[Attrition]]="Yes",1,0)</f>
        <v>1</v>
      </c>
      <c r="AK329">
        <f>IF(HR_Data[[#This Row],[Attrition]]="No",1,0)</f>
        <v>0</v>
      </c>
      <c r="AL329" t="str">
        <f>IF(HR_Data[[#This Row],[Age]]&lt;25,"Under 25",IF(HR_Data[[#This Row],[Age]]&lt;=34,"25-34",IF(HR_Data[[#This Row],[Age]]&lt;=44,"35-44",IF(HR_Data[[#This Row],[Age]]&lt;=54,"45-54","55+"))))</f>
        <v>35-44</v>
      </c>
      <c r="AM329" s="1" t="str">
        <f>IF(HR_Data[[#This Row],[MonthlyIncome]]&lt;3000,"Low Salary",IF(HR_Data[[#This Row],[MonthlyIncome]]&lt;=7000,"Medium Salary","High Salary"))</f>
        <v>Medium Salary</v>
      </c>
      <c r="AN329" s="1" t="str">
        <f>IF(HR_Data[[#This Row],[YearsAtCompany]]&lt;2,"0-1 Years",IF(HR_Data[[#This Row],[YearsAtCompany]]&lt;=5,"2-5 Years",IF(HR_Data[[#This Row],[YearsAtCompany]]&lt;=10,"6-10 Years","10+ Years")))</f>
        <v>0-1 Years</v>
      </c>
      <c r="AO329" s="1" t="str">
        <f>IF(HR_Data[[#This Row],[JobSatisfaction]]=1,"Low",IF(HR_Data[[#This Row],[JobSatisfaction]]=2,"Medium",IF(HR_Data[[#This Row],[JobSatisfaction]]=3,"High","Very High")))</f>
        <v>High</v>
      </c>
      <c r="AP329" s="1" t="str">
        <f>IF(HR_Data[[#This Row],[WorkLifeBalance]]=1,"Bad",IF(HR_Data[[#This Row],[WorkLifeBalance]]=2,"Good",IF(HR_Data[[#This Row],[WorkLifeBalance]]=3,"Better","Best")))</f>
        <v>Good</v>
      </c>
    </row>
    <row r="330" spans="1:42" x14ac:dyDescent="0.3">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c r="AJ330">
        <f>IF(HR_Data[[#This Row],[Attrition]]="Yes",1,0)</f>
        <v>0</v>
      </c>
      <c r="AK330">
        <f>IF(HR_Data[[#This Row],[Attrition]]="No",1,0)</f>
        <v>1</v>
      </c>
      <c r="AL330" t="str">
        <f>IF(HR_Data[[#This Row],[Age]]&lt;25,"Under 25",IF(HR_Data[[#This Row],[Age]]&lt;=34,"25-34",IF(HR_Data[[#This Row],[Age]]&lt;=44,"35-44",IF(HR_Data[[#This Row],[Age]]&lt;=54,"45-54","55+"))))</f>
        <v>25-34</v>
      </c>
      <c r="AM330" s="1" t="str">
        <f>IF(HR_Data[[#This Row],[MonthlyIncome]]&lt;3000,"Low Salary",IF(HR_Data[[#This Row],[MonthlyIncome]]&lt;=7000,"Medium Salary","High Salary"))</f>
        <v>Medium Salary</v>
      </c>
      <c r="AN330" s="1" t="str">
        <f>IF(HR_Data[[#This Row],[YearsAtCompany]]&lt;2,"0-1 Years",IF(HR_Data[[#This Row],[YearsAtCompany]]&lt;=5,"2-5 Years",IF(HR_Data[[#This Row],[YearsAtCompany]]&lt;=10,"6-10 Years","10+ Years")))</f>
        <v>6-10 Years</v>
      </c>
      <c r="AO330" s="1" t="str">
        <f>IF(HR_Data[[#This Row],[JobSatisfaction]]=1,"Low",IF(HR_Data[[#This Row],[JobSatisfaction]]=2,"Medium",IF(HR_Data[[#This Row],[JobSatisfaction]]=3,"High","Very High")))</f>
        <v>Very High</v>
      </c>
      <c r="AP330" s="1" t="str">
        <f>IF(HR_Data[[#This Row],[WorkLifeBalance]]=1,"Bad",IF(HR_Data[[#This Row],[WorkLifeBalance]]=2,"Good",IF(HR_Data[[#This Row],[WorkLifeBalance]]=3,"Better","Best")))</f>
        <v>Good</v>
      </c>
    </row>
    <row r="331" spans="1:42" x14ac:dyDescent="0.3">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c r="AJ331">
        <f>IF(HR_Data[[#This Row],[Attrition]]="Yes",1,0)</f>
        <v>0</v>
      </c>
      <c r="AK331">
        <f>IF(HR_Data[[#This Row],[Attrition]]="No",1,0)</f>
        <v>1</v>
      </c>
      <c r="AL331" t="str">
        <f>IF(HR_Data[[#This Row],[Age]]&lt;25,"Under 25",IF(HR_Data[[#This Row],[Age]]&lt;=34,"25-34",IF(HR_Data[[#This Row],[Age]]&lt;=44,"35-44",IF(HR_Data[[#This Row],[Age]]&lt;=54,"45-54","55+"))))</f>
        <v>45-54</v>
      </c>
      <c r="AM331" s="1" t="str">
        <f>IF(HR_Data[[#This Row],[MonthlyIncome]]&lt;3000,"Low Salary",IF(HR_Data[[#This Row],[MonthlyIncome]]&lt;=7000,"Medium Salary","High Salary"))</f>
        <v>High Salary</v>
      </c>
      <c r="AN331" s="1" t="str">
        <f>IF(HR_Data[[#This Row],[YearsAtCompany]]&lt;2,"0-1 Years",IF(HR_Data[[#This Row],[YearsAtCompany]]&lt;=5,"2-5 Years",IF(HR_Data[[#This Row],[YearsAtCompany]]&lt;=10,"6-10 Years","10+ Years")))</f>
        <v>2-5 Years</v>
      </c>
      <c r="AO331" s="1" t="str">
        <f>IF(HR_Data[[#This Row],[JobSatisfaction]]=1,"Low",IF(HR_Data[[#This Row],[JobSatisfaction]]=2,"Medium",IF(HR_Data[[#This Row],[JobSatisfaction]]=3,"High","Very High")))</f>
        <v>High</v>
      </c>
      <c r="AP331" s="1" t="str">
        <f>IF(HR_Data[[#This Row],[WorkLifeBalance]]=1,"Bad",IF(HR_Data[[#This Row],[WorkLifeBalance]]=2,"Good",IF(HR_Data[[#This Row],[WorkLifeBalance]]=3,"Better","Best")))</f>
        <v>Better</v>
      </c>
    </row>
    <row r="332" spans="1:42" x14ac:dyDescent="0.3">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c r="AJ332">
        <f>IF(HR_Data[[#This Row],[Attrition]]="Yes",1,0)</f>
        <v>0</v>
      </c>
      <c r="AK332">
        <f>IF(HR_Data[[#This Row],[Attrition]]="No",1,0)</f>
        <v>1</v>
      </c>
      <c r="AL332" t="str">
        <f>IF(HR_Data[[#This Row],[Age]]&lt;25,"Under 25",IF(HR_Data[[#This Row],[Age]]&lt;=34,"25-34",IF(HR_Data[[#This Row],[Age]]&lt;=44,"35-44",IF(HR_Data[[#This Row],[Age]]&lt;=54,"45-54","55+"))))</f>
        <v>35-44</v>
      </c>
      <c r="AM332" s="1" t="str">
        <f>IF(HR_Data[[#This Row],[MonthlyIncome]]&lt;3000,"Low Salary",IF(HR_Data[[#This Row],[MonthlyIncome]]&lt;=7000,"Medium Salary","High Salary"))</f>
        <v>Medium Salary</v>
      </c>
      <c r="AN332" s="1" t="str">
        <f>IF(HR_Data[[#This Row],[YearsAtCompany]]&lt;2,"0-1 Years",IF(HR_Data[[#This Row],[YearsAtCompany]]&lt;=5,"2-5 Years",IF(HR_Data[[#This Row],[YearsAtCompany]]&lt;=10,"6-10 Years","10+ Years")))</f>
        <v>6-10 Years</v>
      </c>
      <c r="AO332" s="1" t="str">
        <f>IF(HR_Data[[#This Row],[JobSatisfaction]]=1,"Low",IF(HR_Data[[#This Row],[JobSatisfaction]]=2,"Medium",IF(HR_Data[[#This Row],[JobSatisfaction]]=3,"High","Very High")))</f>
        <v>High</v>
      </c>
      <c r="AP332" s="1" t="str">
        <f>IF(HR_Data[[#This Row],[WorkLifeBalance]]=1,"Bad",IF(HR_Data[[#This Row],[WorkLifeBalance]]=2,"Good",IF(HR_Data[[#This Row],[WorkLifeBalance]]=3,"Better","Best")))</f>
        <v>Best</v>
      </c>
    </row>
    <row r="333" spans="1:42" x14ac:dyDescent="0.3">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c r="AJ333">
        <f>IF(HR_Data[[#This Row],[Attrition]]="Yes",1,0)</f>
        <v>0</v>
      </c>
      <c r="AK333">
        <f>IF(HR_Data[[#This Row],[Attrition]]="No",1,0)</f>
        <v>1</v>
      </c>
      <c r="AL333" t="str">
        <f>IF(HR_Data[[#This Row],[Age]]&lt;25,"Under 25",IF(HR_Data[[#This Row],[Age]]&lt;=34,"25-34",IF(HR_Data[[#This Row],[Age]]&lt;=44,"35-44",IF(HR_Data[[#This Row],[Age]]&lt;=54,"45-54","55+"))))</f>
        <v>25-34</v>
      </c>
      <c r="AM333" s="1" t="str">
        <f>IF(HR_Data[[#This Row],[MonthlyIncome]]&lt;3000,"Low Salary",IF(HR_Data[[#This Row],[MonthlyIncome]]&lt;=7000,"Medium Salary","High Salary"))</f>
        <v>Medium Salary</v>
      </c>
      <c r="AN333" s="1" t="str">
        <f>IF(HR_Data[[#This Row],[YearsAtCompany]]&lt;2,"0-1 Years",IF(HR_Data[[#This Row],[YearsAtCompany]]&lt;=5,"2-5 Years",IF(HR_Data[[#This Row],[YearsAtCompany]]&lt;=10,"6-10 Years","10+ Years")))</f>
        <v>2-5 Years</v>
      </c>
      <c r="AO333" s="1" t="str">
        <f>IF(HR_Data[[#This Row],[JobSatisfaction]]=1,"Low",IF(HR_Data[[#This Row],[JobSatisfaction]]=2,"Medium",IF(HR_Data[[#This Row],[JobSatisfaction]]=3,"High","Very High")))</f>
        <v>Medium</v>
      </c>
      <c r="AP333" s="1" t="str">
        <f>IF(HR_Data[[#This Row],[WorkLifeBalance]]=1,"Bad",IF(HR_Data[[#This Row],[WorkLifeBalance]]=2,"Good",IF(HR_Data[[#This Row],[WorkLifeBalance]]=3,"Better","Best")))</f>
        <v>Better</v>
      </c>
    </row>
    <row r="334" spans="1:42" x14ac:dyDescent="0.3">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c r="AJ334">
        <f>IF(HR_Data[[#This Row],[Attrition]]="Yes",1,0)</f>
        <v>0</v>
      </c>
      <c r="AK334">
        <f>IF(HR_Data[[#This Row],[Attrition]]="No",1,0)</f>
        <v>1</v>
      </c>
      <c r="AL334" t="str">
        <f>IF(HR_Data[[#This Row],[Age]]&lt;25,"Under 25",IF(HR_Data[[#This Row],[Age]]&lt;=34,"25-34",IF(HR_Data[[#This Row],[Age]]&lt;=44,"35-44",IF(HR_Data[[#This Row],[Age]]&lt;=54,"45-54","55+"))))</f>
        <v>45-54</v>
      </c>
      <c r="AM334" s="1" t="str">
        <f>IF(HR_Data[[#This Row],[MonthlyIncome]]&lt;3000,"Low Salary",IF(HR_Data[[#This Row],[MonthlyIncome]]&lt;=7000,"Medium Salary","High Salary"))</f>
        <v>Medium Salary</v>
      </c>
      <c r="AN334" s="1" t="str">
        <f>IF(HR_Data[[#This Row],[YearsAtCompany]]&lt;2,"0-1 Years",IF(HR_Data[[#This Row],[YearsAtCompany]]&lt;=5,"2-5 Years",IF(HR_Data[[#This Row],[YearsAtCompany]]&lt;=10,"6-10 Years","10+ Years")))</f>
        <v>2-5 Years</v>
      </c>
      <c r="AO334" s="1" t="str">
        <f>IF(HR_Data[[#This Row],[JobSatisfaction]]=1,"Low",IF(HR_Data[[#This Row],[JobSatisfaction]]=2,"Medium",IF(HR_Data[[#This Row],[JobSatisfaction]]=3,"High","Very High")))</f>
        <v>High</v>
      </c>
      <c r="AP334" s="1" t="str">
        <f>IF(HR_Data[[#This Row],[WorkLifeBalance]]=1,"Bad",IF(HR_Data[[#This Row],[WorkLifeBalance]]=2,"Good",IF(HR_Data[[#This Row],[WorkLifeBalance]]=3,"Better","Best")))</f>
        <v>Good</v>
      </c>
    </row>
    <row r="335" spans="1:42" x14ac:dyDescent="0.3">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c r="AJ335">
        <f>IF(HR_Data[[#This Row],[Attrition]]="Yes",1,0)</f>
        <v>0</v>
      </c>
      <c r="AK335">
        <f>IF(HR_Data[[#This Row],[Attrition]]="No",1,0)</f>
        <v>1</v>
      </c>
      <c r="AL335" t="str">
        <f>IF(HR_Data[[#This Row],[Age]]&lt;25,"Under 25",IF(HR_Data[[#This Row],[Age]]&lt;=34,"25-34",IF(HR_Data[[#This Row],[Age]]&lt;=44,"35-44",IF(HR_Data[[#This Row],[Age]]&lt;=54,"45-54","55+"))))</f>
        <v>35-44</v>
      </c>
      <c r="AM335" s="1" t="str">
        <f>IF(HR_Data[[#This Row],[MonthlyIncome]]&lt;3000,"Low Salary",IF(HR_Data[[#This Row],[MonthlyIncome]]&lt;=7000,"Medium Salary","High Salary"))</f>
        <v>High Salary</v>
      </c>
      <c r="AN335" s="1" t="str">
        <f>IF(HR_Data[[#This Row],[YearsAtCompany]]&lt;2,"0-1 Years",IF(HR_Data[[#This Row],[YearsAtCompany]]&lt;=5,"2-5 Years",IF(HR_Data[[#This Row],[YearsAtCompany]]&lt;=10,"6-10 Years","10+ Years")))</f>
        <v>0-1 Years</v>
      </c>
      <c r="AO335" s="1" t="str">
        <f>IF(HR_Data[[#This Row],[JobSatisfaction]]=1,"Low",IF(HR_Data[[#This Row],[JobSatisfaction]]=2,"Medium",IF(HR_Data[[#This Row],[JobSatisfaction]]=3,"High","Very High")))</f>
        <v>Low</v>
      </c>
      <c r="AP335" s="1" t="str">
        <f>IF(HR_Data[[#This Row],[WorkLifeBalance]]=1,"Bad",IF(HR_Data[[#This Row],[WorkLifeBalance]]=2,"Good",IF(HR_Data[[#This Row],[WorkLifeBalance]]=3,"Better","Best")))</f>
        <v>Good</v>
      </c>
    </row>
    <row r="336" spans="1:42" x14ac:dyDescent="0.3">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c r="AJ336">
        <f>IF(HR_Data[[#This Row],[Attrition]]="Yes",1,0)</f>
        <v>0</v>
      </c>
      <c r="AK336">
        <f>IF(HR_Data[[#This Row],[Attrition]]="No",1,0)</f>
        <v>1</v>
      </c>
      <c r="AL336" t="str">
        <f>IF(HR_Data[[#This Row],[Age]]&lt;25,"Under 25",IF(HR_Data[[#This Row],[Age]]&lt;=34,"25-34",IF(HR_Data[[#This Row],[Age]]&lt;=44,"35-44",IF(HR_Data[[#This Row],[Age]]&lt;=54,"45-54","55+"))))</f>
        <v>45-54</v>
      </c>
      <c r="AM336" s="1" t="str">
        <f>IF(HR_Data[[#This Row],[MonthlyIncome]]&lt;3000,"Low Salary",IF(HR_Data[[#This Row],[MonthlyIncome]]&lt;=7000,"Medium Salary","High Salary"))</f>
        <v>Medium Salary</v>
      </c>
      <c r="AN336" s="1" t="str">
        <f>IF(HR_Data[[#This Row],[YearsAtCompany]]&lt;2,"0-1 Years",IF(HR_Data[[#This Row],[YearsAtCompany]]&lt;=5,"2-5 Years",IF(HR_Data[[#This Row],[YearsAtCompany]]&lt;=10,"6-10 Years","10+ Years")))</f>
        <v>6-10 Years</v>
      </c>
      <c r="AO336" s="1" t="str">
        <f>IF(HR_Data[[#This Row],[JobSatisfaction]]=1,"Low",IF(HR_Data[[#This Row],[JobSatisfaction]]=2,"Medium",IF(HR_Data[[#This Row],[JobSatisfaction]]=3,"High","Very High")))</f>
        <v>Very High</v>
      </c>
      <c r="AP336" s="1" t="str">
        <f>IF(HR_Data[[#This Row],[WorkLifeBalance]]=1,"Bad",IF(HR_Data[[#This Row],[WorkLifeBalance]]=2,"Good",IF(HR_Data[[#This Row],[WorkLifeBalance]]=3,"Better","Best")))</f>
        <v>Better</v>
      </c>
    </row>
    <row r="337" spans="1:42" x14ac:dyDescent="0.3">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c r="AJ337">
        <f>IF(HR_Data[[#This Row],[Attrition]]="Yes",1,0)</f>
        <v>0</v>
      </c>
      <c r="AK337">
        <f>IF(HR_Data[[#This Row],[Attrition]]="No",1,0)</f>
        <v>1</v>
      </c>
      <c r="AL337" t="str">
        <f>IF(HR_Data[[#This Row],[Age]]&lt;25,"Under 25",IF(HR_Data[[#This Row],[Age]]&lt;=34,"25-34",IF(HR_Data[[#This Row],[Age]]&lt;=44,"35-44",IF(HR_Data[[#This Row],[Age]]&lt;=54,"45-54","55+"))))</f>
        <v>35-44</v>
      </c>
      <c r="AM337" s="1" t="str">
        <f>IF(HR_Data[[#This Row],[MonthlyIncome]]&lt;3000,"Low Salary",IF(HR_Data[[#This Row],[MonthlyIncome]]&lt;=7000,"Medium Salary","High Salary"))</f>
        <v>High Salary</v>
      </c>
      <c r="AN337" s="1" t="str">
        <f>IF(HR_Data[[#This Row],[YearsAtCompany]]&lt;2,"0-1 Years",IF(HR_Data[[#This Row],[YearsAtCompany]]&lt;=5,"2-5 Years",IF(HR_Data[[#This Row],[YearsAtCompany]]&lt;=10,"6-10 Years","10+ Years")))</f>
        <v>2-5 Years</v>
      </c>
      <c r="AO337" s="1" t="str">
        <f>IF(HR_Data[[#This Row],[JobSatisfaction]]=1,"Low",IF(HR_Data[[#This Row],[JobSatisfaction]]=2,"Medium",IF(HR_Data[[#This Row],[JobSatisfaction]]=3,"High","Very High")))</f>
        <v>Very High</v>
      </c>
      <c r="AP337" s="1" t="str">
        <f>IF(HR_Data[[#This Row],[WorkLifeBalance]]=1,"Bad",IF(HR_Data[[#This Row],[WorkLifeBalance]]=2,"Good",IF(HR_Data[[#This Row],[WorkLifeBalance]]=3,"Better","Best")))</f>
        <v>Good</v>
      </c>
    </row>
    <row r="338" spans="1:42" x14ac:dyDescent="0.3">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c r="AJ338">
        <f>IF(HR_Data[[#This Row],[Attrition]]="Yes",1,0)</f>
        <v>1</v>
      </c>
      <c r="AK338">
        <f>IF(HR_Data[[#This Row],[Attrition]]="No",1,0)</f>
        <v>0</v>
      </c>
      <c r="AL338" t="str">
        <f>IF(HR_Data[[#This Row],[Age]]&lt;25,"Under 25",IF(HR_Data[[#This Row],[Age]]&lt;=34,"25-34",IF(HR_Data[[#This Row],[Age]]&lt;=44,"35-44",IF(HR_Data[[#This Row],[Age]]&lt;=54,"45-54","55+"))))</f>
        <v>25-34</v>
      </c>
      <c r="AM338" s="1" t="str">
        <f>IF(HR_Data[[#This Row],[MonthlyIncome]]&lt;3000,"Low Salary",IF(HR_Data[[#This Row],[MonthlyIncome]]&lt;=7000,"Medium Salary","High Salary"))</f>
        <v>Low Salary</v>
      </c>
      <c r="AN338" s="1" t="str">
        <f>IF(HR_Data[[#This Row],[YearsAtCompany]]&lt;2,"0-1 Years",IF(HR_Data[[#This Row],[YearsAtCompany]]&lt;=5,"2-5 Years",IF(HR_Data[[#This Row],[YearsAtCompany]]&lt;=10,"6-10 Years","10+ Years")))</f>
        <v>6-10 Years</v>
      </c>
      <c r="AO338" s="1" t="str">
        <f>IF(HR_Data[[#This Row],[JobSatisfaction]]=1,"Low",IF(HR_Data[[#This Row],[JobSatisfaction]]=2,"Medium",IF(HR_Data[[#This Row],[JobSatisfaction]]=3,"High","Very High")))</f>
        <v>Low</v>
      </c>
      <c r="AP338" s="1" t="str">
        <f>IF(HR_Data[[#This Row],[WorkLifeBalance]]=1,"Bad",IF(HR_Data[[#This Row],[WorkLifeBalance]]=2,"Good",IF(HR_Data[[#This Row],[WorkLifeBalance]]=3,"Better","Best")))</f>
        <v>Good</v>
      </c>
    </row>
    <row r="339" spans="1:42" x14ac:dyDescent="0.3">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c r="AJ339">
        <f>IF(HR_Data[[#This Row],[Attrition]]="Yes",1,0)</f>
        <v>0</v>
      </c>
      <c r="AK339">
        <f>IF(HR_Data[[#This Row],[Attrition]]="No",1,0)</f>
        <v>1</v>
      </c>
      <c r="AL339" t="str">
        <f>IF(HR_Data[[#This Row],[Age]]&lt;25,"Under 25",IF(HR_Data[[#This Row],[Age]]&lt;=34,"25-34",IF(HR_Data[[#This Row],[Age]]&lt;=44,"35-44",IF(HR_Data[[#This Row],[Age]]&lt;=54,"45-54","55+"))))</f>
        <v>25-34</v>
      </c>
      <c r="AM339" s="1" t="str">
        <f>IF(HR_Data[[#This Row],[MonthlyIncome]]&lt;3000,"Low Salary",IF(HR_Data[[#This Row],[MonthlyIncome]]&lt;=7000,"Medium Salary","High Salary"))</f>
        <v>Medium Salary</v>
      </c>
      <c r="AN339" s="1" t="str">
        <f>IF(HR_Data[[#This Row],[YearsAtCompany]]&lt;2,"0-1 Years",IF(HR_Data[[#This Row],[YearsAtCompany]]&lt;=5,"2-5 Years",IF(HR_Data[[#This Row],[YearsAtCompany]]&lt;=10,"6-10 Years","10+ Years")))</f>
        <v>2-5 Years</v>
      </c>
      <c r="AO339" s="1" t="str">
        <f>IF(HR_Data[[#This Row],[JobSatisfaction]]=1,"Low",IF(HR_Data[[#This Row],[JobSatisfaction]]=2,"Medium",IF(HR_Data[[#This Row],[JobSatisfaction]]=3,"High","Very High")))</f>
        <v>Very High</v>
      </c>
      <c r="AP339" s="1" t="str">
        <f>IF(HR_Data[[#This Row],[WorkLifeBalance]]=1,"Bad",IF(HR_Data[[#This Row],[WorkLifeBalance]]=2,"Good",IF(HR_Data[[#This Row],[WorkLifeBalance]]=3,"Better","Best")))</f>
        <v>Better</v>
      </c>
    </row>
    <row r="340" spans="1:42" x14ac:dyDescent="0.3">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c r="AJ340">
        <f>IF(HR_Data[[#This Row],[Attrition]]="Yes",1,0)</f>
        <v>0</v>
      </c>
      <c r="AK340">
        <f>IF(HR_Data[[#This Row],[Attrition]]="No",1,0)</f>
        <v>1</v>
      </c>
      <c r="AL340" t="str">
        <f>IF(HR_Data[[#This Row],[Age]]&lt;25,"Under 25",IF(HR_Data[[#This Row],[Age]]&lt;=34,"25-34",IF(HR_Data[[#This Row],[Age]]&lt;=44,"35-44",IF(HR_Data[[#This Row],[Age]]&lt;=54,"45-54","55+"))))</f>
        <v>25-34</v>
      </c>
      <c r="AM340" s="1" t="str">
        <f>IF(HR_Data[[#This Row],[MonthlyIncome]]&lt;3000,"Low Salary",IF(HR_Data[[#This Row],[MonthlyIncome]]&lt;=7000,"Medium Salary","High Salary"))</f>
        <v>Medium Salary</v>
      </c>
      <c r="AN340" s="1" t="str">
        <f>IF(HR_Data[[#This Row],[YearsAtCompany]]&lt;2,"0-1 Years",IF(HR_Data[[#This Row],[YearsAtCompany]]&lt;=5,"2-5 Years",IF(HR_Data[[#This Row],[YearsAtCompany]]&lt;=10,"6-10 Years","10+ Years")))</f>
        <v>6-10 Years</v>
      </c>
      <c r="AO340" s="1" t="str">
        <f>IF(HR_Data[[#This Row],[JobSatisfaction]]=1,"Low",IF(HR_Data[[#This Row],[JobSatisfaction]]=2,"Medium",IF(HR_Data[[#This Row],[JobSatisfaction]]=3,"High","Very High")))</f>
        <v>High</v>
      </c>
      <c r="AP340" s="1" t="str">
        <f>IF(HR_Data[[#This Row],[WorkLifeBalance]]=1,"Bad",IF(HR_Data[[#This Row],[WorkLifeBalance]]=2,"Good",IF(HR_Data[[#This Row],[WorkLifeBalance]]=3,"Better","Best")))</f>
        <v>Better</v>
      </c>
    </row>
    <row r="341" spans="1:42" x14ac:dyDescent="0.3">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c r="AJ341">
        <f>IF(HR_Data[[#This Row],[Attrition]]="Yes",1,0)</f>
        <v>0</v>
      </c>
      <c r="AK341">
        <f>IF(HR_Data[[#This Row],[Attrition]]="No",1,0)</f>
        <v>1</v>
      </c>
      <c r="AL341" t="str">
        <f>IF(HR_Data[[#This Row],[Age]]&lt;25,"Under 25",IF(HR_Data[[#This Row],[Age]]&lt;=34,"25-34",IF(HR_Data[[#This Row],[Age]]&lt;=44,"35-44",IF(HR_Data[[#This Row],[Age]]&lt;=54,"45-54","55+"))))</f>
        <v>25-34</v>
      </c>
      <c r="AM341" s="1" t="str">
        <f>IF(HR_Data[[#This Row],[MonthlyIncome]]&lt;3000,"Low Salary",IF(HR_Data[[#This Row],[MonthlyIncome]]&lt;=7000,"Medium Salary","High Salary"))</f>
        <v>Medium Salary</v>
      </c>
      <c r="AN341" s="1" t="str">
        <f>IF(HR_Data[[#This Row],[YearsAtCompany]]&lt;2,"0-1 Years",IF(HR_Data[[#This Row],[YearsAtCompany]]&lt;=5,"2-5 Years",IF(HR_Data[[#This Row],[YearsAtCompany]]&lt;=10,"6-10 Years","10+ Years")))</f>
        <v>6-10 Years</v>
      </c>
      <c r="AO341" s="1" t="str">
        <f>IF(HR_Data[[#This Row],[JobSatisfaction]]=1,"Low",IF(HR_Data[[#This Row],[JobSatisfaction]]=2,"Medium",IF(HR_Data[[#This Row],[JobSatisfaction]]=3,"High","Very High")))</f>
        <v>Medium</v>
      </c>
      <c r="AP341" s="1" t="str">
        <f>IF(HR_Data[[#This Row],[WorkLifeBalance]]=1,"Bad",IF(HR_Data[[#This Row],[WorkLifeBalance]]=2,"Good",IF(HR_Data[[#This Row],[WorkLifeBalance]]=3,"Better","Best")))</f>
        <v>Better</v>
      </c>
    </row>
    <row r="342" spans="1:42" x14ac:dyDescent="0.3">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c r="AJ342">
        <f>IF(HR_Data[[#This Row],[Attrition]]="Yes",1,0)</f>
        <v>0</v>
      </c>
      <c r="AK342">
        <f>IF(HR_Data[[#This Row],[Attrition]]="No",1,0)</f>
        <v>1</v>
      </c>
      <c r="AL342" t="str">
        <f>IF(HR_Data[[#This Row],[Age]]&lt;25,"Under 25",IF(HR_Data[[#This Row],[Age]]&lt;=34,"25-34",IF(HR_Data[[#This Row],[Age]]&lt;=44,"35-44",IF(HR_Data[[#This Row],[Age]]&lt;=54,"45-54","55+"))))</f>
        <v>35-44</v>
      </c>
      <c r="AM342" s="1" t="str">
        <f>IF(HR_Data[[#This Row],[MonthlyIncome]]&lt;3000,"Low Salary",IF(HR_Data[[#This Row],[MonthlyIncome]]&lt;=7000,"Medium Salary","High Salary"))</f>
        <v>Medium Salary</v>
      </c>
      <c r="AN342" s="1" t="str">
        <f>IF(HR_Data[[#This Row],[YearsAtCompany]]&lt;2,"0-1 Years",IF(HR_Data[[#This Row],[YearsAtCompany]]&lt;=5,"2-5 Years",IF(HR_Data[[#This Row],[YearsAtCompany]]&lt;=10,"6-10 Years","10+ Years")))</f>
        <v>6-10 Years</v>
      </c>
      <c r="AO342" s="1" t="str">
        <f>IF(HR_Data[[#This Row],[JobSatisfaction]]=1,"Low",IF(HR_Data[[#This Row],[JobSatisfaction]]=2,"Medium",IF(HR_Data[[#This Row],[JobSatisfaction]]=3,"High","Very High")))</f>
        <v>Very High</v>
      </c>
      <c r="AP342" s="1" t="str">
        <f>IF(HR_Data[[#This Row],[WorkLifeBalance]]=1,"Bad",IF(HR_Data[[#This Row],[WorkLifeBalance]]=2,"Good",IF(HR_Data[[#This Row],[WorkLifeBalance]]=3,"Better","Best")))</f>
        <v>Good</v>
      </c>
    </row>
    <row r="343" spans="1:42" x14ac:dyDescent="0.3">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c r="AJ343">
        <f>IF(HR_Data[[#This Row],[Attrition]]="Yes",1,0)</f>
        <v>0</v>
      </c>
      <c r="AK343">
        <f>IF(HR_Data[[#This Row],[Attrition]]="No",1,0)</f>
        <v>1</v>
      </c>
      <c r="AL343" t="str">
        <f>IF(HR_Data[[#This Row],[Age]]&lt;25,"Under 25",IF(HR_Data[[#This Row],[Age]]&lt;=34,"25-34",IF(HR_Data[[#This Row],[Age]]&lt;=44,"35-44",IF(HR_Data[[#This Row],[Age]]&lt;=54,"45-54","55+"))))</f>
        <v>35-44</v>
      </c>
      <c r="AM343" s="1" t="str">
        <f>IF(HR_Data[[#This Row],[MonthlyIncome]]&lt;3000,"Low Salary",IF(HR_Data[[#This Row],[MonthlyIncome]]&lt;=7000,"Medium Salary","High Salary"))</f>
        <v>High Salary</v>
      </c>
      <c r="AN343" s="1" t="str">
        <f>IF(HR_Data[[#This Row],[YearsAtCompany]]&lt;2,"0-1 Years",IF(HR_Data[[#This Row],[YearsAtCompany]]&lt;=5,"2-5 Years",IF(HR_Data[[#This Row],[YearsAtCompany]]&lt;=10,"6-10 Years","10+ Years")))</f>
        <v>10+ Years</v>
      </c>
      <c r="AO343" s="1" t="str">
        <f>IF(HR_Data[[#This Row],[JobSatisfaction]]=1,"Low",IF(HR_Data[[#This Row],[JobSatisfaction]]=2,"Medium",IF(HR_Data[[#This Row],[JobSatisfaction]]=3,"High","Very High")))</f>
        <v>Very High</v>
      </c>
      <c r="AP343" s="1" t="str">
        <f>IF(HR_Data[[#This Row],[WorkLifeBalance]]=1,"Bad",IF(HR_Data[[#This Row],[WorkLifeBalance]]=2,"Good",IF(HR_Data[[#This Row],[WorkLifeBalance]]=3,"Better","Best")))</f>
        <v>Better</v>
      </c>
    </row>
    <row r="344" spans="1:42" x14ac:dyDescent="0.3">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c r="AJ344">
        <f>IF(HR_Data[[#This Row],[Attrition]]="Yes",1,0)</f>
        <v>0</v>
      </c>
      <c r="AK344">
        <f>IF(HR_Data[[#This Row],[Attrition]]="No",1,0)</f>
        <v>1</v>
      </c>
      <c r="AL344" t="str">
        <f>IF(HR_Data[[#This Row],[Age]]&lt;25,"Under 25",IF(HR_Data[[#This Row],[Age]]&lt;=34,"25-34",IF(HR_Data[[#This Row],[Age]]&lt;=44,"35-44",IF(HR_Data[[#This Row],[Age]]&lt;=54,"45-54","55+"))))</f>
        <v>25-34</v>
      </c>
      <c r="AM344" s="1" t="str">
        <f>IF(HR_Data[[#This Row],[MonthlyIncome]]&lt;3000,"Low Salary",IF(HR_Data[[#This Row],[MonthlyIncome]]&lt;=7000,"Medium Salary","High Salary"))</f>
        <v>High Salary</v>
      </c>
      <c r="AN344" s="1" t="str">
        <f>IF(HR_Data[[#This Row],[YearsAtCompany]]&lt;2,"0-1 Years",IF(HR_Data[[#This Row],[YearsAtCompany]]&lt;=5,"2-5 Years",IF(HR_Data[[#This Row],[YearsAtCompany]]&lt;=10,"6-10 Years","10+ Years")))</f>
        <v>10+ Years</v>
      </c>
      <c r="AO344" s="1" t="str">
        <f>IF(HR_Data[[#This Row],[JobSatisfaction]]=1,"Low",IF(HR_Data[[#This Row],[JobSatisfaction]]=2,"Medium",IF(HR_Data[[#This Row],[JobSatisfaction]]=3,"High","Very High")))</f>
        <v>Very High</v>
      </c>
      <c r="AP344" s="1" t="str">
        <f>IF(HR_Data[[#This Row],[WorkLifeBalance]]=1,"Bad",IF(HR_Data[[#This Row],[WorkLifeBalance]]=2,"Good",IF(HR_Data[[#This Row],[WorkLifeBalance]]=3,"Better","Best")))</f>
        <v>Good</v>
      </c>
    </row>
    <row r="345" spans="1:42" x14ac:dyDescent="0.3">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c r="AJ345">
        <f>IF(HR_Data[[#This Row],[Attrition]]="Yes",1,0)</f>
        <v>0</v>
      </c>
      <c r="AK345">
        <f>IF(HR_Data[[#This Row],[Attrition]]="No",1,0)</f>
        <v>1</v>
      </c>
      <c r="AL345" t="str">
        <f>IF(HR_Data[[#This Row],[Age]]&lt;25,"Under 25",IF(HR_Data[[#This Row],[Age]]&lt;=34,"25-34",IF(HR_Data[[#This Row],[Age]]&lt;=44,"35-44",IF(HR_Data[[#This Row],[Age]]&lt;=54,"45-54","55+"))))</f>
        <v>25-34</v>
      </c>
      <c r="AM345" s="1" t="str">
        <f>IF(HR_Data[[#This Row],[MonthlyIncome]]&lt;3000,"Low Salary",IF(HR_Data[[#This Row],[MonthlyIncome]]&lt;=7000,"Medium Salary","High Salary"))</f>
        <v>High Salary</v>
      </c>
      <c r="AN345" s="1" t="str">
        <f>IF(HR_Data[[#This Row],[YearsAtCompany]]&lt;2,"0-1 Years",IF(HR_Data[[#This Row],[YearsAtCompany]]&lt;=5,"2-5 Years",IF(HR_Data[[#This Row],[YearsAtCompany]]&lt;=10,"6-10 Years","10+ Years")))</f>
        <v>6-10 Years</v>
      </c>
      <c r="AO345" s="1" t="str">
        <f>IF(HR_Data[[#This Row],[JobSatisfaction]]=1,"Low",IF(HR_Data[[#This Row],[JobSatisfaction]]=2,"Medium",IF(HR_Data[[#This Row],[JobSatisfaction]]=3,"High","Very High")))</f>
        <v>Medium</v>
      </c>
      <c r="AP345" s="1" t="str">
        <f>IF(HR_Data[[#This Row],[WorkLifeBalance]]=1,"Bad",IF(HR_Data[[#This Row],[WorkLifeBalance]]=2,"Good",IF(HR_Data[[#This Row],[WorkLifeBalance]]=3,"Better","Best")))</f>
        <v>Better</v>
      </c>
    </row>
    <row r="346" spans="1:42" x14ac:dyDescent="0.3">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c r="AJ346">
        <f>IF(HR_Data[[#This Row],[Attrition]]="Yes",1,0)</f>
        <v>0</v>
      </c>
      <c r="AK346">
        <f>IF(HR_Data[[#This Row],[Attrition]]="No",1,0)</f>
        <v>1</v>
      </c>
      <c r="AL346" t="str">
        <f>IF(HR_Data[[#This Row],[Age]]&lt;25,"Under 25",IF(HR_Data[[#This Row],[Age]]&lt;=34,"25-34",IF(HR_Data[[#This Row],[Age]]&lt;=44,"35-44",IF(HR_Data[[#This Row],[Age]]&lt;=54,"45-54","55+"))))</f>
        <v>35-44</v>
      </c>
      <c r="AM346" s="1" t="str">
        <f>IF(HR_Data[[#This Row],[MonthlyIncome]]&lt;3000,"Low Salary",IF(HR_Data[[#This Row],[MonthlyIncome]]&lt;=7000,"Medium Salary","High Salary"))</f>
        <v>High Salary</v>
      </c>
      <c r="AN346" s="1" t="str">
        <f>IF(HR_Data[[#This Row],[YearsAtCompany]]&lt;2,"0-1 Years",IF(HR_Data[[#This Row],[YearsAtCompany]]&lt;=5,"2-5 Years",IF(HR_Data[[#This Row],[YearsAtCompany]]&lt;=10,"6-10 Years","10+ Years")))</f>
        <v>10+ Years</v>
      </c>
      <c r="AO346" s="1" t="str">
        <f>IF(HR_Data[[#This Row],[JobSatisfaction]]=1,"Low",IF(HR_Data[[#This Row],[JobSatisfaction]]=2,"Medium",IF(HR_Data[[#This Row],[JobSatisfaction]]=3,"High","Very High")))</f>
        <v>Medium</v>
      </c>
      <c r="AP346" s="1" t="str">
        <f>IF(HR_Data[[#This Row],[WorkLifeBalance]]=1,"Bad",IF(HR_Data[[#This Row],[WorkLifeBalance]]=2,"Good",IF(HR_Data[[#This Row],[WorkLifeBalance]]=3,"Better","Best")))</f>
        <v>Better</v>
      </c>
    </row>
    <row r="347" spans="1:42" x14ac:dyDescent="0.3">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c r="AJ347">
        <f>IF(HR_Data[[#This Row],[Attrition]]="Yes",1,0)</f>
        <v>0</v>
      </c>
      <c r="AK347">
        <f>IF(HR_Data[[#This Row],[Attrition]]="No",1,0)</f>
        <v>1</v>
      </c>
      <c r="AL347" t="str">
        <f>IF(HR_Data[[#This Row],[Age]]&lt;25,"Under 25",IF(HR_Data[[#This Row],[Age]]&lt;=34,"25-34",IF(HR_Data[[#This Row],[Age]]&lt;=44,"35-44",IF(HR_Data[[#This Row],[Age]]&lt;=54,"45-54","55+"))))</f>
        <v>Under 25</v>
      </c>
      <c r="AM347" s="1" t="str">
        <f>IF(HR_Data[[#This Row],[MonthlyIncome]]&lt;3000,"Low Salary",IF(HR_Data[[#This Row],[MonthlyIncome]]&lt;=7000,"Medium Salary","High Salary"))</f>
        <v>Low Salary</v>
      </c>
      <c r="AN347" s="1" t="str">
        <f>IF(HR_Data[[#This Row],[YearsAtCompany]]&lt;2,"0-1 Years",IF(HR_Data[[#This Row],[YearsAtCompany]]&lt;=5,"2-5 Years",IF(HR_Data[[#This Row],[YearsAtCompany]]&lt;=10,"6-10 Years","10+ Years")))</f>
        <v>2-5 Years</v>
      </c>
      <c r="AO347" s="1" t="str">
        <f>IF(HR_Data[[#This Row],[JobSatisfaction]]=1,"Low",IF(HR_Data[[#This Row],[JobSatisfaction]]=2,"Medium",IF(HR_Data[[#This Row],[JobSatisfaction]]=3,"High","Very High")))</f>
        <v>Very High</v>
      </c>
      <c r="AP347" s="1" t="str">
        <f>IF(HR_Data[[#This Row],[WorkLifeBalance]]=1,"Bad",IF(HR_Data[[#This Row],[WorkLifeBalance]]=2,"Good",IF(HR_Data[[#This Row],[WorkLifeBalance]]=3,"Better","Best")))</f>
        <v>Good</v>
      </c>
    </row>
    <row r="348" spans="1:42" x14ac:dyDescent="0.3">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c r="AJ348">
        <f>IF(HR_Data[[#This Row],[Attrition]]="Yes",1,0)</f>
        <v>0</v>
      </c>
      <c r="AK348">
        <f>IF(HR_Data[[#This Row],[Attrition]]="No",1,0)</f>
        <v>1</v>
      </c>
      <c r="AL348" t="str">
        <f>IF(HR_Data[[#This Row],[Age]]&lt;25,"Under 25",IF(HR_Data[[#This Row],[Age]]&lt;=34,"25-34",IF(HR_Data[[#This Row],[Age]]&lt;=44,"35-44",IF(HR_Data[[#This Row],[Age]]&lt;=54,"45-54","55+"))))</f>
        <v>35-44</v>
      </c>
      <c r="AM348" s="1" t="str">
        <f>IF(HR_Data[[#This Row],[MonthlyIncome]]&lt;3000,"Low Salary",IF(HR_Data[[#This Row],[MonthlyIncome]]&lt;=7000,"Medium Salary","High Salary"))</f>
        <v>Medium Salary</v>
      </c>
      <c r="AN348" s="1" t="str">
        <f>IF(HR_Data[[#This Row],[YearsAtCompany]]&lt;2,"0-1 Years",IF(HR_Data[[#This Row],[YearsAtCompany]]&lt;=5,"2-5 Years",IF(HR_Data[[#This Row],[YearsAtCompany]]&lt;=10,"6-10 Years","10+ Years")))</f>
        <v>2-5 Years</v>
      </c>
      <c r="AO348" s="1" t="str">
        <f>IF(HR_Data[[#This Row],[JobSatisfaction]]=1,"Low",IF(HR_Data[[#This Row],[JobSatisfaction]]=2,"Medium",IF(HR_Data[[#This Row],[JobSatisfaction]]=3,"High","Very High")))</f>
        <v>Medium</v>
      </c>
      <c r="AP348" s="1" t="str">
        <f>IF(HR_Data[[#This Row],[WorkLifeBalance]]=1,"Bad",IF(HR_Data[[#This Row],[WorkLifeBalance]]=2,"Good",IF(HR_Data[[#This Row],[WorkLifeBalance]]=3,"Better","Best")))</f>
        <v>Better</v>
      </c>
    </row>
    <row r="349" spans="1:42" x14ac:dyDescent="0.3">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c r="AJ349">
        <f>IF(HR_Data[[#This Row],[Attrition]]="Yes",1,0)</f>
        <v>0</v>
      </c>
      <c r="AK349">
        <f>IF(HR_Data[[#This Row],[Attrition]]="No",1,0)</f>
        <v>1</v>
      </c>
      <c r="AL349" t="str">
        <f>IF(HR_Data[[#This Row],[Age]]&lt;25,"Under 25",IF(HR_Data[[#This Row],[Age]]&lt;=34,"25-34",IF(HR_Data[[#This Row],[Age]]&lt;=44,"35-44",IF(HR_Data[[#This Row],[Age]]&lt;=54,"45-54","55+"))))</f>
        <v>45-54</v>
      </c>
      <c r="AM349" s="1" t="str">
        <f>IF(HR_Data[[#This Row],[MonthlyIncome]]&lt;3000,"Low Salary",IF(HR_Data[[#This Row],[MonthlyIncome]]&lt;=7000,"Medium Salary","High Salary"))</f>
        <v>Low Salary</v>
      </c>
      <c r="AN349" s="1" t="str">
        <f>IF(HR_Data[[#This Row],[YearsAtCompany]]&lt;2,"0-1 Years",IF(HR_Data[[#This Row],[YearsAtCompany]]&lt;=5,"2-5 Years",IF(HR_Data[[#This Row],[YearsAtCompany]]&lt;=10,"6-10 Years","10+ Years")))</f>
        <v>0-1 Years</v>
      </c>
      <c r="AO349" s="1" t="str">
        <f>IF(HR_Data[[#This Row],[JobSatisfaction]]=1,"Low",IF(HR_Data[[#This Row],[JobSatisfaction]]=2,"Medium",IF(HR_Data[[#This Row],[JobSatisfaction]]=3,"High","Very High")))</f>
        <v>High</v>
      </c>
      <c r="AP349" s="1" t="str">
        <f>IF(HR_Data[[#This Row],[WorkLifeBalance]]=1,"Bad",IF(HR_Data[[#This Row],[WorkLifeBalance]]=2,"Good",IF(HR_Data[[#This Row],[WorkLifeBalance]]=3,"Better","Best")))</f>
        <v>Better</v>
      </c>
    </row>
    <row r="350" spans="1:42" x14ac:dyDescent="0.3">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c r="AJ350">
        <f>IF(HR_Data[[#This Row],[Attrition]]="Yes",1,0)</f>
        <v>0</v>
      </c>
      <c r="AK350">
        <f>IF(HR_Data[[#This Row],[Attrition]]="No",1,0)</f>
        <v>1</v>
      </c>
      <c r="AL350" t="str">
        <f>IF(HR_Data[[#This Row],[Age]]&lt;25,"Under 25",IF(HR_Data[[#This Row],[Age]]&lt;=34,"25-34",IF(HR_Data[[#This Row],[Age]]&lt;=44,"35-44",IF(HR_Data[[#This Row],[Age]]&lt;=54,"45-54","55+"))))</f>
        <v>35-44</v>
      </c>
      <c r="AM350" s="1" t="str">
        <f>IF(HR_Data[[#This Row],[MonthlyIncome]]&lt;3000,"Low Salary",IF(HR_Data[[#This Row],[MonthlyIncome]]&lt;=7000,"Medium Salary","High Salary"))</f>
        <v>High Salary</v>
      </c>
      <c r="AN350" s="1" t="str">
        <f>IF(HR_Data[[#This Row],[YearsAtCompany]]&lt;2,"0-1 Years",IF(HR_Data[[#This Row],[YearsAtCompany]]&lt;=5,"2-5 Years",IF(HR_Data[[#This Row],[YearsAtCompany]]&lt;=10,"6-10 Years","10+ Years")))</f>
        <v>0-1 Years</v>
      </c>
      <c r="AO350" s="1" t="str">
        <f>IF(HR_Data[[#This Row],[JobSatisfaction]]=1,"Low",IF(HR_Data[[#This Row],[JobSatisfaction]]=2,"Medium",IF(HR_Data[[#This Row],[JobSatisfaction]]=3,"High","Very High")))</f>
        <v>Very High</v>
      </c>
      <c r="AP350" s="1" t="str">
        <f>IF(HR_Data[[#This Row],[WorkLifeBalance]]=1,"Bad",IF(HR_Data[[#This Row],[WorkLifeBalance]]=2,"Good",IF(HR_Data[[#This Row],[WorkLifeBalance]]=3,"Better","Best")))</f>
        <v>Better</v>
      </c>
    </row>
    <row r="351" spans="1:42" x14ac:dyDescent="0.3">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c r="AJ351">
        <f>IF(HR_Data[[#This Row],[Attrition]]="Yes",1,0)</f>
        <v>0</v>
      </c>
      <c r="AK351">
        <f>IF(HR_Data[[#This Row],[Attrition]]="No",1,0)</f>
        <v>1</v>
      </c>
      <c r="AL351" t="str">
        <f>IF(HR_Data[[#This Row],[Age]]&lt;25,"Under 25",IF(HR_Data[[#This Row],[Age]]&lt;=34,"25-34",IF(HR_Data[[#This Row],[Age]]&lt;=44,"35-44",IF(HR_Data[[#This Row],[Age]]&lt;=54,"45-54","55+"))))</f>
        <v>25-34</v>
      </c>
      <c r="AM351" s="1" t="str">
        <f>IF(HR_Data[[#This Row],[MonthlyIncome]]&lt;3000,"Low Salary",IF(HR_Data[[#This Row],[MonthlyIncome]]&lt;=7000,"Medium Salary","High Salary"))</f>
        <v>Medium Salary</v>
      </c>
      <c r="AN351" s="1" t="str">
        <f>IF(HR_Data[[#This Row],[YearsAtCompany]]&lt;2,"0-1 Years",IF(HR_Data[[#This Row],[YearsAtCompany]]&lt;=5,"2-5 Years",IF(HR_Data[[#This Row],[YearsAtCompany]]&lt;=10,"6-10 Years","10+ Years")))</f>
        <v>2-5 Years</v>
      </c>
      <c r="AO351" s="1" t="str">
        <f>IF(HR_Data[[#This Row],[JobSatisfaction]]=1,"Low",IF(HR_Data[[#This Row],[JobSatisfaction]]=2,"Medium",IF(HR_Data[[#This Row],[JobSatisfaction]]=3,"High","Very High")))</f>
        <v>High</v>
      </c>
      <c r="AP351" s="1" t="str">
        <f>IF(HR_Data[[#This Row],[WorkLifeBalance]]=1,"Bad",IF(HR_Data[[#This Row],[WorkLifeBalance]]=2,"Good",IF(HR_Data[[#This Row],[WorkLifeBalance]]=3,"Better","Best")))</f>
        <v>Good</v>
      </c>
    </row>
    <row r="352" spans="1:42" x14ac:dyDescent="0.3">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c r="AJ352">
        <f>IF(HR_Data[[#This Row],[Attrition]]="Yes",1,0)</f>
        <v>0</v>
      </c>
      <c r="AK352">
        <f>IF(HR_Data[[#This Row],[Attrition]]="No",1,0)</f>
        <v>1</v>
      </c>
      <c r="AL352" t="str">
        <f>IF(HR_Data[[#This Row],[Age]]&lt;25,"Under 25",IF(HR_Data[[#This Row],[Age]]&lt;=34,"25-34",IF(HR_Data[[#This Row],[Age]]&lt;=44,"35-44",IF(HR_Data[[#This Row],[Age]]&lt;=54,"45-54","55+"))))</f>
        <v>35-44</v>
      </c>
      <c r="AM352" s="1" t="str">
        <f>IF(HR_Data[[#This Row],[MonthlyIncome]]&lt;3000,"Low Salary",IF(HR_Data[[#This Row],[MonthlyIncome]]&lt;=7000,"Medium Salary","High Salary"))</f>
        <v>Low Salary</v>
      </c>
      <c r="AN352" s="1" t="str">
        <f>IF(HR_Data[[#This Row],[YearsAtCompany]]&lt;2,"0-1 Years",IF(HR_Data[[#This Row],[YearsAtCompany]]&lt;=5,"2-5 Years",IF(HR_Data[[#This Row],[YearsAtCompany]]&lt;=10,"6-10 Years","10+ Years")))</f>
        <v>2-5 Years</v>
      </c>
      <c r="AO352" s="1" t="str">
        <f>IF(HR_Data[[#This Row],[JobSatisfaction]]=1,"Low",IF(HR_Data[[#This Row],[JobSatisfaction]]=2,"Medium",IF(HR_Data[[#This Row],[JobSatisfaction]]=3,"High","Very High")))</f>
        <v>High</v>
      </c>
      <c r="AP352" s="1" t="str">
        <f>IF(HR_Data[[#This Row],[WorkLifeBalance]]=1,"Bad",IF(HR_Data[[#This Row],[WorkLifeBalance]]=2,"Good",IF(HR_Data[[#This Row],[WorkLifeBalance]]=3,"Better","Best")))</f>
        <v>Better</v>
      </c>
    </row>
    <row r="353" spans="1:42" x14ac:dyDescent="0.3">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c r="AJ353">
        <f>IF(HR_Data[[#This Row],[Attrition]]="Yes",1,0)</f>
        <v>0</v>
      </c>
      <c r="AK353">
        <f>IF(HR_Data[[#This Row],[Attrition]]="No",1,0)</f>
        <v>1</v>
      </c>
      <c r="AL353" t="str">
        <f>IF(HR_Data[[#This Row],[Age]]&lt;25,"Under 25",IF(HR_Data[[#This Row],[Age]]&lt;=34,"25-34",IF(HR_Data[[#This Row],[Age]]&lt;=44,"35-44",IF(HR_Data[[#This Row],[Age]]&lt;=54,"45-54","55+"))))</f>
        <v>25-34</v>
      </c>
      <c r="AM353" s="1" t="str">
        <f>IF(HR_Data[[#This Row],[MonthlyIncome]]&lt;3000,"Low Salary",IF(HR_Data[[#This Row],[MonthlyIncome]]&lt;=7000,"Medium Salary","High Salary"))</f>
        <v>Low Salary</v>
      </c>
      <c r="AN353" s="1" t="str">
        <f>IF(HR_Data[[#This Row],[YearsAtCompany]]&lt;2,"0-1 Years",IF(HR_Data[[#This Row],[YearsAtCompany]]&lt;=5,"2-5 Years",IF(HR_Data[[#This Row],[YearsAtCompany]]&lt;=10,"6-10 Years","10+ Years")))</f>
        <v>6-10 Years</v>
      </c>
      <c r="AO353" s="1" t="str">
        <f>IF(HR_Data[[#This Row],[JobSatisfaction]]=1,"Low",IF(HR_Data[[#This Row],[JobSatisfaction]]=2,"Medium",IF(HR_Data[[#This Row],[JobSatisfaction]]=3,"High","Very High")))</f>
        <v>Medium</v>
      </c>
      <c r="AP353" s="1" t="str">
        <f>IF(HR_Data[[#This Row],[WorkLifeBalance]]=1,"Bad",IF(HR_Data[[#This Row],[WorkLifeBalance]]=2,"Good",IF(HR_Data[[#This Row],[WorkLifeBalance]]=3,"Better","Best")))</f>
        <v>Better</v>
      </c>
    </row>
    <row r="354" spans="1:42" x14ac:dyDescent="0.3">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c r="AJ354">
        <f>IF(HR_Data[[#This Row],[Attrition]]="Yes",1,0)</f>
        <v>0</v>
      </c>
      <c r="AK354">
        <f>IF(HR_Data[[#This Row],[Attrition]]="No",1,0)</f>
        <v>1</v>
      </c>
      <c r="AL354" t="str">
        <f>IF(HR_Data[[#This Row],[Age]]&lt;25,"Under 25",IF(HR_Data[[#This Row],[Age]]&lt;=34,"25-34",IF(HR_Data[[#This Row],[Age]]&lt;=44,"35-44",IF(HR_Data[[#This Row],[Age]]&lt;=54,"45-54","55+"))))</f>
        <v>45-54</v>
      </c>
      <c r="AM354" s="1" t="str">
        <f>IF(HR_Data[[#This Row],[MonthlyIncome]]&lt;3000,"Low Salary",IF(HR_Data[[#This Row],[MonthlyIncome]]&lt;=7000,"Medium Salary","High Salary"))</f>
        <v>High Salary</v>
      </c>
      <c r="AN354" s="1" t="str">
        <f>IF(HR_Data[[#This Row],[YearsAtCompany]]&lt;2,"0-1 Years",IF(HR_Data[[#This Row],[YearsAtCompany]]&lt;=5,"2-5 Years",IF(HR_Data[[#This Row],[YearsAtCompany]]&lt;=10,"6-10 Years","10+ Years")))</f>
        <v>0-1 Years</v>
      </c>
      <c r="AO354" s="1" t="str">
        <f>IF(HR_Data[[#This Row],[JobSatisfaction]]=1,"Low",IF(HR_Data[[#This Row],[JobSatisfaction]]=2,"Medium",IF(HR_Data[[#This Row],[JobSatisfaction]]=3,"High","Very High")))</f>
        <v>High</v>
      </c>
      <c r="AP354" s="1" t="str">
        <f>IF(HR_Data[[#This Row],[WorkLifeBalance]]=1,"Bad",IF(HR_Data[[#This Row],[WorkLifeBalance]]=2,"Good",IF(HR_Data[[#This Row],[WorkLifeBalance]]=3,"Better","Best")))</f>
        <v>Bad</v>
      </c>
    </row>
    <row r="355" spans="1:42" x14ac:dyDescent="0.3">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c r="AJ355">
        <f>IF(HR_Data[[#This Row],[Attrition]]="Yes",1,0)</f>
        <v>0</v>
      </c>
      <c r="AK355">
        <f>IF(HR_Data[[#This Row],[Attrition]]="No",1,0)</f>
        <v>1</v>
      </c>
      <c r="AL355" t="str">
        <f>IF(HR_Data[[#This Row],[Age]]&lt;25,"Under 25",IF(HR_Data[[#This Row],[Age]]&lt;=34,"25-34",IF(HR_Data[[#This Row],[Age]]&lt;=44,"35-44",IF(HR_Data[[#This Row],[Age]]&lt;=54,"45-54","55+"))))</f>
        <v>35-44</v>
      </c>
      <c r="AM355" s="1" t="str">
        <f>IF(HR_Data[[#This Row],[MonthlyIncome]]&lt;3000,"Low Salary",IF(HR_Data[[#This Row],[MonthlyIncome]]&lt;=7000,"Medium Salary","High Salary"))</f>
        <v>Medium Salary</v>
      </c>
      <c r="AN355" s="1" t="str">
        <f>IF(HR_Data[[#This Row],[YearsAtCompany]]&lt;2,"0-1 Years",IF(HR_Data[[#This Row],[YearsAtCompany]]&lt;=5,"2-5 Years",IF(HR_Data[[#This Row],[YearsAtCompany]]&lt;=10,"6-10 Years","10+ Years")))</f>
        <v>6-10 Years</v>
      </c>
      <c r="AO355" s="1" t="str">
        <f>IF(HR_Data[[#This Row],[JobSatisfaction]]=1,"Low",IF(HR_Data[[#This Row],[JobSatisfaction]]=2,"Medium",IF(HR_Data[[#This Row],[JobSatisfaction]]=3,"High","Very High")))</f>
        <v>Low</v>
      </c>
      <c r="AP355" s="1" t="str">
        <f>IF(HR_Data[[#This Row],[WorkLifeBalance]]=1,"Bad",IF(HR_Data[[#This Row],[WorkLifeBalance]]=2,"Good",IF(HR_Data[[#This Row],[WorkLifeBalance]]=3,"Better","Best")))</f>
        <v>Better</v>
      </c>
    </row>
    <row r="356" spans="1:42" x14ac:dyDescent="0.3">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c r="AJ356">
        <f>IF(HR_Data[[#This Row],[Attrition]]="Yes",1,0)</f>
        <v>0</v>
      </c>
      <c r="AK356">
        <f>IF(HR_Data[[#This Row],[Attrition]]="No",1,0)</f>
        <v>1</v>
      </c>
      <c r="AL356" t="str">
        <f>IF(HR_Data[[#This Row],[Age]]&lt;25,"Under 25",IF(HR_Data[[#This Row],[Age]]&lt;=34,"25-34",IF(HR_Data[[#This Row],[Age]]&lt;=44,"35-44",IF(HR_Data[[#This Row],[Age]]&lt;=54,"45-54","55+"))))</f>
        <v>25-34</v>
      </c>
      <c r="AM356" s="1" t="str">
        <f>IF(HR_Data[[#This Row],[MonthlyIncome]]&lt;3000,"Low Salary",IF(HR_Data[[#This Row],[MonthlyIncome]]&lt;=7000,"Medium Salary","High Salary"))</f>
        <v>Medium Salary</v>
      </c>
      <c r="AN356" s="1" t="str">
        <f>IF(HR_Data[[#This Row],[YearsAtCompany]]&lt;2,"0-1 Years",IF(HR_Data[[#This Row],[YearsAtCompany]]&lt;=5,"2-5 Years",IF(HR_Data[[#This Row],[YearsAtCompany]]&lt;=10,"6-10 Years","10+ Years")))</f>
        <v>2-5 Years</v>
      </c>
      <c r="AO356" s="1" t="str">
        <f>IF(HR_Data[[#This Row],[JobSatisfaction]]=1,"Low",IF(HR_Data[[#This Row],[JobSatisfaction]]=2,"Medium",IF(HR_Data[[#This Row],[JobSatisfaction]]=3,"High","Very High")))</f>
        <v>High</v>
      </c>
      <c r="AP356" s="1" t="str">
        <f>IF(HR_Data[[#This Row],[WorkLifeBalance]]=1,"Bad",IF(HR_Data[[#This Row],[WorkLifeBalance]]=2,"Good",IF(HR_Data[[#This Row],[WorkLifeBalance]]=3,"Better","Best")))</f>
        <v>Best</v>
      </c>
    </row>
    <row r="357" spans="1:42" x14ac:dyDescent="0.3">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c r="AJ357">
        <f>IF(HR_Data[[#This Row],[Attrition]]="Yes",1,0)</f>
        <v>0</v>
      </c>
      <c r="AK357">
        <f>IF(HR_Data[[#This Row],[Attrition]]="No",1,0)</f>
        <v>1</v>
      </c>
      <c r="AL357" t="str">
        <f>IF(HR_Data[[#This Row],[Age]]&lt;25,"Under 25",IF(HR_Data[[#This Row],[Age]]&lt;=34,"25-34",IF(HR_Data[[#This Row],[Age]]&lt;=44,"35-44",IF(HR_Data[[#This Row],[Age]]&lt;=54,"45-54","55+"))))</f>
        <v>25-34</v>
      </c>
      <c r="AM357" s="1" t="str">
        <f>IF(HR_Data[[#This Row],[MonthlyIncome]]&lt;3000,"Low Salary",IF(HR_Data[[#This Row],[MonthlyIncome]]&lt;=7000,"Medium Salary","High Salary"))</f>
        <v>Medium Salary</v>
      </c>
      <c r="AN357" s="1" t="str">
        <f>IF(HR_Data[[#This Row],[YearsAtCompany]]&lt;2,"0-1 Years",IF(HR_Data[[#This Row],[YearsAtCompany]]&lt;=5,"2-5 Years",IF(HR_Data[[#This Row],[YearsAtCompany]]&lt;=10,"6-10 Years","10+ Years")))</f>
        <v>6-10 Years</v>
      </c>
      <c r="AO357" s="1" t="str">
        <f>IF(HR_Data[[#This Row],[JobSatisfaction]]=1,"Low",IF(HR_Data[[#This Row],[JobSatisfaction]]=2,"Medium",IF(HR_Data[[#This Row],[JobSatisfaction]]=3,"High","Very High")))</f>
        <v>High</v>
      </c>
      <c r="AP357" s="1" t="str">
        <f>IF(HR_Data[[#This Row],[WorkLifeBalance]]=1,"Bad",IF(HR_Data[[#This Row],[WorkLifeBalance]]=2,"Good",IF(HR_Data[[#This Row],[WorkLifeBalance]]=3,"Better","Best")))</f>
        <v>Better</v>
      </c>
    </row>
    <row r="358" spans="1:42" x14ac:dyDescent="0.3">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c r="AJ358">
        <f>IF(HR_Data[[#This Row],[Attrition]]="Yes",1,0)</f>
        <v>0</v>
      </c>
      <c r="AK358">
        <f>IF(HR_Data[[#This Row],[Attrition]]="No",1,0)</f>
        <v>1</v>
      </c>
      <c r="AL358" t="str">
        <f>IF(HR_Data[[#This Row],[Age]]&lt;25,"Under 25",IF(HR_Data[[#This Row],[Age]]&lt;=34,"25-34",IF(HR_Data[[#This Row],[Age]]&lt;=44,"35-44",IF(HR_Data[[#This Row],[Age]]&lt;=54,"45-54","55+"))))</f>
        <v>35-44</v>
      </c>
      <c r="AM358" s="1" t="str">
        <f>IF(HR_Data[[#This Row],[MonthlyIncome]]&lt;3000,"Low Salary",IF(HR_Data[[#This Row],[MonthlyIncome]]&lt;=7000,"Medium Salary","High Salary"))</f>
        <v>Medium Salary</v>
      </c>
      <c r="AN358" s="1" t="str">
        <f>IF(HR_Data[[#This Row],[YearsAtCompany]]&lt;2,"0-1 Years",IF(HR_Data[[#This Row],[YearsAtCompany]]&lt;=5,"2-5 Years",IF(HR_Data[[#This Row],[YearsAtCompany]]&lt;=10,"6-10 Years","10+ Years")))</f>
        <v>0-1 Years</v>
      </c>
      <c r="AO358" s="1" t="str">
        <f>IF(HR_Data[[#This Row],[JobSatisfaction]]=1,"Low",IF(HR_Data[[#This Row],[JobSatisfaction]]=2,"Medium",IF(HR_Data[[#This Row],[JobSatisfaction]]=3,"High","Very High")))</f>
        <v>Very High</v>
      </c>
      <c r="AP358" s="1" t="str">
        <f>IF(HR_Data[[#This Row],[WorkLifeBalance]]=1,"Bad",IF(HR_Data[[#This Row],[WorkLifeBalance]]=2,"Good",IF(HR_Data[[#This Row],[WorkLifeBalance]]=3,"Better","Best")))</f>
        <v>Better</v>
      </c>
    </row>
    <row r="359" spans="1:42" x14ac:dyDescent="0.3">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c r="AJ359">
        <f>IF(HR_Data[[#This Row],[Attrition]]="Yes",1,0)</f>
        <v>1</v>
      </c>
      <c r="AK359">
        <f>IF(HR_Data[[#This Row],[Attrition]]="No",1,0)</f>
        <v>0</v>
      </c>
      <c r="AL359" t="str">
        <f>IF(HR_Data[[#This Row],[Age]]&lt;25,"Under 25",IF(HR_Data[[#This Row],[Age]]&lt;=34,"25-34",IF(HR_Data[[#This Row],[Age]]&lt;=44,"35-44",IF(HR_Data[[#This Row],[Age]]&lt;=54,"45-54","55+"))))</f>
        <v>Under 25</v>
      </c>
      <c r="AM359" s="1" t="str">
        <f>IF(HR_Data[[#This Row],[MonthlyIncome]]&lt;3000,"Low Salary",IF(HR_Data[[#This Row],[MonthlyIncome]]&lt;=7000,"Medium Salary","High Salary"))</f>
        <v>Low Salary</v>
      </c>
      <c r="AN359" s="1" t="str">
        <f>IF(HR_Data[[#This Row],[YearsAtCompany]]&lt;2,"0-1 Years",IF(HR_Data[[#This Row],[YearsAtCompany]]&lt;=5,"2-5 Years",IF(HR_Data[[#This Row],[YearsAtCompany]]&lt;=10,"6-10 Years","10+ Years")))</f>
        <v>2-5 Years</v>
      </c>
      <c r="AO359" s="1" t="str">
        <f>IF(HR_Data[[#This Row],[JobSatisfaction]]=1,"Low",IF(HR_Data[[#This Row],[JobSatisfaction]]=2,"Medium",IF(HR_Data[[#This Row],[JobSatisfaction]]=3,"High","Very High")))</f>
        <v>Medium</v>
      </c>
      <c r="AP359" s="1" t="str">
        <f>IF(HR_Data[[#This Row],[WorkLifeBalance]]=1,"Bad",IF(HR_Data[[#This Row],[WorkLifeBalance]]=2,"Good",IF(HR_Data[[#This Row],[WorkLifeBalance]]=3,"Better","Best")))</f>
        <v>Better</v>
      </c>
    </row>
    <row r="360" spans="1:42" x14ac:dyDescent="0.3">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c r="AJ360">
        <f>IF(HR_Data[[#This Row],[Attrition]]="Yes",1,0)</f>
        <v>0</v>
      </c>
      <c r="AK360">
        <f>IF(HR_Data[[#This Row],[Attrition]]="No",1,0)</f>
        <v>1</v>
      </c>
      <c r="AL360" t="str">
        <f>IF(HR_Data[[#This Row],[Age]]&lt;25,"Under 25",IF(HR_Data[[#This Row],[Age]]&lt;=34,"25-34",IF(HR_Data[[#This Row],[Age]]&lt;=44,"35-44",IF(HR_Data[[#This Row],[Age]]&lt;=54,"45-54","55+"))))</f>
        <v>35-44</v>
      </c>
      <c r="AM360" s="1" t="str">
        <f>IF(HR_Data[[#This Row],[MonthlyIncome]]&lt;3000,"Low Salary",IF(HR_Data[[#This Row],[MonthlyIncome]]&lt;=7000,"Medium Salary","High Salary"))</f>
        <v>Medium Salary</v>
      </c>
      <c r="AN360" s="1" t="str">
        <f>IF(HR_Data[[#This Row],[YearsAtCompany]]&lt;2,"0-1 Years",IF(HR_Data[[#This Row],[YearsAtCompany]]&lt;=5,"2-5 Years",IF(HR_Data[[#This Row],[YearsAtCompany]]&lt;=10,"6-10 Years","10+ Years")))</f>
        <v>0-1 Years</v>
      </c>
      <c r="AO360" s="1" t="str">
        <f>IF(HR_Data[[#This Row],[JobSatisfaction]]=1,"Low",IF(HR_Data[[#This Row],[JobSatisfaction]]=2,"Medium",IF(HR_Data[[#This Row],[JobSatisfaction]]=3,"High","Very High")))</f>
        <v>Very High</v>
      </c>
      <c r="AP360" s="1" t="str">
        <f>IF(HR_Data[[#This Row],[WorkLifeBalance]]=1,"Bad",IF(HR_Data[[#This Row],[WorkLifeBalance]]=2,"Good",IF(HR_Data[[#This Row],[WorkLifeBalance]]=3,"Better","Best")))</f>
        <v>Better</v>
      </c>
    </row>
    <row r="361" spans="1:42" x14ac:dyDescent="0.3">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c r="AJ361">
        <f>IF(HR_Data[[#This Row],[Attrition]]="Yes",1,0)</f>
        <v>0</v>
      </c>
      <c r="AK361">
        <f>IF(HR_Data[[#This Row],[Attrition]]="No",1,0)</f>
        <v>1</v>
      </c>
      <c r="AL361" t="str">
        <f>IF(HR_Data[[#This Row],[Age]]&lt;25,"Under 25",IF(HR_Data[[#This Row],[Age]]&lt;=34,"25-34",IF(HR_Data[[#This Row],[Age]]&lt;=44,"35-44",IF(HR_Data[[#This Row],[Age]]&lt;=54,"45-54","55+"))))</f>
        <v>35-44</v>
      </c>
      <c r="AM361" s="1" t="str">
        <f>IF(HR_Data[[#This Row],[MonthlyIncome]]&lt;3000,"Low Salary",IF(HR_Data[[#This Row],[MonthlyIncome]]&lt;=7000,"Medium Salary","High Salary"))</f>
        <v>High Salary</v>
      </c>
      <c r="AN361" s="1" t="str">
        <f>IF(HR_Data[[#This Row],[YearsAtCompany]]&lt;2,"0-1 Years",IF(HR_Data[[#This Row],[YearsAtCompany]]&lt;=5,"2-5 Years",IF(HR_Data[[#This Row],[YearsAtCompany]]&lt;=10,"6-10 Years","10+ Years")))</f>
        <v>10+ Years</v>
      </c>
      <c r="AO361" s="1" t="str">
        <f>IF(HR_Data[[#This Row],[JobSatisfaction]]=1,"Low",IF(HR_Data[[#This Row],[JobSatisfaction]]=2,"Medium",IF(HR_Data[[#This Row],[JobSatisfaction]]=3,"High","Very High")))</f>
        <v>Very High</v>
      </c>
      <c r="AP361" s="1" t="str">
        <f>IF(HR_Data[[#This Row],[WorkLifeBalance]]=1,"Bad",IF(HR_Data[[#This Row],[WorkLifeBalance]]=2,"Good",IF(HR_Data[[#This Row],[WorkLifeBalance]]=3,"Better","Best")))</f>
        <v>Better</v>
      </c>
    </row>
    <row r="362" spans="1:42" x14ac:dyDescent="0.3">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c r="AJ362">
        <f>IF(HR_Data[[#This Row],[Attrition]]="Yes",1,0)</f>
        <v>0</v>
      </c>
      <c r="AK362">
        <f>IF(HR_Data[[#This Row],[Attrition]]="No",1,0)</f>
        <v>1</v>
      </c>
      <c r="AL362" t="str">
        <f>IF(HR_Data[[#This Row],[Age]]&lt;25,"Under 25",IF(HR_Data[[#This Row],[Age]]&lt;=34,"25-34",IF(HR_Data[[#This Row],[Age]]&lt;=44,"35-44",IF(HR_Data[[#This Row],[Age]]&lt;=54,"45-54","55+"))))</f>
        <v>55+</v>
      </c>
      <c r="AM362" s="1" t="str">
        <f>IF(HR_Data[[#This Row],[MonthlyIncome]]&lt;3000,"Low Salary",IF(HR_Data[[#This Row],[MonthlyIncome]]&lt;=7000,"Medium Salary","High Salary"))</f>
        <v>Medium Salary</v>
      </c>
      <c r="AN362" s="1" t="str">
        <f>IF(HR_Data[[#This Row],[YearsAtCompany]]&lt;2,"0-1 Years",IF(HR_Data[[#This Row],[YearsAtCompany]]&lt;=5,"2-5 Years",IF(HR_Data[[#This Row],[YearsAtCompany]]&lt;=10,"6-10 Years","10+ Years")))</f>
        <v>2-5 Years</v>
      </c>
      <c r="AO362" s="1" t="str">
        <f>IF(HR_Data[[#This Row],[JobSatisfaction]]=1,"Low",IF(HR_Data[[#This Row],[JobSatisfaction]]=2,"Medium",IF(HR_Data[[#This Row],[JobSatisfaction]]=3,"High","Very High")))</f>
        <v>High</v>
      </c>
      <c r="AP362" s="1" t="str">
        <f>IF(HR_Data[[#This Row],[WorkLifeBalance]]=1,"Bad",IF(HR_Data[[#This Row],[WorkLifeBalance]]=2,"Good",IF(HR_Data[[#This Row],[WorkLifeBalance]]=3,"Better","Best")))</f>
        <v>Better</v>
      </c>
    </row>
    <row r="363" spans="1:42" x14ac:dyDescent="0.3">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c r="AJ363">
        <f>IF(HR_Data[[#This Row],[Attrition]]="Yes",1,0)</f>
        <v>0</v>
      </c>
      <c r="AK363">
        <f>IF(HR_Data[[#This Row],[Attrition]]="No",1,0)</f>
        <v>1</v>
      </c>
      <c r="AL363" t="str">
        <f>IF(HR_Data[[#This Row],[Age]]&lt;25,"Under 25",IF(HR_Data[[#This Row],[Age]]&lt;=34,"25-34",IF(HR_Data[[#This Row],[Age]]&lt;=44,"35-44",IF(HR_Data[[#This Row],[Age]]&lt;=54,"45-54","55+"))))</f>
        <v>35-44</v>
      </c>
      <c r="AM363" s="1" t="str">
        <f>IF(HR_Data[[#This Row],[MonthlyIncome]]&lt;3000,"Low Salary",IF(HR_Data[[#This Row],[MonthlyIncome]]&lt;=7000,"Medium Salary","High Salary"))</f>
        <v>Low Salary</v>
      </c>
      <c r="AN363" s="1" t="str">
        <f>IF(HR_Data[[#This Row],[YearsAtCompany]]&lt;2,"0-1 Years",IF(HR_Data[[#This Row],[YearsAtCompany]]&lt;=5,"2-5 Years",IF(HR_Data[[#This Row],[YearsAtCompany]]&lt;=10,"6-10 Years","10+ Years")))</f>
        <v>6-10 Years</v>
      </c>
      <c r="AO363" s="1" t="str">
        <f>IF(HR_Data[[#This Row],[JobSatisfaction]]=1,"Low",IF(HR_Data[[#This Row],[JobSatisfaction]]=2,"Medium",IF(HR_Data[[#This Row],[JobSatisfaction]]=3,"High","Very High")))</f>
        <v>High</v>
      </c>
      <c r="AP363" s="1" t="str">
        <f>IF(HR_Data[[#This Row],[WorkLifeBalance]]=1,"Bad",IF(HR_Data[[#This Row],[WorkLifeBalance]]=2,"Good",IF(HR_Data[[#This Row],[WorkLifeBalance]]=3,"Better","Best")))</f>
        <v>Better</v>
      </c>
    </row>
    <row r="364" spans="1:42" x14ac:dyDescent="0.3">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c r="AJ364">
        <f>IF(HR_Data[[#This Row],[Attrition]]="Yes",1,0)</f>
        <v>0</v>
      </c>
      <c r="AK364">
        <f>IF(HR_Data[[#This Row],[Attrition]]="No",1,0)</f>
        <v>1</v>
      </c>
      <c r="AL364" t="str">
        <f>IF(HR_Data[[#This Row],[Age]]&lt;25,"Under 25",IF(HR_Data[[#This Row],[Age]]&lt;=34,"25-34",IF(HR_Data[[#This Row],[Age]]&lt;=44,"35-44",IF(HR_Data[[#This Row],[Age]]&lt;=54,"45-54","55+"))))</f>
        <v>Under 25</v>
      </c>
      <c r="AM364" s="1" t="str">
        <f>IF(HR_Data[[#This Row],[MonthlyIncome]]&lt;3000,"Low Salary",IF(HR_Data[[#This Row],[MonthlyIncome]]&lt;=7000,"Medium Salary","High Salary"))</f>
        <v>Low Salary</v>
      </c>
      <c r="AN364" s="1" t="str">
        <f>IF(HR_Data[[#This Row],[YearsAtCompany]]&lt;2,"0-1 Years",IF(HR_Data[[#This Row],[YearsAtCompany]]&lt;=5,"2-5 Years",IF(HR_Data[[#This Row],[YearsAtCompany]]&lt;=10,"6-10 Years","10+ Years")))</f>
        <v>2-5 Years</v>
      </c>
      <c r="AO364" s="1" t="str">
        <f>IF(HR_Data[[#This Row],[JobSatisfaction]]=1,"Low",IF(HR_Data[[#This Row],[JobSatisfaction]]=2,"Medium",IF(HR_Data[[#This Row],[JobSatisfaction]]=3,"High","Very High")))</f>
        <v>Very High</v>
      </c>
      <c r="AP364" s="1" t="str">
        <f>IF(HR_Data[[#This Row],[WorkLifeBalance]]=1,"Bad",IF(HR_Data[[#This Row],[WorkLifeBalance]]=2,"Good",IF(HR_Data[[#This Row],[WorkLifeBalance]]=3,"Better","Best")))</f>
        <v>Good</v>
      </c>
    </row>
    <row r="365" spans="1:42" x14ac:dyDescent="0.3">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c r="AJ365">
        <f>IF(HR_Data[[#This Row],[Attrition]]="Yes",1,0)</f>
        <v>1</v>
      </c>
      <c r="AK365">
        <f>IF(HR_Data[[#This Row],[Attrition]]="No",1,0)</f>
        <v>0</v>
      </c>
      <c r="AL365" t="str">
        <f>IF(HR_Data[[#This Row],[Age]]&lt;25,"Under 25",IF(HR_Data[[#This Row],[Age]]&lt;=34,"25-34",IF(HR_Data[[#This Row],[Age]]&lt;=44,"35-44",IF(HR_Data[[#This Row],[Age]]&lt;=54,"45-54","55+"))))</f>
        <v>25-34</v>
      </c>
      <c r="AM365" s="1" t="str">
        <f>IF(HR_Data[[#This Row],[MonthlyIncome]]&lt;3000,"Low Salary",IF(HR_Data[[#This Row],[MonthlyIncome]]&lt;=7000,"Medium Salary","High Salary"))</f>
        <v>Low Salary</v>
      </c>
      <c r="AN365" s="1" t="str">
        <f>IF(HR_Data[[#This Row],[YearsAtCompany]]&lt;2,"0-1 Years",IF(HR_Data[[#This Row],[YearsAtCompany]]&lt;=5,"2-5 Years",IF(HR_Data[[#This Row],[YearsAtCompany]]&lt;=10,"6-10 Years","10+ Years")))</f>
        <v>0-1 Years</v>
      </c>
      <c r="AO365" s="1" t="str">
        <f>IF(HR_Data[[#This Row],[JobSatisfaction]]=1,"Low",IF(HR_Data[[#This Row],[JobSatisfaction]]=2,"Medium",IF(HR_Data[[#This Row],[JobSatisfaction]]=3,"High","Very High")))</f>
        <v>High</v>
      </c>
      <c r="AP365" s="1" t="str">
        <f>IF(HR_Data[[#This Row],[WorkLifeBalance]]=1,"Bad",IF(HR_Data[[#This Row],[WorkLifeBalance]]=2,"Good",IF(HR_Data[[#This Row],[WorkLifeBalance]]=3,"Better","Best")))</f>
        <v>Better</v>
      </c>
    </row>
    <row r="366" spans="1:42" x14ac:dyDescent="0.3">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c r="AJ366">
        <f>IF(HR_Data[[#This Row],[Attrition]]="Yes",1,0)</f>
        <v>0</v>
      </c>
      <c r="AK366">
        <f>IF(HR_Data[[#This Row],[Attrition]]="No",1,0)</f>
        <v>1</v>
      </c>
      <c r="AL366" t="str">
        <f>IF(HR_Data[[#This Row],[Age]]&lt;25,"Under 25",IF(HR_Data[[#This Row],[Age]]&lt;=34,"25-34",IF(HR_Data[[#This Row],[Age]]&lt;=44,"35-44",IF(HR_Data[[#This Row],[Age]]&lt;=54,"45-54","55+"))))</f>
        <v>35-44</v>
      </c>
      <c r="AM366" s="1" t="str">
        <f>IF(HR_Data[[#This Row],[MonthlyIncome]]&lt;3000,"Low Salary",IF(HR_Data[[#This Row],[MonthlyIncome]]&lt;=7000,"Medium Salary","High Salary"))</f>
        <v>Medium Salary</v>
      </c>
      <c r="AN366" s="1" t="str">
        <f>IF(HR_Data[[#This Row],[YearsAtCompany]]&lt;2,"0-1 Years",IF(HR_Data[[#This Row],[YearsAtCompany]]&lt;=5,"2-5 Years",IF(HR_Data[[#This Row],[YearsAtCompany]]&lt;=10,"6-10 Years","10+ Years")))</f>
        <v>2-5 Years</v>
      </c>
      <c r="AO366" s="1" t="str">
        <f>IF(HR_Data[[#This Row],[JobSatisfaction]]=1,"Low",IF(HR_Data[[#This Row],[JobSatisfaction]]=2,"Medium",IF(HR_Data[[#This Row],[JobSatisfaction]]=3,"High","Very High")))</f>
        <v>Low</v>
      </c>
      <c r="AP366" s="1" t="str">
        <f>IF(HR_Data[[#This Row],[WorkLifeBalance]]=1,"Bad",IF(HR_Data[[#This Row],[WorkLifeBalance]]=2,"Good",IF(HR_Data[[#This Row],[WorkLifeBalance]]=3,"Better","Best")))</f>
        <v>Better</v>
      </c>
    </row>
    <row r="367" spans="1:42" x14ac:dyDescent="0.3">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c r="AJ367">
        <f>IF(HR_Data[[#This Row],[Attrition]]="Yes",1,0)</f>
        <v>0</v>
      </c>
      <c r="AK367">
        <f>IF(HR_Data[[#This Row],[Attrition]]="No",1,0)</f>
        <v>1</v>
      </c>
      <c r="AL367" t="str">
        <f>IF(HR_Data[[#This Row],[Age]]&lt;25,"Under 25",IF(HR_Data[[#This Row],[Age]]&lt;=34,"25-34",IF(HR_Data[[#This Row],[Age]]&lt;=44,"35-44",IF(HR_Data[[#This Row],[Age]]&lt;=54,"45-54","55+"))))</f>
        <v>45-54</v>
      </c>
      <c r="AM367" s="1" t="str">
        <f>IF(HR_Data[[#This Row],[MonthlyIncome]]&lt;3000,"Low Salary",IF(HR_Data[[#This Row],[MonthlyIncome]]&lt;=7000,"Medium Salary","High Salary"))</f>
        <v>Medium Salary</v>
      </c>
      <c r="AN367" s="1" t="str">
        <f>IF(HR_Data[[#This Row],[YearsAtCompany]]&lt;2,"0-1 Years",IF(HR_Data[[#This Row],[YearsAtCompany]]&lt;=5,"2-5 Years",IF(HR_Data[[#This Row],[YearsAtCompany]]&lt;=10,"6-10 Years","10+ Years")))</f>
        <v>0-1 Years</v>
      </c>
      <c r="AO367" s="1" t="str">
        <f>IF(HR_Data[[#This Row],[JobSatisfaction]]=1,"Low",IF(HR_Data[[#This Row],[JobSatisfaction]]=2,"Medium",IF(HR_Data[[#This Row],[JobSatisfaction]]=3,"High","Very High")))</f>
        <v>High</v>
      </c>
      <c r="AP367" s="1" t="str">
        <f>IF(HR_Data[[#This Row],[WorkLifeBalance]]=1,"Bad",IF(HR_Data[[#This Row],[WorkLifeBalance]]=2,"Good",IF(HR_Data[[#This Row],[WorkLifeBalance]]=3,"Better","Best")))</f>
        <v>Best</v>
      </c>
    </row>
    <row r="368" spans="1:42" x14ac:dyDescent="0.3">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c r="AJ368">
        <f>IF(HR_Data[[#This Row],[Attrition]]="Yes",1,0)</f>
        <v>1</v>
      </c>
      <c r="AK368">
        <f>IF(HR_Data[[#This Row],[Attrition]]="No",1,0)</f>
        <v>0</v>
      </c>
      <c r="AL368" t="str">
        <f>IF(HR_Data[[#This Row],[Age]]&lt;25,"Under 25",IF(HR_Data[[#This Row],[Age]]&lt;=34,"25-34",IF(HR_Data[[#This Row],[Age]]&lt;=44,"35-44",IF(HR_Data[[#This Row],[Age]]&lt;=54,"45-54","55+"))))</f>
        <v>35-44</v>
      </c>
      <c r="AM368" s="1" t="str">
        <f>IF(HR_Data[[#This Row],[MonthlyIncome]]&lt;3000,"Low Salary",IF(HR_Data[[#This Row],[MonthlyIncome]]&lt;=7000,"Medium Salary","High Salary"))</f>
        <v>High Salary</v>
      </c>
      <c r="AN368" s="1" t="str">
        <f>IF(HR_Data[[#This Row],[YearsAtCompany]]&lt;2,"0-1 Years",IF(HR_Data[[#This Row],[YearsAtCompany]]&lt;=5,"2-5 Years",IF(HR_Data[[#This Row],[YearsAtCompany]]&lt;=10,"6-10 Years","10+ Years")))</f>
        <v>6-10 Years</v>
      </c>
      <c r="AO368" s="1" t="str">
        <f>IF(HR_Data[[#This Row],[JobSatisfaction]]=1,"Low",IF(HR_Data[[#This Row],[JobSatisfaction]]=2,"Medium",IF(HR_Data[[#This Row],[JobSatisfaction]]=3,"High","Very High")))</f>
        <v>Medium</v>
      </c>
      <c r="AP368" s="1" t="str">
        <f>IF(HR_Data[[#This Row],[WorkLifeBalance]]=1,"Bad",IF(HR_Data[[#This Row],[WorkLifeBalance]]=2,"Good",IF(HR_Data[[#This Row],[WorkLifeBalance]]=3,"Better","Best")))</f>
        <v>Better</v>
      </c>
    </row>
    <row r="369" spans="1:42" x14ac:dyDescent="0.3">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c r="AJ369">
        <f>IF(HR_Data[[#This Row],[Attrition]]="Yes",1,0)</f>
        <v>0</v>
      </c>
      <c r="AK369">
        <f>IF(HR_Data[[#This Row],[Attrition]]="No",1,0)</f>
        <v>1</v>
      </c>
      <c r="AL369" t="str">
        <f>IF(HR_Data[[#This Row],[Age]]&lt;25,"Under 25",IF(HR_Data[[#This Row],[Age]]&lt;=34,"25-34",IF(HR_Data[[#This Row],[Age]]&lt;=44,"35-44",IF(HR_Data[[#This Row],[Age]]&lt;=54,"45-54","55+"))))</f>
        <v>45-54</v>
      </c>
      <c r="AM369" s="1" t="str">
        <f>IF(HR_Data[[#This Row],[MonthlyIncome]]&lt;3000,"Low Salary",IF(HR_Data[[#This Row],[MonthlyIncome]]&lt;=7000,"Medium Salary","High Salary"))</f>
        <v>High Salary</v>
      </c>
      <c r="AN369" s="1" t="str">
        <f>IF(HR_Data[[#This Row],[YearsAtCompany]]&lt;2,"0-1 Years",IF(HR_Data[[#This Row],[YearsAtCompany]]&lt;=5,"2-5 Years",IF(HR_Data[[#This Row],[YearsAtCompany]]&lt;=10,"6-10 Years","10+ Years")))</f>
        <v>2-5 Years</v>
      </c>
      <c r="AO369" s="1" t="str">
        <f>IF(HR_Data[[#This Row],[JobSatisfaction]]=1,"Low",IF(HR_Data[[#This Row],[JobSatisfaction]]=2,"Medium",IF(HR_Data[[#This Row],[JobSatisfaction]]=3,"High","Very High")))</f>
        <v>Very High</v>
      </c>
      <c r="AP369" s="1" t="str">
        <f>IF(HR_Data[[#This Row],[WorkLifeBalance]]=1,"Bad",IF(HR_Data[[#This Row],[WorkLifeBalance]]=2,"Good",IF(HR_Data[[#This Row],[WorkLifeBalance]]=3,"Better","Best")))</f>
        <v>Better</v>
      </c>
    </row>
    <row r="370" spans="1:42" x14ac:dyDescent="0.3">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c r="AJ370">
        <f>IF(HR_Data[[#This Row],[Attrition]]="Yes",1,0)</f>
        <v>1</v>
      </c>
      <c r="AK370">
        <f>IF(HR_Data[[#This Row],[Attrition]]="No",1,0)</f>
        <v>0</v>
      </c>
      <c r="AL370" t="str">
        <f>IF(HR_Data[[#This Row],[Age]]&lt;25,"Under 25",IF(HR_Data[[#This Row],[Age]]&lt;=34,"25-34",IF(HR_Data[[#This Row],[Age]]&lt;=44,"35-44",IF(HR_Data[[#This Row],[Age]]&lt;=54,"45-54","55+"))))</f>
        <v>35-44</v>
      </c>
      <c r="AM370" s="1" t="str">
        <f>IF(HR_Data[[#This Row],[MonthlyIncome]]&lt;3000,"Low Salary",IF(HR_Data[[#This Row],[MonthlyIncome]]&lt;=7000,"Medium Salary","High Salary"))</f>
        <v>Medium Salary</v>
      </c>
      <c r="AN370" s="1" t="str">
        <f>IF(HR_Data[[#This Row],[YearsAtCompany]]&lt;2,"0-1 Years",IF(HR_Data[[#This Row],[YearsAtCompany]]&lt;=5,"2-5 Years",IF(HR_Data[[#This Row],[YearsAtCompany]]&lt;=10,"6-10 Years","10+ Years")))</f>
        <v>6-10 Years</v>
      </c>
      <c r="AO370" s="1" t="str">
        <f>IF(HR_Data[[#This Row],[JobSatisfaction]]=1,"Low",IF(HR_Data[[#This Row],[JobSatisfaction]]=2,"Medium",IF(HR_Data[[#This Row],[JobSatisfaction]]=3,"High","Very High")))</f>
        <v>High</v>
      </c>
      <c r="AP370" s="1" t="str">
        <f>IF(HR_Data[[#This Row],[WorkLifeBalance]]=1,"Bad",IF(HR_Data[[#This Row],[WorkLifeBalance]]=2,"Good",IF(HR_Data[[#This Row],[WorkLifeBalance]]=3,"Better","Best")))</f>
        <v>Better</v>
      </c>
    </row>
    <row r="371" spans="1:42" x14ac:dyDescent="0.3">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c r="AJ371">
        <f>IF(HR_Data[[#This Row],[Attrition]]="Yes",1,0)</f>
        <v>0</v>
      </c>
      <c r="AK371">
        <f>IF(HR_Data[[#This Row],[Attrition]]="No",1,0)</f>
        <v>1</v>
      </c>
      <c r="AL371" t="str">
        <f>IF(HR_Data[[#This Row],[Age]]&lt;25,"Under 25",IF(HR_Data[[#This Row],[Age]]&lt;=34,"25-34",IF(HR_Data[[#This Row],[Age]]&lt;=44,"35-44",IF(HR_Data[[#This Row],[Age]]&lt;=54,"45-54","55+"))))</f>
        <v>25-34</v>
      </c>
      <c r="AM371" s="1" t="str">
        <f>IF(HR_Data[[#This Row],[MonthlyIncome]]&lt;3000,"Low Salary",IF(HR_Data[[#This Row],[MonthlyIncome]]&lt;=7000,"Medium Salary","High Salary"))</f>
        <v>Low Salary</v>
      </c>
      <c r="AN371" s="1" t="str">
        <f>IF(HR_Data[[#This Row],[YearsAtCompany]]&lt;2,"0-1 Years",IF(HR_Data[[#This Row],[YearsAtCompany]]&lt;=5,"2-5 Years",IF(HR_Data[[#This Row],[YearsAtCompany]]&lt;=10,"6-10 Years","10+ Years")))</f>
        <v>2-5 Years</v>
      </c>
      <c r="AO371" s="1" t="str">
        <f>IF(HR_Data[[#This Row],[JobSatisfaction]]=1,"Low",IF(HR_Data[[#This Row],[JobSatisfaction]]=2,"Medium",IF(HR_Data[[#This Row],[JobSatisfaction]]=3,"High","Very High")))</f>
        <v>Medium</v>
      </c>
      <c r="AP371" s="1" t="str">
        <f>IF(HR_Data[[#This Row],[WorkLifeBalance]]=1,"Bad",IF(HR_Data[[#This Row],[WorkLifeBalance]]=2,"Good",IF(HR_Data[[#This Row],[WorkLifeBalance]]=3,"Better","Best")))</f>
        <v>Better</v>
      </c>
    </row>
    <row r="372" spans="1:42" x14ac:dyDescent="0.3">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c r="AJ372">
        <f>IF(HR_Data[[#This Row],[Attrition]]="Yes",1,0)</f>
        <v>1</v>
      </c>
      <c r="AK372">
        <f>IF(HR_Data[[#This Row],[Attrition]]="No",1,0)</f>
        <v>0</v>
      </c>
      <c r="AL372" t="str">
        <f>IF(HR_Data[[#This Row],[Age]]&lt;25,"Under 25",IF(HR_Data[[#This Row],[Age]]&lt;=34,"25-34",IF(HR_Data[[#This Row],[Age]]&lt;=44,"35-44",IF(HR_Data[[#This Row],[Age]]&lt;=54,"45-54","55+"))))</f>
        <v>Under 25</v>
      </c>
      <c r="AM372" s="1" t="str">
        <f>IF(HR_Data[[#This Row],[MonthlyIncome]]&lt;3000,"Low Salary",IF(HR_Data[[#This Row],[MonthlyIncome]]&lt;=7000,"Medium Salary","High Salary"))</f>
        <v>Low Salary</v>
      </c>
      <c r="AN372" s="1" t="str">
        <f>IF(HR_Data[[#This Row],[YearsAtCompany]]&lt;2,"0-1 Years",IF(HR_Data[[#This Row],[YearsAtCompany]]&lt;=5,"2-5 Years",IF(HR_Data[[#This Row],[YearsAtCompany]]&lt;=10,"6-10 Years","10+ Years")))</f>
        <v>0-1 Years</v>
      </c>
      <c r="AO372" s="1" t="str">
        <f>IF(HR_Data[[#This Row],[JobSatisfaction]]=1,"Low",IF(HR_Data[[#This Row],[JobSatisfaction]]=2,"Medium",IF(HR_Data[[#This Row],[JobSatisfaction]]=3,"High","Very High")))</f>
        <v>Medium</v>
      </c>
      <c r="AP372" s="1" t="str">
        <f>IF(HR_Data[[#This Row],[WorkLifeBalance]]=1,"Bad",IF(HR_Data[[#This Row],[WorkLifeBalance]]=2,"Good",IF(HR_Data[[#This Row],[WorkLifeBalance]]=3,"Better","Best")))</f>
        <v>Better</v>
      </c>
    </row>
    <row r="373" spans="1:42" x14ac:dyDescent="0.3">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c r="AJ373">
        <f>IF(HR_Data[[#This Row],[Attrition]]="Yes",1,0)</f>
        <v>0</v>
      </c>
      <c r="AK373">
        <f>IF(HR_Data[[#This Row],[Attrition]]="No",1,0)</f>
        <v>1</v>
      </c>
      <c r="AL373" t="str">
        <f>IF(HR_Data[[#This Row],[Age]]&lt;25,"Under 25",IF(HR_Data[[#This Row],[Age]]&lt;=34,"25-34",IF(HR_Data[[#This Row],[Age]]&lt;=44,"35-44",IF(HR_Data[[#This Row],[Age]]&lt;=54,"45-54","55+"))))</f>
        <v>25-34</v>
      </c>
      <c r="AM373" s="1" t="str">
        <f>IF(HR_Data[[#This Row],[MonthlyIncome]]&lt;3000,"Low Salary",IF(HR_Data[[#This Row],[MonthlyIncome]]&lt;=7000,"Medium Salary","High Salary"))</f>
        <v>Low Salary</v>
      </c>
      <c r="AN373" s="1" t="str">
        <f>IF(HR_Data[[#This Row],[YearsAtCompany]]&lt;2,"0-1 Years",IF(HR_Data[[#This Row],[YearsAtCompany]]&lt;=5,"2-5 Years",IF(HR_Data[[#This Row],[YearsAtCompany]]&lt;=10,"6-10 Years","10+ Years")))</f>
        <v>2-5 Years</v>
      </c>
      <c r="AO373" s="1" t="str">
        <f>IF(HR_Data[[#This Row],[JobSatisfaction]]=1,"Low",IF(HR_Data[[#This Row],[JobSatisfaction]]=2,"Medium",IF(HR_Data[[#This Row],[JobSatisfaction]]=3,"High","Very High")))</f>
        <v>Very High</v>
      </c>
      <c r="AP373" s="1" t="str">
        <f>IF(HR_Data[[#This Row],[WorkLifeBalance]]=1,"Bad",IF(HR_Data[[#This Row],[WorkLifeBalance]]=2,"Good",IF(HR_Data[[#This Row],[WorkLifeBalance]]=3,"Better","Best")))</f>
        <v>Better</v>
      </c>
    </row>
    <row r="374" spans="1:42" x14ac:dyDescent="0.3">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c r="AJ374">
        <f>IF(HR_Data[[#This Row],[Attrition]]="Yes",1,0)</f>
        <v>0</v>
      </c>
      <c r="AK374">
        <f>IF(HR_Data[[#This Row],[Attrition]]="No",1,0)</f>
        <v>1</v>
      </c>
      <c r="AL374" t="str">
        <f>IF(HR_Data[[#This Row],[Age]]&lt;25,"Under 25",IF(HR_Data[[#This Row],[Age]]&lt;=34,"25-34",IF(HR_Data[[#This Row],[Age]]&lt;=44,"35-44",IF(HR_Data[[#This Row],[Age]]&lt;=54,"45-54","55+"))))</f>
        <v>35-44</v>
      </c>
      <c r="AM374" s="1" t="str">
        <f>IF(HR_Data[[#This Row],[MonthlyIncome]]&lt;3000,"Low Salary",IF(HR_Data[[#This Row],[MonthlyIncome]]&lt;=7000,"Medium Salary","High Salary"))</f>
        <v>Medium Salary</v>
      </c>
      <c r="AN374" s="1" t="str">
        <f>IF(HR_Data[[#This Row],[YearsAtCompany]]&lt;2,"0-1 Years",IF(HR_Data[[#This Row],[YearsAtCompany]]&lt;=5,"2-5 Years",IF(HR_Data[[#This Row],[YearsAtCompany]]&lt;=10,"6-10 Years","10+ Years")))</f>
        <v>0-1 Years</v>
      </c>
      <c r="AO374" s="1" t="str">
        <f>IF(HR_Data[[#This Row],[JobSatisfaction]]=1,"Low",IF(HR_Data[[#This Row],[JobSatisfaction]]=2,"Medium",IF(HR_Data[[#This Row],[JobSatisfaction]]=3,"High","Very High")))</f>
        <v>Medium</v>
      </c>
      <c r="AP374" s="1" t="str">
        <f>IF(HR_Data[[#This Row],[WorkLifeBalance]]=1,"Bad",IF(HR_Data[[#This Row],[WorkLifeBalance]]=2,"Good",IF(HR_Data[[#This Row],[WorkLifeBalance]]=3,"Better","Best")))</f>
        <v>Better</v>
      </c>
    </row>
    <row r="375" spans="1:42" x14ac:dyDescent="0.3">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c r="AJ375">
        <f>IF(HR_Data[[#This Row],[Attrition]]="Yes",1,0)</f>
        <v>0</v>
      </c>
      <c r="AK375">
        <f>IF(HR_Data[[#This Row],[Attrition]]="No",1,0)</f>
        <v>1</v>
      </c>
      <c r="AL375" t="str">
        <f>IF(HR_Data[[#This Row],[Age]]&lt;25,"Under 25",IF(HR_Data[[#This Row],[Age]]&lt;=34,"25-34",IF(HR_Data[[#This Row],[Age]]&lt;=44,"35-44",IF(HR_Data[[#This Row],[Age]]&lt;=54,"45-54","55+"))))</f>
        <v>25-34</v>
      </c>
      <c r="AM375" s="1" t="str">
        <f>IF(HR_Data[[#This Row],[MonthlyIncome]]&lt;3000,"Low Salary",IF(HR_Data[[#This Row],[MonthlyIncome]]&lt;=7000,"Medium Salary","High Salary"))</f>
        <v>Medium Salary</v>
      </c>
      <c r="AN375" s="1" t="str">
        <f>IF(HR_Data[[#This Row],[YearsAtCompany]]&lt;2,"0-1 Years",IF(HR_Data[[#This Row],[YearsAtCompany]]&lt;=5,"2-5 Years",IF(HR_Data[[#This Row],[YearsAtCompany]]&lt;=10,"6-10 Years","10+ Years")))</f>
        <v>2-5 Years</v>
      </c>
      <c r="AO375" s="1" t="str">
        <f>IF(HR_Data[[#This Row],[JobSatisfaction]]=1,"Low",IF(HR_Data[[#This Row],[JobSatisfaction]]=2,"Medium",IF(HR_Data[[#This Row],[JobSatisfaction]]=3,"High","Very High")))</f>
        <v>Medium</v>
      </c>
      <c r="AP375" s="1" t="str">
        <f>IF(HR_Data[[#This Row],[WorkLifeBalance]]=1,"Bad",IF(HR_Data[[#This Row],[WorkLifeBalance]]=2,"Good",IF(HR_Data[[#This Row],[WorkLifeBalance]]=3,"Better","Best")))</f>
        <v>Better</v>
      </c>
    </row>
    <row r="376" spans="1:42" x14ac:dyDescent="0.3">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c r="AJ376">
        <f>IF(HR_Data[[#This Row],[Attrition]]="Yes",1,0)</f>
        <v>0</v>
      </c>
      <c r="AK376">
        <f>IF(HR_Data[[#This Row],[Attrition]]="No",1,0)</f>
        <v>1</v>
      </c>
      <c r="AL376" t="str">
        <f>IF(HR_Data[[#This Row],[Age]]&lt;25,"Under 25",IF(HR_Data[[#This Row],[Age]]&lt;=34,"25-34",IF(HR_Data[[#This Row],[Age]]&lt;=44,"35-44",IF(HR_Data[[#This Row],[Age]]&lt;=54,"45-54","55+"))))</f>
        <v>25-34</v>
      </c>
      <c r="AM376" s="1" t="str">
        <f>IF(HR_Data[[#This Row],[MonthlyIncome]]&lt;3000,"Low Salary",IF(HR_Data[[#This Row],[MonthlyIncome]]&lt;=7000,"Medium Salary","High Salary"))</f>
        <v>Medium Salary</v>
      </c>
      <c r="AN376" s="1" t="str">
        <f>IF(HR_Data[[#This Row],[YearsAtCompany]]&lt;2,"0-1 Years",IF(HR_Data[[#This Row],[YearsAtCompany]]&lt;=5,"2-5 Years",IF(HR_Data[[#This Row],[YearsAtCompany]]&lt;=10,"6-10 Years","10+ Years")))</f>
        <v>6-10 Years</v>
      </c>
      <c r="AO376" s="1" t="str">
        <f>IF(HR_Data[[#This Row],[JobSatisfaction]]=1,"Low",IF(HR_Data[[#This Row],[JobSatisfaction]]=2,"Medium",IF(HR_Data[[#This Row],[JobSatisfaction]]=3,"High","Very High")))</f>
        <v>Very High</v>
      </c>
      <c r="AP376" s="1" t="str">
        <f>IF(HR_Data[[#This Row],[WorkLifeBalance]]=1,"Bad",IF(HR_Data[[#This Row],[WorkLifeBalance]]=2,"Good",IF(HR_Data[[#This Row],[WorkLifeBalance]]=3,"Better","Best")))</f>
        <v>Better</v>
      </c>
    </row>
    <row r="377" spans="1:42" x14ac:dyDescent="0.3">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c r="AJ377">
        <f>IF(HR_Data[[#This Row],[Attrition]]="Yes",1,0)</f>
        <v>0</v>
      </c>
      <c r="AK377">
        <f>IF(HR_Data[[#This Row],[Attrition]]="No",1,0)</f>
        <v>1</v>
      </c>
      <c r="AL377" t="str">
        <f>IF(HR_Data[[#This Row],[Age]]&lt;25,"Under 25",IF(HR_Data[[#This Row],[Age]]&lt;=34,"25-34",IF(HR_Data[[#This Row],[Age]]&lt;=44,"35-44",IF(HR_Data[[#This Row],[Age]]&lt;=54,"45-54","55+"))))</f>
        <v>45-54</v>
      </c>
      <c r="AM377" s="1" t="str">
        <f>IF(HR_Data[[#This Row],[MonthlyIncome]]&lt;3000,"Low Salary",IF(HR_Data[[#This Row],[MonthlyIncome]]&lt;=7000,"Medium Salary","High Salary"))</f>
        <v>High Salary</v>
      </c>
      <c r="AN377" s="1" t="str">
        <f>IF(HR_Data[[#This Row],[YearsAtCompany]]&lt;2,"0-1 Years",IF(HR_Data[[#This Row],[YearsAtCompany]]&lt;=5,"2-5 Years",IF(HR_Data[[#This Row],[YearsAtCompany]]&lt;=10,"6-10 Years","10+ Years")))</f>
        <v>2-5 Years</v>
      </c>
      <c r="AO377" s="1" t="str">
        <f>IF(HR_Data[[#This Row],[JobSatisfaction]]=1,"Low",IF(HR_Data[[#This Row],[JobSatisfaction]]=2,"Medium",IF(HR_Data[[#This Row],[JobSatisfaction]]=3,"High","Very High")))</f>
        <v>High</v>
      </c>
      <c r="AP377" s="1" t="str">
        <f>IF(HR_Data[[#This Row],[WorkLifeBalance]]=1,"Bad",IF(HR_Data[[#This Row],[WorkLifeBalance]]=2,"Good",IF(HR_Data[[#This Row],[WorkLifeBalance]]=3,"Better","Best")))</f>
        <v>Better</v>
      </c>
    </row>
    <row r="378" spans="1:42" x14ac:dyDescent="0.3">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c r="AJ378">
        <f>IF(HR_Data[[#This Row],[Attrition]]="Yes",1,0)</f>
        <v>0</v>
      </c>
      <c r="AK378">
        <f>IF(HR_Data[[#This Row],[Attrition]]="No",1,0)</f>
        <v>1</v>
      </c>
      <c r="AL378" t="str">
        <f>IF(HR_Data[[#This Row],[Age]]&lt;25,"Under 25",IF(HR_Data[[#This Row],[Age]]&lt;=34,"25-34",IF(HR_Data[[#This Row],[Age]]&lt;=44,"35-44",IF(HR_Data[[#This Row],[Age]]&lt;=54,"45-54","55+"))))</f>
        <v>45-54</v>
      </c>
      <c r="AM378" s="1" t="str">
        <f>IF(HR_Data[[#This Row],[MonthlyIncome]]&lt;3000,"Low Salary",IF(HR_Data[[#This Row],[MonthlyIncome]]&lt;=7000,"Medium Salary","High Salary"))</f>
        <v>Medium Salary</v>
      </c>
      <c r="AN378" s="1" t="str">
        <f>IF(HR_Data[[#This Row],[YearsAtCompany]]&lt;2,"0-1 Years",IF(HR_Data[[#This Row],[YearsAtCompany]]&lt;=5,"2-5 Years",IF(HR_Data[[#This Row],[YearsAtCompany]]&lt;=10,"6-10 Years","10+ Years")))</f>
        <v>6-10 Years</v>
      </c>
      <c r="AO378" s="1" t="str">
        <f>IF(HR_Data[[#This Row],[JobSatisfaction]]=1,"Low",IF(HR_Data[[#This Row],[JobSatisfaction]]=2,"Medium",IF(HR_Data[[#This Row],[JobSatisfaction]]=3,"High","Very High")))</f>
        <v>Very High</v>
      </c>
      <c r="AP378" s="1" t="str">
        <f>IF(HR_Data[[#This Row],[WorkLifeBalance]]=1,"Bad",IF(HR_Data[[#This Row],[WorkLifeBalance]]=2,"Good",IF(HR_Data[[#This Row],[WorkLifeBalance]]=3,"Better","Best")))</f>
        <v>Good</v>
      </c>
    </row>
    <row r="379" spans="1:42" x14ac:dyDescent="0.3">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c r="AJ379">
        <f>IF(HR_Data[[#This Row],[Attrition]]="Yes",1,0)</f>
        <v>0</v>
      </c>
      <c r="AK379">
        <f>IF(HR_Data[[#This Row],[Attrition]]="No",1,0)</f>
        <v>1</v>
      </c>
      <c r="AL379" t="str">
        <f>IF(HR_Data[[#This Row],[Age]]&lt;25,"Under 25",IF(HR_Data[[#This Row],[Age]]&lt;=34,"25-34",IF(HR_Data[[#This Row],[Age]]&lt;=44,"35-44",IF(HR_Data[[#This Row],[Age]]&lt;=54,"45-54","55+"))))</f>
        <v>35-44</v>
      </c>
      <c r="AM379" s="1" t="str">
        <f>IF(HR_Data[[#This Row],[MonthlyIncome]]&lt;3000,"Low Salary",IF(HR_Data[[#This Row],[MonthlyIncome]]&lt;=7000,"Medium Salary","High Salary"))</f>
        <v>Low Salary</v>
      </c>
      <c r="AN379" s="1" t="str">
        <f>IF(HR_Data[[#This Row],[YearsAtCompany]]&lt;2,"0-1 Years",IF(HR_Data[[#This Row],[YearsAtCompany]]&lt;=5,"2-5 Years",IF(HR_Data[[#This Row],[YearsAtCompany]]&lt;=10,"6-10 Years","10+ Years")))</f>
        <v>2-5 Years</v>
      </c>
      <c r="AO379" s="1" t="str">
        <f>IF(HR_Data[[#This Row],[JobSatisfaction]]=1,"Low",IF(HR_Data[[#This Row],[JobSatisfaction]]=2,"Medium",IF(HR_Data[[#This Row],[JobSatisfaction]]=3,"High","Very High")))</f>
        <v>High</v>
      </c>
      <c r="AP379" s="1" t="str">
        <f>IF(HR_Data[[#This Row],[WorkLifeBalance]]=1,"Bad",IF(HR_Data[[#This Row],[WorkLifeBalance]]=2,"Good",IF(HR_Data[[#This Row],[WorkLifeBalance]]=3,"Better","Best")))</f>
        <v>Better</v>
      </c>
    </row>
    <row r="380" spans="1:42" x14ac:dyDescent="0.3">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c r="AJ380">
        <f>IF(HR_Data[[#This Row],[Attrition]]="Yes",1,0)</f>
        <v>1</v>
      </c>
      <c r="AK380">
        <f>IF(HR_Data[[#This Row],[Attrition]]="No",1,0)</f>
        <v>0</v>
      </c>
      <c r="AL380" t="str">
        <f>IF(HR_Data[[#This Row],[Age]]&lt;25,"Under 25",IF(HR_Data[[#This Row],[Age]]&lt;=34,"25-34",IF(HR_Data[[#This Row],[Age]]&lt;=44,"35-44",IF(HR_Data[[#This Row],[Age]]&lt;=54,"45-54","55+"))))</f>
        <v>25-34</v>
      </c>
      <c r="AM380" s="1" t="str">
        <f>IF(HR_Data[[#This Row],[MonthlyIncome]]&lt;3000,"Low Salary",IF(HR_Data[[#This Row],[MonthlyIncome]]&lt;=7000,"Medium Salary","High Salary"))</f>
        <v>Medium Salary</v>
      </c>
      <c r="AN380" s="1" t="str">
        <f>IF(HR_Data[[#This Row],[YearsAtCompany]]&lt;2,"0-1 Years",IF(HR_Data[[#This Row],[YearsAtCompany]]&lt;=5,"2-5 Years",IF(HR_Data[[#This Row],[YearsAtCompany]]&lt;=10,"6-10 Years","10+ Years")))</f>
        <v>2-5 Years</v>
      </c>
      <c r="AO380" s="1" t="str">
        <f>IF(HR_Data[[#This Row],[JobSatisfaction]]=1,"Low",IF(HR_Data[[#This Row],[JobSatisfaction]]=2,"Medium",IF(HR_Data[[#This Row],[JobSatisfaction]]=3,"High","Very High")))</f>
        <v>Very High</v>
      </c>
      <c r="AP380" s="1" t="str">
        <f>IF(HR_Data[[#This Row],[WorkLifeBalance]]=1,"Bad",IF(HR_Data[[#This Row],[WorkLifeBalance]]=2,"Good",IF(HR_Data[[#This Row],[WorkLifeBalance]]=3,"Better","Best")))</f>
        <v>Good</v>
      </c>
    </row>
    <row r="381" spans="1:42" x14ac:dyDescent="0.3">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c r="AJ381">
        <f>IF(HR_Data[[#This Row],[Attrition]]="Yes",1,0)</f>
        <v>0</v>
      </c>
      <c r="AK381">
        <f>IF(HR_Data[[#This Row],[Attrition]]="No",1,0)</f>
        <v>1</v>
      </c>
      <c r="AL381" t="str">
        <f>IF(HR_Data[[#This Row],[Age]]&lt;25,"Under 25",IF(HR_Data[[#This Row],[Age]]&lt;=34,"25-34",IF(HR_Data[[#This Row],[Age]]&lt;=44,"35-44",IF(HR_Data[[#This Row],[Age]]&lt;=54,"45-54","55+"))))</f>
        <v>55+</v>
      </c>
      <c r="AM381" s="1" t="str">
        <f>IF(HR_Data[[#This Row],[MonthlyIncome]]&lt;3000,"Low Salary",IF(HR_Data[[#This Row],[MonthlyIncome]]&lt;=7000,"Medium Salary","High Salary"))</f>
        <v>High Salary</v>
      </c>
      <c r="AN381" s="1" t="str">
        <f>IF(HR_Data[[#This Row],[YearsAtCompany]]&lt;2,"0-1 Years",IF(HR_Data[[#This Row],[YearsAtCompany]]&lt;=5,"2-5 Years",IF(HR_Data[[#This Row],[YearsAtCompany]]&lt;=10,"6-10 Years","10+ Years")))</f>
        <v>2-5 Years</v>
      </c>
      <c r="AO381" s="1" t="str">
        <f>IF(HR_Data[[#This Row],[JobSatisfaction]]=1,"Low",IF(HR_Data[[#This Row],[JobSatisfaction]]=2,"Medium",IF(HR_Data[[#This Row],[JobSatisfaction]]=3,"High","Very High")))</f>
        <v>Very High</v>
      </c>
      <c r="AP381" s="1" t="str">
        <f>IF(HR_Data[[#This Row],[WorkLifeBalance]]=1,"Bad",IF(HR_Data[[#This Row],[WorkLifeBalance]]=2,"Good",IF(HR_Data[[#This Row],[WorkLifeBalance]]=3,"Better","Best")))</f>
        <v>Better</v>
      </c>
    </row>
    <row r="382" spans="1:42" x14ac:dyDescent="0.3">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c r="AJ382">
        <f>IF(HR_Data[[#This Row],[Attrition]]="Yes",1,0)</f>
        <v>0</v>
      </c>
      <c r="AK382">
        <f>IF(HR_Data[[#This Row],[Attrition]]="No",1,0)</f>
        <v>1</v>
      </c>
      <c r="AL382" t="str">
        <f>IF(HR_Data[[#This Row],[Age]]&lt;25,"Under 25",IF(HR_Data[[#This Row],[Age]]&lt;=34,"25-34",IF(HR_Data[[#This Row],[Age]]&lt;=44,"35-44",IF(HR_Data[[#This Row],[Age]]&lt;=54,"45-54","55+"))))</f>
        <v>Under 25</v>
      </c>
      <c r="AM382" s="1" t="str">
        <f>IF(HR_Data[[#This Row],[MonthlyIncome]]&lt;3000,"Low Salary",IF(HR_Data[[#This Row],[MonthlyIncome]]&lt;=7000,"Medium Salary","High Salary"))</f>
        <v>Medium Salary</v>
      </c>
      <c r="AN382" s="1" t="str">
        <f>IF(HR_Data[[#This Row],[YearsAtCompany]]&lt;2,"0-1 Years",IF(HR_Data[[#This Row],[YearsAtCompany]]&lt;=5,"2-5 Years",IF(HR_Data[[#This Row],[YearsAtCompany]]&lt;=10,"6-10 Years","10+ Years")))</f>
        <v>2-5 Years</v>
      </c>
      <c r="AO382" s="1" t="str">
        <f>IF(HR_Data[[#This Row],[JobSatisfaction]]=1,"Low",IF(HR_Data[[#This Row],[JobSatisfaction]]=2,"Medium",IF(HR_Data[[#This Row],[JobSatisfaction]]=3,"High","Very High")))</f>
        <v>High</v>
      </c>
      <c r="AP382" s="1" t="str">
        <f>IF(HR_Data[[#This Row],[WorkLifeBalance]]=1,"Bad",IF(HR_Data[[#This Row],[WorkLifeBalance]]=2,"Good",IF(HR_Data[[#This Row],[WorkLifeBalance]]=3,"Better","Best")))</f>
        <v>Best</v>
      </c>
    </row>
    <row r="383" spans="1:42" x14ac:dyDescent="0.3">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c r="AJ383">
        <f>IF(HR_Data[[#This Row],[Attrition]]="Yes",1,0)</f>
        <v>0</v>
      </c>
      <c r="AK383">
        <f>IF(HR_Data[[#This Row],[Attrition]]="No",1,0)</f>
        <v>1</v>
      </c>
      <c r="AL383" t="str">
        <f>IF(HR_Data[[#This Row],[Age]]&lt;25,"Under 25",IF(HR_Data[[#This Row],[Age]]&lt;=34,"25-34",IF(HR_Data[[#This Row],[Age]]&lt;=44,"35-44",IF(HR_Data[[#This Row],[Age]]&lt;=54,"45-54","55+"))))</f>
        <v>25-34</v>
      </c>
      <c r="AM383" s="1" t="str">
        <f>IF(HR_Data[[#This Row],[MonthlyIncome]]&lt;3000,"Low Salary",IF(HR_Data[[#This Row],[MonthlyIncome]]&lt;=7000,"Medium Salary","High Salary"))</f>
        <v>Low Salary</v>
      </c>
      <c r="AN383" s="1" t="str">
        <f>IF(HR_Data[[#This Row],[YearsAtCompany]]&lt;2,"0-1 Years",IF(HR_Data[[#This Row],[YearsAtCompany]]&lt;=5,"2-5 Years",IF(HR_Data[[#This Row],[YearsAtCompany]]&lt;=10,"6-10 Years","10+ Years")))</f>
        <v>0-1 Years</v>
      </c>
      <c r="AO383" s="1" t="str">
        <f>IF(HR_Data[[#This Row],[JobSatisfaction]]=1,"Low",IF(HR_Data[[#This Row],[JobSatisfaction]]=2,"Medium",IF(HR_Data[[#This Row],[JobSatisfaction]]=3,"High","Very High")))</f>
        <v>Medium</v>
      </c>
      <c r="AP383" s="1" t="str">
        <f>IF(HR_Data[[#This Row],[WorkLifeBalance]]=1,"Bad",IF(HR_Data[[#This Row],[WorkLifeBalance]]=2,"Good",IF(HR_Data[[#This Row],[WorkLifeBalance]]=3,"Better","Best")))</f>
        <v>Better</v>
      </c>
    </row>
    <row r="384" spans="1:42" x14ac:dyDescent="0.3">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c r="AJ384">
        <f>IF(HR_Data[[#This Row],[Attrition]]="Yes",1,0)</f>
        <v>1</v>
      </c>
      <c r="AK384">
        <f>IF(HR_Data[[#This Row],[Attrition]]="No",1,0)</f>
        <v>0</v>
      </c>
      <c r="AL384" t="str">
        <f>IF(HR_Data[[#This Row],[Age]]&lt;25,"Under 25",IF(HR_Data[[#This Row],[Age]]&lt;=34,"25-34",IF(HR_Data[[#This Row],[Age]]&lt;=44,"35-44",IF(HR_Data[[#This Row],[Age]]&lt;=54,"45-54","55+"))))</f>
        <v>25-34</v>
      </c>
      <c r="AM384" s="1" t="str">
        <f>IF(HR_Data[[#This Row],[MonthlyIncome]]&lt;3000,"Low Salary",IF(HR_Data[[#This Row],[MonthlyIncome]]&lt;=7000,"Medium Salary","High Salary"))</f>
        <v>Medium Salary</v>
      </c>
      <c r="AN384" s="1" t="str">
        <f>IF(HR_Data[[#This Row],[YearsAtCompany]]&lt;2,"0-1 Years",IF(HR_Data[[#This Row],[YearsAtCompany]]&lt;=5,"2-5 Years",IF(HR_Data[[#This Row],[YearsAtCompany]]&lt;=10,"6-10 Years","10+ Years")))</f>
        <v>6-10 Years</v>
      </c>
      <c r="AO384" s="1" t="str">
        <f>IF(HR_Data[[#This Row],[JobSatisfaction]]=1,"Low",IF(HR_Data[[#This Row],[JobSatisfaction]]=2,"Medium",IF(HR_Data[[#This Row],[JobSatisfaction]]=3,"High","Very High")))</f>
        <v>Low</v>
      </c>
      <c r="AP384" s="1" t="str">
        <f>IF(HR_Data[[#This Row],[WorkLifeBalance]]=1,"Bad",IF(HR_Data[[#This Row],[WorkLifeBalance]]=2,"Good",IF(HR_Data[[#This Row],[WorkLifeBalance]]=3,"Better","Best")))</f>
        <v>Better</v>
      </c>
    </row>
    <row r="385" spans="1:42" x14ac:dyDescent="0.3">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c r="AJ385">
        <f>IF(HR_Data[[#This Row],[Attrition]]="Yes",1,0)</f>
        <v>0</v>
      </c>
      <c r="AK385">
        <f>IF(HR_Data[[#This Row],[Attrition]]="No",1,0)</f>
        <v>1</v>
      </c>
      <c r="AL385" t="str">
        <f>IF(HR_Data[[#This Row],[Age]]&lt;25,"Under 25",IF(HR_Data[[#This Row],[Age]]&lt;=34,"25-34",IF(HR_Data[[#This Row],[Age]]&lt;=44,"35-44",IF(HR_Data[[#This Row],[Age]]&lt;=54,"45-54","55+"))))</f>
        <v>Under 25</v>
      </c>
      <c r="AM385" s="1" t="str">
        <f>IF(HR_Data[[#This Row],[MonthlyIncome]]&lt;3000,"Low Salary",IF(HR_Data[[#This Row],[MonthlyIncome]]&lt;=7000,"Medium Salary","High Salary"))</f>
        <v>Low Salary</v>
      </c>
      <c r="AN385" s="1" t="str">
        <f>IF(HR_Data[[#This Row],[YearsAtCompany]]&lt;2,"0-1 Years",IF(HR_Data[[#This Row],[YearsAtCompany]]&lt;=5,"2-5 Years",IF(HR_Data[[#This Row],[YearsAtCompany]]&lt;=10,"6-10 Years","10+ Years")))</f>
        <v>2-5 Years</v>
      </c>
      <c r="AO385" s="1" t="str">
        <f>IF(HR_Data[[#This Row],[JobSatisfaction]]=1,"Low",IF(HR_Data[[#This Row],[JobSatisfaction]]=2,"Medium",IF(HR_Data[[#This Row],[JobSatisfaction]]=3,"High","Very High")))</f>
        <v>Medium</v>
      </c>
      <c r="AP385" s="1" t="str">
        <f>IF(HR_Data[[#This Row],[WorkLifeBalance]]=1,"Bad",IF(HR_Data[[#This Row],[WorkLifeBalance]]=2,"Good",IF(HR_Data[[#This Row],[WorkLifeBalance]]=3,"Better","Best")))</f>
        <v>Better</v>
      </c>
    </row>
    <row r="386" spans="1:42" x14ac:dyDescent="0.3">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c r="AJ386">
        <f>IF(HR_Data[[#This Row],[Attrition]]="Yes",1,0)</f>
        <v>0</v>
      </c>
      <c r="AK386">
        <f>IF(HR_Data[[#This Row],[Attrition]]="No",1,0)</f>
        <v>1</v>
      </c>
      <c r="AL386" t="str">
        <f>IF(HR_Data[[#This Row],[Age]]&lt;25,"Under 25",IF(HR_Data[[#This Row],[Age]]&lt;=34,"25-34",IF(HR_Data[[#This Row],[Age]]&lt;=44,"35-44",IF(HR_Data[[#This Row],[Age]]&lt;=54,"45-54","55+"))))</f>
        <v>35-44</v>
      </c>
      <c r="AM386" s="1" t="str">
        <f>IF(HR_Data[[#This Row],[MonthlyIncome]]&lt;3000,"Low Salary",IF(HR_Data[[#This Row],[MonthlyIncome]]&lt;=7000,"Medium Salary","High Salary"))</f>
        <v>High Salary</v>
      </c>
      <c r="AN386" s="1" t="str">
        <f>IF(HR_Data[[#This Row],[YearsAtCompany]]&lt;2,"0-1 Years",IF(HR_Data[[#This Row],[YearsAtCompany]]&lt;=5,"2-5 Years",IF(HR_Data[[#This Row],[YearsAtCompany]]&lt;=10,"6-10 Years","10+ Years")))</f>
        <v>6-10 Years</v>
      </c>
      <c r="AO386" s="1" t="str">
        <f>IF(HR_Data[[#This Row],[JobSatisfaction]]=1,"Low",IF(HR_Data[[#This Row],[JobSatisfaction]]=2,"Medium",IF(HR_Data[[#This Row],[JobSatisfaction]]=3,"High","Very High")))</f>
        <v>High</v>
      </c>
      <c r="AP386" s="1" t="str">
        <f>IF(HR_Data[[#This Row],[WorkLifeBalance]]=1,"Bad",IF(HR_Data[[#This Row],[WorkLifeBalance]]=2,"Good",IF(HR_Data[[#This Row],[WorkLifeBalance]]=3,"Better","Best")))</f>
        <v>Better</v>
      </c>
    </row>
    <row r="387" spans="1:42" x14ac:dyDescent="0.3">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c r="AJ387">
        <f>IF(HR_Data[[#This Row],[Attrition]]="Yes",1,0)</f>
        <v>1</v>
      </c>
      <c r="AK387">
        <f>IF(HR_Data[[#This Row],[Attrition]]="No",1,0)</f>
        <v>0</v>
      </c>
      <c r="AL387" t="str">
        <f>IF(HR_Data[[#This Row],[Age]]&lt;25,"Under 25",IF(HR_Data[[#This Row],[Age]]&lt;=34,"25-34",IF(HR_Data[[#This Row],[Age]]&lt;=44,"35-44",IF(HR_Data[[#This Row],[Age]]&lt;=54,"45-54","55+"))))</f>
        <v>25-34</v>
      </c>
      <c r="AM387" s="1" t="str">
        <f>IF(HR_Data[[#This Row],[MonthlyIncome]]&lt;3000,"Low Salary",IF(HR_Data[[#This Row],[MonthlyIncome]]&lt;=7000,"Medium Salary","High Salary"))</f>
        <v>Low Salary</v>
      </c>
      <c r="AN387" s="1" t="str">
        <f>IF(HR_Data[[#This Row],[YearsAtCompany]]&lt;2,"0-1 Years",IF(HR_Data[[#This Row],[YearsAtCompany]]&lt;=5,"2-5 Years",IF(HR_Data[[#This Row],[YearsAtCompany]]&lt;=10,"6-10 Years","10+ Years")))</f>
        <v>0-1 Years</v>
      </c>
      <c r="AO387" s="1" t="str">
        <f>IF(HR_Data[[#This Row],[JobSatisfaction]]=1,"Low",IF(HR_Data[[#This Row],[JobSatisfaction]]=2,"Medium",IF(HR_Data[[#This Row],[JobSatisfaction]]=3,"High","Very High")))</f>
        <v>Very High</v>
      </c>
      <c r="AP387" s="1" t="str">
        <f>IF(HR_Data[[#This Row],[WorkLifeBalance]]=1,"Bad",IF(HR_Data[[#This Row],[WorkLifeBalance]]=2,"Good",IF(HR_Data[[#This Row],[WorkLifeBalance]]=3,"Better","Best")))</f>
        <v>Better</v>
      </c>
    </row>
    <row r="388" spans="1:42" x14ac:dyDescent="0.3">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c r="AJ388">
        <f>IF(HR_Data[[#This Row],[Attrition]]="Yes",1,0)</f>
        <v>0</v>
      </c>
      <c r="AK388">
        <f>IF(HR_Data[[#This Row],[Attrition]]="No",1,0)</f>
        <v>1</v>
      </c>
      <c r="AL388" t="str">
        <f>IF(HR_Data[[#This Row],[Age]]&lt;25,"Under 25",IF(HR_Data[[#This Row],[Age]]&lt;=34,"25-34",IF(HR_Data[[#This Row],[Age]]&lt;=44,"35-44",IF(HR_Data[[#This Row],[Age]]&lt;=54,"45-54","55+"))))</f>
        <v>35-44</v>
      </c>
      <c r="AM388" s="1" t="str">
        <f>IF(HR_Data[[#This Row],[MonthlyIncome]]&lt;3000,"Low Salary",IF(HR_Data[[#This Row],[MonthlyIncome]]&lt;=7000,"Medium Salary","High Salary"))</f>
        <v>Medium Salary</v>
      </c>
      <c r="AN388" s="1" t="str">
        <f>IF(HR_Data[[#This Row],[YearsAtCompany]]&lt;2,"0-1 Years",IF(HR_Data[[#This Row],[YearsAtCompany]]&lt;=5,"2-5 Years",IF(HR_Data[[#This Row],[YearsAtCompany]]&lt;=10,"6-10 Years","10+ Years")))</f>
        <v>10+ Years</v>
      </c>
      <c r="AO388" s="1" t="str">
        <f>IF(HR_Data[[#This Row],[JobSatisfaction]]=1,"Low",IF(HR_Data[[#This Row],[JobSatisfaction]]=2,"Medium",IF(HR_Data[[#This Row],[JobSatisfaction]]=3,"High","Very High")))</f>
        <v>Low</v>
      </c>
      <c r="AP388" s="1" t="str">
        <f>IF(HR_Data[[#This Row],[WorkLifeBalance]]=1,"Bad",IF(HR_Data[[#This Row],[WorkLifeBalance]]=2,"Good",IF(HR_Data[[#This Row],[WorkLifeBalance]]=3,"Better","Best")))</f>
        <v>Good</v>
      </c>
    </row>
    <row r="389" spans="1:42" x14ac:dyDescent="0.3">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c r="AJ389">
        <f>IF(HR_Data[[#This Row],[Attrition]]="Yes",1,0)</f>
        <v>0</v>
      </c>
      <c r="AK389">
        <f>IF(HR_Data[[#This Row],[Attrition]]="No",1,0)</f>
        <v>1</v>
      </c>
      <c r="AL389" t="str">
        <f>IF(HR_Data[[#This Row],[Age]]&lt;25,"Under 25",IF(HR_Data[[#This Row],[Age]]&lt;=34,"25-34",IF(HR_Data[[#This Row],[Age]]&lt;=44,"35-44",IF(HR_Data[[#This Row],[Age]]&lt;=54,"45-54","55+"))))</f>
        <v>35-44</v>
      </c>
      <c r="AM389" s="1" t="str">
        <f>IF(HR_Data[[#This Row],[MonthlyIncome]]&lt;3000,"Low Salary",IF(HR_Data[[#This Row],[MonthlyIncome]]&lt;=7000,"Medium Salary","High Salary"))</f>
        <v>Medium Salary</v>
      </c>
      <c r="AN389" s="1" t="str">
        <f>IF(HR_Data[[#This Row],[YearsAtCompany]]&lt;2,"0-1 Years",IF(HR_Data[[#This Row],[YearsAtCompany]]&lt;=5,"2-5 Years",IF(HR_Data[[#This Row],[YearsAtCompany]]&lt;=10,"6-10 Years","10+ Years")))</f>
        <v>2-5 Years</v>
      </c>
      <c r="AO389" s="1" t="str">
        <f>IF(HR_Data[[#This Row],[JobSatisfaction]]=1,"Low",IF(HR_Data[[#This Row],[JobSatisfaction]]=2,"Medium",IF(HR_Data[[#This Row],[JobSatisfaction]]=3,"High","Very High")))</f>
        <v>Medium</v>
      </c>
      <c r="AP389" s="1" t="str">
        <f>IF(HR_Data[[#This Row],[WorkLifeBalance]]=1,"Bad",IF(HR_Data[[#This Row],[WorkLifeBalance]]=2,"Good",IF(HR_Data[[#This Row],[WorkLifeBalance]]=3,"Better","Best")))</f>
        <v>Better</v>
      </c>
    </row>
    <row r="390" spans="1:42" x14ac:dyDescent="0.3">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c r="AJ390">
        <f>IF(HR_Data[[#This Row],[Attrition]]="Yes",1,0)</f>
        <v>0</v>
      </c>
      <c r="AK390">
        <f>IF(HR_Data[[#This Row],[Attrition]]="No",1,0)</f>
        <v>1</v>
      </c>
      <c r="AL390" t="str">
        <f>IF(HR_Data[[#This Row],[Age]]&lt;25,"Under 25",IF(HR_Data[[#This Row],[Age]]&lt;=34,"25-34",IF(HR_Data[[#This Row],[Age]]&lt;=44,"35-44",IF(HR_Data[[#This Row],[Age]]&lt;=54,"45-54","55+"))))</f>
        <v>35-44</v>
      </c>
      <c r="AM390" s="1" t="str">
        <f>IF(HR_Data[[#This Row],[MonthlyIncome]]&lt;3000,"Low Salary",IF(HR_Data[[#This Row],[MonthlyIncome]]&lt;=7000,"Medium Salary","High Salary"))</f>
        <v>Low Salary</v>
      </c>
      <c r="AN390" s="1" t="str">
        <f>IF(HR_Data[[#This Row],[YearsAtCompany]]&lt;2,"0-1 Years",IF(HR_Data[[#This Row],[YearsAtCompany]]&lt;=5,"2-5 Years",IF(HR_Data[[#This Row],[YearsAtCompany]]&lt;=10,"6-10 Years","10+ Years")))</f>
        <v>2-5 Years</v>
      </c>
      <c r="AO390" s="1" t="str">
        <f>IF(HR_Data[[#This Row],[JobSatisfaction]]=1,"Low",IF(HR_Data[[#This Row],[JobSatisfaction]]=2,"Medium",IF(HR_Data[[#This Row],[JobSatisfaction]]=3,"High","Very High")))</f>
        <v>Low</v>
      </c>
      <c r="AP390" s="1" t="str">
        <f>IF(HR_Data[[#This Row],[WorkLifeBalance]]=1,"Bad",IF(HR_Data[[#This Row],[WorkLifeBalance]]=2,"Good",IF(HR_Data[[#This Row],[WorkLifeBalance]]=3,"Better","Best")))</f>
        <v>Better</v>
      </c>
    </row>
    <row r="391" spans="1:42" x14ac:dyDescent="0.3">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c r="AJ391">
        <f>IF(HR_Data[[#This Row],[Attrition]]="Yes",1,0)</f>
        <v>0</v>
      </c>
      <c r="AK391">
        <f>IF(HR_Data[[#This Row],[Attrition]]="No",1,0)</f>
        <v>1</v>
      </c>
      <c r="AL391" t="str">
        <f>IF(HR_Data[[#This Row],[Age]]&lt;25,"Under 25",IF(HR_Data[[#This Row],[Age]]&lt;=34,"25-34",IF(HR_Data[[#This Row],[Age]]&lt;=44,"35-44",IF(HR_Data[[#This Row],[Age]]&lt;=54,"45-54","55+"))))</f>
        <v>35-44</v>
      </c>
      <c r="AM391" s="1" t="str">
        <f>IF(HR_Data[[#This Row],[MonthlyIncome]]&lt;3000,"Low Salary",IF(HR_Data[[#This Row],[MonthlyIncome]]&lt;=7000,"Medium Salary","High Salary"))</f>
        <v>Medium Salary</v>
      </c>
      <c r="AN391" s="1" t="str">
        <f>IF(HR_Data[[#This Row],[YearsAtCompany]]&lt;2,"0-1 Years",IF(HR_Data[[#This Row],[YearsAtCompany]]&lt;=5,"2-5 Years",IF(HR_Data[[#This Row],[YearsAtCompany]]&lt;=10,"6-10 Years","10+ Years")))</f>
        <v>0-1 Years</v>
      </c>
      <c r="AO391" s="1" t="str">
        <f>IF(HR_Data[[#This Row],[JobSatisfaction]]=1,"Low",IF(HR_Data[[#This Row],[JobSatisfaction]]=2,"Medium",IF(HR_Data[[#This Row],[JobSatisfaction]]=3,"High","Very High")))</f>
        <v>Medium</v>
      </c>
      <c r="AP391" s="1" t="str">
        <f>IF(HR_Data[[#This Row],[WorkLifeBalance]]=1,"Bad",IF(HR_Data[[#This Row],[WorkLifeBalance]]=2,"Good",IF(HR_Data[[#This Row],[WorkLifeBalance]]=3,"Better","Best")))</f>
        <v>Good</v>
      </c>
    </row>
    <row r="392" spans="1:42" x14ac:dyDescent="0.3">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c r="AJ392">
        <f>IF(HR_Data[[#This Row],[Attrition]]="Yes",1,0)</f>
        <v>0</v>
      </c>
      <c r="AK392">
        <f>IF(HR_Data[[#This Row],[Attrition]]="No",1,0)</f>
        <v>1</v>
      </c>
      <c r="AL392" t="str">
        <f>IF(HR_Data[[#This Row],[Age]]&lt;25,"Under 25",IF(HR_Data[[#This Row],[Age]]&lt;=34,"25-34",IF(HR_Data[[#This Row],[Age]]&lt;=44,"35-44",IF(HR_Data[[#This Row],[Age]]&lt;=54,"45-54","55+"))))</f>
        <v>35-44</v>
      </c>
      <c r="AM392" s="1" t="str">
        <f>IF(HR_Data[[#This Row],[MonthlyIncome]]&lt;3000,"Low Salary",IF(HR_Data[[#This Row],[MonthlyIncome]]&lt;=7000,"Medium Salary","High Salary"))</f>
        <v>High Salary</v>
      </c>
      <c r="AN392" s="1" t="str">
        <f>IF(HR_Data[[#This Row],[YearsAtCompany]]&lt;2,"0-1 Years",IF(HR_Data[[#This Row],[YearsAtCompany]]&lt;=5,"2-5 Years",IF(HR_Data[[#This Row],[YearsAtCompany]]&lt;=10,"6-10 Years","10+ Years")))</f>
        <v>10+ Years</v>
      </c>
      <c r="AO392" s="1" t="str">
        <f>IF(HR_Data[[#This Row],[JobSatisfaction]]=1,"Low",IF(HR_Data[[#This Row],[JobSatisfaction]]=2,"Medium",IF(HR_Data[[#This Row],[JobSatisfaction]]=3,"High","Very High")))</f>
        <v>Medium</v>
      </c>
      <c r="AP392" s="1" t="str">
        <f>IF(HR_Data[[#This Row],[WorkLifeBalance]]=1,"Bad",IF(HR_Data[[#This Row],[WorkLifeBalance]]=2,"Good",IF(HR_Data[[#This Row],[WorkLifeBalance]]=3,"Better","Best")))</f>
        <v>Better</v>
      </c>
    </row>
    <row r="393" spans="1:42" x14ac:dyDescent="0.3">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c r="AJ393">
        <f>IF(HR_Data[[#This Row],[Attrition]]="Yes",1,0)</f>
        <v>0</v>
      </c>
      <c r="AK393">
        <f>IF(HR_Data[[#This Row],[Attrition]]="No",1,0)</f>
        <v>1</v>
      </c>
      <c r="AL393" t="str">
        <f>IF(HR_Data[[#This Row],[Age]]&lt;25,"Under 25",IF(HR_Data[[#This Row],[Age]]&lt;=34,"25-34",IF(HR_Data[[#This Row],[Age]]&lt;=44,"35-44",IF(HR_Data[[#This Row],[Age]]&lt;=54,"45-54","55+"))))</f>
        <v>35-44</v>
      </c>
      <c r="AM393" s="1" t="str">
        <f>IF(HR_Data[[#This Row],[MonthlyIncome]]&lt;3000,"Low Salary",IF(HR_Data[[#This Row],[MonthlyIncome]]&lt;=7000,"Medium Salary","High Salary"))</f>
        <v>Medium Salary</v>
      </c>
      <c r="AN393" s="1" t="str">
        <f>IF(HR_Data[[#This Row],[YearsAtCompany]]&lt;2,"0-1 Years",IF(HR_Data[[#This Row],[YearsAtCompany]]&lt;=5,"2-5 Years",IF(HR_Data[[#This Row],[YearsAtCompany]]&lt;=10,"6-10 Years","10+ Years")))</f>
        <v>0-1 Years</v>
      </c>
      <c r="AO393" s="1" t="str">
        <f>IF(HR_Data[[#This Row],[JobSatisfaction]]=1,"Low",IF(HR_Data[[#This Row],[JobSatisfaction]]=2,"Medium",IF(HR_Data[[#This Row],[JobSatisfaction]]=3,"High","Very High")))</f>
        <v>High</v>
      </c>
      <c r="AP393" s="1" t="str">
        <f>IF(HR_Data[[#This Row],[WorkLifeBalance]]=1,"Bad",IF(HR_Data[[#This Row],[WorkLifeBalance]]=2,"Good",IF(HR_Data[[#This Row],[WorkLifeBalance]]=3,"Better","Best")))</f>
        <v>Better</v>
      </c>
    </row>
    <row r="394" spans="1:42" x14ac:dyDescent="0.3">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c r="AJ394">
        <f>IF(HR_Data[[#This Row],[Attrition]]="Yes",1,0)</f>
        <v>0</v>
      </c>
      <c r="AK394">
        <f>IF(HR_Data[[#This Row],[Attrition]]="No",1,0)</f>
        <v>1</v>
      </c>
      <c r="AL394" t="str">
        <f>IF(HR_Data[[#This Row],[Age]]&lt;25,"Under 25",IF(HR_Data[[#This Row],[Age]]&lt;=34,"25-34",IF(HR_Data[[#This Row],[Age]]&lt;=44,"35-44",IF(HR_Data[[#This Row],[Age]]&lt;=54,"45-54","55+"))))</f>
        <v>45-54</v>
      </c>
      <c r="AM394" s="1" t="str">
        <f>IF(HR_Data[[#This Row],[MonthlyIncome]]&lt;3000,"Low Salary",IF(HR_Data[[#This Row],[MonthlyIncome]]&lt;=7000,"Medium Salary","High Salary"))</f>
        <v>High Salary</v>
      </c>
      <c r="AN394" s="1" t="str">
        <f>IF(HR_Data[[#This Row],[YearsAtCompany]]&lt;2,"0-1 Years",IF(HR_Data[[#This Row],[YearsAtCompany]]&lt;=5,"2-5 Years",IF(HR_Data[[#This Row],[YearsAtCompany]]&lt;=10,"6-10 Years","10+ Years")))</f>
        <v>2-5 Years</v>
      </c>
      <c r="AO394" s="1" t="str">
        <f>IF(HR_Data[[#This Row],[JobSatisfaction]]=1,"Low",IF(HR_Data[[#This Row],[JobSatisfaction]]=2,"Medium",IF(HR_Data[[#This Row],[JobSatisfaction]]=3,"High","Very High")))</f>
        <v>Low</v>
      </c>
      <c r="AP394" s="1" t="str">
        <f>IF(HR_Data[[#This Row],[WorkLifeBalance]]=1,"Bad",IF(HR_Data[[#This Row],[WorkLifeBalance]]=2,"Good",IF(HR_Data[[#This Row],[WorkLifeBalance]]=3,"Better","Best")))</f>
        <v>Good</v>
      </c>
    </row>
    <row r="395" spans="1:42" x14ac:dyDescent="0.3">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c r="AJ395">
        <f>IF(HR_Data[[#This Row],[Attrition]]="Yes",1,0)</f>
        <v>0</v>
      </c>
      <c r="AK395">
        <f>IF(HR_Data[[#This Row],[Attrition]]="No",1,0)</f>
        <v>1</v>
      </c>
      <c r="AL395" t="str">
        <f>IF(HR_Data[[#This Row],[Age]]&lt;25,"Under 25",IF(HR_Data[[#This Row],[Age]]&lt;=34,"25-34",IF(HR_Data[[#This Row],[Age]]&lt;=44,"35-44",IF(HR_Data[[#This Row],[Age]]&lt;=54,"45-54","55+"))))</f>
        <v>25-34</v>
      </c>
      <c r="AM395" s="1" t="str">
        <f>IF(HR_Data[[#This Row],[MonthlyIncome]]&lt;3000,"Low Salary",IF(HR_Data[[#This Row],[MonthlyIncome]]&lt;=7000,"Medium Salary","High Salary"))</f>
        <v>Medium Salary</v>
      </c>
      <c r="AN395" s="1" t="str">
        <f>IF(HR_Data[[#This Row],[YearsAtCompany]]&lt;2,"0-1 Years",IF(HR_Data[[#This Row],[YearsAtCompany]]&lt;=5,"2-5 Years",IF(HR_Data[[#This Row],[YearsAtCompany]]&lt;=10,"6-10 Years","10+ Years")))</f>
        <v>2-5 Years</v>
      </c>
      <c r="AO395" s="1" t="str">
        <f>IF(HR_Data[[#This Row],[JobSatisfaction]]=1,"Low",IF(HR_Data[[#This Row],[JobSatisfaction]]=2,"Medium",IF(HR_Data[[#This Row],[JobSatisfaction]]=3,"High","Very High")))</f>
        <v>High</v>
      </c>
      <c r="AP395" s="1" t="str">
        <f>IF(HR_Data[[#This Row],[WorkLifeBalance]]=1,"Bad",IF(HR_Data[[#This Row],[WorkLifeBalance]]=2,"Good",IF(HR_Data[[#This Row],[WorkLifeBalance]]=3,"Better","Best")))</f>
        <v>Better</v>
      </c>
    </row>
    <row r="396" spans="1:42" x14ac:dyDescent="0.3">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c r="AJ396">
        <f>IF(HR_Data[[#This Row],[Attrition]]="Yes",1,0)</f>
        <v>0</v>
      </c>
      <c r="AK396">
        <f>IF(HR_Data[[#This Row],[Attrition]]="No",1,0)</f>
        <v>1</v>
      </c>
      <c r="AL396" t="str">
        <f>IF(HR_Data[[#This Row],[Age]]&lt;25,"Under 25",IF(HR_Data[[#This Row],[Age]]&lt;=34,"25-34",IF(HR_Data[[#This Row],[Age]]&lt;=44,"35-44",IF(HR_Data[[#This Row],[Age]]&lt;=54,"45-54","55+"))))</f>
        <v>25-34</v>
      </c>
      <c r="AM396" s="1" t="str">
        <f>IF(HR_Data[[#This Row],[MonthlyIncome]]&lt;3000,"Low Salary",IF(HR_Data[[#This Row],[MonthlyIncome]]&lt;=7000,"Medium Salary","High Salary"))</f>
        <v>Medium Salary</v>
      </c>
      <c r="AN396" s="1" t="str">
        <f>IF(HR_Data[[#This Row],[YearsAtCompany]]&lt;2,"0-1 Years",IF(HR_Data[[#This Row],[YearsAtCompany]]&lt;=5,"2-5 Years",IF(HR_Data[[#This Row],[YearsAtCompany]]&lt;=10,"6-10 Years","10+ Years")))</f>
        <v>10+ Years</v>
      </c>
      <c r="AO396" s="1" t="str">
        <f>IF(HR_Data[[#This Row],[JobSatisfaction]]=1,"Low",IF(HR_Data[[#This Row],[JobSatisfaction]]=2,"Medium",IF(HR_Data[[#This Row],[JobSatisfaction]]=3,"High","Very High")))</f>
        <v>Low</v>
      </c>
      <c r="AP396" s="1" t="str">
        <f>IF(HR_Data[[#This Row],[WorkLifeBalance]]=1,"Bad",IF(HR_Data[[#This Row],[WorkLifeBalance]]=2,"Good",IF(HR_Data[[#This Row],[WorkLifeBalance]]=3,"Better","Best")))</f>
        <v>Bad</v>
      </c>
    </row>
    <row r="397" spans="1:42" x14ac:dyDescent="0.3">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c r="AJ397">
        <f>IF(HR_Data[[#This Row],[Attrition]]="Yes",1,0)</f>
        <v>0</v>
      </c>
      <c r="AK397">
        <f>IF(HR_Data[[#This Row],[Attrition]]="No",1,0)</f>
        <v>1</v>
      </c>
      <c r="AL397" t="str">
        <f>IF(HR_Data[[#This Row],[Age]]&lt;25,"Under 25",IF(HR_Data[[#This Row],[Age]]&lt;=34,"25-34",IF(HR_Data[[#This Row],[Age]]&lt;=44,"35-44",IF(HR_Data[[#This Row],[Age]]&lt;=54,"45-54","55+"))))</f>
        <v>35-44</v>
      </c>
      <c r="AM397" s="1" t="str">
        <f>IF(HR_Data[[#This Row],[MonthlyIncome]]&lt;3000,"Low Salary",IF(HR_Data[[#This Row],[MonthlyIncome]]&lt;=7000,"Medium Salary","High Salary"))</f>
        <v>Low Salary</v>
      </c>
      <c r="AN397" s="1" t="str">
        <f>IF(HR_Data[[#This Row],[YearsAtCompany]]&lt;2,"0-1 Years",IF(HR_Data[[#This Row],[YearsAtCompany]]&lt;=5,"2-5 Years",IF(HR_Data[[#This Row],[YearsAtCompany]]&lt;=10,"6-10 Years","10+ Years")))</f>
        <v>2-5 Years</v>
      </c>
      <c r="AO397" s="1" t="str">
        <f>IF(HR_Data[[#This Row],[JobSatisfaction]]=1,"Low",IF(HR_Data[[#This Row],[JobSatisfaction]]=2,"Medium",IF(HR_Data[[#This Row],[JobSatisfaction]]=3,"High","Very High")))</f>
        <v>Very High</v>
      </c>
      <c r="AP397" s="1" t="str">
        <f>IF(HR_Data[[#This Row],[WorkLifeBalance]]=1,"Bad",IF(HR_Data[[#This Row],[WorkLifeBalance]]=2,"Good",IF(HR_Data[[#This Row],[WorkLifeBalance]]=3,"Better","Best")))</f>
        <v>Better</v>
      </c>
    </row>
    <row r="398" spans="1:42" x14ac:dyDescent="0.3">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c r="AJ398">
        <f>IF(HR_Data[[#This Row],[Attrition]]="Yes",1,0)</f>
        <v>0</v>
      </c>
      <c r="AK398">
        <f>IF(HR_Data[[#This Row],[Attrition]]="No",1,0)</f>
        <v>1</v>
      </c>
      <c r="AL398" t="str">
        <f>IF(HR_Data[[#This Row],[Age]]&lt;25,"Under 25",IF(HR_Data[[#This Row],[Age]]&lt;=34,"25-34",IF(HR_Data[[#This Row],[Age]]&lt;=44,"35-44",IF(HR_Data[[#This Row],[Age]]&lt;=54,"45-54","55+"))))</f>
        <v>35-44</v>
      </c>
      <c r="AM398" s="1" t="str">
        <f>IF(HR_Data[[#This Row],[MonthlyIncome]]&lt;3000,"Low Salary",IF(HR_Data[[#This Row],[MonthlyIncome]]&lt;=7000,"Medium Salary","High Salary"))</f>
        <v>Medium Salary</v>
      </c>
      <c r="AN398" s="1" t="str">
        <f>IF(HR_Data[[#This Row],[YearsAtCompany]]&lt;2,"0-1 Years",IF(HR_Data[[#This Row],[YearsAtCompany]]&lt;=5,"2-5 Years",IF(HR_Data[[#This Row],[YearsAtCompany]]&lt;=10,"6-10 Years","10+ Years")))</f>
        <v>2-5 Years</v>
      </c>
      <c r="AO398" s="1" t="str">
        <f>IF(HR_Data[[#This Row],[JobSatisfaction]]=1,"Low",IF(HR_Data[[#This Row],[JobSatisfaction]]=2,"Medium",IF(HR_Data[[#This Row],[JobSatisfaction]]=3,"High","Very High")))</f>
        <v>High</v>
      </c>
      <c r="AP398" s="1" t="str">
        <f>IF(HR_Data[[#This Row],[WorkLifeBalance]]=1,"Bad",IF(HR_Data[[#This Row],[WorkLifeBalance]]=2,"Good",IF(HR_Data[[#This Row],[WorkLifeBalance]]=3,"Better","Best")))</f>
        <v>Better</v>
      </c>
    </row>
    <row r="399" spans="1:42" x14ac:dyDescent="0.3">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c r="AJ399">
        <f>IF(HR_Data[[#This Row],[Attrition]]="Yes",1,0)</f>
        <v>0</v>
      </c>
      <c r="AK399">
        <f>IF(HR_Data[[#This Row],[Attrition]]="No",1,0)</f>
        <v>1</v>
      </c>
      <c r="AL399" t="str">
        <f>IF(HR_Data[[#This Row],[Age]]&lt;25,"Under 25",IF(HR_Data[[#This Row],[Age]]&lt;=34,"25-34",IF(HR_Data[[#This Row],[Age]]&lt;=44,"35-44",IF(HR_Data[[#This Row],[Age]]&lt;=54,"45-54","55+"))))</f>
        <v>25-34</v>
      </c>
      <c r="AM399" s="1" t="str">
        <f>IF(HR_Data[[#This Row],[MonthlyIncome]]&lt;3000,"Low Salary",IF(HR_Data[[#This Row],[MonthlyIncome]]&lt;=7000,"Medium Salary","High Salary"))</f>
        <v>Medium Salary</v>
      </c>
      <c r="AN399" s="1" t="str">
        <f>IF(HR_Data[[#This Row],[YearsAtCompany]]&lt;2,"0-1 Years",IF(HR_Data[[#This Row],[YearsAtCompany]]&lt;=5,"2-5 Years",IF(HR_Data[[#This Row],[YearsAtCompany]]&lt;=10,"6-10 Years","10+ Years")))</f>
        <v>2-5 Years</v>
      </c>
      <c r="AO399" s="1" t="str">
        <f>IF(HR_Data[[#This Row],[JobSatisfaction]]=1,"Low",IF(HR_Data[[#This Row],[JobSatisfaction]]=2,"Medium",IF(HR_Data[[#This Row],[JobSatisfaction]]=3,"High","Very High")))</f>
        <v>Very High</v>
      </c>
      <c r="AP399" s="1" t="str">
        <f>IF(HR_Data[[#This Row],[WorkLifeBalance]]=1,"Bad",IF(HR_Data[[#This Row],[WorkLifeBalance]]=2,"Good",IF(HR_Data[[#This Row],[WorkLifeBalance]]=3,"Better","Best")))</f>
        <v>Better</v>
      </c>
    </row>
    <row r="400" spans="1:42" x14ac:dyDescent="0.3">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c r="AJ400">
        <f>IF(HR_Data[[#This Row],[Attrition]]="Yes",1,0)</f>
        <v>0</v>
      </c>
      <c r="AK400">
        <f>IF(HR_Data[[#This Row],[Attrition]]="No",1,0)</f>
        <v>1</v>
      </c>
      <c r="AL400" t="str">
        <f>IF(HR_Data[[#This Row],[Age]]&lt;25,"Under 25",IF(HR_Data[[#This Row],[Age]]&lt;=34,"25-34",IF(HR_Data[[#This Row],[Age]]&lt;=44,"35-44",IF(HR_Data[[#This Row],[Age]]&lt;=54,"45-54","55+"))))</f>
        <v>35-44</v>
      </c>
      <c r="AM400" s="1" t="str">
        <f>IF(HR_Data[[#This Row],[MonthlyIncome]]&lt;3000,"Low Salary",IF(HR_Data[[#This Row],[MonthlyIncome]]&lt;=7000,"Medium Salary","High Salary"))</f>
        <v>Medium Salary</v>
      </c>
      <c r="AN400" s="1" t="str">
        <f>IF(HR_Data[[#This Row],[YearsAtCompany]]&lt;2,"0-1 Years",IF(HR_Data[[#This Row],[YearsAtCompany]]&lt;=5,"2-5 Years",IF(HR_Data[[#This Row],[YearsAtCompany]]&lt;=10,"6-10 Years","10+ Years")))</f>
        <v>10+ Years</v>
      </c>
      <c r="AO400" s="1" t="str">
        <f>IF(HR_Data[[#This Row],[JobSatisfaction]]=1,"Low",IF(HR_Data[[#This Row],[JobSatisfaction]]=2,"Medium",IF(HR_Data[[#This Row],[JobSatisfaction]]=3,"High","Very High")))</f>
        <v>High</v>
      </c>
      <c r="AP400" s="1" t="str">
        <f>IF(HR_Data[[#This Row],[WorkLifeBalance]]=1,"Bad",IF(HR_Data[[#This Row],[WorkLifeBalance]]=2,"Good",IF(HR_Data[[#This Row],[WorkLifeBalance]]=3,"Better","Best")))</f>
        <v>Better</v>
      </c>
    </row>
    <row r="401" spans="1:42" x14ac:dyDescent="0.3">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c r="AJ401">
        <f>IF(HR_Data[[#This Row],[Attrition]]="Yes",1,0)</f>
        <v>0</v>
      </c>
      <c r="AK401">
        <f>IF(HR_Data[[#This Row],[Attrition]]="No",1,0)</f>
        <v>1</v>
      </c>
      <c r="AL401" t="str">
        <f>IF(HR_Data[[#This Row],[Age]]&lt;25,"Under 25",IF(HR_Data[[#This Row],[Age]]&lt;=34,"25-34",IF(HR_Data[[#This Row],[Age]]&lt;=44,"35-44",IF(HR_Data[[#This Row],[Age]]&lt;=54,"45-54","55+"))))</f>
        <v>25-34</v>
      </c>
      <c r="AM401" s="1" t="str">
        <f>IF(HR_Data[[#This Row],[MonthlyIncome]]&lt;3000,"Low Salary",IF(HR_Data[[#This Row],[MonthlyIncome]]&lt;=7000,"Medium Salary","High Salary"))</f>
        <v>Low Salary</v>
      </c>
      <c r="AN401" s="1" t="str">
        <f>IF(HR_Data[[#This Row],[YearsAtCompany]]&lt;2,"0-1 Years",IF(HR_Data[[#This Row],[YearsAtCompany]]&lt;=5,"2-5 Years",IF(HR_Data[[#This Row],[YearsAtCompany]]&lt;=10,"6-10 Years","10+ Years")))</f>
        <v>2-5 Years</v>
      </c>
      <c r="AO401" s="1" t="str">
        <f>IF(HR_Data[[#This Row],[JobSatisfaction]]=1,"Low",IF(HR_Data[[#This Row],[JobSatisfaction]]=2,"Medium",IF(HR_Data[[#This Row],[JobSatisfaction]]=3,"High","Very High")))</f>
        <v>Low</v>
      </c>
      <c r="AP401" s="1" t="str">
        <f>IF(HR_Data[[#This Row],[WorkLifeBalance]]=1,"Bad",IF(HR_Data[[#This Row],[WorkLifeBalance]]=2,"Good",IF(HR_Data[[#This Row],[WorkLifeBalance]]=3,"Better","Best")))</f>
        <v>Better</v>
      </c>
    </row>
    <row r="402" spans="1:42" x14ac:dyDescent="0.3">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c r="AJ402">
        <f>IF(HR_Data[[#This Row],[Attrition]]="Yes",1,0)</f>
        <v>0</v>
      </c>
      <c r="AK402">
        <f>IF(HR_Data[[#This Row],[Attrition]]="No",1,0)</f>
        <v>1</v>
      </c>
      <c r="AL402" t="str">
        <f>IF(HR_Data[[#This Row],[Age]]&lt;25,"Under 25",IF(HR_Data[[#This Row],[Age]]&lt;=34,"25-34",IF(HR_Data[[#This Row],[Age]]&lt;=44,"35-44",IF(HR_Data[[#This Row],[Age]]&lt;=54,"45-54","55+"))))</f>
        <v>35-44</v>
      </c>
      <c r="AM402" s="1" t="str">
        <f>IF(HR_Data[[#This Row],[MonthlyIncome]]&lt;3000,"Low Salary",IF(HR_Data[[#This Row],[MonthlyIncome]]&lt;=7000,"Medium Salary","High Salary"))</f>
        <v>High Salary</v>
      </c>
      <c r="AN402" s="1" t="str">
        <f>IF(HR_Data[[#This Row],[YearsAtCompany]]&lt;2,"0-1 Years",IF(HR_Data[[#This Row],[YearsAtCompany]]&lt;=5,"2-5 Years",IF(HR_Data[[#This Row],[YearsAtCompany]]&lt;=10,"6-10 Years","10+ Years")))</f>
        <v>10+ Years</v>
      </c>
      <c r="AO402" s="1" t="str">
        <f>IF(HR_Data[[#This Row],[JobSatisfaction]]=1,"Low",IF(HR_Data[[#This Row],[JobSatisfaction]]=2,"Medium",IF(HR_Data[[#This Row],[JobSatisfaction]]=3,"High","Very High")))</f>
        <v>High</v>
      </c>
      <c r="AP402" s="1" t="str">
        <f>IF(HR_Data[[#This Row],[WorkLifeBalance]]=1,"Bad",IF(HR_Data[[#This Row],[WorkLifeBalance]]=2,"Good",IF(HR_Data[[#This Row],[WorkLifeBalance]]=3,"Better","Best")))</f>
        <v>Better</v>
      </c>
    </row>
    <row r="403" spans="1:42" x14ac:dyDescent="0.3">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c r="AJ403">
        <f>IF(HR_Data[[#This Row],[Attrition]]="Yes",1,0)</f>
        <v>0</v>
      </c>
      <c r="AK403">
        <f>IF(HR_Data[[#This Row],[Attrition]]="No",1,0)</f>
        <v>1</v>
      </c>
      <c r="AL403" t="str">
        <f>IF(HR_Data[[#This Row],[Age]]&lt;25,"Under 25",IF(HR_Data[[#This Row],[Age]]&lt;=34,"25-34",IF(HR_Data[[#This Row],[Age]]&lt;=44,"35-44",IF(HR_Data[[#This Row],[Age]]&lt;=54,"45-54","55+"))))</f>
        <v>55+</v>
      </c>
      <c r="AM403" s="1" t="str">
        <f>IF(HR_Data[[#This Row],[MonthlyIncome]]&lt;3000,"Low Salary",IF(HR_Data[[#This Row],[MonthlyIncome]]&lt;=7000,"Medium Salary","High Salary"))</f>
        <v>High Salary</v>
      </c>
      <c r="AN403" s="1" t="str">
        <f>IF(HR_Data[[#This Row],[YearsAtCompany]]&lt;2,"0-1 Years",IF(HR_Data[[#This Row],[YearsAtCompany]]&lt;=5,"2-5 Years",IF(HR_Data[[#This Row],[YearsAtCompany]]&lt;=10,"6-10 Years","10+ Years")))</f>
        <v>6-10 Years</v>
      </c>
      <c r="AO403" s="1" t="str">
        <f>IF(HR_Data[[#This Row],[JobSatisfaction]]=1,"Low",IF(HR_Data[[#This Row],[JobSatisfaction]]=2,"Medium",IF(HR_Data[[#This Row],[JobSatisfaction]]=3,"High","Very High")))</f>
        <v>Low</v>
      </c>
      <c r="AP403" s="1" t="str">
        <f>IF(HR_Data[[#This Row],[WorkLifeBalance]]=1,"Bad",IF(HR_Data[[#This Row],[WorkLifeBalance]]=2,"Good",IF(HR_Data[[#This Row],[WorkLifeBalance]]=3,"Better","Best")))</f>
        <v>Good</v>
      </c>
    </row>
    <row r="404" spans="1:42" x14ac:dyDescent="0.3">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c r="AJ404">
        <f>IF(HR_Data[[#This Row],[Attrition]]="Yes",1,0)</f>
        <v>0</v>
      </c>
      <c r="AK404">
        <f>IF(HR_Data[[#This Row],[Attrition]]="No",1,0)</f>
        <v>1</v>
      </c>
      <c r="AL404" t="str">
        <f>IF(HR_Data[[#This Row],[Age]]&lt;25,"Under 25",IF(HR_Data[[#This Row],[Age]]&lt;=34,"25-34",IF(HR_Data[[#This Row],[Age]]&lt;=44,"35-44",IF(HR_Data[[#This Row],[Age]]&lt;=54,"45-54","55+"))))</f>
        <v>25-34</v>
      </c>
      <c r="AM404" s="1" t="str">
        <f>IF(HR_Data[[#This Row],[MonthlyIncome]]&lt;3000,"Low Salary",IF(HR_Data[[#This Row],[MonthlyIncome]]&lt;=7000,"Medium Salary","High Salary"))</f>
        <v>Medium Salary</v>
      </c>
      <c r="AN404" s="1" t="str">
        <f>IF(HR_Data[[#This Row],[YearsAtCompany]]&lt;2,"0-1 Years",IF(HR_Data[[#This Row],[YearsAtCompany]]&lt;=5,"2-5 Years",IF(HR_Data[[#This Row],[YearsAtCompany]]&lt;=10,"6-10 Years","10+ Years")))</f>
        <v>2-5 Years</v>
      </c>
      <c r="AO404" s="1" t="str">
        <f>IF(HR_Data[[#This Row],[JobSatisfaction]]=1,"Low",IF(HR_Data[[#This Row],[JobSatisfaction]]=2,"Medium",IF(HR_Data[[#This Row],[JobSatisfaction]]=3,"High","Very High")))</f>
        <v>High</v>
      </c>
      <c r="AP404" s="1" t="str">
        <f>IF(HR_Data[[#This Row],[WorkLifeBalance]]=1,"Bad",IF(HR_Data[[#This Row],[WorkLifeBalance]]=2,"Good",IF(HR_Data[[#This Row],[WorkLifeBalance]]=3,"Better","Best")))</f>
        <v>Better</v>
      </c>
    </row>
    <row r="405" spans="1:42" x14ac:dyDescent="0.3">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c r="AJ405">
        <f>IF(HR_Data[[#This Row],[Attrition]]="Yes",1,0)</f>
        <v>0</v>
      </c>
      <c r="AK405">
        <f>IF(HR_Data[[#This Row],[Attrition]]="No",1,0)</f>
        <v>1</v>
      </c>
      <c r="AL405" t="str">
        <f>IF(HR_Data[[#This Row],[Age]]&lt;25,"Under 25",IF(HR_Data[[#This Row],[Age]]&lt;=34,"25-34",IF(HR_Data[[#This Row],[Age]]&lt;=44,"35-44",IF(HR_Data[[#This Row],[Age]]&lt;=54,"45-54","55+"))))</f>
        <v>35-44</v>
      </c>
      <c r="AM405" s="1" t="str">
        <f>IF(HR_Data[[#This Row],[MonthlyIncome]]&lt;3000,"Low Salary",IF(HR_Data[[#This Row],[MonthlyIncome]]&lt;=7000,"Medium Salary","High Salary"))</f>
        <v>High Salary</v>
      </c>
      <c r="AN405" s="1" t="str">
        <f>IF(HR_Data[[#This Row],[YearsAtCompany]]&lt;2,"0-1 Years",IF(HR_Data[[#This Row],[YearsAtCompany]]&lt;=5,"2-5 Years",IF(HR_Data[[#This Row],[YearsAtCompany]]&lt;=10,"6-10 Years","10+ Years")))</f>
        <v>6-10 Years</v>
      </c>
      <c r="AO405" s="1" t="str">
        <f>IF(HR_Data[[#This Row],[JobSatisfaction]]=1,"Low",IF(HR_Data[[#This Row],[JobSatisfaction]]=2,"Medium",IF(HR_Data[[#This Row],[JobSatisfaction]]=3,"High","Very High")))</f>
        <v>Low</v>
      </c>
      <c r="AP405" s="1" t="str">
        <f>IF(HR_Data[[#This Row],[WorkLifeBalance]]=1,"Bad",IF(HR_Data[[#This Row],[WorkLifeBalance]]=2,"Good",IF(HR_Data[[#This Row],[WorkLifeBalance]]=3,"Better","Best")))</f>
        <v>Better</v>
      </c>
    </row>
    <row r="406" spans="1:42" x14ac:dyDescent="0.3">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c r="AJ406">
        <f>IF(HR_Data[[#This Row],[Attrition]]="Yes",1,0)</f>
        <v>0</v>
      </c>
      <c r="AK406">
        <f>IF(HR_Data[[#This Row],[Attrition]]="No",1,0)</f>
        <v>1</v>
      </c>
      <c r="AL406" t="str">
        <f>IF(HR_Data[[#This Row],[Age]]&lt;25,"Under 25",IF(HR_Data[[#This Row],[Age]]&lt;=34,"25-34",IF(HR_Data[[#This Row],[Age]]&lt;=44,"35-44",IF(HR_Data[[#This Row],[Age]]&lt;=54,"45-54","55+"))))</f>
        <v>25-34</v>
      </c>
      <c r="AM406" s="1" t="str">
        <f>IF(HR_Data[[#This Row],[MonthlyIncome]]&lt;3000,"Low Salary",IF(HR_Data[[#This Row],[MonthlyIncome]]&lt;=7000,"Medium Salary","High Salary"))</f>
        <v>Medium Salary</v>
      </c>
      <c r="AN406" s="1" t="str">
        <f>IF(HR_Data[[#This Row],[YearsAtCompany]]&lt;2,"0-1 Years",IF(HR_Data[[#This Row],[YearsAtCompany]]&lt;=5,"2-5 Years",IF(HR_Data[[#This Row],[YearsAtCompany]]&lt;=10,"6-10 Years","10+ Years")))</f>
        <v>6-10 Years</v>
      </c>
      <c r="AO406" s="1" t="str">
        <f>IF(HR_Data[[#This Row],[JobSatisfaction]]=1,"Low",IF(HR_Data[[#This Row],[JobSatisfaction]]=2,"Medium",IF(HR_Data[[#This Row],[JobSatisfaction]]=3,"High","Very High")))</f>
        <v>Low</v>
      </c>
      <c r="AP406" s="1" t="str">
        <f>IF(HR_Data[[#This Row],[WorkLifeBalance]]=1,"Bad",IF(HR_Data[[#This Row],[WorkLifeBalance]]=2,"Good",IF(HR_Data[[#This Row],[WorkLifeBalance]]=3,"Better","Best")))</f>
        <v>Better</v>
      </c>
    </row>
    <row r="407" spans="1:42" x14ac:dyDescent="0.3">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c r="AJ407">
        <f>IF(HR_Data[[#This Row],[Attrition]]="Yes",1,0)</f>
        <v>1</v>
      </c>
      <c r="AK407">
        <f>IF(HR_Data[[#This Row],[Attrition]]="No",1,0)</f>
        <v>0</v>
      </c>
      <c r="AL407" t="str">
        <f>IF(HR_Data[[#This Row],[Age]]&lt;25,"Under 25",IF(HR_Data[[#This Row],[Age]]&lt;=34,"25-34",IF(HR_Data[[#This Row],[Age]]&lt;=44,"35-44",IF(HR_Data[[#This Row],[Age]]&lt;=54,"45-54","55+"))))</f>
        <v>25-34</v>
      </c>
      <c r="AM407" s="1" t="str">
        <f>IF(HR_Data[[#This Row],[MonthlyIncome]]&lt;3000,"Low Salary",IF(HR_Data[[#This Row],[MonthlyIncome]]&lt;=7000,"Medium Salary","High Salary"))</f>
        <v>Medium Salary</v>
      </c>
      <c r="AN407" s="1" t="str">
        <f>IF(HR_Data[[#This Row],[YearsAtCompany]]&lt;2,"0-1 Years",IF(HR_Data[[#This Row],[YearsAtCompany]]&lt;=5,"2-5 Years",IF(HR_Data[[#This Row],[YearsAtCompany]]&lt;=10,"6-10 Years","10+ Years")))</f>
        <v>2-5 Years</v>
      </c>
      <c r="AO407" s="1" t="str">
        <f>IF(HR_Data[[#This Row],[JobSatisfaction]]=1,"Low",IF(HR_Data[[#This Row],[JobSatisfaction]]=2,"Medium",IF(HR_Data[[#This Row],[JobSatisfaction]]=3,"High","Very High")))</f>
        <v>Low</v>
      </c>
      <c r="AP407" s="1" t="str">
        <f>IF(HR_Data[[#This Row],[WorkLifeBalance]]=1,"Bad",IF(HR_Data[[#This Row],[WorkLifeBalance]]=2,"Good",IF(HR_Data[[#This Row],[WorkLifeBalance]]=3,"Better","Best")))</f>
        <v>Better</v>
      </c>
    </row>
    <row r="408" spans="1:42" x14ac:dyDescent="0.3">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c r="AJ408">
        <f>IF(HR_Data[[#This Row],[Attrition]]="Yes",1,0)</f>
        <v>0</v>
      </c>
      <c r="AK408">
        <f>IF(HR_Data[[#This Row],[Attrition]]="No",1,0)</f>
        <v>1</v>
      </c>
      <c r="AL408" t="str">
        <f>IF(HR_Data[[#This Row],[Age]]&lt;25,"Under 25",IF(HR_Data[[#This Row],[Age]]&lt;=34,"25-34",IF(HR_Data[[#This Row],[Age]]&lt;=44,"35-44",IF(HR_Data[[#This Row],[Age]]&lt;=54,"45-54","55+"))))</f>
        <v>45-54</v>
      </c>
      <c r="AM408" s="1" t="str">
        <f>IF(HR_Data[[#This Row],[MonthlyIncome]]&lt;3000,"Low Salary",IF(HR_Data[[#This Row],[MonthlyIncome]]&lt;=7000,"Medium Salary","High Salary"))</f>
        <v>High Salary</v>
      </c>
      <c r="AN408" s="1" t="str">
        <f>IF(HR_Data[[#This Row],[YearsAtCompany]]&lt;2,"0-1 Years",IF(HR_Data[[#This Row],[YearsAtCompany]]&lt;=5,"2-5 Years",IF(HR_Data[[#This Row],[YearsAtCompany]]&lt;=10,"6-10 Years","10+ Years")))</f>
        <v>2-5 Years</v>
      </c>
      <c r="AO408" s="1" t="str">
        <f>IF(HR_Data[[#This Row],[JobSatisfaction]]=1,"Low",IF(HR_Data[[#This Row],[JobSatisfaction]]=2,"Medium",IF(HR_Data[[#This Row],[JobSatisfaction]]=3,"High","Very High")))</f>
        <v>High</v>
      </c>
      <c r="AP408" s="1" t="str">
        <f>IF(HR_Data[[#This Row],[WorkLifeBalance]]=1,"Bad",IF(HR_Data[[#This Row],[WorkLifeBalance]]=2,"Good",IF(HR_Data[[#This Row],[WorkLifeBalance]]=3,"Better","Best")))</f>
        <v>Better</v>
      </c>
    </row>
    <row r="409" spans="1:42" x14ac:dyDescent="0.3">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c r="AJ409">
        <f>IF(HR_Data[[#This Row],[Attrition]]="Yes",1,0)</f>
        <v>0</v>
      </c>
      <c r="AK409">
        <f>IF(HR_Data[[#This Row],[Attrition]]="No",1,0)</f>
        <v>1</v>
      </c>
      <c r="AL409" t="str">
        <f>IF(HR_Data[[#This Row],[Age]]&lt;25,"Under 25",IF(HR_Data[[#This Row],[Age]]&lt;=34,"25-34",IF(HR_Data[[#This Row],[Age]]&lt;=44,"35-44",IF(HR_Data[[#This Row],[Age]]&lt;=54,"45-54","55+"))))</f>
        <v>45-54</v>
      </c>
      <c r="AM409" s="1" t="str">
        <f>IF(HR_Data[[#This Row],[MonthlyIncome]]&lt;3000,"Low Salary",IF(HR_Data[[#This Row],[MonthlyIncome]]&lt;=7000,"Medium Salary","High Salary"))</f>
        <v>Low Salary</v>
      </c>
      <c r="AN409" s="1" t="str">
        <f>IF(HR_Data[[#This Row],[YearsAtCompany]]&lt;2,"0-1 Years",IF(HR_Data[[#This Row],[YearsAtCompany]]&lt;=5,"2-5 Years",IF(HR_Data[[#This Row],[YearsAtCompany]]&lt;=10,"6-10 Years","10+ Years")))</f>
        <v>2-5 Years</v>
      </c>
      <c r="AO409" s="1" t="str">
        <f>IF(HR_Data[[#This Row],[JobSatisfaction]]=1,"Low",IF(HR_Data[[#This Row],[JobSatisfaction]]=2,"Medium",IF(HR_Data[[#This Row],[JobSatisfaction]]=3,"High","Very High")))</f>
        <v>Very High</v>
      </c>
      <c r="AP409" s="1" t="str">
        <f>IF(HR_Data[[#This Row],[WorkLifeBalance]]=1,"Bad",IF(HR_Data[[#This Row],[WorkLifeBalance]]=2,"Good",IF(HR_Data[[#This Row],[WorkLifeBalance]]=3,"Better","Best")))</f>
        <v>Good</v>
      </c>
    </row>
    <row r="410" spans="1:42" x14ac:dyDescent="0.3">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c r="AJ410">
        <f>IF(HR_Data[[#This Row],[Attrition]]="Yes",1,0)</f>
        <v>0</v>
      </c>
      <c r="AK410">
        <f>IF(HR_Data[[#This Row],[Attrition]]="No",1,0)</f>
        <v>1</v>
      </c>
      <c r="AL410" t="str">
        <f>IF(HR_Data[[#This Row],[Age]]&lt;25,"Under 25",IF(HR_Data[[#This Row],[Age]]&lt;=34,"25-34",IF(HR_Data[[#This Row],[Age]]&lt;=44,"35-44",IF(HR_Data[[#This Row],[Age]]&lt;=54,"45-54","55+"))))</f>
        <v>45-54</v>
      </c>
      <c r="AM410" s="1" t="str">
        <f>IF(HR_Data[[#This Row],[MonthlyIncome]]&lt;3000,"Low Salary",IF(HR_Data[[#This Row],[MonthlyIncome]]&lt;=7000,"Medium Salary","High Salary"))</f>
        <v>High Salary</v>
      </c>
      <c r="AN410" s="1" t="str">
        <f>IF(HR_Data[[#This Row],[YearsAtCompany]]&lt;2,"0-1 Years",IF(HR_Data[[#This Row],[YearsAtCompany]]&lt;=5,"2-5 Years",IF(HR_Data[[#This Row],[YearsAtCompany]]&lt;=10,"6-10 Years","10+ Years")))</f>
        <v>2-5 Years</v>
      </c>
      <c r="AO410" s="1" t="str">
        <f>IF(HR_Data[[#This Row],[JobSatisfaction]]=1,"Low",IF(HR_Data[[#This Row],[JobSatisfaction]]=2,"Medium",IF(HR_Data[[#This Row],[JobSatisfaction]]=3,"High","Very High")))</f>
        <v>Very High</v>
      </c>
      <c r="AP410" s="1" t="str">
        <f>IF(HR_Data[[#This Row],[WorkLifeBalance]]=1,"Bad",IF(HR_Data[[#This Row],[WorkLifeBalance]]=2,"Good",IF(HR_Data[[#This Row],[WorkLifeBalance]]=3,"Better","Best")))</f>
        <v>Bad</v>
      </c>
    </row>
    <row r="411" spans="1:42" x14ac:dyDescent="0.3">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c r="AJ411">
        <f>IF(HR_Data[[#This Row],[Attrition]]="Yes",1,0)</f>
        <v>0</v>
      </c>
      <c r="AK411">
        <f>IF(HR_Data[[#This Row],[Attrition]]="No",1,0)</f>
        <v>1</v>
      </c>
      <c r="AL411" t="str">
        <f>IF(HR_Data[[#This Row],[Age]]&lt;25,"Under 25",IF(HR_Data[[#This Row],[Age]]&lt;=34,"25-34",IF(HR_Data[[#This Row],[Age]]&lt;=44,"35-44",IF(HR_Data[[#This Row],[Age]]&lt;=54,"45-54","55+"))))</f>
        <v>35-44</v>
      </c>
      <c r="AM411" s="1" t="str">
        <f>IF(HR_Data[[#This Row],[MonthlyIncome]]&lt;3000,"Low Salary",IF(HR_Data[[#This Row],[MonthlyIncome]]&lt;=7000,"Medium Salary","High Salary"))</f>
        <v>Medium Salary</v>
      </c>
      <c r="AN411" s="1" t="str">
        <f>IF(HR_Data[[#This Row],[YearsAtCompany]]&lt;2,"0-1 Years",IF(HR_Data[[#This Row],[YearsAtCompany]]&lt;=5,"2-5 Years",IF(HR_Data[[#This Row],[YearsAtCompany]]&lt;=10,"6-10 Years","10+ Years")))</f>
        <v>2-5 Years</v>
      </c>
      <c r="AO411" s="1" t="str">
        <f>IF(HR_Data[[#This Row],[JobSatisfaction]]=1,"Low",IF(HR_Data[[#This Row],[JobSatisfaction]]=2,"Medium",IF(HR_Data[[#This Row],[JobSatisfaction]]=3,"High","Very High")))</f>
        <v>High</v>
      </c>
      <c r="AP411" s="1" t="str">
        <f>IF(HR_Data[[#This Row],[WorkLifeBalance]]=1,"Bad",IF(HR_Data[[#This Row],[WorkLifeBalance]]=2,"Good",IF(HR_Data[[#This Row],[WorkLifeBalance]]=3,"Better","Best")))</f>
        <v>Better</v>
      </c>
    </row>
    <row r="412" spans="1:42" x14ac:dyDescent="0.3">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c r="AJ412">
        <f>IF(HR_Data[[#This Row],[Attrition]]="Yes",1,0)</f>
        <v>0</v>
      </c>
      <c r="AK412">
        <f>IF(HR_Data[[#This Row],[Attrition]]="No",1,0)</f>
        <v>1</v>
      </c>
      <c r="AL412" t="str">
        <f>IF(HR_Data[[#This Row],[Age]]&lt;25,"Under 25",IF(HR_Data[[#This Row],[Age]]&lt;=34,"25-34",IF(HR_Data[[#This Row],[Age]]&lt;=44,"35-44",IF(HR_Data[[#This Row],[Age]]&lt;=54,"45-54","55+"))))</f>
        <v>25-34</v>
      </c>
      <c r="AM412" s="1" t="str">
        <f>IF(HR_Data[[#This Row],[MonthlyIncome]]&lt;3000,"Low Salary",IF(HR_Data[[#This Row],[MonthlyIncome]]&lt;=7000,"Medium Salary","High Salary"))</f>
        <v>Medium Salary</v>
      </c>
      <c r="AN412" s="1" t="str">
        <f>IF(HR_Data[[#This Row],[YearsAtCompany]]&lt;2,"0-1 Years",IF(HR_Data[[#This Row],[YearsAtCompany]]&lt;=5,"2-5 Years",IF(HR_Data[[#This Row],[YearsAtCompany]]&lt;=10,"6-10 Years","10+ Years")))</f>
        <v>2-5 Years</v>
      </c>
      <c r="AO412" s="1" t="str">
        <f>IF(HR_Data[[#This Row],[JobSatisfaction]]=1,"Low",IF(HR_Data[[#This Row],[JobSatisfaction]]=2,"Medium",IF(HR_Data[[#This Row],[JobSatisfaction]]=3,"High","Very High")))</f>
        <v>Very High</v>
      </c>
      <c r="AP412" s="1" t="str">
        <f>IF(HR_Data[[#This Row],[WorkLifeBalance]]=1,"Bad",IF(HR_Data[[#This Row],[WorkLifeBalance]]=2,"Good",IF(HR_Data[[#This Row],[WorkLifeBalance]]=3,"Better","Best")))</f>
        <v>Better</v>
      </c>
    </row>
    <row r="413" spans="1:42" x14ac:dyDescent="0.3">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c r="AJ413">
        <f>IF(HR_Data[[#This Row],[Attrition]]="Yes",1,0)</f>
        <v>0</v>
      </c>
      <c r="AK413">
        <f>IF(HR_Data[[#This Row],[Attrition]]="No",1,0)</f>
        <v>1</v>
      </c>
      <c r="AL413" t="str">
        <f>IF(HR_Data[[#This Row],[Age]]&lt;25,"Under 25",IF(HR_Data[[#This Row],[Age]]&lt;=34,"25-34",IF(HR_Data[[#This Row],[Age]]&lt;=44,"35-44",IF(HR_Data[[#This Row],[Age]]&lt;=54,"45-54","55+"))))</f>
        <v>55+</v>
      </c>
      <c r="AM413" s="1" t="str">
        <f>IF(HR_Data[[#This Row],[MonthlyIncome]]&lt;3000,"Low Salary",IF(HR_Data[[#This Row],[MonthlyIncome]]&lt;=7000,"Medium Salary","High Salary"))</f>
        <v>High Salary</v>
      </c>
      <c r="AN413" s="1" t="str">
        <f>IF(HR_Data[[#This Row],[YearsAtCompany]]&lt;2,"0-1 Years",IF(HR_Data[[#This Row],[YearsAtCompany]]&lt;=5,"2-5 Years",IF(HR_Data[[#This Row],[YearsAtCompany]]&lt;=10,"6-10 Years","10+ Years")))</f>
        <v>10+ Years</v>
      </c>
      <c r="AO413" s="1" t="str">
        <f>IF(HR_Data[[#This Row],[JobSatisfaction]]=1,"Low",IF(HR_Data[[#This Row],[JobSatisfaction]]=2,"Medium",IF(HR_Data[[#This Row],[JobSatisfaction]]=3,"High","Very High")))</f>
        <v>Low</v>
      </c>
      <c r="AP413" s="1" t="str">
        <f>IF(HR_Data[[#This Row],[WorkLifeBalance]]=1,"Bad",IF(HR_Data[[#This Row],[WorkLifeBalance]]=2,"Good",IF(HR_Data[[#This Row],[WorkLifeBalance]]=3,"Better","Best")))</f>
        <v>Bad</v>
      </c>
    </row>
    <row r="414" spans="1:42" x14ac:dyDescent="0.3">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c r="AJ414">
        <f>IF(HR_Data[[#This Row],[Attrition]]="Yes",1,0)</f>
        <v>0</v>
      </c>
      <c r="AK414">
        <f>IF(HR_Data[[#This Row],[Attrition]]="No",1,0)</f>
        <v>1</v>
      </c>
      <c r="AL414" t="str">
        <f>IF(HR_Data[[#This Row],[Age]]&lt;25,"Under 25",IF(HR_Data[[#This Row],[Age]]&lt;=34,"25-34",IF(HR_Data[[#This Row],[Age]]&lt;=44,"35-44",IF(HR_Data[[#This Row],[Age]]&lt;=54,"45-54","55+"))))</f>
        <v>45-54</v>
      </c>
      <c r="AM414" s="1" t="str">
        <f>IF(HR_Data[[#This Row],[MonthlyIncome]]&lt;3000,"Low Salary",IF(HR_Data[[#This Row],[MonthlyIncome]]&lt;=7000,"Medium Salary","High Salary"))</f>
        <v>Medium Salary</v>
      </c>
      <c r="AN414" s="1" t="str">
        <f>IF(HR_Data[[#This Row],[YearsAtCompany]]&lt;2,"0-1 Years",IF(HR_Data[[#This Row],[YearsAtCompany]]&lt;=5,"2-5 Years",IF(HR_Data[[#This Row],[YearsAtCompany]]&lt;=10,"6-10 Years","10+ Years")))</f>
        <v>6-10 Years</v>
      </c>
      <c r="AO414" s="1" t="str">
        <f>IF(HR_Data[[#This Row],[JobSatisfaction]]=1,"Low",IF(HR_Data[[#This Row],[JobSatisfaction]]=2,"Medium",IF(HR_Data[[#This Row],[JobSatisfaction]]=3,"High","Very High")))</f>
        <v>High</v>
      </c>
      <c r="AP414" s="1" t="str">
        <f>IF(HR_Data[[#This Row],[WorkLifeBalance]]=1,"Bad",IF(HR_Data[[#This Row],[WorkLifeBalance]]=2,"Good",IF(HR_Data[[#This Row],[WorkLifeBalance]]=3,"Better","Best")))</f>
        <v>Good</v>
      </c>
    </row>
    <row r="415" spans="1:42" x14ac:dyDescent="0.3">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c r="AJ415">
        <f>IF(HR_Data[[#This Row],[Attrition]]="Yes",1,0)</f>
        <v>0</v>
      </c>
      <c r="AK415">
        <f>IF(HR_Data[[#This Row],[Attrition]]="No",1,0)</f>
        <v>1</v>
      </c>
      <c r="AL415" t="str">
        <f>IF(HR_Data[[#This Row],[Age]]&lt;25,"Under 25",IF(HR_Data[[#This Row],[Age]]&lt;=34,"25-34",IF(HR_Data[[#This Row],[Age]]&lt;=44,"35-44",IF(HR_Data[[#This Row],[Age]]&lt;=54,"45-54","55+"))))</f>
        <v>35-44</v>
      </c>
      <c r="AM415" s="1" t="str">
        <f>IF(HR_Data[[#This Row],[MonthlyIncome]]&lt;3000,"Low Salary",IF(HR_Data[[#This Row],[MonthlyIncome]]&lt;=7000,"Medium Salary","High Salary"))</f>
        <v>Medium Salary</v>
      </c>
      <c r="AN415" s="1" t="str">
        <f>IF(HR_Data[[#This Row],[YearsAtCompany]]&lt;2,"0-1 Years",IF(HR_Data[[#This Row],[YearsAtCompany]]&lt;=5,"2-5 Years",IF(HR_Data[[#This Row],[YearsAtCompany]]&lt;=10,"6-10 Years","10+ Years")))</f>
        <v>6-10 Years</v>
      </c>
      <c r="AO415" s="1" t="str">
        <f>IF(HR_Data[[#This Row],[JobSatisfaction]]=1,"Low",IF(HR_Data[[#This Row],[JobSatisfaction]]=2,"Medium",IF(HR_Data[[#This Row],[JobSatisfaction]]=3,"High","Very High")))</f>
        <v>Very High</v>
      </c>
      <c r="AP415" s="1" t="str">
        <f>IF(HR_Data[[#This Row],[WorkLifeBalance]]=1,"Bad",IF(HR_Data[[#This Row],[WorkLifeBalance]]=2,"Good",IF(HR_Data[[#This Row],[WorkLifeBalance]]=3,"Better","Best")))</f>
        <v>Best</v>
      </c>
    </row>
    <row r="416" spans="1:42" x14ac:dyDescent="0.3">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c r="AJ416">
        <f>IF(HR_Data[[#This Row],[Attrition]]="Yes",1,0)</f>
        <v>1</v>
      </c>
      <c r="AK416">
        <f>IF(HR_Data[[#This Row],[Attrition]]="No",1,0)</f>
        <v>0</v>
      </c>
      <c r="AL416" t="str">
        <f>IF(HR_Data[[#This Row],[Age]]&lt;25,"Under 25",IF(HR_Data[[#This Row],[Age]]&lt;=34,"25-34",IF(HR_Data[[#This Row],[Age]]&lt;=44,"35-44",IF(HR_Data[[#This Row],[Age]]&lt;=54,"45-54","55+"))))</f>
        <v>Under 25</v>
      </c>
      <c r="AM416" s="1" t="str">
        <f>IF(HR_Data[[#This Row],[MonthlyIncome]]&lt;3000,"Low Salary",IF(HR_Data[[#This Row],[MonthlyIncome]]&lt;=7000,"Medium Salary","High Salary"))</f>
        <v>Medium Salary</v>
      </c>
      <c r="AN416" s="1" t="str">
        <f>IF(HR_Data[[#This Row],[YearsAtCompany]]&lt;2,"0-1 Years",IF(HR_Data[[#This Row],[YearsAtCompany]]&lt;=5,"2-5 Years",IF(HR_Data[[#This Row],[YearsAtCompany]]&lt;=10,"6-10 Years","10+ Years")))</f>
        <v>2-5 Years</v>
      </c>
      <c r="AO416" s="1" t="str">
        <f>IF(HR_Data[[#This Row],[JobSatisfaction]]=1,"Low",IF(HR_Data[[#This Row],[JobSatisfaction]]=2,"Medium",IF(HR_Data[[#This Row],[JobSatisfaction]]=3,"High","Very High")))</f>
        <v>Medium</v>
      </c>
      <c r="AP416" s="1" t="str">
        <f>IF(HR_Data[[#This Row],[WorkLifeBalance]]=1,"Bad",IF(HR_Data[[#This Row],[WorkLifeBalance]]=2,"Good",IF(HR_Data[[#This Row],[WorkLifeBalance]]=3,"Better","Best")))</f>
        <v>Better</v>
      </c>
    </row>
    <row r="417" spans="1:42" x14ac:dyDescent="0.3">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c r="AJ417">
        <f>IF(HR_Data[[#This Row],[Attrition]]="Yes",1,0)</f>
        <v>1</v>
      </c>
      <c r="AK417">
        <f>IF(HR_Data[[#This Row],[Attrition]]="No",1,0)</f>
        <v>0</v>
      </c>
      <c r="AL417" t="str">
        <f>IF(HR_Data[[#This Row],[Age]]&lt;25,"Under 25",IF(HR_Data[[#This Row],[Age]]&lt;=34,"25-34",IF(HR_Data[[#This Row],[Age]]&lt;=44,"35-44",IF(HR_Data[[#This Row],[Age]]&lt;=54,"45-54","55+"))))</f>
        <v>25-34</v>
      </c>
      <c r="AM417" s="1" t="str">
        <f>IF(HR_Data[[#This Row],[MonthlyIncome]]&lt;3000,"Low Salary",IF(HR_Data[[#This Row],[MonthlyIncome]]&lt;=7000,"Medium Salary","High Salary"))</f>
        <v>Low Salary</v>
      </c>
      <c r="AN417" s="1" t="str">
        <f>IF(HR_Data[[#This Row],[YearsAtCompany]]&lt;2,"0-1 Years",IF(HR_Data[[#This Row],[YearsAtCompany]]&lt;=5,"2-5 Years",IF(HR_Data[[#This Row],[YearsAtCompany]]&lt;=10,"6-10 Years","10+ Years")))</f>
        <v>2-5 Years</v>
      </c>
      <c r="AO417" s="1" t="str">
        <f>IF(HR_Data[[#This Row],[JobSatisfaction]]=1,"Low",IF(HR_Data[[#This Row],[JobSatisfaction]]=2,"Medium",IF(HR_Data[[#This Row],[JobSatisfaction]]=3,"High","Very High")))</f>
        <v>High</v>
      </c>
      <c r="AP417" s="1" t="str">
        <f>IF(HR_Data[[#This Row],[WorkLifeBalance]]=1,"Bad",IF(HR_Data[[#This Row],[WorkLifeBalance]]=2,"Good",IF(HR_Data[[#This Row],[WorkLifeBalance]]=3,"Better","Best")))</f>
        <v>Good</v>
      </c>
    </row>
    <row r="418" spans="1:42" x14ac:dyDescent="0.3">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c r="AJ418">
        <f>IF(HR_Data[[#This Row],[Attrition]]="Yes",1,0)</f>
        <v>0</v>
      </c>
      <c r="AK418">
        <f>IF(HR_Data[[#This Row],[Attrition]]="No",1,0)</f>
        <v>1</v>
      </c>
      <c r="AL418" t="str">
        <f>IF(HR_Data[[#This Row],[Age]]&lt;25,"Under 25",IF(HR_Data[[#This Row],[Age]]&lt;=34,"25-34",IF(HR_Data[[#This Row],[Age]]&lt;=44,"35-44",IF(HR_Data[[#This Row],[Age]]&lt;=54,"45-54","55+"))))</f>
        <v>35-44</v>
      </c>
      <c r="AM418" s="1" t="str">
        <f>IF(HR_Data[[#This Row],[MonthlyIncome]]&lt;3000,"Low Salary",IF(HR_Data[[#This Row],[MonthlyIncome]]&lt;=7000,"Medium Salary","High Salary"))</f>
        <v>Low Salary</v>
      </c>
      <c r="AN418" s="1" t="str">
        <f>IF(HR_Data[[#This Row],[YearsAtCompany]]&lt;2,"0-1 Years",IF(HR_Data[[#This Row],[YearsAtCompany]]&lt;=5,"2-5 Years",IF(HR_Data[[#This Row],[YearsAtCompany]]&lt;=10,"6-10 Years","10+ Years")))</f>
        <v>0-1 Years</v>
      </c>
      <c r="AO418" s="1" t="str">
        <f>IF(HR_Data[[#This Row],[JobSatisfaction]]=1,"Low",IF(HR_Data[[#This Row],[JobSatisfaction]]=2,"Medium",IF(HR_Data[[#This Row],[JobSatisfaction]]=3,"High","Very High")))</f>
        <v>Very High</v>
      </c>
      <c r="AP418" s="1" t="str">
        <f>IF(HR_Data[[#This Row],[WorkLifeBalance]]=1,"Bad",IF(HR_Data[[#This Row],[WorkLifeBalance]]=2,"Good",IF(HR_Data[[#This Row],[WorkLifeBalance]]=3,"Better","Best")))</f>
        <v>Better</v>
      </c>
    </row>
    <row r="419" spans="1:42" x14ac:dyDescent="0.3">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c r="AJ419">
        <f>IF(HR_Data[[#This Row],[Attrition]]="Yes",1,0)</f>
        <v>0</v>
      </c>
      <c r="AK419">
        <f>IF(HR_Data[[#This Row],[Attrition]]="No",1,0)</f>
        <v>1</v>
      </c>
      <c r="AL419" t="str">
        <f>IF(HR_Data[[#This Row],[Age]]&lt;25,"Under 25",IF(HR_Data[[#This Row],[Age]]&lt;=34,"25-34",IF(HR_Data[[#This Row],[Age]]&lt;=44,"35-44",IF(HR_Data[[#This Row],[Age]]&lt;=54,"45-54","55+"))))</f>
        <v>35-44</v>
      </c>
      <c r="AM419" s="1" t="str">
        <f>IF(HR_Data[[#This Row],[MonthlyIncome]]&lt;3000,"Low Salary",IF(HR_Data[[#This Row],[MonthlyIncome]]&lt;=7000,"Medium Salary","High Salary"))</f>
        <v>High Salary</v>
      </c>
      <c r="AN419" s="1" t="str">
        <f>IF(HR_Data[[#This Row],[YearsAtCompany]]&lt;2,"0-1 Years",IF(HR_Data[[#This Row],[YearsAtCompany]]&lt;=5,"2-5 Years",IF(HR_Data[[#This Row],[YearsAtCompany]]&lt;=10,"6-10 Years","10+ Years")))</f>
        <v>10+ Years</v>
      </c>
      <c r="AO419" s="1" t="str">
        <f>IF(HR_Data[[#This Row],[JobSatisfaction]]=1,"Low",IF(HR_Data[[#This Row],[JobSatisfaction]]=2,"Medium",IF(HR_Data[[#This Row],[JobSatisfaction]]=3,"High","Very High")))</f>
        <v>High</v>
      </c>
      <c r="AP419" s="1" t="str">
        <f>IF(HR_Data[[#This Row],[WorkLifeBalance]]=1,"Bad",IF(HR_Data[[#This Row],[WorkLifeBalance]]=2,"Good",IF(HR_Data[[#This Row],[WorkLifeBalance]]=3,"Better","Best")))</f>
        <v>Better</v>
      </c>
    </row>
    <row r="420" spans="1:42" x14ac:dyDescent="0.3">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c r="AJ420">
        <f>IF(HR_Data[[#This Row],[Attrition]]="Yes",1,0)</f>
        <v>0</v>
      </c>
      <c r="AK420">
        <f>IF(HR_Data[[#This Row],[Attrition]]="No",1,0)</f>
        <v>1</v>
      </c>
      <c r="AL420" t="str">
        <f>IF(HR_Data[[#This Row],[Age]]&lt;25,"Under 25",IF(HR_Data[[#This Row],[Age]]&lt;=34,"25-34",IF(HR_Data[[#This Row],[Age]]&lt;=44,"35-44",IF(HR_Data[[#This Row],[Age]]&lt;=54,"45-54","55+"))))</f>
        <v>25-34</v>
      </c>
      <c r="AM420" s="1" t="str">
        <f>IF(HR_Data[[#This Row],[MonthlyIncome]]&lt;3000,"Low Salary",IF(HR_Data[[#This Row],[MonthlyIncome]]&lt;=7000,"Medium Salary","High Salary"))</f>
        <v>Low Salary</v>
      </c>
      <c r="AN420" s="1" t="str">
        <f>IF(HR_Data[[#This Row],[YearsAtCompany]]&lt;2,"0-1 Years",IF(HR_Data[[#This Row],[YearsAtCompany]]&lt;=5,"2-5 Years",IF(HR_Data[[#This Row],[YearsAtCompany]]&lt;=10,"6-10 Years","10+ Years")))</f>
        <v>2-5 Years</v>
      </c>
      <c r="AO420" s="1" t="str">
        <f>IF(HR_Data[[#This Row],[JobSatisfaction]]=1,"Low",IF(HR_Data[[#This Row],[JobSatisfaction]]=2,"Medium",IF(HR_Data[[#This Row],[JobSatisfaction]]=3,"High","Very High")))</f>
        <v>Very High</v>
      </c>
      <c r="AP420" s="1" t="str">
        <f>IF(HR_Data[[#This Row],[WorkLifeBalance]]=1,"Bad",IF(HR_Data[[#This Row],[WorkLifeBalance]]=2,"Good",IF(HR_Data[[#This Row],[WorkLifeBalance]]=3,"Better","Best")))</f>
        <v>Bad</v>
      </c>
    </row>
    <row r="421" spans="1:42" x14ac:dyDescent="0.3">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c r="AJ421">
        <f>IF(HR_Data[[#This Row],[Attrition]]="Yes",1,0)</f>
        <v>0</v>
      </c>
      <c r="AK421">
        <f>IF(HR_Data[[#This Row],[Attrition]]="No",1,0)</f>
        <v>1</v>
      </c>
      <c r="AL421" t="str">
        <f>IF(HR_Data[[#This Row],[Age]]&lt;25,"Under 25",IF(HR_Data[[#This Row],[Age]]&lt;=34,"25-34",IF(HR_Data[[#This Row],[Age]]&lt;=44,"35-44",IF(HR_Data[[#This Row],[Age]]&lt;=54,"45-54","55+"))))</f>
        <v>25-34</v>
      </c>
      <c r="AM421" s="1" t="str">
        <f>IF(HR_Data[[#This Row],[MonthlyIncome]]&lt;3000,"Low Salary",IF(HR_Data[[#This Row],[MonthlyIncome]]&lt;=7000,"Medium Salary","High Salary"))</f>
        <v>Low Salary</v>
      </c>
      <c r="AN421" s="1" t="str">
        <f>IF(HR_Data[[#This Row],[YearsAtCompany]]&lt;2,"0-1 Years",IF(HR_Data[[#This Row],[YearsAtCompany]]&lt;=5,"2-5 Years",IF(HR_Data[[#This Row],[YearsAtCompany]]&lt;=10,"6-10 Years","10+ Years")))</f>
        <v>2-5 Years</v>
      </c>
      <c r="AO421" s="1" t="str">
        <f>IF(HR_Data[[#This Row],[JobSatisfaction]]=1,"Low",IF(HR_Data[[#This Row],[JobSatisfaction]]=2,"Medium",IF(HR_Data[[#This Row],[JobSatisfaction]]=3,"High","Very High")))</f>
        <v>Very High</v>
      </c>
      <c r="AP421" s="1" t="str">
        <f>IF(HR_Data[[#This Row],[WorkLifeBalance]]=1,"Bad",IF(HR_Data[[#This Row],[WorkLifeBalance]]=2,"Good",IF(HR_Data[[#This Row],[WorkLifeBalance]]=3,"Better","Best")))</f>
        <v>Bad</v>
      </c>
    </row>
    <row r="422" spans="1:42" x14ac:dyDescent="0.3">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c r="AJ422">
        <f>IF(HR_Data[[#This Row],[Attrition]]="Yes",1,0)</f>
        <v>0</v>
      </c>
      <c r="AK422">
        <f>IF(HR_Data[[#This Row],[Attrition]]="No",1,0)</f>
        <v>1</v>
      </c>
      <c r="AL422" t="str">
        <f>IF(HR_Data[[#This Row],[Age]]&lt;25,"Under 25",IF(HR_Data[[#This Row],[Age]]&lt;=34,"25-34",IF(HR_Data[[#This Row],[Age]]&lt;=44,"35-44",IF(HR_Data[[#This Row],[Age]]&lt;=54,"45-54","55+"))))</f>
        <v>25-34</v>
      </c>
      <c r="AM422" s="1" t="str">
        <f>IF(HR_Data[[#This Row],[MonthlyIncome]]&lt;3000,"Low Salary",IF(HR_Data[[#This Row],[MonthlyIncome]]&lt;=7000,"Medium Salary","High Salary"))</f>
        <v>High Salary</v>
      </c>
      <c r="AN422" s="1" t="str">
        <f>IF(HR_Data[[#This Row],[YearsAtCompany]]&lt;2,"0-1 Years",IF(HR_Data[[#This Row],[YearsAtCompany]]&lt;=5,"2-5 Years",IF(HR_Data[[#This Row],[YearsAtCompany]]&lt;=10,"6-10 Years","10+ Years")))</f>
        <v>6-10 Years</v>
      </c>
      <c r="AO422" s="1" t="str">
        <f>IF(HR_Data[[#This Row],[JobSatisfaction]]=1,"Low",IF(HR_Data[[#This Row],[JobSatisfaction]]=2,"Medium",IF(HR_Data[[#This Row],[JobSatisfaction]]=3,"High","Very High")))</f>
        <v>High</v>
      </c>
      <c r="AP422" s="1" t="str">
        <f>IF(HR_Data[[#This Row],[WorkLifeBalance]]=1,"Bad",IF(HR_Data[[#This Row],[WorkLifeBalance]]=2,"Good",IF(HR_Data[[#This Row],[WorkLifeBalance]]=3,"Better","Best")))</f>
        <v>Better</v>
      </c>
    </row>
    <row r="423" spans="1:42" x14ac:dyDescent="0.3">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c r="AJ423">
        <f>IF(HR_Data[[#This Row],[Attrition]]="Yes",1,0)</f>
        <v>1</v>
      </c>
      <c r="AK423">
        <f>IF(HR_Data[[#This Row],[Attrition]]="No",1,0)</f>
        <v>0</v>
      </c>
      <c r="AL423" t="str">
        <f>IF(HR_Data[[#This Row],[Age]]&lt;25,"Under 25",IF(HR_Data[[#This Row],[Age]]&lt;=34,"25-34",IF(HR_Data[[#This Row],[Age]]&lt;=44,"35-44",IF(HR_Data[[#This Row],[Age]]&lt;=54,"45-54","55+"))))</f>
        <v>25-34</v>
      </c>
      <c r="AM423" s="1" t="str">
        <f>IF(HR_Data[[#This Row],[MonthlyIncome]]&lt;3000,"Low Salary",IF(HR_Data[[#This Row],[MonthlyIncome]]&lt;=7000,"Medium Salary","High Salary"))</f>
        <v>Low Salary</v>
      </c>
      <c r="AN423" s="1" t="str">
        <f>IF(HR_Data[[#This Row],[YearsAtCompany]]&lt;2,"0-1 Years",IF(HR_Data[[#This Row],[YearsAtCompany]]&lt;=5,"2-5 Years",IF(HR_Data[[#This Row],[YearsAtCompany]]&lt;=10,"6-10 Years","10+ Years")))</f>
        <v>2-5 Years</v>
      </c>
      <c r="AO423" s="1" t="str">
        <f>IF(HR_Data[[#This Row],[JobSatisfaction]]=1,"Low",IF(HR_Data[[#This Row],[JobSatisfaction]]=2,"Medium",IF(HR_Data[[#This Row],[JobSatisfaction]]=3,"High","Very High")))</f>
        <v>Medium</v>
      </c>
      <c r="AP423" s="1" t="str">
        <f>IF(HR_Data[[#This Row],[WorkLifeBalance]]=1,"Bad",IF(HR_Data[[#This Row],[WorkLifeBalance]]=2,"Good",IF(HR_Data[[#This Row],[WorkLifeBalance]]=3,"Better","Best")))</f>
        <v>Best</v>
      </c>
    </row>
    <row r="424" spans="1:42" x14ac:dyDescent="0.3">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c r="AJ424">
        <f>IF(HR_Data[[#This Row],[Attrition]]="Yes",1,0)</f>
        <v>1</v>
      </c>
      <c r="AK424">
        <f>IF(HR_Data[[#This Row],[Attrition]]="No",1,0)</f>
        <v>0</v>
      </c>
      <c r="AL424" t="str">
        <f>IF(HR_Data[[#This Row],[Age]]&lt;25,"Under 25",IF(HR_Data[[#This Row],[Age]]&lt;=34,"25-34",IF(HR_Data[[#This Row],[Age]]&lt;=44,"35-44",IF(HR_Data[[#This Row],[Age]]&lt;=54,"45-54","55+"))))</f>
        <v>Under 25</v>
      </c>
      <c r="AM424" s="1" t="str">
        <f>IF(HR_Data[[#This Row],[MonthlyIncome]]&lt;3000,"Low Salary",IF(HR_Data[[#This Row],[MonthlyIncome]]&lt;=7000,"Medium Salary","High Salary"))</f>
        <v>Low Salary</v>
      </c>
      <c r="AN424" s="1" t="str">
        <f>IF(HR_Data[[#This Row],[YearsAtCompany]]&lt;2,"0-1 Years",IF(HR_Data[[#This Row],[YearsAtCompany]]&lt;=5,"2-5 Years",IF(HR_Data[[#This Row],[YearsAtCompany]]&lt;=10,"6-10 Years","10+ Years")))</f>
        <v>0-1 Years</v>
      </c>
      <c r="AO424" s="1" t="str">
        <f>IF(HR_Data[[#This Row],[JobSatisfaction]]=1,"Low",IF(HR_Data[[#This Row],[JobSatisfaction]]=2,"Medium",IF(HR_Data[[#This Row],[JobSatisfaction]]=3,"High","Very High")))</f>
        <v>Very High</v>
      </c>
      <c r="AP424" s="1" t="str">
        <f>IF(HR_Data[[#This Row],[WorkLifeBalance]]=1,"Bad",IF(HR_Data[[#This Row],[WorkLifeBalance]]=2,"Good",IF(HR_Data[[#This Row],[WorkLifeBalance]]=3,"Better","Best")))</f>
        <v>Best</v>
      </c>
    </row>
    <row r="425" spans="1:42" x14ac:dyDescent="0.3">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c r="AJ425">
        <f>IF(HR_Data[[#This Row],[Attrition]]="Yes",1,0)</f>
        <v>0</v>
      </c>
      <c r="AK425">
        <f>IF(HR_Data[[#This Row],[Attrition]]="No",1,0)</f>
        <v>1</v>
      </c>
      <c r="AL425" t="str">
        <f>IF(HR_Data[[#This Row],[Age]]&lt;25,"Under 25",IF(HR_Data[[#This Row],[Age]]&lt;=34,"25-34",IF(HR_Data[[#This Row],[Age]]&lt;=44,"35-44",IF(HR_Data[[#This Row],[Age]]&lt;=54,"45-54","55+"))))</f>
        <v>25-34</v>
      </c>
      <c r="AM425" s="1" t="str">
        <f>IF(HR_Data[[#This Row],[MonthlyIncome]]&lt;3000,"Low Salary",IF(HR_Data[[#This Row],[MonthlyIncome]]&lt;=7000,"Medium Salary","High Salary"))</f>
        <v>High Salary</v>
      </c>
      <c r="AN425" s="1" t="str">
        <f>IF(HR_Data[[#This Row],[YearsAtCompany]]&lt;2,"0-1 Years",IF(HR_Data[[#This Row],[YearsAtCompany]]&lt;=5,"2-5 Years",IF(HR_Data[[#This Row],[YearsAtCompany]]&lt;=10,"6-10 Years","10+ Years")))</f>
        <v>6-10 Years</v>
      </c>
      <c r="AO425" s="1" t="str">
        <f>IF(HR_Data[[#This Row],[JobSatisfaction]]=1,"Low",IF(HR_Data[[#This Row],[JobSatisfaction]]=2,"Medium",IF(HR_Data[[#This Row],[JobSatisfaction]]=3,"High","Very High")))</f>
        <v>Low</v>
      </c>
      <c r="AP425" s="1" t="str">
        <f>IF(HR_Data[[#This Row],[WorkLifeBalance]]=1,"Bad",IF(HR_Data[[#This Row],[WorkLifeBalance]]=2,"Good",IF(HR_Data[[#This Row],[WorkLifeBalance]]=3,"Better","Best")))</f>
        <v>Better</v>
      </c>
    </row>
    <row r="426" spans="1:42" x14ac:dyDescent="0.3">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c r="AJ426">
        <f>IF(HR_Data[[#This Row],[Attrition]]="Yes",1,0)</f>
        <v>0</v>
      </c>
      <c r="AK426">
        <f>IF(HR_Data[[#This Row],[Attrition]]="No",1,0)</f>
        <v>1</v>
      </c>
      <c r="AL426" t="str">
        <f>IF(HR_Data[[#This Row],[Age]]&lt;25,"Under 25",IF(HR_Data[[#This Row],[Age]]&lt;=34,"25-34",IF(HR_Data[[#This Row],[Age]]&lt;=44,"35-44",IF(HR_Data[[#This Row],[Age]]&lt;=54,"45-54","55+"))))</f>
        <v>55+</v>
      </c>
      <c r="AM426" s="1" t="str">
        <f>IF(HR_Data[[#This Row],[MonthlyIncome]]&lt;3000,"Low Salary",IF(HR_Data[[#This Row],[MonthlyIncome]]&lt;=7000,"Medium Salary","High Salary"))</f>
        <v>High Salary</v>
      </c>
      <c r="AN426" s="1" t="str">
        <f>IF(HR_Data[[#This Row],[YearsAtCompany]]&lt;2,"0-1 Years",IF(HR_Data[[#This Row],[YearsAtCompany]]&lt;=5,"2-5 Years",IF(HR_Data[[#This Row],[YearsAtCompany]]&lt;=10,"6-10 Years","10+ Years")))</f>
        <v>0-1 Years</v>
      </c>
      <c r="AO426" s="1" t="str">
        <f>IF(HR_Data[[#This Row],[JobSatisfaction]]=1,"Low",IF(HR_Data[[#This Row],[JobSatisfaction]]=2,"Medium",IF(HR_Data[[#This Row],[JobSatisfaction]]=3,"High","Very High")))</f>
        <v>Very High</v>
      </c>
      <c r="AP426" s="1" t="str">
        <f>IF(HR_Data[[#This Row],[WorkLifeBalance]]=1,"Bad",IF(HR_Data[[#This Row],[WorkLifeBalance]]=2,"Good",IF(HR_Data[[#This Row],[WorkLifeBalance]]=3,"Better","Best")))</f>
        <v>Good</v>
      </c>
    </row>
    <row r="427" spans="1:42" x14ac:dyDescent="0.3">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c r="AJ427">
        <f>IF(HR_Data[[#This Row],[Attrition]]="Yes",1,0)</f>
        <v>0</v>
      </c>
      <c r="AK427">
        <f>IF(HR_Data[[#This Row],[Attrition]]="No",1,0)</f>
        <v>1</v>
      </c>
      <c r="AL427" t="str">
        <f>IF(HR_Data[[#This Row],[Age]]&lt;25,"Under 25",IF(HR_Data[[#This Row],[Age]]&lt;=34,"25-34",IF(HR_Data[[#This Row],[Age]]&lt;=44,"35-44",IF(HR_Data[[#This Row],[Age]]&lt;=54,"45-54","55+"))))</f>
        <v>45-54</v>
      </c>
      <c r="AM427" s="1" t="str">
        <f>IF(HR_Data[[#This Row],[MonthlyIncome]]&lt;3000,"Low Salary",IF(HR_Data[[#This Row],[MonthlyIncome]]&lt;=7000,"Medium Salary","High Salary"))</f>
        <v>High Salary</v>
      </c>
      <c r="AN427" s="1" t="str">
        <f>IF(HR_Data[[#This Row],[YearsAtCompany]]&lt;2,"0-1 Years",IF(HR_Data[[#This Row],[YearsAtCompany]]&lt;=5,"2-5 Years",IF(HR_Data[[#This Row],[YearsAtCompany]]&lt;=10,"6-10 Years","10+ Years")))</f>
        <v>10+ Years</v>
      </c>
      <c r="AO427" s="1" t="str">
        <f>IF(HR_Data[[#This Row],[JobSatisfaction]]=1,"Low",IF(HR_Data[[#This Row],[JobSatisfaction]]=2,"Medium",IF(HR_Data[[#This Row],[JobSatisfaction]]=3,"High","Very High")))</f>
        <v>High</v>
      </c>
      <c r="AP427" s="1" t="str">
        <f>IF(HR_Data[[#This Row],[WorkLifeBalance]]=1,"Bad",IF(HR_Data[[#This Row],[WorkLifeBalance]]=2,"Good",IF(HR_Data[[#This Row],[WorkLifeBalance]]=3,"Better","Best")))</f>
        <v>Better</v>
      </c>
    </row>
    <row r="428" spans="1:42" x14ac:dyDescent="0.3">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c r="AJ428">
        <f>IF(HR_Data[[#This Row],[Attrition]]="Yes",1,0)</f>
        <v>0</v>
      </c>
      <c r="AK428">
        <f>IF(HR_Data[[#This Row],[Attrition]]="No",1,0)</f>
        <v>1</v>
      </c>
      <c r="AL428" t="str">
        <f>IF(HR_Data[[#This Row],[Age]]&lt;25,"Under 25",IF(HR_Data[[#This Row],[Age]]&lt;=34,"25-34",IF(HR_Data[[#This Row],[Age]]&lt;=44,"35-44",IF(HR_Data[[#This Row],[Age]]&lt;=54,"45-54","55+"))))</f>
        <v>25-34</v>
      </c>
      <c r="AM428" s="1" t="str">
        <f>IF(HR_Data[[#This Row],[MonthlyIncome]]&lt;3000,"Low Salary",IF(HR_Data[[#This Row],[MonthlyIncome]]&lt;=7000,"Medium Salary","High Salary"))</f>
        <v>Low Salary</v>
      </c>
      <c r="AN428" s="1" t="str">
        <f>IF(HR_Data[[#This Row],[YearsAtCompany]]&lt;2,"0-1 Years",IF(HR_Data[[#This Row],[YearsAtCompany]]&lt;=5,"2-5 Years",IF(HR_Data[[#This Row],[YearsAtCompany]]&lt;=10,"6-10 Years","10+ Years")))</f>
        <v>10+ Years</v>
      </c>
      <c r="AO428" s="1" t="str">
        <f>IF(HR_Data[[#This Row],[JobSatisfaction]]=1,"Low",IF(HR_Data[[#This Row],[JobSatisfaction]]=2,"Medium",IF(HR_Data[[#This Row],[JobSatisfaction]]=3,"High","Very High")))</f>
        <v>Very High</v>
      </c>
      <c r="AP428" s="1" t="str">
        <f>IF(HR_Data[[#This Row],[WorkLifeBalance]]=1,"Bad",IF(HR_Data[[#This Row],[WorkLifeBalance]]=2,"Good",IF(HR_Data[[#This Row],[WorkLifeBalance]]=3,"Better","Best")))</f>
        <v>Good</v>
      </c>
    </row>
    <row r="429" spans="1:42" x14ac:dyDescent="0.3">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c r="AJ429">
        <f>IF(HR_Data[[#This Row],[Attrition]]="Yes",1,0)</f>
        <v>0</v>
      </c>
      <c r="AK429">
        <f>IF(HR_Data[[#This Row],[Attrition]]="No",1,0)</f>
        <v>1</v>
      </c>
      <c r="AL429" t="str">
        <f>IF(HR_Data[[#This Row],[Age]]&lt;25,"Under 25",IF(HR_Data[[#This Row],[Age]]&lt;=34,"25-34",IF(HR_Data[[#This Row],[Age]]&lt;=44,"35-44",IF(HR_Data[[#This Row],[Age]]&lt;=54,"45-54","55+"))))</f>
        <v>55+</v>
      </c>
      <c r="AM429" s="1" t="str">
        <f>IF(HR_Data[[#This Row],[MonthlyIncome]]&lt;3000,"Low Salary",IF(HR_Data[[#This Row],[MonthlyIncome]]&lt;=7000,"Medium Salary","High Salary"))</f>
        <v>High Salary</v>
      </c>
      <c r="AN429" s="1" t="str">
        <f>IF(HR_Data[[#This Row],[YearsAtCompany]]&lt;2,"0-1 Years",IF(HR_Data[[#This Row],[YearsAtCompany]]&lt;=5,"2-5 Years",IF(HR_Data[[#This Row],[YearsAtCompany]]&lt;=10,"6-10 Years","10+ Years")))</f>
        <v>10+ Years</v>
      </c>
      <c r="AO429" s="1" t="str">
        <f>IF(HR_Data[[#This Row],[JobSatisfaction]]=1,"Low",IF(HR_Data[[#This Row],[JobSatisfaction]]=2,"Medium",IF(HR_Data[[#This Row],[JobSatisfaction]]=3,"High","Very High")))</f>
        <v>Low</v>
      </c>
      <c r="AP429" s="1" t="str">
        <f>IF(HR_Data[[#This Row],[WorkLifeBalance]]=1,"Bad",IF(HR_Data[[#This Row],[WorkLifeBalance]]=2,"Good",IF(HR_Data[[#This Row],[WorkLifeBalance]]=3,"Better","Best")))</f>
        <v>Best</v>
      </c>
    </row>
    <row r="430" spans="1:42" x14ac:dyDescent="0.3">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c r="AJ430">
        <f>IF(HR_Data[[#This Row],[Attrition]]="Yes",1,0)</f>
        <v>0</v>
      </c>
      <c r="AK430">
        <f>IF(HR_Data[[#This Row],[Attrition]]="No",1,0)</f>
        <v>1</v>
      </c>
      <c r="AL430" t="str">
        <f>IF(HR_Data[[#This Row],[Age]]&lt;25,"Under 25",IF(HR_Data[[#This Row],[Age]]&lt;=34,"25-34",IF(HR_Data[[#This Row],[Age]]&lt;=44,"35-44",IF(HR_Data[[#This Row],[Age]]&lt;=54,"45-54","55+"))))</f>
        <v>45-54</v>
      </c>
      <c r="AM430" s="1" t="str">
        <f>IF(HR_Data[[#This Row],[MonthlyIncome]]&lt;3000,"Low Salary",IF(HR_Data[[#This Row],[MonthlyIncome]]&lt;=7000,"Medium Salary","High Salary"))</f>
        <v>Medium Salary</v>
      </c>
      <c r="AN430" s="1" t="str">
        <f>IF(HR_Data[[#This Row],[YearsAtCompany]]&lt;2,"0-1 Years",IF(HR_Data[[#This Row],[YearsAtCompany]]&lt;=5,"2-5 Years",IF(HR_Data[[#This Row],[YearsAtCompany]]&lt;=10,"6-10 Years","10+ Years")))</f>
        <v>2-5 Years</v>
      </c>
      <c r="AO430" s="1" t="str">
        <f>IF(HR_Data[[#This Row],[JobSatisfaction]]=1,"Low",IF(HR_Data[[#This Row],[JobSatisfaction]]=2,"Medium",IF(HR_Data[[#This Row],[JobSatisfaction]]=3,"High","Very High")))</f>
        <v>Very High</v>
      </c>
      <c r="AP430" s="1" t="str">
        <f>IF(HR_Data[[#This Row],[WorkLifeBalance]]=1,"Bad",IF(HR_Data[[#This Row],[WorkLifeBalance]]=2,"Good",IF(HR_Data[[#This Row],[WorkLifeBalance]]=3,"Better","Best")))</f>
        <v>Better</v>
      </c>
    </row>
    <row r="431" spans="1:42" x14ac:dyDescent="0.3">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c r="AJ431">
        <f>IF(HR_Data[[#This Row],[Attrition]]="Yes",1,0)</f>
        <v>0</v>
      </c>
      <c r="AK431">
        <f>IF(HR_Data[[#This Row],[Attrition]]="No",1,0)</f>
        <v>1</v>
      </c>
      <c r="AL431" t="str">
        <f>IF(HR_Data[[#This Row],[Age]]&lt;25,"Under 25",IF(HR_Data[[#This Row],[Age]]&lt;=34,"25-34",IF(HR_Data[[#This Row],[Age]]&lt;=44,"35-44",IF(HR_Data[[#This Row],[Age]]&lt;=54,"45-54","55+"))))</f>
        <v>45-54</v>
      </c>
      <c r="AM431" s="1" t="str">
        <f>IF(HR_Data[[#This Row],[MonthlyIncome]]&lt;3000,"Low Salary",IF(HR_Data[[#This Row],[MonthlyIncome]]&lt;=7000,"Medium Salary","High Salary"))</f>
        <v>High Salary</v>
      </c>
      <c r="AN431" s="1" t="str">
        <f>IF(HR_Data[[#This Row],[YearsAtCompany]]&lt;2,"0-1 Years",IF(HR_Data[[#This Row],[YearsAtCompany]]&lt;=5,"2-5 Years",IF(HR_Data[[#This Row],[YearsAtCompany]]&lt;=10,"6-10 Years","10+ Years")))</f>
        <v>2-5 Years</v>
      </c>
      <c r="AO431" s="1" t="str">
        <f>IF(HR_Data[[#This Row],[JobSatisfaction]]=1,"Low",IF(HR_Data[[#This Row],[JobSatisfaction]]=2,"Medium",IF(HR_Data[[#This Row],[JobSatisfaction]]=3,"High","Very High")))</f>
        <v>High</v>
      </c>
      <c r="AP431" s="1" t="str">
        <f>IF(HR_Data[[#This Row],[WorkLifeBalance]]=1,"Bad",IF(HR_Data[[#This Row],[WorkLifeBalance]]=2,"Good",IF(HR_Data[[#This Row],[WorkLifeBalance]]=3,"Better","Best")))</f>
        <v>Bad</v>
      </c>
    </row>
    <row r="432" spans="1:42" x14ac:dyDescent="0.3">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c r="AJ432">
        <f>IF(HR_Data[[#This Row],[Attrition]]="Yes",1,0)</f>
        <v>0</v>
      </c>
      <c r="AK432">
        <f>IF(HR_Data[[#This Row],[Attrition]]="No",1,0)</f>
        <v>1</v>
      </c>
      <c r="AL432" t="str">
        <f>IF(HR_Data[[#This Row],[Age]]&lt;25,"Under 25",IF(HR_Data[[#This Row],[Age]]&lt;=34,"25-34",IF(HR_Data[[#This Row],[Age]]&lt;=44,"35-44",IF(HR_Data[[#This Row],[Age]]&lt;=54,"45-54","55+"))))</f>
        <v>35-44</v>
      </c>
      <c r="AM432" s="1" t="str">
        <f>IF(HR_Data[[#This Row],[MonthlyIncome]]&lt;3000,"Low Salary",IF(HR_Data[[#This Row],[MonthlyIncome]]&lt;=7000,"Medium Salary","High Salary"))</f>
        <v>Medium Salary</v>
      </c>
      <c r="AN432" s="1" t="str">
        <f>IF(HR_Data[[#This Row],[YearsAtCompany]]&lt;2,"0-1 Years",IF(HR_Data[[#This Row],[YearsAtCompany]]&lt;=5,"2-5 Years",IF(HR_Data[[#This Row],[YearsAtCompany]]&lt;=10,"6-10 Years","10+ Years")))</f>
        <v>2-5 Years</v>
      </c>
      <c r="AO432" s="1" t="str">
        <f>IF(HR_Data[[#This Row],[JobSatisfaction]]=1,"Low",IF(HR_Data[[#This Row],[JobSatisfaction]]=2,"Medium",IF(HR_Data[[#This Row],[JobSatisfaction]]=3,"High","Very High")))</f>
        <v>High</v>
      </c>
      <c r="AP432" s="1" t="str">
        <f>IF(HR_Data[[#This Row],[WorkLifeBalance]]=1,"Bad",IF(HR_Data[[#This Row],[WorkLifeBalance]]=2,"Good",IF(HR_Data[[#This Row],[WorkLifeBalance]]=3,"Better","Best")))</f>
        <v>Better</v>
      </c>
    </row>
    <row r="433" spans="1:42" x14ac:dyDescent="0.3">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c r="AJ433">
        <f>IF(HR_Data[[#This Row],[Attrition]]="Yes",1,0)</f>
        <v>0</v>
      </c>
      <c r="AK433">
        <f>IF(HR_Data[[#This Row],[Attrition]]="No",1,0)</f>
        <v>1</v>
      </c>
      <c r="AL433" t="str">
        <f>IF(HR_Data[[#This Row],[Age]]&lt;25,"Under 25",IF(HR_Data[[#This Row],[Age]]&lt;=34,"25-34",IF(HR_Data[[#This Row],[Age]]&lt;=44,"35-44",IF(HR_Data[[#This Row],[Age]]&lt;=54,"45-54","55+"))))</f>
        <v>45-54</v>
      </c>
      <c r="AM433" s="1" t="str">
        <f>IF(HR_Data[[#This Row],[MonthlyIncome]]&lt;3000,"Low Salary",IF(HR_Data[[#This Row],[MonthlyIncome]]&lt;=7000,"Medium Salary","High Salary"))</f>
        <v>Medium Salary</v>
      </c>
      <c r="AN433" s="1" t="str">
        <f>IF(HR_Data[[#This Row],[YearsAtCompany]]&lt;2,"0-1 Years",IF(HR_Data[[#This Row],[YearsAtCompany]]&lt;=5,"2-5 Years",IF(HR_Data[[#This Row],[YearsAtCompany]]&lt;=10,"6-10 Years","10+ Years")))</f>
        <v>0-1 Years</v>
      </c>
      <c r="AO433" s="1" t="str">
        <f>IF(HR_Data[[#This Row],[JobSatisfaction]]=1,"Low",IF(HR_Data[[#This Row],[JobSatisfaction]]=2,"Medium",IF(HR_Data[[#This Row],[JobSatisfaction]]=3,"High","Very High")))</f>
        <v>High</v>
      </c>
      <c r="AP433" s="1" t="str">
        <f>IF(HR_Data[[#This Row],[WorkLifeBalance]]=1,"Bad",IF(HR_Data[[#This Row],[WorkLifeBalance]]=2,"Good",IF(HR_Data[[#This Row],[WorkLifeBalance]]=3,"Better","Best")))</f>
        <v>Better</v>
      </c>
    </row>
    <row r="434" spans="1:42" x14ac:dyDescent="0.3">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c r="AJ434">
        <f>IF(HR_Data[[#This Row],[Attrition]]="Yes",1,0)</f>
        <v>0</v>
      </c>
      <c r="AK434">
        <f>IF(HR_Data[[#This Row],[Attrition]]="No",1,0)</f>
        <v>1</v>
      </c>
      <c r="AL434" t="str">
        <f>IF(HR_Data[[#This Row],[Age]]&lt;25,"Under 25",IF(HR_Data[[#This Row],[Age]]&lt;=34,"25-34",IF(HR_Data[[#This Row],[Age]]&lt;=44,"35-44",IF(HR_Data[[#This Row],[Age]]&lt;=54,"45-54","55+"))))</f>
        <v>25-34</v>
      </c>
      <c r="AM434" s="1" t="str">
        <f>IF(HR_Data[[#This Row],[MonthlyIncome]]&lt;3000,"Low Salary",IF(HR_Data[[#This Row],[MonthlyIncome]]&lt;=7000,"Medium Salary","High Salary"))</f>
        <v>Low Salary</v>
      </c>
      <c r="AN434" s="1" t="str">
        <f>IF(HR_Data[[#This Row],[YearsAtCompany]]&lt;2,"0-1 Years",IF(HR_Data[[#This Row],[YearsAtCompany]]&lt;=5,"2-5 Years",IF(HR_Data[[#This Row],[YearsAtCompany]]&lt;=10,"6-10 Years","10+ Years")))</f>
        <v>6-10 Years</v>
      </c>
      <c r="AO434" s="1" t="str">
        <f>IF(HR_Data[[#This Row],[JobSatisfaction]]=1,"Low",IF(HR_Data[[#This Row],[JobSatisfaction]]=2,"Medium",IF(HR_Data[[#This Row],[JobSatisfaction]]=3,"High","Very High")))</f>
        <v>High</v>
      </c>
      <c r="AP434" s="1" t="str">
        <f>IF(HR_Data[[#This Row],[WorkLifeBalance]]=1,"Bad",IF(HR_Data[[#This Row],[WorkLifeBalance]]=2,"Good",IF(HR_Data[[#This Row],[WorkLifeBalance]]=3,"Better","Best")))</f>
        <v>Better</v>
      </c>
    </row>
    <row r="435" spans="1:42" x14ac:dyDescent="0.3">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c r="AJ435">
        <f>IF(HR_Data[[#This Row],[Attrition]]="Yes",1,0)</f>
        <v>0</v>
      </c>
      <c r="AK435">
        <f>IF(HR_Data[[#This Row],[Attrition]]="No",1,0)</f>
        <v>1</v>
      </c>
      <c r="AL435" t="str">
        <f>IF(HR_Data[[#This Row],[Age]]&lt;25,"Under 25",IF(HR_Data[[#This Row],[Age]]&lt;=34,"25-34",IF(HR_Data[[#This Row],[Age]]&lt;=44,"35-44",IF(HR_Data[[#This Row],[Age]]&lt;=54,"45-54","55+"))))</f>
        <v>45-54</v>
      </c>
      <c r="AM435" s="1" t="str">
        <f>IF(HR_Data[[#This Row],[MonthlyIncome]]&lt;3000,"Low Salary",IF(HR_Data[[#This Row],[MonthlyIncome]]&lt;=7000,"Medium Salary","High Salary"))</f>
        <v>High Salary</v>
      </c>
      <c r="AN435" s="1" t="str">
        <f>IF(HR_Data[[#This Row],[YearsAtCompany]]&lt;2,"0-1 Years",IF(HR_Data[[#This Row],[YearsAtCompany]]&lt;=5,"2-5 Years",IF(HR_Data[[#This Row],[YearsAtCompany]]&lt;=10,"6-10 Years","10+ Years")))</f>
        <v>2-5 Years</v>
      </c>
      <c r="AO435" s="1" t="str">
        <f>IF(HR_Data[[#This Row],[JobSatisfaction]]=1,"Low",IF(HR_Data[[#This Row],[JobSatisfaction]]=2,"Medium",IF(HR_Data[[#This Row],[JobSatisfaction]]=3,"High","Very High")))</f>
        <v>Very High</v>
      </c>
      <c r="AP435" s="1" t="str">
        <f>IF(HR_Data[[#This Row],[WorkLifeBalance]]=1,"Bad",IF(HR_Data[[#This Row],[WorkLifeBalance]]=2,"Good",IF(HR_Data[[#This Row],[WorkLifeBalance]]=3,"Better","Best")))</f>
        <v>Better</v>
      </c>
    </row>
    <row r="436" spans="1:42" x14ac:dyDescent="0.3">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c r="AJ436">
        <f>IF(HR_Data[[#This Row],[Attrition]]="Yes",1,0)</f>
        <v>0</v>
      </c>
      <c r="AK436">
        <f>IF(HR_Data[[#This Row],[Attrition]]="No",1,0)</f>
        <v>1</v>
      </c>
      <c r="AL436" t="str">
        <f>IF(HR_Data[[#This Row],[Age]]&lt;25,"Under 25",IF(HR_Data[[#This Row],[Age]]&lt;=34,"25-34",IF(HR_Data[[#This Row],[Age]]&lt;=44,"35-44",IF(HR_Data[[#This Row],[Age]]&lt;=54,"45-54","55+"))))</f>
        <v>25-34</v>
      </c>
      <c r="AM436" s="1" t="str">
        <f>IF(HR_Data[[#This Row],[MonthlyIncome]]&lt;3000,"Low Salary",IF(HR_Data[[#This Row],[MonthlyIncome]]&lt;=7000,"Medium Salary","High Salary"))</f>
        <v>High Salary</v>
      </c>
      <c r="AN436" s="1" t="str">
        <f>IF(HR_Data[[#This Row],[YearsAtCompany]]&lt;2,"0-1 Years",IF(HR_Data[[#This Row],[YearsAtCompany]]&lt;=5,"2-5 Years",IF(HR_Data[[#This Row],[YearsAtCompany]]&lt;=10,"6-10 Years","10+ Years")))</f>
        <v>10+ Years</v>
      </c>
      <c r="AO436" s="1" t="str">
        <f>IF(HR_Data[[#This Row],[JobSatisfaction]]=1,"Low",IF(HR_Data[[#This Row],[JobSatisfaction]]=2,"Medium",IF(HR_Data[[#This Row],[JobSatisfaction]]=3,"High","Very High")))</f>
        <v>Medium</v>
      </c>
      <c r="AP436" s="1" t="str">
        <f>IF(HR_Data[[#This Row],[WorkLifeBalance]]=1,"Bad",IF(HR_Data[[#This Row],[WorkLifeBalance]]=2,"Good",IF(HR_Data[[#This Row],[WorkLifeBalance]]=3,"Better","Best")))</f>
        <v>Best</v>
      </c>
    </row>
    <row r="437" spans="1:42" x14ac:dyDescent="0.3">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c r="AJ437">
        <f>IF(HR_Data[[#This Row],[Attrition]]="Yes",1,0)</f>
        <v>1</v>
      </c>
      <c r="AK437">
        <f>IF(HR_Data[[#This Row],[Attrition]]="No",1,0)</f>
        <v>0</v>
      </c>
      <c r="AL437" t="str">
        <f>IF(HR_Data[[#This Row],[Age]]&lt;25,"Under 25",IF(HR_Data[[#This Row],[Age]]&lt;=34,"25-34",IF(HR_Data[[#This Row],[Age]]&lt;=44,"35-44",IF(HR_Data[[#This Row],[Age]]&lt;=54,"45-54","55+"))))</f>
        <v>25-34</v>
      </c>
      <c r="AM437" s="1" t="str">
        <f>IF(HR_Data[[#This Row],[MonthlyIncome]]&lt;3000,"Low Salary",IF(HR_Data[[#This Row],[MonthlyIncome]]&lt;=7000,"Medium Salary","High Salary"))</f>
        <v>High Salary</v>
      </c>
      <c r="AN437" s="1" t="str">
        <f>IF(HR_Data[[#This Row],[YearsAtCompany]]&lt;2,"0-1 Years",IF(HR_Data[[#This Row],[YearsAtCompany]]&lt;=5,"2-5 Years",IF(HR_Data[[#This Row],[YearsAtCompany]]&lt;=10,"6-10 Years","10+ Years")))</f>
        <v>6-10 Years</v>
      </c>
      <c r="AO437" s="1" t="str">
        <f>IF(HR_Data[[#This Row],[JobSatisfaction]]=1,"Low",IF(HR_Data[[#This Row],[JobSatisfaction]]=2,"Medium",IF(HR_Data[[#This Row],[JobSatisfaction]]=3,"High","Very High")))</f>
        <v>High</v>
      </c>
      <c r="AP437" s="1" t="str">
        <f>IF(HR_Data[[#This Row],[WorkLifeBalance]]=1,"Bad",IF(HR_Data[[#This Row],[WorkLifeBalance]]=2,"Good",IF(HR_Data[[#This Row],[WorkLifeBalance]]=3,"Better","Best")))</f>
        <v>Best</v>
      </c>
    </row>
    <row r="438" spans="1:42" x14ac:dyDescent="0.3">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c r="AJ438">
        <f>IF(HR_Data[[#This Row],[Attrition]]="Yes",1,0)</f>
        <v>1</v>
      </c>
      <c r="AK438">
        <f>IF(HR_Data[[#This Row],[Attrition]]="No",1,0)</f>
        <v>0</v>
      </c>
      <c r="AL438" t="str">
        <f>IF(HR_Data[[#This Row],[Age]]&lt;25,"Under 25",IF(HR_Data[[#This Row],[Age]]&lt;=34,"25-34",IF(HR_Data[[#This Row],[Age]]&lt;=44,"35-44",IF(HR_Data[[#This Row],[Age]]&lt;=54,"45-54","55+"))))</f>
        <v>25-34</v>
      </c>
      <c r="AM438" s="1" t="str">
        <f>IF(HR_Data[[#This Row],[MonthlyIncome]]&lt;3000,"Low Salary",IF(HR_Data[[#This Row],[MonthlyIncome]]&lt;=7000,"Medium Salary","High Salary"))</f>
        <v>Medium Salary</v>
      </c>
      <c r="AN438" s="1" t="str">
        <f>IF(HR_Data[[#This Row],[YearsAtCompany]]&lt;2,"0-1 Years",IF(HR_Data[[#This Row],[YearsAtCompany]]&lt;=5,"2-5 Years",IF(HR_Data[[#This Row],[YearsAtCompany]]&lt;=10,"6-10 Years","10+ Years")))</f>
        <v>2-5 Years</v>
      </c>
      <c r="AO438" s="1" t="str">
        <f>IF(HR_Data[[#This Row],[JobSatisfaction]]=1,"Low",IF(HR_Data[[#This Row],[JobSatisfaction]]=2,"Medium",IF(HR_Data[[#This Row],[JobSatisfaction]]=3,"High","Very High")))</f>
        <v>Very High</v>
      </c>
      <c r="AP438" s="1" t="str">
        <f>IF(HR_Data[[#This Row],[WorkLifeBalance]]=1,"Bad",IF(HR_Data[[#This Row],[WorkLifeBalance]]=2,"Good",IF(HR_Data[[#This Row],[WorkLifeBalance]]=3,"Better","Best")))</f>
        <v>Better</v>
      </c>
    </row>
    <row r="439" spans="1:42" x14ac:dyDescent="0.3">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c r="AJ439">
        <f>IF(HR_Data[[#This Row],[Attrition]]="Yes",1,0)</f>
        <v>0</v>
      </c>
      <c r="AK439">
        <f>IF(HR_Data[[#This Row],[Attrition]]="No",1,0)</f>
        <v>1</v>
      </c>
      <c r="AL439" t="str">
        <f>IF(HR_Data[[#This Row],[Age]]&lt;25,"Under 25",IF(HR_Data[[#This Row],[Age]]&lt;=34,"25-34",IF(HR_Data[[#This Row],[Age]]&lt;=44,"35-44",IF(HR_Data[[#This Row],[Age]]&lt;=54,"45-54","55+"))))</f>
        <v>25-34</v>
      </c>
      <c r="AM439" s="1" t="str">
        <f>IF(HR_Data[[#This Row],[MonthlyIncome]]&lt;3000,"Low Salary",IF(HR_Data[[#This Row],[MonthlyIncome]]&lt;=7000,"Medium Salary","High Salary"))</f>
        <v>Low Salary</v>
      </c>
      <c r="AN439" s="1" t="str">
        <f>IF(HR_Data[[#This Row],[YearsAtCompany]]&lt;2,"0-1 Years",IF(HR_Data[[#This Row],[YearsAtCompany]]&lt;=5,"2-5 Years",IF(HR_Data[[#This Row],[YearsAtCompany]]&lt;=10,"6-10 Years","10+ Years")))</f>
        <v>2-5 Years</v>
      </c>
      <c r="AO439" s="1" t="str">
        <f>IF(HR_Data[[#This Row],[JobSatisfaction]]=1,"Low",IF(HR_Data[[#This Row],[JobSatisfaction]]=2,"Medium",IF(HR_Data[[#This Row],[JobSatisfaction]]=3,"High","Very High")))</f>
        <v>Medium</v>
      </c>
      <c r="AP439" s="1" t="str">
        <f>IF(HR_Data[[#This Row],[WorkLifeBalance]]=1,"Bad",IF(HR_Data[[#This Row],[WorkLifeBalance]]=2,"Good",IF(HR_Data[[#This Row],[WorkLifeBalance]]=3,"Better","Best")))</f>
        <v>Better</v>
      </c>
    </row>
    <row r="440" spans="1:42" x14ac:dyDescent="0.3">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c r="AJ440">
        <f>IF(HR_Data[[#This Row],[Attrition]]="Yes",1,0)</f>
        <v>0</v>
      </c>
      <c r="AK440">
        <f>IF(HR_Data[[#This Row],[Attrition]]="No",1,0)</f>
        <v>1</v>
      </c>
      <c r="AL440" t="str">
        <f>IF(HR_Data[[#This Row],[Age]]&lt;25,"Under 25",IF(HR_Data[[#This Row],[Age]]&lt;=34,"25-34",IF(HR_Data[[#This Row],[Age]]&lt;=44,"35-44",IF(HR_Data[[#This Row],[Age]]&lt;=54,"45-54","55+"))))</f>
        <v>35-44</v>
      </c>
      <c r="AM440" s="1" t="str">
        <f>IF(HR_Data[[#This Row],[MonthlyIncome]]&lt;3000,"Low Salary",IF(HR_Data[[#This Row],[MonthlyIncome]]&lt;=7000,"Medium Salary","High Salary"))</f>
        <v>High Salary</v>
      </c>
      <c r="AN440" s="1" t="str">
        <f>IF(HR_Data[[#This Row],[YearsAtCompany]]&lt;2,"0-1 Years",IF(HR_Data[[#This Row],[YearsAtCompany]]&lt;=5,"2-5 Years",IF(HR_Data[[#This Row],[YearsAtCompany]]&lt;=10,"6-10 Years","10+ Years")))</f>
        <v>6-10 Years</v>
      </c>
      <c r="AO440" s="1" t="str">
        <f>IF(HR_Data[[#This Row],[JobSatisfaction]]=1,"Low",IF(HR_Data[[#This Row],[JobSatisfaction]]=2,"Medium",IF(HR_Data[[#This Row],[JobSatisfaction]]=3,"High","Very High")))</f>
        <v>High</v>
      </c>
      <c r="AP440" s="1" t="str">
        <f>IF(HR_Data[[#This Row],[WorkLifeBalance]]=1,"Bad",IF(HR_Data[[#This Row],[WorkLifeBalance]]=2,"Good",IF(HR_Data[[#This Row],[WorkLifeBalance]]=3,"Better","Best")))</f>
        <v>Better</v>
      </c>
    </row>
    <row r="441" spans="1:42" x14ac:dyDescent="0.3">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c r="AJ441">
        <f>IF(HR_Data[[#This Row],[Attrition]]="Yes",1,0)</f>
        <v>1</v>
      </c>
      <c r="AK441">
        <f>IF(HR_Data[[#This Row],[Attrition]]="No",1,0)</f>
        <v>0</v>
      </c>
      <c r="AL441" t="str">
        <f>IF(HR_Data[[#This Row],[Age]]&lt;25,"Under 25",IF(HR_Data[[#This Row],[Age]]&lt;=34,"25-34",IF(HR_Data[[#This Row],[Age]]&lt;=44,"35-44",IF(HR_Data[[#This Row],[Age]]&lt;=54,"45-54","55+"))))</f>
        <v>25-34</v>
      </c>
      <c r="AM441" s="1" t="str">
        <f>IF(HR_Data[[#This Row],[MonthlyIncome]]&lt;3000,"Low Salary",IF(HR_Data[[#This Row],[MonthlyIncome]]&lt;=7000,"Medium Salary","High Salary"))</f>
        <v>High Salary</v>
      </c>
      <c r="AN441" s="1" t="str">
        <f>IF(HR_Data[[#This Row],[YearsAtCompany]]&lt;2,"0-1 Years",IF(HR_Data[[#This Row],[YearsAtCompany]]&lt;=5,"2-5 Years",IF(HR_Data[[#This Row],[YearsAtCompany]]&lt;=10,"6-10 Years","10+ Years")))</f>
        <v>0-1 Years</v>
      </c>
      <c r="AO441" s="1" t="str">
        <f>IF(HR_Data[[#This Row],[JobSatisfaction]]=1,"Low",IF(HR_Data[[#This Row],[JobSatisfaction]]=2,"Medium",IF(HR_Data[[#This Row],[JobSatisfaction]]=3,"High","Very High")))</f>
        <v>High</v>
      </c>
      <c r="AP441" s="1" t="str">
        <f>IF(HR_Data[[#This Row],[WorkLifeBalance]]=1,"Bad",IF(HR_Data[[#This Row],[WorkLifeBalance]]=2,"Good",IF(HR_Data[[#This Row],[WorkLifeBalance]]=3,"Better","Best")))</f>
        <v>Better</v>
      </c>
    </row>
    <row r="442" spans="1:42" x14ac:dyDescent="0.3">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c r="AJ442">
        <f>IF(HR_Data[[#This Row],[Attrition]]="Yes",1,0)</f>
        <v>1</v>
      </c>
      <c r="AK442">
        <f>IF(HR_Data[[#This Row],[Attrition]]="No",1,0)</f>
        <v>0</v>
      </c>
      <c r="AL442" t="str">
        <f>IF(HR_Data[[#This Row],[Age]]&lt;25,"Under 25",IF(HR_Data[[#This Row],[Age]]&lt;=34,"25-34",IF(HR_Data[[#This Row],[Age]]&lt;=44,"35-44",IF(HR_Data[[#This Row],[Age]]&lt;=54,"45-54","55+"))))</f>
        <v>25-34</v>
      </c>
      <c r="AM442" s="1" t="str">
        <f>IF(HR_Data[[#This Row],[MonthlyIncome]]&lt;3000,"Low Salary",IF(HR_Data[[#This Row],[MonthlyIncome]]&lt;=7000,"Medium Salary","High Salary"))</f>
        <v>High Salary</v>
      </c>
      <c r="AN442" s="1" t="str">
        <f>IF(HR_Data[[#This Row],[YearsAtCompany]]&lt;2,"0-1 Years",IF(HR_Data[[#This Row],[YearsAtCompany]]&lt;=5,"2-5 Years",IF(HR_Data[[#This Row],[YearsAtCompany]]&lt;=10,"6-10 Years","10+ Years")))</f>
        <v>2-5 Years</v>
      </c>
      <c r="AO442" s="1" t="str">
        <f>IF(HR_Data[[#This Row],[JobSatisfaction]]=1,"Low",IF(HR_Data[[#This Row],[JobSatisfaction]]=2,"Medium",IF(HR_Data[[#This Row],[JobSatisfaction]]=3,"High","Very High")))</f>
        <v>Low</v>
      </c>
      <c r="AP442" s="1" t="str">
        <f>IF(HR_Data[[#This Row],[WorkLifeBalance]]=1,"Bad",IF(HR_Data[[#This Row],[WorkLifeBalance]]=2,"Good",IF(HR_Data[[#This Row],[WorkLifeBalance]]=3,"Better","Best")))</f>
        <v>Better</v>
      </c>
    </row>
    <row r="443" spans="1:42" x14ac:dyDescent="0.3">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c r="AJ443">
        <f>IF(HR_Data[[#This Row],[Attrition]]="Yes",1,0)</f>
        <v>0</v>
      </c>
      <c r="AK443">
        <f>IF(HR_Data[[#This Row],[Attrition]]="No",1,0)</f>
        <v>1</v>
      </c>
      <c r="AL443" t="str">
        <f>IF(HR_Data[[#This Row],[Age]]&lt;25,"Under 25",IF(HR_Data[[#This Row],[Age]]&lt;=34,"25-34",IF(HR_Data[[#This Row],[Age]]&lt;=44,"35-44",IF(HR_Data[[#This Row],[Age]]&lt;=54,"45-54","55+"))))</f>
        <v>35-44</v>
      </c>
      <c r="AM443" s="1" t="str">
        <f>IF(HR_Data[[#This Row],[MonthlyIncome]]&lt;3000,"Low Salary",IF(HR_Data[[#This Row],[MonthlyIncome]]&lt;=7000,"Medium Salary","High Salary"))</f>
        <v>Low Salary</v>
      </c>
      <c r="AN443" s="1" t="str">
        <f>IF(HR_Data[[#This Row],[YearsAtCompany]]&lt;2,"0-1 Years",IF(HR_Data[[#This Row],[YearsAtCompany]]&lt;=5,"2-5 Years",IF(HR_Data[[#This Row],[YearsAtCompany]]&lt;=10,"6-10 Years","10+ Years")))</f>
        <v>2-5 Years</v>
      </c>
      <c r="AO443" s="1" t="str">
        <f>IF(HR_Data[[#This Row],[JobSatisfaction]]=1,"Low",IF(HR_Data[[#This Row],[JobSatisfaction]]=2,"Medium",IF(HR_Data[[#This Row],[JobSatisfaction]]=3,"High","Very High")))</f>
        <v>High</v>
      </c>
      <c r="AP443" s="1" t="str">
        <f>IF(HR_Data[[#This Row],[WorkLifeBalance]]=1,"Bad",IF(HR_Data[[#This Row],[WorkLifeBalance]]=2,"Good",IF(HR_Data[[#This Row],[WorkLifeBalance]]=3,"Better","Best")))</f>
        <v>Better</v>
      </c>
    </row>
    <row r="444" spans="1:42" x14ac:dyDescent="0.3">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c r="AJ444">
        <f>IF(HR_Data[[#This Row],[Attrition]]="Yes",1,0)</f>
        <v>0</v>
      </c>
      <c r="AK444">
        <f>IF(HR_Data[[#This Row],[Attrition]]="No",1,0)</f>
        <v>1</v>
      </c>
      <c r="AL444" t="str">
        <f>IF(HR_Data[[#This Row],[Age]]&lt;25,"Under 25",IF(HR_Data[[#This Row],[Age]]&lt;=34,"25-34",IF(HR_Data[[#This Row],[Age]]&lt;=44,"35-44",IF(HR_Data[[#This Row],[Age]]&lt;=54,"45-54","55+"))))</f>
        <v>35-44</v>
      </c>
      <c r="AM444" s="1" t="str">
        <f>IF(HR_Data[[#This Row],[MonthlyIncome]]&lt;3000,"Low Salary",IF(HR_Data[[#This Row],[MonthlyIncome]]&lt;=7000,"Medium Salary","High Salary"))</f>
        <v>High Salary</v>
      </c>
      <c r="AN444" s="1" t="str">
        <f>IF(HR_Data[[#This Row],[YearsAtCompany]]&lt;2,"0-1 Years",IF(HR_Data[[#This Row],[YearsAtCompany]]&lt;=5,"2-5 Years",IF(HR_Data[[#This Row],[YearsAtCompany]]&lt;=10,"6-10 Years","10+ Years")))</f>
        <v>6-10 Years</v>
      </c>
      <c r="AO444" s="1" t="str">
        <f>IF(HR_Data[[#This Row],[JobSatisfaction]]=1,"Low",IF(HR_Data[[#This Row],[JobSatisfaction]]=2,"Medium",IF(HR_Data[[#This Row],[JobSatisfaction]]=3,"High","Very High")))</f>
        <v>Very High</v>
      </c>
      <c r="AP444" s="1" t="str">
        <f>IF(HR_Data[[#This Row],[WorkLifeBalance]]=1,"Bad",IF(HR_Data[[#This Row],[WorkLifeBalance]]=2,"Good",IF(HR_Data[[#This Row],[WorkLifeBalance]]=3,"Better","Best")))</f>
        <v>Good</v>
      </c>
    </row>
    <row r="445" spans="1:42" x14ac:dyDescent="0.3">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c r="AJ445">
        <f>IF(HR_Data[[#This Row],[Attrition]]="Yes",1,0)</f>
        <v>1</v>
      </c>
      <c r="AK445">
        <f>IF(HR_Data[[#This Row],[Attrition]]="No",1,0)</f>
        <v>0</v>
      </c>
      <c r="AL445" t="str">
        <f>IF(HR_Data[[#This Row],[Age]]&lt;25,"Under 25",IF(HR_Data[[#This Row],[Age]]&lt;=34,"25-34",IF(HR_Data[[#This Row],[Age]]&lt;=44,"35-44",IF(HR_Data[[#This Row],[Age]]&lt;=54,"45-54","55+"))))</f>
        <v>Under 25</v>
      </c>
      <c r="AM445" s="1" t="str">
        <f>IF(HR_Data[[#This Row],[MonthlyIncome]]&lt;3000,"Low Salary",IF(HR_Data[[#This Row],[MonthlyIncome]]&lt;=7000,"Medium Salary","High Salary"))</f>
        <v>Medium Salary</v>
      </c>
      <c r="AN445" s="1" t="str">
        <f>IF(HR_Data[[#This Row],[YearsAtCompany]]&lt;2,"0-1 Years",IF(HR_Data[[#This Row],[YearsAtCompany]]&lt;=5,"2-5 Years",IF(HR_Data[[#This Row],[YearsAtCompany]]&lt;=10,"6-10 Years","10+ Years")))</f>
        <v>2-5 Years</v>
      </c>
      <c r="AO445" s="1" t="str">
        <f>IF(HR_Data[[#This Row],[JobSatisfaction]]=1,"Low",IF(HR_Data[[#This Row],[JobSatisfaction]]=2,"Medium",IF(HR_Data[[#This Row],[JobSatisfaction]]=3,"High","Very High")))</f>
        <v>High</v>
      </c>
      <c r="AP445" s="1" t="str">
        <f>IF(HR_Data[[#This Row],[WorkLifeBalance]]=1,"Bad",IF(HR_Data[[#This Row],[WorkLifeBalance]]=2,"Good",IF(HR_Data[[#This Row],[WorkLifeBalance]]=3,"Better","Best")))</f>
        <v>Better</v>
      </c>
    </row>
    <row r="446" spans="1:42" x14ac:dyDescent="0.3">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c r="AJ446">
        <f>IF(HR_Data[[#This Row],[Attrition]]="Yes",1,0)</f>
        <v>0</v>
      </c>
      <c r="AK446">
        <f>IF(HR_Data[[#This Row],[Attrition]]="No",1,0)</f>
        <v>1</v>
      </c>
      <c r="AL446" t="str">
        <f>IF(HR_Data[[#This Row],[Age]]&lt;25,"Under 25",IF(HR_Data[[#This Row],[Age]]&lt;=34,"25-34",IF(HR_Data[[#This Row],[Age]]&lt;=44,"35-44",IF(HR_Data[[#This Row],[Age]]&lt;=54,"45-54","55+"))))</f>
        <v>45-54</v>
      </c>
      <c r="AM446" s="1" t="str">
        <f>IF(HR_Data[[#This Row],[MonthlyIncome]]&lt;3000,"Low Salary",IF(HR_Data[[#This Row],[MonthlyIncome]]&lt;=7000,"Medium Salary","High Salary"))</f>
        <v>Medium Salary</v>
      </c>
      <c r="AN446" s="1" t="str">
        <f>IF(HR_Data[[#This Row],[YearsAtCompany]]&lt;2,"0-1 Years",IF(HR_Data[[#This Row],[YearsAtCompany]]&lt;=5,"2-5 Years",IF(HR_Data[[#This Row],[YearsAtCompany]]&lt;=10,"6-10 Years","10+ Years")))</f>
        <v>6-10 Years</v>
      </c>
      <c r="AO446" s="1" t="str">
        <f>IF(HR_Data[[#This Row],[JobSatisfaction]]=1,"Low",IF(HR_Data[[#This Row],[JobSatisfaction]]=2,"Medium",IF(HR_Data[[#This Row],[JobSatisfaction]]=3,"High","Very High")))</f>
        <v>Very High</v>
      </c>
      <c r="AP446" s="1" t="str">
        <f>IF(HR_Data[[#This Row],[WorkLifeBalance]]=1,"Bad",IF(HR_Data[[#This Row],[WorkLifeBalance]]=2,"Good",IF(HR_Data[[#This Row],[WorkLifeBalance]]=3,"Better","Best")))</f>
        <v>Better</v>
      </c>
    </row>
    <row r="447" spans="1:42" x14ac:dyDescent="0.3">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c r="AJ447">
        <f>IF(HR_Data[[#This Row],[Attrition]]="Yes",1,0)</f>
        <v>0</v>
      </c>
      <c r="AK447">
        <f>IF(HR_Data[[#This Row],[Attrition]]="No",1,0)</f>
        <v>1</v>
      </c>
      <c r="AL447" t="str">
        <f>IF(HR_Data[[#This Row],[Age]]&lt;25,"Under 25",IF(HR_Data[[#This Row],[Age]]&lt;=34,"25-34",IF(HR_Data[[#This Row],[Age]]&lt;=44,"35-44",IF(HR_Data[[#This Row],[Age]]&lt;=54,"45-54","55+"))))</f>
        <v>55+</v>
      </c>
      <c r="AM447" s="1" t="str">
        <f>IF(HR_Data[[#This Row],[MonthlyIncome]]&lt;3000,"Low Salary",IF(HR_Data[[#This Row],[MonthlyIncome]]&lt;=7000,"Medium Salary","High Salary"))</f>
        <v>High Salary</v>
      </c>
      <c r="AN447" s="1" t="str">
        <f>IF(HR_Data[[#This Row],[YearsAtCompany]]&lt;2,"0-1 Years",IF(HR_Data[[#This Row],[YearsAtCompany]]&lt;=5,"2-5 Years",IF(HR_Data[[#This Row],[YearsAtCompany]]&lt;=10,"6-10 Years","10+ Years")))</f>
        <v>6-10 Years</v>
      </c>
      <c r="AO447" s="1" t="str">
        <f>IF(HR_Data[[#This Row],[JobSatisfaction]]=1,"Low",IF(HR_Data[[#This Row],[JobSatisfaction]]=2,"Medium",IF(HR_Data[[#This Row],[JobSatisfaction]]=3,"High","Very High")))</f>
        <v>Medium</v>
      </c>
      <c r="AP447" s="1" t="str">
        <f>IF(HR_Data[[#This Row],[WorkLifeBalance]]=1,"Bad",IF(HR_Data[[#This Row],[WorkLifeBalance]]=2,"Good",IF(HR_Data[[#This Row],[WorkLifeBalance]]=3,"Better","Best")))</f>
        <v>Better</v>
      </c>
    </row>
    <row r="448" spans="1:42" x14ac:dyDescent="0.3">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c r="AJ448">
        <f>IF(HR_Data[[#This Row],[Attrition]]="Yes",1,0)</f>
        <v>0</v>
      </c>
      <c r="AK448">
        <f>IF(HR_Data[[#This Row],[Attrition]]="No",1,0)</f>
        <v>1</v>
      </c>
      <c r="AL448" t="str">
        <f>IF(HR_Data[[#This Row],[Age]]&lt;25,"Under 25",IF(HR_Data[[#This Row],[Age]]&lt;=34,"25-34",IF(HR_Data[[#This Row],[Age]]&lt;=44,"35-44",IF(HR_Data[[#This Row],[Age]]&lt;=54,"45-54","55+"))))</f>
        <v>35-44</v>
      </c>
      <c r="AM448" s="1" t="str">
        <f>IF(HR_Data[[#This Row],[MonthlyIncome]]&lt;3000,"Low Salary",IF(HR_Data[[#This Row],[MonthlyIncome]]&lt;=7000,"Medium Salary","High Salary"))</f>
        <v>Medium Salary</v>
      </c>
      <c r="AN448" s="1" t="str">
        <f>IF(HR_Data[[#This Row],[YearsAtCompany]]&lt;2,"0-1 Years",IF(HR_Data[[#This Row],[YearsAtCompany]]&lt;=5,"2-5 Years",IF(HR_Data[[#This Row],[YearsAtCompany]]&lt;=10,"6-10 Years","10+ Years")))</f>
        <v>10+ Years</v>
      </c>
      <c r="AO448" s="1" t="str">
        <f>IF(HR_Data[[#This Row],[JobSatisfaction]]=1,"Low",IF(HR_Data[[#This Row],[JobSatisfaction]]=2,"Medium",IF(HR_Data[[#This Row],[JobSatisfaction]]=3,"High","Very High")))</f>
        <v>Very High</v>
      </c>
      <c r="AP448" s="1" t="str">
        <f>IF(HR_Data[[#This Row],[WorkLifeBalance]]=1,"Bad",IF(HR_Data[[#This Row],[WorkLifeBalance]]=2,"Good",IF(HR_Data[[#This Row],[WorkLifeBalance]]=3,"Better","Best")))</f>
        <v>Better</v>
      </c>
    </row>
    <row r="449" spans="1:42" x14ac:dyDescent="0.3">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c r="AJ449">
        <f>IF(HR_Data[[#This Row],[Attrition]]="Yes",1,0)</f>
        <v>0</v>
      </c>
      <c r="AK449">
        <f>IF(HR_Data[[#This Row],[Attrition]]="No",1,0)</f>
        <v>1</v>
      </c>
      <c r="AL449" t="str">
        <f>IF(HR_Data[[#This Row],[Age]]&lt;25,"Under 25",IF(HR_Data[[#This Row],[Age]]&lt;=34,"25-34",IF(HR_Data[[#This Row],[Age]]&lt;=44,"35-44",IF(HR_Data[[#This Row],[Age]]&lt;=54,"45-54","55+"))))</f>
        <v>35-44</v>
      </c>
      <c r="AM449" s="1" t="str">
        <f>IF(HR_Data[[#This Row],[MonthlyIncome]]&lt;3000,"Low Salary",IF(HR_Data[[#This Row],[MonthlyIncome]]&lt;=7000,"Medium Salary","High Salary"))</f>
        <v>Medium Salary</v>
      </c>
      <c r="AN449" s="1" t="str">
        <f>IF(HR_Data[[#This Row],[YearsAtCompany]]&lt;2,"0-1 Years",IF(HR_Data[[#This Row],[YearsAtCompany]]&lt;=5,"2-5 Years",IF(HR_Data[[#This Row],[YearsAtCompany]]&lt;=10,"6-10 Years","10+ Years")))</f>
        <v>10+ Years</v>
      </c>
      <c r="AO449" s="1" t="str">
        <f>IF(HR_Data[[#This Row],[JobSatisfaction]]=1,"Low",IF(HR_Data[[#This Row],[JobSatisfaction]]=2,"Medium",IF(HR_Data[[#This Row],[JobSatisfaction]]=3,"High","Very High")))</f>
        <v>High</v>
      </c>
      <c r="AP449" s="1" t="str">
        <f>IF(HR_Data[[#This Row],[WorkLifeBalance]]=1,"Bad",IF(HR_Data[[#This Row],[WorkLifeBalance]]=2,"Good",IF(HR_Data[[#This Row],[WorkLifeBalance]]=3,"Better","Best")))</f>
        <v>Better</v>
      </c>
    </row>
    <row r="450" spans="1:42" x14ac:dyDescent="0.3">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c r="AJ450">
        <f>IF(HR_Data[[#This Row],[Attrition]]="Yes",1,0)</f>
        <v>0</v>
      </c>
      <c r="AK450">
        <f>IF(HR_Data[[#This Row],[Attrition]]="No",1,0)</f>
        <v>1</v>
      </c>
      <c r="AL450" t="str">
        <f>IF(HR_Data[[#This Row],[Age]]&lt;25,"Under 25",IF(HR_Data[[#This Row],[Age]]&lt;=34,"25-34",IF(HR_Data[[#This Row],[Age]]&lt;=44,"35-44",IF(HR_Data[[#This Row],[Age]]&lt;=54,"45-54","55+"))))</f>
        <v>35-44</v>
      </c>
      <c r="AM450" s="1" t="str">
        <f>IF(HR_Data[[#This Row],[MonthlyIncome]]&lt;3000,"Low Salary",IF(HR_Data[[#This Row],[MonthlyIncome]]&lt;=7000,"Medium Salary","High Salary"))</f>
        <v>High Salary</v>
      </c>
      <c r="AN450" s="1" t="str">
        <f>IF(HR_Data[[#This Row],[YearsAtCompany]]&lt;2,"0-1 Years",IF(HR_Data[[#This Row],[YearsAtCompany]]&lt;=5,"2-5 Years",IF(HR_Data[[#This Row],[YearsAtCompany]]&lt;=10,"6-10 Years","10+ Years")))</f>
        <v>10+ Years</v>
      </c>
      <c r="AO450" s="1" t="str">
        <f>IF(HR_Data[[#This Row],[JobSatisfaction]]=1,"Low",IF(HR_Data[[#This Row],[JobSatisfaction]]=2,"Medium",IF(HR_Data[[#This Row],[JobSatisfaction]]=3,"High","Very High")))</f>
        <v>High</v>
      </c>
      <c r="AP450" s="1" t="str">
        <f>IF(HR_Data[[#This Row],[WorkLifeBalance]]=1,"Bad",IF(HR_Data[[#This Row],[WorkLifeBalance]]=2,"Good",IF(HR_Data[[#This Row],[WorkLifeBalance]]=3,"Better","Best")))</f>
        <v>Better</v>
      </c>
    </row>
    <row r="451" spans="1:42" x14ac:dyDescent="0.3">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c r="AJ451">
        <f>IF(HR_Data[[#This Row],[Attrition]]="Yes",1,0)</f>
        <v>0</v>
      </c>
      <c r="AK451">
        <f>IF(HR_Data[[#This Row],[Attrition]]="No",1,0)</f>
        <v>1</v>
      </c>
      <c r="AL451" t="str">
        <f>IF(HR_Data[[#This Row],[Age]]&lt;25,"Under 25",IF(HR_Data[[#This Row],[Age]]&lt;=34,"25-34",IF(HR_Data[[#This Row],[Age]]&lt;=44,"35-44",IF(HR_Data[[#This Row],[Age]]&lt;=54,"45-54","55+"))))</f>
        <v>35-44</v>
      </c>
      <c r="AM451" s="1" t="str">
        <f>IF(HR_Data[[#This Row],[MonthlyIncome]]&lt;3000,"Low Salary",IF(HR_Data[[#This Row],[MonthlyIncome]]&lt;=7000,"Medium Salary","High Salary"))</f>
        <v>Medium Salary</v>
      </c>
      <c r="AN451" s="1" t="str">
        <f>IF(HR_Data[[#This Row],[YearsAtCompany]]&lt;2,"0-1 Years",IF(HR_Data[[#This Row],[YearsAtCompany]]&lt;=5,"2-5 Years",IF(HR_Data[[#This Row],[YearsAtCompany]]&lt;=10,"6-10 Years","10+ Years")))</f>
        <v>6-10 Years</v>
      </c>
      <c r="AO451" s="1" t="str">
        <f>IF(HR_Data[[#This Row],[JobSatisfaction]]=1,"Low",IF(HR_Data[[#This Row],[JobSatisfaction]]=2,"Medium",IF(HR_Data[[#This Row],[JobSatisfaction]]=3,"High","Very High")))</f>
        <v>High</v>
      </c>
      <c r="AP451" s="1" t="str">
        <f>IF(HR_Data[[#This Row],[WorkLifeBalance]]=1,"Bad",IF(HR_Data[[#This Row],[WorkLifeBalance]]=2,"Good",IF(HR_Data[[#This Row],[WorkLifeBalance]]=3,"Better","Best")))</f>
        <v>Better</v>
      </c>
    </row>
    <row r="452" spans="1:42" x14ac:dyDescent="0.3">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c r="AJ452">
        <f>IF(HR_Data[[#This Row],[Attrition]]="Yes",1,0)</f>
        <v>0</v>
      </c>
      <c r="AK452">
        <f>IF(HR_Data[[#This Row],[Attrition]]="No",1,0)</f>
        <v>1</v>
      </c>
      <c r="AL452" t="str">
        <f>IF(HR_Data[[#This Row],[Age]]&lt;25,"Under 25",IF(HR_Data[[#This Row],[Age]]&lt;=34,"25-34",IF(HR_Data[[#This Row],[Age]]&lt;=44,"35-44",IF(HR_Data[[#This Row],[Age]]&lt;=54,"45-54","55+"))))</f>
        <v>25-34</v>
      </c>
      <c r="AM452" s="1" t="str">
        <f>IF(HR_Data[[#This Row],[MonthlyIncome]]&lt;3000,"Low Salary",IF(HR_Data[[#This Row],[MonthlyIncome]]&lt;=7000,"Medium Salary","High Salary"))</f>
        <v>Medium Salary</v>
      </c>
      <c r="AN452" s="1" t="str">
        <f>IF(HR_Data[[#This Row],[YearsAtCompany]]&lt;2,"0-1 Years",IF(HR_Data[[#This Row],[YearsAtCompany]]&lt;=5,"2-5 Years",IF(HR_Data[[#This Row],[YearsAtCompany]]&lt;=10,"6-10 Years","10+ Years")))</f>
        <v>6-10 Years</v>
      </c>
      <c r="AO452" s="1" t="str">
        <f>IF(HR_Data[[#This Row],[JobSatisfaction]]=1,"Low",IF(HR_Data[[#This Row],[JobSatisfaction]]=2,"Medium",IF(HR_Data[[#This Row],[JobSatisfaction]]=3,"High","Very High")))</f>
        <v>Very High</v>
      </c>
      <c r="AP452" s="1" t="str">
        <f>IF(HR_Data[[#This Row],[WorkLifeBalance]]=1,"Bad",IF(HR_Data[[#This Row],[WorkLifeBalance]]=2,"Good",IF(HR_Data[[#This Row],[WorkLifeBalance]]=3,"Better","Best")))</f>
        <v>Best</v>
      </c>
    </row>
    <row r="453" spans="1:42" x14ac:dyDescent="0.3">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c r="AJ453">
        <f>IF(HR_Data[[#This Row],[Attrition]]="Yes",1,0)</f>
        <v>0</v>
      </c>
      <c r="AK453">
        <f>IF(HR_Data[[#This Row],[Attrition]]="No",1,0)</f>
        <v>1</v>
      </c>
      <c r="AL453" t="str">
        <f>IF(HR_Data[[#This Row],[Age]]&lt;25,"Under 25",IF(HR_Data[[#This Row],[Age]]&lt;=34,"25-34",IF(HR_Data[[#This Row],[Age]]&lt;=44,"35-44",IF(HR_Data[[#This Row],[Age]]&lt;=54,"45-54","55+"))))</f>
        <v>35-44</v>
      </c>
      <c r="AM453" s="1" t="str">
        <f>IF(HR_Data[[#This Row],[MonthlyIncome]]&lt;3000,"Low Salary",IF(HR_Data[[#This Row],[MonthlyIncome]]&lt;=7000,"Medium Salary","High Salary"))</f>
        <v>High Salary</v>
      </c>
      <c r="AN453" s="1" t="str">
        <f>IF(HR_Data[[#This Row],[YearsAtCompany]]&lt;2,"0-1 Years",IF(HR_Data[[#This Row],[YearsAtCompany]]&lt;=5,"2-5 Years",IF(HR_Data[[#This Row],[YearsAtCompany]]&lt;=10,"6-10 Years","10+ Years")))</f>
        <v>6-10 Years</v>
      </c>
      <c r="AO453" s="1" t="str">
        <f>IF(HR_Data[[#This Row],[JobSatisfaction]]=1,"Low",IF(HR_Data[[#This Row],[JobSatisfaction]]=2,"Medium",IF(HR_Data[[#This Row],[JobSatisfaction]]=3,"High","Very High")))</f>
        <v>Low</v>
      </c>
      <c r="AP453" s="1" t="str">
        <f>IF(HR_Data[[#This Row],[WorkLifeBalance]]=1,"Bad",IF(HR_Data[[#This Row],[WorkLifeBalance]]=2,"Good",IF(HR_Data[[#This Row],[WorkLifeBalance]]=3,"Better","Best")))</f>
        <v>Good</v>
      </c>
    </row>
    <row r="454" spans="1:42" x14ac:dyDescent="0.3">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c r="AJ454">
        <f>IF(HR_Data[[#This Row],[Attrition]]="Yes",1,0)</f>
        <v>0</v>
      </c>
      <c r="AK454">
        <f>IF(HR_Data[[#This Row],[Attrition]]="No",1,0)</f>
        <v>1</v>
      </c>
      <c r="AL454" t="str">
        <f>IF(HR_Data[[#This Row],[Age]]&lt;25,"Under 25",IF(HR_Data[[#This Row],[Age]]&lt;=34,"25-34",IF(HR_Data[[#This Row],[Age]]&lt;=44,"35-44",IF(HR_Data[[#This Row],[Age]]&lt;=54,"45-54","55+"))))</f>
        <v>45-54</v>
      </c>
      <c r="AM454" s="1" t="str">
        <f>IF(HR_Data[[#This Row],[MonthlyIncome]]&lt;3000,"Low Salary",IF(HR_Data[[#This Row],[MonthlyIncome]]&lt;=7000,"Medium Salary","High Salary"))</f>
        <v>Medium Salary</v>
      </c>
      <c r="AN454" s="1" t="str">
        <f>IF(HR_Data[[#This Row],[YearsAtCompany]]&lt;2,"0-1 Years",IF(HR_Data[[#This Row],[YearsAtCompany]]&lt;=5,"2-5 Years",IF(HR_Data[[#This Row],[YearsAtCompany]]&lt;=10,"6-10 Years","10+ Years")))</f>
        <v>6-10 Years</v>
      </c>
      <c r="AO454" s="1" t="str">
        <f>IF(HR_Data[[#This Row],[JobSatisfaction]]=1,"Low",IF(HR_Data[[#This Row],[JobSatisfaction]]=2,"Medium",IF(HR_Data[[#This Row],[JobSatisfaction]]=3,"High","Very High")))</f>
        <v>Medium</v>
      </c>
      <c r="AP454" s="1" t="str">
        <f>IF(HR_Data[[#This Row],[WorkLifeBalance]]=1,"Bad",IF(HR_Data[[#This Row],[WorkLifeBalance]]=2,"Good",IF(HR_Data[[#This Row],[WorkLifeBalance]]=3,"Better","Best")))</f>
        <v>Best</v>
      </c>
    </row>
    <row r="455" spans="1:42" x14ac:dyDescent="0.3">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c r="AJ455">
        <f>IF(HR_Data[[#This Row],[Attrition]]="Yes",1,0)</f>
        <v>1</v>
      </c>
      <c r="AK455">
        <f>IF(HR_Data[[#This Row],[Attrition]]="No",1,0)</f>
        <v>0</v>
      </c>
      <c r="AL455" t="str">
        <f>IF(HR_Data[[#This Row],[Age]]&lt;25,"Under 25",IF(HR_Data[[#This Row],[Age]]&lt;=34,"25-34",IF(HR_Data[[#This Row],[Age]]&lt;=44,"35-44",IF(HR_Data[[#This Row],[Age]]&lt;=54,"45-54","55+"))))</f>
        <v>25-34</v>
      </c>
      <c r="AM455" s="1" t="str">
        <f>IF(HR_Data[[#This Row],[MonthlyIncome]]&lt;3000,"Low Salary",IF(HR_Data[[#This Row],[MonthlyIncome]]&lt;=7000,"Medium Salary","High Salary"))</f>
        <v>Low Salary</v>
      </c>
      <c r="AN455" s="1" t="str">
        <f>IF(HR_Data[[#This Row],[YearsAtCompany]]&lt;2,"0-1 Years",IF(HR_Data[[#This Row],[YearsAtCompany]]&lt;=5,"2-5 Years",IF(HR_Data[[#This Row],[YearsAtCompany]]&lt;=10,"6-10 Years","10+ Years")))</f>
        <v>6-10 Years</v>
      </c>
      <c r="AO455" s="1" t="str">
        <f>IF(HR_Data[[#This Row],[JobSatisfaction]]=1,"Low",IF(HR_Data[[#This Row],[JobSatisfaction]]=2,"Medium",IF(HR_Data[[#This Row],[JobSatisfaction]]=3,"High","Very High")))</f>
        <v>High</v>
      </c>
      <c r="AP455" s="1" t="str">
        <f>IF(HR_Data[[#This Row],[WorkLifeBalance]]=1,"Bad",IF(HR_Data[[#This Row],[WorkLifeBalance]]=2,"Good",IF(HR_Data[[#This Row],[WorkLifeBalance]]=3,"Better","Best")))</f>
        <v>Good</v>
      </c>
    </row>
    <row r="456" spans="1:42" x14ac:dyDescent="0.3">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c r="AJ456">
        <f>IF(HR_Data[[#This Row],[Attrition]]="Yes",1,0)</f>
        <v>0</v>
      </c>
      <c r="AK456">
        <f>IF(HR_Data[[#This Row],[Attrition]]="No",1,0)</f>
        <v>1</v>
      </c>
      <c r="AL456" t="str">
        <f>IF(HR_Data[[#This Row],[Age]]&lt;25,"Under 25",IF(HR_Data[[#This Row],[Age]]&lt;=34,"25-34",IF(HR_Data[[#This Row],[Age]]&lt;=44,"35-44",IF(HR_Data[[#This Row],[Age]]&lt;=54,"45-54","55+"))))</f>
        <v>25-34</v>
      </c>
      <c r="AM456" s="1" t="str">
        <f>IF(HR_Data[[#This Row],[MonthlyIncome]]&lt;3000,"Low Salary",IF(HR_Data[[#This Row],[MonthlyIncome]]&lt;=7000,"Medium Salary","High Salary"))</f>
        <v>Medium Salary</v>
      </c>
      <c r="AN456" s="1" t="str">
        <f>IF(HR_Data[[#This Row],[YearsAtCompany]]&lt;2,"0-1 Years",IF(HR_Data[[#This Row],[YearsAtCompany]]&lt;=5,"2-5 Years",IF(HR_Data[[#This Row],[YearsAtCompany]]&lt;=10,"6-10 Years","10+ Years")))</f>
        <v>2-5 Years</v>
      </c>
      <c r="AO456" s="1" t="str">
        <f>IF(HR_Data[[#This Row],[JobSatisfaction]]=1,"Low",IF(HR_Data[[#This Row],[JobSatisfaction]]=2,"Medium",IF(HR_Data[[#This Row],[JobSatisfaction]]=3,"High","Very High")))</f>
        <v>Very High</v>
      </c>
      <c r="AP456" s="1" t="str">
        <f>IF(HR_Data[[#This Row],[WorkLifeBalance]]=1,"Bad",IF(HR_Data[[#This Row],[WorkLifeBalance]]=2,"Good",IF(HR_Data[[#This Row],[WorkLifeBalance]]=3,"Better","Best")))</f>
        <v>Best</v>
      </c>
    </row>
    <row r="457" spans="1:42" x14ac:dyDescent="0.3">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c r="AJ457">
        <f>IF(HR_Data[[#This Row],[Attrition]]="Yes",1,0)</f>
        <v>0</v>
      </c>
      <c r="AK457">
        <f>IF(HR_Data[[#This Row],[Attrition]]="No",1,0)</f>
        <v>1</v>
      </c>
      <c r="AL457" t="str">
        <f>IF(HR_Data[[#This Row],[Age]]&lt;25,"Under 25",IF(HR_Data[[#This Row],[Age]]&lt;=34,"25-34",IF(HR_Data[[#This Row],[Age]]&lt;=44,"35-44",IF(HR_Data[[#This Row],[Age]]&lt;=54,"45-54","55+"))))</f>
        <v>25-34</v>
      </c>
      <c r="AM457" s="1" t="str">
        <f>IF(HR_Data[[#This Row],[MonthlyIncome]]&lt;3000,"Low Salary",IF(HR_Data[[#This Row],[MonthlyIncome]]&lt;=7000,"Medium Salary","High Salary"))</f>
        <v>High Salary</v>
      </c>
      <c r="AN457" s="1" t="str">
        <f>IF(HR_Data[[#This Row],[YearsAtCompany]]&lt;2,"0-1 Years",IF(HR_Data[[#This Row],[YearsAtCompany]]&lt;=5,"2-5 Years",IF(HR_Data[[#This Row],[YearsAtCompany]]&lt;=10,"6-10 Years","10+ Years")))</f>
        <v>6-10 Years</v>
      </c>
      <c r="AO457" s="1" t="str">
        <f>IF(HR_Data[[#This Row],[JobSatisfaction]]=1,"Low",IF(HR_Data[[#This Row],[JobSatisfaction]]=2,"Medium",IF(HR_Data[[#This Row],[JobSatisfaction]]=3,"High","Very High")))</f>
        <v>High</v>
      </c>
      <c r="AP457" s="1" t="str">
        <f>IF(HR_Data[[#This Row],[WorkLifeBalance]]=1,"Bad",IF(HR_Data[[#This Row],[WorkLifeBalance]]=2,"Good",IF(HR_Data[[#This Row],[WorkLifeBalance]]=3,"Better","Best")))</f>
        <v>Better</v>
      </c>
    </row>
    <row r="458" spans="1:42" x14ac:dyDescent="0.3">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c r="AJ458">
        <f>IF(HR_Data[[#This Row],[Attrition]]="Yes",1,0)</f>
        <v>0</v>
      </c>
      <c r="AK458">
        <f>IF(HR_Data[[#This Row],[Attrition]]="No",1,0)</f>
        <v>1</v>
      </c>
      <c r="AL458" t="str">
        <f>IF(HR_Data[[#This Row],[Age]]&lt;25,"Under 25",IF(HR_Data[[#This Row],[Age]]&lt;=34,"25-34",IF(HR_Data[[#This Row],[Age]]&lt;=44,"35-44",IF(HR_Data[[#This Row],[Age]]&lt;=54,"45-54","55+"))))</f>
        <v>25-34</v>
      </c>
      <c r="AM458" s="1" t="str">
        <f>IF(HR_Data[[#This Row],[MonthlyIncome]]&lt;3000,"Low Salary",IF(HR_Data[[#This Row],[MonthlyIncome]]&lt;=7000,"Medium Salary","High Salary"))</f>
        <v>High Salary</v>
      </c>
      <c r="AN458" s="1" t="str">
        <f>IF(HR_Data[[#This Row],[YearsAtCompany]]&lt;2,"0-1 Years",IF(HR_Data[[#This Row],[YearsAtCompany]]&lt;=5,"2-5 Years",IF(HR_Data[[#This Row],[YearsAtCompany]]&lt;=10,"6-10 Years","10+ Years")))</f>
        <v>2-5 Years</v>
      </c>
      <c r="AO458" s="1" t="str">
        <f>IF(HR_Data[[#This Row],[JobSatisfaction]]=1,"Low",IF(HR_Data[[#This Row],[JobSatisfaction]]=2,"Medium",IF(HR_Data[[#This Row],[JobSatisfaction]]=3,"High","Very High")))</f>
        <v>Very High</v>
      </c>
      <c r="AP458" s="1" t="str">
        <f>IF(HR_Data[[#This Row],[WorkLifeBalance]]=1,"Bad",IF(HR_Data[[#This Row],[WorkLifeBalance]]=2,"Good",IF(HR_Data[[#This Row],[WorkLifeBalance]]=3,"Better","Best")))</f>
        <v>Good</v>
      </c>
    </row>
    <row r="459" spans="1:42" x14ac:dyDescent="0.3">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c r="AJ459">
        <f>IF(HR_Data[[#This Row],[Attrition]]="Yes",1,0)</f>
        <v>1</v>
      </c>
      <c r="AK459">
        <f>IF(HR_Data[[#This Row],[Attrition]]="No",1,0)</f>
        <v>0</v>
      </c>
      <c r="AL459" t="str">
        <f>IF(HR_Data[[#This Row],[Age]]&lt;25,"Under 25",IF(HR_Data[[#This Row],[Age]]&lt;=34,"25-34",IF(HR_Data[[#This Row],[Age]]&lt;=44,"35-44",IF(HR_Data[[#This Row],[Age]]&lt;=54,"45-54","55+"))))</f>
        <v>Under 25</v>
      </c>
      <c r="AM459" s="1" t="str">
        <f>IF(HR_Data[[#This Row],[MonthlyIncome]]&lt;3000,"Low Salary",IF(HR_Data[[#This Row],[MonthlyIncome]]&lt;=7000,"Medium Salary","High Salary"))</f>
        <v>Low Salary</v>
      </c>
      <c r="AN459" s="1" t="str">
        <f>IF(HR_Data[[#This Row],[YearsAtCompany]]&lt;2,"0-1 Years",IF(HR_Data[[#This Row],[YearsAtCompany]]&lt;=5,"2-5 Years",IF(HR_Data[[#This Row],[YearsAtCompany]]&lt;=10,"6-10 Years","10+ Years")))</f>
        <v>0-1 Years</v>
      </c>
      <c r="AO459" s="1" t="str">
        <f>IF(HR_Data[[#This Row],[JobSatisfaction]]=1,"Low",IF(HR_Data[[#This Row],[JobSatisfaction]]=2,"Medium",IF(HR_Data[[#This Row],[JobSatisfaction]]=3,"High","Very High")))</f>
        <v>Medium</v>
      </c>
      <c r="AP459" s="1" t="str">
        <f>IF(HR_Data[[#This Row],[WorkLifeBalance]]=1,"Bad",IF(HR_Data[[#This Row],[WorkLifeBalance]]=2,"Good",IF(HR_Data[[#This Row],[WorkLifeBalance]]=3,"Better","Best")))</f>
        <v>Better</v>
      </c>
    </row>
    <row r="460" spans="1:42" x14ac:dyDescent="0.3">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c r="AJ460">
        <f>IF(HR_Data[[#This Row],[Attrition]]="Yes",1,0)</f>
        <v>0</v>
      </c>
      <c r="AK460">
        <f>IF(HR_Data[[#This Row],[Attrition]]="No",1,0)</f>
        <v>1</v>
      </c>
      <c r="AL460" t="str">
        <f>IF(HR_Data[[#This Row],[Age]]&lt;25,"Under 25",IF(HR_Data[[#This Row],[Age]]&lt;=34,"25-34",IF(HR_Data[[#This Row],[Age]]&lt;=44,"35-44",IF(HR_Data[[#This Row],[Age]]&lt;=54,"45-54","55+"))))</f>
        <v>35-44</v>
      </c>
      <c r="AM460" s="1" t="str">
        <f>IF(HR_Data[[#This Row],[MonthlyIncome]]&lt;3000,"Low Salary",IF(HR_Data[[#This Row],[MonthlyIncome]]&lt;=7000,"Medium Salary","High Salary"))</f>
        <v>High Salary</v>
      </c>
      <c r="AN460" s="1" t="str">
        <f>IF(HR_Data[[#This Row],[YearsAtCompany]]&lt;2,"0-1 Years",IF(HR_Data[[#This Row],[YearsAtCompany]]&lt;=5,"2-5 Years",IF(HR_Data[[#This Row],[YearsAtCompany]]&lt;=10,"6-10 Years","10+ Years")))</f>
        <v>0-1 Years</v>
      </c>
      <c r="AO460" s="1" t="str">
        <f>IF(HR_Data[[#This Row],[JobSatisfaction]]=1,"Low",IF(HR_Data[[#This Row],[JobSatisfaction]]=2,"Medium",IF(HR_Data[[#This Row],[JobSatisfaction]]=3,"High","Very High")))</f>
        <v>Low</v>
      </c>
      <c r="AP460" s="1" t="str">
        <f>IF(HR_Data[[#This Row],[WorkLifeBalance]]=1,"Bad",IF(HR_Data[[#This Row],[WorkLifeBalance]]=2,"Good",IF(HR_Data[[#This Row],[WorkLifeBalance]]=3,"Better","Best")))</f>
        <v>Better</v>
      </c>
    </row>
    <row r="461" spans="1:42" x14ac:dyDescent="0.3">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c r="AJ461">
        <f>IF(HR_Data[[#This Row],[Attrition]]="Yes",1,0)</f>
        <v>0</v>
      </c>
      <c r="AK461">
        <f>IF(HR_Data[[#This Row],[Attrition]]="No",1,0)</f>
        <v>1</v>
      </c>
      <c r="AL461" t="str">
        <f>IF(HR_Data[[#This Row],[Age]]&lt;25,"Under 25",IF(HR_Data[[#This Row],[Age]]&lt;=34,"25-34",IF(HR_Data[[#This Row],[Age]]&lt;=44,"35-44",IF(HR_Data[[#This Row],[Age]]&lt;=54,"45-54","55+"))))</f>
        <v>35-44</v>
      </c>
      <c r="AM461" s="1" t="str">
        <f>IF(HR_Data[[#This Row],[MonthlyIncome]]&lt;3000,"Low Salary",IF(HR_Data[[#This Row],[MonthlyIncome]]&lt;=7000,"Medium Salary","High Salary"))</f>
        <v>Medium Salary</v>
      </c>
      <c r="AN461" s="1" t="str">
        <f>IF(HR_Data[[#This Row],[YearsAtCompany]]&lt;2,"0-1 Years",IF(HR_Data[[#This Row],[YearsAtCompany]]&lt;=5,"2-5 Years",IF(HR_Data[[#This Row],[YearsAtCompany]]&lt;=10,"6-10 Years","10+ Years")))</f>
        <v>6-10 Years</v>
      </c>
      <c r="AO461" s="1" t="str">
        <f>IF(HR_Data[[#This Row],[JobSatisfaction]]=1,"Low",IF(HR_Data[[#This Row],[JobSatisfaction]]=2,"Medium",IF(HR_Data[[#This Row],[JobSatisfaction]]=3,"High","Very High")))</f>
        <v>High</v>
      </c>
      <c r="AP461" s="1" t="str">
        <f>IF(HR_Data[[#This Row],[WorkLifeBalance]]=1,"Bad",IF(HR_Data[[#This Row],[WorkLifeBalance]]=2,"Good",IF(HR_Data[[#This Row],[WorkLifeBalance]]=3,"Better","Best")))</f>
        <v>Better</v>
      </c>
    </row>
    <row r="462" spans="1:42" x14ac:dyDescent="0.3">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c r="AJ462">
        <f>IF(HR_Data[[#This Row],[Attrition]]="Yes",1,0)</f>
        <v>0</v>
      </c>
      <c r="AK462">
        <f>IF(HR_Data[[#This Row],[Attrition]]="No",1,0)</f>
        <v>1</v>
      </c>
      <c r="AL462" t="str">
        <f>IF(HR_Data[[#This Row],[Age]]&lt;25,"Under 25",IF(HR_Data[[#This Row],[Age]]&lt;=34,"25-34",IF(HR_Data[[#This Row],[Age]]&lt;=44,"35-44",IF(HR_Data[[#This Row],[Age]]&lt;=54,"45-54","55+"))))</f>
        <v>25-34</v>
      </c>
      <c r="AM462" s="1" t="str">
        <f>IF(HR_Data[[#This Row],[MonthlyIncome]]&lt;3000,"Low Salary",IF(HR_Data[[#This Row],[MonthlyIncome]]&lt;=7000,"Medium Salary","High Salary"))</f>
        <v>Medium Salary</v>
      </c>
      <c r="AN462" s="1" t="str">
        <f>IF(HR_Data[[#This Row],[YearsAtCompany]]&lt;2,"0-1 Years",IF(HR_Data[[#This Row],[YearsAtCompany]]&lt;=5,"2-5 Years",IF(HR_Data[[#This Row],[YearsAtCompany]]&lt;=10,"6-10 Years","10+ Years")))</f>
        <v>0-1 Years</v>
      </c>
      <c r="AO462" s="1" t="str">
        <f>IF(HR_Data[[#This Row],[JobSatisfaction]]=1,"Low",IF(HR_Data[[#This Row],[JobSatisfaction]]=2,"Medium",IF(HR_Data[[#This Row],[JobSatisfaction]]=3,"High","Very High")))</f>
        <v>High</v>
      </c>
      <c r="AP462" s="1" t="str">
        <f>IF(HR_Data[[#This Row],[WorkLifeBalance]]=1,"Bad",IF(HR_Data[[#This Row],[WorkLifeBalance]]=2,"Good",IF(HR_Data[[#This Row],[WorkLifeBalance]]=3,"Better","Best")))</f>
        <v>Better</v>
      </c>
    </row>
    <row r="463" spans="1:42" x14ac:dyDescent="0.3">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c r="AJ463">
        <f>IF(HR_Data[[#This Row],[Attrition]]="Yes",1,0)</f>
        <v>0</v>
      </c>
      <c r="AK463">
        <f>IF(HR_Data[[#This Row],[Attrition]]="No",1,0)</f>
        <v>1</v>
      </c>
      <c r="AL463" t="str">
        <f>IF(HR_Data[[#This Row],[Age]]&lt;25,"Under 25",IF(HR_Data[[#This Row],[Age]]&lt;=34,"25-34",IF(HR_Data[[#This Row],[Age]]&lt;=44,"35-44",IF(HR_Data[[#This Row],[Age]]&lt;=54,"45-54","55+"))))</f>
        <v>35-44</v>
      </c>
      <c r="AM463" s="1" t="str">
        <f>IF(HR_Data[[#This Row],[MonthlyIncome]]&lt;3000,"Low Salary",IF(HR_Data[[#This Row],[MonthlyIncome]]&lt;=7000,"Medium Salary","High Salary"))</f>
        <v>Medium Salary</v>
      </c>
      <c r="AN463" s="1" t="str">
        <f>IF(HR_Data[[#This Row],[YearsAtCompany]]&lt;2,"0-1 Years",IF(HR_Data[[#This Row],[YearsAtCompany]]&lt;=5,"2-5 Years",IF(HR_Data[[#This Row],[YearsAtCompany]]&lt;=10,"6-10 Years","10+ Years")))</f>
        <v>2-5 Years</v>
      </c>
      <c r="AO463" s="1" t="str">
        <f>IF(HR_Data[[#This Row],[JobSatisfaction]]=1,"Low",IF(HR_Data[[#This Row],[JobSatisfaction]]=2,"Medium",IF(HR_Data[[#This Row],[JobSatisfaction]]=3,"High","Very High")))</f>
        <v>High</v>
      </c>
      <c r="AP463" s="1" t="str">
        <f>IF(HR_Data[[#This Row],[WorkLifeBalance]]=1,"Bad",IF(HR_Data[[#This Row],[WorkLifeBalance]]=2,"Good",IF(HR_Data[[#This Row],[WorkLifeBalance]]=3,"Better","Best")))</f>
        <v>Better</v>
      </c>
    </row>
    <row r="464" spans="1:42" x14ac:dyDescent="0.3">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c r="AJ464">
        <f>IF(HR_Data[[#This Row],[Attrition]]="Yes",1,0)</f>
        <v>0</v>
      </c>
      <c r="AK464">
        <f>IF(HR_Data[[#This Row],[Attrition]]="No",1,0)</f>
        <v>1</v>
      </c>
      <c r="AL464" t="str">
        <f>IF(HR_Data[[#This Row],[Age]]&lt;25,"Under 25",IF(HR_Data[[#This Row],[Age]]&lt;=34,"25-34",IF(HR_Data[[#This Row],[Age]]&lt;=44,"35-44",IF(HR_Data[[#This Row],[Age]]&lt;=54,"45-54","55+"))))</f>
        <v>25-34</v>
      </c>
      <c r="AM464" s="1" t="str">
        <f>IF(HR_Data[[#This Row],[MonthlyIncome]]&lt;3000,"Low Salary",IF(HR_Data[[#This Row],[MonthlyIncome]]&lt;=7000,"Medium Salary","High Salary"))</f>
        <v>Medium Salary</v>
      </c>
      <c r="AN464" s="1" t="str">
        <f>IF(HR_Data[[#This Row],[YearsAtCompany]]&lt;2,"0-1 Years",IF(HR_Data[[#This Row],[YearsAtCompany]]&lt;=5,"2-5 Years",IF(HR_Data[[#This Row],[YearsAtCompany]]&lt;=10,"6-10 Years","10+ Years")))</f>
        <v>6-10 Years</v>
      </c>
      <c r="AO464" s="1" t="str">
        <f>IF(HR_Data[[#This Row],[JobSatisfaction]]=1,"Low",IF(HR_Data[[#This Row],[JobSatisfaction]]=2,"Medium",IF(HR_Data[[#This Row],[JobSatisfaction]]=3,"High","Very High")))</f>
        <v>Very High</v>
      </c>
      <c r="AP464" s="1" t="str">
        <f>IF(HR_Data[[#This Row],[WorkLifeBalance]]=1,"Bad",IF(HR_Data[[#This Row],[WorkLifeBalance]]=2,"Good",IF(HR_Data[[#This Row],[WorkLifeBalance]]=3,"Better","Best")))</f>
        <v>Better</v>
      </c>
    </row>
    <row r="465" spans="1:42" x14ac:dyDescent="0.3">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c r="AJ465">
        <f>IF(HR_Data[[#This Row],[Attrition]]="Yes",1,0)</f>
        <v>1</v>
      </c>
      <c r="AK465">
        <f>IF(HR_Data[[#This Row],[Attrition]]="No",1,0)</f>
        <v>0</v>
      </c>
      <c r="AL465" t="str">
        <f>IF(HR_Data[[#This Row],[Age]]&lt;25,"Under 25",IF(HR_Data[[#This Row],[Age]]&lt;=34,"25-34",IF(HR_Data[[#This Row],[Age]]&lt;=44,"35-44",IF(HR_Data[[#This Row],[Age]]&lt;=54,"45-54","55+"))))</f>
        <v>25-34</v>
      </c>
      <c r="AM465" s="1" t="str">
        <f>IF(HR_Data[[#This Row],[MonthlyIncome]]&lt;3000,"Low Salary",IF(HR_Data[[#This Row],[MonthlyIncome]]&lt;=7000,"Medium Salary","High Salary"))</f>
        <v>Low Salary</v>
      </c>
      <c r="AN465" s="1" t="str">
        <f>IF(HR_Data[[#This Row],[YearsAtCompany]]&lt;2,"0-1 Years",IF(HR_Data[[#This Row],[YearsAtCompany]]&lt;=5,"2-5 Years",IF(HR_Data[[#This Row],[YearsAtCompany]]&lt;=10,"6-10 Years","10+ Years")))</f>
        <v>0-1 Years</v>
      </c>
      <c r="AO465" s="1" t="str">
        <f>IF(HR_Data[[#This Row],[JobSatisfaction]]=1,"Low",IF(HR_Data[[#This Row],[JobSatisfaction]]=2,"Medium",IF(HR_Data[[#This Row],[JobSatisfaction]]=3,"High","Very High")))</f>
        <v>Very High</v>
      </c>
      <c r="AP465" s="1" t="str">
        <f>IF(HR_Data[[#This Row],[WorkLifeBalance]]=1,"Bad",IF(HR_Data[[#This Row],[WorkLifeBalance]]=2,"Good",IF(HR_Data[[#This Row],[WorkLifeBalance]]=3,"Better","Best")))</f>
        <v>Bad</v>
      </c>
    </row>
    <row r="466" spans="1:42" x14ac:dyDescent="0.3">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c r="AJ466">
        <f>IF(HR_Data[[#This Row],[Attrition]]="Yes",1,0)</f>
        <v>0</v>
      </c>
      <c r="AK466">
        <f>IF(HR_Data[[#This Row],[Attrition]]="No",1,0)</f>
        <v>1</v>
      </c>
      <c r="AL466" t="str">
        <f>IF(HR_Data[[#This Row],[Age]]&lt;25,"Under 25",IF(HR_Data[[#This Row],[Age]]&lt;=34,"25-34",IF(HR_Data[[#This Row],[Age]]&lt;=44,"35-44",IF(HR_Data[[#This Row],[Age]]&lt;=54,"45-54","55+"))))</f>
        <v>35-44</v>
      </c>
      <c r="AM466" s="1" t="str">
        <f>IF(HR_Data[[#This Row],[MonthlyIncome]]&lt;3000,"Low Salary",IF(HR_Data[[#This Row],[MonthlyIncome]]&lt;=7000,"Medium Salary","High Salary"))</f>
        <v>High Salary</v>
      </c>
      <c r="AN466" s="1" t="str">
        <f>IF(HR_Data[[#This Row],[YearsAtCompany]]&lt;2,"0-1 Years",IF(HR_Data[[#This Row],[YearsAtCompany]]&lt;=5,"2-5 Years",IF(HR_Data[[#This Row],[YearsAtCompany]]&lt;=10,"6-10 Years","10+ Years")))</f>
        <v>6-10 Years</v>
      </c>
      <c r="AO466" s="1" t="str">
        <f>IF(HR_Data[[#This Row],[JobSatisfaction]]=1,"Low",IF(HR_Data[[#This Row],[JobSatisfaction]]=2,"Medium",IF(HR_Data[[#This Row],[JobSatisfaction]]=3,"High","Very High")))</f>
        <v>Very High</v>
      </c>
      <c r="AP466" s="1" t="str">
        <f>IF(HR_Data[[#This Row],[WorkLifeBalance]]=1,"Bad",IF(HR_Data[[#This Row],[WorkLifeBalance]]=2,"Good",IF(HR_Data[[#This Row],[WorkLifeBalance]]=3,"Better","Best")))</f>
        <v>Best</v>
      </c>
    </row>
    <row r="467" spans="1:42" x14ac:dyDescent="0.3">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c r="AJ467">
        <f>IF(HR_Data[[#This Row],[Attrition]]="Yes",1,0)</f>
        <v>0</v>
      </c>
      <c r="AK467">
        <f>IF(HR_Data[[#This Row],[Attrition]]="No",1,0)</f>
        <v>1</v>
      </c>
      <c r="AL467" t="str">
        <f>IF(HR_Data[[#This Row],[Age]]&lt;25,"Under 25",IF(HR_Data[[#This Row],[Age]]&lt;=34,"25-34",IF(HR_Data[[#This Row],[Age]]&lt;=44,"35-44",IF(HR_Data[[#This Row],[Age]]&lt;=54,"45-54","55+"))))</f>
        <v>45-54</v>
      </c>
      <c r="AM467" s="1" t="str">
        <f>IF(HR_Data[[#This Row],[MonthlyIncome]]&lt;3000,"Low Salary",IF(HR_Data[[#This Row],[MonthlyIncome]]&lt;=7000,"Medium Salary","High Salary"))</f>
        <v>High Salary</v>
      </c>
      <c r="AN467" s="1" t="str">
        <f>IF(HR_Data[[#This Row],[YearsAtCompany]]&lt;2,"0-1 Years",IF(HR_Data[[#This Row],[YearsAtCompany]]&lt;=5,"2-5 Years",IF(HR_Data[[#This Row],[YearsAtCompany]]&lt;=10,"6-10 Years","10+ Years")))</f>
        <v>2-5 Years</v>
      </c>
      <c r="AO467" s="1" t="str">
        <f>IF(HR_Data[[#This Row],[JobSatisfaction]]=1,"Low",IF(HR_Data[[#This Row],[JobSatisfaction]]=2,"Medium",IF(HR_Data[[#This Row],[JobSatisfaction]]=3,"High","Very High")))</f>
        <v>High</v>
      </c>
      <c r="AP467" s="1" t="str">
        <f>IF(HR_Data[[#This Row],[WorkLifeBalance]]=1,"Bad",IF(HR_Data[[#This Row],[WorkLifeBalance]]=2,"Good",IF(HR_Data[[#This Row],[WorkLifeBalance]]=3,"Better","Best")))</f>
        <v>Good</v>
      </c>
    </row>
    <row r="468" spans="1:42" x14ac:dyDescent="0.3">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c r="AJ468">
        <f>IF(HR_Data[[#This Row],[Attrition]]="Yes",1,0)</f>
        <v>0</v>
      </c>
      <c r="AK468">
        <f>IF(HR_Data[[#This Row],[Attrition]]="No",1,0)</f>
        <v>1</v>
      </c>
      <c r="AL468" t="str">
        <f>IF(HR_Data[[#This Row],[Age]]&lt;25,"Under 25",IF(HR_Data[[#This Row],[Age]]&lt;=34,"25-34",IF(HR_Data[[#This Row],[Age]]&lt;=44,"35-44",IF(HR_Data[[#This Row],[Age]]&lt;=54,"45-54","55+"))))</f>
        <v>35-44</v>
      </c>
      <c r="AM468" s="1" t="str">
        <f>IF(HR_Data[[#This Row],[MonthlyIncome]]&lt;3000,"Low Salary",IF(HR_Data[[#This Row],[MonthlyIncome]]&lt;=7000,"Medium Salary","High Salary"))</f>
        <v>High Salary</v>
      </c>
      <c r="AN468" s="1" t="str">
        <f>IF(HR_Data[[#This Row],[YearsAtCompany]]&lt;2,"0-1 Years",IF(HR_Data[[#This Row],[YearsAtCompany]]&lt;=5,"2-5 Years",IF(HR_Data[[#This Row],[YearsAtCompany]]&lt;=10,"6-10 Years","10+ Years")))</f>
        <v>10+ Years</v>
      </c>
      <c r="AO468" s="1" t="str">
        <f>IF(HR_Data[[#This Row],[JobSatisfaction]]=1,"Low",IF(HR_Data[[#This Row],[JobSatisfaction]]=2,"Medium",IF(HR_Data[[#This Row],[JobSatisfaction]]=3,"High","Very High")))</f>
        <v>Low</v>
      </c>
      <c r="AP468" s="1" t="str">
        <f>IF(HR_Data[[#This Row],[WorkLifeBalance]]=1,"Bad",IF(HR_Data[[#This Row],[WorkLifeBalance]]=2,"Good",IF(HR_Data[[#This Row],[WorkLifeBalance]]=3,"Better","Best")))</f>
        <v>Better</v>
      </c>
    </row>
    <row r="469" spans="1:42" x14ac:dyDescent="0.3">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c r="AJ469">
        <f>IF(HR_Data[[#This Row],[Attrition]]="Yes",1,0)</f>
        <v>0</v>
      </c>
      <c r="AK469">
        <f>IF(HR_Data[[#This Row],[Attrition]]="No",1,0)</f>
        <v>1</v>
      </c>
      <c r="AL469" t="str">
        <f>IF(HR_Data[[#This Row],[Age]]&lt;25,"Under 25",IF(HR_Data[[#This Row],[Age]]&lt;=34,"25-34",IF(HR_Data[[#This Row],[Age]]&lt;=44,"35-44",IF(HR_Data[[#This Row],[Age]]&lt;=54,"45-54","55+"))))</f>
        <v>35-44</v>
      </c>
      <c r="AM469" s="1" t="str">
        <f>IF(HR_Data[[#This Row],[MonthlyIncome]]&lt;3000,"Low Salary",IF(HR_Data[[#This Row],[MonthlyIncome]]&lt;=7000,"Medium Salary","High Salary"))</f>
        <v>High Salary</v>
      </c>
      <c r="AN469" s="1" t="str">
        <f>IF(HR_Data[[#This Row],[YearsAtCompany]]&lt;2,"0-1 Years",IF(HR_Data[[#This Row],[YearsAtCompany]]&lt;=5,"2-5 Years",IF(HR_Data[[#This Row],[YearsAtCompany]]&lt;=10,"6-10 Years","10+ Years")))</f>
        <v>6-10 Years</v>
      </c>
      <c r="AO469" s="1" t="str">
        <f>IF(HR_Data[[#This Row],[JobSatisfaction]]=1,"Low",IF(HR_Data[[#This Row],[JobSatisfaction]]=2,"Medium",IF(HR_Data[[#This Row],[JobSatisfaction]]=3,"High","Very High")))</f>
        <v>Medium</v>
      </c>
      <c r="AP469" s="1" t="str">
        <f>IF(HR_Data[[#This Row],[WorkLifeBalance]]=1,"Bad",IF(HR_Data[[#This Row],[WorkLifeBalance]]=2,"Good",IF(HR_Data[[#This Row],[WorkLifeBalance]]=3,"Better","Best")))</f>
        <v>Better</v>
      </c>
    </row>
    <row r="470" spans="1:42" x14ac:dyDescent="0.3">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c r="AJ470">
        <f>IF(HR_Data[[#This Row],[Attrition]]="Yes",1,0)</f>
        <v>0</v>
      </c>
      <c r="AK470">
        <f>IF(HR_Data[[#This Row],[Attrition]]="No",1,0)</f>
        <v>1</v>
      </c>
      <c r="AL470" t="str">
        <f>IF(HR_Data[[#This Row],[Age]]&lt;25,"Under 25",IF(HR_Data[[#This Row],[Age]]&lt;=34,"25-34",IF(HR_Data[[#This Row],[Age]]&lt;=44,"35-44",IF(HR_Data[[#This Row],[Age]]&lt;=54,"45-54","55+"))))</f>
        <v>45-54</v>
      </c>
      <c r="AM470" s="1" t="str">
        <f>IF(HR_Data[[#This Row],[MonthlyIncome]]&lt;3000,"Low Salary",IF(HR_Data[[#This Row],[MonthlyIncome]]&lt;=7000,"Medium Salary","High Salary"))</f>
        <v>Medium Salary</v>
      </c>
      <c r="AN470" s="1" t="str">
        <f>IF(HR_Data[[#This Row],[YearsAtCompany]]&lt;2,"0-1 Years",IF(HR_Data[[#This Row],[YearsAtCompany]]&lt;=5,"2-5 Years",IF(HR_Data[[#This Row],[YearsAtCompany]]&lt;=10,"6-10 Years","10+ Years")))</f>
        <v>6-10 Years</v>
      </c>
      <c r="AO470" s="1" t="str">
        <f>IF(HR_Data[[#This Row],[JobSatisfaction]]=1,"Low",IF(HR_Data[[#This Row],[JobSatisfaction]]=2,"Medium",IF(HR_Data[[#This Row],[JobSatisfaction]]=3,"High","Very High")))</f>
        <v>Low</v>
      </c>
      <c r="AP470" s="1" t="str">
        <f>IF(HR_Data[[#This Row],[WorkLifeBalance]]=1,"Bad",IF(HR_Data[[#This Row],[WorkLifeBalance]]=2,"Good",IF(HR_Data[[#This Row],[WorkLifeBalance]]=3,"Better","Best")))</f>
        <v>Better</v>
      </c>
    </row>
    <row r="471" spans="1:42" x14ac:dyDescent="0.3">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c r="AJ471">
        <f>IF(HR_Data[[#This Row],[Attrition]]="Yes",1,0)</f>
        <v>1</v>
      </c>
      <c r="AK471">
        <f>IF(HR_Data[[#This Row],[Attrition]]="No",1,0)</f>
        <v>0</v>
      </c>
      <c r="AL471" t="str">
        <f>IF(HR_Data[[#This Row],[Age]]&lt;25,"Under 25",IF(HR_Data[[#This Row],[Age]]&lt;=34,"25-34",IF(HR_Data[[#This Row],[Age]]&lt;=44,"35-44",IF(HR_Data[[#This Row],[Age]]&lt;=54,"45-54","55+"))))</f>
        <v>25-34</v>
      </c>
      <c r="AM471" s="1" t="str">
        <f>IF(HR_Data[[#This Row],[MonthlyIncome]]&lt;3000,"Low Salary",IF(HR_Data[[#This Row],[MonthlyIncome]]&lt;=7000,"Medium Salary","High Salary"))</f>
        <v>Medium Salary</v>
      </c>
      <c r="AN471" s="1" t="str">
        <f>IF(HR_Data[[#This Row],[YearsAtCompany]]&lt;2,"0-1 Years",IF(HR_Data[[#This Row],[YearsAtCompany]]&lt;=5,"2-5 Years",IF(HR_Data[[#This Row],[YearsAtCompany]]&lt;=10,"6-10 Years","10+ Years")))</f>
        <v>2-5 Years</v>
      </c>
      <c r="AO471" s="1" t="str">
        <f>IF(HR_Data[[#This Row],[JobSatisfaction]]=1,"Low",IF(HR_Data[[#This Row],[JobSatisfaction]]=2,"Medium",IF(HR_Data[[#This Row],[JobSatisfaction]]=3,"High","Very High")))</f>
        <v>High</v>
      </c>
      <c r="AP471" s="1" t="str">
        <f>IF(HR_Data[[#This Row],[WorkLifeBalance]]=1,"Bad",IF(HR_Data[[#This Row],[WorkLifeBalance]]=2,"Good",IF(HR_Data[[#This Row],[WorkLifeBalance]]=3,"Better","Best")))</f>
        <v>Better</v>
      </c>
    </row>
    <row r="472" spans="1:42" x14ac:dyDescent="0.3">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c r="AJ472">
        <f>IF(HR_Data[[#This Row],[Attrition]]="Yes",1,0)</f>
        <v>0</v>
      </c>
      <c r="AK472">
        <f>IF(HR_Data[[#This Row],[Attrition]]="No",1,0)</f>
        <v>1</v>
      </c>
      <c r="AL472" t="str">
        <f>IF(HR_Data[[#This Row],[Age]]&lt;25,"Under 25",IF(HR_Data[[#This Row],[Age]]&lt;=34,"25-34",IF(HR_Data[[#This Row],[Age]]&lt;=44,"35-44",IF(HR_Data[[#This Row],[Age]]&lt;=54,"45-54","55+"))))</f>
        <v>Under 25</v>
      </c>
      <c r="AM472" s="1" t="str">
        <f>IF(HR_Data[[#This Row],[MonthlyIncome]]&lt;3000,"Low Salary",IF(HR_Data[[#This Row],[MonthlyIncome]]&lt;=7000,"Medium Salary","High Salary"))</f>
        <v>Low Salary</v>
      </c>
      <c r="AN472" s="1" t="str">
        <f>IF(HR_Data[[#This Row],[YearsAtCompany]]&lt;2,"0-1 Years",IF(HR_Data[[#This Row],[YearsAtCompany]]&lt;=5,"2-5 Years",IF(HR_Data[[#This Row],[YearsAtCompany]]&lt;=10,"6-10 Years","10+ Years")))</f>
        <v>2-5 Years</v>
      </c>
      <c r="AO472" s="1" t="str">
        <f>IF(HR_Data[[#This Row],[JobSatisfaction]]=1,"Low",IF(HR_Data[[#This Row],[JobSatisfaction]]=2,"Medium",IF(HR_Data[[#This Row],[JobSatisfaction]]=3,"High","Very High")))</f>
        <v>Very High</v>
      </c>
      <c r="AP472" s="1" t="str">
        <f>IF(HR_Data[[#This Row],[WorkLifeBalance]]=1,"Bad",IF(HR_Data[[#This Row],[WorkLifeBalance]]=2,"Good",IF(HR_Data[[#This Row],[WorkLifeBalance]]=3,"Better","Best")))</f>
        <v>Better</v>
      </c>
    </row>
    <row r="473" spans="1:42" x14ac:dyDescent="0.3">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c r="AJ473">
        <f>IF(HR_Data[[#This Row],[Attrition]]="Yes",1,0)</f>
        <v>0</v>
      </c>
      <c r="AK473">
        <f>IF(HR_Data[[#This Row],[Attrition]]="No",1,0)</f>
        <v>1</v>
      </c>
      <c r="AL473" t="str">
        <f>IF(HR_Data[[#This Row],[Age]]&lt;25,"Under 25",IF(HR_Data[[#This Row],[Age]]&lt;=34,"25-34",IF(HR_Data[[#This Row],[Age]]&lt;=44,"35-44",IF(HR_Data[[#This Row],[Age]]&lt;=54,"45-54","55+"))))</f>
        <v>35-44</v>
      </c>
      <c r="AM473" s="1" t="str">
        <f>IF(HR_Data[[#This Row],[MonthlyIncome]]&lt;3000,"Low Salary",IF(HR_Data[[#This Row],[MonthlyIncome]]&lt;=7000,"Medium Salary","High Salary"))</f>
        <v>High Salary</v>
      </c>
      <c r="AN473" s="1" t="str">
        <f>IF(HR_Data[[#This Row],[YearsAtCompany]]&lt;2,"0-1 Years",IF(HR_Data[[#This Row],[YearsAtCompany]]&lt;=5,"2-5 Years",IF(HR_Data[[#This Row],[YearsAtCompany]]&lt;=10,"6-10 Years","10+ Years")))</f>
        <v>0-1 Years</v>
      </c>
      <c r="AO473" s="1" t="str">
        <f>IF(HR_Data[[#This Row],[JobSatisfaction]]=1,"Low",IF(HR_Data[[#This Row],[JobSatisfaction]]=2,"Medium",IF(HR_Data[[#This Row],[JobSatisfaction]]=3,"High","Very High")))</f>
        <v>High</v>
      </c>
      <c r="AP473" s="1" t="str">
        <f>IF(HR_Data[[#This Row],[WorkLifeBalance]]=1,"Bad",IF(HR_Data[[#This Row],[WorkLifeBalance]]=2,"Good",IF(HR_Data[[#This Row],[WorkLifeBalance]]=3,"Better","Best")))</f>
        <v>Better</v>
      </c>
    </row>
    <row r="474" spans="1:42" x14ac:dyDescent="0.3">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c r="AJ474">
        <f>IF(HR_Data[[#This Row],[Attrition]]="Yes",1,0)</f>
        <v>0</v>
      </c>
      <c r="AK474">
        <f>IF(HR_Data[[#This Row],[Attrition]]="No",1,0)</f>
        <v>1</v>
      </c>
      <c r="AL474" t="str">
        <f>IF(HR_Data[[#This Row],[Age]]&lt;25,"Under 25",IF(HR_Data[[#This Row],[Age]]&lt;=34,"25-34",IF(HR_Data[[#This Row],[Age]]&lt;=44,"35-44",IF(HR_Data[[#This Row],[Age]]&lt;=54,"45-54","55+"))))</f>
        <v>35-44</v>
      </c>
      <c r="AM474" s="1" t="str">
        <f>IF(HR_Data[[#This Row],[MonthlyIncome]]&lt;3000,"Low Salary",IF(HR_Data[[#This Row],[MonthlyIncome]]&lt;=7000,"Medium Salary","High Salary"))</f>
        <v>Medium Salary</v>
      </c>
      <c r="AN474" s="1" t="str">
        <f>IF(HR_Data[[#This Row],[YearsAtCompany]]&lt;2,"0-1 Years",IF(HR_Data[[#This Row],[YearsAtCompany]]&lt;=5,"2-5 Years",IF(HR_Data[[#This Row],[YearsAtCompany]]&lt;=10,"6-10 Years","10+ Years")))</f>
        <v>6-10 Years</v>
      </c>
      <c r="AO474" s="1" t="str">
        <f>IF(HR_Data[[#This Row],[JobSatisfaction]]=1,"Low",IF(HR_Data[[#This Row],[JobSatisfaction]]=2,"Medium",IF(HR_Data[[#This Row],[JobSatisfaction]]=3,"High","Very High")))</f>
        <v>Medium</v>
      </c>
      <c r="AP474" s="1" t="str">
        <f>IF(HR_Data[[#This Row],[WorkLifeBalance]]=1,"Bad",IF(HR_Data[[#This Row],[WorkLifeBalance]]=2,"Good",IF(HR_Data[[#This Row],[WorkLifeBalance]]=3,"Better","Best")))</f>
        <v>Good</v>
      </c>
    </row>
    <row r="475" spans="1:42" x14ac:dyDescent="0.3">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c r="AJ475">
        <f>IF(HR_Data[[#This Row],[Attrition]]="Yes",1,0)</f>
        <v>0</v>
      </c>
      <c r="AK475">
        <f>IF(HR_Data[[#This Row],[Attrition]]="No",1,0)</f>
        <v>1</v>
      </c>
      <c r="AL475" t="str">
        <f>IF(HR_Data[[#This Row],[Age]]&lt;25,"Under 25",IF(HR_Data[[#This Row],[Age]]&lt;=34,"25-34",IF(HR_Data[[#This Row],[Age]]&lt;=44,"35-44",IF(HR_Data[[#This Row],[Age]]&lt;=54,"45-54","55+"))))</f>
        <v>45-54</v>
      </c>
      <c r="AM475" s="1" t="str">
        <f>IF(HR_Data[[#This Row],[MonthlyIncome]]&lt;3000,"Low Salary",IF(HR_Data[[#This Row],[MonthlyIncome]]&lt;=7000,"Medium Salary","High Salary"))</f>
        <v>High Salary</v>
      </c>
      <c r="AN475" s="1" t="str">
        <f>IF(HR_Data[[#This Row],[YearsAtCompany]]&lt;2,"0-1 Years",IF(HR_Data[[#This Row],[YearsAtCompany]]&lt;=5,"2-5 Years",IF(HR_Data[[#This Row],[YearsAtCompany]]&lt;=10,"6-10 Years","10+ Years")))</f>
        <v>10+ Years</v>
      </c>
      <c r="AO475" s="1" t="str">
        <f>IF(HR_Data[[#This Row],[JobSatisfaction]]=1,"Low",IF(HR_Data[[#This Row],[JobSatisfaction]]=2,"Medium",IF(HR_Data[[#This Row],[JobSatisfaction]]=3,"High","Very High")))</f>
        <v>High</v>
      </c>
      <c r="AP475" s="1" t="str">
        <f>IF(HR_Data[[#This Row],[WorkLifeBalance]]=1,"Bad",IF(HR_Data[[#This Row],[WorkLifeBalance]]=2,"Good",IF(HR_Data[[#This Row],[WorkLifeBalance]]=3,"Better","Best")))</f>
        <v>Better</v>
      </c>
    </row>
    <row r="476" spans="1:42" x14ac:dyDescent="0.3">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c r="AJ476">
        <f>IF(HR_Data[[#This Row],[Attrition]]="Yes",1,0)</f>
        <v>0</v>
      </c>
      <c r="AK476">
        <f>IF(HR_Data[[#This Row],[Attrition]]="No",1,0)</f>
        <v>1</v>
      </c>
      <c r="AL476" t="str">
        <f>IF(HR_Data[[#This Row],[Age]]&lt;25,"Under 25",IF(HR_Data[[#This Row],[Age]]&lt;=34,"25-34",IF(HR_Data[[#This Row],[Age]]&lt;=44,"35-44",IF(HR_Data[[#This Row],[Age]]&lt;=54,"45-54","55+"))))</f>
        <v>Under 25</v>
      </c>
      <c r="AM476" s="1" t="str">
        <f>IF(HR_Data[[#This Row],[MonthlyIncome]]&lt;3000,"Low Salary",IF(HR_Data[[#This Row],[MonthlyIncome]]&lt;=7000,"Medium Salary","High Salary"))</f>
        <v>Low Salary</v>
      </c>
      <c r="AN476" s="1" t="str">
        <f>IF(HR_Data[[#This Row],[YearsAtCompany]]&lt;2,"0-1 Years",IF(HR_Data[[#This Row],[YearsAtCompany]]&lt;=5,"2-5 Years",IF(HR_Data[[#This Row],[YearsAtCompany]]&lt;=10,"6-10 Years","10+ Years")))</f>
        <v>6-10 Years</v>
      </c>
      <c r="AO476" s="1" t="str">
        <f>IF(HR_Data[[#This Row],[JobSatisfaction]]=1,"Low",IF(HR_Data[[#This Row],[JobSatisfaction]]=2,"Medium",IF(HR_Data[[#This Row],[JobSatisfaction]]=3,"High","Very High")))</f>
        <v>Very High</v>
      </c>
      <c r="AP476" s="1" t="str">
        <f>IF(HR_Data[[#This Row],[WorkLifeBalance]]=1,"Bad",IF(HR_Data[[#This Row],[WorkLifeBalance]]=2,"Good",IF(HR_Data[[#This Row],[WorkLifeBalance]]=3,"Better","Best")))</f>
        <v>Better</v>
      </c>
    </row>
    <row r="477" spans="1:42" x14ac:dyDescent="0.3">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c r="AJ477">
        <f>IF(HR_Data[[#This Row],[Attrition]]="Yes",1,0)</f>
        <v>0</v>
      </c>
      <c r="AK477">
        <f>IF(HR_Data[[#This Row],[Attrition]]="No",1,0)</f>
        <v>1</v>
      </c>
      <c r="AL477" t="str">
        <f>IF(HR_Data[[#This Row],[Age]]&lt;25,"Under 25",IF(HR_Data[[#This Row],[Age]]&lt;=34,"25-34",IF(HR_Data[[#This Row],[Age]]&lt;=44,"35-44",IF(HR_Data[[#This Row],[Age]]&lt;=54,"45-54","55+"))))</f>
        <v>25-34</v>
      </c>
      <c r="AM477" s="1" t="str">
        <f>IF(HR_Data[[#This Row],[MonthlyIncome]]&lt;3000,"Low Salary",IF(HR_Data[[#This Row],[MonthlyIncome]]&lt;=7000,"Medium Salary","High Salary"))</f>
        <v>Medium Salary</v>
      </c>
      <c r="AN477" s="1" t="str">
        <f>IF(HR_Data[[#This Row],[YearsAtCompany]]&lt;2,"0-1 Years",IF(HR_Data[[#This Row],[YearsAtCompany]]&lt;=5,"2-5 Years",IF(HR_Data[[#This Row],[YearsAtCompany]]&lt;=10,"6-10 Years","10+ Years")))</f>
        <v>2-5 Years</v>
      </c>
      <c r="AO477" s="1" t="str">
        <f>IF(HR_Data[[#This Row],[JobSatisfaction]]=1,"Low",IF(HR_Data[[#This Row],[JobSatisfaction]]=2,"Medium",IF(HR_Data[[#This Row],[JobSatisfaction]]=3,"High","Very High")))</f>
        <v>Medium</v>
      </c>
      <c r="AP477" s="1" t="str">
        <f>IF(HR_Data[[#This Row],[WorkLifeBalance]]=1,"Bad",IF(HR_Data[[#This Row],[WorkLifeBalance]]=2,"Good",IF(HR_Data[[#This Row],[WorkLifeBalance]]=3,"Better","Best")))</f>
        <v>Best</v>
      </c>
    </row>
    <row r="478" spans="1:42" x14ac:dyDescent="0.3">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c r="AJ478">
        <f>IF(HR_Data[[#This Row],[Attrition]]="Yes",1,0)</f>
        <v>0</v>
      </c>
      <c r="AK478">
        <f>IF(HR_Data[[#This Row],[Attrition]]="No",1,0)</f>
        <v>1</v>
      </c>
      <c r="AL478" t="str">
        <f>IF(HR_Data[[#This Row],[Age]]&lt;25,"Under 25",IF(HR_Data[[#This Row],[Age]]&lt;=34,"25-34",IF(HR_Data[[#This Row],[Age]]&lt;=44,"35-44",IF(HR_Data[[#This Row],[Age]]&lt;=54,"45-54","55+"))))</f>
        <v>Under 25</v>
      </c>
      <c r="AM478" s="1" t="str">
        <f>IF(HR_Data[[#This Row],[MonthlyIncome]]&lt;3000,"Low Salary",IF(HR_Data[[#This Row],[MonthlyIncome]]&lt;=7000,"Medium Salary","High Salary"))</f>
        <v>Low Salary</v>
      </c>
      <c r="AN478" s="1" t="str">
        <f>IF(HR_Data[[#This Row],[YearsAtCompany]]&lt;2,"0-1 Years",IF(HR_Data[[#This Row],[YearsAtCompany]]&lt;=5,"2-5 Years",IF(HR_Data[[#This Row],[YearsAtCompany]]&lt;=10,"6-10 Years","10+ Years")))</f>
        <v>0-1 Years</v>
      </c>
      <c r="AO478" s="1" t="str">
        <f>IF(HR_Data[[#This Row],[JobSatisfaction]]=1,"Low",IF(HR_Data[[#This Row],[JobSatisfaction]]=2,"Medium",IF(HR_Data[[#This Row],[JobSatisfaction]]=3,"High","Very High")))</f>
        <v>Medium</v>
      </c>
      <c r="AP478" s="1" t="str">
        <f>IF(HR_Data[[#This Row],[WorkLifeBalance]]=1,"Bad",IF(HR_Data[[#This Row],[WorkLifeBalance]]=2,"Good",IF(HR_Data[[#This Row],[WorkLifeBalance]]=3,"Better","Best")))</f>
        <v>Better</v>
      </c>
    </row>
    <row r="479" spans="1:42" x14ac:dyDescent="0.3">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c r="AJ479">
        <f>IF(HR_Data[[#This Row],[Attrition]]="Yes",1,0)</f>
        <v>0</v>
      </c>
      <c r="AK479">
        <f>IF(HR_Data[[#This Row],[Attrition]]="No",1,0)</f>
        <v>1</v>
      </c>
      <c r="AL479" t="str">
        <f>IF(HR_Data[[#This Row],[Age]]&lt;25,"Under 25",IF(HR_Data[[#This Row],[Age]]&lt;=34,"25-34",IF(HR_Data[[#This Row],[Age]]&lt;=44,"35-44",IF(HR_Data[[#This Row],[Age]]&lt;=54,"45-54","55+"))))</f>
        <v>45-54</v>
      </c>
      <c r="AM479" s="1" t="str">
        <f>IF(HR_Data[[#This Row],[MonthlyIncome]]&lt;3000,"Low Salary",IF(HR_Data[[#This Row],[MonthlyIncome]]&lt;=7000,"Medium Salary","High Salary"))</f>
        <v>High Salary</v>
      </c>
      <c r="AN479" s="1" t="str">
        <f>IF(HR_Data[[#This Row],[YearsAtCompany]]&lt;2,"0-1 Years",IF(HR_Data[[#This Row],[YearsAtCompany]]&lt;=5,"2-5 Years",IF(HR_Data[[#This Row],[YearsAtCompany]]&lt;=10,"6-10 Years","10+ Years")))</f>
        <v>10+ Years</v>
      </c>
      <c r="AO479" s="1" t="str">
        <f>IF(HR_Data[[#This Row],[JobSatisfaction]]=1,"Low",IF(HR_Data[[#This Row],[JobSatisfaction]]=2,"Medium",IF(HR_Data[[#This Row],[JobSatisfaction]]=3,"High","Very High")))</f>
        <v>Medium</v>
      </c>
      <c r="AP479" s="1" t="str">
        <f>IF(HR_Data[[#This Row],[WorkLifeBalance]]=1,"Bad",IF(HR_Data[[#This Row],[WorkLifeBalance]]=2,"Good",IF(HR_Data[[#This Row],[WorkLifeBalance]]=3,"Better","Best")))</f>
        <v>Better</v>
      </c>
    </row>
    <row r="480" spans="1:42" x14ac:dyDescent="0.3">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c r="AJ480">
        <f>IF(HR_Data[[#This Row],[Attrition]]="Yes",1,0)</f>
        <v>0</v>
      </c>
      <c r="AK480">
        <f>IF(HR_Data[[#This Row],[Attrition]]="No",1,0)</f>
        <v>1</v>
      </c>
      <c r="AL480" t="str">
        <f>IF(HR_Data[[#This Row],[Age]]&lt;25,"Under 25",IF(HR_Data[[#This Row],[Age]]&lt;=34,"25-34",IF(HR_Data[[#This Row],[Age]]&lt;=44,"35-44",IF(HR_Data[[#This Row],[Age]]&lt;=54,"45-54","55+"))))</f>
        <v>25-34</v>
      </c>
      <c r="AM480" s="1" t="str">
        <f>IF(HR_Data[[#This Row],[MonthlyIncome]]&lt;3000,"Low Salary",IF(HR_Data[[#This Row],[MonthlyIncome]]&lt;=7000,"Medium Salary","High Salary"))</f>
        <v>Low Salary</v>
      </c>
      <c r="AN480" s="1" t="str">
        <f>IF(HR_Data[[#This Row],[YearsAtCompany]]&lt;2,"0-1 Years",IF(HR_Data[[#This Row],[YearsAtCompany]]&lt;=5,"2-5 Years",IF(HR_Data[[#This Row],[YearsAtCompany]]&lt;=10,"6-10 Years","10+ Years")))</f>
        <v>6-10 Years</v>
      </c>
      <c r="AO480" s="1" t="str">
        <f>IF(HR_Data[[#This Row],[JobSatisfaction]]=1,"Low",IF(HR_Data[[#This Row],[JobSatisfaction]]=2,"Medium",IF(HR_Data[[#This Row],[JobSatisfaction]]=3,"High","Very High")))</f>
        <v>High</v>
      </c>
      <c r="AP480" s="1" t="str">
        <f>IF(HR_Data[[#This Row],[WorkLifeBalance]]=1,"Bad",IF(HR_Data[[#This Row],[WorkLifeBalance]]=2,"Good",IF(HR_Data[[#This Row],[WorkLifeBalance]]=3,"Better","Best")))</f>
        <v>Better</v>
      </c>
    </row>
    <row r="481" spans="1:42" x14ac:dyDescent="0.3">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c r="AJ481">
        <f>IF(HR_Data[[#This Row],[Attrition]]="Yes",1,0)</f>
        <v>1</v>
      </c>
      <c r="AK481">
        <f>IF(HR_Data[[#This Row],[Attrition]]="No",1,0)</f>
        <v>0</v>
      </c>
      <c r="AL481" t="str">
        <f>IF(HR_Data[[#This Row],[Age]]&lt;25,"Under 25",IF(HR_Data[[#This Row],[Age]]&lt;=34,"25-34",IF(HR_Data[[#This Row],[Age]]&lt;=44,"35-44",IF(HR_Data[[#This Row],[Age]]&lt;=54,"45-54","55+"))))</f>
        <v>Under 25</v>
      </c>
      <c r="AM481" s="1" t="str">
        <f>IF(HR_Data[[#This Row],[MonthlyIncome]]&lt;3000,"Low Salary",IF(HR_Data[[#This Row],[MonthlyIncome]]&lt;=7000,"Medium Salary","High Salary"))</f>
        <v>Low Salary</v>
      </c>
      <c r="AN481" s="1" t="str">
        <f>IF(HR_Data[[#This Row],[YearsAtCompany]]&lt;2,"0-1 Years",IF(HR_Data[[#This Row],[YearsAtCompany]]&lt;=5,"2-5 Years",IF(HR_Data[[#This Row],[YearsAtCompany]]&lt;=10,"6-10 Years","10+ Years")))</f>
        <v>6-10 Years</v>
      </c>
      <c r="AO481" s="1" t="str">
        <f>IF(HR_Data[[#This Row],[JobSatisfaction]]=1,"Low",IF(HR_Data[[#This Row],[JobSatisfaction]]=2,"Medium",IF(HR_Data[[#This Row],[JobSatisfaction]]=3,"High","Very High")))</f>
        <v>High</v>
      </c>
      <c r="AP481" s="1" t="str">
        <f>IF(HR_Data[[#This Row],[WorkLifeBalance]]=1,"Bad",IF(HR_Data[[#This Row],[WorkLifeBalance]]=2,"Good",IF(HR_Data[[#This Row],[WorkLifeBalance]]=3,"Better","Best")))</f>
        <v>Better</v>
      </c>
    </row>
    <row r="482" spans="1:42" x14ac:dyDescent="0.3">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c r="AJ482">
        <f>IF(HR_Data[[#This Row],[Attrition]]="Yes",1,0)</f>
        <v>1</v>
      </c>
      <c r="AK482">
        <f>IF(HR_Data[[#This Row],[Attrition]]="No",1,0)</f>
        <v>0</v>
      </c>
      <c r="AL482" t="str">
        <f>IF(HR_Data[[#This Row],[Age]]&lt;25,"Under 25",IF(HR_Data[[#This Row],[Age]]&lt;=34,"25-34",IF(HR_Data[[#This Row],[Age]]&lt;=44,"35-44",IF(HR_Data[[#This Row],[Age]]&lt;=54,"45-54","55+"))))</f>
        <v>25-34</v>
      </c>
      <c r="AM482" s="1" t="str">
        <f>IF(HR_Data[[#This Row],[MonthlyIncome]]&lt;3000,"Low Salary",IF(HR_Data[[#This Row],[MonthlyIncome]]&lt;=7000,"Medium Salary","High Salary"))</f>
        <v>Low Salary</v>
      </c>
      <c r="AN482" s="1" t="str">
        <f>IF(HR_Data[[#This Row],[YearsAtCompany]]&lt;2,"0-1 Years",IF(HR_Data[[#This Row],[YearsAtCompany]]&lt;=5,"2-5 Years",IF(HR_Data[[#This Row],[YearsAtCompany]]&lt;=10,"6-10 Years","10+ Years")))</f>
        <v>0-1 Years</v>
      </c>
      <c r="AO482" s="1" t="str">
        <f>IF(HR_Data[[#This Row],[JobSatisfaction]]=1,"Low",IF(HR_Data[[#This Row],[JobSatisfaction]]=2,"Medium",IF(HR_Data[[#This Row],[JobSatisfaction]]=3,"High","Very High")))</f>
        <v>Low</v>
      </c>
      <c r="AP482" s="1" t="str">
        <f>IF(HR_Data[[#This Row],[WorkLifeBalance]]=1,"Bad",IF(HR_Data[[#This Row],[WorkLifeBalance]]=2,"Good",IF(HR_Data[[#This Row],[WorkLifeBalance]]=3,"Better","Best")))</f>
        <v>Best</v>
      </c>
    </row>
    <row r="483" spans="1:42" x14ac:dyDescent="0.3">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c r="AJ483">
        <f>IF(HR_Data[[#This Row],[Attrition]]="Yes",1,0)</f>
        <v>0</v>
      </c>
      <c r="AK483">
        <f>IF(HR_Data[[#This Row],[Attrition]]="No",1,0)</f>
        <v>1</v>
      </c>
      <c r="AL483" t="str">
        <f>IF(HR_Data[[#This Row],[Age]]&lt;25,"Under 25",IF(HR_Data[[#This Row],[Age]]&lt;=34,"25-34",IF(HR_Data[[#This Row],[Age]]&lt;=44,"35-44",IF(HR_Data[[#This Row],[Age]]&lt;=54,"45-54","55+"))))</f>
        <v>25-34</v>
      </c>
      <c r="AM483" s="1" t="str">
        <f>IF(HR_Data[[#This Row],[MonthlyIncome]]&lt;3000,"Low Salary",IF(HR_Data[[#This Row],[MonthlyIncome]]&lt;=7000,"Medium Salary","High Salary"))</f>
        <v>Medium Salary</v>
      </c>
      <c r="AN483" s="1" t="str">
        <f>IF(HR_Data[[#This Row],[YearsAtCompany]]&lt;2,"0-1 Years",IF(HR_Data[[#This Row],[YearsAtCompany]]&lt;=5,"2-5 Years",IF(HR_Data[[#This Row],[YearsAtCompany]]&lt;=10,"6-10 Years","10+ Years")))</f>
        <v>6-10 Years</v>
      </c>
      <c r="AO483" s="1" t="str">
        <f>IF(HR_Data[[#This Row],[JobSatisfaction]]=1,"Low",IF(HR_Data[[#This Row],[JobSatisfaction]]=2,"Medium",IF(HR_Data[[#This Row],[JobSatisfaction]]=3,"High","Very High")))</f>
        <v>Very High</v>
      </c>
      <c r="AP483" s="1" t="str">
        <f>IF(HR_Data[[#This Row],[WorkLifeBalance]]=1,"Bad",IF(HR_Data[[#This Row],[WorkLifeBalance]]=2,"Good",IF(HR_Data[[#This Row],[WorkLifeBalance]]=3,"Better","Best")))</f>
        <v>Better</v>
      </c>
    </row>
    <row r="484" spans="1:42" x14ac:dyDescent="0.3">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c r="AJ484">
        <f>IF(HR_Data[[#This Row],[Attrition]]="Yes",1,0)</f>
        <v>1</v>
      </c>
      <c r="AK484">
        <f>IF(HR_Data[[#This Row],[Attrition]]="No",1,0)</f>
        <v>0</v>
      </c>
      <c r="AL484" t="str">
        <f>IF(HR_Data[[#This Row],[Age]]&lt;25,"Under 25",IF(HR_Data[[#This Row],[Age]]&lt;=34,"25-34",IF(HR_Data[[#This Row],[Age]]&lt;=44,"35-44",IF(HR_Data[[#This Row],[Age]]&lt;=54,"45-54","55+"))))</f>
        <v>25-34</v>
      </c>
      <c r="AM484" s="1" t="str">
        <f>IF(HR_Data[[#This Row],[MonthlyIncome]]&lt;3000,"Low Salary",IF(HR_Data[[#This Row],[MonthlyIncome]]&lt;=7000,"Medium Salary","High Salary"))</f>
        <v>Medium Salary</v>
      </c>
      <c r="AN484" s="1" t="str">
        <f>IF(HR_Data[[#This Row],[YearsAtCompany]]&lt;2,"0-1 Years",IF(HR_Data[[#This Row],[YearsAtCompany]]&lt;=5,"2-5 Years",IF(HR_Data[[#This Row],[YearsAtCompany]]&lt;=10,"6-10 Years","10+ Years")))</f>
        <v>2-5 Years</v>
      </c>
      <c r="AO484" s="1" t="str">
        <f>IF(HR_Data[[#This Row],[JobSatisfaction]]=1,"Low",IF(HR_Data[[#This Row],[JobSatisfaction]]=2,"Medium",IF(HR_Data[[#This Row],[JobSatisfaction]]=3,"High","Very High")))</f>
        <v>Low</v>
      </c>
      <c r="AP484" s="1" t="str">
        <f>IF(HR_Data[[#This Row],[WorkLifeBalance]]=1,"Bad",IF(HR_Data[[#This Row],[WorkLifeBalance]]=2,"Good",IF(HR_Data[[#This Row],[WorkLifeBalance]]=3,"Better","Best")))</f>
        <v>Bad</v>
      </c>
    </row>
    <row r="485" spans="1:42" x14ac:dyDescent="0.3">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c r="AJ485">
        <f>IF(HR_Data[[#This Row],[Attrition]]="Yes",1,0)</f>
        <v>0</v>
      </c>
      <c r="AK485">
        <f>IF(HR_Data[[#This Row],[Attrition]]="No",1,0)</f>
        <v>1</v>
      </c>
      <c r="AL485" t="str">
        <f>IF(HR_Data[[#This Row],[Age]]&lt;25,"Under 25",IF(HR_Data[[#This Row],[Age]]&lt;=34,"25-34",IF(HR_Data[[#This Row],[Age]]&lt;=44,"35-44",IF(HR_Data[[#This Row],[Age]]&lt;=54,"45-54","55+"))))</f>
        <v>35-44</v>
      </c>
      <c r="AM485" s="1" t="str">
        <f>IF(HR_Data[[#This Row],[MonthlyIncome]]&lt;3000,"Low Salary",IF(HR_Data[[#This Row],[MonthlyIncome]]&lt;=7000,"Medium Salary","High Salary"))</f>
        <v>Medium Salary</v>
      </c>
      <c r="AN485" s="1" t="str">
        <f>IF(HR_Data[[#This Row],[YearsAtCompany]]&lt;2,"0-1 Years",IF(HR_Data[[#This Row],[YearsAtCompany]]&lt;=5,"2-5 Years",IF(HR_Data[[#This Row],[YearsAtCompany]]&lt;=10,"6-10 Years","10+ Years")))</f>
        <v>2-5 Years</v>
      </c>
      <c r="AO485" s="1" t="str">
        <f>IF(HR_Data[[#This Row],[JobSatisfaction]]=1,"Low",IF(HR_Data[[#This Row],[JobSatisfaction]]=2,"Medium",IF(HR_Data[[#This Row],[JobSatisfaction]]=3,"High","Very High")))</f>
        <v>Very High</v>
      </c>
      <c r="AP485" s="1" t="str">
        <f>IF(HR_Data[[#This Row],[WorkLifeBalance]]=1,"Bad",IF(HR_Data[[#This Row],[WorkLifeBalance]]=2,"Good",IF(HR_Data[[#This Row],[WorkLifeBalance]]=3,"Better","Best")))</f>
        <v>Better</v>
      </c>
    </row>
    <row r="486" spans="1:42" x14ac:dyDescent="0.3">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c r="AJ486">
        <f>IF(HR_Data[[#This Row],[Attrition]]="Yes",1,0)</f>
        <v>0</v>
      </c>
      <c r="AK486">
        <f>IF(HR_Data[[#This Row],[Attrition]]="No",1,0)</f>
        <v>1</v>
      </c>
      <c r="AL486" t="str">
        <f>IF(HR_Data[[#This Row],[Age]]&lt;25,"Under 25",IF(HR_Data[[#This Row],[Age]]&lt;=34,"25-34",IF(HR_Data[[#This Row],[Age]]&lt;=44,"35-44",IF(HR_Data[[#This Row],[Age]]&lt;=54,"45-54","55+"))))</f>
        <v>25-34</v>
      </c>
      <c r="AM486" s="1" t="str">
        <f>IF(HR_Data[[#This Row],[MonthlyIncome]]&lt;3000,"Low Salary",IF(HR_Data[[#This Row],[MonthlyIncome]]&lt;=7000,"Medium Salary","High Salary"))</f>
        <v>Medium Salary</v>
      </c>
      <c r="AN486" s="1" t="str">
        <f>IF(HR_Data[[#This Row],[YearsAtCompany]]&lt;2,"0-1 Years",IF(HR_Data[[#This Row],[YearsAtCompany]]&lt;=5,"2-5 Years",IF(HR_Data[[#This Row],[YearsAtCompany]]&lt;=10,"6-10 Years","10+ Years")))</f>
        <v>6-10 Years</v>
      </c>
      <c r="AO486" s="1" t="str">
        <f>IF(HR_Data[[#This Row],[JobSatisfaction]]=1,"Low",IF(HR_Data[[#This Row],[JobSatisfaction]]=2,"Medium",IF(HR_Data[[#This Row],[JobSatisfaction]]=3,"High","Very High")))</f>
        <v>Very High</v>
      </c>
      <c r="AP486" s="1" t="str">
        <f>IF(HR_Data[[#This Row],[WorkLifeBalance]]=1,"Bad",IF(HR_Data[[#This Row],[WorkLifeBalance]]=2,"Good",IF(HR_Data[[#This Row],[WorkLifeBalance]]=3,"Better","Best")))</f>
        <v>Best</v>
      </c>
    </row>
    <row r="487" spans="1:42" x14ac:dyDescent="0.3">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c r="AJ487">
        <f>IF(HR_Data[[#This Row],[Attrition]]="Yes",1,0)</f>
        <v>0</v>
      </c>
      <c r="AK487">
        <f>IF(HR_Data[[#This Row],[Attrition]]="No",1,0)</f>
        <v>1</v>
      </c>
      <c r="AL487" t="str">
        <f>IF(HR_Data[[#This Row],[Age]]&lt;25,"Under 25",IF(HR_Data[[#This Row],[Age]]&lt;=34,"25-34",IF(HR_Data[[#This Row],[Age]]&lt;=44,"35-44",IF(HR_Data[[#This Row],[Age]]&lt;=54,"45-54","55+"))))</f>
        <v>25-34</v>
      </c>
      <c r="AM487" s="1" t="str">
        <f>IF(HR_Data[[#This Row],[MonthlyIncome]]&lt;3000,"Low Salary",IF(HR_Data[[#This Row],[MonthlyIncome]]&lt;=7000,"Medium Salary","High Salary"))</f>
        <v>Low Salary</v>
      </c>
      <c r="AN487" s="1" t="str">
        <f>IF(HR_Data[[#This Row],[YearsAtCompany]]&lt;2,"0-1 Years",IF(HR_Data[[#This Row],[YearsAtCompany]]&lt;=5,"2-5 Years",IF(HR_Data[[#This Row],[YearsAtCompany]]&lt;=10,"6-10 Years","10+ Years")))</f>
        <v>2-5 Years</v>
      </c>
      <c r="AO487" s="1" t="str">
        <f>IF(HR_Data[[#This Row],[JobSatisfaction]]=1,"Low",IF(HR_Data[[#This Row],[JobSatisfaction]]=2,"Medium",IF(HR_Data[[#This Row],[JobSatisfaction]]=3,"High","Very High")))</f>
        <v>High</v>
      </c>
      <c r="AP487" s="1" t="str">
        <f>IF(HR_Data[[#This Row],[WorkLifeBalance]]=1,"Bad",IF(HR_Data[[#This Row],[WorkLifeBalance]]=2,"Good",IF(HR_Data[[#This Row],[WorkLifeBalance]]=3,"Better","Best")))</f>
        <v>Good</v>
      </c>
    </row>
    <row r="488" spans="1:42" x14ac:dyDescent="0.3">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c r="AJ488">
        <f>IF(HR_Data[[#This Row],[Attrition]]="Yes",1,0)</f>
        <v>0</v>
      </c>
      <c r="AK488">
        <f>IF(HR_Data[[#This Row],[Attrition]]="No",1,0)</f>
        <v>1</v>
      </c>
      <c r="AL488" t="str">
        <f>IF(HR_Data[[#This Row],[Age]]&lt;25,"Under 25",IF(HR_Data[[#This Row],[Age]]&lt;=34,"25-34",IF(HR_Data[[#This Row],[Age]]&lt;=44,"35-44",IF(HR_Data[[#This Row],[Age]]&lt;=54,"45-54","55+"))))</f>
        <v>35-44</v>
      </c>
      <c r="AM488" s="1" t="str">
        <f>IF(HR_Data[[#This Row],[MonthlyIncome]]&lt;3000,"Low Salary",IF(HR_Data[[#This Row],[MonthlyIncome]]&lt;=7000,"Medium Salary","High Salary"))</f>
        <v>High Salary</v>
      </c>
      <c r="AN488" s="1" t="str">
        <f>IF(HR_Data[[#This Row],[YearsAtCompany]]&lt;2,"0-1 Years",IF(HR_Data[[#This Row],[YearsAtCompany]]&lt;=5,"2-5 Years",IF(HR_Data[[#This Row],[YearsAtCompany]]&lt;=10,"6-10 Years","10+ Years")))</f>
        <v>2-5 Years</v>
      </c>
      <c r="AO488" s="1" t="str">
        <f>IF(HR_Data[[#This Row],[JobSatisfaction]]=1,"Low",IF(HR_Data[[#This Row],[JobSatisfaction]]=2,"Medium",IF(HR_Data[[#This Row],[JobSatisfaction]]=3,"High","Very High")))</f>
        <v>High</v>
      </c>
      <c r="AP488" s="1" t="str">
        <f>IF(HR_Data[[#This Row],[WorkLifeBalance]]=1,"Bad",IF(HR_Data[[#This Row],[WorkLifeBalance]]=2,"Good",IF(HR_Data[[#This Row],[WorkLifeBalance]]=3,"Better","Best")))</f>
        <v>Good</v>
      </c>
    </row>
    <row r="489" spans="1:42" x14ac:dyDescent="0.3">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c r="AJ489">
        <f>IF(HR_Data[[#This Row],[Attrition]]="Yes",1,0)</f>
        <v>0</v>
      </c>
      <c r="AK489">
        <f>IF(HR_Data[[#This Row],[Attrition]]="No",1,0)</f>
        <v>1</v>
      </c>
      <c r="AL489" t="str">
        <f>IF(HR_Data[[#This Row],[Age]]&lt;25,"Under 25",IF(HR_Data[[#This Row],[Age]]&lt;=34,"25-34",IF(HR_Data[[#This Row],[Age]]&lt;=44,"35-44",IF(HR_Data[[#This Row],[Age]]&lt;=54,"45-54","55+"))))</f>
        <v>Under 25</v>
      </c>
      <c r="AM489" s="1" t="str">
        <f>IF(HR_Data[[#This Row],[MonthlyIncome]]&lt;3000,"Low Salary",IF(HR_Data[[#This Row],[MonthlyIncome]]&lt;=7000,"Medium Salary","High Salary"))</f>
        <v>Low Salary</v>
      </c>
      <c r="AN489" s="1" t="str">
        <f>IF(HR_Data[[#This Row],[YearsAtCompany]]&lt;2,"0-1 Years",IF(HR_Data[[#This Row],[YearsAtCompany]]&lt;=5,"2-5 Years",IF(HR_Data[[#This Row],[YearsAtCompany]]&lt;=10,"6-10 Years","10+ Years")))</f>
        <v>0-1 Years</v>
      </c>
      <c r="AO489" s="1" t="str">
        <f>IF(HR_Data[[#This Row],[JobSatisfaction]]=1,"Low",IF(HR_Data[[#This Row],[JobSatisfaction]]=2,"Medium",IF(HR_Data[[#This Row],[JobSatisfaction]]=3,"High","Very High")))</f>
        <v>Medium</v>
      </c>
      <c r="AP489" s="1" t="str">
        <f>IF(HR_Data[[#This Row],[WorkLifeBalance]]=1,"Bad",IF(HR_Data[[#This Row],[WorkLifeBalance]]=2,"Good",IF(HR_Data[[#This Row],[WorkLifeBalance]]=3,"Better","Best")))</f>
        <v>Best</v>
      </c>
    </row>
    <row r="490" spans="1:42" x14ac:dyDescent="0.3">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c r="AJ490">
        <f>IF(HR_Data[[#This Row],[Attrition]]="Yes",1,0)</f>
        <v>0</v>
      </c>
      <c r="AK490">
        <f>IF(HR_Data[[#This Row],[Attrition]]="No",1,0)</f>
        <v>1</v>
      </c>
      <c r="AL490" t="str">
        <f>IF(HR_Data[[#This Row],[Age]]&lt;25,"Under 25",IF(HR_Data[[#This Row],[Age]]&lt;=34,"25-34",IF(HR_Data[[#This Row],[Age]]&lt;=44,"35-44",IF(HR_Data[[#This Row],[Age]]&lt;=54,"45-54","55+"))))</f>
        <v>35-44</v>
      </c>
      <c r="AM490" s="1" t="str">
        <f>IF(HR_Data[[#This Row],[MonthlyIncome]]&lt;3000,"Low Salary",IF(HR_Data[[#This Row],[MonthlyIncome]]&lt;=7000,"Medium Salary","High Salary"))</f>
        <v>Medium Salary</v>
      </c>
      <c r="AN490" s="1" t="str">
        <f>IF(HR_Data[[#This Row],[YearsAtCompany]]&lt;2,"0-1 Years",IF(HR_Data[[#This Row],[YearsAtCompany]]&lt;=5,"2-5 Years",IF(HR_Data[[#This Row],[YearsAtCompany]]&lt;=10,"6-10 Years","10+ Years")))</f>
        <v>6-10 Years</v>
      </c>
      <c r="AO490" s="1" t="str">
        <f>IF(HR_Data[[#This Row],[JobSatisfaction]]=1,"Low",IF(HR_Data[[#This Row],[JobSatisfaction]]=2,"Medium",IF(HR_Data[[#This Row],[JobSatisfaction]]=3,"High","Very High")))</f>
        <v>Very High</v>
      </c>
      <c r="AP490" s="1" t="str">
        <f>IF(HR_Data[[#This Row],[WorkLifeBalance]]=1,"Bad",IF(HR_Data[[#This Row],[WorkLifeBalance]]=2,"Good",IF(HR_Data[[#This Row],[WorkLifeBalance]]=3,"Better","Best")))</f>
        <v>Better</v>
      </c>
    </row>
    <row r="491" spans="1:42" x14ac:dyDescent="0.3">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c r="AJ491">
        <f>IF(HR_Data[[#This Row],[Attrition]]="Yes",1,0)</f>
        <v>0</v>
      </c>
      <c r="AK491">
        <f>IF(HR_Data[[#This Row],[Attrition]]="No",1,0)</f>
        <v>1</v>
      </c>
      <c r="AL491" t="str">
        <f>IF(HR_Data[[#This Row],[Age]]&lt;25,"Under 25",IF(HR_Data[[#This Row],[Age]]&lt;=34,"25-34",IF(HR_Data[[#This Row],[Age]]&lt;=44,"35-44",IF(HR_Data[[#This Row],[Age]]&lt;=54,"45-54","55+"))))</f>
        <v>35-44</v>
      </c>
      <c r="AM491" s="1" t="str">
        <f>IF(HR_Data[[#This Row],[MonthlyIncome]]&lt;3000,"Low Salary",IF(HR_Data[[#This Row],[MonthlyIncome]]&lt;=7000,"Medium Salary","High Salary"))</f>
        <v>High Salary</v>
      </c>
      <c r="AN491" s="1" t="str">
        <f>IF(HR_Data[[#This Row],[YearsAtCompany]]&lt;2,"0-1 Years",IF(HR_Data[[#This Row],[YearsAtCompany]]&lt;=5,"2-5 Years",IF(HR_Data[[#This Row],[YearsAtCompany]]&lt;=10,"6-10 Years","10+ Years")))</f>
        <v>0-1 Years</v>
      </c>
      <c r="AO491" s="1" t="str">
        <f>IF(HR_Data[[#This Row],[JobSatisfaction]]=1,"Low",IF(HR_Data[[#This Row],[JobSatisfaction]]=2,"Medium",IF(HR_Data[[#This Row],[JobSatisfaction]]=3,"High","Very High")))</f>
        <v>Very High</v>
      </c>
      <c r="AP491" s="1" t="str">
        <f>IF(HR_Data[[#This Row],[WorkLifeBalance]]=1,"Bad",IF(HR_Data[[#This Row],[WorkLifeBalance]]=2,"Good",IF(HR_Data[[#This Row],[WorkLifeBalance]]=3,"Better","Best")))</f>
        <v>Good</v>
      </c>
    </row>
    <row r="492" spans="1:42" x14ac:dyDescent="0.3">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c r="AJ492">
        <f>IF(HR_Data[[#This Row],[Attrition]]="Yes",1,0)</f>
        <v>0</v>
      </c>
      <c r="AK492">
        <f>IF(HR_Data[[#This Row],[Attrition]]="No",1,0)</f>
        <v>1</v>
      </c>
      <c r="AL492" t="str">
        <f>IF(HR_Data[[#This Row],[Age]]&lt;25,"Under 25",IF(HR_Data[[#This Row],[Age]]&lt;=34,"25-34",IF(HR_Data[[#This Row],[Age]]&lt;=44,"35-44",IF(HR_Data[[#This Row],[Age]]&lt;=54,"45-54","55+"))))</f>
        <v>35-44</v>
      </c>
      <c r="AM492" s="1" t="str">
        <f>IF(HR_Data[[#This Row],[MonthlyIncome]]&lt;3000,"Low Salary",IF(HR_Data[[#This Row],[MonthlyIncome]]&lt;=7000,"Medium Salary","High Salary"))</f>
        <v>Low Salary</v>
      </c>
      <c r="AN492" s="1" t="str">
        <f>IF(HR_Data[[#This Row],[YearsAtCompany]]&lt;2,"0-1 Years",IF(HR_Data[[#This Row],[YearsAtCompany]]&lt;=5,"2-5 Years",IF(HR_Data[[#This Row],[YearsAtCompany]]&lt;=10,"6-10 Years","10+ Years")))</f>
        <v>0-1 Years</v>
      </c>
      <c r="AO492" s="1" t="str">
        <f>IF(HR_Data[[#This Row],[JobSatisfaction]]=1,"Low",IF(HR_Data[[#This Row],[JobSatisfaction]]=2,"Medium",IF(HR_Data[[#This Row],[JobSatisfaction]]=3,"High","Very High")))</f>
        <v>Low</v>
      </c>
      <c r="AP492" s="1" t="str">
        <f>IF(HR_Data[[#This Row],[WorkLifeBalance]]=1,"Bad",IF(HR_Data[[#This Row],[WorkLifeBalance]]=2,"Good",IF(HR_Data[[#This Row],[WorkLifeBalance]]=3,"Better","Best")))</f>
        <v>Good</v>
      </c>
    </row>
    <row r="493" spans="1:42" x14ac:dyDescent="0.3">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c r="AJ493">
        <f>IF(HR_Data[[#This Row],[Attrition]]="Yes",1,0)</f>
        <v>0</v>
      </c>
      <c r="AK493">
        <f>IF(HR_Data[[#This Row],[Attrition]]="No",1,0)</f>
        <v>1</v>
      </c>
      <c r="AL493" t="str">
        <f>IF(HR_Data[[#This Row],[Age]]&lt;25,"Under 25",IF(HR_Data[[#This Row],[Age]]&lt;=34,"25-34",IF(HR_Data[[#This Row],[Age]]&lt;=44,"35-44",IF(HR_Data[[#This Row],[Age]]&lt;=54,"45-54","55+"))))</f>
        <v>35-44</v>
      </c>
      <c r="AM493" s="1" t="str">
        <f>IF(HR_Data[[#This Row],[MonthlyIncome]]&lt;3000,"Low Salary",IF(HR_Data[[#This Row],[MonthlyIncome]]&lt;=7000,"Medium Salary","High Salary"))</f>
        <v>Medium Salary</v>
      </c>
      <c r="AN493" s="1" t="str">
        <f>IF(HR_Data[[#This Row],[YearsAtCompany]]&lt;2,"0-1 Years",IF(HR_Data[[#This Row],[YearsAtCompany]]&lt;=5,"2-5 Years",IF(HR_Data[[#This Row],[YearsAtCompany]]&lt;=10,"6-10 Years","10+ Years")))</f>
        <v>6-10 Years</v>
      </c>
      <c r="AO493" s="1" t="str">
        <f>IF(HR_Data[[#This Row],[JobSatisfaction]]=1,"Low",IF(HR_Data[[#This Row],[JobSatisfaction]]=2,"Medium",IF(HR_Data[[#This Row],[JobSatisfaction]]=3,"High","Very High")))</f>
        <v>High</v>
      </c>
      <c r="AP493" s="1" t="str">
        <f>IF(HR_Data[[#This Row],[WorkLifeBalance]]=1,"Bad",IF(HR_Data[[#This Row],[WorkLifeBalance]]=2,"Good",IF(HR_Data[[#This Row],[WorkLifeBalance]]=3,"Better","Best")))</f>
        <v>Better</v>
      </c>
    </row>
    <row r="494" spans="1:42" x14ac:dyDescent="0.3">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c r="AJ494">
        <f>IF(HR_Data[[#This Row],[Attrition]]="Yes",1,0)</f>
        <v>0</v>
      </c>
      <c r="AK494">
        <f>IF(HR_Data[[#This Row],[Attrition]]="No",1,0)</f>
        <v>1</v>
      </c>
      <c r="AL494" t="str">
        <f>IF(HR_Data[[#This Row],[Age]]&lt;25,"Under 25",IF(HR_Data[[#This Row],[Age]]&lt;=34,"25-34",IF(HR_Data[[#This Row],[Age]]&lt;=44,"35-44",IF(HR_Data[[#This Row],[Age]]&lt;=54,"45-54","55+"))))</f>
        <v>45-54</v>
      </c>
      <c r="AM494" s="1" t="str">
        <f>IF(HR_Data[[#This Row],[MonthlyIncome]]&lt;3000,"Low Salary",IF(HR_Data[[#This Row],[MonthlyIncome]]&lt;=7000,"Medium Salary","High Salary"))</f>
        <v>High Salary</v>
      </c>
      <c r="AN494" s="1" t="str">
        <f>IF(HR_Data[[#This Row],[YearsAtCompany]]&lt;2,"0-1 Years",IF(HR_Data[[#This Row],[YearsAtCompany]]&lt;=5,"2-5 Years",IF(HR_Data[[#This Row],[YearsAtCompany]]&lt;=10,"6-10 Years","10+ Years")))</f>
        <v>2-5 Years</v>
      </c>
      <c r="AO494" s="1" t="str">
        <f>IF(HR_Data[[#This Row],[JobSatisfaction]]=1,"Low",IF(HR_Data[[#This Row],[JobSatisfaction]]=2,"Medium",IF(HR_Data[[#This Row],[JobSatisfaction]]=3,"High","Very High")))</f>
        <v>Low</v>
      </c>
      <c r="AP494" s="1" t="str">
        <f>IF(HR_Data[[#This Row],[WorkLifeBalance]]=1,"Bad",IF(HR_Data[[#This Row],[WorkLifeBalance]]=2,"Good",IF(HR_Data[[#This Row],[WorkLifeBalance]]=3,"Better","Best")))</f>
        <v>Bad</v>
      </c>
    </row>
    <row r="495" spans="1:42" x14ac:dyDescent="0.3">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c r="AJ495">
        <f>IF(HR_Data[[#This Row],[Attrition]]="Yes",1,0)</f>
        <v>0</v>
      </c>
      <c r="AK495">
        <f>IF(HR_Data[[#This Row],[Attrition]]="No",1,0)</f>
        <v>1</v>
      </c>
      <c r="AL495" t="str">
        <f>IF(HR_Data[[#This Row],[Age]]&lt;25,"Under 25",IF(HR_Data[[#This Row],[Age]]&lt;=34,"25-34",IF(HR_Data[[#This Row],[Age]]&lt;=44,"35-44",IF(HR_Data[[#This Row],[Age]]&lt;=54,"45-54","55+"))))</f>
        <v>35-44</v>
      </c>
      <c r="AM495" s="1" t="str">
        <f>IF(HR_Data[[#This Row],[MonthlyIncome]]&lt;3000,"Low Salary",IF(HR_Data[[#This Row],[MonthlyIncome]]&lt;=7000,"Medium Salary","High Salary"))</f>
        <v>Medium Salary</v>
      </c>
      <c r="AN495" s="1" t="str">
        <f>IF(HR_Data[[#This Row],[YearsAtCompany]]&lt;2,"0-1 Years",IF(HR_Data[[#This Row],[YearsAtCompany]]&lt;=5,"2-5 Years",IF(HR_Data[[#This Row],[YearsAtCompany]]&lt;=10,"6-10 Years","10+ Years")))</f>
        <v>2-5 Years</v>
      </c>
      <c r="AO495" s="1" t="str">
        <f>IF(HR_Data[[#This Row],[JobSatisfaction]]=1,"Low",IF(HR_Data[[#This Row],[JobSatisfaction]]=2,"Medium",IF(HR_Data[[#This Row],[JobSatisfaction]]=3,"High","Very High")))</f>
        <v>High</v>
      </c>
      <c r="AP495" s="1" t="str">
        <f>IF(HR_Data[[#This Row],[WorkLifeBalance]]=1,"Bad",IF(HR_Data[[#This Row],[WorkLifeBalance]]=2,"Good",IF(HR_Data[[#This Row],[WorkLifeBalance]]=3,"Better","Best")))</f>
        <v>Best</v>
      </c>
    </row>
    <row r="496" spans="1:42" x14ac:dyDescent="0.3">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c r="AJ496">
        <f>IF(HR_Data[[#This Row],[Attrition]]="Yes",1,0)</f>
        <v>0</v>
      </c>
      <c r="AK496">
        <f>IF(HR_Data[[#This Row],[Attrition]]="No",1,0)</f>
        <v>1</v>
      </c>
      <c r="AL496" t="str">
        <f>IF(HR_Data[[#This Row],[Age]]&lt;25,"Under 25",IF(HR_Data[[#This Row],[Age]]&lt;=34,"25-34",IF(HR_Data[[#This Row],[Age]]&lt;=44,"35-44",IF(HR_Data[[#This Row],[Age]]&lt;=54,"45-54","55+"))))</f>
        <v>25-34</v>
      </c>
      <c r="AM496" s="1" t="str">
        <f>IF(HR_Data[[#This Row],[MonthlyIncome]]&lt;3000,"Low Salary",IF(HR_Data[[#This Row],[MonthlyIncome]]&lt;=7000,"Medium Salary","High Salary"))</f>
        <v>Low Salary</v>
      </c>
      <c r="AN496" s="1" t="str">
        <f>IF(HR_Data[[#This Row],[YearsAtCompany]]&lt;2,"0-1 Years",IF(HR_Data[[#This Row],[YearsAtCompany]]&lt;=5,"2-5 Years",IF(HR_Data[[#This Row],[YearsAtCompany]]&lt;=10,"6-10 Years","10+ Years")))</f>
        <v>6-10 Years</v>
      </c>
      <c r="AO496" s="1" t="str">
        <f>IF(HR_Data[[#This Row],[JobSatisfaction]]=1,"Low",IF(HR_Data[[#This Row],[JobSatisfaction]]=2,"Medium",IF(HR_Data[[#This Row],[JobSatisfaction]]=3,"High","Very High")))</f>
        <v>High</v>
      </c>
      <c r="AP496" s="1" t="str">
        <f>IF(HR_Data[[#This Row],[WorkLifeBalance]]=1,"Bad",IF(HR_Data[[#This Row],[WorkLifeBalance]]=2,"Good",IF(HR_Data[[#This Row],[WorkLifeBalance]]=3,"Better","Best")))</f>
        <v>Better</v>
      </c>
    </row>
    <row r="497" spans="1:42" x14ac:dyDescent="0.3">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c r="AJ497">
        <f>IF(HR_Data[[#This Row],[Attrition]]="Yes",1,0)</f>
        <v>1</v>
      </c>
      <c r="AK497">
        <f>IF(HR_Data[[#This Row],[Attrition]]="No",1,0)</f>
        <v>0</v>
      </c>
      <c r="AL497" t="str">
        <f>IF(HR_Data[[#This Row],[Age]]&lt;25,"Under 25",IF(HR_Data[[#This Row],[Age]]&lt;=34,"25-34",IF(HR_Data[[#This Row],[Age]]&lt;=44,"35-44",IF(HR_Data[[#This Row],[Age]]&lt;=54,"45-54","55+"))))</f>
        <v>25-34</v>
      </c>
      <c r="AM497" s="1" t="str">
        <f>IF(HR_Data[[#This Row],[MonthlyIncome]]&lt;3000,"Low Salary",IF(HR_Data[[#This Row],[MonthlyIncome]]&lt;=7000,"Medium Salary","High Salary"))</f>
        <v>Medium Salary</v>
      </c>
      <c r="AN497" s="1" t="str">
        <f>IF(HR_Data[[#This Row],[YearsAtCompany]]&lt;2,"0-1 Years",IF(HR_Data[[#This Row],[YearsAtCompany]]&lt;=5,"2-5 Years",IF(HR_Data[[#This Row],[YearsAtCompany]]&lt;=10,"6-10 Years","10+ Years")))</f>
        <v>2-5 Years</v>
      </c>
      <c r="AO497" s="1" t="str">
        <f>IF(HR_Data[[#This Row],[JobSatisfaction]]=1,"Low",IF(HR_Data[[#This Row],[JobSatisfaction]]=2,"Medium",IF(HR_Data[[#This Row],[JobSatisfaction]]=3,"High","Very High")))</f>
        <v>Low</v>
      </c>
      <c r="AP497" s="1" t="str">
        <f>IF(HR_Data[[#This Row],[WorkLifeBalance]]=1,"Bad",IF(HR_Data[[#This Row],[WorkLifeBalance]]=2,"Good",IF(HR_Data[[#This Row],[WorkLifeBalance]]=3,"Better","Best")))</f>
        <v>Better</v>
      </c>
    </row>
    <row r="498" spans="1:42" x14ac:dyDescent="0.3">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c r="AJ498">
        <f>IF(HR_Data[[#This Row],[Attrition]]="Yes",1,0)</f>
        <v>0</v>
      </c>
      <c r="AK498">
        <f>IF(HR_Data[[#This Row],[Attrition]]="No",1,0)</f>
        <v>1</v>
      </c>
      <c r="AL498" t="str">
        <f>IF(HR_Data[[#This Row],[Age]]&lt;25,"Under 25",IF(HR_Data[[#This Row],[Age]]&lt;=34,"25-34",IF(HR_Data[[#This Row],[Age]]&lt;=44,"35-44",IF(HR_Data[[#This Row],[Age]]&lt;=54,"45-54","55+"))))</f>
        <v>Under 25</v>
      </c>
      <c r="AM498" s="1" t="str">
        <f>IF(HR_Data[[#This Row],[MonthlyIncome]]&lt;3000,"Low Salary",IF(HR_Data[[#This Row],[MonthlyIncome]]&lt;=7000,"Medium Salary","High Salary"))</f>
        <v>Medium Salary</v>
      </c>
      <c r="AN498" s="1" t="str">
        <f>IF(HR_Data[[#This Row],[YearsAtCompany]]&lt;2,"0-1 Years",IF(HR_Data[[#This Row],[YearsAtCompany]]&lt;=5,"2-5 Years",IF(HR_Data[[#This Row],[YearsAtCompany]]&lt;=10,"6-10 Years","10+ Years")))</f>
        <v>2-5 Years</v>
      </c>
      <c r="AO498" s="1" t="str">
        <f>IF(HR_Data[[#This Row],[JobSatisfaction]]=1,"Low",IF(HR_Data[[#This Row],[JobSatisfaction]]=2,"Medium",IF(HR_Data[[#This Row],[JobSatisfaction]]=3,"High","Very High")))</f>
        <v>High</v>
      </c>
      <c r="AP498" s="1" t="str">
        <f>IF(HR_Data[[#This Row],[WorkLifeBalance]]=1,"Bad",IF(HR_Data[[#This Row],[WorkLifeBalance]]=2,"Good",IF(HR_Data[[#This Row],[WorkLifeBalance]]=3,"Better","Best")))</f>
        <v>Better</v>
      </c>
    </row>
    <row r="499" spans="1:42" x14ac:dyDescent="0.3">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c r="AJ499">
        <f>IF(HR_Data[[#This Row],[Attrition]]="Yes",1,0)</f>
        <v>0</v>
      </c>
      <c r="AK499">
        <f>IF(HR_Data[[#This Row],[Attrition]]="No",1,0)</f>
        <v>1</v>
      </c>
      <c r="AL499" t="str">
        <f>IF(HR_Data[[#This Row],[Age]]&lt;25,"Under 25",IF(HR_Data[[#This Row],[Age]]&lt;=34,"25-34",IF(HR_Data[[#This Row],[Age]]&lt;=44,"35-44",IF(HR_Data[[#This Row],[Age]]&lt;=54,"45-54","55+"))))</f>
        <v>35-44</v>
      </c>
      <c r="AM499" s="1" t="str">
        <f>IF(HR_Data[[#This Row],[MonthlyIncome]]&lt;3000,"Low Salary",IF(HR_Data[[#This Row],[MonthlyIncome]]&lt;=7000,"Medium Salary","High Salary"))</f>
        <v>High Salary</v>
      </c>
      <c r="AN499" s="1" t="str">
        <f>IF(HR_Data[[#This Row],[YearsAtCompany]]&lt;2,"0-1 Years",IF(HR_Data[[#This Row],[YearsAtCompany]]&lt;=5,"2-5 Years",IF(HR_Data[[#This Row],[YearsAtCompany]]&lt;=10,"6-10 Years","10+ Years")))</f>
        <v>2-5 Years</v>
      </c>
      <c r="AO499" s="1" t="str">
        <f>IF(HR_Data[[#This Row],[JobSatisfaction]]=1,"Low",IF(HR_Data[[#This Row],[JobSatisfaction]]=2,"Medium",IF(HR_Data[[#This Row],[JobSatisfaction]]=3,"High","Very High")))</f>
        <v>Very High</v>
      </c>
      <c r="AP499" s="1" t="str">
        <f>IF(HR_Data[[#This Row],[WorkLifeBalance]]=1,"Bad",IF(HR_Data[[#This Row],[WorkLifeBalance]]=2,"Good",IF(HR_Data[[#This Row],[WorkLifeBalance]]=3,"Better","Best")))</f>
        <v>Best</v>
      </c>
    </row>
    <row r="500" spans="1:42" x14ac:dyDescent="0.3">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c r="AJ500">
        <f>IF(HR_Data[[#This Row],[Attrition]]="Yes",1,0)</f>
        <v>0</v>
      </c>
      <c r="AK500">
        <f>IF(HR_Data[[#This Row],[Attrition]]="No",1,0)</f>
        <v>1</v>
      </c>
      <c r="AL500" t="str">
        <f>IF(HR_Data[[#This Row],[Age]]&lt;25,"Under 25",IF(HR_Data[[#This Row],[Age]]&lt;=34,"25-34",IF(HR_Data[[#This Row],[Age]]&lt;=44,"35-44",IF(HR_Data[[#This Row],[Age]]&lt;=54,"45-54","55+"))))</f>
        <v>Under 25</v>
      </c>
      <c r="AM500" s="1" t="str">
        <f>IF(HR_Data[[#This Row],[MonthlyIncome]]&lt;3000,"Low Salary",IF(HR_Data[[#This Row],[MonthlyIncome]]&lt;=7000,"Medium Salary","High Salary"))</f>
        <v>Low Salary</v>
      </c>
      <c r="AN500" s="1" t="str">
        <f>IF(HR_Data[[#This Row],[YearsAtCompany]]&lt;2,"0-1 Years",IF(HR_Data[[#This Row],[YearsAtCompany]]&lt;=5,"2-5 Years",IF(HR_Data[[#This Row],[YearsAtCompany]]&lt;=10,"6-10 Years","10+ Years")))</f>
        <v>2-5 Years</v>
      </c>
      <c r="AO500" s="1" t="str">
        <f>IF(HR_Data[[#This Row],[JobSatisfaction]]=1,"Low",IF(HR_Data[[#This Row],[JobSatisfaction]]=2,"Medium",IF(HR_Data[[#This Row],[JobSatisfaction]]=3,"High","Very High")))</f>
        <v>High</v>
      </c>
      <c r="AP500" s="1" t="str">
        <f>IF(HR_Data[[#This Row],[WorkLifeBalance]]=1,"Bad",IF(HR_Data[[#This Row],[WorkLifeBalance]]=2,"Good",IF(HR_Data[[#This Row],[WorkLifeBalance]]=3,"Better","Best")))</f>
        <v>Better</v>
      </c>
    </row>
    <row r="501" spans="1:42" x14ac:dyDescent="0.3">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c r="AJ501">
        <f>IF(HR_Data[[#This Row],[Attrition]]="Yes",1,0)</f>
        <v>0</v>
      </c>
      <c r="AK501">
        <f>IF(HR_Data[[#This Row],[Attrition]]="No",1,0)</f>
        <v>1</v>
      </c>
      <c r="AL501" t="str">
        <f>IF(HR_Data[[#This Row],[Age]]&lt;25,"Under 25",IF(HR_Data[[#This Row],[Age]]&lt;=34,"25-34",IF(HR_Data[[#This Row],[Age]]&lt;=44,"35-44",IF(HR_Data[[#This Row],[Age]]&lt;=54,"45-54","55+"))))</f>
        <v>25-34</v>
      </c>
      <c r="AM501" s="1" t="str">
        <f>IF(HR_Data[[#This Row],[MonthlyIncome]]&lt;3000,"Low Salary",IF(HR_Data[[#This Row],[MonthlyIncome]]&lt;=7000,"Medium Salary","High Salary"))</f>
        <v>High Salary</v>
      </c>
      <c r="AN501" s="1" t="str">
        <f>IF(HR_Data[[#This Row],[YearsAtCompany]]&lt;2,"0-1 Years",IF(HR_Data[[#This Row],[YearsAtCompany]]&lt;=5,"2-5 Years",IF(HR_Data[[#This Row],[YearsAtCompany]]&lt;=10,"6-10 Years","10+ Years")))</f>
        <v>2-5 Years</v>
      </c>
      <c r="AO501" s="1" t="str">
        <f>IF(HR_Data[[#This Row],[JobSatisfaction]]=1,"Low",IF(HR_Data[[#This Row],[JobSatisfaction]]=2,"Medium",IF(HR_Data[[#This Row],[JobSatisfaction]]=3,"High","Very High")))</f>
        <v>High</v>
      </c>
      <c r="AP501" s="1" t="str">
        <f>IF(HR_Data[[#This Row],[WorkLifeBalance]]=1,"Bad",IF(HR_Data[[#This Row],[WorkLifeBalance]]=2,"Good",IF(HR_Data[[#This Row],[WorkLifeBalance]]=3,"Better","Best")))</f>
        <v>Better</v>
      </c>
    </row>
    <row r="502" spans="1:42" x14ac:dyDescent="0.3">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c r="AJ502">
        <f>IF(HR_Data[[#This Row],[Attrition]]="Yes",1,0)</f>
        <v>0</v>
      </c>
      <c r="AK502">
        <f>IF(HR_Data[[#This Row],[Attrition]]="No",1,0)</f>
        <v>1</v>
      </c>
      <c r="AL502" t="str">
        <f>IF(HR_Data[[#This Row],[Age]]&lt;25,"Under 25",IF(HR_Data[[#This Row],[Age]]&lt;=34,"25-34",IF(HR_Data[[#This Row],[Age]]&lt;=44,"35-44",IF(HR_Data[[#This Row],[Age]]&lt;=54,"45-54","55+"))))</f>
        <v>25-34</v>
      </c>
      <c r="AM502" s="1" t="str">
        <f>IF(HR_Data[[#This Row],[MonthlyIncome]]&lt;3000,"Low Salary",IF(HR_Data[[#This Row],[MonthlyIncome]]&lt;=7000,"Medium Salary","High Salary"))</f>
        <v>Medium Salary</v>
      </c>
      <c r="AN502" s="1" t="str">
        <f>IF(HR_Data[[#This Row],[YearsAtCompany]]&lt;2,"0-1 Years",IF(HR_Data[[#This Row],[YearsAtCompany]]&lt;=5,"2-5 Years",IF(HR_Data[[#This Row],[YearsAtCompany]]&lt;=10,"6-10 Years","10+ Years")))</f>
        <v>6-10 Years</v>
      </c>
      <c r="AO502" s="1" t="str">
        <f>IF(HR_Data[[#This Row],[JobSatisfaction]]=1,"Low",IF(HR_Data[[#This Row],[JobSatisfaction]]=2,"Medium",IF(HR_Data[[#This Row],[JobSatisfaction]]=3,"High","Very High")))</f>
        <v>Very High</v>
      </c>
      <c r="AP502" s="1" t="str">
        <f>IF(HR_Data[[#This Row],[WorkLifeBalance]]=1,"Bad",IF(HR_Data[[#This Row],[WorkLifeBalance]]=2,"Good",IF(HR_Data[[#This Row],[WorkLifeBalance]]=3,"Better","Best")))</f>
        <v>Good</v>
      </c>
    </row>
    <row r="503" spans="1:42" x14ac:dyDescent="0.3">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c r="AJ503">
        <f>IF(HR_Data[[#This Row],[Attrition]]="Yes",1,0)</f>
        <v>0</v>
      </c>
      <c r="AK503">
        <f>IF(HR_Data[[#This Row],[Attrition]]="No",1,0)</f>
        <v>1</v>
      </c>
      <c r="AL503" t="str">
        <f>IF(HR_Data[[#This Row],[Age]]&lt;25,"Under 25",IF(HR_Data[[#This Row],[Age]]&lt;=34,"25-34",IF(HR_Data[[#This Row],[Age]]&lt;=44,"35-44",IF(HR_Data[[#This Row],[Age]]&lt;=54,"45-54","55+"))))</f>
        <v>25-34</v>
      </c>
      <c r="AM503" s="1" t="str">
        <f>IF(HR_Data[[#This Row],[MonthlyIncome]]&lt;3000,"Low Salary",IF(HR_Data[[#This Row],[MonthlyIncome]]&lt;=7000,"Medium Salary","High Salary"))</f>
        <v>Low Salary</v>
      </c>
      <c r="AN503" s="1" t="str">
        <f>IF(HR_Data[[#This Row],[YearsAtCompany]]&lt;2,"0-1 Years",IF(HR_Data[[#This Row],[YearsAtCompany]]&lt;=5,"2-5 Years",IF(HR_Data[[#This Row],[YearsAtCompany]]&lt;=10,"6-10 Years","10+ Years")))</f>
        <v>0-1 Years</v>
      </c>
      <c r="AO503" s="1" t="str">
        <f>IF(HR_Data[[#This Row],[JobSatisfaction]]=1,"Low",IF(HR_Data[[#This Row],[JobSatisfaction]]=2,"Medium",IF(HR_Data[[#This Row],[JobSatisfaction]]=3,"High","Very High")))</f>
        <v>High</v>
      </c>
      <c r="AP503" s="1" t="str">
        <f>IF(HR_Data[[#This Row],[WorkLifeBalance]]=1,"Bad",IF(HR_Data[[#This Row],[WorkLifeBalance]]=2,"Good",IF(HR_Data[[#This Row],[WorkLifeBalance]]=3,"Better","Best")))</f>
        <v>Better</v>
      </c>
    </row>
    <row r="504" spans="1:42" x14ac:dyDescent="0.3">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c r="AJ504">
        <f>IF(HR_Data[[#This Row],[Attrition]]="Yes",1,0)</f>
        <v>0</v>
      </c>
      <c r="AK504">
        <f>IF(HR_Data[[#This Row],[Attrition]]="No",1,0)</f>
        <v>1</v>
      </c>
      <c r="AL504" t="str">
        <f>IF(HR_Data[[#This Row],[Age]]&lt;25,"Under 25",IF(HR_Data[[#This Row],[Age]]&lt;=34,"25-34",IF(HR_Data[[#This Row],[Age]]&lt;=44,"35-44",IF(HR_Data[[#This Row],[Age]]&lt;=54,"45-54","55+"))))</f>
        <v>45-54</v>
      </c>
      <c r="AM504" s="1" t="str">
        <f>IF(HR_Data[[#This Row],[MonthlyIncome]]&lt;3000,"Low Salary",IF(HR_Data[[#This Row],[MonthlyIncome]]&lt;=7000,"Medium Salary","High Salary"))</f>
        <v>High Salary</v>
      </c>
      <c r="AN504" s="1" t="str">
        <f>IF(HR_Data[[#This Row],[YearsAtCompany]]&lt;2,"0-1 Years",IF(HR_Data[[#This Row],[YearsAtCompany]]&lt;=5,"2-5 Years",IF(HR_Data[[#This Row],[YearsAtCompany]]&lt;=10,"6-10 Years","10+ Years")))</f>
        <v>10+ Years</v>
      </c>
      <c r="AO504" s="1" t="str">
        <f>IF(HR_Data[[#This Row],[JobSatisfaction]]=1,"Low",IF(HR_Data[[#This Row],[JobSatisfaction]]=2,"Medium",IF(HR_Data[[#This Row],[JobSatisfaction]]=3,"High","Very High")))</f>
        <v>Low</v>
      </c>
      <c r="AP504" s="1" t="str">
        <f>IF(HR_Data[[#This Row],[WorkLifeBalance]]=1,"Bad",IF(HR_Data[[#This Row],[WorkLifeBalance]]=2,"Good",IF(HR_Data[[#This Row],[WorkLifeBalance]]=3,"Better","Best")))</f>
        <v>Best</v>
      </c>
    </row>
    <row r="505" spans="1:42" x14ac:dyDescent="0.3">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c r="AJ505">
        <f>IF(HR_Data[[#This Row],[Attrition]]="Yes",1,0)</f>
        <v>0</v>
      </c>
      <c r="AK505">
        <f>IF(HR_Data[[#This Row],[Attrition]]="No",1,0)</f>
        <v>1</v>
      </c>
      <c r="AL505" t="str">
        <f>IF(HR_Data[[#This Row],[Age]]&lt;25,"Under 25",IF(HR_Data[[#This Row],[Age]]&lt;=34,"25-34",IF(HR_Data[[#This Row],[Age]]&lt;=44,"35-44",IF(HR_Data[[#This Row],[Age]]&lt;=54,"45-54","55+"))))</f>
        <v>25-34</v>
      </c>
      <c r="AM505" s="1" t="str">
        <f>IF(HR_Data[[#This Row],[MonthlyIncome]]&lt;3000,"Low Salary",IF(HR_Data[[#This Row],[MonthlyIncome]]&lt;=7000,"Medium Salary","High Salary"))</f>
        <v>Low Salary</v>
      </c>
      <c r="AN505" s="1" t="str">
        <f>IF(HR_Data[[#This Row],[YearsAtCompany]]&lt;2,"0-1 Years",IF(HR_Data[[#This Row],[YearsAtCompany]]&lt;=5,"2-5 Years",IF(HR_Data[[#This Row],[YearsAtCompany]]&lt;=10,"6-10 Years","10+ Years")))</f>
        <v>6-10 Years</v>
      </c>
      <c r="AO505" s="1" t="str">
        <f>IF(HR_Data[[#This Row],[JobSatisfaction]]=1,"Low",IF(HR_Data[[#This Row],[JobSatisfaction]]=2,"Medium",IF(HR_Data[[#This Row],[JobSatisfaction]]=3,"High","Very High")))</f>
        <v>Very High</v>
      </c>
      <c r="AP505" s="1" t="str">
        <f>IF(HR_Data[[#This Row],[WorkLifeBalance]]=1,"Bad",IF(HR_Data[[#This Row],[WorkLifeBalance]]=2,"Good",IF(HR_Data[[#This Row],[WorkLifeBalance]]=3,"Better","Best")))</f>
        <v>Good</v>
      </c>
    </row>
    <row r="506" spans="1:42" x14ac:dyDescent="0.3">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c r="AJ506">
        <f>IF(HR_Data[[#This Row],[Attrition]]="Yes",1,0)</f>
        <v>1</v>
      </c>
      <c r="AK506">
        <f>IF(HR_Data[[#This Row],[Attrition]]="No",1,0)</f>
        <v>0</v>
      </c>
      <c r="AL506" t="str">
        <f>IF(HR_Data[[#This Row],[Age]]&lt;25,"Under 25",IF(HR_Data[[#This Row],[Age]]&lt;=34,"25-34",IF(HR_Data[[#This Row],[Age]]&lt;=44,"35-44",IF(HR_Data[[#This Row],[Age]]&lt;=54,"45-54","55+"))))</f>
        <v>45-54</v>
      </c>
      <c r="AM506" s="1" t="str">
        <f>IF(HR_Data[[#This Row],[MonthlyIncome]]&lt;3000,"Low Salary",IF(HR_Data[[#This Row],[MonthlyIncome]]&lt;=7000,"Medium Salary","High Salary"))</f>
        <v>Medium Salary</v>
      </c>
      <c r="AN506" s="1" t="str">
        <f>IF(HR_Data[[#This Row],[YearsAtCompany]]&lt;2,"0-1 Years",IF(HR_Data[[#This Row],[YearsAtCompany]]&lt;=5,"2-5 Years",IF(HR_Data[[#This Row],[YearsAtCompany]]&lt;=10,"6-10 Years","10+ Years")))</f>
        <v>0-1 Years</v>
      </c>
      <c r="AO506" s="1" t="str">
        <f>IF(HR_Data[[#This Row],[JobSatisfaction]]=1,"Low",IF(HR_Data[[#This Row],[JobSatisfaction]]=2,"Medium",IF(HR_Data[[#This Row],[JobSatisfaction]]=3,"High","Very High")))</f>
        <v>Low</v>
      </c>
      <c r="AP506" s="1" t="str">
        <f>IF(HR_Data[[#This Row],[WorkLifeBalance]]=1,"Bad",IF(HR_Data[[#This Row],[WorkLifeBalance]]=2,"Good",IF(HR_Data[[#This Row],[WorkLifeBalance]]=3,"Better","Best")))</f>
        <v>Better</v>
      </c>
    </row>
    <row r="507" spans="1:42" x14ac:dyDescent="0.3">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c r="AJ507">
        <f>IF(HR_Data[[#This Row],[Attrition]]="Yes",1,0)</f>
        <v>0</v>
      </c>
      <c r="AK507">
        <f>IF(HR_Data[[#This Row],[Attrition]]="No",1,0)</f>
        <v>1</v>
      </c>
      <c r="AL507" t="str">
        <f>IF(HR_Data[[#This Row],[Age]]&lt;25,"Under 25",IF(HR_Data[[#This Row],[Age]]&lt;=34,"25-34",IF(HR_Data[[#This Row],[Age]]&lt;=44,"35-44",IF(HR_Data[[#This Row],[Age]]&lt;=54,"45-54","55+"))))</f>
        <v>25-34</v>
      </c>
      <c r="AM507" s="1" t="str">
        <f>IF(HR_Data[[#This Row],[MonthlyIncome]]&lt;3000,"Low Salary",IF(HR_Data[[#This Row],[MonthlyIncome]]&lt;=7000,"Medium Salary","High Salary"))</f>
        <v>Low Salary</v>
      </c>
      <c r="AN507" s="1" t="str">
        <f>IF(HR_Data[[#This Row],[YearsAtCompany]]&lt;2,"0-1 Years",IF(HR_Data[[#This Row],[YearsAtCompany]]&lt;=5,"2-5 Years",IF(HR_Data[[#This Row],[YearsAtCompany]]&lt;=10,"6-10 Years","10+ Years")))</f>
        <v>2-5 Years</v>
      </c>
      <c r="AO507" s="1" t="str">
        <f>IF(HR_Data[[#This Row],[JobSatisfaction]]=1,"Low",IF(HR_Data[[#This Row],[JobSatisfaction]]=2,"Medium",IF(HR_Data[[#This Row],[JobSatisfaction]]=3,"High","Very High")))</f>
        <v>Very High</v>
      </c>
      <c r="AP507" s="1" t="str">
        <f>IF(HR_Data[[#This Row],[WorkLifeBalance]]=1,"Bad",IF(HR_Data[[#This Row],[WorkLifeBalance]]=2,"Good",IF(HR_Data[[#This Row],[WorkLifeBalance]]=3,"Better","Best")))</f>
        <v>Better</v>
      </c>
    </row>
    <row r="508" spans="1:42" x14ac:dyDescent="0.3">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c r="AJ508">
        <f>IF(HR_Data[[#This Row],[Attrition]]="Yes",1,0)</f>
        <v>0</v>
      </c>
      <c r="AK508">
        <f>IF(HR_Data[[#This Row],[Attrition]]="No",1,0)</f>
        <v>1</v>
      </c>
      <c r="AL508" t="str">
        <f>IF(HR_Data[[#This Row],[Age]]&lt;25,"Under 25",IF(HR_Data[[#This Row],[Age]]&lt;=34,"25-34",IF(HR_Data[[#This Row],[Age]]&lt;=44,"35-44",IF(HR_Data[[#This Row],[Age]]&lt;=54,"45-54","55+"))))</f>
        <v>35-44</v>
      </c>
      <c r="AM508" s="1" t="str">
        <f>IF(HR_Data[[#This Row],[MonthlyIncome]]&lt;3000,"Low Salary",IF(HR_Data[[#This Row],[MonthlyIncome]]&lt;=7000,"Medium Salary","High Salary"))</f>
        <v>High Salary</v>
      </c>
      <c r="AN508" s="1" t="str">
        <f>IF(HR_Data[[#This Row],[YearsAtCompany]]&lt;2,"0-1 Years",IF(HR_Data[[#This Row],[YearsAtCompany]]&lt;=5,"2-5 Years",IF(HR_Data[[#This Row],[YearsAtCompany]]&lt;=10,"6-10 Years","10+ Years")))</f>
        <v>6-10 Years</v>
      </c>
      <c r="AO508" s="1" t="str">
        <f>IF(HR_Data[[#This Row],[JobSatisfaction]]=1,"Low",IF(HR_Data[[#This Row],[JobSatisfaction]]=2,"Medium",IF(HR_Data[[#This Row],[JobSatisfaction]]=3,"High","Very High")))</f>
        <v>High</v>
      </c>
      <c r="AP508" s="1" t="str">
        <f>IF(HR_Data[[#This Row],[WorkLifeBalance]]=1,"Bad",IF(HR_Data[[#This Row],[WorkLifeBalance]]=2,"Good",IF(HR_Data[[#This Row],[WorkLifeBalance]]=3,"Better","Best")))</f>
        <v>Better</v>
      </c>
    </row>
    <row r="509" spans="1:42" x14ac:dyDescent="0.3">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c r="AJ509">
        <f>IF(HR_Data[[#This Row],[Attrition]]="Yes",1,0)</f>
        <v>0</v>
      </c>
      <c r="AK509">
        <f>IF(HR_Data[[#This Row],[Attrition]]="No",1,0)</f>
        <v>1</v>
      </c>
      <c r="AL509" t="str">
        <f>IF(HR_Data[[#This Row],[Age]]&lt;25,"Under 25",IF(HR_Data[[#This Row],[Age]]&lt;=34,"25-34",IF(HR_Data[[#This Row],[Age]]&lt;=44,"35-44",IF(HR_Data[[#This Row],[Age]]&lt;=54,"45-54","55+"))))</f>
        <v>25-34</v>
      </c>
      <c r="AM509" s="1" t="str">
        <f>IF(HR_Data[[#This Row],[MonthlyIncome]]&lt;3000,"Low Salary",IF(HR_Data[[#This Row],[MonthlyIncome]]&lt;=7000,"Medium Salary","High Salary"))</f>
        <v>Medium Salary</v>
      </c>
      <c r="AN509" s="1" t="str">
        <f>IF(HR_Data[[#This Row],[YearsAtCompany]]&lt;2,"0-1 Years",IF(HR_Data[[#This Row],[YearsAtCompany]]&lt;=5,"2-5 Years",IF(HR_Data[[#This Row],[YearsAtCompany]]&lt;=10,"6-10 Years","10+ Years")))</f>
        <v>6-10 Years</v>
      </c>
      <c r="AO509" s="1" t="str">
        <f>IF(HR_Data[[#This Row],[JobSatisfaction]]=1,"Low",IF(HR_Data[[#This Row],[JobSatisfaction]]=2,"Medium",IF(HR_Data[[#This Row],[JobSatisfaction]]=3,"High","Very High")))</f>
        <v>High</v>
      </c>
      <c r="AP509" s="1" t="str">
        <f>IF(HR_Data[[#This Row],[WorkLifeBalance]]=1,"Bad",IF(HR_Data[[#This Row],[WorkLifeBalance]]=2,"Good",IF(HR_Data[[#This Row],[WorkLifeBalance]]=3,"Better","Best")))</f>
        <v>Good</v>
      </c>
    </row>
    <row r="510" spans="1:42" x14ac:dyDescent="0.3">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c r="AJ510">
        <f>IF(HR_Data[[#This Row],[Attrition]]="Yes",1,0)</f>
        <v>0</v>
      </c>
      <c r="AK510">
        <f>IF(HR_Data[[#This Row],[Attrition]]="No",1,0)</f>
        <v>1</v>
      </c>
      <c r="AL510" t="str">
        <f>IF(HR_Data[[#This Row],[Age]]&lt;25,"Under 25",IF(HR_Data[[#This Row],[Age]]&lt;=34,"25-34",IF(HR_Data[[#This Row],[Age]]&lt;=44,"35-44",IF(HR_Data[[#This Row],[Age]]&lt;=54,"45-54","55+"))))</f>
        <v>35-44</v>
      </c>
      <c r="AM510" s="1" t="str">
        <f>IF(HR_Data[[#This Row],[MonthlyIncome]]&lt;3000,"Low Salary",IF(HR_Data[[#This Row],[MonthlyIncome]]&lt;=7000,"Medium Salary","High Salary"))</f>
        <v>Medium Salary</v>
      </c>
      <c r="AN510" s="1" t="str">
        <f>IF(HR_Data[[#This Row],[YearsAtCompany]]&lt;2,"0-1 Years",IF(HR_Data[[#This Row],[YearsAtCompany]]&lt;=5,"2-5 Years",IF(HR_Data[[#This Row],[YearsAtCompany]]&lt;=10,"6-10 Years","10+ Years")))</f>
        <v>10+ Years</v>
      </c>
      <c r="AO510" s="1" t="str">
        <f>IF(HR_Data[[#This Row],[JobSatisfaction]]=1,"Low",IF(HR_Data[[#This Row],[JobSatisfaction]]=2,"Medium",IF(HR_Data[[#This Row],[JobSatisfaction]]=3,"High","Very High")))</f>
        <v>Very High</v>
      </c>
      <c r="AP510" s="1" t="str">
        <f>IF(HR_Data[[#This Row],[WorkLifeBalance]]=1,"Bad",IF(HR_Data[[#This Row],[WorkLifeBalance]]=2,"Good",IF(HR_Data[[#This Row],[WorkLifeBalance]]=3,"Better","Best")))</f>
        <v>Better</v>
      </c>
    </row>
    <row r="511" spans="1:42" x14ac:dyDescent="0.3">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c r="AJ511">
        <f>IF(HR_Data[[#This Row],[Attrition]]="Yes",1,0)</f>
        <v>0</v>
      </c>
      <c r="AK511">
        <f>IF(HR_Data[[#This Row],[Attrition]]="No",1,0)</f>
        <v>1</v>
      </c>
      <c r="AL511" t="str">
        <f>IF(HR_Data[[#This Row],[Age]]&lt;25,"Under 25",IF(HR_Data[[#This Row],[Age]]&lt;=34,"25-34",IF(HR_Data[[#This Row],[Age]]&lt;=44,"35-44",IF(HR_Data[[#This Row],[Age]]&lt;=54,"45-54","55+"))))</f>
        <v>25-34</v>
      </c>
      <c r="AM511" s="1" t="str">
        <f>IF(HR_Data[[#This Row],[MonthlyIncome]]&lt;3000,"Low Salary",IF(HR_Data[[#This Row],[MonthlyIncome]]&lt;=7000,"Medium Salary","High Salary"))</f>
        <v>High Salary</v>
      </c>
      <c r="AN511" s="1" t="str">
        <f>IF(HR_Data[[#This Row],[YearsAtCompany]]&lt;2,"0-1 Years",IF(HR_Data[[#This Row],[YearsAtCompany]]&lt;=5,"2-5 Years",IF(HR_Data[[#This Row],[YearsAtCompany]]&lt;=10,"6-10 Years","10+ Years")))</f>
        <v>10+ Years</v>
      </c>
      <c r="AO511" s="1" t="str">
        <f>IF(HR_Data[[#This Row],[JobSatisfaction]]=1,"Low",IF(HR_Data[[#This Row],[JobSatisfaction]]=2,"Medium",IF(HR_Data[[#This Row],[JobSatisfaction]]=3,"High","Very High")))</f>
        <v>Very High</v>
      </c>
      <c r="AP511" s="1" t="str">
        <f>IF(HR_Data[[#This Row],[WorkLifeBalance]]=1,"Bad",IF(HR_Data[[#This Row],[WorkLifeBalance]]=2,"Good",IF(HR_Data[[#This Row],[WorkLifeBalance]]=3,"Better","Best")))</f>
        <v>Bad</v>
      </c>
    </row>
    <row r="512" spans="1:42" x14ac:dyDescent="0.3">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c r="AJ512">
        <f>IF(HR_Data[[#This Row],[Attrition]]="Yes",1,0)</f>
        <v>0</v>
      </c>
      <c r="AK512">
        <f>IF(HR_Data[[#This Row],[Attrition]]="No",1,0)</f>
        <v>1</v>
      </c>
      <c r="AL512" t="str">
        <f>IF(HR_Data[[#This Row],[Age]]&lt;25,"Under 25",IF(HR_Data[[#This Row],[Age]]&lt;=34,"25-34",IF(HR_Data[[#This Row],[Age]]&lt;=44,"35-44",IF(HR_Data[[#This Row],[Age]]&lt;=54,"45-54","55+"))))</f>
        <v>45-54</v>
      </c>
      <c r="AM512" s="1" t="str">
        <f>IF(HR_Data[[#This Row],[MonthlyIncome]]&lt;3000,"Low Salary",IF(HR_Data[[#This Row],[MonthlyIncome]]&lt;=7000,"Medium Salary","High Salary"))</f>
        <v>High Salary</v>
      </c>
      <c r="AN512" s="1" t="str">
        <f>IF(HR_Data[[#This Row],[YearsAtCompany]]&lt;2,"0-1 Years",IF(HR_Data[[#This Row],[YearsAtCompany]]&lt;=5,"2-5 Years",IF(HR_Data[[#This Row],[YearsAtCompany]]&lt;=10,"6-10 Years","10+ Years")))</f>
        <v>6-10 Years</v>
      </c>
      <c r="AO512" s="1" t="str">
        <f>IF(HR_Data[[#This Row],[JobSatisfaction]]=1,"Low",IF(HR_Data[[#This Row],[JobSatisfaction]]=2,"Medium",IF(HR_Data[[#This Row],[JobSatisfaction]]=3,"High","Very High")))</f>
        <v>Medium</v>
      </c>
      <c r="AP512" s="1" t="str">
        <f>IF(HR_Data[[#This Row],[WorkLifeBalance]]=1,"Bad",IF(HR_Data[[#This Row],[WorkLifeBalance]]=2,"Good",IF(HR_Data[[#This Row],[WorkLifeBalance]]=3,"Better","Best")))</f>
        <v>Best</v>
      </c>
    </row>
    <row r="513" spans="1:42" x14ac:dyDescent="0.3">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c r="AJ513">
        <f>IF(HR_Data[[#This Row],[Attrition]]="Yes",1,0)</f>
        <v>0</v>
      </c>
      <c r="AK513">
        <f>IF(HR_Data[[#This Row],[Attrition]]="No",1,0)</f>
        <v>1</v>
      </c>
      <c r="AL513" t="str">
        <f>IF(HR_Data[[#This Row],[Age]]&lt;25,"Under 25",IF(HR_Data[[#This Row],[Age]]&lt;=34,"25-34",IF(HR_Data[[#This Row],[Age]]&lt;=44,"35-44",IF(HR_Data[[#This Row],[Age]]&lt;=54,"45-54","55+"))))</f>
        <v>35-44</v>
      </c>
      <c r="AM513" s="1" t="str">
        <f>IF(HR_Data[[#This Row],[MonthlyIncome]]&lt;3000,"Low Salary",IF(HR_Data[[#This Row],[MonthlyIncome]]&lt;=7000,"Medium Salary","High Salary"))</f>
        <v>High Salary</v>
      </c>
      <c r="AN513" s="1" t="str">
        <f>IF(HR_Data[[#This Row],[YearsAtCompany]]&lt;2,"0-1 Years",IF(HR_Data[[#This Row],[YearsAtCompany]]&lt;=5,"2-5 Years",IF(HR_Data[[#This Row],[YearsAtCompany]]&lt;=10,"6-10 Years","10+ Years")))</f>
        <v>2-5 Years</v>
      </c>
      <c r="AO513" s="1" t="str">
        <f>IF(HR_Data[[#This Row],[JobSatisfaction]]=1,"Low",IF(HR_Data[[#This Row],[JobSatisfaction]]=2,"Medium",IF(HR_Data[[#This Row],[JobSatisfaction]]=3,"High","Very High")))</f>
        <v>Medium</v>
      </c>
      <c r="AP513" s="1" t="str">
        <f>IF(HR_Data[[#This Row],[WorkLifeBalance]]=1,"Bad",IF(HR_Data[[#This Row],[WorkLifeBalance]]=2,"Good",IF(HR_Data[[#This Row],[WorkLifeBalance]]=3,"Better","Best")))</f>
        <v>Better</v>
      </c>
    </row>
    <row r="514" spans="1:42" x14ac:dyDescent="0.3">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c r="AJ514">
        <f>IF(HR_Data[[#This Row],[Attrition]]="Yes",1,0)</f>
        <v>0</v>
      </c>
      <c r="AK514">
        <f>IF(HR_Data[[#This Row],[Attrition]]="No",1,0)</f>
        <v>1</v>
      </c>
      <c r="AL514" t="str">
        <f>IF(HR_Data[[#This Row],[Age]]&lt;25,"Under 25",IF(HR_Data[[#This Row],[Age]]&lt;=34,"25-34",IF(HR_Data[[#This Row],[Age]]&lt;=44,"35-44",IF(HR_Data[[#This Row],[Age]]&lt;=54,"45-54","55+"))))</f>
        <v>25-34</v>
      </c>
      <c r="AM514" s="1" t="str">
        <f>IF(HR_Data[[#This Row],[MonthlyIncome]]&lt;3000,"Low Salary",IF(HR_Data[[#This Row],[MonthlyIncome]]&lt;=7000,"Medium Salary","High Salary"))</f>
        <v>Low Salary</v>
      </c>
      <c r="AN514" s="1" t="str">
        <f>IF(HR_Data[[#This Row],[YearsAtCompany]]&lt;2,"0-1 Years",IF(HR_Data[[#This Row],[YearsAtCompany]]&lt;=5,"2-5 Years",IF(HR_Data[[#This Row],[YearsAtCompany]]&lt;=10,"6-10 Years","10+ Years")))</f>
        <v>2-5 Years</v>
      </c>
      <c r="AO514" s="1" t="str">
        <f>IF(HR_Data[[#This Row],[JobSatisfaction]]=1,"Low",IF(HR_Data[[#This Row],[JobSatisfaction]]=2,"Medium",IF(HR_Data[[#This Row],[JobSatisfaction]]=3,"High","Very High")))</f>
        <v>Very High</v>
      </c>
      <c r="AP514" s="1" t="str">
        <f>IF(HR_Data[[#This Row],[WorkLifeBalance]]=1,"Bad",IF(HR_Data[[#This Row],[WorkLifeBalance]]=2,"Good",IF(HR_Data[[#This Row],[WorkLifeBalance]]=3,"Better","Best")))</f>
        <v>Better</v>
      </c>
    </row>
    <row r="515" spans="1:42" x14ac:dyDescent="0.3">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c r="AJ515">
        <f>IF(HR_Data[[#This Row],[Attrition]]="Yes",1,0)</f>
        <v>1</v>
      </c>
      <c r="AK515">
        <f>IF(HR_Data[[#This Row],[Attrition]]="No",1,0)</f>
        <v>0</v>
      </c>
      <c r="AL515" t="str">
        <f>IF(HR_Data[[#This Row],[Age]]&lt;25,"Under 25",IF(HR_Data[[#This Row],[Age]]&lt;=34,"25-34",IF(HR_Data[[#This Row],[Age]]&lt;=44,"35-44",IF(HR_Data[[#This Row],[Age]]&lt;=54,"45-54","55+"))))</f>
        <v>Under 25</v>
      </c>
      <c r="AM515" s="1" t="str">
        <f>IF(HR_Data[[#This Row],[MonthlyIncome]]&lt;3000,"Low Salary",IF(HR_Data[[#This Row],[MonthlyIncome]]&lt;=7000,"Medium Salary","High Salary"))</f>
        <v>Low Salary</v>
      </c>
      <c r="AN515" s="1" t="str">
        <f>IF(HR_Data[[#This Row],[YearsAtCompany]]&lt;2,"0-1 Years",IF(HR_Data[[#This Row],[YearsAtCompany]]&lt;=5,"2-5 Years",IF(HR_Data[[#This Row],[YearsAtCompany]]&lt;=10,"6-10 Years","10+ Years")))</f>
        <v>0-1 Years</v>
      </c>
      <c r="AO515" s="1" t="str">
        <f>IF(HR_Data[[#This Row],[JobSatisfaction]]=1,"Low",IF(HR_Data[[#This Row],[JobSatisfaction]]=2,"Medium",IF(HR_Data[[#This Row],[JobSatisfaction]]=3,"High","Very High")))</f>
        <v>High</v>
      </c>
      <c r="AP515" s="1" t="str">
        <f>IF(HR_Data[[#This Row],[WorkLifeBalance]]=1,"Bad",IF(HR_Data[[#This Row],[WorkLifeBalance]]=2,"Good",IF(HR_Data[[#This Row],[WorkLifeBalance]]=3,"Better","Best")))</f>
        <v>Better</v>
      </c>
    </row>
    <row r="516" spans="1:42" x14ac:dyDescent="0.3">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c r="AJ516">
        <f>IF(HR_Data[[#This Row],[Attrition]]="Yes",1,0)</f>
        <v>1</v>
      </c>
      <c r="AK516">
        <f>IF(HR_Data[[#This Row],[Attrition]]="No",1,0)</f>
        <v>0</v>
      </c>
      <c r="AL516" t="str">
        <f>IF(HR_Data[[#This Row],[Age]]&lt;25,"Under 25",IF(HR_Data[[#This Row],[Age]]&lt;=34,"25-34",IF(HR_Data[[#This Row],[Age]]&lt;=44,"35-44",IF(HR_Data[[#This Row],[Age]]&lt;=54,"45-54","55+"))))</f>
        <v>25-34</v>
      </c>
      <c r="AM516" s="1" t="str">
        <f>IF(HR_Data[[#This Row],[MonthlyIncome]]&lt;3000,"Low Salary",IF(HR_Data[[#This Row],[MonthlyIncome]]&lt;=7000,"Medium Salary","High Salary"))</f>
        <v>Medium Salary</v>
      </c>
      <c r="AN516" s="1" t="str">
        <f>IF(HR_Data[[#This Row],[YearsAtCompany]]&lt;2,"0-1 Years",IF(HR_Data[[#This Row],[YearsAtCompany]]&lt;=5,"2-5 Years",IF(HR_Data[[#This Row],[YearsAtCompany]]&lt;=10,"6-10 Years","10+ Years")))</f>
        <v>6-10 Years</v>
      </c>
      <c r="AO516" s="1" t="str">
        <f>IF(HR_Data[[#This Row],[JobSatisfaction]]=1,"Low",IF(HR_Data[[#This Row],[JobSatisfaction]]=2,"Medium",IF(HR_Data[[#This Row],[JobSatisfaction]]=3,"High","Very High")))</f>
        <v>Low</v>
      </c>
      <c r="AP516" s="1" t="str">
        <f>IF(HR_Data[[#This Row],[WorkLifeBalance]]=1,"Bad",IF(HR_Data[[#This Row],[WorkLifeBalance]]=2,"Good",IF(HR_Data[[#This Row],[WorkLifeBalance]]=3,"Better","Best")))</f>
        <v>Better</v>
      </c>
    </row>
    <row r="517" spans="1:42" x14ac:dyDescent="0.3">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c r="AJ517">
        <f>IF(HR_Data[[#This Row],[Attrition]]="Yes",1,0)</f>
        <v>0</v>
      </c>
      <c r="AK517">
        <f>IF(HR_Data[[#This Row],[Attrition]]="No",1,0)</f>
        <v>1</v>
      </c>
      <c r="AL517" t="str">
        <f>IF(HR_Data[[#This Row],[Age]]&lt;25,"Under 25",IF(HR_Data[[#This Row],[Age]]&lt;=34,"25-34",IF(HR_Data[[#This Row],[Age]]&lt;=44,"35-44",IF(HR_Data[[#This Row],[Age]]&lt;=54,"45-54","55+"))))</f>
        <v>35-44</v>
      </c>
      <c r="AM517" s="1" t="str">
        <f>IF(HR_Data[[#This Row],[MonthlyIncome]]&lt;3000,"Low Salary",IF(HR_Data[[#This Row],[MonthlyIncome]]&lt;=7000,"Medium Salary","High Salary"))</f>
        <v>Low Salary</v>
      </c>
      <c r="AN517" s="1" t="str">
        <f>IF(HR_Data[[#This Row],[YearsAtCompany]]&lt;2,"0-1 Years",IF(HR_Data[[#This Row],[YearsAtCompany]]&lt;=5,"2-5 Years",IF(HR_Data[[#This Row],[YearsAtCompany]]&lt;=10,"6-10 Years","10+ Years")))</f>
        <v>0-1 Years</v>
      </c>
      <c r="AO517" s="1" t="str">
        <f>IF(HR_Data[[#This Row],[JobSatisfaction]]=1,"Low",IF(HR_Data[[#This Row],[JobSatisfaction]]=2,"Medium",IF(HR_Data[[#This Row],[JobSatisfaction]]=3,"High","Very High")))</f>
        <v>High</v>
      </c>
      <c r="AP517" s="1" t="str">
        <f>IF(HR_Data[[#This Row],[WorkLifeBalance]]=1,"Bad",IF(HR_Data[[#This Row],[WorkLifeBalance]]=2,"Good",IF(HR_Data[[#This Row],[WorkLifeBalance]]=3,"Better","Best")))</f>
        <v>Better</v>
      </c>
    </row>
    <row r="518" spans="1:42" x14ac:dyDescent="0.3">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c r="AJ518">
        <f>IF(HR_Data[[#This Row],[Attrition]]="Yes",1,0)</f>
        <v>0</v>
      </c>
      <c r="AK518">
        <f>IF(HR_Data[[#This Row],[Attrition]]="No",1,0)</f>
        <v>1</v>
      </c>
      <c r="AL518" t="str">
        <f>IF(HR_Data[[#This Row],[Age]]&lt;25,"Under 25",IF(HR_Data[[#This Row],[Age]]&lt;=34,"25-34",IF(HR_Data[[#This Row],[Age]]&lt;=44,"35-44",IF(HR_Data[[#This Row],[Age]]&lt;=54,"45-54","55+"))))</f>
        <v>Under 25</v>
      </c>
      <c r="AM518" s="1" t="str">
        <f>IF(HR_Data[[#This Row],[MonthlyIncome]]&lt;3000,"Low Salary",IF(HR_Data[[#This Row],[MonthlyIncome]]&lt;=7000,"Medium Salary","High Salary"))</f>
        <v>Low Salary</v>
      </c>
      <c r="AN518" s="1" t="str">
        <f>IF(HR_Data[[#This Row],[YearsAtCompany]]&lt;2,"0-1 Years",IF(HR_Data[[#This Row],[YearsAtCompany]]&lt;=5,"2-5 Years",IF(HR_Data[[#This Row],[YearsAtCompany]]&lt;=10,"6-10 Years","10+ Years")))</f>
        <v>2-5 Years</v>
      </c>
      <c r="AO518" s="1" t="str">
        <f>IF(HR_Data[[#This Row],[JobSatisfaction]]=1,"Low",IF(HR_Data[[#This Row],[JobSatisfaction]]=2,"Medium",IF(HR_Data[[#This Row],[JobSatisfaction]]=3,"High","Very High")))</f>
        <v>Low</v>
      </c>
      <c r="AP518" s="1" t="str">
        <f>IF(HR_Data[[#This Row],[WorkLifeBalance]]=1,"Bad",IF(HR_Data[[#This Row],[WorkLifeBalance]]=2,"Good",IF(HR_Data[[#This Row],[WorkLifeBalance]]=3,"Better","Best")))</f>
        <v>Best</v>
      </c>
    </row>
    <row r="519" spans="1:42" x14ac:dyDescent="0.3">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c r="AJ519">
        <f>IF(HR_Data[[#This Row],[Attrition]]="Yes",1,0)</f>
        <v>0</v>
      </c>
      <c r="AK519">
        <f>IF(HR_Data[[#This Row],[Attrition]]="No",1,0)</f>
        <v>1</v>
      </c>
      <c r="AL519" t="str">
        <f>IF(HR_Data[[#This Row],[Age]]&lt;25,"Under 25",IF(HR_Data[[#This Row],[Age]]&lt;=34,"25-34",IF(HR_Data[[#This Row],[Age]]&lt;=44,"35-44",IF(HR_Data[[#This Row],[Age]]&lt;=54,"45-54","55+"))))</f>
        <v>25-34</v>
      </c>
      <c r="AM519" s="1" t="str">
        <f>IF(HR_Data[[#This Row],[MonthlyIncome]]&lt;3000,"Low Salary",IF(HR_Data[[#This Row],[MonthlyIncome]]&lt;=7000,"Medium Salary","High Salary"))</f>
        <v>Medium Salary</v>
      </c>
      <c r="AN519" s="1" t="str">
        <f>IF(HR_Data[[#This Row],[YearsAtCompany]]&lt;2,"0-1 Years",IF(HR_Data[[#This Row],[YearsAtCompany]]&lt;=5,"2-5 Years",IF(HR_Data[[#This Row],[YearsAtCompany]]&lt;=10,"6-10 Years","10+ Years")))</f>
        <v>2-5 Years</v>
      </c>
      <c r="AO519" s="1" t="str">
        <f>IF(HR_Data[[#This Row],[JobSatisfaction]]=1,"Low",IF(HR_Data[[#This Row],[JobSatisfaction]]=2,"Medium",IF(HR_Data[[#This Row],[JobSatisfaction]]=3,"High","Very High")))</f>
        <v>Medium</v>
      </c>
      <c r="AP519" s="1" t="str">
        <f>IF(HR_Data[[#This Row],[WorkLifeBalance]]=1,"Bad",IF(HR_Data[[#This Row],[WorkLifeBalance]]=2,"Good",IF(HR_Data[[#This Row],[WorkLifeBalance]]=3,"Better","Best")))</f>
        <v>Better</v>
      </c>
    </row>
    <row r="520" spans="1:42" x14ac:dyDescent="0.3">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c r="AJ520">
        <f>IF(HR_Data[[#This Row],[Attrition]]="Yes",1,0)</f>
        <v>0</v>
      </c>
      <c r="AK520">
        <f>IF(HR_Data[[#This Row],[Attrition]]="No",1,0)</f>
        <v>1</v>
      </c>
      <c r="AL520" t="str">
        <f>IF(HR_Data[[#This Row],[Age]]&lt;25,"Under 25",IF(HR_Data[[#This Row],[Age]]&lt;=34,"25-34",IF(HR_Data[[#This Row],[Age]]&lt;=44,"35-44",IF(HR_Data[[#This Row],[Age]]&lt;=54,"45-54","55+"))))</f>
        <v>35-44</v>
      </c>
      <c r="AM520" s="1" t="str">
        <f>IF(HR_Data[[#This Row],[MonthlyIncome]]&lt;3000,"Low Salary",IF(HR_Data[[#This Row],[MonthlyIncome]]&lt;=7000,"Medium Salary","High Salary"))</f>
        <v>Medium Salary</v>
      </c>
      <c r="AN520" s="1" t="str">
        <f>IF(HR_Data[[#This Row],[YearsAtCompany]]&lt;2,"0-1 Years",IF(HR_Data[[#This Row],[YearsAtCompany]]&lt;=5,"2-5 Years",IF(HR_Data[[#This Row],[YearsAtCompany]]&lt;=10,"6-10 Years","10+ Years")))</f>
        <v>6-10 Years</v>
      </c>
      <c r="AO520" s="1" t="str">
        <f>IF(HR_Data[[#This Row],[JobSatisfaction]]=1,"Low",IF(HR_Data[[#This Row],[JobSatisfaction]]=2,"Medium",IF(HR_Data[[#This Row],[JobSatisfaction]]=3,"High","Very High")))</f>
        <v>Very High</v>
      </c>
      <c r="AP520" s="1" t="str">
        <f>IF(HR_Data[[#This Row],[WorkLifeBalance]]=1,"Bad",IF(HR_Data[[#This Row],[WorkLifeBalance]]=2,"Good",IF(HR_Data[[#This Row],[WorkLifeBalance]]=3,"Better","Best")))</f>
        <v>Better</v>
      </c>
    </row>
    <row r="521" spans="1:42" x14ac:dyDescent="0.3">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c r="AJ521">
        <f>IF(HR_Data[[#This Row],[Attrition]]="Yes",1,0)</f>
        <v>0</v>
      </c>
      <c r="AK521">
        <f>IF(HR_Data[[#This Row],[Attrition]]="No",1,0)</f>
        <v>1</v>
      </c>
      <c r="AL521" t="str">
        <f>IF(HR_Data[[#This Row],[Age]]&lt;25,"Under 25",IF(HR_Data[[#This Row],[Age]]&lt;=34,"25-34",IF(HR_Data[[#This Row],[Age]]&lt;=44,"35-44",IF(HR_Data[[#This Row],[Age]]&lt;=54,"45-54","55+"))))</f>
        <v>25-34</v>
      </c>
      <c r="AM521" s="1" t="str">
        <f>IF(HR_Data[[#This Row],[MonthlyIncome]]&lt;3000,"Low Salary",IF(HR_Data[[#This Row],[MonthlyIncome]]&lt;=7000,"Medium Salary","High Salary"))</f>
        <v>Low Salary</v>
      </c>
      <c r="AN521" s="1" t="str">
        <f>IF(HR_Data[[#This Row],[YearsAtCompany]]&lt;2,"0-1 Years",IF(HR_Data[[#This Row],[YearsAtCompany]]&lt;=5,"2-5 Years",IF(HR_Data[[#This Row],[YearsAtCompany]]&lt;=10,"6-10 Years","10+ Years")))</f>
        <v>6-10 Years</v>
      </c>
      <c r="AO521" s="1" t="str">
        <f>IF(HR_Data[[#This Row],[JobSatisfaction]]=1,"Low",IF(HR_Data[[#This Row],[JobSatisfaction]]=2,"Medium",IF(HR_Data[[#This Row],[JobSatisfaction]]=3,"High","Very High")))</f>
        <v>Very High</v>
      </c>
      <c r="AP521" s="1" t="str">
        <f>IF(HR_Data[[#This Row],[WorkLifeBalance]]=1,"Bad",IF(HR_Data[[#This Row],[WorkLifeBalance]]=2,"Good",IF(HR_Data[[#This Row],[WorkLifeBalance]]=3,"Better","Best")))</f>
        <v>Better</v>
      </c>
    </row>
    <row r="522" spans="1:42" x14ac:dyDescent="0.3">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c r="AJ522">
        <f>IF(HR_Data[[#This Row],[Attrition]]="Yes",1,0)</f>
        <v>0</v>
      </c>
      <c r="AK522">
        <f>IF(HR_Data[[#This Row],[Attrition]]="No",1,0)</f>
        <v>1</v>
      </c>
      <c r="AL522" t="str">
        <f>IF(HR_Data[[#This Row],[Age]]&lt;25,"Under 25",IF(HR_Data[[#This Row],[Age]]&lt;=34,"25-34",IF(HR_Data[[#This Row],[Age]]&lt;=44,"35-44",IF(HR_Data[[#This Row],[Age]]&lt;=54,"45-54","55+"))))</f>
        <v>45-54</v>
      </c>
      <c r="AM522" s="1" t="str">
        <f>IF(HR_Data[[#This Row],[MonthlyIncome]]&lt;3000,"Low Salary",IF(HR_Data[[#This Row],[MonthlyIncome]]&lt;=7000,"Medium Salary","High Salary"))</f>
        <v>High Salary</v>
      </c>
      <c r="AN522" s="1" t="str">
        <f>IF(HR_Data[[#This Row],[YearsAtCompany]]&lt;2,"0-1 Years",IF(HR_Data[[#This Row],[YearsAtCompany]]&lt;=5,"2-5 Years",IF(HR_Data[[#This Row],[YearsAtCompany]]&lt;=10,"6-10 Years","10+ Years")))</f>
        <v>2-5 Years</v>
      </c>
      <c r="AO522" s="1" t="str">
        <f>IF(HR_Data[[#This Row],[JobSatisfaction]]=1,"Low",IF(HR_Data[[#This Row],[JobSatisfaction]]=2,"Medium",IF(HR_Data[[#This Row],[JobSatisfaction]]=3,"High","Very High")))</f>
        <v>Medium</v>
      </c>
      <c r="AP522" s="1" t="str">
        <f>IF(HR_Data[[#This Row],[WorkLifeBalance]]=1,"Bad",IF(HR_Data[[#This Row],[WorkLifeBalance]]=2,"Good",IF(HR_Data[[#This Row],[WorkLifeBalance]]=3,"Better","Best")))</f>
        <v>Better</v>
      </c>
    </row>
    <row r="523" spans="1:42" x14ac:dyDescent="0.3">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c r="AJ523">
        <f>IF(HR_Data[[#This Row],[Attrition]]="Yes",1,0)</f>
        <v>0</v>
      </c>
      <c r="AK523">
        <f>IF(HR_Data[[#This Row],[Attrition]]="No",1,0)</f>
        <v>1</v>
      </c>
      <c r="AL523" t="str">
        <f>IF(HR_Data[[#This Row],[Age]]&lt;25,"Under 25",IF(HR_Data[[#This Row],[Age]]&lt;=34,"25-34",IF(HR_Data[[#This Row],[Age]]&lt;=44,"35-44",IF(HR_Data[[#This Row],[Age]]&lt;=54,"45-54","55+"))))</f>
        <v>25-34</v>
      </c>
      <c r="AM523" s="1" t="str">
        <f>IF(HR_Data[[#This Row],[MonthlyIncome]]&lt;3000,"Low Salary",IF(HR_Data[[#This Row],[MonthlyIncome]]&lt;=7000,"Medium Salary","High Salary"))</f>
        <v>Medium Salary</v>
      </c>
      <c r="AN523" s="1" t="str">
        <f>IF(HR_Data[[#This Row],[YearsAtCompany]]&lt;2,"0-1 Years",IF(HR_Data[[#This Row],[YearsAtCompany]]&lt;=5,"2-5 Years",IF(HR_Data[[#This Row],[YearsAtCompany]]&lt;=10,"6-10 Years","10+ Years")))</f>
        <v>6-10 Years</v>
      </c>
      <c r="AO523" s="1" t="str">
        <f>IF(HR_Data[[#This Row],[JobSatisfaction]]=1,"Low",IF(HR_Data[[#This Row],[JobSatisfaction]]=2,"Medium",IF(HR_Data[[#This Row],[JobSatisfaction]]=3,"High","Very High")))</f>
        <v>Very High</v>
      </c>
      <c r="AP523" s="1" t="str">
        <f>IF(HR_Data[[#This Row],[WorkLifeBalance]]=1,"Bad",IF(HR_Data[[#This Row],[WorkLifeBalance]]=2,"Good",IF(HR_Data[[#This Row],[WorkLifeBalance]]=3,"Better","Best")))</f>
        <v>Better</v>
      </c>
    </row>
    <row r="524" spans="1:42" x14ac:dyDescent="0.3">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c r="AJ524">
        <f>IF(HR_Data[[#This Row],[Attrition]]="Yes",1,0)</f>
        <v>0</v>
      </c>
      <c r="AK524">
        <f>IF(HR_Data[[#This Row],[Attrition]]="No",1,0)</f>
        <v>1</v>
      </c>
      <c r="AL524" t="str">
        <f>IF(HR_Data[[#This Row],[Age]]&lt;25,"Under 25",IF(HR_Data[[#This Row],[Age]]&lt;=34,"25-34",IF(HR_Data[[#This Row],[Age]]&lt;=44,"35-44",IF(HR_Data[[#This Row],[Age]]&lt;=54,"45-54","55+"))))</f>
        <v>35-44</v>
      </c>
      <c r="AM524" s="1" t="str">
        <f>IF(HR_Data[[#This Row],[MonthlyIncome]]&lt;3000,"Low Salary",IF(HR_Data[[#This Row],[MonthlyIncome]]&lt;=7000,"Medium Salary","High Salary"))</f>
        <v>Medium Salary</v>
      </c>
      <c r="AN524" s="1" t="str">
        <f>IF(HR_Data[[#This Row],[YearsAtCompany]]&lt;2,"0-1 Years",IF(HR_Data[[#This Row],[YearsAtCompany]]&lt;=5,"2-5 Years",IF(HR_Data[[#This Row],[YearsAtCompany]]&lt;=10,"6-10 Years","10+ Years")))</f>
        <v>0-1 Years</v>
      </c>
      <c r="AO524" s="1" t="str">
        <f>IF(HR_Data[[#This Row],[JobSatisfaction]]=1,"Low",IF(HR_Data[[#This Row],[JobSatisfaction]]=2,"Medium",IF(HR_Data[[#This Row],[JobSatisfaction]]=3,"High","Very High")))</f>
        <v>Very High</v>
      </c>
      <c r="AP524" s="1" t="str">
        <f>IF(HR_Data[[#This Row],[WorkLifeBalance]]=1,"Bad",IF(HR_Data[[#This Row],[WorkLifeBalance]]=2,"Good",IF(HR_Data[[#This Row],[WorkLifeBalance]]=3,"Better","Best")))</f>
        <v>Better</v>
      </c>
    </row>
    <row r="525" spans="1:42" x14ac:dyDescent="0.3">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c r="AJ525">
        <f>IF(HR_Data[[#This Row],[Attrition]]="Yes",1,0)</f>
        <v>0</v>
      </c>
      <c r="AK525">
        <f>IF(HR_Data[[#This Row],[Attrition]]="No",1,0)</f>
        <v>1</v>
      </c>
      <c r="AL525" t="str">
        <f>IF(HR_Data[[#This Row],[Age]]&lt;25,"Under 25",IF(HR_Data[[#This Row],[Age]]&lt;=34,"25-34",IF(HR_Data[[#This Row],[Age]]&lt;=44,"35-44",IF(HR_Data[[#This Row],[Age]]&lt;=54,"45-54","55+"))))</f>
        <v>45-54</v>
      </c>
      <c r="AM525" s="1" t="str">
        <f>IF(HR_Data[[#This Row],[MonthlyIncome]]&lt;3000,"Low Salary",IF(HR_Data[[#This Row],[MonthlyIncome]]&lt;=7000,"Medium Salary","High Salary"))</f>
        <v>Medium Salary</v>
      </c>
      <c r="AN525" s="1" t="str">
        <f>IF(HR_Data[[#This Row],[YearsAtCompany]]&lt;2,"0-1 Years",IF(HR_Data[[#This Row],[YearsAtCompany]]&lt;=5,"2-5 Years",IF(HR_Data[[#This Row],[YearsAtCompany]]&lt;=10,"6-10 Years","10+ Years")))</f>
        <v>10+ Years</v>
      </c>
      <c r="AO525" s="1" t="str">
        <f>IF(HR_Data[[#This Row],[JobSatisfaction]]=1,"Low",IF(HR_Data[[#This Row],[JobSatisfaction]]=2,"Medium",IF(HR_Data[[#This Row],[JobSatisfaction]]=3,"High","Very High")))</f>
        <v>High</v>
      </c>
      <c r="AP525" s="1" t="str">
        <f>IF(HR_Data[[#This Row],[WorkLifeBalance]]=1,"Bad",IF(HR_Data[[#This Row],[WorkLifeBalance]]=2,"Good",IF(HR_Data[[#This Row],[WorkLifeBalance]]=3,"Better","Best")))</f>
        <v>Better</v>
      </c>
    </row>
    <row r="526" spans="1:42" x14ac:dyDescent="0.3">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c r="AJ526">
        <f>IF(HR_Data[[#This Row],[Attrition]]="Yes",1,0)</f>
        <v>0</v>
      </c>
      <c r="AK526">
        <f>IF(HR_Data[[#This Row],[Attrition]]="No",1,0)</f>
        <v>1</v>
      </c>
      <c r="AL526" t="str">
        <f>IF(HR_Data[[#This Row],[Age]]&lt;25,"Under 25",IF(HR_Data[[#This Row],[Age]]&lt;=34,"25-34",IF(HR_Data[[#This Row],[Age]]&lt;=44,"35-44",IF(HR_Data[[#This Row],[Age]]&lt;=54,"45-54","55+"))))</f>
        <v>25-34</v>
      </c>
      <c r="AM526" s="1" t="str">
        <f>IF(HR_Data[[#This Row],[MonthlyIncome]]&lt;3000,"Low Salary",IF(HR_Data[[#This Row],[MonthlyIncome]]&lt;=7000,"Medium Salary","High Salary"))</f>
        <v>High Salary</v>
      </c>
      <c r="AN526" s="1" t="str">
        <f>IF(HR_Data[[#This Row],[YearsAtCompany]]&lt;2,"0-1 Years",IF(HR_Data[[#This Row],[YearsAtCompany]]&lt;=5,"2-5 Years",IF(HR_Data[[#This Row],[YearsAtCompany]]&lt;=10,"6-10 Years","10+ Years")))</f>
        <v>6-10 Years</v>
      </c>
      <c r="AO526" s="1" t="str">
        <f>IF(HR_Data[[#This Row],[JobSatisfaction]]=1,"Low",IF(HR_Data[[#This Row],[JobSatisfaction]]=2,"Medium",IF(HR_Data[[#This Row],[JobSatisfaction]]=3,"High","Very High")))</f>
        <v>Medium</v>
      </c>
      <c r="AP526" s="1" t="str">
        <f>IF(HR_Data[[#This Row],[WorkLifeBalance]]=1,"Bad",IF(HR_Data[[#This Row],[WorkLifeBalance]]=2,"Good",IF(HR_Data[[#This Row],[WorkLifeBalance]]=3,"Better","Best")))</f>
        <v>Best</v>
      </c>
    </row>
    <row r="527" spans="1:42" x14ac:dyDescent="0.3">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c r="AJ527">
        <f>IF(HR_Data[[#This Row],[Attrition]]="Yes",1,0)</f>
        <v>1</v>
      </c>
      <c r="AK527">
        <f>IF(HR_Data[[#This Row],[Attrition]]="No",1,0)</f>
        <v>0</v>
      </c>
      <c r="AL527" t="str">
        <f>IF(HR_Data[[#This Row],[Age]]&lt;25,"Under 25",IF(HR_Data[[#This Row],[Age]]&lt;=34,"25-34",IF(HR_Data[[#This Row],[Age]]&lt;=44,"35-44",IF(HR_Data[[#This Row],[Age]]&lt;=54,"45-54","55+"))))</f>
        <v>Under 25</v>
      </c>
      <c r="AM527" s="1" t="str">
        <f>IF(HR_Data[[#This Row],[MonthlyIncome]]&lt;3000,"Low Salary",IF(HR_Data[[#This Row],[MonthlyIncome]]&lt;=7000,"Medium Salary","High Salary"))</f>
        <v>Medium Salary</v>
      </c>
      <c r="AN527" s="1" t="str">
        <f>IF(HR_Data[[#This Row],[YearsAtCompany]]&lt;2,"0-1 Years",IF(HR_Data[[#This Row],[YearsAtCompany]]&lt;=5,"2-5 Years",IF(HR_Data[[#This Row],[YearsAtCompany]]&lt;=10,"6-10 Years","10+ Years")))</f>
        <v>2-5 Years</v>
      </c>
      <c r="AO527" s="1" t="str">
        <f>IF(HR_Data[[#This Row],[JobSatisfaction]]=1,"Low",IF(HR_Data[[#This Row],[JobSatisfaction]]=2,"Medium",IF(HR_Data[[#This Row],[JobSatisfaction]]=3,"High","Very High")))</f>
        <v>High</v>
      </c>
      <c r="AP527" s="1" t="str">
        <f>IF(HR_Data[[#This Row],[WorkLifeBalance]]=1,"Bad",IF(HR_Data[[#This Row],[WorkLifeBalance]]=2,"Good",IF(HR_Data[[#This Row],[WorkLifeBalance]]=3,"Better","Best")))</f>
        <v>Better</v>
      </c>
    </row>
    <row r="528" spans="1:42" x14ac:dyDescent="0.3">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c r="AJ528">
        <f>IF(HR_Data[[#This Row],[Attrition]]="Yes",1,0)</f>
        <v>0</v>
      </c>
      <c r="AK528">
        <f>IF(HR_Data[[#This Row],[Attrition]]="No",1,0)</f>
        <v>1</v>
      </c>
      <c r="AL528" t="str">
        <f>IF(HR_Data[[#This Row],[Age]]&lt;25,"Under 25",IF(HR_Data[[#This Row],[Age]]&lt;=34,"25-34",IF(HR_Data[[#This Row],[Age]]&lt;=44,"35-44",IF(HR_Data[[#This Row],[Age]]&lt;=54,"45-54","55+"))))</f>
        <v>35-44</v>
      </c>
      <c r="AM528" s="1" t="str">
        <f>IF(HR_Data[[#This Row],[MonthlyIncome]]&lt;3000,"Low Salary",IF(HR_Data[[#This Row],[MonthlyIncome]]&lt;=7000,"Medium Salary","High Salary"))</f>
        <v>Medium Salary</v>
      </c>
      <c r="AN528" s="1" t="str">
        <f>IF(HR_Data[[#This Row],[YearsAtCompany]]&lt;2,"0-1 Years",IF(HR_Data[[#This Row],[YearsAtCompany]]&lt;=5,"2-5 Years",IF(HR_Data[[#This Row],[YearsAtCompany]]&lt;=10,"6-10 Years","10+ Years")))</f>
        <v>10+ Years</v>
      </c>
      <c r="AO528" s="1" t="str">
        <f>IF(HR_Data[[#This Row],[JobSatisfaction]]=1,"Low",IF(HR_Data[[#This Row],[JobSatisfaction]]=2,"Medium",IF(HR_Data[[#This Row],[JobSatisfaction]]=3,"High","Very High")))</f>
        <v>High</v>
      </c>
      <c r="AP528" s="1" t="str">
        <f>IF(HR_Data[[#This Row],[WorkLifeBalance]]=1,"Bad",IF(HR_Data[[#This Row],[WorkLifeBalance]]=2,"Good",IF(HR_Data[[#This Row],[WorkLifeBalance]]=3,"Better","Best")))</f>
        <v>Better</v>
      </c>
    </row>
    <row r="529" spans="1:42" x14ac:dyDescent="0.3">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c r="AJ529">
        <f>IF(HR_Data[[#This Row],[Attrition]]="Yes",1,0)</f>
        <v>0</v>
      </c>
      <c r="AK529">
        <f>IF(HR_Data[[#This Row],[Attrition]]="No",1,0)</f>
        <v>1</v>
      </c>
      <c r="AL529" t="str">
        <f>IF(HR_Data[[#This Row],[Age]]&lt;25,"Under 25",IF(HR_Data[[#This Row],[Age]]&lt;=34,"25-34",IF(HR_Data[[#This Row],[Age]]&lt;=44,"35-44",IF(HR_Data[[#This Row],[Age]]&lt;=54,"45-54","55+"))))</f>
        <v>25-34</v>
      </c>
      <c r="AM529" s="1" t="str">
        <f>IF(HR_Data[[#This Row],[MonthlyIncome]]&lt;3000,"Low Salary",IF(HR_Data[[#This Row],[MonthlyIncome]]&lt;=7000,"Medium Salary","High Salary"))</f>
        <v>Medium Salary</v>
      </c>
      <c r="AN529" s="1" t="str">
        <f>IF(HR_Data[[#This Row],[YearsAtCompany]]&lt;2,"0-1 Years",IF(HR_Data[[#This Row],[YearsAtCompany]]&lt;=5,"2-5 Years",IF(HR_Data[[#This Row],[YearsAtCompany]]&lt;=10,"6-10 Years","10+ Years")))</f>
        <v>6-10 Years</v>
      </c>
      <c r="AO529" s="1" t="str">
        <f>IF(HR_Data[[#This Row],[JobSatisfaction]]=1,"Low",IF(HR_Data[[#This Row],[JobSatisfaction]]=2,"Medium",IF(HR_Data[[#This Row],[JobSatisfaction]]=3,"High","Very High")))</f>
        <v>Very High</v>
      </c>
      <c r="AP529" s="1" t="str">
        <f>IF(HR_Data[[#This Row],[WorkLifeBalance]]=1,"Bad",IF(HR_Data[[#This Row],[WorkLifeBalance]]=2,"Good",IF(HR_Data[[#This Row],[WorkLifeBalance]]=3,"Better","Best")))</f>
        <v>Good</v>
      </c>
    </row>
    <row r="530" spans="1:42" x14ac:dyDescent="0.3">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c r="AJ530">
        <f>IF(HR_Data[[#This Row],[Attrition]]="Yes",1,0)</f>
        <v>1</v>
      </c>
      <c r="AK530">
        <f>IF(HR_Data[[#This Row],[Attrition]]="No",1,0)</f>
        <v>0</v>
      </c>
      <c r="AL530" t="str">
        <f>IF(HR_Data[[#This Row],[Age]]&lt;25,"Under 25",IF(HR_Data[[#This Row],[Age]]&lt;=34,"25-34",IF(HR_Data[[#This Row],[Age]]&lt;=44,"35-44",IF(HR_Data[[#This Row],[Age]]&lt;=54,"45-54","55+"))))</f>
        <v>45-54</v>
      </c>
      <c r="AM530" s="1" t="str">
        <f>IF(HR_Data[[#This Row],[MonthlyIncome]]&lt;3000,"Low Salary",IF(HR_Data[[#This Row],[MonthlyIncome]]&lt;=7000,"Medium Salary","High Salary"))</f>
        <v>Medium Salary</v>
      </c>
      <c r="AN530" s="1" t="str">
        <f>IF(HR_Data[[#This Row],[YearsAtCompany]]&lt;2,"0-1 Years",IF(HR_Data[[#This Row],[YearsAtCompany]]&lt;=5,"2-5 Years",IF(HR_Data[[#This Row],[YearsAtCompany]]&lt;=10,"6-10 Years","10+ Years")))</f>
        <v>2-5 Years</v>
      </c>
      <c r="AO530" s="1" t="str">
        <f>IF(HR_Data[[#This Row],[JobSatisfaction]]=1,"Low",IF(HR_Data[[#This Row],[JobSatisfaction]]=2,"Medium",IF(HR_Data[[#This Row],[JobSatisfaction]]=3,"High","Very High")))</f>
        <v>High</v>
      </c>
      <c r="AP530" s="1" t="str">
        <f>IF(HR_Data[[#This Row],[WorkLifeBalance]]=1,"Bad",IF(HR_Data[[#This Row],[WorkLifeBalance]]=2,"Good",IF(HR_Data[[#This Row],[WorkLifeBalance]]=3,"Better","Best")))</f>
        <v>Better</v>
      </c>
    </row>
    <row r="531" spans="1:42" x14ac:dyDescent="0.3">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c r="AJ531">
        <f>IF(HR_Data[[#This Row],[Attrition]]="Yes",1,0)</f>
        <v>0</v>
      </c>
      <c r="AK531">
        <f>IF(HR_Data[[#This Row],[Attrition]]="No",1,0)</f>
        <v>1</v>
      </c>
      <c r="AL531" t="str">
        <f>IF(HR_Data[[#This Row],[Age]]&lt;25,"Under 25",IF(HR_Data[[#This Row],[Age]]&lt;=34,"25-34",IF(HR_Data[[#This Row],[Age]]&lt;=44,"35-44",IF(HR_Data[[#This Row],[Age]]&lt;=54,"45-54","55+"))))</f>
        <v>35-44</v>
      </c>
      <c r="AM531" s="1" t="str">
        <f>IF(HR_Data[[#This Row],[MonthlyIncome]]&lt;3000,"Low Salary",IF(HR_Data[[#This Row],[MonthlyIncome]]&lt;=7000,"Medium Salary","High Salary"))</f>
        <v>High Salary</v>
      </c>
      <c r="AN531" s="1" t="str">
        <f>IF(HR_Data[[#This Row],[YearsAtCompany]]&lt;2,"0-1 Years",IF(HR_Data[[#This Row],[YearsAtCompany]]&lt;=5,"2-5 Years",IF(HR_Data[[#This Row],[YearsAtCompany]]&lt;=10,"6-10 Years","10+ Years")))</f>
        <v>6-10 Years</v>
      </c>
      <c r="AO531" s="1" t="str">
        <f>IF(HR_Data[[#This Row],[JobSatisfaction]]=1,"Low",IF(HR_Data[[#This Row],[JobSatisfaction]]=2,"Medium",IF(HR_Data[[#This Row],[JobSatisfaction]]=3,"High","Very High")))</f>
        <v>Very High</v>
      </c>
      <c r="AP531" s="1" t="str">
        <f>IF(HR_Data[[#This Row],[WorkLifeBalance]]=1,"Bad",IF(HR_Data[[#This Row],[WorkLifeBalance]]=2,"Good",IF(HR_Data[[#This Row],[WorkLifeBalance]]=3,"Better","Best")))</f>
        <v>Good</v>
      </c>
    </row>
    <row r="532" spans="1:42" x14ac:dyDescent="0.3">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c r="AJ532">
        <f>IF(HR_Data[[#This Row],[Attrition]]="Yes",1,0)</f>
        <v>0</v>
      </c>
      <c r="AK532">
        <f>IF(HR_Data[[#This Row],[Attrition]]="No",1,0)</f>
        <v>1</v>
      </c>
      <c r="AL532" t="str">
        <f>IF(HR_Data[[#This Row],[Age]]&lt;25,"Under 25",IF(HR_Data[[#This Row],[Age]]&lt;=34,"25-34",IF(HR_Data[[#This Row],[Age]]&lt;=44,"35-44",IF(HR_Data[[#This Row],[Age]]&lt;=54,"45-54","55+"))))</f>
        <v>25-34</v>
      </c>
      <c r="AM532" s="1" t="str">
        <f>IF(HR_Data[[#This Row],[MonthlyIncome]]&lt;3000,"Low Salary",IF(HR_Data[[#This Row],[MonthlyIncome]]&lt;=7000,"Medium Salary","High Salary"))</f>
        <v>High Salary</v>
      </c>
      <c r="AN532" s="1" t="str">
        <f>IF(HR_Data[[#This Row],[YearsAtCompany]]&lt;2,"0-1 Years",IF(HR_Data[[#This Row],[YearsAtCompany]]&lt;=5,"2-5 Years",IF(HR_Data[[#This Row],[YearsAtCompany]]&lt;=10,"6-10 Years","10+ Years")))</f>
        <v>6-10 Years</v>
      </c>
      <c r="AO532" s="1" t="str">
        <f>IF(HR_Data[[#This Row],[JobSatisfaction]]=1,"Low",IF(HR_Data[[#This Row],[JobSatisfaction]]=2,"Medium",IF(HR_Data[[#This Row],[JobSatisfaction]]=3,"High","Very High")))</f>
        <v>Low</v>
      </c>
      <c r="AP532" s="1" t="str">
        <f>IF(HR_Data[[#This Row],[WorkLifeBalance]]=1,"Bad",IF(HR_Data[[#This Row],[WorkLifeBalance]]=2,"Good",IF(HR_Data[[#This Row],[WorkLifeBalance]]=3,"Better","Best")))</f>
        <v>Better</v>
      </c>
    </row>
    <row r="533" spans="1:42" x14ac:dyDescent="0.3">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c r="AJ533">
        <f>IF(HR_Data[[#This Row],[Attrition]]="Yes",1,0)</f>
        <v>0</v>
      </c>
      <c r="AK533">
        <f>IF(HR_Data[[#This Row],[Attrition]]="No",1,0)</f>
        <v>1</v>
      </c>
      <c r="AL533" t="str">
        <f>IF(HR_Data[[#This Row],[Age]]&lt;25,"Under 25",IF(HR_Data[[#This Row],[Age]]&lt;=34,"25-34",IF(HR_Data[[#This Row],[Age]]&lt;=44,"35-44",IF(HR_Data[[#This Row],[Age]]&lt;=54,"45-54","55+"))))</f>
        <v>25-34</v>
      </c>
      <c r="AM533" s="1" t="str">
        <f>IF(HR_Data[[#This Row],[MonthlyIncome]]&lt;3000,"Low Salary",IF(HR_Data[[#This Row],[MonthlyIncome]]&lt;=7000,"Medium Salary","High Salary"))</f>
        <v>High Salary</v>
      </c>
      <c r="AN533" s="1" t="str">
        <f>IF(HR_Data[[#This Row],[YearsAtCompany]]&lt;2,"0-1 Years",IF(HR_Data[[#This Row],[YearsAtCompany]]&lt;=5,"2-5 Years",IF(HR_Data[[#This Row],[YearsAtCompany]]&lt;=10,"6-10 Years","10+ Years")))</f>
        <v>6-10 Years</v>
      </c>
      <c r="AO533" s="1" t="str">
        <f>IF(HR_Data[[#This Row],[JobSatisfaction]]=1,"Low",IF(HR_Data[[#This Row],[JobSatisfaction]]=2,"Medium",IF(HR_Data[[#This Row],[JobSatisfaction]]=3,"High","Very High")))</f>
        <v>Very High</v>
      </c>
      <c r="AP533" s="1" t="str">
        <f>IF(HR_Data[[#This Row],[WorkLifeBalance]]=1,"Bad",IF(HR_Data[[#This Row],[WorkLifeBalance]]=2,"Good",IF(HR_Data[[#This Row],[WorkLifeBalance]]=3,"Better","Best")))</f>
        <v>Better</v>
      </c>
    </row>
    <row r="534" spans="1:42" x14ac:dyDescent="0.3">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c r="AJ534">
        <f>IF(HR_Data[[#This Row],[Attrition]]="Yes",1,0)</f>
        <v>0</v>
      </c>
      <c r="AK534">
        <f>IF(HR_Data[[#This Row],[Attrition]]="No",1,0)</f>
        <v>1</v>
      </c>
      <c r="AL534" t="str">
        <f>IF(HR_Data[[#This Row],[Age]]&lt;25,"Under 25",IF(HR_Data[[#This Row],[Age]]&lt;=34,"25-34",IF(HR_Data[[#This Row],[Age]]&lt;=44,"35-44",IF(HR_Data[[#This Row],[Age]]&lt;=54,"45-54","55+"))))</f>
        <v>45-54</v>
      </c>
      <c r="AM534" s="1" t="str">
        <f>IF(HR_Data[[#This Row],[MonthlyIncome]]&lt;3000,"Low Salary",IF(HR_Data[[#This Row],[MonthlyIncome]]&lt;=7000,"Medium Salary","High Salary"))</f>
        <v>Medium Salary</v>
      </c>
      <c r="AN534" s="1" t="str">
        <f>IF(HR_Data[[#This Row],[YearsAtCompany]]&lt;2,"0-1 Years",IF(HR_Data[[#This Row],[YearsAtCompany]]&lt;=5,"2-5 Years",IF(HR_Data[[#This Row],[YearsAtCompany]]&lt;=10,"6-10 Years","10+ Years")))</f>
        <v>6-10 Years</v>
      </c>
      <c r="AO534" s="1" t="str">
        <f>IF(HR_Data[[#This Row],[JobSatisfaction]]=1,"Low",IF(HR_Data[[#This Row],[JobSatisfaction]]=2,"Medium",IF(HR_Data[[#This Row],[JobSatisfaction]]=3,"High","Very High")))</f>
        <v>Low</v>
      </c>
      <c r="AP534" s="1" t="str">
        <f>IF(HR_Data[[#This Row],[WorkLifeBalance]]=1,"Bad",IF(HR_Data[[#This Row],[WorkLifeBalance]]=2,"Good",IF(HR_Data[[#This Row],[WorkLifeBalance]]=3,"Better","Best")))</f>
        <v>Better</v>
      </c>
    </row>
    <row r="535" spans="1:42" x14ac:dyDescent="0.3">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c r="AJ535">
        <f>IF(HR_Data[[#This Row],[Attrition]]="Yes",1,0)</f>
        <v>0</v>
      </c>
      <c r="AK535">
        <f>IF(HR_Data[[#This Row],[Attrition]]="No",1,0)</f>
        <v>1</v>
      </c>
      <c r="AL535" t="str">
        <f>IF(HR_Data[[#This Row],[Age]]&lt;25,"Under 25",IF(HR_Data[[#This Row],[Age]]&lt;=34,"25-34",IF(HR_Data[[#This Row],[Age]]&lt;=44,"35-44",IF(HR_Data[[#This Row],[Age]]&lt;=54,"45-54","55+"))))</f>
        <v>35-44</v>
      </c>
      <c r="AM535" s="1" t="str">
        <f>IF(HR_Data[[#This Row],[MonthlyIncome]]&lt;3000,"Low Salary",IF(HR_Data[[#This Row],[MonthlyIncome]]&lt;=7000,"Medium Salary","High Salary"))</f>
        <v>High Salary</v>
      </c>
      <c r="AN535" s="1" t="str">
        <f>IF(HR_Data[[#This Row],[YearsAtCompany]]&lt;2,"0-1 Years",IF(HR_Data[[#This Row],[YearsAtCompany]]&lt;=5,"2-5 Years",IF(HR_Data[[#This Row],[YearsAtCompany]]&lt;=10,"6-10 Years","10+ Years")))</f>
        <v>10+ Years</v>
      </c>
      <c r="AO535" s="1" t="str">
        <f>IF(HR_Data[[#This Row],[JobSatisfaction]]=1,"Low",IF(HR_Data[[#This Row],[JobSatisfaction]]=2,"Medium",IF(HR_Data[[#This Row],[JobSatisfaction]]=3,"High","Very High")))</f>
        <v>Low</v>
      </c>
      <c r="AP535" s="1" t="str">
        <f>IF(HR_Data[[#This Row],[WorkLifeBalance]]=1,"Bad",IF(HR_Data[[#This Row],[WorkLifeBalance]]=2,"Good",IF(HR_Data[[#This Row],[WorkLifeBalance]]=3,"Better","Best")))</f>
        <v>Better</v>
      </c>
    </row>
    <row r="536" spans="1:42" x14ac:dyDescent="0.3">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c r="AJ536">
        <f>IF(HR_Data[[#This Row],[Attrition]]="Yes",1,0)</f>
        <v>0</v>
      </c>
      <c r="AK536">
        <f>IF(HR_Data[[#This Row],[Attrition]]="No",1,0)</f>
        <v>1</v>
      </c>
      <c r="AL536" t="str">
        <f>IF(HR_Data[[#This Row],[Age]]&lt;25,"Under 25",IF(HR_Data[[#This Row],[Age]]&lt;=34,"25-34",IF(HR_Data[[#This Row],[Age]]&lt;=44,"35-44",IF(HR_Data[[#This Row],[Age]]&lt;=54,"45-54","55+"))))</f>
        <v>45-54</v>
      </c>
      <c r="AM536" s="1" t="str">
        <f>IF(HR_Data[[#This Row],[MonthlyIncome]]&lt;3000,"Low Salary",IF(HR_Data[[#This Row],[MonthlyIncome]]&lt;=7000,"Medium Salary","High Salary"))</f>
        <v>High Salary</v>
      </c>
      <c r="AN536" s="1" t="str">
        <f>IF(HR_Data[[#This Row],[YearsAtCompany]]&lt;2,"0-1 Years",IF(HR_Data[[#This Row],[YearsAtCompany]]&lt;=5,"2-5 Years",IF(HR_Data[[#This Row],[YearsAtCompany]]&lt;=10,"6-10 Years","10+ Years")))</f>
        <v>2-5 Years</v>
      </c>
      <c r="AO536" s="1" t="str">
        <f>IF(HR_Data[[#This Row],[JobSatisfaction]]=1,"Low",IF(HR_Data[[#This Row],[JobSatisfaction]]=2,"Medium",IF(HR_Data[[#This Row],[JobSatisfaction]]=3,"High","Very High")))</f>
        <v>High</v>
      </c>
      <c r="AP536" s="1" t="str">
        <f>IF(HR_Data[[#This Row],[WorkLifeBalance]]=1,"Bad",IF(HR_Data[[#This Row],[WorkLifeBalance]]=2,"Good",IF(HR_Data[[#This Row],[WorkLifeBalance]]=3,"Better","Best")))</f>
        <v>Better</v>
      </c>
    </row>
    <row r="537" spans="1:42" x14ac:dyDescent="0.3">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c r="AJ537">
        <f>IF(HR_Data[[#This Row],[Attrition]]="Yes",1,0)</f>
        <v>0</v>
      </c>
      <c r="AK537">
        <f>IF(HR_Data[[#This Row],[Attrition]]="No",1,0)</f>
        <v>1</v>
      </c>
      <c r="AL537" t="str">
        <f>IF(HR_Data[[#This Row],[Age]]&lt;25,"Under 25",IF(HR_Data[[#This Row],[Age]]&lt;=34,"25-34",IF(HR_Data[[#This Row],[Age]]&lt;=44,"35-44",IF(HR_Data[[#This Row],[Age]]&lt;=54,"45-54","55+"))))</f>
        <v>35-44</v>
      </c>
      <c r="AM537" s="1" t="str">
        <f>IF(HR_Data[[#This Row],[MonthlyIncome]]&lt;3000,"Low Salary",IF(HR_Data[[#This Row],[MonthlyIncome]]&lt;=7000,"Medium Salary","High Salary"))</f>
        <v>High Salary</v>
      </c>
      <c r="AN537" s="1" t="str">
        <f>IF(HR_Data[[#This Row],[YearsAtCompany]]&lt;2,"0-1 Years",IF(HR_Data[[#This Row],[YearsAtCompany]]&lt;=5,"2-5 Years",IF(HR_Data[[#This Row],[YearsAtCompany]]&lt;=10,"6-10 Years","10+ Years")))</f>
        <v>10+ Years</v>
      </c>
      <c r="AO537" s="1" t="str">
        <f>IF(HR_Data[[#This Row],[JobSatisfaction]]=1,"Low",IF(HR_Data[[#This Row],[JobSatisfaction]]=2,"Medium",IF(HR_Data[[#This Row],[JobSatisfaction]]=3,"High","Very High")))</f>
        <v>Very High</v>
      </c>
      <c r="AP537" s="1" t="str">
        <f>IF(HR_Data[[#This Row],[WorkLifeBalance]]=1,"Bad",IF(HR_Data[[#This Row],[WorkLifeBalance]]=2,"Good",IF(HR_Data[[#This Row],[WorkLifeBalance]]=3,"Better","Best")))</f>
        <v>Good</v>
      </c>
    </row>
    <row r="538" spans="1:42" x14ac:dyDescent="0.3">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c r="AJ538">
        <f>IF(HR_Data[[#This Row],[Attrition]]="Yes",1,0)</f>
        <v>0</v>
      </c>
      <c r="AK538">
        <f>IF(HR_Data[[#This Row],[Attrition]]="No",1,0)</f>
        <v>1</v>
      </c>
      <c r="AL538" t="str">
        <f>IF(HR_Data[[#This Row],[Age]]&lt;25,"Under 25",IF(HR_Data[[#This Row],[Age]]&lt;=34,"25-34",IF(HR_Data[[#This Row],[Age]]&lt;=44,"35-44",IF(HR_Data[[#This Row],[Age]]&lt;=54,"45-54","55+"))))</f>
        <v>55+</v>
      </c>
      <c r="AM538" s="1" t="str">
        <f>IF(HR_Data[[#This Row],[MonthlyIncome]]&lt;3000,"Low Salary",IF(HR_Data[[#This Row],[MonthlyIncome]]&lt;=7000,"Medium Salary","High Salary"))</f>
        <v>Medium Salary</v>
      </c>
      <c r="AN538" s="1" t="str">
        <f>IF(HR_Data[[#This Row],[YearsAtCompany]]&lt;2,"0-1 Years",IF(HR_Data[[#This Row],[YearsAtCompany]]&lt;=5,"2-5 Years",IF(HR_Data[[#This Row],[YearsAtCompany]]&lt;=10,"6-10 Years","10+ Years")))</f>
        <v>2-5 Years</v>
      </c>
      <c r="AO538" s="1" t="str">
        <f>IF(HR_Data[[#This Row],[JobSatisfaction]]=1,"Low",IF(HR_Data[[#This Row],[JobSatisfaction]]=2,"Medium",IF(HR_Data[[#This Row],[JobSatisfaction]]=3,"High","Very High")))</f>
        <v>Low</v>
      </c>
      <c r="AP538" s="1" t="str">
        <f>IF(HR_Data[[#This Row],[WorkLifeBalance]]=1,"Bad",IF(HR_Data[[#This Row],[WorkLifeBalance]]=2,"Good",IF(HR_Data[[#This Row],[WorkLifeBalance]]=3,"Better","Best")))</f>
        <v>Better</v>
      </c>
    </row>
    <row r="539" spans="1:42" x14ac:dyDescent="0.3">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c r="AJ539">
        <f>IF(HR_Data[[#This Row],[Attrition]]="Yes",1,0)</f>
        <v>0</v>
      </c>
      <c r="AK539">
        <f>IF(HR_Data[[#This Row],[Attrition]]="No",1,0)</f>
        <v>1</v>
      </c>
      <c r="AL539" t="str">
        <f>IF(HR_Data[[#This Row],[Age]]&lt;25,"Under 25",IF(HR_Data[[#This Row],[Age]]&lt;=34,"25-34",IF(HR_Data[[#This Row],[Age]]&lt;=44,"35-44",IF(HR_Data[[#This Row],[Age]]&lt;=54,"45-54","55+"))))</f>
        <v>25-34</v>
      </c>
      <c r="AM539" s="1" t="str">
        <f>IF(HR_Data[[#This Row],[MonthlyIncome]]&lt;3000,"Low Salary",IF(HR_Data[[#This Row],[MonthlyIncome]]&lt;=7000,"Medium Salary","High Salary"))</f>
        <v>High Salary</v>
      </c>
      <c r="AN539" s="1" t="str">
        <f>IF(HR_Data[[#This Row],[YearsAtCompany]]&lt;2,"0-1 Years",IF(HR_Data[[#This Row],[YearsAtCompany]]&lt;=5,"2-5 Years",IF(HR_Data[[#This Row],[YearsAtCompany]]&lt;=10,"6-10 Years","10+ Years")))</f>
        <v>6-10 Years</v>
      </c>
      <c r="AO539" s="1" t="str">
        <f>IF(HR_Data[[#This Row],[JobSatisfaction]]=1,"Low",IF(HR_Data[[#This Row],[JobSatisfaction]]=2,"Medium",IF(HR_Data[[#This Row],[JobSatisfaction]]=3,"High","Very High")))</f>
        <v>Low</v>
      </c>
      <c r="AP539" s="1" t="str">
        <f>IF(HR_Data[[#This Row],[WorkLifeBalance]]=1,"Bad",IF(HR_Data[[#This Row],[WorkLifeBalance]]=2,"Good",IF(HR_Data[[#This Row],[WorkLifeBalance]]=3,"Better","Best")))</f>
        <v>Good</v>
      </c>
    </row>
    <row r="540" spans="1:42" x14ac:dyDescent="0.3">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c r="AJ540">
        <f>IF(HR_Data[[#This Row],[Attrition]]="Yes",1,0)</f>
        <v>0</v>
      </c>
      <c r="AK540">
        <f>IF(HR_Data[[#This Row],[Attrition]]="No",1,0)</f>
        <v>1</v>
      </c>
      <c r="AL540" t="str">
        <f>IF(HR_Data[[#This Row],[Age]]&lt;25,"Under 25",IF(HR_Data[[#This Row],[Age]]&lt;=34,"25-34",IF(HR_Data[[#This Row],[Age]]&lt;=44,"35-44",IF(HR_Data[[#This Row],[Age]]&lt;=54,"45-54","55+"))))</f>
        <v>35-44</v>
      </c>
      <c r="AM540" s="1" t="str">
        <f>IF(HR_Data[[#This Row],[MonthlyIncome]]&lt;3000,"Low Salary",IF(HR_Data[[#This Row],[MonthlyIncome]]&lt;=7000,"Medium Salary","High Salary"))</f>
        <v>High Salary</v>
      </c>
      <c r="AN540" s="1" t="str">
        <f>IF(HR_Data[[#This Row],[YearsAtCompany]]&lt;2,"0-1 Years",IF(HR_Data[[#This Row],[YearsAtCompany]]&lt;=5,"2-5 Years",IF(HR_Data[[#This Row],[YearsAtCompany]]&lt;=10,"6-10 Years","10+ Years")))</f>
        <v>10+ Years</v>
      </c>
      <c r="AO540" s="1" t="str">
        <f>IF(HR_Data[[#This Row],[JobSatisfaction]]=1,"Low",IF(HR_Data[[#This Row],[JobSatisfaction]]=2,"Medium",IF(HR_Data[[#This Row],[JobSatisfaction]]=3,"High","Very High")))</f>
        <v>High</v>
      </c>
      <c r="AP540" s="1" t="str">
        <f>IF(HR_Data[[#This Row],[WorkLifeBalance]]=1,"Bad",IF(HR_Data[[#This Row],[WorkLifeBalance]]=2,"Good",IF(HR_Data[[#This Row],[WorkLifeBalance]]=3,"Better","Best")))</f>
        <v>Better</v>
      </c>
    </row>
    <row r="541" spans="1:42" x14ac:dyDescent="0.3">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c r="AJ541">
        <f>IF(HR_Data[[#This Row],[Attrition]]="Yes",1,0)</f>
        <v>0</v>
      </c>
      <c r="AK541">
        <f>IF(HR_Data[[#This Row],[Attrition]]="No",1,0)</f>
        <v>1</v>
      </c>
      <c r="AL541" t="str">
        <f>IF(HR_Data[[#This Row],[Age]]&lt;25,"Under 25",IF(HR_Data[[#This Row],[Age]]&lt;=34,"25-34",IF(HR_Data[[#This Row],[Age]]&lt;=44,"35-44",IF(HR_Data[[#This Row],[Age]]&lt;=54,"45-54","55+"))))</f>
        <v>45-54</v>
      </c>
      <c r="AM541" s="1" t="str">
        <f>IF(HR_Data[[#This Row],[MonthlyIncome]]&lt;3000,"Low Salary",IF(HR_Data[[#This Row],[MonthlyIncome]]&lt;=7000,"Medium Salary","High Salary"))</f>
        <v>Medium Salary</v>
      </c>
      <c r="AN541" s="1" t="str">
        <f>IF(HR_Data[[#This Row],[YearsAtCompany]]&lt;2,"0-1 Years",IF(HR_Data[[#This Row],[YearsAtCompany]]&lt;=5,"2-5 Years",IF(HR_Data[[#This Row],[YearsAtCompany]]&lt;=10,"6-10 Years","10+ Years")))</f>
        <v>2-5 Years</v>
      </c>
      <c r="AO541" s="1" t="str">
        <f>IF(HR_Data[[#This Row],[JobSatisfaction]]=1,"Low",IF(HR_Data[[#This Row],[JobSatisfaction]]=2,"Medium",IF(HR_Data[[#This Row],[JobSatisfaction]]=3,"High","Very High")))</f>
        <v>Medium</v>
      </c>
      <c r="AP541" s="1" t="str">
        <f>IF(HR_Data[[#This Row],[WorkLifeBalance]]=1,"Bad",IF(HR_Data[[#This Row],[WorkLifeBalance]]=2,"Good",IF(HR_Data[[#This Row],[WorkLifeBalance]]=3,"Better","Best")))</f>
        <v>Better</v>
      </c>
    </row>
    <row r="542" spans="1:42" x14ac:dyDescent="0.3">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c r="AJ542">
        <f>IF(HR_Data[[#This Row],[Attrition]]="Yes",1,0)</f>
        <v>1</v>
      </c>
      <c r="AK542">
        <f>IF(HR_Data[[#This Row],[Attrition]]="No",1,0)</f>
        <v>0</v>
      </c>
      <c r="AL542" t="str">
        <f>IF(HR_Data[[#This Row],[Age]]&lt;25,"Under 25",IF(HR_Data[[#This Row],[Age]]&lt;=34,"25-34",IF(HR_Data[[#This Row],[Age]]&lt;=44,"35-44",IF(HR_Data[[#This Row],[Age]]&lt;=54,"45-54","55+"))))</f>
        <v>25-34</v>
      </c>
      <c r="AM542" s="1" t="str">
        <f>IF(HR_Data[[#This Row],[MonthlyIncome]]&lt;3000,"Low Salary",IF(HR_Data[[#This Row],[MonthlyIncome]]&lt;=7000,"Medium Salary","High Salary"))</f>
        <v>Low Salary</v>
      </c>
      <c r="AN542" s="1" t="str">
        <f>IF(HR_Data[[#This Row],[YearsAtCompany]]&lt;2,"0-1 Years",IF(HR_Data[[#This Row],[YearsAtCompany]]&lt;=5,"2-5 Years",IF(HR_Data[[#This Row],[YearsAtCompany]]&lt;=10,"6-10 Years","10+ Years")))</f>
        <v>6-10 Years</v>
      </c>
      <c r="AO542" s="1" t="str">
        <f>IF(HR_Data[[#This Row],[JobSatisfaction]]=1,"Low",IF(HR_Data[[#This Row],[JobSatisfaction]]=2,"Medium",IF(HR_Data[[#This Row],[JobSatisfaction]]=3,"High","Very High")))</f>
        <v>Medium</v>
      </c>
      <c r="AP542" s="1" t="str">
        <f>IF(HR_Data[[#This Row],[WorkLifeBalance]]=1,"Bad",IF(HR_Data[[#This Row],[WorkLifeBalance]]=2,"Good",IF(HR_Data[[#This Row],[WorkLifeBalance]]=3,"Better","Best")))</f>
        <v>Better</v>
      </c>
    </row>
    <row r="543" spans="1:42" x14ac:dyDescent="0.3">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c r="AJ543">
        <f>IF(HR_Data[[#This Row],[Attrition]]="Yes",1,0)</f>
        <v>0</v>
      </c>
      <c r="AK543">
        <f>IF(HR_Data[[#This Row],[Attrition]]="No",1,0)</f>
        <v>1</v>
      </c>
      <c r="AL543" t="str">
        <f>IF(HR_Data[[#This Row],[Age]]&lt;25,"Under 25",IF(HR_Data[[#This Row],[Age]]&lt;=34,"25-34",IF(HR_Data[[#This Row],[Age]]&lt;=44,"35-44",IF(HR_Data[[#This Row],[Age]]&lt;=54,"45-54","55+"))))</f>
        <v>35-44</v>
      </c>
      <c r="AM543" s="1" t="str">
        <f>IF(HR_Data[[#This Row],[MonthlyIncome]]&lt;3000,"Low Salary",IF(HR_Data[[#This Row],[MonthlyIncome]]&lt;=7000,"Medium Salary","High Salary"))</f>
        <v>High Salary</v>
      </c>
      <c r="AN543" s="1" t="str">
        <f>IF(HR_Data[[#This Row],[YearsAtCompany]]&lt;2,"0-1 Years",IF(HR_Data[[#This Row],[YearsAtCompany]]&lt;=5,"2-5 Years",IF(HR_Data[[#This Row],[YearsAtCompany]]&lt;=10,"6-10 Years","10+ Years")))</f>
        <v>6-10 Years</v>
      </c>
      <c r="AO543" s="1" t="str">
        <f>IF(HR_Data[[#This Row],[JobSatisfaction]]=1,"Low",IF(HR_Data[[#This Row],[JobSatisfaction]]=2,"Medium",IF(HR_Data[[#This Row],[JobSatisfaction]]=3,"High","Very High")))</f>
        <v>Low</v>
      </c>
      <c r="AP543" s="1" t="str">
        <f>IF(HR_Data[[#This Row],[WorkLifeBalance]]=1,"Bad",IF(HR_Data[[#This Row],[WorkLifeBalance]]=2,"Good",IF(HR_Data[[#This Row],[WorkLifeBalance]]=3,"Better","Best")))</f>
        <v>Better</v>
      </c>
    </row>
    <row r="544" spans="1:42" x14ac:dyDescent="0.3">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c r="AJ544">
        <f>IF(HR_Data[[#This Row],[Attrition]]="Yes",1,0)</f>
        <v>0</v>
      </c>
      <c r="AK544">
        <f>IF(HR_Data[[#This Row],[Attrition]]="No",1,0)</f>
        <v>1</v>
      </c>
      <c r="AL544" t="str">
        <f>IF(HR_Data[[#This Row],[Age]]&lt;25,"Under 25",IF(HR_Data[[#This Row],[Age]]&lt;=34,"25-34",IF(HR_Data[[#This Row],[Age]]&lt;=44,"35-44",IF(HR_Data[[#This Row],[Age]]&lt;=54,"45-54","55+"))))</f>
        <v>35-44</v>
      </c>
      <c r="AM544" s="1" t="str">
        <f>IF(HR_Data[[#This Row],[MonthlyIncome]]&lt;3000,"Low Salary",IF(HR_Data[[#This Row],[MonthlyIncome]]&lt;=7000,"Medium Salary","High Salary"))</f>
        <v>High Salary</v>
      </c>
      <c r="AN544" s="1" t="str">
        <f>IF(HR_Data[[#This Row],[YearsAtCompany]]&lt;2,"0-1 Years",IF(HR_Data[[#This Row],[YearsAtCompany]]&lt;=5,"2-5 Years",IF(HR_Data[[#This Row],[YearsAtCompany]]&lt;=10,"6-10 Years","10+ Years")))</f>
        <v>0-1 Years</v>
      </c>
      <c r="AO544" s="1" t="str">
        <f>IF(HR_Data[[#This Row],[JobSatisfaction]]=1,"Low",IF(HR_Data[[#This Row],[JobSatisfaction]]=2,"Medium",IF(HR_Data[[#This Row],[JobSatisfaction]]=3,"High","Very High")))</f>
        <v>High</v>
      </c>
      <c r="AP544" s="1" t="str">
        <f>IF(HR_Data[[#This Row],[WorkLifeBalance]]=1,"Bad",IF(HR_Data[[#This Row],[WorkLifeBalance]]=2,"Good",IF(HR_Data[[#This Row],[WorkLifeBalance]]=3,"Better","Best")))</f>
        <v>Best</v>
      </c>
    </row>
    <row r="545" spans="1:42" x14ac:dyDescent="0.3">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c r="AJ545">
        <f>IF(HR_Data[[#This Row],[Attrition]]="Yes",1,0)</f>
        <v>0</v>
      </c>
      <c r="AK545">
        <f>IF(HR_Data[[#This Row],[Attrition]]="No",1,0)</f>
        <v>1</v>
      </c>
      <c r="AL545" t="str">
        <f>IF(HR_Data[[#This Row],[Age]]&lt;25,"Under 25",IF(HR_Data[[#This Row],[Age]]&lt;=34,"25-34",IF(HR_Data[[#This Row],[Age]]&lt;=44,"35-44",IF(HR_Data[[#This Row],[Age]]&lt;=54,"45-54","55+"))))</f>
        <v>35-44</v>
      </c>
      <c r="AM545" s="1" t="str">
        <f>IF(HR_Data[[#This Row],[MonthlyIncome]]&lt;3000,"Low Salary",IF(HR_Data[[#This Row],[MonthlyIncome]]&lt;=7000,"Medium Salary","High Salary"))</f>
        <v>Medium Salary</v>
      </c>
      <c r="AN545" s="1" t="str">
        <f>IF(HR_Data[[#This Row],[YearsAtCompany]]&lt;2,"0-1 Years",IF(HR_Data[[#This Row],[YearsAtCompany]]&lt;=5,"2-5 Years",IF(HR_Data[[#This Row],[YearsAtCompany]]&lt;=10,"6-10 Years","10+ Years")))</f>
        <v>2-5 Years</v>
      </c>
      <c r="AO545" s="1" t="str">
        <f>IF(HR_Data[[#This Row],[JobSatisfaction]]=1,"Low",IF(HR_Data[[#This Row],[JobSatisfaction]]=2,"Medium",IF(HR_Data[[#This Row],[JobSatisfaction]]=3,"High","Very High")))</f>
        <v>High</v>
      </c>
      <c r="AP545" s="1" t="str">
        <f>IF(HR_Data[[#This Row],[WorkLifeBalance]]=1,"Bad",IF(HR_Data[[#This Row],[WorkLifeBalance]]=2,"Good",IF(HR_Data[[#This Row],[WorkLifeBalance]]=3,"Better","Best")))</f>
        <v>Better</v>
      </c>
    </row>
    <row r="546" spans="1:42" x14ac:dyDescent="0.3">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c r="AJ546">
        <f>IF(HR_Data[[#This Row],[Attrition]]="Yes",1,0)</f>
        <v>0</v>
      </c>
      <c r="AK546">
        <f>IF(HR_Data[[#This Row],[Attrition]]="No",1,0)</f>
        <v>1</v>
      </c>
      <c r="AL546" t="str">
        <f>IF(HR_Data[[#This Row],[Age]]&lt;25,"Under 25",IF(HR_Data[[#This Row],[Age]]&lt;=34,"25-34",IF(HR_Data[[#This Row],[Age]]&lt;=44,"35-44",IF(HR_Data[[#This Row],[Age]]&lt;=54,"45-54","55+"))))</f>
        <v>45-54</v>
      </c>
      <c r="AM546" s="1" t="str">
        <f>IF(HR_Data[[#This Row],[MonthlyIncome]]&lt;3000,"Low Salary",IF(HR_Data[[#This Row],[MonthlyIncome]]&lt;=7000,"Medium Salary","High Salary"))</f>
        <v>High Salary</v>
      </c>
      <c r="AN546" s="1" t="str">
        <f>IF(HR_Data[[#This Row],[YearsAtCompany]]&lt;2,"0-1 Years",IF(HR_Data[[#This Row],[YearsAtCompany]]&lt;=5,"2-5 Years",IF(HR_Data[[#This Row],[YearsAtCompany]]&lt;=10,"6-10 Years","10+ Years")))</f>
        <v>10+ Years</v>
      </c>
      <c r="AO546" s="1" t="str">
        <f>IF(HR_Data[[#This Row],[JobSatisfaction]]=1,"Low",IF(HR_Data[[#This Row],[JobSatisfaction]]=2,"Medium",IF(HR_Data[[#This Row],[JobSatisfaction]]=3,"High","Very High")))</f>
        <v>High</v>
      </c>
      <c r="AP546" s="1" t="str">
        <f>IF(HR_Data[[#This Row],[WorkLifeBalance]]=1,"Bad",IF(HR_Data[[#This Row],[WorkLifeBalance]]=2,"Good",IF(HR_Data[[#This Row],[WorkLifeBalance]]=3,"Better","Best")))</f>
        <v>Good</v>
      </c>
    </row>
    <row r="547" spans="1:42" x14ac:dyDescent="0.3">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c r="AJ547">
        <f>IF(HR_Data[[#This Row],[Attrition]]="Yes",1,0)</f>
        <v>0</v>
      </c>
      <c r="AK547">
        <f>IF(HR_Data[[#This Row],[Attrition]]="No",1,0)</f>
        <v>1</v>
      </c>
      <c r="AL547" t="str">
        <f>IF(HR_Data[[#This Row],[Age]]&lt;25,"Under 25",IF(HR_Data[[#This Row],[Age]]&lt;=34,"25-34",IF(HR_Data[[#This Row],[Age]]&lt;=44,"35-44",IF(HR_Data[[#This Row],[Age]]&lt;=54,"45-54","55+"))))</f>
        <v>25-34</v>
      </c>
      <c r="AM547" s="1" t="str">
        <f>IF(HR_Data[[#This Row],[MonthlyIncome]]&lt;3000,"Low Salary",IF(HR_Data[[#This Row],[MonthlyIncome]]&lt;=7000,"Medium Salary","High Salary"))</f>
        <v>Medium Salary</v>
      </c>
      <c r="AN547" s="1" t="str">
        <f>IF(HR_Data[[#This Row],[YearsAtCompany]]&lt;2,"0-1 Years",IF(HR_Data[[#This Row],[YearsAtCompany]]&lt;=5,"2-5 Years",IF(HR_Data[[#This Row],[YearsAtCompany]]&lt;=10,"6-10 Years","10+ Years")))</f>
        <v>6-10 Years</v>
      </c>
      <c r="AO547" s="1" t="str">
        <f>IF(HR_Data[[#This Row],[JobSatisfaction]]=1,"Low",IF(HR_Data[[#This Row],[JobSatisfaction]]=2,"Medium",IF(HR_Data[[#This Row],[JobSatisfaction]]=3,"High","Very High")))</f>
        <v>Very High</v>
      </c>
      <c r="AP547" s="1" t="str">
        <f>IF(HR_Data[[#This Row],[WorkLifeBalance]]=1,"Bad",IF(HR_Data[[#This Row],[WorkLifeBalance]]=2,"Good",IF(HR_Data[[#This Row],[WorkLifeBalance]]=3,"Better","Best")))</f>
        <v>Good</v>
      </c>
    </row>
    <row r="548" spans="1:42" x14ac:dyDescent="0.3">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c r="AJ548">
        <f>IF(HR_Data[[#This Row],[Attrition]]="Yes",1,0)</f>
        <v>0</v>
      </c>
      <c r="AK548">
        <f>IF(HR_Data[[#This Row],[Attrition]]="No",1,0)</f>
        <v>1</v>
      </c>
      <c r="AL548" t="str">
        <f>IF(HR_Data[[#This Row],[Age]]&lt;25,"Under 25",IF(HR_Data[[#This Row],[Age]]&lt;=34,"25-34",IF(HR_Data[[#This Row],[Age]]&lt;=44,"35-44",IF(HR_Data[[#This Row],[Age]]&lt;=54,"45-54","55+"))))</f>
        <v>25-34</v>
      </c>
      <c r="AM548" s="1" t="str">
        <f>IF(HR_Data[[#This Row],[MonthlyIncome]]&lt;3000,"Low Salary",IF(HR_Data[[#This Row],[MonthlyIncome]]&lt;=7000,"Medium Salary","High Salary"))</f>
        <v>Low Salary</v>
      </c>
      <c r="AN548" s="1" t="str">
        <f>IF(HR_Data[[#This Row],[YearsAtCompany]]&lt;2,"0-1 Years",IF(HR_Data[[#This Row],[YearsAtCompany]]&lt;=5,"2-5 Years",IF(HR_Data[[#This Row],[YearsAtCompany]]&lt;=10,"6-10 Years","10+ Years")))</f>
        <v>0-1 Years</v>
      </c>
      <c r="AO548" s="1" t="str">
        <f>IF(HR_Data[[#This Row],[JobSatisfaction]]=1,"Low",IF(HR_Data[[#This Row],[JobSatisfaction]]=2,"Medium",IF(HR_Data[[#This Row],[JobSatisfaction]]=3,"High","Very High")))</f>
        <v>High</v>
      </c>
      <c r="AP548" s="1" t="str">
        <f>IF(HR_Data[[#This Row],[WorkLifeBalance]]=1,"Bad",IF(HR_Data[[#This Row],[WorkLifeBalance]]=2,"Good",IF(HR_Data[[#This Row],[WorkLifeBalance]]=3,"Better","Best")))</f>
        <v>Better</v>
      </c>
    </row>
    <row r="549" spans="1:42" x14ac:dyDescent="0.3">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c r="AJ549">
        <f>IF(HR_Data[[#This Row],[Attrition]]="Yes",1,0)</f>
        <v>1</v>
      </c>
      <c r="AK549">
        <f>IF(HR_Data[[#This Row],[Attrition]]="No",1,0)</f>
        <v>0</v>
      </c>
      <c r="AL549" t="str">
        <f>IF(HR_Data[[#This Row],[Age]]&lt;25,"Under 25",IF(HR_Data[[#This Row],[Age]]&lt;=34,"25-34",IF(HR_Data[[#This Row],[Age]]&lt;=44,"35-44",IF(HR_Data[[#This Row],[Age]]&lt;=54,"45-54","55+"))))</f>
        <v>35-44</v>
      </c>
      <c r="AM549" s="1" t="str">
        <f>IF(HR_Data[[#This Row],[MonthlyIncome]]&lt;3000,"Low Salary",IF(HR_Data[[#This Row],[MonthlyIncome]]&lt;=7000,"Medium Salary","High Salary"))</f>
        <v>Low Salary</v>
      </c>
      <c r="AN549" s="1" t="str">
        <f>IF(HR_Data[[#This Row],[YearsAtCompany]]&lt;2,"0-1 Years",IF(HR_Data[[#This Row],[YearsAtCompany]]&lt;=5,"2-5 Years",IF(HR_Data[[#This Row],[YearsAtCompany]]&lt;=10,"6-10 Years","10+ Years")))</f>
        <v>2-5 Years</v>
      </c>
      <c r="AO549" s="1" t="str">
        <f>IF(HR_Data[[#This Row],[JobSatisfaction]]=1,"Low",IF(HR_Data[[#This Row],[JobSatisfaction]]=2,"Medium",IF(HR_Data[[#This Row],[JobSatisfaction]]=3,"High","Very High")))</f>
        <v>High</v>
      </c>
      <c r="AP549" s="1" t="str">
        <f>IF(HR_Data[[#This Row],[WorkLifeBalance]]=1,"Bad",IF(HR_Data[[#This Row],[WorkLifeBalance]]=2,"Good",IF(HR_Data[[#This Row],[WorkLifeBalance]]=3,"Better","Best")))</f>
        <v>Better</v>
      </c>
    </row>
    <row r="550" spans="1:42" x14ac:dyDescent="0.3">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c r="AJ550">
        <f>IF(HR_Data[[#This Row],[Attrition]]="Yes",1,0)</f>
        <v>0</v>
      </c>
      <c r="AK550">
        <f>IF(HR_Data[[#This Row],[Attrition]]="No",1,0)</f>
        <v>1</v>
      </c>
      <c r="AL550" t="str">
        <f>IF(HR_Data[[#This Row],[Age]]&lt;25,"Under 25",IF(HR_Data[[#This Row],[Age]]&lt;=34,"25-34",IF(HR_Data[[#This Row],[Age]]&lt;=44,"35-44",IF(HR_Data[[#This Row],[Age]]&lt;=54,"45-54","55+"))))</f>
        <v>35-44</v>
      </c>
      <c r="AM550" s="1" t="str">
        <f>IF(HR_Data[[#This Row],[MonthlyIncome]]&lt;3000,"Low Salary",IF(HR_Data[[#This Row],[MonthlyIncome]]&lt;=7000,"Medium Salary","High Salary"))</f>
        <v>Medium Salary</v>
      </c>
      <c r="AN550" s="1" t="str">
        <f>IF(HR_Data[[#This Row],[YearsAtCompany]]&lt;2,"0-1 Years",IF(HR_Data[[#This Row],[YearsAtCompany]]&lt;=5,"2-5 Years",IF(HR_Data[[#This Row],[YearsAtCompany]]&lt;=10,"6-10 Years","10+ Years")))</f>
        <v>2-5 Years</v>
      </c>
      <c r="AO550" s="1" t="str">
        <f>IF(HR_Data[[#This Row],[JobSatisfaction]]=1,"Low",IF(HR_Data[[#This Row],[JobSatisfaction]]=2,"Medium",IF(HR_Data[[#This Row],[JobSatisfaction]]=3,"High","Very High")))</f>
        <v>Very High</v>
      </c>
      <c r="AP550" s="1" t="str">
        <f>IF(HR_Data[[#This Row],[WorkLifeBalance]]=1,"Bad",IF(HR_Data[[#This Row],[WorkLifeBalance]]=2,"Good",IF(HR_Data[[#This Row],[WorkLifeBalance]]=3,"Better","Best")))</f>
        <v>Better</v>
      </c>
    </row>
    <row r="551" spans="1:42" x14ac:dyDescent="0.3">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c r="AJ551">
        <f>IF(HR_Data[[#This Row],[Attrition]]="Yes",1,0)</f>
        <v>0</v>
      </c>
      <c r="AK551">
        <f>IF(HR_Data[[#This Row],[Attrition]]="No",1,0)</f>
        <v>1</v>
      </c>
      <c r="AL551" t="str">
        <f>IF(HR_Data[[#This Row],[Age]]&lt;25,"Under 25",IF(HR_Data[[#This Row],[Age]]&lt;=34,"25-34",IF(HR_Data[[#This Row],[Age]]&lt;=44,"35-44",IF(HR_Data[[#This Row],[Age]]&lt;=54,"45-54","55+"))))</f>
        <v>25-34</v>
      </c>
      <c r="AM551" s="1" t="str">
        <f>IF(HR_Data[[#This Row],[MonthlyIncome]]&lt;3000,"Low Salary",IF(HR_Data[[#This Row],[MonthlyIncome]]&lt;=7000,"Medium Salary","High Salary"))</f>
        <v>Medium Salary</v>
      </c>
      <c r="AN551" s="1" t="str">
        <f>IF(HR_Data[[#This Row],[YearsAtCompany]]&lt;2,"0-1 Years",IF(HR_Data[[#This Row],[YearsAtCompany]]&lt;=5,"2-5 Years",IF(HR_Data[[#This Row],[YearsAtCompany]]&lt;=10,"6-10 Years","10+ Years")))</f>
        <v>2-5 Years</v>
      </c>
      <c r="AO551" s="1" t="str">
        <f>IF(HR_Data[[#This Row],[JobSatisfaction]]=1,"Low",IF(HR_Data[[#This Row],[JobSatisfaction]]=2,"Medium",IF(HR_Data[[#This Row],[JobSatisfaction]]=3,"High","Very High")))</f>
        <v>High</v>
      </c>
      <c r="AP551" s="1" t="str">
        <f>IF(HR_Data[[#This Row],[WorkLifeBalance]]=1,"Bad",IF(HR_Data[[#This Row],[WorkLifeBalance]]=2,"Good",IF(HR_Data[[#This Row],[WorkLifeBalance]]=3,"Better","Best")))</f>
        <v>Better</v>
      </c>
    </row>
    <row r="552" spans="1:42" x14ac:dyDescent="0.3">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c r="AJ552">
        <f>IF(HR_Data[[#This Row],[Attrition]]="Yes",1,0)</f>
        <v>0</v>
      </c>
      <c r="AK552">
        <f>IF(HR_Data[[#This Row],[Attrition]]="No",1,0)</f>
        <v>1</v>
      </c>
      <c r="AL552" t="str">
        <f>IF(HR_Data[[#This Row],[Age]]&lt;25,"Under 25",IF(HR_Data[[#This Row],[Age]]&lt;=34,"25-34",IF(HR_Data[[#This Row],[Age]]&lt;=44,"35-44",IF(HR_Data[[#This Row],[Age]]&lt;=54,"45-54","55+"))))</f>
        <v>Under 25</v>
      </c>
      <c r="AM552" s="1" t="str">
        <f>IF(HR_Data[[#This Row],[MonthlyIncome]]&lt;3000,"Low Salary",IF(HR_Data[[#This Row],[MonthlyIncome]]&lt;=7000,"Medium Salary","High Salary"))</f>
        <v>Low Salary</v>
      </c>
      <c r="AN552" s="1" t="str">
        <f>IF(HR_Data[[#This Row],[YearsAtCompany]]&lt;2,"0-1 Years",IF(HR_Data[[#This Row],[YearsAtCompany]]&lt;=5,"2-5 Years",IF(HR_Data[[#This Row],[YearsAtCompany]]&lt;=10,"6-10 Years","10+ Years")))</f>
        <v>2-5 Years</v>
      </c>
      <c r="AO552" s="1" t="str">
        <f>IF(HR_Data[[#This Row],[JobSatisfaction]]=1,"Low",IF(HR_Data[[#This Row],[JobSatisfaction]]=2,"Medium",IF(HR_Data[[#This Row],[JobSatisfaction]]=3,"High","Very High")))</f>
        <v>Low</v>
      </c>
      <c r="AP552" s="1" t="str">
        <f>IF(HR_Data[[#This Row],[WorkLifeBalance]]=1,"Bad",IF(HR_Data[[#This Row],[WorkLifeBalance]]=2,"Good",IF(HR_Data[[#This Row],[WorkLifeBalance]]=3,"Better","Best")))</f>
        <v>Best</v>
      </c>
    </row>
    <row r="553" spans="1:42" x14ac:dyDescent="0.3">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c r="AJ553">
        <f>IF(HR_Data[[#This Row],[Attrition]]="Yes",1,0)</f>
        <v>0</v>
      </c>
      <c r="AK553">
        <f>IF(HR_Data[[#This Row],[Attrition]]="No",1,0)</f>
        <v>1</v>
      </c>
      <c r="AL553" t="str">
        <f>IF(HR_Data[[#This Row],[Age]]&lt;25,"Under 25",IF(HR_Data[[#This Row],[Age]]&lt;=34,"25-34",IF(HR_Data[[#This Row],[Age]]&lt;=44,"35-44",IF(HR_Data[[#This Row],[Age]]&lt;=54,"45-54","55+"))))</f>
        <v>35-44</v>
      </c>
      <c r="AM553" s="1" t="str">
        <f>IF(HR_Data[[#This Row],[MonthlyIncome]]&lt;3000,"Low Salary",IF(HR_Data[[#This Row],[MonthlyIncome]]&lt;=7000,"Medium Salary","High Salary"))</f>
        <v>Medium Salary</v>
      </c>
      <c r="AN553" s="1" t="str">
        <f>IF(HR_Data[[#This Row],[YearsAtCompany]]&lt;2,"0-1 Years",IF(HR_Data[[#This Row],[YearsAtCompany]]&lt;=5,"2-5 Years",IF(HR_Data[[#This Row],[YearsAtCompany]]&lt;=10,"6-10 Years","10+ Years")))</f>
        <v>6-10 Years</v>
      </c>
      <c r="AO553" s="1" t="str">
        <f>IF(HR_Data[[#This Row],[JobSatisfaction]]=1,"Low",IF(HR_Data[[#This Row],[JobSatisfaction]]=2,"Medium",IF(HR_Data[[#This Row],[JobSatisfaction]]=3,"High","Very High")))</f>
        <v>Medium</v>
      </c>
      <c r="AP553" s="1" t="str">
        <f>IF(HR_Data[[#This Row],[WorkLifeBalance]]=1,"Bad",IF(HR_Data[[#This Row],[WorkLifeBalance]]=2,"Good",IF(HR_Data[[#This Row],[WorkLifeBalance]]=3,"Better","Best")))</f>
        <v>Bad</v>
      </c>
    </row>
    <row r="554" spans="1:42" x14ac:dyDescent="0.3">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c r="AJ554">
        <f>IF(HR_Data[[#This Row],[Attrition]]="Yes",1,0)</f>
        <v>0</v>
      </c>
      <c r="AK554">
        <f>IF(HR_Data[[#This Row],[Attrition]]="No",1,0)</f>
        <v>1</v>
      </c>
      <c r="AL554" t="str">
        <f>IF(HR_Data[[#This Row],[Age]]&lt;25,"Under 25",IF(HR_Data[[#This Row],[Age]]&lt;=34,"25-34",IF(HR_Data[[#This Row],[Age]]&lt;=44,"35-44",IF(HR_Data[[#This Row],[Age]]&lt;=54,"45-54","55+"))))</f>
        <v>55+</v>
      </c>
      <c r="AM554" s="1" t="str">
        <f>IF(HR_Data[[#This Row],[MonthlyIncome]]&lt;3000,"Low Salary",IF(HR_Data[[#This Row],[MonthlyIncome]]&lt;=7000,"Medium Salary","High Salary"))</f>
        <v>High Salary</v>
      </c>
      <c r="AN554" s="1" t="str">
        <f>IF(HR_Data[[#This Row],[YearsAtCompany]]&lt;2,"0-1 Years",IF(HR_Data[[#This Row],[YearsAtCompany]]&lt;=5,"2-5 Years",IF(HR_Data[[#This Row],[YearsAtCompany]]&lt;=10,"6-10 Years","10+ Years")))</f>
        <v>6-10 Years</v>
      </c>
      <c r="AO554" s="1" t="str">
        <f>IF(HR_Data[[#This Row],[JobSatisfaction]]=1,"Low",IF(HR_Data[[#This Row],[JobSatisfaction]]=2,"Medium",IF(HR_Data[[#This Row],[JobSatisfaction]]=3,"High","Very High")))</f>
        <v>Very High</v>
      </c>
      <c r="AP554" s="1" t="str">
        <f>IF(HR_Data[[#This Row],[WorkLifeBalance]]=1,"Bad",IF(HR_Data[[#This Row],[WorkLifeBalance]]=2,"Good",IF(HR_Data[[#This Row],[WorkLifeBalance]]=3,"Better","Best")))</f>
        <v>Good</v>
      </c>
    </row>
    <row r="555" spans="1:42" x14ac:dyDescent="0.3">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c r="AJ555">
        <f>IF(HR_Data[[#This Row],[Attrition]]="Yes",1,0)</f>
        <v>0</v>
      </c>
      <c r="AK555">
        <f>IF(HR_Data[[#This Row],[Attrition]]="No",1,0)</f>
        <v>1</v>
      </c>
      <c r="AL555" t="str">
        <f>IF(HR_Data[[#This Row],[Age]]&lt;25,"Under 25",IF(HR_Data[[#This Row],[Age]]&lt;=34,"25-34",IF(HR_Data[[#This Row],[Age]]&lt;=44,"35-44",IF(HR_Data[[#This Row],[Age]]&lt;=54,"45-54","55+"))))</f>
        <v>35-44</v>
      </c>
      <c r="AM555" s="1" t="str">
        <f>IF(HR_Data[[#This Row],[MonthlyIncome]]&lt;3000,"Low Salary",IF(HR_Data[[#This Row],[MonthlyIncome]]&lt;=7000,"Medium Salary","High Salary"))</f>
        <v>Low Salary</v>
      </c>
      <c r="AN555" s="1" t="str">
        <f>IF(HR_Data[[#This Row],[YearsAtCompany]]&lt;2,"0-1 Years",IF(HR_Data[[#This Row],[YearsAtCompany]]&lt;=5,"2-5 Years",IF(HR_Data[[#This Row],[YearsAtCompany]]&lt;=10,"6-10 Years","10+ Years")))</f>
        <v>2-5 Years</v>
      </c>
      <c r="AO555" s="1" t="str">
        <f>IF(HR_Data[[#This Row],[JobSatisfaction]]=1,"Low",IF(HR_Data[[#This Row],[JobSatisfaction]]=2,"Medium",IF(HR_Data[[#This Row],[JobSatisfaction]]=3,"High","Very High")))</f>
        <v>Very High</v>
      </c>
      <c r="AP555" s="1" t="str">
        <f>IF(HR_Data[[#This Row],[WorkLifeBalance]]=1,"Bad",IF(HR_Data[[#This Row],[WorkLifeBalance]]=2,"Good",IF(HR_Data[[#This Row],[WorkLifeBalance]]=3,"Better","Best")))</f>
        <v>Good</v>
      </c>
    </row>
    <row r="556" spans="1:42" x14ac:dyDescent="0.3">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c r="AJ556">
        <f>IF(HR_Data[[#This Row],[Attrition]]="Yes",1,0)</f>
        <v>0</v>
      </c>
      <c r="AK556">
        <f>IF(HR_Data[[#This Row],[Attrition]]="No",1,0)</f>
        <v>1</v>
      </c>
      <c r="AL556" t="str">
        <f>IF(HR_Data[[#This Row],[Age]]&lt;25,"Under 25",IF(HR_Data[[#This Row],[Age]]&lt;=34,"25-34",IF(HR_Data[[#This Row],[Age]]&lt;=44,"35-44",IF(HR_Data[[#This Row],[Age]]&lt;=54,"45-54","55+"))))</f>
        <v>25-34</v>
      </c>
      <c r="AM556" s="1" t="str">
        <f>IF(HR_Data[[#This Row],[MonthlyIncome]]&lt;3000,"Low Salary",IF(HR_Data[[#This Row],[MonthlyIncome]]&lt;=7000,"Medium Salary","High Salary"))</f>
        <v>Medium Salary</v>
      </c>
      <c r="AN556" s="1" t="str">
        <f>IF(HR_Data[[#This Row],[YearsAtCompany]]&lt;2,"0-1 Years",IF(HR_Data[[#This Row],[YearsAtCompany]]&lt;=5,"2-5 Years",IF(HR_Data[[#This Row],[YearsAtCompany]]&lt;=10,"6-10 Years","10+ Years")))</f>
        <v>6-10 Years</v>
      </c>
      <c r="AO556" s="1" t="str">
        <f>IF(HR_Data[[#This Row],[JobSatisfaction]]=1,"Low",IF(HR_Data[[#This Row],[JobSatisfaction]]=2,"Medium",IF(HR_Data[[#This Row],[JobSatisfaction]]=3,"High","Very High")))</f>
        <v>Low</v>
      </c>
      <c r="AP556" s="1" t="str">
        <f>IF(HR_Data[[#This Row],[WorkLifeBalance]]=1,"Bad",IF(HR_Data[[#This Row],[WorkLifeBalance]]=2,"Good",IF(HR_Data[[#This Row],[WorkLifeBalance]]=3,"Better","Best")))</f>
        <v>Bad</v>
      </c>
    </row>
    <row r="557" spans="1:42" x14ac:dyDescent="0.3">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c r="AJ557">
        <f>IF(HR_Data[[#This Row],[Attrition]]="Yes",1,0)</f>
        <v>0</v>
      </c>
      <c r="AK557">
        <f>IF(HR_Data[[#This Row],[Attrition]]="No",1,0)</f>
        <v>1</v>
      </c>
      <c r="AL557" t="str">
        <f>IF(HR_Data[[#This Row],[Age]]&lt;25,"Under 25",IF(HR_Data[[#This Row],[Age]]&lt;=34,"25-34",IF(HR_Data[[#This Row],[Age]]&lt;=44,"35-44",IF(HR_Data[[#This Row],[Age]]&lt;=54,"45-54","55+"))))</f>
        <v>25-34</v>
      </c>
      <c r="AM557" s="1" t="str">
        <f>IF(HR_Data[[#This Row],[MonthlyIncome]]&lt;3000,"Low Salary",IF(HR_Data[[#This Row],[MonthlyIncome]]&lt;=7000,"Medium Salary","High Salary"))</f>
        <v>Low Salary</v>
      </c>
      <c r="AN557" s="1" t="str">
        <f>IF(HR_Data[[#This Row],[YearsAtCompany]]&lt;2,"0-1 Years",IF(HR_Data[[#This Row],[YearsAtCompany]]&lt;=5,"2-5 Years",IF(HR_Data[[#This Row],[YearsAtCompany]]&lt;=10,"6-10 Years","10+ Years")))</f>
        <v>2-5 Years</v>
      </c>
      <c r="AO557" s="1" t="str">
        <f>IF(HR_Data[[#This Row],[JobSatisfaction]]=1,"Low",IF(HR_Data[[#This Row],[JobSatisfaction]]=2,"Medium",IF(HR_Data[[#This Row],[JobSatisfaction]]=3,"High","Very High")))</f>
        <v>Medium</v>
      </c>
      <c r="AP557" s="1" t="str">
        <f>IF(HR_Data[[#This Row],[WorkLifeBalance]]=1,"Bad",IF(HR_Data[[#This Row],[WorkLifeBalance]]=2,"Good",IF(HR_Data[[#This Row],[WorkLifeBalance]]=3,"Better","Best")))</f>
        <v>Better</v>
      </c>
    </row>
    <row r="558" spans="1:42" x14ac:dyDescent="0.3">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c r="AJ558">
        <f>IF(HR_Data[[#This Row],[Attrition]]="Yes",1,0)</f>
        <v>0</v>
      </c>
      <c r="AK558">
        <f>IF(HR_Data[[#This Row],[Attrition]]="No",1,0)</f>
        <v>1</v>
      </c>
      <c r="AL558" t="str">
        <f>IF(HR_Data[[#This Row],[Age]]&lt;25,"Under 25",IF(HR_Data[[#This Row],[Age]]&lt;=34,"25-34",IF(HR_Data[[#This Row],[Age]]&lt;=44,"35-44",IF(HR_Data[[#This Row],[Age]]&lt;=54,"45-54","55+"))))</f>
        <v>45-54</v>
      </c>
      <c r="AM558" s="1" t="str">
        <f>IF(HR_Data[[#This Row],[MonthlyIncome]]&lt;3000,"Low Salary",IF(HR_Data[[#This Row],[MonthlyIncome]]&lt;=7000,"Medium Salary","High Salary"))</f>
        <v>Low Salary</v>
      </c>
      <c r="AN558" s="1" t="str">
        <f>IF(HR_Data[[#This Row],[YearsAtCompany]]&lt;2,"0-1 Years",IF(HR_Data[[#This Row],[YearsAtCompany]]&lt;=5,"2-5 Years",IF(HR_Data[[#This Row],[YearsAtCompany]]&lt;=10,"6-10 Years","10+ Years")))</f>
        <v>2-5 Years</v>
      </c>
      <c r="AO558" s="1" t="str">
        <f>IF(HR_Data[[#This Row],[JobSatisfaction]]=1,"Low",IF(HR_Data[[#This Row],[JobSatisfaction]]=2,"Medium",IF(HR_Data[[#This Row],[JobSatisfaction]]=3,"High","Very High")))</f>
        <v>Very High</v>
      </c>
      <c r="AP558" s="1" t="str">
        <f>IF(HR_Data[[#This Row],[WorkLifeBalance]]=1,"Bad",IF(HR_Data[[#This Row],[WorkLifeBalance]]=2,"Good",IF(HR_Data[[#This Row],[WorkLifeBalance]]=3,"Better","Best")))</f>
        <v>Better</v>
      </c>
    </row>
    <row r="559" spans="1:42" x14ac:dyDescent="0.3">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c r="AJ559">
        <f>IF(HR_Data[[#This Row],[Attrition]]="Yes",1,0)</f>
        <v>0</v>
      </c>
      <c r="AK559">
        <f>IF(HR_Data[[#This Row],[Attrition]]="No",1,0)</f>
        <v>1</v>
      </c>
      <c r="AL559" t="str">
        <f>IF(HR_Data[[#This Row],[Age]]&lt;25,"Under 25",IF(HR_Data[[#This Row],[Age]]&lt;=34,"25-34",IF(HR_Data[[#This Row],[Age]]&lt;=44,"35-44",IF(HR_Data[[#This Row],[Age]]&lt;=54,"45-54","55+"))))</f>
        <v>35-44</v>
      </c>
      <c r="AM559" s="1" t="str">
        <f>IF(HR_Data[[#This Row],[MonthlyIncome]]&lt;3000,"Low Salary",IF(HR_Data[[#This Row],[MonthlyIncome]]&lt;=7000,"Medium Salary","High Salary"))</f>
        <v>Medium Salary</v>
      </c>
      <c r="AN559" s="1" t="str">
        <f>IF(HR_Data[[#This Row],[YearsAtCompany]]&lt;2,"0-1 Years",IF(HR_Data[[#This Row],[YearsAtCompany]]&lt;=5,"2-5 Years",IF(HR_Data[[#This Row],[YearsAtCompany]]&lt;=10,"6-10 Years","10+ Years")))</f>
        <v>0-1 Years</v>
      </c>
      <c r="AO559" s="1" t="str">
        <f>IF(HR_Data[[#This Row],[JobSatisfaction]]=1,"Low",IF(HR_Data[[#This Row],[JobSatisfaction]]=2,"Medium",IF(HR_Data[[#This Row],[JobSatisfaction]]=3,"High","Very High")))</f>
        <v>Low</v>
      </c>
      <c r="AP559" s="1" t="str">
        <f>IF(HR_Data[[#This Row],[WorkLifeBalance]]=1,"Bad",IF(HR_Data[[#This Row],[WorkLifeBalance]]=2,"Good",IF(HR_Data[[#This Row],[WorkLifeBalance]]=3,"Better","Best")))</f>
        <v>Best</v>
      </c>
    </row>
    <row r="560" spans="1:42" x14ac:dyDescent="0.3">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c r="AJ560">
        <f>IF(HR_Data[[#This Row],[Attrition]]="Yes",1,0)</f>
        <v>0</v>
      </c>
      <c r="AK560">
        <f>IF(HR_Data[[#This Row],[Attrition]]="No",1,0)</f>
        <v>1</v>
      </c>
      <c r="AL560" t="str">
        <f>IF(HR_Data[[#This Row],[Age]]&lt;25,"Under 25",IF(HR_Data[[#This Row],[Age]]&lt;=34,"25-34",IF(HR_Data[[#This Row],[Age]]&lt;=44,"35-44",IF(HR_Data[[#This Row],[Age]]&lt;=54,"45-54","55+"))))</f>
        <v>25-34</v>
      </c>
      <c r="AM560" s="1" t="str">
        <f>IF(HR_Data[[#This Row],[MonthlyIncome]]&lt;3000,"Low Salary",IF(HR_Data[[#This Row],[MonthlyIncome]]&lt;=7000,"Medium Salary","High Salary"))</f>
        <v>Medium Salary</v>
      </c>
      <c r="AN560" s="1" t="str">
        <f>IF(HR_Data[[#This Row],[YearsAtCompany]]&lt;2,"0-1 Years",IF(HR_Data[[#This Row],[YearsAtCompany]]&lt;=5,"2-5 Years",IF(HR_Data[[#This Row],[YearsAtCompany]]&lt;=10,"6-10 Years","10+ Years")))</f>
        <v>6-10 Years</v>
      </c>
      <c r="AO560" s="1" t="str">
        <f>IF(HR_Data[[#This Row],[JobSatisfaction]]=1,"Low",IF(HR_Data[[#This Row],[JobSatisfaction]]=2,"Medium",IF(HR_Data[[#This Row],[JobSatisfaction]]=3,"High","Very High")))</f>
        <v>Very High</v>
      </c>
      <c r="AP560" s="1" t="str">
        <f>IF(HR_Data[[#This Row],[WorkLifeBalance]]=1,"Bad",IF(HR_Data[[#This Row],[WorkLifeBalance]]=2,"Good",IF(HR_Data[[#This Row],[WorkLifeBalance]]=3,"Better","Best")))</f>
        <v>Better</v>
      </c>
    </row>
    <row r="561" spans="1:42" x14ac:dyDescent="0.3">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c r="AJ561">
        <f>IF(HR_Data[[#This Row],[Attrition]]="Yes",1,0)</f>
        <v>0</v>
      </c>
      <c r="AK561">
        <f>IF(HR_Data[[#This Row],[Attrition]]="No",1,0)</f>
        <v>1</v>
      </c>
      <c r="AL561" t="str">
        <f>IF(HR_Data[[#This Row],[Age]]&lt;25,"Under 25",IF(HR_Data[[#This Row],[Age]]&lt;=34,"25-34",IF(HR_Data[[#This Row],[Age]]&lt;=44,"35-44",IF(HR_Data[[#This Row],[Age]]&lt;=54,"45-54","55+"))))</f>
        <v>35-44</v>
      </c>
      <c r="AM561" s="1" t="str">
        <f>IF(HR_Data[[#This Row],[MonthlyIncome]]&lt;3000,"Low Salary",IF(HR_Data[[#This Row],[MonthlyIncome]]&lt;=7000,"Medium Salary","High Salary"))</f>
        <v>Medium Salary</v>
      </c>
      <c r="AN561" s="1" t="str">
        <f>IF(HR_Data[[#This Row],[YearsAtCompany]]&lt;2,"0-1 Years",IF(HR_Data[[#This Row],[YearsAtCompany]]&lt;=5,"2-5 Years",IF(HR_Data[[#This Row],[YearsAtCompany]]&lt;=10,"6-10 Years","10+ Years")))</f>
        <v>0-1 Years</v>
      </c>
      <c r="AO561" s="1" t="str">
        <f>IF(HR_Data[[#This Row],[JobSatisfaction]]=1,"Low",IF(HR_Data[[#This Row],[JobSatisfaction]]=2,"Medium",IF(HR_Data[[#This Row],[JobSatisfaction]]=3,"High","Very High")))</f>
        <v>High</v>
      </c>
      <c r="AP561" s="1" t="str">
        <f>IF(HR_Data[[#This Row],[WorkLifeBalance]]=1,"Bad",IF(HR_Data[[#This Row],[WorkLifeBalance]]=2,"Good",IF(HR_Data[[#This Row],[WorkLifeBalance]]=3,"Better","Best")))</f>
        <v>Bad</v>
      </c>
    </row>
    <row r="562" spans="1:42" x14ac:dyDescent="0.3">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c r="AJ562">
        <f>IF(HR_Data[[#This Row],[Attrition]]="Yes",1,0)</f>
        <v>0</v>
      </c>
      <c r="AK562">
        <f>IF(HR_Data[[#This Row],[Attrition]]="No",1,0)</f>
        <v>1</v>
      </c>
      <c r="AL562" t="str">
        <f>IF(HR_Data[[#This Row],[Age]]&lt;25,"Under 25",IF(HR_Data[[#This Row],[Age]]&lt;=34,"25-34",IF(HR_Data[[#This Row],[Age]]&lt;=44,"35-44",IF(HR_Data[[#This Row],[Age]]&lt;=54,"45-54","55+"))))</f>
        <v>25-34</v>
      </c>
      <c r="AM562" s="1" t="str">
        <f>IF(HR_Data[[#This Row],[MonthlyIncome]]&lt;3000,"Low Salary",IF(HR_Data[[#This Row],[MonthlyIncome]]&lt;=7000,"Medium Salary","High Salary"))</f>
        <v>Medium Salary</v>
      </c>
      <c r="AN562" s="1" t="str">
        <f>IF(HR_Data[[#This Row],[YearsAtCompany]]&lt;2,"0-1 Years",IF(HR_Data[[#This Row],[YearsAtCompany]]&lt;=5,"2-5 Years",IF(HR_Data[[#This Row],[YearsAtCompany]]&lt;=10,"6-10 Years","10+ Years")))</f>
        <v>0-1 Years</v>
      </c>
      <c r="AO562" s="1" t="str">
        <f>IF(HR_Data[[#This Row],[JobSatisfaction]]=1,"Low",IF(HR_Data[[#This Row],[JobSatisfaction]]=2,"Medium",IF(HR_Data[[#This Row],[JobSatisfaction]]=3,"High","Very High")))</f>
        <v>Low</v>
      </c>
      <c r="AP562" s="1" t="str">
        <f>IF(HR_Data[[#This Row],[WorkLifeBalance]]=1,"Bad",IF(HR_Data[[#This Row],[WorkLifeBalance]]=2,"Good",IF(HR_Data[[#This Row],[WorkLifeBalance]]=3,"Better","Best")))</f>
        <v>Better</v>
      </c>
    </row>
    <row r="563" spans="1:42" x14ac:dyDescent="0.3">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c r="AJ563">
        <f>IF(HR_Data[[#This Row],[Attrition]]="Yes",1,0)</f>
        <v>0</v>
      </c>
      <c r="AK563">
        <f>IF(HR_Data[[#This Row],[Attrition]]="No",1,0)</f>
        <v>1</v>
      </c>
      <c r="AL563" t="str">
        <f>IF(HR_Data[[#This Row],[Age]]&lt;25,"Under 25",IF(HR_Data[[#This Row],[Age]]&lt;=34,"25-34",IF(HR_Data[[#This Row],[Age]]&lt;=44,"35-44",IF(HR_Data[[#This Row],[Age]]&lt;=54,"45-54","55+"))))</f>
        <v>45-54</v>
      </c>
      <c r="AM563" s="1" t="str">
        <f>IF(HR_Data[[#This Row],[MonthlyIncome]]&lt;3000,"Low Salary",IF(HR_Data[[#This Row],[MonthlyIncome]]&lt;=7000,"Medium Salary","High Salary"))</f>
        <v>High Salary</v>
      </c>
      <c r="AN563" s="1" t="str">
        <f>IF(HR_Data[[#This Row],[YearsAtCompany]]&lt;2,"0-1 Years",IF(HR_Data[[#This Row],[YearsAtCompany]]&lt;=5,"2-5 Years",IF(HR_Data[[#This Row],[YearsAtCompany]]&lt;=10,"6-10 Years","10+ Years")))</f>
        <v>10+ Years</v>
      </c>
      <c r="AO563" s="1" t="str">
        <f>IF(HR_Data[[#This Row],[JobSatisfaction]]=1,"Low",IF(HR_Data[[#This Row],[JobSatisfaction]]=2,"Medium",IF(HR_Data[[#This Row],[JobSatisfaction]]=3,"High","Very High")))</f>
        <v>Low</v>
      </c>
      <c r="AP563" s="1" t="str">
        <f>IF(HR_Data[[#This Row],[WorkLifeBalance]]=1,"Bad",IF(HR_Data[[#This Row],[WorkLifeBalance]]=2,"Good",IF(HR_Data[[#This Row],[WorkLifeBalance]]=3,"Better","Best")))</f>
        <v>Best</v>
      </c>
    </row>
    <row r="564" spans="1:42" x14ac:dyDescent="0.3">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c r="AJ564">
        <f>IF(HR_Data[[#This Row],[Attrition]]="Yes",1,0)</f>
        <v>1</v>
      </c>
      <c r="AK564">
        <f>IF(HR_Data[[#This Row],[Attrition]]="No",1,0)</f>
        <v>0</v>
      </c>
      <c r="AL564" t="str">
        <f>IF(HR_Data[[#This Row],[Age]]&lt;25,"Under 25",IF(HR_Data[[#This Row],[Age]]&lt;=34,"25-34",IF(HR_Data[[#This Row],[Age]]&lt;=44,"35-44",IF(HR_Data[[#This Row],[Age]]&lt;=54,"45-54","55+"))))</f>
        <v>25-34</v>
      </c>
      <c r="AM564" s="1" t="str">
        <f>IF(HR_Data[[#This Row],[MonthlyIncome]]&lt;3000,"Low Salary",IF(HR_Data[[#This Row],[MonthlyIncome]]&lt;=7000,"Medium Salary","High Salary"))</f>
        <v>Low Salary</v>
      </c>
      <c r="AN564" s="1" t="str">
        <f>IF(HR_Data[[#This Row],[YearsAtCompany]]&lt;2,"0-1 Years",IF(HR_Data[[#This Row],[YearsAtCompany]]&lt;=5,"2-5 Years",IF(HR_Data[[#This Row],[YearsAtCompany]]&lt;=10,"6-10 Years","10+ Years")))</f>
        <v>6-10 Years</v>
      </c>
      <c r="AO564" s="1" t="str">
        <f>IF(HR_Data[[#This Row],[JobSatisfaction]]=1,"Low",IF(HR_Data[[#This Row],[JobSatisfaction]]=2,"Medium",IF(HR_Data[[#This Row],[JobSatisfaction]]=3,"High","Very High")))</f>
        <v>Very High</v>
      </c>
      <c r="AP564" s="1" t="str">
        <f>IF(HR_Data[[#This Row],[WorkLifeBalance]]=1,"Bad",IF(HR_Data[[#This Row],[WorkLifeBalance]]=2,"Good",IF(HR_Data[[#This Row],[WorkLifeBalance]]=3,"Better","Best")))</f>
        <v>Good</v>
      </c>
    </row>
    <row r="565" spans="1:42" x14ac:dyDescent="0.3">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c r="AJ565">
        <f>IF(HR_Data[[#This Row],[Attrition]]="Yes",1,0)</f>
        <v>0</v>
      </c>
      <c r="AK565">
        <f>IF(HR_Data[[#This Row],[Attrition]]="No",1,0)</f>
        <v>1</v>
      </c>
      <c r="AL565" t="str">
        <f>IF(HR_Data[[#This Row],[Age]]&lt;25,"Under 25",IF(HR_Data[[#This Row],[Age]]&lt;=34,"25-34",IF(HR_Data[[#This Row],[Age]]&lt;=44,"35-44",IF(HR_Data[[#This Row],[Age]]&lt;=54,"45-54","55+"))))</f>
        <v>25-34</v>
      </c>
      <c r="AM565" s="1" t="str">
        <f>IF(HR_Data[[#This Row],[MonthlyIncome]]&lt;3000,"Low Salary",IF(HR_Data[[#This Row],[MonthlyIncome]]&lt;=7000,"Medium Salary","High Salary"))</f>
        <v>Medium Salary</v>
      </c>
      <c r="AN565" s="1" t="str">
        <f>IF(HR_Data[[#This Row],[YearsAtCompany]]&lt;2,"0-1 Years",IF(HR_Data[[#This Row],[YearsAtCompany]]&lt;=5,"2-5 Years",IF(HR_Data[[#This Row],[YearsAtCompany]]&lt;=10,"6-10 Years","10+ Years")))</f>
        <v>6-10 Years</v>
      </c>
      <c r="AO565" s="1" t="str">
        <f>IF(HR_Data[[#This Row],[JobSatisfaction]]=1,"Low",IF(HR_Data[[#This Row],[JobSatisfaction]]=2,"Medium",IF(HR_Data[[#This Row],[JobSatisfaction]]=3,"High","Very High")))</f>
        <v>Very High</v>
      </c>
      <c r="AP565" s="1" t="str">
        <f>IF(HR_Data[[#This Row],[WorkLifeBalance]]=1,"Bad",IF(HR_Data[[#This Row],[WorkLifeBalance]]=2,"Good",IF(HR_Data[[#This Row],[WorkLifeBalance]]=3,"Better","Best")))</f>
        <v>Good</v>
      </c>
    </row>
    <row r="566" spans="1:42" x14ac:dyDescent="0.3">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c r="AJ566">
        <f>IF(HR_Data[[#This Row],[Attrition]]="Yes",1,0)</f>
        <v>0</v>
      </c>
      <c r="AK566">
        <f>IF(HR_Data[[#This Row],[Attrition]]="No",1,0)</f>
        <v>1</v>
      </c>
      <c r="AL566" t="str">
        <f>IF(HR_Data[[#This Row],[Age]]&lt;25,"Under 25",IF(HR_Data[[#This Row],[Age]]&lt;=34,"25-34",IF(HR_Data[[#This Row],[Age]]&lt;=44,"35-44",IF(HR_Data[[#This Row],[Age]]&lt;=54,"45-54","55+"))))</f>
        <v>45-54</v>
      </c>
      <c r="AM566" s="1" t="str">
        <f>IF(HR_Data[[#This Row],[MonthlyIncome]]&lt;3000,"Low Salary",IF(HR_Data[[#This Row],[MonthlyIncome]]&lt;=7000,"Medium Salary","High Salary"))</f>
        <v>Medium Salary</v>
      </c>
      <c r="AN566" s="1" t="str">
        <f>IF(HR_Data[[#This Row],[YearsAtCompany]]&lt;2,"0-1 Years",IF(HR_Data[[#This Row],[YearsAtCompany]]&lt;=5,"2-5 Years",IF(HR_Data[[#This Row],[YearsAtCompany]]&lt;=10,"6-10 Years","10+ Years")))</f>
        <v>6-10 Years</v>
      </c>
      <c r="AO566" s="1" t="str">
        <f>IF(HR_Data[[#This Row],[JobSatisfaction]]=1,"Low",IF(HR_Data[[#This Row],[JobSatisfaction]]=2,"Medium",IF(HR_Data[[#This Row],[JobSatisfaction]]=3,"High","Very High")))</f>
        <v>High</v>
      </c>
      <c r="AP566" s="1" t="str">
        <f>IF(HR_Data[[#This Row],[WorkLifeBalance]]=1,"Bad",IF(HR_Data[[#This Row],[WorkLifeBalance]]=2,"Good",IF(HR_Data[[#This Row],[WorkLifeBalance]]=3,"Better","Best")))</f>
        <v>Better</v>
      </c>
    </row>
    <row r="567" spans="1:42" x14ac:dyDescent="0.3">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c r="AJ567">
        <f>IF(HR_Data[[#This Row],[Attrition]]="Yes",1,0)</f>
        <v>0</v>
      </c>
      <c r="AK567">
        <f>IF(HR_Data[[#This Row],[Attrition]]="No",1,0)</f>
        <v>1</v>
      </c>
      <c r="AL567" t="str">
        <f>IF(HR_Data[[#This Row],[Age]]&lt;25,"Under 25",IF(HR_Data[[#This Row],[Age]]&lt;=34,"25-34",IF(HR_Data[[#This Row],[Age]]&lt;=44,"35-44",IF(HR_Data[[#This Row],[Age]]&lt;=54,"45-54","55+"))))</f>
        <v>Under 25</v>
      </c>
      <c r="AM567" s="1" t="str">
        <f>IF(HR_Data[[#This Row],[MonthlyIncome]]&lt;3000,"Low Salary",IF(HR_Data[[#This Row],[MonthlyIncome]]&lt;=7000,"Medium Salary","High Salary"))</f>
        <v>Medium Salary</v>
      </c>
      <c r="AN567" s="1" t="str">
        <f>IF(HR_Data[[#This Row],[YearsAtCompany]]&lt;2,"0-1 Years",IF(HR_Data[[#This Row],[YearsAtCompany]]&lt;=5,"2-5 Years",IF(HR_Data[[#This Row],[YearsAtCompany]]&lt;=10,"6-10 Years","10+ Years")))</f>
        <v>2-5 Years</v>
      </c>
      <c r="AO567" s="1" t="str">
        <f>IF(HR_Data[[#This Row],[JobSatisfaction]]=1,"Low",IF(HR_Data[[#This Row],[JobSatisfaction]]=2,"Medium",IF(HR_Data[[#This Row],[JobSatisfaction]]=3,"High","Very High")))</f>
        <v>High</v>
      </c>
      <c r="AP567" s="1" t="str">
        <f>IF(HR_Data[[#This Row],[WorkLifeBalance]]=1,"Bad",IF(HR_Data[[#This Row],[WorkLifeBalance]]=2,"Good",IF(HR_Data[[#This Row],[WorkLifeBalance]]=3,"Better","Best")))</f>
        <v>Better</v>
      </c>
    </row>
    <row r="568" spans="1:42" x14ac:dyDescent="0.3">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c r="AJ568">
        <f>IF(HR_Data[[#This Row],[Attrition]]="Yes",1,0)</f>
        <v>1</v>
      </c>
      <c r="AK568">
        <f>IF(HR_Data[[#This Row],[Attrition]]="No",1,0)</f>
        <v>0</v>
      </c>
      <c r="AL568" t="str">
        <f>IF(HR_Data[[#This Row],[Age]]&lt;25,"Under 25",IF(HR_Data[[#This Row],[Age]]&lt;=34,"25-34",IF(HR_Data[[#This Row],[Age]]&lt;=44,"35-44",IF(HR_Data[[#This Row],[Age]]&lt;=54,"45-54","55+"))))</f>
        <v>45-54</v>
      </c>
      <c r="AM568" s="1" t="str">
        <f>IF(HR_Data[[#This Row],[MonthlyIncome]]&lt;3000,"Low Salary",IF(HR_Data[[#This Row],[MonthlyIncome]]&lt;=7000,"Medium Salary","High Salary"))</f>
        <v>Medium Salary</v>
      </c>
      <c r="AN568" s="1" t="str">
        <f>IF(HR_Data[[#This Row],[YearsAtCompany]]&lt;2,"0-1 Years",IF(HR_Data[[#This Row],[YearsAtCompany]]&lt;=5,"2-5 Years",IF(HR_Data[[#This Row],[YearsAtCompany]]&lt;=10,"6-10 Years","10+ Years")))</f>
        <v>2-5 Years</v>
      </c>
      <c r="AO568" s="1" t="str">
        <f>IF(HR_Data[[#This Row],[JobSatisfaction]]=1,"Low",IF(HR_Data[[#This Row],[JobSatisfaction]]=2,"Medium",IF(HR_Data[[#This Row],[JobSatisfaction]]=3,"High","Very High")))</f>
        <v>High</v>
      </c>
      <c r="AP568" s="1" t="str">
        <f>IF(HR_Data[[#This Row],[WorkLifeBalance]]=1,"Bad",IF(HR_Data[[#This Row],[WorkLifeBalance]]=2,"Good",IF(HR_Data[[#This Row],[WorkLifeBalance]]=3,"Better","Best")))</f>
        <v>Better</v>
      </c>
    </row>
    <row r="569" spans="1:42" x14ac:dyDescent="0.3">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c r="AJ569">
        <f>IF(HR_Data[[#This Row],[Attrition]]="Yes",1,0)</f>
        <v>0</v>
      </c>
      <c r="AK569">
        <f>IF(HR_Data[[#This Row],[Attrition]]="No",1,0)</f>
        <v>1</v>
      </c>
      <c r="AL569" t="str">
        <f>IF(HR_Data[[#This Row],[Age]]&lt;25,"Under 25",IF(HR_Data[[#This Row],[Age]]&lt;=34,"25-34",IF(HR_Data[[#This Row],[Age]]&lt;=44,"35-44",IF(HR_Data[[#This Row],[Age]]&lt;=54,"45-54","55+"))))</f>
        <v>25-34</v>
      </c>
      <c r="AM569" s="1" t="str">
        <f>IF(HR_Data[[#This Row],[MonthlyIncome]]&lt;3000,"Low Salary",IF(HR_Data[[#This Row],[MonthlyIncome]]&lt;=7000,"Medium Salary","High Salary"))</f>
        <v>Medium Salary</v>
      </c>
      <c r="AN569" s="1" t="str">
        <f>IF(HR_Data[[#This Row],[YearsAtCompany]]&lt;2,"0-1 Years",IF(HR_Data[[#This Row],[YearsAtCompany]]&lt;=5,"2-5 Years",IF(HR_Data[[#This Row],[YearsAtCompany]]&lt;=10,"6-10 Years","10+ Years")))</f>
        <v>6-10 Years</v>
      </c>
      <c r="AO569" s="1" t="str">
        <f>IF(HR_Data[[#This Row],[JobSatisfaction]]=1,"Low",IF(HR_Data[[#This Row],[JobSatisfaction]]=2,"Medium",IF(HR_Data[[#This Row],[JobSatisfaction]]=3,"High","Very High")))</f>
        <v>Very High</v>
      </c>
      <c r="AP569" s="1" t="str">
        <f>IF(HR_Data[[#This Row],[WorkLifeBalance]]=1,"Bad",IF(HR_Data[[#This Row],[WorkLifeBalance]]=2,"Good",IF(HR_Data[[#This Row],[WorkLifeBalance]]=3,"Better","Best")))</f>
        <v>Better</v>
      </c>
    </row>
    <row r="570" spans="1:42" x14ac:dyDescent="0.3">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c r="AJ570">
        <f>IF(HR_Data[[#This Row],[Attrition]]="Yes",1,0)</f>
        <v>1</v>
      </c>
      <c r="AK570">
        <f>IF(HR_Data[[#This Row],[Attrition]]="No",1,0)</f>
        <v>0</v>
      </c>
      <c r="AL570" t="str">
        <f>IF(HR_Data[[#This Row],[Age]]&lt;25,"Under 25",IF(HR_Data[[#This Row],[Age]]&lt;=34,"25-34",IF(HR_Data[[#This Row],[Age]]&lt;=44,"35-44",IF(HR_Data[[#This Row],[Age]]&lt;=54,"45-54","55+"))))</f>
        <v>55+</v>
      </c>
      <c r="AM570" s="1" t="str">
        <f>IF(HR_Data[[#This Row],[MonthlyIncome]]&lt;3000,"Low Salary",IF(HR_Data[[#This Row],[MonthlyIncome]]&lt;=7000,"Medium Salary","High Salary"))</f>
        <v>High Salary</v>
      </c>
      <c r="AN570" s="1" t="str">
        <f>IF(HR_Data[[#This Row],[YearsAtCompany]]&lt;2,"0-1 Years",IF(HR_Data[[#This Row],[YearsAtCompany]]&lt;=5,"2-5 Years",IF(HR_Data[[#This Row],[YearsAtCompany]]&lt;=10,"6-10 Years","10+ Years")))</f>
        <v>2-5 Years</v>
      </c>
      <c r="AO570" s="1" t="str">
        <f>IF(HR_Data[[#This Row],[JobSatisfaction]]=1,"Low",IF(HR_Data[[#This Row],[JobSatisfaction]]=2,"Medium",IF(HR_Data[[#This Row],[JobSatisfaction]]=3,"High","Very High")))</f>
        <v>Low</v>
      </c>
      <c r="AP570" s="1" t="str">
        <f>IF(HR_Data[[#This Row],[WorkLifeBalance]]=1,"Bad",IF(HR_Data[[#This Row],[WorkLifeBalance]]=2,"Good",IF(HR_Data[[#This Row],[WorkLifeBalance]]=3,"Better","Best")))</f>
        <v>Better</v>
      </c>
    </row>
    <row r="571" spans="1:42" x14ac:dyDescent="0.3">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c r="AJ571">
        <f>IF(HR_Data[[#This Row],[Attrition]]="Yes",1,0)</f>
        <v>0</v>
      </c>
      <c r="AK571">
        <f>IF(HR_Data[[#This Row],[Attrition]]="No",1,0)</f>
        <v>1</v>
      </c>
      <c r="AL571" t="str">
        <f>IF(HR_Data[[#This Row],[Age]]&lt;25,"Under 25",IF(HR_Data[[#This Row],[Age]]&lt;=34,"25-34",IF(HR_Data[[#This Row],[Age]]&lt;=44,"35-44",IF(HR_Data[[#This Row],[Age]]&lt;=54,"45-54","55+"))))</f>
        <v>35-44</v>
      </c>
      <c r="AM571" s="1" t="str">
        <f>IF(HR_Data[[#This Row],[MonthlyIncome]]&lt;3000,"Low Salary",IF(HR_Data[[#This Row],[MonthlyIncome]]&lt;=7000,"Medium Salary","High Salary"))</f>
        <v>High Salary</v>
      </c>
      <c r="AN571" s="1" t="str">
        <f>IF(HR_Data[[#This Row],[YearsAtCompany]]&lt;2,"0-1 Years",IF(HR_Data[[#This Row],[YearsAtCompany]]&lt;=5,"2-5 Years",IF(HR_Data[[#This Row],[YearsAtCompany]]&lt;=10,"6-10 Years","10+ Years")))</f>
        <v>6-10 Years</v>
      </c>
      <c r="AO571" s="1" t="str">
        <f>IF(HR_Data[[#This Row],[JobSatisfaction]]=1,"Low",IF(HR_Data[[#This Row],[JobSatisfaction]]=2,"Medium",IF(HR_Data[[#This Row],[JobSatisfaction]]=3,"High","Very High")))</f>
        <v>Low</v>
      </c>
      <c r="AP571" s="1" t="str">
        <f>IF(HR_Data[[#This Row],[WorkLifeBalance]]=1,"Bad",IF(HR_Data[[#This Row],[WorkLifeBalance]]=2,"Good",IF(HR_Data[[#This Row],[WorkLifeBalance]]=3,"Better","Best")))</f>
        <v>Better</v>
      </c>
    </row>
    <row r="572" spans="1:42" x14ac:dyDescent="0.3">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c r="AJ572">
        <f>IF(HR_Data[[#This Row],[Attrition]]="Yes",1,0)</f>
        <v>0</v>
      </c>
      <c r="AK572">
        <f>IF(HR_Data[[#This Row],[Attrition]]="No",1,0)</f>
        <v>1</v>
      </c>
      <c r="AL572" t="str">
        <f>IF(HR_Data[[#This Row],[Age]]&lt;25,"Under 25",IF(HR_Data[[#This Row],[Age]]&lt;=34,"25-34",IF(HR_Data[[#This Row],[Age]]&lt;=44,"35-44",IF(HR_Data[[#This Row],[Age]]&lt;=54,"45-54","55+"))))</f>
        <v>45-54</v>
      </c>
      <c r="AM572" s="1" t="str">
        <f>IF(HR_Data[[#This Row],[MonthlyIncome]]&lt;3000,"Low Salary",IF(HR_Data[[#This Row],[MonthlyIncome]]&lt;=7000,"Medium Salary","High Salary"))</f>
        <v>Medium Salary</v>
      </c>
      <c r="AN572" s="1" t="str">
        <f>IF(HR_Data[[#This Row],[YearsAtCompany]]&lt;2,"0-1 Years",IF(HR_Data[[#This Row],[YearsAtCompany]]&lt;=5,"2-5 Years",IF(HR_Data[[#This Row],[YearsAtCompany]]&lt;=10,"6-10 Years","10+ Years")))</f>
        <v>2-5 Years</v>
      </c>
      <c r="AO572" s="1" t="str">
        <f>IF(HR_Data[[#This Row],[JobSatisfaction]]=1,"Low",IF(HR_Data[[#This Row],[JobSatisfaction]]=2,"Medium",IF(HR_Data[[#This Row],[JobSatisfaction]]=3,"High","Very High")))</f>
        <v>Very High</v>
      </c>
      <c r="AP572" s="1" t="str">
        <f>IF(HR_Data[[#This Row],[WorkLifeBalance]]=1,"Bad",IF(HR_Data[[#This Row],[WorkLifeBalance]]=2,"Good",IF(HR_Data[[#This Row],[WorkLifeBalance]]=3,"Better","Best")))</f>
        <v>Better</v>
      </c>
    </row>
    <row r="573" spans="1:42" x14ac:dyDescent="0.3">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c r="AJ573">
        <f>IF(HR_Data[[#This Row],[Attrition]]="Yes",1,0)</f>
        <v>0</v>
      </c>
      <c r="AK573">
        <f>IF(HR_Data[[#This Row],[Attrition]]="No",1,0)</f>
        <v>1</v>
      </c>
      <c r="AL573" t="str">
        <f>IF(HR_Data[[#This Row],[Age]]&lt;25,"Under 25",IF(HR_Data[[#This Row],[Age]]&lt;=34,"25-34",IF(HR_Data[[#This Row],[Age]]&lt;=44,"35-44",IF(HR_Data[[#This Row],[Age]]&lt;=54,"45-54","55+"))))</f>
        <v>25-34</v>
      </c>
      <c r="AM573" s="1" t="str">
        <f>IF(HR_Data[[#This Row],[MonthlyIncome]]&lt;3000,"Low Salary",IF(HR_Data[[#This Row],[MonthlyIncome]]&lt;=7000,"Medium Salary","High Salary"))</f>
        <v>Medium Salary</v>
      </c>
      <c r="AN573" s="1" t="str">
        <f>IF(HR_Data[[#This Row],[YearsAtCompany]]&lt;2,"0-1 Years",IF(HR_Data[[#This Row],[YearsAtCompany]]&lt;=5,"2-5 Years",IF(HR_Data[[#This Row],[YearsAtCompany]]&lt;=10,"6-10 Years","10+ Years")))</f>
        <v>2-5 Years</v>
      </c>
      <c r="AO573" s="1" t="str">
        <f>IF(HR_Data[[#This Row],[JobSatisfaction]]=1,"Low",IF(HR_Data[[#This Row],[JobSatisfaction]]=2,"Medium",IF(HR_Data[[#This Row],[JobSatisfaction]]=3,"High","Very High")))</f>
        <v>Very High</v>
      </c>
      <c r="AP573" s="1" t="str">
        <f>IF(HR_Data[[#This Row],[WorkLifeBalance]]=1,"Bad",IF(HR_Data[[#This Row],[WorkLifeBalance]]=2,"Good",IF(HR_Data[[#This Row],[WorkLifeBalance]]=3,"Better","Best")))</f>
        <v>Better</v>
      </c>
    </row>
    <row r="574" spans="1:42" x14ac:dyDescent="0.3">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c r="AJ574">
        <f>IF(HR_Data[[#This Row],[Attrition]]="Yes",1,0)</f>
        <v>0</v>
      </c>
      <c r="AK574">
        <f>IF(HR_Data[[#This Row],[Attrition]]="No",1,0)</f>
        <v>1</v>
      </c>
      <c r="AL574" t="str">
        <f>IF(HR_Data[[#This Row],[Age]]&lt;25,"Under 25",IF(HR_Data[[#This Row],[Age]]&lt;=34,"25-34",IF(HR_Data[[#This Row],[Age]]&lt;=44,"35-44",IF(HR_Data[[#This Row],[Age]]&lt;=54,"45-54","55+"))))</f>
        <v>25-34</v>
      </c>
      <c r="AM574" s="1" t="str">
        <f>IF(HR_Data[[#This Row],[MonthlyIncome]]&lt;3000,"Low Salary",IF(HR_Data[[#This Row],[MonthlyIncome]]&lt;=7000,"Medium Salary","High Salary"))</f>
        <v>Medium Salary</v>
      </c>
      <c r="AN574" s="1" t="str">
        <f>IF(HR_Data[[#This Row],[YearsAtCompany]]&lt;2,"0-1 Years",IF(HR_Data[[#This Row],[YearsAtCompany]]&lt;=5,"2-5 Years",IF(HR_Data[[#This Row],[YearsAtCompany]]&lt;=10,"6-10 Years","10+ Years")))</f>
        <v>6-10 Years</v>
      </c>
      <c r="AO574" s="1" t="str">
        <f>IF(HR_Data[[#This Row],[JobSatisfaction]]=1,"Low",IF(HR_Data[[#This Row],[JobSatisfaction]]=2,"Medium",IF(HR_Data[[#This Row],[JobSatisfaction]]=3,"High","Very High")))</f>
        <v>High</v>
      </c>
      <c r="AP574" s="1" t="str">
        <f>IF(HR_Data[[#This Row],[WorkLifeBalance]]=1,"Bad",IF(HR_Data[[#This Row],[WorkLifeBalance]]=2,"Good",IF(HR_Data[[#This Row],[WorkLifeBalance]]=3,"Better","Best")))</f>
        <v>Good</v>
      </c>
    </row>
    <row r="575" spans="1:42" x14ac:dyDescent="0.3">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c r="AJ575">
        <f>IF(HR_Data[[#This Row],[Attrition]]="Yes",1,0)</f>
        <v>1</v>
      </c>
      <c r="AK575">
        <f>IF(HR_Data[[#This Row],[Attrition]]="No",1,0)</f>
        <v>0</v>
      </c>
      <c r="AL575" t="str">
        <f>IF(HR_Data[[#This Row],[Age]]&lt;25,"Under 25",IF(HR_Data[[#This Row],[Age]]&lt;=34,"25-34",IF(HR_Data[[#This Row],[Age]]&lt;=44,"35-44",IF(HR_Data[[#This Row],[Age]]&lt;=54,"45-54","55+"))))</f>
        <v>25-34</v>
      </c>
      <c r="AM575" s="1" t="str">
        <f>IF(HR_Data[[#This Row],[MonthlyIncome]]&lt;3000,"Low Salary",IF(HR_Data[[#This Row],[MonthlyIncome]]&lt;=7000,"Medium Salary","High Salary"))</f>
        <v>Medium Salary</v>
      </c>
      <c r="AN575" s="1" t="str">
        <f>IF(HR_Data[[#This Row],[YearsAtCompany]]&lt;2,"0-1 Years",IF(HR_Data[[#This Row],[YearsAtCompany]]&lt;=5,"2-5 Years",IF(HR_Data[[#This Row],[YearsAtCompany]]&lt;=10,"6-10 Years","10+ Years")))</f>
        <v>2-5 Years</v>
      </c>
      <c r="AO575" s="1" t="str">
        <f>IF(HR_Data[[#This Row],[JobSatisfaction]]=1,"Low",IF(HR_Data[[#This Row],[JobSatisfaction]]=2,"Medium",IF(HR_Data[[#This Row],[JobSatisfaction]]=3,"High","Very High")))</f>
        <v>Low</v>
      </c>
      <c r="AP575" s="1" t="str">
        <f>IF(HR_Data[[#This Row],[WorkLifeBalance]]=1,"Bad",IF(HR_Data[[#This Row],[WorkLifeBalance]]=2,"Good",IF(HR_Data[[#This Row],[WorkLifeBalance]]=3,"Better","Best")))</f>
        <v>Good</v>
      </c>
    </row>
    <row r="576" spans="1:42" x14ac:dyDescent="0.3">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c r="AJ576">
        <f>IF(HR_Data[[#This Row],[Attrition]]="Yes",1,0)</f>
        <v>0</v>
      </c>
      <c r="AK576">
        <f>IF(HR_Data[[#This Row],[Attrition]]="No",1,0)</f>
        <v>1</v>
      </c>
      <c r="AL576" t="str">
        <f>IF(HR_Data[[#This Row],[Age]]&lt;25,"Under 25",IF(HR_Data[[#This Row],[Age]]&lt;=34,"25-34",IF(HR_Data[[#This Row],[Age]]&lt;=44,"35-44",IF(HR_Data[[#This Row],[Age]]&lt;=54,"45-54","55+"))))</f>
        <v>25-34</v>
      </c>
      <c r="AM576" s="1" t="str">
        <f>IF(HR_Data[[#This Row],[MonthlyIncome]]&lt;3000,"Low Salary",IF(HR_Data[[#This Row],[MonthlyIncome]]&lt;=7000,"Medium Salary","High Salary"))</f>
        <v>Medium Salary</v>
      </c>
      <c r="AN576" s="1" t="str">
        <f>IF(HR_Data[[#This Row],[YearsAtCompany]]&lt;2,"0-1 Years",IF(HR_Data[[#This Row],[YearsAtCompany]]&lt;=5,"2-5 Years",IF(HR_Data[[#This Row],[YearsAtCompany]]&lt;=10,"6-10 Years","10+ Years")))</f>
        <v>2-5 Years</v>
      </c>
      <c r="AO576" s="1" t="str">
        <f>IF(HR_Data[[#This Row],[JobSatisfaction]]=1,"Low",IF(HR_Data[[#This Row],[JobSatisfaction]]=2,"Medium",IF(HR_Data[[#This Row],[JobSatisfaction]]=3,"High","Very High")))</f>
        <v>Very High</v>
      </c>
      <c r="AP576" s="1" t="str">
        <f>IF(HR_Data[[#This Row],[WorkLifeBalance]]=1,"Bad",IF(HR_Data[[#This Row],[WorkLifeBalance]]=2,"Good",IF(HR_Data[[#This Row],[WorkLifeBalance]]=3,"Better","Best")))</f>
        <v>Better</v>
      </c>
    </row>
    <row r="577" spans="1:42" x14ac:dyDescent="0.3">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c r="AJ577">
        <f>IF(HR_Data[[#This Row],[Attrition]]="Yes",1,0)</f>
        <v>0</v>
      </c>
      <c r="AK577">
        <f>IF(HR_Data[[#This Row],[Attrition]]="No",1,0)</f>
        <v>1</v>
      </c>
      <c r="AL577" t="str">
        <f>IF(HR_Data[[#This Row],[Age]]&lt;25,"Under 25",IF(HR_Data[[#This Row],[Age]]&lt;=34,"25-34",IF(HR_Data[[#This Row],[Age]]&lt;=44,"35-44",IF(HR_Data[[#This Row],[Age]]&lt;=54,"45-54","55+"))))</f>
        <v>45-54</v>
      </c>
      <c r="AM577" s="1" t="str">
        <f>IF(HR_Data[[#This Row],[MonthlyIncome]]&lt;3000,"Low Salary",IF(HR_Data[[#This Row],[MonthlyIncome]]&lt;=7000,"Medium Salary","High Salary"))</f>
        <v>Medium Salary</v>
      </c>
      <c r="AN577" s="1" t="str">
        <f>IF(HR_Data[[#This Row],[YearsAtCompany]]&lt;2,"0-1 Years",IF(HR_Data[[#This Row],[YearsAtCompany]]&lt;=5,"2-5 Years",IF(HR_Data[[#This Row],[YearsAtCompany]]&lt;=10,"6-10 Years","10+ Years")))</f>
        <v>2-5 Years</v>
      </c>
      <c r="AO577" s="1" t="str">
        <f>IF(HR_Data[[#This Row],[JobSatisfaction]]=1,"Low",IF(HR_Data[[#This Row],[JobSatisfaction]]=2,"Medium",IF(HR_Data[[#This Row],[JobSatisfaction]]=3,"High","Very High")))</f>
        <v>Low</v>
      </c>
      <c r="AP577" s="1" t="str">
        <f>IF(HR_Data[[#This Row],[WorkLifeBalance]]=1,"Bad",IF(HR_Data[[#This Row],[WorkLifeBalance]]=2,"Good",IF(HR_Data[[#This Row],[WorkLifeBalance]]=3,"Better","Best")))</f>
        <v>Better</v>
      </c>
    </row>
    <row r="578" spans="1:42" x14ac:dyDescent="0.3">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c r="AJ578">
        <f>IF(HR_Data[[#This Row],[Attrition]]="Yes",1,0)</f>
        <v>0</v>
      </c>
      <c r="AK578">
        <f>IF(HR_Data[[#This Row],[Attrition]]="No",1,0)</f>
        <v>1</v>
      </c>
      <c r="AL578" t="str">
        <f>IF(HR_Data[[#This Row],[Age]]&lt;25,"Under 25",IF(HR_Data[[#This Row],[Age]]&lt;=34,"25-34",IF(HR_Data[[#This Row],[Age]]&lt;=44,"35-44",IF(HR_Data[[#This Row],[Age]]&lt;=54,"45-54","55+"))))</f>
        <v>25-34</v>
      </c>
      <c r="AM578" s="1" t="str">
        <f>IF(HR_Data[[#This Row],[MonthlyIncome]]&lt;3000,"Low Salary",IF(HR_Data[[#This Row],[MonthlyIncome]]&lt;=7000,"Medium Salary","High Salary"))</f>
        <v>Medium Salary</v>
      </c>
      <c r="AN578" s="1" t="str">
        <f>IF(HR_Data[[#This Row],[YearsAtCompany]]&lt;2,"0-1 Years",IF(HR_Data[[#This Row],[YearsAtCompany]]&lt;=5,"2-5 Years",IF(HR_Data[[#This Row],[YearsAtCompany]]&lt;=10,"6-10 Years","10+ Years")))</f>
        <v>2-5 Years</v>
      </c>
      <c r="AO578" s="1" t="str">
        <f>IF(HR_Data[[#This Row],[JobSatisfaction]]=1,"Low",IF(HR_Data[[#This Row],[JobSatisfaction]]=2,"Medium",IF(HR_Data[[#This Row],[JobSatisfaction]]=3,"High","Very High")))</f>
        <v>Very High</v>
      </c>
      <c r="AP578" s="1" t="str">
        <f>IF(HR_Data[[#This Row],[WorkLifeBalance]]=1,"Bad",IF(HR_Data[[#This Row],[WorkLifeBalance]]=2,"Good",IF(HR_Data[[#This Row],[WorkLifeBalance]]=3,"Better","Best")))</f>
        <v>Better</v>
      </c>
    </row>
    <row r="579" spans="1:42" x14ac:dyDescent="0.3">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c r="AJ579">
        <f>IF(HR_Data[[#This Row],[Attrition]]="Yes",1,0)</f>
        <v>0</v>
      </c>
      <c r="AK579">
        <f>IF(HR_Data[[#This Row],[Attrition]]="No",1,0)</f>
        <v>1</v>
      </c>
      <c r="AL579" t="str">
        <f>IF(HR_Data[[#This Row],[Age]]&lt;25,"Under 25",IF(HR_Data[[#This Row],[Age]]&lt;=34,"25-34",IF(HR_Data[[#This Row],[Age]]&lt;=44,"35-44",IF(HR_Data[[#This Row],[Age]]&lt;=54,"45-54","55+"))))</f>
        <v>35-44</v>
      </c>
      <c r="AM579" s="1" t="str">
        <f>IF(HR_Data[[#This Row],[MonthlyIncome]]&lt;3000,"Low Salary",IF(HR_Data[[#This Row],[MonthlyIncome]]&lt;=7000,"Medium Salary","High Salary"))</f>
        <v>Low Salary</v>
      </c>
      <c r="AN579" s="1" t="str">
        <f>IF(HR_Data[[#This Row],[YearsAtCompany]]&lt;2,"0-1 Years",IF(HR_Data[[#This Row],[YearsAtCompany]]&lt;=5,"2-5 Years",IF(HR_Data[[#This Row],[YearsAtCompany]]&lt;=10,"6-10 Years","10+ Years")))</f>
        <v>2-5 Years</v>
      </c>
      <c r="AO579" s="1" t="str">
        <f>IF(HR_Data[[#This Row],[JobSatisfaction]]=1,"Low",IF(HR_Data[[#This Row],[JobSatisfaction]]=2,"Medium",IF(HR_Data[[#This Row],[JobSatisfaction]]=3,"High","Very High")))</f>
        <v>Low</v>
      </c>
      <c r="AP579" s="1" t="str">
        <f>IF(HR_Data[[#This Row],[WorkLifeBalance]]=1,"Bad",IF(HR_Data[[#This Row],[WorkLifeBalance]]=2,"Good",IF(HR_Data[[#This Row],[WorkLifeBalance]]=3,"Better","Best")))</f>
        <v>Good</v>
      </c>
    </row>
    <row r="580" spans="1:42" x14ac:dyDescent="0.3">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c r="AJ580">
        <f>IF(HR_Data[[#This Row],[Attrition]]="Yes",1,0)</f>
        <v>0</v>
      </c>
      <c r="AK580">
        <f>IF(HR_Data[[#This Row],[Attrition]]="No",1,0)</f>
        <v>1</v>
      </c>
      <c r="AL580" t="str">
        <f>IF(HR_Data[[#This Row],[Age]]&lt;25,"Under 25",IF(HR_Data[[#This Row],[Age]]&lt;=34,"25-34",IF(HR_Data[[#This Row],[Age]]&lt;=44,"35-44",IF(HR_Data[[#This Row],[Age]]&lt;=54,"45-54","55+"))))</f>
        <v>35-44</v>
      </c>
      <c r="AM580" s="1" t="str">
        <f>IF(HR_Data[[#This Row],[MonthlyIncome]]&lt;3000,"Low Salary",IF(HR_Data[[#This Row],[MonthlyIncome]]&lt;=7000,"Medium Salary","High Salary"))</f>
        <v>Medium Salary</v>
      </c>
      <c r="AN580" s="1" t="str">
        <f>IF(HR_Data[[#This Row],[YearsAtCompany]]&lt;2,"0-1 Years",IF(HR_Data[[#This Row],[YearsAtCompany]]&lt;=5,"2-5 Years",IF(HR_Data[[#This Row],[YearsAtCompany]]&lt;=10,"6-10 Years","10+ Years")))</f>
        <v>10+ Years</v>
      </c>
      <c r="AO580" s="1" t="str">
        <f>IF(HR_Data[[#This Row],[JobSatisfaction]]=1,"Low",IF(HR_Data[[#This Row],[JobSatisfaction]]=2,"Medium",IF(HR_Data[[#This Row],[JobSatisfaction]]=3,"High","Very High")))</f>
        <v>Low</v>
      </c>
      <c r="AP580" s="1" t="str">
        <f>IF(HR_Data[[#This Row],[WorkLifeBalance]]=1,"Bad",IF(HR_Data[[#This Row],[WorkLifeBalance]]=2,"Good",IF(HR_Data[[#This Row],[WorkLifeBalance]]=3,"Better","Best")))</f>
        <v>Better</v>
      </c>
    </row>
    <row r="581" spans="1:42" x14ac:dyDescent="0.3">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c r="AJ581">
        <f>IF(HR_Data[[#This Row],[Attrition]]="Yes",1,0)</f>
        <v>0</v>
      </c>
      <c r="AK581">
        <f>IF(HR_Data[[#This Row],[Attrition]]="No",1,0)</f>
        <v>1</v>
      </c>
      <c r="AL581" t="str">
        <f>IF(HR_Data[[#This Row],[Age]]&lt;25,"Under 25",IF(HR_Data[[#This Row],[Age]]&lt;=34,"25-34",IF(HR_Data[[#This Row],[Age]]&lt;=44,"35-44",IF(HR_Data[[#This Row],[Age]]&lt;=54,"45-54","55+"))))</f>
        <v>25-34</v>
      </c>
      <c r="AM581" s="1" t="str">
        <f>IF(HR_Data[[#This Row],[MonthlyIncome]]&lt;3000,"Low Salary",IF(HR_Data[[#This Row],[MonthlyIncome]]&lt;=7000,"Medium Salary","High Salary"))</f>
        <v>Medium Salary</v>
      </c>
      <c r="AN581" s="1" t="str">
        <f>IF(HR_Data[[#This Row],[YearsAtCompany]]&lt;2,"0-1 Years",IF(HR_Data[[#This Row],[YearsAtCompany]]&lt;=5,"2-5 Years",IF(HR_Data[[#This Row],[YearsAtCompany]]&lt;=10,"6-10 Years","10+ Years")))</f>
        <v>6-10 Years</v>
      </c>
      <c r="AO581" s="1" t="str">
        <f>IF(HR_Data[[#This Row],[JobSatisfaction]]=1,"Low",IF(HR_Data[[#This Row],[JobSatisfaction]]=2,"Medium",IF(HR_Data[[#This Row],[JobSatisfaction]]=3,"High","Very High")))</f>
        <v>Low</v>
      </c>
      <c r="AP581" s="1" t="str">
        <f>IF(HR_Data[[#This Row],[WorkLifeBalance]]=1,"Bad",IF(HR_Data[[#This Row],[WorkLifeBalance]]=2,"Good",IF(HR_Data[[#This Row],[WorkLifeBalance]]=3,"Better","Best")))</f>
        <v>Better</v>
      </c>
    </row>
    <row r="582" spans="1:42" x14ac:dyDescent="0.3">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c r="AJ582">
        <f>IF(HR_Data[[#This Row],[Attrition]]="Yes",1,0)</f>
        <v>0</v>
      </c>
      <c r="AK582">
        <f>IF(HR_Data[[#This Row],[Attrition]]="No",1,0)</f>
        <v>1</v>
      </c>
      <c r="AL582" t="str">
        <f>IF(HR_Data[[#This Row],[Age]]&lt;25,"Under 25",IF(HR_Data[[#This Row],[Age]]&lt;=34,"25-34",IF(HR_Data[[#This Row],[Age]]&lt;=44,"35-44",IF(HR_Data[[#This Row],[Age]]&lt;=54,"45-54","55+"))))</f>
        <v>35-44</v>
      </c>
      <c r="AM582" s="1" t="str">
        <f>IF(HR_Data[[#This Row],[MonthlyIncome]]&lt;3000,"Low Salary",IF(HR_Data[[#This Row],[MonthlyIncome]]&lt;=7000,"Medium Salary","High Salary"))</f>
        <v>Low Salary</v>
      </c>
      <c r="AN582" s="1" t="str">
        <f>IF(HR_Data[[#This Row],[YearsAtCompany]]&lt;2,"0-1 Years",IF(HR_Data[[#This Row],[YearsAtCompany]]&lt;=5,"2-5 Years",IF(HR_Data[[#This Row],[YearsAtCompany]]&lt;=10,"6-10 Years","10+ Years")))</f>
        <v>2-5 Years</v>
      </c>
      <c r="AO582" s="1" t="str">
        <f>IF(HR_Data[[#This Row],[JobSatisfaction]]=1,"Low",IF(HR_Data[[#This Row],[JobSatisfaction]]=2,"Medium",IF(HR_Data[[#This Row],[JobSatisfaction]]=3,"High","Very High")))</f>
        <v>Very High</v>
      </c>
      <c r="AP582" s="1" t="str">
        <f>IF(HR_Data[[#This Row],[WorkLifeBalance]]=1,"Bad",IF(HR_Data[[#This Row],[WorkLifeBalance]]=2,"Good",IF(HR_Data[[#This Row],[WorkLifeBalance]]=3,"Better","Best")))</f>
        <v>Good</v>
      </c>
    </row>
    <row r="583" spans="1:42" x14ac:dyDescent="0.3">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c r="AJ583">
        <f>IF(HR_Data[[#This Row],[Attrition]]="Yes",1,0)</f>
        <v>0</v>
      </c>
      <c r="AK583">
        <f>IF(HR_Data[[#This Row],[Attrition]]="No",1,0)</f>
        <v>1</v>
      </c>
      <c r="AL583" t="str">
        <f>IF(HR_Data[[#This Row],[Age]]&lt;25,"Under 25",IF(HR_Data[[#This Row],[Age]]&lt;=34,"25-34",IF(HR_Data[[#This Row],[Age]]&lt;=44,"35-44",IF(HR_Data[[#This Row],[Age]]&lt;=54,"45-54","55+"))))</f>
        <v>25-34</v>
      </c>
      <c r="AM583" s="1" t="str">
        <f>IF(HR_Data[[#This Row],[MonthlyIncome]]&lt;3000,"Low Salary",IF(HR_Data[[#This Row],[MonthlyIncome]]&lt;=7000,"Medium Salary","High Salary"))</f>
        <v>Medium Salary</v>
      </c>
      <c r="AN583" s="1" t="str">
        <f>IF(HR_Data[[#This Row],[YearsAtCompany]]&lt;2,"0-1 Years",IF(HR_Data[[#This Row],[YearsAtCompany]]&lt;=5,"2-5 Years",IF(HR_Data[[#This Row],[YearsAtCompany]]&lt;=10,"6-10 Years","10+ Years")))</f>
        <v>2-5 Years</v>
      </c>
      <c r="AO583" s="1" t="str">
        <f>IF(HR_Data[[#This Row],[JobSatisfaction]]=1,"Low",IF(HR_Data[[#This Row],[JobSatisfaction]]=2,"Medium",IF(HR_Data[[#This Row],[JobSatisfaction]]=3,"High","Very High")))</f>
        <v>High</v>
      </c>
      <c r="AP583" s="1" t="str">
        <f>IF(HR_Data[[#This Row],[WorkLifeBalance]]=1,"Bad",IF(HR_Data[[#This Row],[WorkLifeBalance]]=2,"Good",IF(HR_Data[[#This Row],[WorkLifeBalance]]=3,"Better","Best")))</f>
        <v>Better</v>
      </c>
    </row>
    <row r="584" spans="1:42" x14ac:dyDescent="0.3">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c r="AJ584">
        <f>IF(HR_Data[[#This Row],[Attrition]]="Yes",1,0)</f>
        <v>0</v>
      </c>
      <c r="AK584">
        <f>IF(HR_Data[[#This Row],[Attrition]]="No",1,0)</f>
        <v>1</v>
      </c>
      <c r="AL584" t="str">
        <f>IF(HR_Data[[#This Row],[Age]]&lt;25,"Under 25",IF(HR_Data[[#This Row],[Age]]&lt;=34,"25-34",IF(HR_Data[[#This Row],[Age]]&lt;=44,"35-44",IF(HR_Data[[#This Row],[Age]]&lt;=54,"45-54","55+"))))</f>
        <v>35-44</v>
      </c>
      <c r="AM584" s="1" t="str">
        <f>IF(HR_Data[[#This Row],[MonthlyIncome]]&lt;3000,"Low Salary",IF(HR_Data[[#This Row],[MonthlyIncome]]&lt;=7000,"Medium Salary","High Salary"))</f>
        <v>Medium Salary</v>
      </c>
      <c r="AN584" s="1" t="str">
        <f>IF(HR_Data[[#This Row],[YearsAtCompany]]&lt;2,"0-1 Years",IF(HR_Data[[#This Row],[YearsAtCompany]]&lt;=5,"2-5 Years",IF(HR_Data[[#This Row],[YearsAtCompany]]&lt;=10,"6-10 Years","10+ Years")))</f>
        <v>6-10 Years</v>
      </c>
      <c r="AO584" s="1" t="str">
        <f>IF(HR_Data[[#This Row],[JobSatisfaction]]=1,"Low",IF(HR_Data[[#This Row],[JobSatisfaction]]=2,"Medium",IF(HR_Data[[#This Row],[JobSatisfaction]]=3,"High","Very High")))</f>
        <v>Medium</v>
      </c>
      <c r="AP584" s="1" t="str">
        <f>IF(HR_Data[[#This Row],[WorkLifeBalance]]=1,"Bad",IF(HR_Data[[#This Row],[WorkLifeBalance]]=2,"Good",IF(HR_Data[[#This Row],[WorkLifeBalance]]=3,"Better","Best")))</f>
        <v>Better</v>
      </c>
    </row>
    <row r="585" spans="1:42" x14ac:dyDescent="0.3">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c r="AJ585">
        <f>IF(HR_Data[[#This Row],[Attrition]]="Yes",1,0)</f>
        <v>0</v>
      </c>
      <c r="AK585">
        <f>IF(HR_Data[[#This Row],[Attrition]]="No",1,0)</f>
        <v>1</v>
      </c>
      <c r="AL585" t="str">
        <f>IF(HR_Data[[#This Row],[Age]]&lt;25,"Under 25",IF(HR_Data[[#This Row],[Age]]&lt;=34,"25-34",IF(HR_Data[[#This Row],[Age]]&lt;=44,"35-44",IF(HR_Data[[#This Row],[Age]]&lt;=54,"45-54","55+"))))</f>
        <v>25-34</v>
      </c>
      <c r="AM585" s="1" t="str">
        <f>IF(HR_Data[[#This Row],[MonthlyIncome]]&lt;3000,"Low Salary",IF(HR_Data[[#This Row],[MonthlyIncome]]&lt;=7000,"Medium Salary","High Salary"))</f>
        <v>Medium Salary</v>
      </c>
      <c r="AN585" s="1" t="str">
        <f>IF(HR_Data[[#This Row],[YearsAtCompany]]&lt;2,"0-1 Years",IF(HR_Data[[#This Row],[YearsAtCompany]]&lt;=5,"2-5 Years",IF(HR_Data[[#This Row],[YearsAtCompany]]&lt;=10,"6-10 Years","10+ Years")))</f>
        <v>2-5 Years</v>
      </c>
      <c r="AO585" s="1" t="str">
        <f>IF(HR_Data[[#This Row],[JobSatisfaction]]=1,"Low",IF(HR_Data[[#This Row],[JobSatisfaction]]=2,"Medium",IF(HR_Data[[#This Row],[JobSatisfaction]]=3,"High","Very High")))</f>
        <v>Low</v>
      </c>
      <c r="AP585" s="1" t="str">
        <f>IF(HR_Data[[#This Row],[WorkLifeBalance]]=1,"Bad",IF(HR_Data[[#This Row],[WorkLifeBalance]]=2,"Good",IF(HR_Data[[#This Row],[WorkLifeBalance]]=3,"Better","Best")))</f>
        <v>Better</v>
      </c>
    </row>
    <row r="586" spans="1:42" x14ac:dyDescent="0.3">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c r="AJ586">
        <f>IF(HR_Data[[#This Row],[Attrition]]="Yes",1,0)</f>
        <v>0</v>
      </c>
      <c r="AK586">
        <f>IF(HR_Data[[#This Row],[Attrition]]="No",1,0)</f>
        <v>1</v>
      </c>
      <c r="AL586" t="str">
        <f>IF(HR_Data[[#This Row],[Age]]&lt;25,"Under 25",IF(HR_Data[[#This Row],[Age]]&lt;=34,"25-34",IF(HR_Data[[#This Row],[Age]]&lt;=44,"35-44",IF(HR_Data[[#This Row],[Age]]&lt;=54,"45-54","55+"))))</f>
        <v>35-44</v>
      </c>
      <c r="AM586" s="1" t="str">
        <f>IF(HR_Data[[#This Row],[MonthlyIncome]]&lt;3000,"Low Salary",IF(HR_Data[[#This Row],[MonthlyIncome]]&lt;=7000,"Medium Salary","High Salary"))</f>
        <v>High Salary</v>
      </c>
      <c r="AN586" s="1" t="str">
        <f>IF(HR_Data[[#This Row],[YearsAtCompany]]&lt;2,"0-1 Years",IF(HR_Data[[#This Row],[YearsAtCompany]]&lt;=5,"2-5 Years",IF(HR_Data[[#This Row],[YearsAtCompany]]&lt;=10,"6-10 Years","10+ Years")))</f>
        <v>10+ Years</v>
      </c>
      <c r="AO586" s="1" t="str">
        <f>IF(HR_Data[[#This Row],[JobSatisfaction]]=1,"Low",IF(HR_Data[[#This Row],[JobSatisfaction]]=2,"Medium",IF(HR_Data[[#This Row],[JobSatisfaction]]=3,"High","Very High")))</f>
        <v>Very High</v>
      </c>
      <c r="AP586" s="1" t="str">
        <f>IF(HR_Data[[#This Row],[WorkLifeBalance]]=1,"Bad",IF(HR_Data[[#This Row],[WorkLifeBalance]]=2,"Good",IF(HR_Data[[#This Row],[WorkLifeBalance]]=3,"Better","Best")))</f>
        <v>Good</v>
      </c>
    </row>
    <row r="587" spans="1:42" x14ac:dyDescent="0.3">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c r="AJ587">
        <f>IF(HR_Data[[#This Row],[Attrition]]="Yes",1,0)</f>
        <v>1</v>
      </c>
      <c r="AK587">
        <f>IF(HR_Data[[#This Row],[Attrition]]="No",1,0)</f>
        <v>0</v>
      </c>
      <c r="AL587" t="str">
        <f>IF(HR_Data[[#This Row],[Age]]&lt;25,"Under 25",IF(HR_Data[[#This Row],[Age]]&lt;=34,"25-34",IF(HR_Data[[#This Row],[Age]]&lt;=44,"35-44",IF(HR_Data[[#This Row],[Age]]&lt;=54,"45-54","55+"))))</f>
        <v>Under 25</v>
      </c>
      <c r="AM587" s="1" t="str">
        <f>IF(HR_Data[[#This Row],[MonthlyIncome]]&lt;3000,"Low Salary",IF(HR_Data[[#This Row],[MonthlyIncome]]&lt;=7000,"Medium Salary","High Salary"))</f>
        <v>Low Salary</v>
      </c>
      <c r="AN587" s="1" t="str">
        <f>IF(HR_Data[[#This Row],[YearsAtCompany]]&lt;2,"0-1 Years",IF(HR_Data[[#This Row],[YearsAtCompany]]&lt;=5,"2-5 Years",IF(HR_Data[[#This Row],[YearsAtCompany]]&lt;=10,"6-10 Years","10+ Years")))</f>
        <v>0-1 Years</v>
      </c>
      <c r="AO587" s="1" t="str">
        <f>IF(HR_Data[[#This Row],[JobSatisfaction]]=1,"Low",IF(HR_Data[[#This Row],[JobSatisfaction]]=2,"Medium",IF(HR_Data[[#This Row],[JobSatisfaction]]=3,"High","Very High")))</f>
        <v>Low</v>
      </c>
      <c r="AP587" s="1" t="str">
        <f>IF(HR_Data[[#This Row],[WorkLifeBalance]]=1,"Bad",IF(HR_Data[[#This Row],[WorkLifeBalance]]=2,"Good",IF(HR_Data[[#This Row],[WorkLifeBalance]]=3,"Better","Best")))</f>
        <v>Better</v>
      </c>
    </row>
    <row r="588" spans="1:42" x14ac:dyDescent="0.3">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c r="AJ588">
        <f>IF(HR_Data[[#This Row],[Attrition]]="Yes",1,0)</f>
        <v>0</v>
      </c>
      <c r="AK588">
        <f>IF(HR_Data[[#This Row],[Attrition]]="No",1,0)</f>
        <v>1</v>
      </c>
      <c r="AL588" t="str">
        <f>IF(HR_Data[[#This Row],[Age]]&lt;25,"Under 25",IF(HR_Data[[#This Row],[Age]]&lt;=34,"25-34",IF(HR_Data[[#This Row],[Age]]&lt;=44,"35-44",IF(HR_Data[[#This Row],[Age]]&lt;=54,"45-54","55+"))))</f>
        <v>Under 25</v>
      </c>
      <c r="AM588" s="1" t="str">
        <f>IF(HR_Data[[#This Row],[MonthlyIncome]]&lt;3000,"Low Salary",IF(HR_Data[[#This Row],[MonthlyIncome]]&lt;=7000,"Medium Salary","High Salary"))</f>
        <v>Low Salary</v>
      </c>
      <c r="AN588" s="1" t="str">
        <f>IF(HR_Data[[#This Row],[YearsAtCompany]]&lt;2,"0-1 Years",IF(HR_Data[[#This Row],[YearsAtCompany]]&lt;=5,"2-5 Years",IF(HR_Data[[#This Row],[YearsAtCompany]]&lt;=10,"6-10 Years","10+ Years")))</f>
        <v>0-1 Years</v>
      </c>
      <c r="AO588" s="1" t="str">
        <f>IF(HR_Data[[#This Row],[JobSatisfaction]]=1,"Low",IF(HR_Data[[#This Row],[JobSatisfaction]]=2,"Medium",IF(HR_Data[[#This Row],[JobSatisfaction]]=3,"High","Very High")))</f>
        <v>Medium</v>
      </c>
      <c r="AP588" s="1" t="str">
        <f>IF(HR_Data[[#This Row],[WorkLifeBalance]]=1,"Bad",IF(HR_Data[[#This Row],[WorkLifeBalance]]=2,"Good",IF(HR_Data[[#This Row],[WorkLifeBalance]]=3,"Better","Best")))</f>
        <v>Better</v>
      </c>
    </row>
    <row r="589" spans="1:42" x14ac:dyDescent="0.3">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c r="AJ589">
        <f>IF(HR_Data[[#This Row],[Attrition]]="Yes",1,0)</f>
        <v>0</v>
      </c>
      <c r="AK589">
        <f>IF(HR_Data[[#This Row],[Attrition]]="No",1,0)</f>
        <v>1</v>
      </c>
      <c r="AL589" t="str">
        <f>IF(HR_Data[[#This Row],[Age]]&lt;25,"Under 25",IF(HR_Data[[#This Row],[Age]]&lt;=34,"25-34",IF(HR_Data[[#This Row],[Age]]&lt;=44,"35-44",IF(HR_Data[[#This Row],[Age]]&lt;=54,"45-54","55+"))))</f>
        <v>45-54</v>
      </c>
      <c r="AM589" s="1" t="str">
        <f>IF(HR_Data[[#This Row],[MonthlyIncome]]&lt;3000,"Low Salary",IF(HR_Data[[#This Row],[MonthlyIncome]]&lt;=7000,"Medium Salary","High Salary"))</f>
        <v>Medium Salary</v>
      </c>
      <c r="AN589" s="1" t="str">
        <f>IF(HR_Data[[#This Row],[YearsAtCompany]]&lt;2,"0-1 Years",IF(HR_Data[[#This Row],[YearsAtCompany]]&lt;=5,"2-5 Years",IF(HR_Data[[#This Row],[YearsAtCompany]]&lt;=10,"6-10 Years","10+ Years")))</f>
        <v>2-5 Years</v>
      </c>
      <c r="AO589" s="1" t="str">
        <f>IF(HR_Data[[#This Row],[JobSatisfaction]]=1,"Low",IF(HR_Data[[#This Row],[JobSatisfaction]]=2,"Medium",IF(HR_Data[[#This Row],[JobSatisfaction]]=3,"High","Very High")))</f>
        <v>High</v>
      </c>
      <c r="AP589" s="1" t="str">
        <f>IF(HR_Data[[#This Row],[WorkLifeBalance]]=1,"Bad",IF(HR_Data[[#This Row],[WorkLifeBalance]]=2,"Good",IF(HR_Data[[#This Row],[WorkLifeBalance]]=3,"Better","Best")))</f>
        <v>Better</v>
      </c>
    </row>
    <row r="590" spans="1:42" x14ac:dyDescent="0.3">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c r="AJ590">
        <f>IF(HR_Data[[#This Row],[Attrition]]="Yes",1,0)</f>
        <v>0</v>
      </c>
      <c r="AK590">
        <f>IF(HR_Data[[#This Row],[Attrition]]="No",1,0)</f>
        <v>1</v>
      </c>
      <c r="AL590" t="str">
        <f>IF(HR_Data[[#This Row],[Age]]&lt;25,"Under 25",IF(HR_Data[[#This Row],[Age]]&lt;=34,"25-34",IF(HR_Data[[#This Row],[Age]]&lt;=44,"35-44",IF(HR_Data[[#This Row],[Age]]&lt;=54,"45-54","55+"))))</f>
        <v>45-54</v>
      </c>
      <c r="AM590" s="1" t="str">
        <f>IF(HR_Data[[#This Row],[MonthlyIncome]]&lt;3000,"Low Salary",IF(HR_Data[[#This Row],[MonthlyIncome]]&lt;=7000,"Medium Salary","High Salary"))</f>
        <v>High Salary</v>
      </c>
      <c r="AN590" s="1" t="str">
        <f>IF(HR_Data[[#This Row],[YearsAtCompany]]&lt;2,"0-1 Years",IF(HR_Data[[#This Row],[YearsAtCompany]]&lt;=5,"2-5 Years",IF(HR_Data[[#This Row],[YearsAtCompany]]&lt;=10,"6-10 Years","10+ Years")))</f>
        <v>2-5 Years</v>
      </c>
      <c r="AO590" s="1" t="str">
        <f>IF(HR_Data[[#This Row],[JobSatisfaction]]=1,"Low",IF(HR_Data[[#This Row],[JobSatisfaction]]=2,"Medium",IF(HR_Data[[#This Row],[JobSatisfaction]]=3,"High","Very High")))</f>
        <v>High</v>
      </c>
      <c r="AP590" s="1" t="str">
        <f>IF(HR_Data[[#This Row],[WorkLifeBalance]]=1,"Bad",IF(HR_Data[[#This Row],[WorkLifeBalance]]=2,"Good",IF(HR_Data[[#This Row],[WorkLifeBalance]]=3,"Better","Best")))</f>
        <v>Better</v>
      </c>
    </row>
    <row r="591" spans="1:42" x14ac:dyDescent="0.3">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c r="AJ591">
        <f>IF(HR_Data[[#This Row],[Attrition]]="Yes",1,0)</f>
        <v>1</v>
      </c>
      <c r="AK591">
        <f>IF(HR_Data[[#This Row],[Attrition]]="No",1,0)</f>
        <v>0</v>
      </c>
      <c r="AL591" t="str">
        <f>IF(HR_Data[[#This Row],[Age]]&lt;25,"Under 25",IF(HR_Data[[#This Row],[Age]]&lt;=34,"25-34",IF(HR_Data[[#This Row],[Age]]&lt;=44,"35-44",IF(HR_Data[[#This Row],[Age]]&lt;=54,"45-54","55+"))))</f>
        <v>25-34</v>
      </c>
      <c r="AM591" s="1" t="str">
        <f>IF(HR_Data[[#This Row],[MonthlyIncome]]&lt;3000,"Low Salary",IF(HR_Data[[#This Row],[MonthlyIncome]]&lt;=7000,"Medium Salary","High Salary"))</f>
        <v>Low Salary</v>
      </c>
      <c r="AN591" s="1" t="str">
        <f>IF(HR_Data[[#This Row],[YearsAtCompany]]&lt;2,"0-1 Years",IF(HR_Data[[#This Row],[YearsAtCompany]]&lt;=5,"2-5 Years",IF(HR_Data[[#This Row],[YearsAtCompany]]&lt;=10,"6-10 Years","10+ Years")))</f>
        <v>0-1 Years</v>
      </c>
      <c r="AO591" s="1" t="str">
        <f>IF(HR_Data[[#This Row],[JobSatisfaction]]=1,"Low",IF(HR_Data[[#This Row],[JobSatisfaction]]=2,"Medium",IF(HR_Data[[#This Row],[JobSatisfaction]]=3,"High","Very High")))</f>
        <v>Low</v>
      </c>
      <c r="AP591" s="1" t="str">
        <f>IF(HR_Data[[#This Row],[WorkLifeBalance]]=1,"Bad",IF(HR_Data[[#This Row],[WorkLifeBalance]]=2,"Good",IF(HR_Data[[#This Row],[WorkLifeBalance]]=3,"Better","Best")))</f>
        <v>Better</v>
      </c>
    </row>
    <row r="592" spans="1:42" x14ac:dyDescent="0.3">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c r="AJ592">
        <f>IF(HR_Data[[#This Row],[Attrition]]="Yes",1,0)</f>
        <v>0</v>
      </c>
      <c r="AK592">
        <f>IF(HR_Data[[#This Row],[Attrition]]="No",1,0)</f>
        <v>1</v>
      </c>
      <c r="AL592" t="str">
        <f>IF(HR_Data[[#This Row],[Age]]&lt;25,"Under 25",IF(HR_Data[[#This Row],[Age]]&lt;=34,"25-34",IF(HR_Data[[#This Row],[Age]]&lt;=44,"35-44",IF(HR_Data[[#This Row],[Age]]&lt;=54,"45-54","55+"))))</f>
        <v>25-34</v>
      </c>
      <c r="AM592" s="1" t="str">
        <f>IF(HR_Data[[#This Row],[MonthlyIncome]]&lt;3000,"Low Salary",IF(HR_Data[[#This Row],[MonthlyIncome]]&lt;=7000,"Medium Salary","High Salary"))</f>
        <v>High Salary</v>
      </c>
      <c r="AN592" s="1" t="str">
        <f>IF(HR_Data[[#This Row],[YearsAtCompany]]&lt;2,"0-1 Years",IF(HR_Data[[#This Row],[YearsAtCompany]]&lt;=5,"2-5 Years",IF(HR_Data[[#This Row],[YearsAtCompany]]&lt;=10,"6-10 Years","10+ Years")))</f>
        <v>10+ Years</v>
      </c>
      <c r="AO592" s="1" t="str">
        <f>IF(HR_Data[[#This Row],[JobSatisfaction]]=1,"Low",IF(HR_Data[[#This Row],[JobSatisfaction]]=2,"Medium",IF(HR_Data[[#This Row],[JobSatisfaction]]=3,"High","Very High")))</f>
        <v>High</v>
      </c>
      <c r="AP592" s="1" t="str">
        <f>IF(HR_Data[[#This Row],[WorkLifeBalance]]=1,"Bad",IF(HR_Data[[#This Row],[WorkLifeBalance]]=2,"Good",IF(HR_Data[[#This Row],[WorkLifeBalance]]=3,"Better","Best")))</f>
        <v>Best</v>
      </c>
    </row>
    <row r="593" spans="1:42" x14ac:dyDescent="0.3">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c r="AJ593">
        <f>IF(HR_Data[[#This Row],[Attrition]]="Yes",1,0)</f>
        <v>1</v>
      </c>
      <c r="AK593">
        <f>IF(HR_Data[[#This Row],[Attrition]]="No",1,0)</f>
        <v>0</v>
      </c>
      <c r="AL593" t="str">
        <f>IF(HR_Data[[#This Row],[Age]]&lt;25,"Under 25",IF(HR_Data[[#This Row],[Age]]&lt;=34,"25-34",IF(HR_Data[[#This Row],[Age]]&lt;=44,"35-44",IF(HR_Data[[#This Row],[Age]]&lt;=54,"45-54","55+"))))</f>
        <v>25-34</v>
      </c>
      <c r="AM593" s="1" t="str">
        <f>IF(HR_Data[[#This Row],[MonthlyIncome]]&lt;3000,"Low Salary",IF(HR_Data[[#This Row],[MonthlyIncome]]&lt;=7000,"Medium Salary","High Salary"))</f>
        <v>Medium Salary</v>
      </c>
      <c r="AN593" s="1" t="str">
        <f>IF(HR_Data[[#This Row],[YearsAtCompany]]&lt;2,"0-1 Years",IF(HR_Data[[#This Row],[YearsAtCompany]]&lt;=5,"2-5 Years",IF(HR_Data[[#This Row],[YearsAtCompany]]&lt;=10,"6-10 Years","10+ Years")))</f>
        <v>2-5 Years</v>
      </c>
      <c r="AO593" s="1" t="str">
        <f>IF(HR_Data[[#This Row],[JobSatisfaction]]=1,"Low",IF(HR_Data[[#This Row],[JobSatisfaction]]=2,"Medium",IF(HR_Data[[#This Row],[JobSatisfaction]]=3,"High","Very High")))</f>
        <v>Low</v>
      </c>
      <c r="AP593" s="1" t="str">
        <f>IF(HR_Data[[#This Row],[WorkLifeBalance]]=1,"Bad",IF(HR_Data[[#This Row],[WorkLifeBalance]]=2,"Good",IF(HR_Data[[#This Row],[WorkLifeBalance]]=3,"Better","Best")))</f>
        <v>Better</v>
      </c>
    </row>
    <row r="594" spans="1:42" x14ac:dyDescent="0.3">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c r="AJ594">
        <f>IF(HR_Data[[#This Row],[Attrition]]="Yes",1,0)</f>
        <v>0</v>
      </c>
      <c r="AK594">
        <f>IF(HR_Data[[#This Row],[Attrition]]="No",1,0)</f>
        <v>1</v>
      </c>
      <c r="AL594" t="str">
        <f>IF(HR_Data[[#This Row],[Age]]&lt;25,"Under 25",IF(HR_Data[[#This Row],[Age]]&lt;=34,"25-34",IF(HR_Data[[#This Row],[Age]]&lt;=44,"35-44",IF(HR_Data[[#This Row],[Age]]&lt;=54,"45-54","55+"))))</f>
        <v>45-54</v>
      </c>
      <c r="AM594" s="1" t="str">
        <f>IF(HR_Data[[#This Row],[MonthlyIncome]]&lt;3000,"Low Salary",IF(HR_Data[[#This Row],[MonthlyIncome]]&lt;=7000,"Medium Salary","High Salary"))</f>
        <v>High Salary</v>
      </c>
      <c r="AN594" s="1" t="str">
        <f>IF(HR_Data[[#This Row],[YearsAtCompany]]&lt;2,"0-1 Years",IF(HR_Data[[#This Row],[YearsAtCompany]]&lt;=5,"2-5 Years",IF(HR_Data[[#This Row],[YearsAtCompany]]&lt;=10,"6-10 Years","10+ Years")))</f>
        <v>10+ Years</v>
      </c>
      <c r="AO594" s="1" t="str">
        <f>IF(HR_Data[[#This Row],[JobSatisfaction]]=1,"Low",IF(HR_Data[[#This Row],[JobSatisfaction]]=2,"Medium",IF(HR_Data[[#This Row],[JobSatisfaction]]=3,"High","Very High")))</f>
        <v>Very High</v>
      </c>
      <c r="AP594" s="1" t="str">
        <f>IF(HR_Data[[#This Row],[WorkLifeBalance]]=1,"Bad",IF(HR_Data[[#This Row],[WorkLifeBalance]]=2,"Good",IF(HR_Data[[#This Row],[WorkLifeBalance]]=3,"Better","Best")))</f>
        <v>Good</v>
      </c>
    </row>
    <row r="595" spans="1:42" x14ac:dyDescent="0.3">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c r="AJ595">
        <f>IF(HR_Data[[#This Row],[Attrition]]="Yes",1,0)</f>
        <v>0</v>
      </c>
      <c r="AK595">
        <f>IF(HR_Data[[#This Row],[Attrition]]="No",1,0)</f>
        <v>1</v>
      </c>
      <c r="AL595" t="str">
        <f>IF(HR_Data[[#This Row],[Age]]&lt;25,"Under 25",IF(HR_Data[[#This Row],[Age]]&lt;=34,"25-34",IF(HR_Data[[#This Row],[Age]]&lt;=44,"35-44",IF(HR_Data[[#This Row],[Age]]&lt;=54,"45-54","55+"))))</f>
        <v>35-44</v>
      </c>
      <c r="AM595" s="1" t="str">
        <f>IF(HR_Data[[#This Row],[MonthlyIncome]]&lt;3000,"Low Salary",IF(HR_Data[[#This Row],[MonthlyIncome]]&lt;=7000,"Medium Salary","High Salary"))</f>
        <v>Medium Salary</v>
      </c>
      <c r="AN595" s="1" t="str">
        <f>IF(HR_Data[[#This Row],[YearsAtCompany]]&lt;2,"0-1 Years",IF(HR_Data[[#This Row],[YearsAtCompany]]&lt;=5,"2-5 Years",IF(HR_Data[[#This Row],[YearsAtCompany]]&lt;=10,"6-10 Years","10+ Years")))</f>
        <v>6-10 Years</v>
      </c>
      <c r="AO595" s="1" t="str">
        <f>IF(HR_Data[[#This Row],[JobSatisfaction]]=1,"Low",IF(HR_Data[[#This Row],[JobSatisfaction]]=2,"Medium",IF(HR_Data[[#This Row],[JobSatisfaction]]=3,"High","Very High")))</f>
        <v>Medium</v>
      </c>
      <c r="AP595" s="1" t="str">
        <f>IF(HR_Data[[#This Row],[WorkLifeBalance]]=1,"Bad",IF(HR_Data[[#This Row],[WorkLifeBalance]]=2,"Good",IF(HR_Data[[#This Row],[WorkLifeBalance]]=3,"Better","Best")))</f>
        <v>Better</v>
      </c>
    </row>
    <row r="596" spans="1:42" x14ac:dyDescent="0.3">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c r="AJ596">
        <f>IF(HR_Data[[#This Row],[Attrition]]="Yes",1,0)</f>
        <v>0</v>
      </c>
      <c r="AK596">
        <f>IF(HR_Data[[#This Row],[Attrition]]="No",1,0)</f>
        <v>1</v>
      </c>
      <c r="AL596" t="str">
        <f>IF(HR_Data[[#This Row],[Age]]&lt;25,"Under 25",IF(HR_Data[[#This Row],[Age]]&lt;=34,"25-34",IF(HR_Data[[#This Row],[Age]]&lt;=44,"35-44",IF(HR_Data[[#This Row],[Age]]&lt;=54,"45-54","55+"))))</f>
        <v>25-34</v>
      </c>
      <c r="AM596" s="1" t="str">
        <f>IF(HR_Data[[#This Row],[MonthlyIncome]]&lt;3000,"Low Salary",IF(HR_Data[[#This Row],[MonthlyIncome]]&lt;=7000,"Medium Salary","High Salary"))</f>
        <v>Low Salary</v>
      </c>
      <c r="AN596" s="1" t="str">
        <f>IF(HR_Data[[#This Row],[YearsAtCompany]]&lt;2,"0-1 Years",IF(HR_Data[[#This Row],[YearsAtCompany]]&lt;=5,"2-5 Years",IF(HR_Data[[#This Row],[YearsAtCompany]]&lt;=10,"6-10 Years","10+ Years")))</f>
        <v>6-10 Years</v>
      </c>
      <c r="AO596" s="1" t="str">
        <f>IF(HR_Data[[#This Row],[JobSatisfaction]]=1,"Low",IF(HR_Data[[#This Row],[JobSatisfaction]]=2,"Medium",IF(HR_Data[[#This Row],[JobSatisfaction]]=3,"High","Very High")))</f>
        <v>High</v>
      </c>
      <c r="AP596" s="1" t="str">
        <f>IF(HR_Data[[#This Row],[WorkLifeBalance]]=1,"Bad",IF(HR_Data[[#This Row],[WorkLifeBalance]]=2,"Good",IF(HR_Data[[#This Row],[WorkLifeBalance]]=3,"Better","Best")))</f>
        <v>Better</v>
      </c>
    </row>
    <row r="597" spans="1:42" x14ac:dyDescent="0.3">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c r="AJ597">
        <f>IF(HR_Data[[#This Row],[Attrition]]="Yes",1,0)</f>
        <v>1</v>
      </c>
      <c r="AK597">
        <f>IF(HR_Data[[#This Row],[Attrition]]="No",1,0)</f>
        <v>0</v>
      </c>
      <c r="AL597" t="str">
        <f>IF(HR_Data[[#This Row],[Age]]&lt;25,"Under 25",IF(HR_Data[[#This Row],[Age]]&lt;=34,"25-34",IF(HR_Data[[#This Row],[Age]]&lt;=44,"35-44",IF(HR_Data[[#This Row],[Age]]&lt;=54,"45-54","55+"))))</f>
        <v>55+</v>
      </c>
      <c r="AM597" s="1" t="str">
        <f>IF(HR_Data[[#This Row],[MonthlyIncome]]&lt;3000,"Low Salary",IF(HR_Data[[#This Row],[MonthlyIncome]]&lt;=7000,"Medium Salary","High Salary"))</f>
        <v>High Salary</v>
      </c>
      <c r="AN597" s="1" t="str">
        <f>IF(HR_Data[[#This Row],[YearsAtCompany]]&lt;2,"0-1 Years",IF(HR_Data[[#This Row],[YearsAtCompany]]&lt;=5,"2-5 Years",IF(HR_Data[[#This Row],[YearsAtCompany]]&lt;=10,"6-10 Years","10+ Years")))</f>
        <v>10+ Years</v>
      </c>
      <c r="AO597" s="1" t="str">
        <f>IF(HR_Data[[#This Row],[JobSatisfaction]]=1,"Low",IF(HR_Data[[#This Row],[JobSatisfaction]]=2,"Medium",IF(HR_Data[[#This Row],[JobSatisfaction]]=3,"High","Very High")))</f>
        <v>Medium</v>
      </c>
      <c r="AP597" s="1" t="str">
        <f>IF(HR_Data[[#This Row],[WorkLifeBalance]]=1,"Bad",IF(HR_Data[[#This Row],[WorkLifeBalance]]=2,"Good",IF(HR_Data[[#This Row],[WorkLifeBalance]]=3,"Better","Best")))</f>
        <v>Better</v>
      </c>
    </row>
    <row r="598" spans="1:42" x14ac:dyDescent="0.3">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c r="AJ598">
        <f>IF(HR_Data[[#This Row],[Attrition]]="Yes",1,0)</f>
        <v>0</v>
      </c>
      <c r="AK598">
        <f>IF(HR_Data[[#This Row],[Attrition]]="No",1,0)</f>
        <v>1</v>
      </c>
      <c r="AL598" t="str">
        <f>IF(HR_Data[[#This Row],[Age]]&lt;25,"Under 25",IF(HR_Data[[#This Row],[Age]]&lt;=34,"25-34",IF(HR_Data[[#This Row],[Age]]&lt;=44,"35-44",IF(HR_Data[[#This Row],[Age]]&lt;=54,"45-54","55+"))))</f>
        <v>35-44</v>
      </c>
      <c r="AM598" s="1" t="str">
        <f>IF(HR_Data[[#This Row],[MonthlyIncome]]&lt;3000,"Low Salary",IF(HR_Data[[#This Row],[MonthlyIncome]]&lt;=7000,"Medium Salary","High Salary"))</f>
        <v>Low Salary</v>
      </c>
      <c r="AN598" s="1" t="str">
        <f>IF(HR_Data[[#This Row],[YearsAtCompany]]&lt;2,"0-1 Years",IF(HR_Data[[#This Row],[YearsAtCompany]]&lt;=5,"2-5 Years",IF(HR_Data[[#This Row],[YearsAtCompany]]&lt;=10,"6-10 Years","10+ Years")))</f>
        <v>2-5 Years</v>
      </c>
      <c r="AO598" s="1" t="str">
        <f>IF(HR_Data[[#This Row],[JobSatisfaction]]=1,"Low",IF(HR_Data[[#This Row],[JobSatisfaction]]=2,"Medium",IF(HR_Data[[#This Row],[JobSatisfaction]]=3,"High","Very High")))</f>
        <v>High</v>
      </c>
      <c r="AP598" s="1" t="str">
        <f>IF(HR_Data[[#This Row],[WorkLifeBalance]]=1,"Bad",IF(HR_Data[[#This Row],[WorkLifeBalance]]=2,"Good",IF(HR_Data[[#This Row],[WorkLifeBalance]]=3,"Better","Best")))</f>
        <v>Better</v>
      </c>
    </row>
    <row r="599" spans="1:42" x14ac:dyDescent="0.3">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c r="AJ599">
        <f>IF(HR_Data[[#This Row],[Attrition]]="Yes",1,0)</f>
        <v>0</v>
      </c>
      <c r="AK599">
        <f>IF(HR_Data[[#This Row],[Attrition]]="No",1,0)</f>
        <v>1</v>
      </c>
      <c r="AL599" t="str">
        <f>IF(HR_Data[[#This Row],[Age]]&lt;25,"Under 25",IF(HR_Data[[#This Row],[Age]]&lt;=34,"25-34",IF(HR_Data[[#This Row],[Age]]&lt;=44,"35-44",IF(HR_Data[[#This Row],[Age]]&lt;=54,"45-54","55+"))))</f>
        <v>35-44</v>
      </c>
      <c r="AM599" s="1" t="str">
        <f>IF(HR_Data[[#This Row],[MonthlyIncome]]&lt;3000,"Low Salary",IF(HR_Data[[#This Row],[MonthlyIncome]]&lt;=7000,"Medium Salary","High Salary"))</f>
        <v>Medium Salary</v>
      </c>
      <c r="AN599" s="1" t="str">
        <f>IF(HR_Data[[#This Row],[YearsAtCompany]]&lt;2,"0-1 Years",IF(HR_Data[[#This Row],[YearsAtCompany]]&lt;=5,"2-5 Years",IF(HR_Data[[#This Row],[YearsAtCompany]]&lt;=10,"6-10 Years","10+ Years")))</f>
        <v>2-5 Years</v>
      </c>
      <c r="AO599" s="1" t="str">
        <f>IF(HR_Data[[#This Row],[JobSatisfaction]]=1,"Low",IF(HR_Data[[#This Row],[JobSatisfaction]]=2,"Medium",IF(HR_Data[[#This Row],[JobSatisfaction]]=3,"High","Very High")))</f>
        <v>Very High</v>
      </c>
      <c r="AP599" s="1" t="str">
        <f>IF(HR_Data[[#This Row],[WorkLifeBalance]]=1,"Bad",IF(HR_Data[[#This Row],[WorkLifeBalance]]=2,"Good",IF(HR_Data[[#This Row],[WorkLifeBalance]]=3,"Better","Best")))</f>
        <v>Better</v>
      </c>
    </row>
    <row r="600" spans="1:42" x14ac:dyDescent="0.3">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c r="AJ600">
        <f>IF(HR_Data[[#This Row],[Attrition]]="Yes",1,0)</f>
        <v>1</v>
      </c>
      <c r="AK600">
        <f>IF(HR_Data[[#This Row],[Attrition]]="No",1,0)</f>
        <v>0</v>
      </c>
      <c r="AL600" t="str">
        <f>IF(HR_Data[[#This Row],[Age]]&lt;25,"Under 25",IF(HR_Data[[#This Row],[Age]]&lt;=34,"25-34",IF(HR_Data[[#This Row],[Age]]&lt;=44,"35-44",IF(HR_Data[[#This Row],[Age]]&lt;=54,"45-54","55+"))))</f>
        <v>25-34</v>
      </c>
      <c r="AM600" s="1" t="str">
        <f>IF(HR_Data[[#This Row],[MonthlyIncome]]&lt;3000,"Low Salary",IF(HR_Data[[#This Row],[MonthlyIncome]]&lt;=7000,"Medium Salary","High Salary"))</f>
        <v>Medium Salary</v>
      </c>
      <c r="AN600" s="1" t="str">
        <f>IF(HR_Data[[#This Row],[YearsAtCompany]]&lt;2,"0-1 Years",IF(HR_Data[[#This Row],[YearsAtCompany]]&lt;=5,"2-5 Years",IF(HR_Data[[#This Row],[YearsAtCompany]]&lt;=10,"6-10 Years","10+ Years")))</f>
        <v>2-5 Years</v>
      </c>
      <c r="AO600" s="1" t="str">
        <f>IF(HR_Data[[#This Row],[JobSatisfaction]]=1,"Low",IF(HR_Data[[#This Row],[JobSatisfaction]]=2,"Medium",IF(HR_Data[[#This Row],[JobSatisfaction]]=3,"High","Very High")))</f>
        <v>High</v>
      </c>
      <c r="AP600" s="1" t="str">
        <f>IF(HR_Data[[#This Row],[WorkLifeBalance]]=1,"Bad",IF(HR_Data[[#This Row],[WorkLifeBalance]]=2,"Good",IF(HR_Data[[#This Row],[WorkLifeBalance]]=3,"Better","Best")))</f>
        <v>Good</v>
      </c>
    </row>
    <row r="601" spans="1:42" x14ac:dyDescent="0.3">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c r="AJ601">
        <f>IF(HR_Data[[#This Row],[Attrition]]="Yes",1,0)</f>
        <v>0</v>
      </c>
      <c r="AK601">
        <f>IF(HR_Data[[#This Row],[Attrition]]="No",1,0)</f>
        <v>1</v>
      </c>
      <c r="AL601" t="str">
        <f>IF(HR_Data[[#This Row],[Age]]&lt;25,"Under 25",IF(HR_Data[[#This Row],[Age]]&lt;=34,"25-34",IF(HR_Data[[#This Row],[Age]]&lt;=44,"35-44",IF(HR_Data[[#This Row],[Age]]&lt;=54,"45-54","55+"))))</f>
        <v>35-44</v>
      </c>
      <c r="AM601" s="1" t="str">
        <f>IF(HR_Data[[#This Row],[MonthlyIncome]]&lt;3000,"Low Salary",IF(HR_Data[[#This Row],[MonthlyIncome]]&lt;=7000,"Medium Salary","High Salary"))</f>
        <v>Low Salary</v>
      </c>
      <c r="AN601" s="1" t="str">
        <f>IF(HR_Data[[#This Row],[YearsAtCompany]]&lt;2,"0-1 Years",IF(HR_Data[[#This Row],[YearsAtCompany]]&lt;=5,"2-5 Years",IF(HR_Data[[#This Row],[YearsAtCompany]]&lt;=10,"6-10 Years","10+ Years")))</f>
        <v>2-5 Years</v>
      </c>
      <c r="AO601" s="1" t="str">
        <f>IF(HR_Data[[#This Row],[JobSatisfaction]]=1,"Low",IF(HR_Data[[#This Row],[JobSatisfaction]]=2,"Medium",IF(HR_Data[[#This Row],[JobSatisfaction]]=3,"High","Very High")))</f>
        <v>Medium</v>
      </c>
      <c r="AP601" s="1" t="str">
        <f>IF(HR_Data[[#This Row],[WorkLifeBalance]]=1,"Bad",IF(HR_Data[[#This Row],[WorkLifeBalance]]=2,"Good",IF(HR_Data[[#This Row],[WorkLifeBalance]]=3,"Better","Best")))</f>
        <v>Better</v>
      </c>
    </row>
    <row r="602" spans="1:42" x14ac:dyDescent="0.3">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c r="AJ602">
        <f>IF(HR_Data[[#This Row],[Attrition]]="Yes",1,0)</f>
        <v>0</v>
      </c>
      <c r="AK602">
        <f>IF(HR_Data[[#This Row],[Attrition]]="No",1,0)</f>
        <v>1</v>
      </c>
      <c r="AL602" t="str">
        <f>IF(HR_Data[[#This Row],[Age]]&lt;25,"Under 25",IF(HR_Data[[#This Row],[Age]]&lt;=34,"25-34",IF(HR_Data[[#This Row],[Age]]&lt;=44,"35-44",IF(HR_Data[[#This Row],[Age]]&lt;=54,"45-54","55+"))))</f>
        <v>25-34</v>
      </c>
      <c r="AM602" s="1" t="str">
        <f>IF(HR_Data[[#This Row],[MonthlyIncome]]&lt;3000,"Low Salary",IF(HR_Data[[#This Row],[MonthlyIncome]]&lt;=7000,"Medium Salary","High Salary"))</f>
        <v>Medium Salary</v>
      </c>
      <c r="AN602" s="1" t="str">
        <f>IF(HR_Data[[#This Row],[YearsAtCompany]]&lt;2,"0-1 Years",IF(HR_Data[[#This Row],[YearsAtCompany]]&lt;=5,"2-5 Years",IF(HR_Data[[#This Row],[YearsAtCompany]]&lt;=10,"6-10 Years","10+ Years")))</f>
        <v>10+ Years</v>
      </c>
      <c r="AO602" s="1" t="str">
        <f>IF(HR_Data[[#This Row],[JobSatisfaction]]=1,"Low",IF(HR_Data[[#This Row],[JobSatisfaction]]=2,"Medium",IF(HR_Data[[#This Row],[JobSatisfaction]]=3,"High","Very High")))</f>
        <v>High</v>
      </c>
      <c r="AP602" s="1" t="str">
        <f>IF(HR_Data[[#This Row],[WorkLifeBalance]]=1,"Bad",IF(HR_Data[[#This Row],[WorkLifeBalance]]=2,"Good",IF(HR_Data[[#This Row],[WorkLifeBalance]]=3,"Better","Best")))</f>
        <v>Better</v>
      </c>
    </row>
    <row r="603" spans="1:42" x14ac:dyDescent="0.3">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c r="AJ603">
        <f>IF(HR_Data[[#This Row],[Attrition]]="Yes",1,0)</f>
        <v>0</v>
      </c>
      <c r="AK603">
        <f>IF(HR_Data[[#This Row],[Attrition]]="No",1,0)</f>
        <v>1</v>
      </c>
      <c r="AL603" t="str">
        <f>IF(HR_Data[[#This Row],[Age]]&lt;25,"Under 25",IF(HR_Data[[#This Row],[Age]]&lt;=34,"25-34",IF(HR_Data[[#This Row],[Age]]&lt;=44,"35-44",IF(HR_Data[[#This Row],[Age]]&lt;=54,"45-54","55+"))))</f>
        <v>35-44</v>
      </c>
      <c r="AM603" s="1" t="str">
        <f>IF(HR_Data[[#This Row],[MonthlyIncome]]&lt;3000,"Low Salary",IF(HR_Data[[#This Row],[MonthlyIncome]]&lt;=7000,"Medium Salary","High Salary"))</f>
        <v>Medium Salary</v>
      </c>
      <c r="AN603" s="1" t="str">
        <f>IF(HR_Data[[#This Row],[YearsAtCompany]]&lt;2,"0-1 Years",IF(HR_Data[[#This Row],[YearsAtCompany]]&lt;=5,"2-5 Years",IF(HR_Data[[#This Row],[YearsAtCompany]]&lt;=10,"6-10 Years","10+ Years")))</f>
        <v>0-1 Years</v>
      </c>
      <c r="AO603" s="1" t="str">
        <f>IF(HR_Data[[#This Row],[JobSatisfaction]]=1,"Low",IF(HR_Data[[#This Row],[JobSatisfaction]]=2,"Medium",IF(HR_Data[[#This Row],[JobSatisfaction]]=3,"High","Very High")))</f>
        <v>High</v>
      </c>
      <c r="AP603" s="1" t="str">
        <f>IF(HR_Data[[#This Row],[WorkLifeBalance]]=1,"Bad",IF(HR_Data[[#This Row],[WorkLifeBalance]]=2,"Good",IF(HR_Data[[#This Row],[WorkLifeBalance]]=3,"Better","Best")))</f>
        <v>Better</v>
      </c>
    </row>
    <row r="604" spans="1:42" x14ac:dyDescent="0.3">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c r="AJ604">
        <f>IF(HR_Data[[#This Row],[Attrition]]="Yes",1,0)</f>
        <v>0</v>
      </c>
      <c r="AK604">
        <f>IF(HR_Data[[#This Row],[Attrition]]="No",1,0)</f>
        <v>1</v>
      </c>
      <c r="AL604" t="str">
        <f>IF(HR_Data[[#This Row],[Age]]&lt;25,"Under 25",IF(HR_Data[[#This Row],[Age]]&lt;=34,"25-34",IF(HR_Data[[#This Row],[Age]]&lt;=44,"35-44",IF(HR_Data[[#This Row],[Age]]&lt;=54,"45-54","55+"))))</f>
        <v>25-34</v>
      </c>
      <c r="AM604" s="1" t="str">
        <f>IF(HR_Data[[#This Row],[MonthlyIncome]]&lt;3000,"Low Salary",IF(HR_Data[[#This Row],[MonthlyIncome]]&lt;=7000,"Medium Salary","High Salary"))</f>
        <v>Medium Salary</v>
      </c>
      <c r="AN604" s="1" t="str">
        <f>IF(HR_Data[[#This Row],[YearsAtCompany]]&lt;2,"0-1 Years",IF(HR_Data[[#This Row],[YearsAtCompany]]&lt;=5,"2-5 Years",IF(HR_Data[[#This Row],[YearsAtCompany]]&lt;=10,"6-10 Years","10+ Years")))</f>
        <v>0-1 Years</v>
      </c>
      <c r="AO604" s="1" t="str">
        <f>IF(HR_Data[[#This Row],[JobSatisfaction]]=1,"Low",IF(HR_Data[[#This Row],[JobSatisfaction]]=2,"Medium",IF(HR_Data[[#This Row],[JobSatisfaction]]=3,"High","Very High")))</f>
        <v>Very High</v>
      </c>
      <c r="AP604" s="1" t="str">
        <f>IF(HR_Data[[#This Row],[WorkLifeBalance]]=1,"Bad",IF(HR_Data[[#This Row],[WorkLifeBalance]]=2,"Good",IF(HR_Data[[#This Row],[WorkLifeBalance]]=3,"Better","Best")))</f>
        <v>Good</v>
      </c>
    </row>
    <row r="605" spans="1:42" x14ac:dyDescent="0.3">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c r="AJ605">
        <f>IF(HR_Data[[#This Row],[Attrition]]="Yes",1,0)</f>
        <v>0</v>
      </c>
      <c r="AK605">
        <f>IF(HR_Data[[#This Row],[Attrition]]="No",1,0)</f>
        <v>1</v>
      </c>
      <c r="AL605" t="str">
        <f>IF(HR_Data[[#This Row],[Age]]&lt;25,"Under 25",IF(HR_Data[[#This Row],[Age]]&lt;=34,"25-34",IF(HR_Data[[#This Row],[Age]]&lt;=44,"35-44",IF(HR_Data[[#This Row],[Age]]&lt;=54,"45-54","55+"))))</f>
        <v>45-54</v>
      </c>
      <c r="AM605" s="1" t="str">
        <f>IF(HR_Data[[#This Row],[MonthlyIncome]]&lt;3000,"Low Salary",IF(HR_Data[[#This Row],[MonthlyIncome]]&lt;=7000,"Medium Salary","High Salary"))</f>
        <v>Low Salary</v>
      </c>
      <c r="AN605" s="1" t="str">
        <f>IF(HR_Data[[#This Row],[YearsAtCompany]]&lt;2,"0-1 Years",IF(HR_Data[[#This Row],[YearsAtCompany]]&lt;=5,"2-5 Years",IF(HR_Data[[#This Row],[YearsAtCompany]]&lt;=10,"6-10 Years","10+ Years")))</f>
        <v>0-1 Years</v>
      </c>
      <c r="AO605" s="1" t="str">
        <f>IF(HR_Data[[#This Row],[JobSatisfaction]]=1,"Low",IF(HR_Data[[#This Row],[JobSatisfaction]]=2,"Medium",IF(HR_Data[[#This Row],[JobSatisfaction]]=3,"High","Very High")))</f>
        <v>High</v>
      </c>
      <c r="AP605" s="1" t="str">
        <f>IF(HR_Data[[#This Row],[WorkLifeBalance]]=1,"Bad",IF(HR_Data[[#This Row],[WorkLifeBalance]]=2,"Good",IF(HR_Data[[#This Row],[WorkLifeBalance]]=3,"Better","Best")))</f>
        <v>Better</v>
      </c>
    </row>
    <row r="606" spans="1:42" x14ac:dyDescent="0.3">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c r="AJ606">
        <f>IF(HR_Data[[#This Row],[Attrition]]="Yes",1,0)</f>
        <v>0</v>
      </c>
      <c r="AK606">
        <f>IF(HR_Data[[#This Row],[Attrition]]="No",1,0)</f>
        <v>1</v>
      </c>
      <c r="AL606" t="str">
        <f>IF(HR_Data[[#This Row],[Age]]&lt;25,"Under 25",IF(HR_Data[[#This Row],[Age]]&lt;=34,"25-34",IF(HR_Data[[#This Row],[Age]]&lt;=44,"35-44",IF(HR_Data[[#This Row],[Age]]&lt;=54,"45-54","55+"))))</f>
        <v>35-44</v>
      </c>
      <c r="AM606" s="1" t="str">
        <f>IF(HR_Data[[#This Row],[MonthlyIncome]]&lt;3000,"Low Salary",IF(HR_Data[[#This Row],[MonthlyIncome]]&lt;=7000,"Medium Salary","High Salary"))</f>
        <v>Medium Salary</v>
      </c>
      <c r="AN606" s="1" t="str">
        <f>IF(HR_Data[[#This Row],[YearsAtCompany]]&lt;2,"0-1 Years",IF(HR_Data[[#This Row],[YearsAtCompany]]&lt;=5,"2-5 Years",IF(HR_Data[[#This Row],[YearsAtCompany]]&lt;=10,"6-10 Years","10+ Years")))</f>
        <v>6-10 Years</v>
      </c>
      <c r="AO606" s="1" t="str">
        <f>IF(HR_Data[[#This Row],[JobSatisfaction]]=1,"Low",IF(HR_Data[[#This Row],[JobSatisfaction]]=2,"Medium",IF(HR_Data[[#This Row],[JobSatisfaction]]=3,"High","Very High")))</f>
        <v>Medium</v>
      </c>
      <c r="AP606" s="1" t="str">
        <f>IF(HR_Data[[#This Row],[WorkLifeBalance]]=1,"Bad",IF(HR_Data[[#This Row],[WorkLifeBalance]]=2,"Good",IF(HR_Data[[#This Row],[WorkLifeBalance]]=3,"Better","Best")))</f>
        <v>Good</v>
      </c>
    </row>
    <row r="607" spans="1:42" x14ac:dyDescent="0.3">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c r="AJ607">
        <f>IF(HR_Data[[#This Row],[Attrition]]="Yes",1,0)</f>
        <v>0</v>
      </c>
      <c r="AK607">
        <f>IF(HR_Data[[#This Row],[Attrition]]="No",1,0)</f>
        <v>1</v>
      </c>
      <c r="AL607" t="str">
        <f>IF(HR_Data[[#This Row],[Age]]&lt;25,"Under 25",IF(HR_Data[[#This Row],[Age]]&lt;=34,"25-34",IF(HR_Data[[#This Row],[Age]]&lt;=44,"35-44",IF(HR_Data[[#This Row],[Age]]&lt;=54,"45-54","55+"))))</f>
        <v>35-44</v>
      </c>
      <c r="AM607" s="1" t="str">
        <f>IF(HR_Data[[#This Row],[MonthlyIncome]]&lt;3000,"Low Salary",IF(HR_Data[[#This Row],[MonthlyIncome]]&lt;=7000,"Medium Salary","High Salary"))</f>
        <v>Medium Salary</v>
      </c>
      <c r="AN607" s="1" t="str">
        <f>IF(HR_Data[[#This Row],[YearsAtCompany]]&lt;2,"0-1 Years",IF(HR_Data[[#This Row],[YearsAtCompany]]&lt;=5,"2-5 Years",IF(HR_Data[[#This Row],[YearsAtCompany]]&lt;=10,"6-10 Years","10+ Years")))</f>
        <v>2-5 Years</v>
      </c>
      <c r="AO607" s="1" t="str">
        <f>IF(HR_Data[[#This Row],[JobSatisfaction]]=1,"Low",IF(HR_Data[[#This Row],[JobSatisfaction]]=2,"Medium",IF(HR_Data[[#This Row],[JobSatisfaction]]=3,"High","Very High")))</f>
        <v>Low</v>
      </c>
      <c r="AP607" s="1" t="str">
        <f>IF(HR_Data[[#This Row],[WorkLifeBalance]]=1,"Bad",IF(HR_Data[[#This Row],[WorkLifeBalance]]=2,"Good",IF(HR_Data[[#This Row],[WorkLifeBalance]]=3,"Better","Best")))</f>
        <v>Good</v>
      </c>
    </row>
    <row r="608" spans="1:42" x14ac:dyDescent="0.3">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c r="AJ608">
        <f>IF(HR_Data[[#This Row],[Attrition]]="Yes",1,0)</f>
        <v>0</v>
      </c>
      <c r="AK608">
        <f>IF(HR_Data[[#This Row],[Attrition]]="No",1,0)</f>
        <v>1</v>
      </c>
      <c r="AL608" t="str">
        <f>IF(HR_Data[[#This Row],[Age]]&lt;25,"Under 25",IF(HR_Data[[#This Row],[Age]]&lt;=34,"25-34",IF(HR_Data[[#This Row],[Age]]&lt;=44,"35-44",IF(HR_Data[[#This Row],[Age]]&lt;=54,"45-54","55+"))))</f>
        <v>25-34</v>
      </c>
      <c r="AM608" s="1" t="str">
        <f>IF(HR_Data[[#This Row],[MonthlyIncome]]&lt;3000,"Low Salary",IF(HR_Data[[#This Row],[MonthlyIncome]]&lt;=7000,"Medium Salary","High Salary"))</f>
        <v>Low Salary</v>
      </c>
      <c r="AN608" s="1" t="str">
        <f>IF(HR_Data[[#This Row],[YearsAtCompany]]&lt;2,"0-1 Years",IF(HR_Data[[#This Row],[YearsAtCompany]]&lt;=5,"2-5 Years",IF(HR_Data[[#This Row],[YearsAtCompany]]&lt;=10,"6-10 Years","10+ Years")))</f>
        <v>2-5 Years</v>
      </c>
      <c r="AO608" s="1" t="str">
        <f>IF(HR_Data[[#This Row],[JobSatisfaction]]=1,"Low",IF(HR_Data[[#This Row],[JobSatisfaction]]=2,"Medium",IF(HR_Data[[#This Row],[JobSatisfaction]]=3,"High","Very High")))</f>
        <v>Very High</v>
      </c>
      <c r="AP608" s="1" t="str">
        <f>IF(HR_Data[[#This Row],[WorkLifeBalance]]=1,"Bad",IF(HR_Data[[#This Row],[WorkLifeBalance]]=2,"Good",IF(HR_Data[[#This Row],[WorkLifeBalance]]=3,"Better","Best")))</f>
        <v>Better</v>
      </c>
    </row>
    <row r="609" spans="1:42" x14ac:dyDescent="0.3">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c r="AJ609">
        <f>IF(HR_Data[[#This Row],[Attrition]]="Yes",1,0)</f>
        <v>1</v>
      </c>
      <c r="AK609">
        <f>IF(HR_Data[[#This Row],[Attrition]]="No",1,0)</f>
        <v>0</v>
      </c>
      <c r="AL609" t="str">
        <f>IF(HR_Data[[#This Row],[Age]]&lt;25,"Under 25",IF(HR_Data[[#This Row],[Age]]&lt;=34,"25-34",IF(HR_Data[[#This Row],[Age]]&lt;=44,"35-44",IF(HR_Data[[#This Row],[Age]]&lt;=54,"45-54","55+"))))</f>
        <v>45-54</v>
      </c>
      <c r="AM609" s="1" t="str">
        <f>IF(HR_Data[[#This Row],[MonthlyIncome]]&lt;3000,"Low Salary",IF(HR_Data[[#This Row],[MonthlyIncome]]&lt;=7000,"Medium Salary","High Salary"))</f>
        <v>High Salary</v>
      </c>
      <c r="AN609" s="1" t="str">
        <f>IF(HR_Data[[#This Row],[YearsAtCompany]]&lt;2,"0-1 Years",IF(HR_Data[[#This Row],[YearsAtCompany]]&lt;=5,"2-5 Years",IF(HR_Data[[#This Row],[YearsAtCompany]]&lt;=10,"6-10 Years","10+ Years")))</f>
        <v>6-10 Years</v>
      </c>
      <c r="AO609" s="1" t="str">
        <f>IF(HR_Data[[#This Row],[JobSatisfaction]]=1,"Low",IF(HR_Data[[#This Row],[JobSatisfaction]]=2,"Medium",IF(HR_Data[[#This Row],[JobSatisfaction]]=3,"High","Very High")))</f>
        <v>Very High</v>
      </c>
      <c r="AP609" s="1" t="str">
        <f>IF(HR_Data[[#This Row],[WorkLifeBalance]]=1,"Bad",IF(HR_Data[[#This Row],[WorkLifeBalance]]=2,"Good",IF(HR_Data[[#This Row],[WorkLifeBalance]]=3,"Better","Best")))</f>
        <v>Best</v>
      </c>
    </row>
    <row r="610" spans="1:42" x14ac:dyDescent="0.3">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c r="AJ610">
        <f>IF(HR_Data[[#This Row],[Attrition]]="Yes",1,0)</f>
        <v>1</v>
      </c>
      <c r="AK610">
        <f>IF(HR_Data[[#This Row],[Attrition]]="No",1,0)</f>
        <v>0</v>
      </c>
      <c r="AL610" t="str">
        <f>IF(HR_Data[[#This Row],[Age]]&lt;25,"Under 25",IF(HR_Data[[#This Row],[Age]]&lt;=34,"25-34",IF(HR_Data[[#This Row],[Age]]&lt;=44,"35-44",IF(HR_Data[[#This Row],[Age]]&lt;=54,"45-54","55+"))))</f>
        <v>55+</v>
      </c>
      <c r="AM610" s="1" t="str">
        <f>IF(HR_Data[[#This Row],[MonthlyIncome]]&lt;3000,"Low Salary",IF(HR_Data[[#This Row],[MonthlyIncome]]&lt;=7000,"Medium Salary","High Salary"))</f>
        <v>Medium Salary</v>
      </c>
      <c r="AN610" s="1" t="str">
        <f>IF(HR_Data[[#This Row],[YearsAtCompany]]&lt;2,"0-1 Years",IF(HR_Data[[#This Row],[YearsAtCompany]]&lt;=5,"2-5 Years",IF(HR_Data[[#This Row],[YearsAtCompany]]&lt;=10,"6-10 Years","10+ Years")))</f>
        <v>6-10 Years</v>
      </c>
      <c r="AO610" s="1" t="str">
        <f>IF(HR_Data[[#This Row],[JobSatisfaction]]=1,"Low",IF(HR_Data[[#This Row],[JobSatisfaction]]=2,"Medium",IF(HR_Data[[#This Row],[JobSatisfaction]]=3,"High","Very High")))</f>
        <v>Very High</v>
      </c>
      <c r="AP610" s="1" t="str">
        <f>IF(HR_Data[[#This Row],[WorkLifeBalance]]=1,"Bad",IF(HR_Data[[#This Row],[WorkLifeBalance]]=2,"Good",IF(HR_Data[[#This Row],[WorkLifeBalance]]=3,"Better","Best")))</f>
        <v>Good</v>
      </c>
    </row>
    <row r="611" spans="1:42" x14ac:dyDescent="0.3">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c r="AJ611">
        <f>IF(HR_Data[[#This Row],[Attrition]]="Yes",1,0)</f>
        <v>0</v>
      </c>
      <c r="AK611">
        <f>IF(HR_Data[[#This Row],[Attrition]]="No",1,0)</f>
        <v>1</v>
      </c>
      <c r="AL611" t="str">
        <f>IF(HR_Data[[#This Row],[Age]]&lt;25,"Under 25",IF(HR_Data[[#This Row],[Age]]&lt;=34,"25-34",IF(HR_Data[[#This Row],[Age]]&lt;=44,"35-44",IF(HR_Data[[#This Row],[Age]]&lt;=54,"45-54","55+"))))</f>
        <v>35-44</v>
      </c>
      <c r="AM611" s="1" t="str">
        <f>IF(HR_Data[[#This Row],[MonthlyIncome]]&lt;3000,"Low Salary",IF(HR_Data[[#This Row],[MonthlyIncome]]&lt;=7000,"Medium Salary","High Salary"))</f>
        <v>High Salary</v>
      </c>
      <c r="AN611" s="1" t="str">
        <f>IF(HR_Data[[#This Row],[YearsAtCompany]]&lt;2,"0-1 Years",IF(HR_Data[[#This Row],[YearsAtCompany]]&lt;=5,"2-5 Years",IF(HR_Data[[#This Row],[YearsAtCompany]]&lt;=10,"6-10 Years","10+ Years")))</f>
        <v>2-5 Years</v>
      </c>
      <c r="AO611" s="1" t="str">
        <f>IF(HR_Data[[#This Row],[JobSatisfaction]]=1,"Low",IF(HR_Data[[#This Row],[JobSatisfaction]]=2,"Medium",IF(HR_Data[[#This Row],[JobSatisfaction]]=3,"High","Very High")))</f>
        <v>Low</v>
      </c>
      <c r="AP611" s="1" t="str">
        <f>IF(HR_Data[[#This Row],[WorkLifeBalance]]=1,"Bad",IF(HR_Data[[#This Row],[WorkLifeBalance]]=2,"Good",IF(HR_Data[[#This Row],[WorkLifeBalance]]=3,"Better","Best")))</f>
        <v>Better</v>
      </c>
    </row>
    <row r="612" spans="1:42" x14ac:dyDescent="0.3">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c r="AJ612">
        <f>IF(HR_Data[[#This Row],[Attrition]]="Yes",1,0)</f>
        <v>0</v>
      </c>
      <c r="AK612">
        <f>IF(HR_Data[[#This Row],[Attrition]]="No",1,0)</f>
        <v>1</v>
      </c>
      <c r="AL612" t="str">
        <f>IF(HR_Data[[#This Row],[Age]]&lt;25,"Under 25",IF(HR_Data[[#This Row],[Age]]&lt;=34,"25-34",IF(HR_Data[[#This Row],[Age]]&lt;=44,"35-44",IF(HR_Data[[#This Row],[Age]]&lt;=54,"45-54","55+"))))</f>
        <v>25-34</v>
      </c>
      <c r="AM612" s="1" t="str">
        <f>IF(HR_Data[[#This Row],[MonthlyIncome]]&lt;3000,"Low Salary",IF(HR_Data[[#This Row],[MonthlyIncome]]&lt;=7000,"Medium Salary","High Salary"))</f>
        <v>High Salary</v>
      </c>
      <c r="AN612" s="1" t="str">
        <f>IF(HR_Data[[#This Row],[YearsAtCompany]]&lt;2,"0-1 Years",IF(HR_Data[[#This Row],[YearsAtCompany]]&lt;=5,"2-5 Years",IF(HR_Data[[#This Row],[YearsAtCompany]]&lt;=10,"6-10 Years","10+ Years")))</f>
        <v>6-10 Years</v>
      </c>
      <c r="AO612" s="1" t="str">
        <f>IF(HR_Data[[#This Row],[JobSatisfaction]]=1,"Low",IF(HR_Data[[#This Row],[JobSatisfaction]]=2,"Medium",IF(HR_Data[[#This Row],[JobSatisfaction]]=3,"High","Very High")))</f>
        <v>Very High</v>
      </c>
      <c r="AP612" s="1" t="str">
        <f>IF(HR_Data[[#This Row],[WorkLifeBalance]]=1,"Bad",IF(HR_Data[[#This Row],[WorkLifeBalance]]=2,"Good",IF(HR_Data[[#This Row],[WorkLifeBalance]]=3,"Better","Best")))</f>
        <v>Better</v>
      </c>
    </row>
    <row r="613" spans="1:42" x14ac:dyDescent="0.3">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c r="AJ613">
        <f>IF(HR_Data[[#This Row],[Attrition]]="Yes",1,0)</f>
        <v>0</v>
      </c>
      <c r="AK613">
        <f>IF(HR_Data[[#This Row],[Attrition]]="No",1,0)</f>
        <v>1</v>
      </c>
      <c r="AL613" t="str">
        <f>IF(HR_Data[[#This Row],[Age]]&lt;25,"Under 25",IF(HR_Data[[#This Row],[Age]]&lt;=34,"25-34",IF(HR_Data[[#This Row],[Age]]&lt;=44,"35-44",IF(HR_Data[[#This Row],[Age]]&lt;=54,"45-54","55+"))))</f>
        <v>35-44</v>
      </c>
      <c r="AM613" s="1" t="str">
        <f>IF(HR_Data[[#This Row],[MonthlyIncome]]&lt;3000,"Low Salary",IF(HR_Data[[#This Row],[MonthlyIncome]]&lt;=7000,"Medium Salary","High Salary"))</f>
        <v>High Salary</v>
      </c>
      <c r="AN613" s="1" t="str">
        <f>IF(HR_Data[[#This Row],[YearsAtCompany]]&lt;2,"0-1 Years",IF(HR_Data[[#This Row],[YearsAtCompany]]&lt;=5,"2-5 Years",IF(HR_Data[[#This Row],[YearsAtCompany]]&lt;=10,"6-10 Years","10+ Years")))</f>
        <v>6-10 Years</v>
      </c>
      <c r="AO613" s="1" t="str">
        <f>IF(HR_Data[[#This Row],[JobSatisfaction]]=1,"Low",IF(HR_Data[[#This Row],[JobSatisfaction]]=2,"Medium",IF(HR_Data[[#This Row],[JobSatisfaction]]=3,"High","Very High")))</f>
        <v>High</v>
      </c>
      <c r="AP613" s="1" t="str">
        <f>IF(HR_Data[[#This Row],[WorkLifeBalance]]=1,"Bad",IF(HR_Data[[#This Row],[WorkLifeBalance]]=2,"Good",IF(HR_Data[[#This Row],[WorkLifeBalance]]=3,"Better","Best")))</f>
        <v>Best</v>
      </c>
    </row>
    <row r="614" spans="1:42" x14ac:dyDescent="0.3">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c r="AJ614">
        <f>IF(HR_Data[[#This Row],[Attrition]]="Yes",1,0)</f>
        <v>0</v>
      </c>
      <c r="AK614">
        <f>IF(HR_Data[[#This Row],[Attrition]]="No",1,0)</f>
        <v>1</v>
      </c>
      <c r="AL614" t="str">
        <f>IF(HR_Data[[#This Row],[Age]]&lt;25,"Under 25",IF(HR_Data[[#This Row],[Age]]&lt;=34,"25-34",IF(HR_Data[[#This Row],[Age]]&lt;=44,"35-44",IF(HR_Data[[#This Row],[Age]]&lt;=54,"45-54","55+"))))</f>
        <v>25-34</v>
      </c>
      <c r="AM614" s="1" t="str">
        <f>IF(HR_Data[[#This Row],[MonthlyIncome]]&lt;3000,"Low Salary",IF(HR_Data[[#This Row],[MonthlyIncome]]&lt;=7000,"Medium Salary","High Salary"))</f>
        <v>Medium Salary</v>
      </c>
      <c r="AN614" s="1" t="str">
        <f>IF(HR_Data[[#This Row],[YearsAtCompany]]&lt;2,"0-1 Years",IF(HR_Data[[#This Row],[YearsAtCompany]]&lt;=5,"2-5 Years",IF(HR_Data[[#This Row],[YearsAtCompany]]&lt;=10,"6-10 Years","10+ Years")))</f>
        <v>6-10 Years</v>
      </c>
      <c r="AO614" s="1" t="str">
        <f>IF(HR_Data[[#This Row],[JobSatisfaction]]=1,"Low",IF(HR_Data[[#This Row],[JobSatisfaction]]=2,"Medium",IF(HR_Data[[#This Row],[JobSatisfaction]]=3,"High","Very High")))</f>
        <v>Medium</v>
      </c>
      <c r="AP614" s="1" t="str">
        <f>IF(HR_Data[[#This Row],[WorkLifeBalance]]=1,"Bad",IF(HR_Data[[#This Row],[WorkLifeBalance]]=2,"Good",IF(HR_Data[[#This Row],[WorkLifeBalance]]=3,"Better","Best")))</f>
        <v>Better</v>
      </c>
    </row>
    <row r="615" spans="1:42" x14ac:dyDescent="0.3">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c r="AJ615">
        <f>IF(HR_Data[[#This Row],[Attrition]]="Yes",1,0)</f>
        <v>0</v>
      </c>
      <c r="AK615">
        <f>IF(HR_Data[[#This Row],[Attrition]]="No",1,0)</f>
        <v>1</v>
      </c>
      <c r="AL615" t="str">
        <f>IF(HR_Data[[#This Row],[Age]]&lt;25,"Under 25",IF(HR_Data[[#This Row],[Age]]&lt;=34,"25-34",IF(HR_Data[[#This Row],[Age]]&lt;=44,"35-44",IF(HR_Data[[#This Row],[Age]]&lt;=54,"45-54","55+"))))</f>
        <v>25-34</v>
      </c>
      <c r="AM615" s="1" t="str">
        <f>IF(HR_Data[[#This Row],[MonthlyIncome]]&lt;3000,"Low Salary",IF(HR_Data[[#This Row],[MonthlyIncome]]&lt;=7000,"Medium Salary","High Salary"))</f>
        <v>Medium Salary</v>
      </c>
      <c r="AN615" s="1" t="str">
        <f>IF(HR_Data[[#This Row],[YearsAtCompany]]&lt;2,"0-1 Years",IF(HR_Data[[#This Row],[YearsAtCompany]]&lt;=5,"2-5 Years",IF(HR_Data[[#This Row],[YearsAtCompany]]&lt;=10,"6-10 Years","10+ Years")))</f>
        <v>2-5 Years</v>
      </c>
      <c r="AO615" s="1" t="str">
        <f>IF(HR_Data[[#This Row],[JobSatisfaction]]=1,"Low",IF(HR_Data[[#This Row],[JobSatisfaction]]=2,"Medium",IF(HR_Data[[#This Row],[JobSatisfaction]]=3,"High","Very High")))</f>
        <v>Very High</v>
      </c>
      <c r="AP615" s="1" t="str">
        <f>IF(HR_Data[[#This Row],[WorkLifeBalance]]=1,"Bad",IF(HR_Data[[#This Row],[WorkLifeBalance]]=2,"Good",IF(HR_Data[[#This Row],[WorkLifeBalance]]=3,"Better","Best")))</f>
        <v>Bad</v>
      </c>
    </row>
    <row r="616" spans="1:42" x14ac:dyDescent="0.3">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c r="AJ616">
        <f>IF(HR_Data[[#This Row],[Attrition]]="Yes",1,0)</f>
        <v>1</v>
      </c>
      <c r="AK616">
        <f>IF(HR_Data[[#This Row],[Attrition]]="No",1,0)</f>
        <v>0</v>
      </c>
      <c r="AL616" t="str">
        <f>IF(HR_Data[[#This Row],[Age]]&lt;25,"Under 25",IF(HR_Data[[#This Row],[Age]]&lt;=34,"25-34",IF(HR_Data[[#This Row],[Age]]&lt;=44,"35-44",IF(HR_Data[[#This Row],[Age]]&lt;=54,"45-54","55+"))))</f>
        <v>25-34</v>
      </c>
      <c r="AM616" s="1" t="str">
        <f>IF(HR_Data[[#This Row],[MonthlyIncome]]&lt;3000,"Low Salary",IF(HR_Data[[#This Row],[MonthlyIncome]]&lt;=7000,"Medium Salary","High Salary"))</f>
        <v>Low Salary</v>
      </c>
      <c r="AN616" s="1" t="str">
        <f>IF(HR_Data[[#This Row],[YearsAtCompany]]&lt;2,"0-1 Years",IF(HR_Data[[#This Row],[YearsAtCompany]]&lt;=5,"2-5 Years",IF(HR_Data[[#This Row],[YearsAtCompany]]&lt;=10,"6-10 Years","10+ Years")))</f>
        <v>6-10 Years</v>
      </c>
      <c r="AO616" s="1" t="str">
        <f>IF(HR_Data[[#This Row],[JobSatisfaction]]=1,"Low",IF(HR_Data[[#This Row],[JobSatisfaction]]=2,"Medium",IF(HR_Data[[#This Row],[JobSatisfaction]]=3,"High","Very High")))</f>
        <v>High</v>
      </c>
      <c r="AP616" s="1" t="str">
        <f>IF(HR_Data[[#This Row],[WorkLifeBalance]]=1,"Bad",IF(HR_Data[[#This Row],[WorkLifeBalance]]=2,"Good",IF(HR_Data[[#This Row],[WorkLifeBalance]]=3,"Better","Best")))</f>
        <v>Better</v>
      </c>
    </row>
    <row r="617" spans="1:42" x14ac:dyDescent="0.3">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c r="AJ617">
        <f>IF(HR_Data[[#This Row],[Attrition]]="Yes",1,0)</f>
        <v>0</v>
      </c>
      <c r="AK617">
        <f>IF(HR_Data[[#This Row],[Attrition]]="No",1,0)</f>
        <v>1</v>
      </c>
      <c r="AL617" t="str">
        <f>IF(HR_Data[[#This Row],[Age]]&lt;25,"Under 25",IF(HR_Data[[#This Row],[Age]]&lt;=34,"25-34",IF(HR_Data[[#This Row],[Age]]&lt;=44,"35-44",IF(HR_Data[[#This Row],[Age]]&lt;=54,"45-54","55+"))))</f>
        <v>25-34</v>
      </c>
      <c r="AM617" s="1" t="str">
        <f>IF(HR_Data[[#This Row],[MonthlyIncome]]&lt;3000,"Low Salary",IF(HR_Data[[#This Row],[MonthlyIncome]]&lt;=7000,"Medium Salary","High Salary"))</f>
        <v>Low Salary</v>
      </c>
      <c r="AN617" s="1" t="str">
        <f>IF(HR_Data[[#This Row],[YearsAtCompany]]&lt;2,"0-1 Years",IF(HR_Data[[#This Row],[YearsAtCompany]]&lt;=5,"2-5 Years",IF(HR_Data[[#This Row],[YearsAtCompany]]&lt;=10,"6-10 Years","10+ Years")))</f>
        <v>0-1 Years</v>
      </c>
      <c r="AO617" s="1" t="str">
        <f>IF(HR_Data[[#This Row],[JobSatisfaction]]=1,"Low",IF(HR_Data[[#This Row],[JobSatisfaction]]=2,"Medium",IF(HR_Data[[#This Row],[JobSatisfaction]]=3,"High","Very High")))</f>
        <v>Very High</v>
      </c>
      <c r="AP617" s="1" t="str">
        <f>IF(HR_Data[[#This Row],[WorkLifeBalance]]=1,"Bad",IF(HR_Data[[#This Row],[WorkLifeBalance]]=2,"Good",IF(HR_Data[[#This Row],[WorkLifeBalance]]=3,"Better","Best")))</f>
        <v>Good</v>
      </c>
    </row>
    <row r="618" spans="1:42" x14ac:dyDescent="0.3">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c r="AJ618">
        <f>IF(HR_Data[[#This Row],[Attrition]]="Yes",1,0)</f>
        <v>0</v>
      </c>
      <c r="AK618">
        <f>IF(HR_Data[[#This Row],[Attrition]]="No",1,0)</f>
        <v>1</v>
      </c>
      <c r="AL618" t="str">
        <f>IF(HR_Data[[#This Row],[Age]]&lt;25,"Under 25",IF(HR_Data[[#This Row],[Age]]&lt;=34,"25-34",IF(HR_Data[[#This Row],[Age]]&lt;=44,"35-44",IF(HR_Data[[#This Row],[Age]]&lt;=54,"45-54","55+"))))</f>
        <v>45-54</v>
      </c>
      <c r="AM618" s="1" t="str">
        <f>IF(HR_Data[[#This Row],[MonthlyIncome]]&lt;3000,"Low Salary",IF(HR_Data[[#This Row],[MonthlyIncome]]&lt;=7000,"Medium Salary","High Salary"))</f>
        <v>High Salary</v>
      </c>
      <c r="AN618" s="1" t="str">
        <f>IF(HR_Data[[#This Row],[YearsAtCompany]]&lt;2,"0-1 Years",IF(HR_Data[[#This Row],[YearsAtCompany]]&lt;=5,"2-5 Years",IF(HR_Data[[#This Row],[YearsAtCompany]]&lt;=10,"6-10 Years","10+ Years")))</f>
        <v>10+ Years</v>
      </c>
      <c r="AO618" s="1" t="str">
        <f>IF(HR_Data[[#This Row],[JobSatisfaction]]=1,"Low",IF(HR_Data[[#This Row],[JobSatisfaction]]=2,"Medium",IF(HR_Data[[#This Row],[JobSatisfaction]]=3,"High","Very High")))</f>
        <v>High</v>
      </c>
      <c r="AP618" s="1" t="str">
        <f>IF(HR_Data[[#This Row],[WorkLifeBalance]]=1,"Bad",IF(HR_Data[[#This Row],[WorkLifeBalance]]=2,"Good",IF(HR_Data[[#This Row],[WorkLifeBalance]]=3,"Better","Best")))</f>
        <v>Good</v>
      </c>
    </row>
    <row r="619" spans="1:42" x14ac:dyDescent="0.3">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c r="AJ619">
        <f>IF(HR_Data[[#This Row],[Attrition]]="Yes",1,0)</f>
        <v>0</v>
      </c>
      <c r="AK619">
        <f>IF(HR_Data[[#This Row],[Attrition]]="No",1,0)</f>
        <v>1</v>
      </c>
      <c r="AL619" t="str">
        <f>IF(HR_Data[[#This Row],[Age]]&lt;25,"Under 25",IF(HR_Data[[#This Row],[Age]]&lt;=34,"25-34",IF(HR_Data[[#This Row],[Age]]&lt;=44,"35-44",IF(HR_Data[[#This Row],[Age]]&lt;=54,"45-54","55+"))))</f>
        <v>35-44</v>
      </c>
      <c r="AM619" s="1" t="str">
        <f>IF(HR_Data[[#This Row],[MonthlyIncome]]&lt;3000,"Low Salary",IF(HR_Data[[#This Row],[MonthlyIncome]]&lt;=7000,"Medium Salary","High Salary"))</f>
        <v>Medium Salary</v>
      </c>
      <c r="AN619" s="1" t="str">
        <f>IF(HR_Data[[#This Row],[YearsAtCompany]]&lt;2,"0-1 Years",IF(HR_Data[[#This Row],[YearsAtCompany]]&lt;=5,"2-5 Years",IF(HR_Data[[#This Row],[YearsAtCompany]]&lt;=10,"6-10 Years","10+ Years")))</f>
        <v>2-5 Years</v>
      </c>
      <c r="AO619" s="1" t="str">
        <f>IF(HR_Data[[#This Row],[JobSatisfaction]]=1,"Low",IF(HR_Data[[#This Row],[JobSatisfaction]]=2,"Medium",IF(HR_Data[[#This Row],[JobSatisfaction]]=3,"High","Very High")))</f>
        <v>Medium</v>
      </c>
      <c r="AP619" s="1" t="str">
        <f>IF(HR_Data[[#This Row],[WorkLifeBalance]]=1,"Bad",IF(HR_Data[[#This Row],[WorkLifeBalance]]=2,"Good",IF(HR_Data[[#This Row],[WorkLifeBalance]]=3,"Better","Best")))</f>
        <v>Good</v>
      </c>
    </row>
    <row r="620" spans="1:42" x14ac:dyDescent="0.3">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c r="AJ620">
        <f>IF(HR_Data[[#This Row],[Attrition]]="Yes",1,0)</f>
        <v>0</v>
      </c>
      <c r="AK620">
        <f>IF(HR_Data[[#This Row],[Attrition]]="No",1,0)</f>
        <v>1</v>
      </c>
      <c r="AL620" t="str">
        <f>IF(HR_Data[[#This Row],[Age]]&lt;25,"Under 25",IF(HR_Data[[#This Row],[Age]]&lt;=34,"25-34",IF(HR_Data[[#This Row],[Age]]&lt;=44,"35-44",IF(HR_Data[[#This Row],[Age]]&lt;=54,"45-54","55+"))))</f>
        <v>25-34</v>
      </c>
      <c r="AM620" s="1" t="str">
        <f>IF(HR_Data[[#This Row],[MonthlyIncome]]&lt;3000,"Low Salary",IF(HR_Data[[#This Row],[MonthlyIncome]]&lt;=7000,"Medium Salary","High Salary"))</f>
        <v>Medium Salary</v>
      </c>
      <c r="AN620" s="1" t="str">
        <f>IF(HR_Data[[#This Row],[YearsAtCompany]]&lt;2,"0-1 Years",IF(HR_Data[[#This Row],[YearsAtCompany]]&lt;=5,"2-5 Years",IF(HR_Data[[#This Row],[YearsAtCompany]]&lt;=10,"6-10 Years","10+ Years")))</f>
        <v>2-5 Years</v>
      </c>
      <c r="AO620" s="1" t="str">
        <f>IF(HR_Data[[#This Row],[JobSatisfaction]]=1,"Low",IF(HR_Data[[#This Row],[JobSatisfaction]]=2,"Medium",IF(HR_Data[[#This Row],[JobSatisfaction]]=3,"High","Very High")))</f>
        <v>Low</v>
      </c>
      <c r="AP620" s="1" t="str">
        <f>IF(HR_Data[[#This Row],[WorkLifeBalance]]=1,"Bad",IF(HR_Data[[#This Row],[WorkLifeBalance]]=2,"Good",IF(HR_Data[[#This Row],[WorkLifeBalance]]=3,"Better","Best")))</f>
        <v>Good</v>
      </c>
    </row>
    <row r="621" spans="1:42" x14ac:dyDescent="0.3">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c r="AJ621">
        <f>IF(HR_Data[[#This Row],[Attrition]]="Yes",1,0)</f>
        <v>0</v>
      </c>
      <c r="AK621">
        <f>IF(HR_Data[[#This Row],[Attrition]]="No",1,0)</f>
        <v>1</v>
      </c>
      <c r="AL621" t="str">
        <f>IF(HR_Data[[#This Row],[Age]]&lt;25,"Under 25",IF(HR_Data[[#This Row],[Age]]&lt;=34,"25-34",IF(HR_Data[[#This Row],[Age]]&lt;=44,"35-44",IF(HR_Data[[#This Row],[Age]]&lt;=54,"45-54","55+"))))</f>
        <v>25-34</v>
      </c>
      <c r="AM621" s="1" t="str">
        <f>IF(HR_Data[[#This Row],[MonthlyIncome]]&lt;3000,"Low Salary",IF(HR_Data[[#This Row],[MonthlyIncome]]&lt;=7000,"Medium Salary","High Salary"))</f>
        <v>Medium Salary</v>
      </c>
      <c r="AN621" s="1" t="str">
        <f>IF(HR_Data[[#This Row],[YearsAtCompany]]&lt;2,"0-1 Years",IF(HR_Data[[#This Row],[YearsAtCompany]]&lt;=5,"2-5 Years",IF(HR_Data[[#This Row],[YearsAtCompany]]&lt;=10,"6-10 Years","10+ Years")))</f>
        <v>6-10 Years</v>
      </c>
      <c r="AO621" s="1" t="str">
        <f>IF(HR_Data[[#This Row],[JobSatisfaction]]=1,"Low",IF(HR_Data[[#This Row],[JobSatisfaction]]=2,"Medium",IF(HR_Data[[#This Row],[JobSatisfaction]]=3,"High","Very High")))</f>
        <v>Low</v>
      </c>
      <c r="AP621" s="1" t="str">
        <f>IF(HR_Data[[#This Row],[WorkLifeBalance]]=1,"Bad",IF(HR_Data[[#This Row],[WorkLifeBalance]]=2,"Good",IF(HR_Data[[#This Row],[WorkLifeBalance]]=3,"Better","Best")))</f>
        <v>Better</v>
      </c>
    </row>
    <row r="622" spans="1:42" x14ac:dyDescent="0.3">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c r="AJ622">
        <f>IF(HR_Data[[#This Row],[Attrition]]="Yes",1,0)</f>
        <v>0</v>
      </c>
      <c r="AK622">
        <f>IF(HR_Data[[#This Row],[Attrition]]="No",1,0)</f>
        <v>1</v>
      </c>
      <c r="AL622" t="str">
        <f>IF(HR_Data[[#This Row],[Age]]&lt;25,"Under 25",IF(HR_Data[[#This Row],[Age]]&lt;=34,"25-34",IF(HR_Data[[#This Row],[Age]]&lt;=44,"35-44",IF(HR_Data[[#This Row],[Age]]&lt;=54,"45-54","55+"))))</f>
        <v>35-44</v>
      </c>
      <c r="AM622" s="1" t="str">
        <f>IF(HR_Data[[#This Row],[MonthlyIncome]]&lt;3000,"Low Salary",IF(HR_Data[[#This Row],[MonthlyIncome]]&lt;=7000,"Medium Salary","High Salary"))</f>
        <v>Low Salary</v>
      </c>
      <c r="AN622" s="1" t="str">
        <f>IF(HR_Data[[#This Row],[YearsAtCompany]]&lt;2,"0-1 Years",IF(HR_Data[[#This Row],[YearsAtCompany]]&lt;=5,"2-5 Years",IF(HR_Data[[#This Row],[YearsAtCompany]]&lt;=10,"6-10 Years","10+ Years")))</f>
        <v>6-10 Years</v>
      </c>
      <c r="AO622" s="1" t="str">
        <f>IF(HR_Data[[#This Row],[JobSatisfaction]]=1,"Low",IF(HR_Data[[#This Row],[JobSatisfaction]]=2,"Medium",IF(HR_Data[[#This Row],[JobSatisfaction]]=3,"High","Very High")))</f>
        <v>Low</v>
      </c>
      <c r="AP622" s="1" t="str">
        <f>IF(HR_Data[[#This Row],[WorkLifeBalance]]=1,"Bad",IF(HR_Data[[#This Row],[WorkLifeBalance]]=2,"Good",IF(HR_Data[[#This Row],[WorkLifeBalance]]=3,"Better","Best")))</f>
        <v>Good</v>
      </c>
    </row>
    <row r="623" spans="1:42" x14ac:dyDescent="0.3">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c r="AJ623">
        <f>IF(HR_Data[[#This Row],[Attrition]]="Yes",1,0)</f>
        <v>0</v>
      </c>
      <c r="AK623">
        <f>IF(HR_Data[[#This Row],[Attrition]]="No",1,0)</f>
        <v>1</v>
      </c>
      <c r="AL623" t="str">
        <f>IF(HR_Data[[#This Row],[Age]]&lt;25,"Under 25",IF(HR_Data[[#This Row],[Age]]&lt;=34,"25-34",IF(HR_Data[[#This Row],[Age]]&lt;=44,"35-44",IF(HR_Data[[#This Row],[Age]]&lt;=54,"45-54","55+"))))</f>
        <v>35-44</v>
      </c>
      <c r="AM623" s="1" t="str">
        <f>IF(HR_Data[[#This Row],[MonthlyIncome]]&lt;3000,"Low Salary",IF(HR_Data[[#This Row],[MonthlyIncome]]&lt;=7000,"Medium Salary","High Salary"))</f>
        <v>Medium Salary</v>
      </c>
      <c r="AN623" s="1" t="str">
        <f>IF(HR_Data[[#This Row],[YearsAtCompany]]&lt;2,"0-1 Years",IF(HR_Data[[#This Row],[YearsAtCompany]]&lt;=5,"2-5 Years",IF(HR_Data[[#This Row],[YearsAtCompany]]&lt;=10,"6-10 Years","10+ Years")))</f>
        <v>10+ Years</v>
      </c>
      <c r="AO623" s="1" t="str">
        <f>IF(HR_Data[[#This Row],[JobSatisfaction]]=1,"Low",IF(HR_Data[[#This Row],[JobSatisfaction]]=2,"Medium",IF(HR_Data[[#This Row],[JobSatisfaction]]=3,"High","Very High")))</f>
        <v>Very High</v>
      </c>
      <c r="AP623" s="1" t="str">
        <f>IF(HR_Data[[#This Row],[WorkLifeBalance]]=1,"Bad",IF(HR_Data[[#This Row],[WorkLifeBalance]]=2,"Good",IF(HR_Data[[#This Row],[WorkLifeBalance]]=3,"Better","Best")))</f>
        <v>Good</v>
      </c>
    </row>
    <row r="624" spans="1:42" x14ac:dyDescent="0.3">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c r="AJ624">
        <f>IF(HR_Data[[#This Row],[Attrition]]="Yes",1,0)</f>
        <v>0</v>
      </c>
      <c r="AK624">
        <f>IF(HR_Data[[#This Row],[Attrition]]="No",1,0)</f>
        <v>1</v>
      </c>
      <c r="AL624" t="str">
        <f>IF(HR_Data[[#This Row],[Age]]&lt;25,"Under 25",IF(HR_Data[[#This Row],[Age]]&lt;=34,"25-34",IF(HR_Data[[#This Row],[Age]]&lt;=44,"35-44",IF(HR_Data[[#This Row],[Age]]&lt;=54,"45-54","55+"))))</f>
        <v>25-34</v>
      </c>
      <c r="AM624" s="1" t="str">
        <f>IF(HR_Data[[#This Row],[MonthlyIncome]]&lt;3000,"Low Salary",IF(HR_Data[[#This Row],[MonthlyIncome]]&lt;=7000,"Medium Salary","High Salary"))</f>
        <v>Medium Salary</v>
      </c>
      <c r="AN624" s="1" t="str">
        <f>IF(HR_Data[[#This Row],[YearsAtCompany]]&lt;2,"0-1 Years",IF(HR_Data[[#This Row],[YearsAtCompany]]&lt;=5,"2-5 Years",IF(HR_Data[[#This Row],[YearsAtCompany]]&lt;=10,"6-10 Years","10+ Years")))</f>
        <v>2-5 Years</v>
      </c>
      <c r="AO624" s="1" t="str">
        <f>IF(HR_Data[[#This Row],[JobSatisfaction]]=1,"Low",IF(HR_Data[[#This Row],[JobSatisfaction]]=2,"Medium",IF(HR_Data[[#This Row],[JobSatisfaction]]=3,"High","Very High")))</f>
        <v>Very High</v>
      </c>
      <c r="AP624" s="1" t="str">
        <f>IF(HR_Data[[#This Row],[WorkLifeBalance]]=1,"Bad",IF(HR_Data[[#This Row],[WorkLifeBalance]]=2,"Good",IF(HR_Data[[#This Row],[WorkLifeBalance]]=3,"Better","Best")))</f>
        <v>Good</v>
      </c>
    </row>
    <row r="625" spans="1:42" x14ac:dyDescent="0.3">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c r="AJ625">
        <f>IF(HR_Data[[#This Row],[Attrition]]="Yes",1,0)</f>
        <v>0</v>
      </c>
      <c r="AK625">
        <f>IF(HR_Data[[#This Row],[Attrition]]="No",1,0)</f>
        <v>1</v>
      </c>
      <c r="AL625" t="str">
        <f>IF(HR_Data[[#This Row],[Age]]&lt;25,"Under 25",IF(HR_Data[[#This Row],[Age]]&lt;=34,"25-34",IF(HR_Data[[#This Row],[Age]]&lt;=44,"35-44",IF(HR_Data[[#This Row],[Age]]&lt;=54,"45-54","55+"))))</f>
        <v>25-34</v>
      </c>
      <c r="AM625" s="1" t="str">
        <f>IF(HR_Data[[#This Row],[MonthlyIncome]]&lt;3000,"Low Salary",IF(HR_Data[[#This Row],[MonthlyIncome]]&lt;=7000,"Medium Salary","High Salary"))</f>
        <v>Medium Salary</v>
      </c>
      <c r="AN625" s="1" t="str">
        <f>IF(HR_Data[[#This Row],[YearsAtCompany]]&lt;2,"0-1 Years",IF(HR_Data[[#This Row],[YearsAtCompany]]&lt;=5,"2-5 Years",IF(HR_Data[[#This Row],[YearsAtCompany]]&lt;=10,"6-10 Years","10+ Years")))</f>
        <v>2-5 Years</v>
      </c>
      <c r="AO625" s="1" t="str">
        <f>IF(HR_Data[[#This Row],[JobSatisfaction]]=1,"Low",IF(HR_Data[[#This Row],[JobSatisfaction]]=2,"Medium",IF(HR_Data[[#This Row],[JobSatisfaction]]=3,"High","Very High")))</f>
        <v>Very High</v>
      </c>
      <c r="AP625" s="1" t="str">
        <f>IF(HR_Data[[#This Row],[WorkLifeBalance]]=1,"Bad",IF(HR_Data[[#This Row],[WorkLifeBalance]]=2,"Good",IF(HR_Data[[#This Row],[WorkLifeBalance]]=3,"Better","Best")))</f>
        <v>Good</v>
      </c>
    </row>
    <row r="626" spans="1:42" x14ac:dyDescent="0.3">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c r="AJ626">
        <f>IF(HR_Data[[#This Row],[Attrition]]="Yes",1,0)</f>
        <v>0</v>
      </c>
      <c r="AK626">
        <f>IF(HR_Data[[#This Row],[Attrition]]="No",1,0)</f>
        <v>1</v>
      </c>
      <c r="AL626" t="str">
        <f>IF(HR_Data[[#This Row],[Age]]&lt;25,"Under 25",IF(HR_Data[[#This Row],[Age]]&lt;=34,"25-34",IF(HR_Data[[#This Row],[Age]]&lt;=44,"35-44",IF(HR_Data[[#This Row],[Age]]&lt;=54,"45-54","55+"))))</f>
        <v>45-54</v>
      </c>
      <c r="AM626" s="1" t="str">
        <f>IF(HR_Data[[#This Row],[MonthlyIncome]]&lt;3000,"Low Salary",IF(HR_Data[[#This Row],[MonthlyIncome]]&lt;=7000,"Medium Salary","High Salary"))</f>
        <v>High Salary</v>
      </c>
      <c r="AN626" s="1" t="str">
        <f>IF(HR_Data[[#This Row],[YearsAtCompany]]&lt;2,"0-1 Years",IF(HR_Data[[#This Row],[YearsAtCompany]]&lt;=5,"2-5 Years",IF(HR_Data[[#This Row],[YearsAtCompany]]&lt;=10,"6-10 Years","10+ Years")))</f>
        <v>2-5 Years</v>
      </c>
      <c r="AO626" s="1" t="str">
        <f>IF(HR_Data[[#This Row],[JobSatisfaction]]=1,"Low",IF(HR_Data[[#This Row],[JobSatisfaction]]=2,"Medium",IF(HR_Data[[#This Row],[JobSatisfaction]]=3,"High","Very High")))</f>
        <v>Very High</v>
      </c>
      <c r="AP626" s="1" t="str">
        <f>IF(HR_Data[[#This Row],[WorkLifeBalance]]=1,"Bad",IF(HR_Data[[#This Row],[WorkLifeBalance]]=2,"Good",IF(HR_Data[[#This Row],[WorkLifeBalance]]=3,"Better","Best")))</f>
        <v>Better</v>
      </c>
    </row>
    <row r="627" spans="1:42" x14ac:dyDescent="0.3">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c r="AJ627">
        <f>IF(HR_Data[[#This Row],[Attrition]]="Yes",1,0)</f>
        <v>0</v>
      </c>
      <c r="AK627">
        <f>IF(HR_Data[[#This Row],[Attrition]]="No",1,0)</f>
        <v>1</v>
      </c>
      <c r="AL627" t="str">
        <f>IF(HR_Data[[#This Row],[Age]]&lt;25,"Under 25",IF(HR_Data[[#This Row],[Age]]&lt;=34,"25-34",IF(HR_Data[[#This Row],[Age]]&lt;=44,"35-44",IF(HR_Data[[#This Row],[Age]]&lt;=54,"45-54","55+"))))</f>
        <v>45-54</v>
      </c>
      <c r="AM627" s="1" t="str">
        <f>IF(HR_Data[[#This Row],[MonthlyIncome]]&lt;3000,"Low Salary",IF(HR_Data[[#This Row],[MonthlyIncome]]&lt;=7000,"Medium Salary","High Salary"))</f>
        <v>High Salary</v>
      </c>
      <c r="AN627" s="1" t="str">
        <f>IF(HR_Data[[#This Row],[YearsAtCompany]]&lt;2,"0-1 Years",IF(HR_Data[[#This Row],[YearsAtCompany]]&lt;=5,"2-5 Years",IF(HR_Data[[#This Row],[YearsAtCompany]]&lt;=10,"6-10 Years","10+ Years")))</f>
        <v>2-5 Years</v>
      </c>
      <c r="AO627" s="1" t="str">
        <f>IF(HR_Data[[#This Row],[JobSatisfaction]]=1,"Low",IF(HR_Data[[#This Row],[JobSatisfaction]]=2,"Medium",IF(HR_Data[[#This Row],[JobSatisfaction]]=3,"High","Very High")))</f>
        <v>Low</v>
      </c>
      <c r="AP627" s="1" t="str">
        <f>IF(HR_Data[[#This Row],[WorkLifeBalance]]=1,"Bad",IF(HR_Data[[#This Row],[WorkLifeBalance]]=2,"Good",IF(HR_Data[[#This Row],[WorkLifeBalance]]=3,"Better","Best")))</f>
        <v>Better</v>
      </c>
    </row>
    <row r="628" spans="1:42" x14ac:dyDescent="0.3">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c r="AJ628">
        <f>IF(HR_Data[[#This Row],[Attrition]]="Yes",1,0)</f>
        <v>0</v>
      </c>
      <c r="AK628">
        <f>IF(HR_Data[[#This Row],[Attrition]]="No",1,0)</f>
        <v>1</v>
      </c>
      <c r="AL628" t="str">
        <f>IF(HR_Data[[#This Row],[Age]]&lt;25,"Under 25",IF(HR_Data[[#This Row],[Age]]&lt;=34,"25-34",IF(HR_Data[[#This Row],[Age]]&lt;=44,"35-44",IF(HR_Data[[#This Row],[Age]]&lt;=54,"45-54","55+"))))</f>
        <v>25-34</v>
      </c>
      <c r="AM628" s="1" t="str">
        <f>IF(HR_Data[[#This Row],[MonthlyIncome]]&lt;3000,"Low Salary",IF(HR_Data[[#This Row],[MonthlyIncome]]&lt;=7000,"Medium Salary","High Salary"))</f>
        <v>Medium Salary</v>
      </c>
      <c r="AN628" s="1" t="str">
        <f>IF(HR_Data[[#This Row],[YearsAtCompany]]&lt;2,"0-1 Years",IF(HR_Data[[#This Row],[YearsAtCompany]]&lt;=5,"2-5 Years",IF(HR_Data[[#This Row],[YearsAtCompany]]&lt;=10,"6-10 Years","10+ Years")))</f>
        <v>2-5 Years</v>
      </c>
      <c r="AO628" s="1" t="str">
        <f>IF(HR_Data[[#This Row],[JobSatisfaction]]=1,"Low",IF(HR_Data[[#This Row],[JobSatisfaction]]=2,"Medium",IF(HR_Data[[#This Row],[JobSatisfaction]]=3,"High","Very High")))</f>
        <v>High</v>
      </c>
      <c r="AP628" s="1" t="str">
        <f>IF(HR_Data[[#This Row],[WorkLifeBalance]]=1,"Bad",IF(HR_Data[[#This Row],[WorkLifeBalance]]=2,"Good",IF(HR_Data[[#This Row],[WorkLifeBalance]]=3,"Better","Best")))</f>
        <v>Good</v>
      </c>
    </row>
    <row r="629" spans="1:42" x14ac:dyDescent="0.3">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c r="AJ629">
        <f>IF(HR_Data[[#This Row],[Attrition]]="Yes",1,0)</f>
        <v>0</v>
      </c>
      <c r="AK629">
        <f>IF(HR_Data[[#This Row],[Attrition]]="No",1,0)</f>
        <v>1</v>
      </c>
      <c r="AL629" t="str">
        <f>IF(HR_Data[[#This Row],[Age]]&lt;25,"Under 25",IF(HR_Data[[#This Row],[Age]]&lt;=34,"25-34",IF(HR_Data[[#This Row],[Age]]&lt;=44,"35-44",IF(HR_Data[[#This Row],[Age]]&lt;=54,"45-54","55+"))))</f>
        <v>45-54</v>
      </c>
      <c r="AM629" s="1" t="str">
        <f>IF(HR_Data[[#This Row],[MonthlyIncome]]&lt;3000,"Low Salary",IF(HR_Data[[#This Row],[MonthlyIncome]]&lt;=7000,"Medium Salary","High Salary"))</f>
        <v>High Salary</v>
      </c>
      <c r="AN629" s="1" t="str">
        <f>IF(HR_Data[[#This Row],[YearsAtCompany]]&lt;2,"0-1 Years",IF(HR_Data[[#This Row],[YearsAtCompany]]&lt;=5,"2-5 Years",IF(HR_Data[[#This Row],[YearsAtCompany]]&lt;=10,"6-10 Years","10+ Years")))</f>
        <v>6-10 Years</v>
      </c>
      <c r="AO629" s="1" t="str">
        <f>IF(HR_Data[[#This Row],[JobSatisfaction]]=1,"Low",IF(HR_Data[[#This Row],[JobSatisfaction]]=2,"Medium",IF(HR_Data[[#This Row],[JobSatisfaction]]=3,"High","Very High")))</f>
        <v>Very High</v>
      </c>
      <c r="AP629" s="1" t="str">
        <f>IF(HR_Data[[#This Row],[WorkLifeBalance]]=1,"Bad",IF(HR_Data[[#This Row],[WorkLifeBalance]]=2,"Good",IF(HR_Data[[#This Row],[WorkLifeBalance]]=3,"Better","Best")))</f>
        <v>Better</v>
      </c>
    </row>
    <row r="630" spans="1:42" x14ac:dyDescent="0.3">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c r="AJ630">
        <f>IF(HR_Data[[#This Row],[Attrition]]="Yes",1,0)</f>
        <v>0</v>
      </c>
      <c r="AK630">
        <f>IF(HR_Data[[#This Row],[Attrition]]="No",1,0)</f>
        <v>1</v>
      </c>
      <c r="AL630" t="str">
        <f>IF(HR_Data[[#This Row],[Age]]&lt;25,"Under 25",IF(HR_Data[[#This Row],[Age]]&lt;=34,"25-34",IF(HR_Data[[#This Row],[Age]]&lt;=44,"35-44",IF(HR_Data[[#This Row],[Age]]&lt;=54,"45-54","55+"))))</f>
        <v>35-44</v>
      </c>
      <c r="AM630" s="1" t="str">
        <f>IF(HR_Data[[#This Row],[MonthlyIncome]]&lt;3000,"Low Salary",IF(HR_Data[[#This Row],[MonthlyIncome]]&lt;=7000,"Medium Salary","High Salary"))</f>
        <v>Medium Salary</v>
      </c>
      <c r="AN630" s="1" t="str">
        <f>IF(HR_Data[[#This Row],[YearsAtCompany]]&lt;2,"0-1 Years",IF(HR_Data[[#This Row],[YearsAtCompany]]&lt;=5,"2-5 Years",IF(HR_Data[[#This Row],[YearsAtCompany]]&lt;=10,"6-10 Years","10+ Years")))</f>
        <v>0-1 Years</v>
      </c>
      <c r="AO630" s="1" t="str">
        <f>IF(HR_Data[[#This Row],[JobSatisfaction]]=1,"Low",IF(HR_Data[[#This Row],[JobSatisfaction]]=2,"Medium",IF(HR_Data[[#This Row],[JobSatisfaction]]=3,"High","Very High")))</f>
        <v>High</v>
      </c>
      <c r="AP630" s="1" t="str">
        <f>IF(HR_Data[[#This Row],[WorkLifeBalance]]=1,"Bad",IF(HR_Data[[#This Row],[WorkLifeBalance]]=2,"Good",IF(HR_Data[[#This Row],[WorkLifeBalance]]=3,"Better","Best")))</f>
        <v>Better</v>
      </c>
    </row>
    <row r="631" spans="1:42" x14ac:dyDescent="0.3">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c r="AJ631">
        <f>IF(HR_Data[[#This Row],[Attrition]]="Yes",1,0)</f>
        <v>0</v>
      </c>
      <c r="AK631">
        <f>IF(HR_Data[[#This Row],[Attrition]]="No",1,0)</f>
        <v>1</v>
      </c>
      <c r="AL631" t="str">
        <f>IF(HR_Data[[#This Row],[Age]]&lt;25,"Under 25",IF(HR_Data[[#This Row],[Age]]&lt;=34,"25-34",IF(HR_Data[[#This Row],[Age]]&lt;=44,"35-44",IF(HR_Data[[#This Row],[Age]]&lt;=54,"45-54","55+"))))</f>
        <v>25-34</v>
      </c>
      <c r="AM631" s="1" t="str">
        <f>IF(HR_Data[[#This Row],[MonthlyIncome]]&lt;3000,"Low Salary",IF(HR_Data[[#This Row],[MonthlyIncome]]&lt;=7000,"Medium Salary","High Salary"))</f>
        <v>Medium Salary</v>
      </c>
      <c r="AN631" s="1" t="str">
        <f>IF(HR_Data[[#This Row],[YearsAtCompany]]&lt;2,"0-1 Years",IF(HR_Data[[#This Row],[YearsAtCompany]]&lt;=5,"2-5 Years",IF(HR_Data[[#This Row],[YearsAtCompany]]&lt;=10,"6-10 Years","10+ Years")))</f>
        <v>2-5 Years</v>
      </c>
      <c r="AO631" s="1" t="str">
        <f>IF(HR_Data[[#This Row],[JobSatisfaction]]=1,"Low",IF(HR_Data[[#This Row],[JobSatisfaction]]=2,"Medium",IF(HR_Data[[#This Row],[JobSatisfaction]]=3,"High","Very High")))</f>
        <v>Very High</v>
      </c>
      <c r="AP631" s="1" t="str">
        <f>IF(HR_Data[[#This Row],[WorkLifeBalance]]=1,"Bad",IF(HR_Data[[#This Row],[WorkLifeBalance]]=2,"Good",IF(HR_Data[[#This Row],[WorkLifeBalance]]=3,"Better","Best")))</f>
        <v>Better</v>
      </c>
    </row>
    <row r="632" spans="1:42" x14ac:dyDescent="0.3">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c r="AJ632">
        <f>IF(HR_Data[[#This Row],[Attrition]]="Yes",1,0)</f>
        <v>0</v>
      </c>
      <c r="AK632">
        <f>IF(HR_Data[[#This Row],[Attrition]]="No",1,0)</f>
        <v>1</v>
      </c>
      <c r="AL632" t="str">
        <f>IF(HR_Data[[#This Row],[Age]]&lt;25,"Under 25",IF(HR_Data[[#This Row],[Age]]&lt;=34,"25-34",IF(HR_Data[[#This Row],[Age]]&lt;=44,"35-44",IF(HR_Data[[#This Row],[Age]]&lt;=54,"45-54","55+"))))</f>
        <v>Under 25</v>
      </c>
      <c r="AM632" s="1" t="str">
        <f>IF(HR_Data[[#This Row],[MonthlyIncome]]&lt;3000,"Low Salary",IF(HR_Data[[#This Row],[MonthlyIncome]]&lt;=7000,"Medium Salary","High Salary"))</f>
        <v>Medium Salary</v>
      </c>
      <c r="AN632" s="1" t="str">
        <f>IF(HR_Data[[#This Row],[YearsAtCompany]]&lt;2,"0-1 Years",IF(HR_Data[[#This Row],[YearsAtCompany]]&lt;=5,"2-5 Years",IF(HR_Data[[#This Row],[YearsAtCompany]]&lt;=10,"6-10 Years","10+ Years")))</f>
        <v>2-5 Years</v>
      </c>
      <c r="AO632" s="1" t="str">
        <f>IF(HR_Data[[#This Row],[JobSatisfaction]]=1,"Low",IF(HR_Data[[#This Row],[JobSatisfaction]]=2,"Medium",IF(HR_Data[[#This Row],[JobSatisfaction]]=3,"High","Very High")))</f>
        <v>Very High</v>
      </c>
      <c r="AP632" s="1" t="str">
        <f>IF(HR_Data[[#This Row],[WorkLifeBalance]]=1,"Bad",IF(HR_Data[[#This Row],[WorkLifeBalance]]=2,"Good",IF(HR_Data[[#This Row],[WorkLifeBalance]]=3,"Better","Best")))</f>
        <v>Bad</v>
      </c>
    </row>
    <row r="633" spans="1:42" x14ac:dyDescent="0.3">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c r="AJ633">
        <f>IF(HR_Data[[#This Row],[Attrition]]="Yes",1,0)</f>
        <v>0</v>
      </c>
      <c r="AK633">
        <f>IF(HR_Data[[#This Row],[Attrition]]="No",1,0)</f>
        <v>1</v>
      </c>
      <c r="AL633" t="str">
        <f>IF(HR_Data[[#This Row],[Age]]&lt;25,"Under 25",IF(HR_Data[[#This Row],[Age]]&lt;=34,"25-34",IF(HR_Data[[#This Row],[Age]]&lt;=44,"35-44",IF(HR_Data[[#This Row],[Age]]&lt;=54,"45-54","55+"))))</f>
        <v>35-44</v>
      </c>
      <c r="AM633" s="1" t="str">
        <f>IF(HR_Data[[#This Row],[MonthlyIncome]]&lt;3000,"Low Salary",IF(HR_Data[[#This Row],[MonthlyIncome]]&lt;=7000,"Medium Salary","High Salary"))</f>
        <v>Low Salary</v>
      </c>
      <c r="AN633" s="1" t="str">
        <f>IF(HR_Data[[#This Row],[YearsAtCompany]]&lt;2,"0-1 Years",IF(HR_Data[[#This Row],[YearsAtCompany]]&lt;=5,"2-5 Years",IF(HR_Data[[#This Row],[YearsAtCompany]]&lt;=10,"6-10 Years","10+ Years")))</f>
        <v>2-5 Years</v>
      </c>
      <c r="AO633" s="1" t="str">
        <f>IF(HR_Data[[#This Row],[JobSatisfaction]]=1,"Low",IF(HR_Data[[#This Row],[JobSatisfaction]]=2,"Medium",IF(HR_Data[[#This Row],[JobSatisfaction]]=3,"High","Very High")))</f>
        <v>Very High</v>
      </c>
      <c r="AP633" s="1" t="str">
        <f>IF(HR_Data[[#This Row],[WorkLifeBalance]]=1,"Bad",IF(HR_Data[[#This Row],[WorkLifeBalance]]=2,"Good",IF(HR_Data[[#This Row],[WorkLifeBalance]]=3,"Better","Best")))</f>
        <v>Good</v>
      </c>
    </row>
    <row r="634" spans="1:42" x14ac:dyDescent="0.3">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c r="AJ634">
        <f>IF(HR_Data[[#This Row],[Attrition]]="Yes",1,0)</f>
        <v>0</v>
      </c>
      <c r="AK634">
        <f>IF(HR_Data[[#This Row],[Attrition]]="No",1,0)</f>
        <v>1</v>
      </c>
      <c r="AL634" t="str">
        <f>IF(HR_Data[[#This Row],[Age]]&lt;25,"Under 25",IF(HR_Data[[#This Row],[Age]]&lt;=34,"25-34",IF(HR_Data[[#This Row],[Age]]&lt;=44,"35-44",IF(HR_Data[[#This Row],[Age]]&lt;=54,"45-54","55+"))))</f>
        <v>35-44</v>
      </c>
      <c r="AM634" s="1" t="str">
        <f>IF(HR_Data[[#This Row],[MonthlyIncome]]&lt;3000,"Low Salary",IF(HR_Data[[#This Row],[MonthlyIncome]]&lt;=7000,"Medium Salary","High Salary"))</f>
        <v>Low Salary</v>
      </c>
      <c r="AN634" s="1" t="str">
        <f>IF(HR_Data[[#This Row],[YearsAtCompany]]&lt;2,"0-1 Years",IF(HR_Data[[#This Row],[YearsAtCompany]]&lt;=5,"2-5 Years",IF(HR_Data[[#This Row],[YearsAtCompany]]&lt;=10,"6-10 Years","10+ Years")))</f>
        <v>2-5 Years</v>
      </c>
      <c r="AO634" s="1" t="str">
        <f>IF(HR_Data[[#This Row],[JobSatisfaction]]=1,"Low",IF(HR_Data[[#This Row],[JobSatisfaction]]=2,"Medium",IF(HR_Data[[#This Row],[JobSatisfaction]]=3,"High","Very High")))</f>
        <v>Very High</v>
      </c>
      <c r="AP634" s="1" t="str">
        <f>IF(HR_Data[[#This Row],[WorkLifeBalance]]=1,"Bad",IF(HR_Data[[#This Row],[WorkLifeBalance]]=2,"Good",IF(HR_Data[[#This Row],[WorkLifeBalance]]=3,"Better","Best")))</f>
        <v>Better</v>
      </c>
    </row>
    <row r="635" spans="1:42" x14ac:dyDescent="0.3">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c r="AJ635">
        <f>IF(HR_Data[[#This Row],[Attrition]]="Yes",1,0)</f>
        <v>0</v>
      </c>
      <c r="AK635">
        <f>IF(HR_Data[[#This Row],[Attrition]]="No",1,0)</f>
        <v>1</v>
      </c>
      <c r="AL635" t="str">
        <f>IF(HR_Data[[#This Row],[Age]]&lt;25,"Under 25",IF(HR_Data[[#This Row],[Age]]&lt;=34,"25-34",IF(HR_Data[[#This Row],[Age]]&lt;=44,"35-44",IF(HR_Data[[#This Row],[Age]]&lt;=54,"45-54","55+"))))</f>
        <v>35-44</v>
      </c>
      <c r="AM635" s="1" t="str">
        <f>IF(HR_Data[[#This Row],[MonthlyIncome]]&lt;3000,"Low Salary",IF(HR_Data[[#This Row],[MonthlyIncome]]&lt;=7000,"Medium Salary","High Salary"))</f>
        <v>Low Salary</v>
      </c>
      <c r="AN635" s="1" t="str">
        <f>IF(HR_Data[[#This Row],[YearsAtCompany]]&lt;2,"0-1 Years",IF(HR_Data[[#This Row],[YearsAtCompany]]&lt;=5,"2-5 Years",IF(HR_Data[[#This Row],[YearsAtCompany]]&lt;=10,"6-10 Years","10+ Years")))</f>
        <v>2-5 Years</v>
      </c>
      <c r="AO635" s="1" t="str">
        <f>IF(HR_Data[[#This Row],[JobSatisfaction]]=1,"Low",IF(HR_Data[[#This Row],[JobSatisfaction]]=2,"Medium",IF(HR_Data[[#This Row],[JobSatisfaction]]=3,"High","Very High")))</f>
        <v>Low</v>
      </c>
      <c r="AP635" s="1" t="str">
        <f>IF(HR_Data[[#This Row],[WorkLifeBalance]]=1,"Bad",IF(HR_Data[[#This Row],[WorkLifeBalance]]=2,"Good",IF(HR_Data[[#This Row],[WorkLifeBalance]]=3,"Better","Best")))</f>
        <v>Better</v>
      </c>
    </row>
    <row r="636" spans="1:42" x14ac:dyDescent="0.3">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c r="AJ636">
        <f>IF(HR_Data[[#This Row],[Attrition]]="Yes",1,0)</f>
        <v>0</v>
      </c>
      <c r="AK636">
        <f>IF(HR_Data[[#This Row],[Attrition]]="No",1,0)</f>
        <v>1</v>
      </c>
      <c r="AL636" t="str">
        <f>IF(HR_Data[[#This Row],[Age]]&lt;25,"Under 25",IF(HR_Data[[#This Row],[Age]]&lt;=34,"25-34",IF(HR_Data[[#This Row],[Age]]&lt;=44,"35-44",IF(HR_Data[[#This Row],[Age]]&lt;=54,"45-54","55+"))))</f>
        <v>25-34</v>
      </c>
      <c r="AM636" s="1" t="str">
        <f>IF(HR_Data[[#This Row],[MonthlyIncome]]&lt;3000,"Low Salary",IF(HR_Data[[#This Row],[MonthlyIncome]]&lt;=7000,"Medium Salary","High Salary"))</f>
        <v>Medium Salary</v>
      </c>
      <c r="AN636" s="1" t="str">
        <f>IF(HR_Data[[#This Row],[YearsAtCompany]]&lt;2,"0-1 Years",IF(HR_Data[[#This Row],[YearsAtCompany]]&lt;=5,"2-5 Years",IF(HR_Data[[#This Row],[YearsAtCompany]]&lt;=10,"6-10 Years","10+ Years")))</f>
        <v>2-5 Years</v>
      </c>
      <c r="AO636" s="1" t="str">
        <f>IF(HR_Data[[#This Row],[JobSatisfaction]]=1,"Low",IF(HR_Data[[#This Row],[JobSatisfaction]]=2,"Medium",IF(HR_Data[[#This Row],[JobSatisfaction]]=3,"High","Very High")))</f>
        <v>Low</v>
      </c>
      <c r="AP636" s="1" t="str">
        <f>IF(HR_Data[[#This Row],[WorkLifeBalance]]=1,"Bad",IF(HR_Data[[#This Row],[WorkLifeBalance]]=2,"Good",IF(HR_Data[[#This Row],[WorkLifeBalance]]=3,"Better","Best")))</f>
        <v>Better</v>
      </c>
    </row>
    <row r="637" spans="1:42" x14ac:dyDescent="0.3">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c r="AJ637">
        <f>IF(HR_Data[[#This Row],[Attrition]]="Yes",1,0)</f>
        <v>0</v>
      </c>
      <c r="AK637">
        <f>IF(HR_Data[[#This Row],[Attrition]]="No",1,0)</f>
        <v>1</v>
      </c>
      <c r="AL637" t="str">
        <f>IF(HR_Data[[#This Row],[Age]]&lt;25,"Under 25",IF(HR_Data[[#This Row],[Age]]&lt;=34,"25-34",IF(HR_Data[[#This Row],[Age]]&lt;=44,"35-44",IF(HR_Data[[#This Row],[Age]]&lt;=54,"45-54","55+"))))</f>
        <v>35-44</v>
      </c>
      <c r="AM637" s="1" t="str">
        <f>IF(HR_Data[[#This Row],[MonthlyIncome]]&lt;3000,"Low Salary",IF(HR_Data[[#This Row],[MonthlyIncome]]&lt;=7000,"Medium Salary","High Salary"))</f>
        <v>High Salary</v>
      </c>
      <c r="AN637" s="1" t="str">
        <f>IF(HR_Data[[#This Row],[YearsAtCompany]]&lt;2,"0-1 Years",IF(HR_Data[[#This Row],[YearsAtCompany]]&lt;=5,"2-5 Years",IF(HR_Data[[#This Row],[YearsAtCompany]]&lt;=10,"6-10 Years","10+ Years")))</f>
        <v>10+ Years</v>
      </c>
      <c r="AO637" s="1" t="str">
        <f>IF(HR_Data[[#This Row],[JobSatisfaction]]=1,"Low",IF(HR_Data[[#This Row],[JobSatisfaction]]=2,"Medium",IF(HR_Data[[#This Row],[JobSatisfaction]]=3,"High","Very High")))</f>
        <v>High</v>
      </c>
      <c r="AP637" s="1" t="str">
        <f>IF(HR_Data[[#This Row],[WorkLifeBalance]]=1,"Bad",IF(HR_Data[[#This Row],[WorkLifeBalance]]=2,"Good",IF(HR_Data[[#This Row],[WorkLifeBalance]]=3,"Better","Best")))</f>
        <v>Better</v>
      </c>
    </row>
    <row r="638" spans="1:42" x14ac:dyDescent="0.3">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c r="AJ638">
        <f>IF(HR_Data[[#This Row],[Attrition]]="Yes",1,0)</f>
        <v>1</v>
      </c>
      <c r="AK638">
        <f>IF(HR_Data[[#This Row],[Attrition]]="No",1,0)</f>
        <v>0</v>
      </c>
      <c r="AL638" t="str">
        <f>IF(HR_Data[[#This Row],[Age]]&lt;25,"Under 25",IF(HR_Data[[#This Row],[Age]]&lt;=34,"25-34",IF(HR_Data[[#This Row],[Age]]&lt;=44,"35-44",IF(HR_Data[[#This Row],[Age]]&lt;=54,"45-54","55+"))))</f>
        <v>35-44</v>
      </c>
      <c r="AM638" s="1" t="str">
        <f>IF(HR_Data[[#This Row],[MonthlyIncome]]&lt;3000,"Low Salary",IF(HR_Data[[#This Row],[MonthlyIncome]]&lt;=7000,"Medium Salary","High Salary"))</f>
        <v>Low Salary</v>
      </c>
      <c r="AN638" s="1" t="str">
        <f>IF(HR_Data[[#This Row],[YearsAtCompany]]&lt;2,"0-1 Years",IF(HR_Data[[#This Row],[YearsAtCompany]]&lt;=5,"2-5 Years",IF(HR_Data[[#This Row],[YearsAtCompany]]&lt;=10,"6-10 Years","10+ Years")))</f>
        <v>6-10 Years</v>
      </c>
      <c r="AO638" s="1" t="str">
        <f>IF(HR_Data[[#This Row],[JobSatisfaction]]=1,"Low",IF(HR_Data[[#This Row],[JobSatisfaction]]=2,"Medium",IF(HR_Data[[#This Row],[JobSatisfaction]]=3,"High","Very High")))</f>
        <v>Medium</v>
      </c>
      <c r="AP638" s="1" t="str">
        <f>IF(HR_Data[[#This Row],[WorkLifeBalance]]=1,"Bad",IF(HR_Data[[#This Row],[WorkLifeBalance]]=2,"Good",IF(HR_Data[[#This Row],[WorkLifeBalance]]=3,"Better","Best")))</f>
        <v>Good</v>
      </c>
    </row>
    <row r="639" spans="1:42" x14ac:dyDescent="0.3">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c r="AJ639">
        <f>IF(HR_Data[[#This Row],[Attrition]]="Yes",1,0)</f>
        <v>0</v>
      </c>
      <c r="AK639">
        <f>IF(HR_Data[[#This Row],[Attrition]]="No",1,0)</f>
        <v>1</v>
      </c>
      <c r="AL639" t="str">
        <f>IF(HR_Data[[#This Row],[Age]]&lt;25,"Under 25",IF(HR_Data[[#This Row],[Age]]&lt;=34,"25-34",IF(HR_Data[[#This Row],[Age]]&lt;=44,"35-44",IF(HR_Data[[#This Row],[Age]]&lt;=54,"45-54","55+"))))</f>
        <v>25-34</v>
      </c>
      <c r="AM639" s="1" t="str">
        <f>IF(HR_Data[[#This Row],[MonthlyIncome]]&lt;3000,"Low Salary",IF(HR_Data[[#This Row],[MonthlyIncome]]&lt;=7000,"Medium Salary","High Salary"))</f>
        <v>Low Salary</v>
      </c>
      <c r="AN639" s="1" t="str">
        <f>IF(HR_Data[[#This Row],[YearsAtCompany]]&lt;2,"0-1 Years",IF(HR_Data[[#This Row],[YearsAtCompany]]&lt;=5,"2-5 Years",IF(HR_Data[[#This Row],[YearsAtCompany]]&lt;=10,"6-10 Years","10+ Years")))</f>
        <v>2-5 Years</v>
      </c>
      <c r="AO639" s="1" t="str">
        <f>IF(HR_Data[[#This Row],[JobSatisfaction]]=1,"Low",IF(HR_Data[[#This Row],[JobSatisfaction]]=2,"Medium",IF(HR_Data[[#This Row],[JobSatisfaction]]=3,"High","Very High")))</f>
        <v>Very High</v>
      </c>
      <c r="AP639" s="1" t="str">
        <f>IF(HR_Data[[#This Row],[WorkLifeBalance]]=1,"Bad",IF(HR_Data[[#This Row],[WorkLifeBalance]]=2,"Good",IF(HR_Data[[#This Row],[WorkLifeBalance]]=3,"Better","Best")))</f>
        <v>Better</v>
      </c>
    </row>
    <row r="640" spans="1:42" x14ac:dyDescent="0.3">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c r="AJ640">
        <f>IF(HR_Data[[#This Row],[Attrition]]="Yes",1,0)</f>
        <v>0</v>
      </c>
      <c r="AK640">
        <f>IF(HR_Data[[#This Row],[Attrition]]="No",1,0)</f>
        <v>1</v>
      </c>
      <c r="AL640" t="str">
        <f>IF(HR_Data[[#This Row],[Age]]&lt;25,"Under 25",IF(HR_Data[[#This Row],[Age]]&lt;=34,"25-34",IF(HR_Data[[#This Row],[Age]]&lt;=44,"35-44",IF(HR_Data[[#This Row],[Age]]&lt;=54,"45-54","55+"))))</f>
        <v>25-34</v>
      </c>
      <c r="AM640" s="1" t="str">
        <f>IF(HR_Data[[#This Row],[MonthlyIncome]]&lt;3000,"Low Salary",IF(HR_Data[[#This Row],[MonthlyIncome]]&lt;=7000,"Medium Salary","High Salary"))</f>
        <v>Medium Salary</v>
      </c>
      <c r="AN640" s="1" t="str">
        <f>IF(HR_Data[[#This Row],[YearsAtCompany]]&lt;2,"0-1 Years",IF(HR_Data[[#This Row],[YearsAtCompany]]&lt;=5,"2-5 Years",IF(HR_Data[[#This Row],[YearsAtCompany]]&lt;=10,"6-10 Years","10+ Years")))</f>
        <v>2-5 Years</v>
      </c>
      <c r="AO640" s="1" t="str">
        <f>IF(HR_Data[[#This Row],[JobSatisfaction]]=1,"Low",IF(HR_Data[[#This Row],[JobSatisfaction]]=2,"Medium",IF(HR_Data[[#This Row],[JobSatisfaction]]=3,"High","Very High")))</f>
        <v>Low</v>
      </c>
      <c r="AP640" s="1" t="str">
        <f>IF(HR_Data[[#This Row],[WorkLifeBalance]]=1,"Bad",IF(HR_Data[[#This Row],[WorkLifeBalance]]=2,"Good",IF(HR_Data[[#This Row],[WorkLifeBalance]]=3,"Better","Best")))</f>
        <v>Best</v>
      </c>
    </row>
    <row r="641" spans="1:42" x14ac:dyDescent="0.3">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c r="AJ641">
        <f>IF(HR_Data[[#This Row],[Attrition]]="Yes",1,0)</f>
        <v>0</v>
      </c>
      <c r="AK641">
        <f>IF(HR_Data[[#This Row],[Attrition]]="No",1,0)</f>
        <v>1</v>
      </c>
      <c r="AL641" t="str">
        <f>IF(HR_Data[[#This Row],[Age]]&lt;25,"Under 25",IF(HR_Data[[#This Row],[Age]]&lt;=34,"25-34",IF(HR_Data[[#This Row],[Age]]&lt;=44,"35-44",IF(HR_Data[[#This Row],[Age]]&lt;=54,"45-54","55+"))))</f>
        <v>45-54</v>
      </c>
      <c r="AM641" s="1" t="str">
        <f>IF(HR_Data[[#This Row],[MonthlyIncome]]&lt;3000,"Low Salary",IF(HR_Data[[#This Row],[MonthlyIncome]]&lt;=7000,"Medium Salary","High Salary"))</f>
        <v>Medium Salary</v>
      </c>
      <c r="AN641" s="1" t="str">
        <f>IF(HR_Data[[#This Row],[YearsAtCompany]]&lt;2,"0-1 Years",IF(HR_Data[[#This Row],[YearsAtCompany]]&lt;=5,"2-5 Years",IF(HR_Data[[#This Row],[YearsAtCompany]]&lt;=10,"6-10 Years","10+ Years")))</f>
        <v>2-5 Years</v>
      </c>
      <c r="AO641" s="1" t="str">
        <f>IF(HR_Data[[#This Row],[JobSatisfaction]]=1,"Low",IF(HR_Data[[#This Row],[JobSatisfaction]]=2,"Medium",IF(HR_Data[[#This Row],[JobSatisfaction]]=3,"High","Very High")))</f>
        <v>Low</v>
      </c>
      <c r="AP641" s="1" t="str">
        <f>IF(HR_Data[[#This Row],[WorkLifeBalance]]=1,"Bad",IF(HR_Data[[#This Row],[WorkLifeBalance]]=2,"Good",IF(HR_Data[[#This Row],[WorkLifeBalance]]=3,"Better","Best")))</f>
        <v>Better</v>
      </c>
    </row>
    <row r="642" spans="1:42" x14ac:dyDescent="0.3">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c r="AJ642">
        <f>IF(HR_Data[[#This Row],[Attrition]]="Yes",1,0)</f>
        <v>0</v>
      </c>
      <c r="AK642">
        <f>IF(HR_Data[[#This Row],[Attrition]]="No",1,0)</f>
        <v>1</v>
      </c>
      <c r="AL642" t="str">
        <f>IF(HR_Data[[#This Row],[Age]]&lt;25,"Under 25",IF(HR_Data[[#This Row],[Age]]&lt;=34,"25-34",IF(HR_Data[[#This Row],[Age]]&lt;=44,"35-44",IF(HR_Data[[#This Row],[Age]]&lt;=54,"45-54","55+"))))</f>
        <v>Under 25</v>
      </c>
      <c r="AM642" s="1" t="str">
        <f>IF(HR_Data[[#This Row],[MonthlyIncome]]&lt;3000,"Low Salary",IF(HR_Data[[#This Row],[MonthlyIncome]]&lt;=7000,"Medium Salary","High Salary"))</f>
        <v>Medium Salary</v>
      </c>
      <c r="AN642" s="1" t="str">
        <f>IF(HR_Data[[#This Row],[YearsAtCompany]]&lt;2,"0-1 Years",IF(HR_Data[[#This Row],[YearsAtCompany]]&lt;=5,"2-5 Years",IF(HR_Data[[#This Row],[YearsAtCompany]]&lt;=10,"6-10 Years","10+ Years")))</f>
        <v>2-5 Years</v>
      </c>
      <c r="AO642" s="1" t="str">
        <f>IF(HR_Data[[#This Row],[JobSatisfaction]]=1,"Low",IF(HR_Data[[#This Row],[JobSatisfaction]]=2,"Medium",IF(HR_Data[[#This Row],[JobSatisfaction]]=3,"High","Very High")))</f>
        <v>Very High</v>
      </c>
      <c r="AP642" s="1" t="str">
        <f>IF(HR_Data[[#This Row],[WorkLifeBalance]]=1,"Bad",IF(HR_Data[[#This Row],[WorkLifeBalance]]=2,"Good",IF(HR_Data[[#This Row],[WorkLifeBalance]]=3,"Better","Best")))</f>
        <v>Good</v>
      </c>
    </row>
    <row r="643" spans="1:42" x14ac:dyDescent="0.3">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c r="AJ643">
        <f>IF(HR_Data[[#This Row],[Attrition]]="Yes",1,0)</f>
        <v>0</v>
      </c>
      <c r="AK643">
        <f>IF(HR_Data[[#This Row],[Attrition]]="No",1,0)</f>
        <v>1</v>
      </c>
      <c r="AL643" t="str">
        <f>IF(HR_Data[[#This Row],[Age]]&lt;25,"Under 25",IF(HR_Data[[#This Row],[Age]]&lt;=34,"25-34",IF(HR_Data[[#This Row],[Age]]&lt;=44,"35-44",IF(HR_Data[[#This Row],[Age]]&lt;=54,"45-54","55+"))))</f>
        <v>25-34</v>
      </c>
      <c r="AM643" s="1" t="str">
        <f>IF(HR_Data[[#This Row],[MonthlyIncome]]&lt;3000,"Low Salary",IF(HR_Data[[#This Row],[MonthlyIncome]]&lt;=7000,"Medium Salary","High Salary"))</f>
        <v>Medium Salary</v>
      </c>
      <c r="AN643" s="1" t="str">
        <f>IF(HR_Data[[#This Row],[YearsAtCompany]]&lt;2,"0-1 Years",IF(HR_Data[[#This Row],[YearsAtCompany]]&lt;=5,"2-5 Years",IF(HR_Data[[#This Row],[YearsAtCompany]]&lt;=10,"6-10 Years","10+ Years")))</f>
        <v>6-10 Years</v>
      </c>
      <c r="AO643" s="1" t="str">
        <f>IF(HR_Data[[#This Row],[JobSatisfaction]]=1,"Low",IF(HR_Data[[#This Row],[JobSatisfaction]]=2,"Medium",IF(HR_Data[[#This Row],[JobSatisfaction]]=3,"High","Very High")))</f>
        <v>Medium</v>
      </c>
      <c r="AP643" s="1" t="str">
        <f>IF(HR_Data[[#This Row],[WorkLifeBalance]]=1,"Bad",IF(HR_Data[[#This Row],[WorkLifeBalance]]=2,"Good",IF(HR_Data[[#This Row],[WorkLifeBalance]]=3,"Better","Best")))</f>
        <v>Better</v>
      </c>
    </row>
    <row r="644" spans="1:42" x14ac:dyDescent="0.3">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c r="AJ644">
        <f>IF(HR_Data[[#This Row],[Attrition]]="Yes",1,0)</f>
        <v>0</v>
      </c>
      <c r="AK644">
        <f>IF(HR_Data[[#This Row],[Attrition]]="No",1,0)</f>
        <v>1</v>
      </c>
      <c r="AL644" t="str">
        <f>IF(HR_Data[[#This Row],[Age]]&lt;25,"Under 25",IF(HR_Data[[#This Row],[Age]]&lt;=34,"25-34",IF(HR_Data[[#This Row],[Age]]&lt;=44,"35-44",IF(HR_Data[[#This Row],[Age]]&lt;=54,"45-54","55+"))))</f>
        <v>35-44</v>
      </c>
      <c r="AM644" s="1" t="str">
        <f>IF(HR_Data[[#This Row],[MonthlyIncome]]&lt;3000,"Low Salary",IF(HR_Data[[#This Row],[MonthlyIncome]]&lt;=7000,"Medium Salary","High Salary"))</f>
        <v>Low Salary</v>
      </c>
      <c r="AN644" s="1" t="str">
        <f>IF(HR_Data[[#This Row],[YearsAtCompany]]&lt;2,"0-1 Years",IF(HR_Data[[#This Row],[YearsAtCompany]]&lt;=5,"2-5 Years",IF(HR_Data[[#This Row],[YearsAtCompany]]&lt;=10,"6-10 Years","10+ Years")))</f>
        <v>2-5 Years</v>
      </c>
      <c r="AO644" s="1" t="str">
        <f>IF(HR_Data[[#This Row],[JobSatisfaction]]=1,"Low",IF(HR_Data[[#This Row],[JobSatisfaction]]=2,"Medium",IF(HR_Data[[#This Row],[JobSatisfaction]]=3,"High","Very High")))</f>
        <v>Medium</v>
      </c>
      <c r="AP644" s="1" t="str">
        <f>IF(HR_Data[[#This Row],[WorkLifeBalance]]=1,"Bad",IF(HR_Data[[#This Row],[WorkLifeBalance]]=2,"Good",IF(HR_Data[[#This Row],[WorkLifeBalance]]=3,"Better","Best")))</f>
        <v>Better</v>
      </c>
    </row>
    <row r="645" spans="1:42" x14ac:dyDescent="0.3">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c r="AJ645">
        <f>IF(HR_Data[[#This Row],[Attrition]]="Yes",1,0)</f>
        <v>0</v>
      </c>
      <c r="AK645">
        <f>IF(HR_Data[[#This Row],[Attrition]]="No",1,0)</f>
        <v>1</v>
      </c>
      <c r="AL645" t="str">
        <f>IF(HR_Data[[#This Row],[Age]]&lt;25,"Under 25",IF(HR_Data[[#This Row],[Age]]&lt;=34,"25-34",IF(HR_Data[[#This Row],[Age]]&lt;=44,"35-44",IF(HR_Data[[#This Row],[Age]]&lt;=54,"45-54","55+"))))</f>
        <v>35-44</v>
      </c>
      <c r="AM645" s="1" t="str">
        <f>IF(HR_Data[[#This Row],[MonthlyIncome]]&lt;3000,"Low Salary",IF(HR_Data[[#This Row],[MonthlyIncome]]&lt;=7000,"Medium Salary","High Salary"))</f>
        <v>Medium Salary</v>
      </c>
      <c r="AN645" s="1" t="str">
        <f>IF(HR_Data[[#This Row],[YearsAtCompany]]&lt;2,"0-1 Years",IF(HR_Data[[#This Row],[YearsAtCompany]]&lt;=5,"2-5 Years",IF(HR_Data[[#This Row],[YearsAtCompany]]&lt;=10,"6-10 Years","10+ Years")))</f>
        <v>2-5 Years</v>
      </c>
      <c r="AO645" s="1" t="str">
        <f>IF(HR_Data[[#This Row],[JobSatisfaction]]=1,"Low",IF(HR_Data[[#This Row],[JobSatisfaction]]=2,"Medium",IF(HR_Data[[#This Row],[JobSatisfaction]]=3,"High","Very High")))</f>
        <v>Very High</v>
      </c>
      <c r="AP645" s="1" t="str">
        <f>IF(HR_Data[[#This Row],[WorkLifeBalance]]=1,"Bad",IF(HR_Data[[#This Row],[WorkLifeBalance]]=2,"Good",IF(HR_Data[[#This Row],[WorkLifeBalance]]=3,"Better","Best")))</f>
        <v>Good</v>
      </c>
    </row>
    <row r="646" spans="1:42" x14ac:dyDescent="0.3">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c r="AJ646">
        <f>IF(HR_Data[[#This Row],[Attrition]]="Yes",1,0)</f>
        <v>0</v>
      </c>
      <c r="AK646">
        <f>IF(HR_Data[[#This Row],[Attrition]]="No",1,0)</f>
        <v>1</v>
      </c>
      <c r="AL646" t="str">
        <f>IF(HR_Data[[#This Row],[Age]]&lt;25,"Under 25",IF(HR_Data[[#This Row],[Age]]&lt;=34,"25-34",IF(HR_Data[[#This Row],[Age]]&lt;=44,"35-44",IF(HR_Data[[#This Row],[Age]]&lt;=54,"45-54","55+"))))</f>
        <v>25-34</v>
      </c>
      <c r="AM646" s="1" t="str">
        <f>IF(HR_Data[[#This Row],[MonthlyIncome]]&lt;3000,"Low Salary",IF(HR_Data[[#This Row],[MonthlyIncome]]&lt;=7000,"Medium Salary","High Salary"))</f>
        <v>Low Salary</v>
      </c>
      <c r="AN646" s="1" t="str">
        <f>IF(HR_Data[[#This Row],[YearsAtCompany]]&lt;2,"0-1 Years",IF(HR_Data[[#This Row],[YearsAtCompany]]&lt;=5,"2-5 Years",IF(HR_Data[[#This Row],[YearsAtCompany]]&lt;=10,"6-10 Years","10+ Years")))</f>
        <v>6-10 Years</v>
      </c>
      <c r="AO646" s="1" t="str">
        <f>IF(HR_Data[[#This Row],[JobSatisfaction]]=1,"Low",IF(HR_Data[[#This Row],[JobSatisfaction]]=2,"Medium",IF(HR_Data[[#This Row],[JobSatisfaction]]=3,"High","Very High")))</f>
        <v>Very High</v>
      </c>
      <c r="AP646" s="1" t="str">
        <f>IF(HR_Data[[#This Row],[WorkLifeBalance]]=1,"Bad",IF(HR_Data[[#This Row],[WorkLifeBalance]]=2,"Good",IF(HR_Data[[#This Row],[WorkLifeBalance]]=3,"Better","Best")))</f>
        <v>Better</v>
      </c>
    </row>
    <row r="647" spans="1:42" x14ac:dyDescent="0.3">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c r="AJ647">
        <f>IF(HR_Data[[#This Row],[Attrition]]="Yes",1,0)</f>
        <v>1</v>
      </c>
      <c r="AK647">
        <f>IF(HR_Data[[#This Row],[Attrition]]="No",1,0)</f>
        <v>0</v>
      </c>
      <c r="AL647" t="str">
        <f>IF(HR_Data[[#This Row],[Age]]&lt;25,"Under 25",IF(HR_Data[[#This Row],[Age]]&lt;=34,"25-34",IF(HR_Data[[#This Row],[Age]]&lt;=44,"35-44",IF(HR_Data[[#This Row],[Age]]&lt;=54,"45-54","55+"))))</f>
        <v>25-34</v>
      </c>
      <c r="AM647" s="1" t="str">
        <f>IF(HR_Data[[#This Row],[MonthlyIncome]]&lt;3000,"Low Salary",IF(HR_Data[[#This Row],[MonthlyIncome]]&lt;=7000,"Medium Salary","High Salary"))</f>
        <v>Low Salary</v>
      </c>
      <c r="AN647" s="1" t="str">
        <f>IF(HR_Data[[#This Row],[YearsAtCompany]]&lt;2,"0-1 Years",IF(HR_Data[[#This Row],[YearsAtCompany]]&lt;=5,"2-5 Years",IF(HR_Data[[#This Row],[YearsAtCompany]]&lt;=10,"6-10 Years","10+ Years")))</f>
        <v>2-5 Years</v>
      </c>
      <c r="AO647" s="1" t="str">
        <f>IF(HR_Data[[#This Row],[JobSatisfaction]]=1,"Low",IF(HR_Data[[#This Row],[JobSatisfaction]]=2,"Medium",IF(HR_Data[[#This Row],[JobSatisfaction]]=3,"High","Very High")))</f>
        <v>High</v>
      </c>
      <c r="AP647" s="1" t="str">
        <f>IF(HR_Data[[#This Row],[WorkLifeBalance]]=1,"Bad",IF(HR_Data[[#This Row],[WorkLifeBalance]]=2,"Good",IF(HR_Data[[#This Row],[WorkLifeBalance]]=3,"Better","Best")))</f>
        <v>Better</v>
      </c>
    </row>
    <row r="648" spans="1:42" x14ac:dyDescent="0.3">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c r="AJ648">
        <f>IF(HR_Data[[#This Row],[Attrition]]="Yes",1,0)</f>
        <v>0</v>
      </c>
      <c r="AK648">
        <f>IF(HR_Data[[#This Row],[Attrition]]="No",1,0)</f>
        <v>1</v>
      </c>
      <c r="AL648" t="str">
        <f>IF(HR_Data[[#This Row],[Age]]&lt;25,"Under 25",IF(HR_Data[[#This Row],[Age]]&lt;=34,"25-34",IF(HR_Data[[#This Row],[Age]]&lt;=44,"35-44",IF(HR_Data[[#This Row],[Age]]&lt;=54,"45-54","55+"))))</f>
        <v>45-54</v>
      </c>
      <c r="AM648" s="1" t="str">
        <f>IF(HR_Data[[#This Row],[MonthlyIncome]]&lt;3000,"Low Salary",IF(HR_Data[[#This Row],[MonthlyIncome]]&lt;=7000,"Medium Salary","High Salary"))</f>
        <v>High Salary</v>
      </c>
      <c r="AN648" s="1" t="str">
        <f>IF(HR_Data[[#This Row],[YearsAtCompany]]&lt;2,"0-1 Years",IF(HR_Data[[#This Row],[YearsAtCompany]]&lt;=5,"2-5 Years",IF(HR_Data[[#This Row],[YearsAtCompany]]&lt;=10,"6-10 Years","10+ Years")))</f>
        <v>2-5 Years</v>
      </c>
      <c r="AO648" s="1" t="str">
        <f>IF(HR_Data[[#This Row],[JobSatisfaction]]=1,"Low",IF(HR_Data[[#This Row],[JobSatisfaction]]=2,"Medium",IF(HR_Data[[#This Row],[JobSatisfaction]]=3,"High","Very High")))</f>
        <v>Very High</v>
      </c>
      <c r="AP648" s="1" t="str">
        <f>IF(HR_Data[[#This Row],[WorkLifeBalance]]=1,"Bad",IF(HR_Data[[#This Row],[WorkLifeBalance]]=2,"Good",IF(HR_Data[[#This Row],[WorkLifeBalance]]=3,"Better","Best")))</f>
        <v>Better</v>
      </c>
    </row>
    <row r="649" spans="1:42" x14ac:dyDescent="0.3">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c r="AJ649">
        <f>IF(HR_Data[[#This Row],[Attrition]]="Yes",1,0)</f>
        <v>0</v>
      </c>
      <c r="AK649">
        <f>IF(HR_Data[[#This Row],[Attrition]]="No",1,0)</f>
        <v>1</v>
      </c>
      <c r="AL649" t="str">
        <f>IF(HR_Data[[#This Row],[Age]]&lt;25,"Under 25",IF(HR_Data[[#This Row],[Age]]&lt;=34,"25-34",IF(HR_Data[[#This Row],[Age]]&lt;=44,"35-44",IF(HR_Data[[#This Row],[Age]]&lt;=54,"45-54","55+"))))</f>
        <v>35-44</v>
      </c>
      <c r="AM649" s="1" t="str">
        <f>IF(HR_Data[[#This Row],[MonthlyIncome]]&lt;3000,"Low Salary",IF(HR_Data[[#This Row],[MonthlyIncome]]&lt;=7000,"Medium Salary","High Salary"))</f>
        <v>High Salary</v>
      </c>
      <c r="AN649" s="1" t="str">
        <f>IF(HR_Data[[#This Row],[YearsAtCompany]]&lt;2,"0-1 Years",IF(HR_Data[[#This Row],[YearsAtCompany]]&lt;=5,"2-5 Years",IF(HR_Data[[#This Row],[YearsAtCompany]]&lt;=10,"6-10 Years","10+ Years")))</f>
        <v>10+ Years</v>
      </c>
      <c r="AO649" s="1" t="str">
        <f>IF(HR_Data[[#This Row],[JobSatisfaction]]=1,"Low",IF(HR_Data[[#This Row],[JobSatisfaction]]=2,"Medium",IF(HR_Data[[#This Row],[JobSatisfaction]]=3,"High","Very High")))</f>
        <v>Medium</v>
      </c>
      <c r="AP649" s="1" t="str">
        <f>IF(HR_Data[[#This Row],[WorkLifeBalance]]=1,"Bad",IF(HR_Data[[#This Row],[WorkLifeBalance]]=2,"Good",IF(HR_Data[[#This Row],[WorkLifeBalance]]=3,"Better","Best")))</f>
        <v>Better</v>
      </c>
    </row>
    <row r="650" spans="1:42" x14ac:dyDescent="0.3">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c r="AJ650">
        <f>IF(HR_Data[[#This Row],[Attrition]]="Yes",1,0)</f>
        <v>0</v>
      </c>
      <c r="AK650">
        <f>IF(HR_Data[[#This Row],[Attrition]]="No",1,0)</f>
        <v>1</v>
      </c>
      <c r="AL650" t="str">
        <f>IF(HR_Data[[#This Row],[Age]]&lt;25,"Under 25",IF(HR_Data[[#This Row],[Age]]&lt;=34,"25-34",IF(HR_Data[[#This Row],[Age]]&lt;=44,"35-44",IF(HR_Data[[#This Row],[Age]]&lt;=54,"45-54","55+"))))</f>
        <v>35-44</v>
      </c>
      <c r="AM650" s="1" t="str">
        <f>IF(HR_Data[[#This Row],[MonthlyIncome]]&lt;3000,"Low Salary",IF(HR_Data[[#This Row],[MonthlyIncome]]&lt;=7000,"Medium Salary","High Salary"))</f>
        <v>Low Salary</v>
      </c>
      <c r="AN650" s="1" t="str">
        <f>IF(HR_Data[[#This Row],[YearsAtCompany]]&lt;2,"0-1 Years",IF(HR_Data[[#This Row],[YearsAtCompany]]&lt;=5,"2-5 Years",IF(HR_Data[[#This Row],[YearsAtCompany]]&lt;=10,"6-10 Years","10+ Years")))</f>
        <v>2-5 Years</v>
      </c>
      <c r="AO650" s="1" t="str">
        <f>IF(HR_Data[[#This Row],[JobSatisfaction]]=1,"Low",IF(HR_Data[[#This Row],[JobSatisfaction]]=2,"Medium",IF(HR_Data[[#This Row],[JobSatisfaction]]=3,"High","Very High")))</f>
        <v>Very High</v>
      </c>
      <c r="AP650" s="1" t="str">
        <f>IF(HR_Data[[#This Row],[WorkLifeBalance]]=1,"Bad",IF(HR_Data[[#This Row],[WorkLifeBalance]]=2,"Good",IF(HR_Data[[#This Row],[WorkLifeBalance]]=3,"Better","Best")))</f>
        <v>Better</v>
      </c>
    </row>
    <row r="651" spans="1:42" x14ac:dyDescent="0.3">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c r="AJ651">
        <f>IF(HR_Data[[#This Row],[Attrition]]="Yes",1,0)</f>
        <v>0</v>
      </c>
      <c r="AK651">
        <f>IF(HR_Data[[#This Row],[Attrition]]="No",1,0)</f>
        <v>1</v>
      </c>
      <c r="AL651" t="str">
        <f>IF(HR_Data[[#This Row],[Age]]&lt;25,"Under 25",IF(HR_Data[[#This Row],[Age]]&lt;=34,"25-34",IF(HR_Data[[#This Row],[Age]]&lt;=44,"35-44",IF(HR_Data[[#This Row],[Age]]&lt;=54,"45-54","55+"))))</f>
        <v>45-54</v>
      </c>
      <c r="AM651" s="1" t="str">
        <f>IF(HR_Data[[#This Row],[MonthlyIncome]]&lt;3000,"Low Salary",IF(HR_Data[[#This Row],[MonthlyIncome]]&lt;=7000,"Medium Salary","High Salary"))</f>
        <v>High Salary</v>
      </c>
      <c r="AN651" s="1" t="str">
        <f>IF(HR_Data[[#This Row],[YearsAtCompany]]&lt;2,"0-1 Years",IF(HR_Data[[#This Row],[YearsAtCompany]]&lt;=5,"2-5 Years",IF(HR_Data[[#This Row],[YearsAtCompany]]&lt;=10,"6-10 Years","10+ Years")))</f>
        <v>10+ Years</v>
      </c>
      <c r="AO651" s="1" t="str">
        <f>IF(HR_Data[[#This Row],[JobSatisfaction]]=1,"Low",IF(HR_Data[[#This Row],[JobSatisfaction]]=2,"Medium",IF(HR_Data[[#This Row],[JobSatisfaction]]=3,"High","Very High")))</f>
        <v>Very High</v>
      </c>
      <c r="AP651" s="1" t="str">
        <f>IF(HR_Data[[#This Row],[WorkLifeBalance]]=1,"Bad",IF(HR_Data[[#This Row],[WorkLifeBalance]]=2,"Good",IF(HR_Data[[#This Row],[WorkLifeBalance]]=3,"Better","Best")))</f>
        <v>Better</v>
      </c>
    </row>
    <row r="652" spans="1:42" x14ac:dyDescent="0.3">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c r="AJ652">
        <f>IF(HR_Data[[#This Row],[Attrition]]="Yes",1,0)</f>
        <v>0</v>
      </c>
      <c r="AK652">
        <f>IF(HR_Data[[#This Row],[Attrition]]="No",1,0)</f>
        <v>1</v>
      </c>
      <c r="AL652" t="str">
        <f>IF(HR_Data[[#This Row],[Age]]&lt;25,"Under 25",IF(HR_Data[[#This Row],[Age]]&lt;=34,"25-34",IF(HR_Data[[#This Row],[Age]]&lt;=44,"35-44",IF(HR_Data[[#This Row],[Age]]&lt;=54,"45-54","55+"))))</f>
        <v>35-44</v>
      </c>
      <c r="AM652" s="1" t="str">
        <f>IF(HR_Data[[#This Row],[MonthlyIncome]]&lt;3000,"Low Salary",IF(HR_Data[[#This Row],[MonthlyIncome]]&lt;=7000,"Medium Salary","High Salary"))</f>
        <v>Medium Salary</v>
      </c>
      <c r="AN652" s="1" t="str">
        <f>IF(HR_Data[[#This Row],[YearsAtCompany]]&lt;2,"0-1 Years",IF(HR_Data[[#This Row],[YearsAtCompany]]&lt;=5,"2-5 Years",IF(HR_Data[[#This Row],[YearsAtCompany]]&lt;=10,"6-10 Years","10+ Years")))</f>
        <v>2-5 Years</v>
      </c>
      <c r="AO652" s="1" t="str">
        <f>IF(HR_Data[[#This Row],[JobSatisfaction]]=1,"Low",IF(HR_Data[[#This Row],[JobSatisfaction]]=2,"Medium",IF(HR_Data[[#This Row],[JobSatisfaction]]=3,"High","Very High")))</f>
        <v>Very High</v>
      </c>
      <c r="AP652" s="1" t="str">
        <f>IF(HR_Data[[#This Row],[WorkLifeBalance]]=1,"Bad",IF(HR_Data[[#This Row],[WorkLifeBalance]]=2,"Good",IF(HR_Data[[#This Row],[WorkLifeBalance]]=3,"Better","Best")))</f>
        <v>Good</v>
      </c>
    </row>
    <row r="653" spans="1:42" x14ac:dyDescent="0.3">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c r="AJ653">
        <f>IF(HR_Data[[#This Row],[Attrition]]="Yes",1,0)</f>
        <v>0</v>
      </c>
      <c r="AK653">
        <f>IF(HR_Data[[#This Row],[Attrition]]="No",1,0)</f>
        <v>1</v>
      </c>
      <c r="AL653" t="str">
        <f>IF(HR_Data[[#This Row],[Age]]&lt;25,"Under 25",IF(HR_Data[[#This Row],[Age]]&lt;=34,"25-34",IF(HR_Data[[#This Row],[Age]]&lt;=44,"35-44",IF(HR_Data[[#This Row],[Age]]&lt;=54,"45-54","55+"))))</f>
        <v>45-54</v>
      </c>
      <c r="AM653" s="1" t="str">
        <f>IF(HR_Data[[#This Row],[MonthlyIncome]]&lt;3000,"Low Salary",IF(HR_Data[[#This Row],[MonthlyIncome]]&lt;=7000,"Medium Salary","High Salary"))</f>
        <v>Medium Salary</v>
      </c>
      <c r="AN653" s="1" t="str">
        <f>IF(HR_Data[[#This Row],[YearsAtCompany]]&lt;2,"0-1 Years",IF(HR_Data[[#This Row],[YearsAtCompany]]&lt;=5,"2-5 Years",IF(HR_Data[[#This Row],[YearsAtCompany]]&lt;=10,"6-10 Years","10+ Years")))</f>
        <v>6-10 Years</v>
      </c>
      <c r="AO653" s="1" t="str">
        <f>IF(HR_Data[[#This Row],[JobSatisfaction]]=1,"Low",IF(HR_Data[[#This Row],[JobSatisfaction]]=2,"Medium",IF(HR_Data[[#This Row],[JobSatisfaction]]=3,"High","Very High")))</f>
        <v>Very High</v>
      </c>
      <c r="AP653" s="1" t="str">
        <f>IF(HR_Data[[#This Row],[WorkLifeBalance]]=1,"Bad",IF(HR_Data[[#This Row],[WorkLifeBalance]]=2,"Good",IF(HR_Data[[#This Row],[WorkLifeBalance]]=3,"Better","Best")))</f>
        <v>Better</v>
      </c>
    </row>
    <row r="654" spans="1:42" x14ac:dyDescent="0.3">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c r="AJ654">
        <f>IF(HR_Data[[#This Row],[Attrition]]="Yes",1,0)</f>
        <v>0</v>
      </c>
      <c r="AK654">
        <f>IF(HR_Data[[#This Row],[Attrition]]="No",1,0)</f>
        <v>1</v>
      </c>
      <c r="AL654" t="str">
        <f>IF(HR_Data[[#This Row],[Age]]&lt;25,"Under 25",IF(HR_Data[[#This Row],[Age]]&lt;=34,"25-34",IF(HR_Data[[#This Row],[Age]]&lt;=44,"35-44",IF(HR_Data[[#This Row],[Age]]&lt;=54,"45-54","55+"))))</f>
        <v>35-44</v>
      </c>
      <c r="AM654" s="1" t="str">
        <f>IF(HR_Data[[#This Row],[MonthlyIncome]]&lt;3000,"Low Salary",IF(HR_Data[[#This Row],[MonthlyIncome]]&lt;=7000,"Medium Salary","High Salary"))</f>
        <v>High Salary</v>
      </c>
      <c r="AN654" s="1" t="str">
        <f>IF(HR_Data[[#This Row],[YearsAtCompany]]&lt;2,"0-1 Years",IF(HR_Data[[#This Row],[YearsAtCompany]]&lt;=5,"2-5 Years",IF(HR_Data[[#This Row],[YearsAtCompany]]&lt;=10,"6-10 Years","10+ Years")))</f>
        <v>6-10 Years</v>
      </c>
      <c r="AO654" s="1" t="str">
        <f>IF(HR_Data[[#This Row],[JobSatisfaction]]=1,"Low",IF(HR_Data[[#This Row],[JobSatisfaction]]=2,"Medium",IF(HR_Data[[#This Row],[JobSatisfaction]]=3,"High","Very High")))</f>
        <v>Medium</v>
      </c>
      <c r="AP654" s="1" t="str">
        <f>IF(HR_Data[[#This Row],[WorkLifeBalance]]=1,"Bad",IF(HR_Data[[#This Row],[WorkLifeBalance]]=2,"Good",IF(HR_Data[[#This Row],[WorkLifeBalance]]=3,"Better","Best")))</f>
        <v>Better</v>
      </c>
    </row>
    <row r="655" spans="1:42" x14ac:dyDescent="0.3">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c r="AJ655">
        <f>IF(HR_Data[[#This Row],[Attrition]]="Yes",1,0)</f>
        <v>0</v>
      </c>
      <c r="AK655">
        <f>IF(HR_Data[[#This Row],[Attrition]]="No",1,0)</f>
        <v>1</v>
      </c>
      <c r="AL655" t="str">
        <f>IF(HR_Data[[#This Row],[Age]]&lt;25,"Under 25",IF(HR_Data[[#This Row],[Age]]&lt;=34,"25-34",IF(HR_Data[[#This Row],[Age]]&lt;=44,"35-44",IF(HR_Data[[#This Row],[Age]]&lt;=54,"45-54","55+"))))</f>
        <v>45-54</v>
      </c>
      <c r="AM655" s="1" t="str">
        <f>IF(HR_Data[[#This Row],[MonthlyIncome]]&lt;3000,"Low Salary",IF(HR_Data[[#This Row],[MonthlyIncome]]&lt;=7000,"Medium Salary","High Salary"))</f>
        <v>High Salary</v>
      </c>
      <c r="AN655" s="1" t="str">
        <f>IF(HR_Data[[#This Row],[YearsAtCompany]]&lt;2,"0-1 Years",IF(HR_Data[[#This Row],[YearsAtCompany]]&lt;=5,"2-5 Years",IF(HR_Data[[#This Row],[YearsAtCompany]]&lt;=10,"6-10 Years","10+ Years")))</f>
        <v>10+ Years</v>
      </c>
      <c r="AO655" s="1" t="str">
        <f>IF(HR_Data[[#This Row],[JobSatisfaction]]=1,"Low",IF(HR_Data[[#This Row],[JobSatisfaction]]=2,"Medium",IF(HR_Data[[#This Row],[JobSatisfaction]]=3,"High","Very High")))</f>
        <v>Low</v>
      </c>
      <c r="AP655" s="1" t="str">
        <f>IF(HR_Data[[#This Row],[WorkLifeBalance]]=1,"Bad",IF(HR_Data[[#This Row],[WorkLifeBalance]]=2,"Good",IF(HR_Data[[#This Row],[WorkLifeBalance]]=3,"Better","Best")))</f>
        <v>Better</v>
      </c>
    </row>
    <row r="656" spans="1:42" x14ac:dyDescent="0.3">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c r="AJ656">
        <f>IF(HR_Data[[#This Row],[Attrition]]="Yes",1,0)</f>
        <v>0</v>
      </c>
      <c r="AK656">
        <f>IF(HR_Data[[#This Row],[Attrition]]="No",1,0)</f>
        <v>1</v>
      </c>
      <c r="AL656" t="str">
        <f>IF(HR_Data[[#This Row],[Age]]&lt;25,"Under 25",IF(HR_Data[[#This Row],[Age]]&lt;=34,"25-34",IF(HR_Data[[#This Row],[Age]]&lt;=44,"35-44",IF(HR_Data[[#This Row],[Age]]&lt;=54,"45-54","55+"))))</f>
        <v>35-44</v>
      </c>
      <c r="AM656" s="1" t="str">
        <f>IF(HR_Data[[#This Row],[MonthlyIncome]]&lt;3000,"Low Salary",IF(HR_Data[[#This Row],[MonthlyIncome]]&lt;=7000,"Medium Salary","High Salary"))</f>
        <v>Medium Salary</v>
      </c>
      <c r="AN656" s="1" t="str">
        <f>IF(HR_Data[[#This Row],[YearsAtCompany]]&lt;2,"0-1 Years",IF(HR_Data[[#This Row],[YearsAtCompany]]&lt;=5,"2-5 Years",IF(HR_Data[[#This Row],[YearsAtCompany]]&lt;=10,"6-10 Years","10+ Years")))</f>
        <v>2-5 Years</v>
      </c>
      <c r="AO656" s="1" t="str">
        <f>IF(HR_Data[[#This Row],[JobSatisfaction]]=1,"Low",IF(HR_Data[[#This Row],[JobSatisfaction]]=2,"Medium",IF(HR_Data[[#This Row],[JobSatisfaction]]=3,"High","Very High")))</f>
        <v>Very High</v>
      </c>
      <c r="AP656" s="1" t="str">
        <f>IF(HR_Data[[#This Row],[WorkLifeBalance]]=1,"Bad",IF(HR_Data[[#This Row],[WorkLifeBalance]]=2,"Good",IF(HR_Data[[#This Row],[WorkLifeBalance]]=3,"Better","Best")))</f>
        <v>Better</v>
      </c>
    </row>
    <row r="657" spans="1:42" x14ac:dyDescent="0.3">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c r="AJ657">
        <f>IF(HR_Data[[#This Row],[Attrition]]="Yes",1,0)</f>
        <v>0</v>
      </c>
      <c r="AK657">
        <f>IF(HR_Data[[#This Row],[Attrition]]="No",1,0)</f>
        <v>1</v>
      </c>
      <c r="AL657" t="str">
        <f>IF(HR_Data[[#This Row],[Age]]&lt;25,"Under 25",IF(HR_Data[[#This Row],[Age]]&lt;=34,"25-34",IF(HR_Data[[#This Row],[Age]]&lt;=44,"35-44",IF(HR_Data[[#This Row],[Age]]&lt;=54,"45-54","55+"))))</f>
        <v>25-34</v>
      </c>
      <c r="AM657" s="1" t="str">
        <f>IF(HR_Data[[#This Row],[MonthlyIncome]]&lt;3000,"Low Salary",IF(HR_Data[[#This Row],[MonthlyIncome]]&lt;=7000,"Medium Salary","High Salary"))</f>
        <v>Low Salary</v>
      </c>
      <c r="AN657" s="1" t="str">
        <f>IF(HR_Data[[#This Row],[YearsAtCompany]]&lt;2,"0-1 Years",IF(HR_Data[[#This Row],[YearsAtCompany]]&lt;=5,"2-5 Years",IF(HR_Data[[#This Row],[YearsAtCompany]]&lt;=10,"6-10 Years","10+ Years")))</f>
        <v>2-5 Years</v>
      </c>
      <c r="AO657" s="1" t="str">
        <f>IF(HR_Data[[#This Row],[JobSatisfaction]]=1,"Low",IF(HR_Data[[#This Row],[JobSatisfaction]]=2,"Medium",IF(HR_Data[[#This Row],[JobSatisfaction]]=3,"High","Very High")))</f>
        <v>Medium</v>
      </c>
      <c r="AP657" s="1" t="str">
        <f>IF(HR_Data[[#This Row],[WorkLifeBalance]]=1,"Bad",IF(HR_Data[[#This Row],[WorkLifeBalance]]=2,"Good",IF(HR_Data[[#This Row],[WorkLifeBalance]]=3,"Better","Best")))</f>
        <v>Best</v>
      </c>
    </row>
    <row r="658" spans="1:42" x14ac:dyDescent="0.3">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c r="AJ658">
        <f>IF(HR_Data[[#This Row],[Attrition]]="Yes",1,0)</f>
        <v>1</v>
      </c>
      <c r="AK658">
        <f>IF(HR_Data[[#This Row],[Attrition]]="No",1,0)</f>
        <v>0</v>
      </c>
      <c r="AL658" t="str">
        <f>IF(HR_Data[[#This Row],[Age]]&lt;25,"Under 25",IF(HR_Data[[#This Row],[Age]]&lt;=34,"25-34",IF(HR_Data[[#This Row],[Age]]&lt;=44,"35-44",IF(HR_Data[[#This Row],[Age]]&lt;=54,"45-54","55+"))))</f>
        <v>25-34</v>
      </c>
      <c r="AM658" s="1" t="str">
        <f>IF(HR_Data[[#This Row],[MonthlyIncome]]&lt;3000,"Low Salary",IF(HR_Data[[#This Row],[MonthlyIncome]]&lt;=7000,"Medium Salary","High Salary"))</f>
        <v>Low Salary</v>
      </c>
      <c r="AN658" s="1" t="str">
        <f>IF(HR_Data[[#This Row],[YearsAtCompany]]&lt;2,"0-1 Years",IF(HR_Data[[#This Row],[YearsAtCompany]]&lt;=5,"2-5 Years",IF(HR_Data[[#This Row],[YearsAtCompany]]&lt;=10,"6-10 Years","10+ Years")))</f>
        <v>0-1 Years</v>
      </c>
      <c r="AO658" s="1" t="str">
        <f>IF(HR_Data[[#This Row],[JobSatisfaction]]=1,"Low",IF(HR_Data[[#This Row],[JobSatisfaction]]=2,"Medium",IF(HR_Data[[#This Row],[JobSatisfaction]]=3,"High","Very High")))</f>
        <v>Very High</v>
      </c>
      <c r="AP658" s="1" t="str">
        <f>IF(HR_Data[[#This Row],[WorkLifeBalance]]=1,"Bad",IF(HR_Data[[#This Row],[WorkLifeBalance]]=2,"Good",IF(HR_Data[[#This Row],[WorkLifeBalance]]=3,"Better","Best")))</f>
        <v>Bad</v>
      </c>
    </row>
    <row r="659" spans="1:42" x14ac:dyDescent="0.3">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c r="AJ659">
        <f>IF(HR_Data[[#This Row],[Attrition]]="Yes",1,0)</f>
        <v>0</v>
      </c>
      <c r="AK659">
        <f>IF(HR_Data[[#This Row],[Attrition]]="No",1,0)</f>
        <v>1</v>
      </c>
      <c r="AL659" t="str">
        <f>IF(HR_Data[[#This Row],[Age]]&lt;25,"Under 25",IF(HR_Data[[#This Row],[Age]]&lt;=34,"25-34",IF(HR_Data[[#This Row],[Age]]&lt;=44,"35-44",IF(HR_Data[[#This Row],[Age]]&lt;=54,"45-54","55+"))))</f>
        <v>25-34</v>
      </c>
      <c r="AM659" s="1" t="str">
        <f>IF(HR_Data[[#This Row],[MonthlyIncome]]&lt;3000,"Low Salary",IF(HR_Data[[#This Row],[MonthlyIncome]]&lt;=7000,"Medium Salary","High Salary"))</f>
        <v>Low Salary</v>
      </c>
      <c r="AN659" s="1" t="str">
        <f>IF(HR_Data[[#This Row],[YearsAtCompany]]&lt;2,"0-1 Years",IF(HR_Data[[#This Row],[YearsAtCompany]]&lt;=5,"2-5 Years",IF(HR_Data[[#This Row],[YearsAtCompany]]&lt;=10,"6-10 Years","10+ Years")))</f>
        <v>2-5 Years</v>
      </c>
      <c r="AO659" s="1" t="str">
        <f>IF(HR_Data[[#This Row],[JobSatisfaction]]=1,"Low",IF(HR_Data[[#This Row],[JobSatisfaction]]=2,"Medium",IF(HR_Data[[#This Row],[JobSatisfaction]]=3,"High","Very High")))</f>
        <v>Very High</v>
      </c>
      <c r="AP659" s="1" t="str">
        <f>IF(HR_Data[[#This Row],[WorkLifeBalance]]=1,"Bad",IF(HR_Data[[#This Row],[WorkLifeBalance]]=2,"Good",IF(HR_Data[[#This Row],[WorkLifeBalance]]=3,"Better","Best")))</f>
        <v>Better</v>
      </c>
    </row>
    <row r="660" spans="1:42" x14ac:dyDescent="0.3">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c r="AJ660">
        <f>IF(HR_Data[[#This Row],[Attrition]]="Yes",1,0)</f>
        <v>0</v>
      </c>
      <c r="AK660">
        <f>IF(HR_Data[[#This Row],[Attrition]]="No",1,0)</f>
        <v>1</v>
      </c>
      <c r="AL660" t="str">
        <f>IF(HR_Data[[#This Row],[Age]]&lt;25,"Under 25",IF(HR_Data[[#This Row],[Age]]&lt;=34,"25-34",IF(HR_Data[[#This Row],[Age]]&lt;=44,"35-44",IF(HR_Data[[#This Row],[Age]]&lt;=54,"45-54","55+"))))</f>
        <v>35-44</v>
      </c>
      <c r="AM660" s="1" t="str">
        <f>IF(HR_Data[[#This Row],[MonthlyIncome]]&lt;3000,"Low Salary",IF(HR_Data[[#This Row],[MonthlyIncome]]&lt;=7000,"Medium Salary","High Salary"))</f>
        <v>Low Salary</v>
      </c>
      <c r="AN660" s="1" t="str">
        <f>IF(HR_Data[[#This Row],[YearsAtCompany]]&lt;2,"0-1 Years",IF(HR_Data[[#This Row],[YearsAtCompany]]&lt;=5,"2-5 Years",IF(HR_Data[[#This Row],[YearsAtCompany]]&lt;=10,"6-10 Years","10+ Years")))</f>
        <v>6-10 Years</v>
      </c>
      <c r="AO660" s="1" t="str">
        <f>IF(HR_Data[[#This Row],[JobSatisfaction]]=1,"Low",IF(HR_Data[[#This Row],[JobSatisfaction]]=2,"Medium",IF(HR_Data[[#This Row],[JobSatisfaction]]=3,"High","Very High")))</f>
        <v>Low</v>
      </c>
      <c r="AP660" s="1" t="str">
        <f>IF(HR_Data[[#This Row],[WorkLifeBalance]]=1,"Bad",IF(HR_Data[[#This Row],[WorkLifeBalance]]=2,"Good",IF(HR_Data[[#This Row],[WorkLifeBalance]]=3,"Better","Best")))</f>
        <v>Better</v>
      </c>
    </row>
    <row r="661" spans="1:42" x14ac:dyDescent="0.3">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c r="AJ661">
        <f>IF(HR_Data[[#This Row],[Attrition]]="Yes",1,0)</f>
        <v>0</v>
      </c>
      <c r="AK661">
        <f>IF(HR_Data[[#This Row],[Attrition]]="No",1,0)</f>
        <v>1</v>
      </c>
      <c r="AL661" t="str">
        <f>IF(HR_Data[[#This Row],[Age]]&lt;25,"Under 25",IF(HR_Data[[#This Row],[Age]]&lt;=34,"25-34",IF(HR_Data[[#This Row],[Age]]&lt;=44,"35-44",IF(HR_Data[[#This Row],[Age]]&lt;=54,"45-54","55+"))))</f>
        <v>25-34</v>
      </c>
      <c r="AM661" s="1" t="str">
        <f>IF(HR_Data[[#This Row],[MonthlyIncome]]&lt;3000,"Low Salary",IF(HR_Data[[#This Row],[MonthlyIncome]]&lt;=7000,"Medium Salary","High Salary"))</f>
        <v>Medium Salary</v>
      </c>
      <c r="AN661" s="1" t="str">
        <f>IF(HR_Data[[#This Row],[YearsAtCompany]]&lt;2,"0-1 Years",IF(HR_Data[[#This Row],[YearsAtCompany]]&lt;=5,"2-5 Years",IF(HR_Data[[#This Row],[YearsAtCompany]]&lt;=10,"6-10 Years","10+ Years")))</f>
        <v>2-5 Years</v>
      </c>
      <c r="AO661" s="1" t="str">
        <f>IF(HR_Data[[#This Row],[JobSatisfaction]]=1,"Low",IF(HR_Data[[#This Row],[JobSatisfaction]]=2,"Medium",IF(HR_Data[[#This Row],[JobSatisfaction]]=3,"High","Very High")))</f>
        <v>Very High</v>
      </c>
      <c r="AP661" s="1" t="str">
        <f>IF(HR_Data[[#This Row],[WorkLifeBalance]]=1,"Bad",IF(HR_Data[[#This Row],[WorkLifeBalance]]=2,"Good",IF(HR_Data[[#This Row],[WorkLifeBalance]]=3,"Better","Best")))</f>
        <v>Better</v>
      </c>
    </row>
    <row r="662" spans="1:42" x14ac:dyDescent="0.3">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c r="AJ662">
        <f>IF(HR_Data[[#This Row],[Attrition]]="Yes",1,0)</f>
        <v>1</v>
      </c>
      <c r="AK662">
        <f>IF(HR_Data[[#This Row],[Attrition]]="No",1,0)</f>
        <v>0</v>
      </c>
      <c r="AL662" t="str">
        <f>IF(HR_Data[[#This Row],[Age]]&lt;25,"Under 25",IF(HR_Data[[#This Row],[Age]]&lt;=34,"25-34",IF(HR_Data[[#This Row],[Age]]&lt;=44,"35-44",IF(HR_Data[[#This Row],[Age]]&lt;=54,"45-54","55+"))))</f>
        <v>55+</v>
      </c>
      <c r="AM662" s="1" t="str">
        <f>IF(HR_Data[[#This Row],[MonthlyIncome]]&lt;3000,"Low Salary",IF(HR_Data[[#This Row],[MonthlyIncome]]&lt;=7000,"Medium Salary","High Salary"))</f>
        <v>Low Salary</v>
      </c>
      <c r="AN662" s="1" t="str">
        <f>IF(HR_Data[[#This Row],[YearsAtCompany]]&lt;2,"0-1 Years",IF(HR_Data[[#This Row],[YearsAtCompany]]&lt;=5,"2-5 Years",IF(HR_Data[[#This Row],[YearsAtCompany]]&lt;=10,"6-10 Years","10+ Years")))</f>
        <v>0-1 Years</v>
      </c>
      <c r="AO662" s="1" t="str">
        <f>IF(HR_Data[[#This Row],[JobSatisfaction]]=1,"Low",IF(HR_Data[[#This Row],[JobSatisfaction]]=2,"Medium",IF(HR_Data[[#This Row],[JobSatisfaction]]=3,"High","Very High")))</f>
        <v>Very High</v>
      </c>
      <c r="AP662" s="1" t="str">
        <f>IF(HR_Data[[#This Row],[WorkLifeBalance]]=1,"Bad",IF(HR_Data[[#This Row],[WorkLifeBalance]]=2,"Good",IF(HR_Data[[#This Row],[WorkLifeBalance]]=3,"Better","Best")))</f>
        <v>Good</v>
      </c>
    </row>
    <row r="663" spans="1:42" x14ac:dyDescent="0.3">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c r="AJ663">
        <f>IF(HR_Data[[#This Row],[Attrition]]="Yes",1,0)</f>
        <v>0</v>
      </c>
      <c r="AK663">
        <f>IF(HR_Data[[#This Row],[Attrition]]="No",1,0)</f>
        <v>1</v>
      </c>
      <c r="AL663" t="str">
        <f>IF(HR_Data[[#This Row],[Age]]&lt;25,"Under 25",IF(HR_Data[[#This Row],[Age]]&lt;=34,"25-34",IF(HR_Data[[#This Row],[Age]]&lt;=44,"35-44",IF(HR_Data[[#This Row],[Age]]&lt;=54,"45-54","55+"))))</f>
        <v>35-44</v>
      </c>
      <c r="AM663" s="1" t="str">
        <f>IF(HR_Data[[#This Row],[MonthlyIncome]]&lt;3000,"Low Salary",IF(HR_Data[[#This Row],[MonthlyIncome]]&lt;=7000,"Medium Salary","High Salary"))</f>
        <v>Medium Salary</v>
      </c>
      <c r="AN663" s="1" t="str">
        <f>IF(HR_Data[[#This Row],[YearsAtCompany]]&lt;2,"0-1 Years",IF(HR_Data[[#This Row],[YearsAtCompany]]&lt;=5,"2-5 Years",IF(HR_Data[[#This Row],[YearsAtCompany]]&lt;=10,"6-10 Years","10+ Years")))</f>
        <v>0-1 Years</v>
      </c>
      <c r="AO663" s="1" t="str">
        <f>IF(HR_Data[[#This Row],[JobSatisfaction]]=1,"Low",IF(HR_Data[[#This Row],[JobSatisfaction]]=2,"Medium",IF(HR_Data[[#This Row],[JobSatisfaction]]=3,"High","Very High")))</f>
        <v>Medium</v>
      </c>
      <c r="AP663" s="1" t="str">
        <f>IF(HR_Data[[#This Row],[WorkLifeBalance]]=1,"Bad",IF(HR_Data[[#This Row],[WorkLifeBalance]]=2,"Good",IF(HR_Data[[#This Row],[WorkLifeBalance]]=3,"Better","Best")))</f>
        <v>Best</v>
      </c>
    </row>
    <row r="664" spans="1:42" x14ac:dyDescent="0.3">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c r="AJ664">
        <f>IF(HR_Data[[#This Row],[Attrition]]="Yes",1,0)</f>
        <v>1</v>
      </c>
      <c r="AK664">
        <f>IF(HR_Data[[#This Row],[Attrition]]="No",1,0)</f>
        <v>0</v>
      </c>
      <c r="AL664" t="str">
        <f>IF(HR_Data[[#This Row],[Age]]&lt;25,"Under 25",IF(HR_Data[[#This Row],[Age]]&lt;=34,"25-34",IF(HR_Data[[#This Row],[Age]]&lt;=44,"35-44",IF(HR_Data[[#This Row],[Age]]&lt;=54,"45-54","55+"))))</f>
        <v>Under 25</v>
      </c>
      <c r="AM664" s="1" t="str">
        <f>IF(HR_Data[[#This Row],[MonthlyIncome]]&lt;3000,"Low Salary",IF(HR_Data[[#This Row],[MonthlyIncome]]&lt;=7000,"Medium Salary","High Salary"))</f>
        <v>Low Salary</v>
      </c>
      <c r="AN664" s="1" t="str">
        <f>IF(HR_Data[[#This Row],[YearsAtCompany]]&lt;2,"0-1 Years",IF(HR_Data[[#This Row],[YearsAtCompany]]&lt;=5,"2-5 Years",IF(HR_Data[[#This Row],[YearsAtCompany]]&lt;=10,"6-10 Years","10+ Years")))</f>
        <v>2-5 Years</v>
      </c>
      <c r="AO664" s="1" t="str">
        <f>IF(HR_Data[[#This Row],[JobSatisfaction]]=1,"Low",IF(HR_Data[[#This Row],[JobSatisfaction]]=2,"Medium",IF(HR_Data[[#This Row],[JobSatisfaction]]=3,"High","Very High")))</f>
        <v>High</v>
      </c>
      <c r="AP664" s="1" t="str">
        <f>IF(HR_Data[[#This Row],[WorkLifeBalance]]=1,"Bad",IF(HR_Data[[#This Row],[WorkLifeBalance]]=2,"Good",IF(HR_Data[[#This Row],[WorkLifeBalance]]=3,"Better","Best")))</f>
        <v>Good</v>
      </c>
    </row>
    <row r="665" spans="1:42" x14ac:dyDescent="0.3">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c r="AJ665">
        <f>IF(HR_Data[[#This Row],[Attrition]]="Yes",1,0)</f>
        <v>1</v>
      </c>
      <c r="AK665">
        <f>IF(HR_Data[[#This Row],[Attrition]]="No",1,0)</f>
        <v>0</v>
      </c>
      <c r="AL665" t="str">
        <f>IF(HR_Data[[#This Row],[Age]]&lt;25,"Under 25",IF(HR_Data[[#This Row],[Age]]&lt;=34,"25-34",IF(HR_Data[[#This Row],[Age]]&lt;=44,"35-44",IF(HR_Data[[#This Row],[Age]]&lt;=54,"45-54","55+"))))</f>
        <v>Under 25</v>
      </c>
      <c r="AM665" s="1" t="str">
        <f>IF(HR_Data[[#This Row],[MonthlyIncome]]&lt;3000,"Low Salary",IF(HR_Data[[#This Row],[MonthlyIncome]]&lt;=7000,"Medium Salary","High Salary"))</f>
        <v>Low Salary</v>
      </c>
      <c r="AN665" s="1" t="str">
        <f>IF(HR_Data[[#This Row],[YearsAtCompany]]&lt;2,"0-1 Years",IF(HR_Data[[#This Row],[YearsAtCompany]]&lt;=5,"2-5 Years",IF(HR_Data[[#This Row],[YearsAtCompany]]&lt;=10,"6-10 Years","10+ Years")))</f>
        <v>0-1 Years</v>
      </c>
      <c r="AO665" s="1" t="str">
        <f>IF(HR_Data[[#This Row],[JobSatisfaction]]=1,"Low",IF(HR_Data[[#This Row],[JobSatisfaction]]=2,"Medium",IF(HR_Data[[#This Row],[JobSatisfaction]]=3,"High","Very High")))</f>
        <v>Very High</v>
      </c>
      <c r="AP665" s="1" t="str">
        <f>IF(HR_Data[[#This Row],[WorkLifeBalance]]=1,"Bad",IF(HR_Data[[#This Row],[WorkLifeBalance]]=2,"Good",IF(HR_Data[[#This Row],[WorkLifeBalance]]=3,"Better","Best")))</f>
        <v>Good</v>
      </c>
    </row>
    <row r="666" spans="1:42" x14ac:dyDescent="0.3">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c r="AJ666">
        <f>IF(HR_Data[[#This Row],[Attrition]]="Yes",1,0)</f>
        <v>0</v>
      </c>
      <c r="AK666">
        <f>IF(HR_Data[[#This Row],[Attrition]]="No",1,0)</f>
        <v>1</v>
      </c>
      <c r="AL666" t="str">
        <f>IF(HR_Data[[#This Row],[Age]]&lt;25,"Under 25",IF(HR_Data[[#This Row],[Age]]&lt;=34,"25-34",IF(HR_Data[[#This Row],[Age]]&lt;=44,"35-44",IF(HR_Data[[#This Row],[Age]]&lt;=54,"45-54","55+"))))</f>
        <v>35-44</v>
      </c>
      <c r="AM666" s="1" t="str">
        <f>IF(HR_Data[[#This Row],[MonthlyIncome]]&lt;3000,"Low Salary",IF(HR_Data[[#This Row],[MonthlyIncome]]&lt;=7000,"Medium Salary","High Salary"))</f>
        <v>Medium Salary</v>
      </c>
      <c r="AN666" s="1" t="str">
        <f>IF(HR_Data[[#This Row],[YearsAtCompany]]&lt;2,"0-1 Years",IF(HR_Data[[#This Row],[YearsAtCompany]]&lt;=5,"2-5 Years",IF(HR_Data[[#This Row],[YearsAtCompany]]&lt;=10,"6-10 Years","10+ Years")))</f>
        <v>10+ Years</v>
      </c>
      <c r="AO666" s="1" t="str">
        <f>IF(HR_Data[[#This Row],[JobSatisfaction]]=1,"Low",IF(HR_Data[[#This Row],[JobSatisfaction]]=2,"Medium",IF(HR_Data[[#This Row],[JobSatisfaction]]=3,"High","Very High")))</f>
        <v>Very High</v>
      </c>
      <c r="AP666" s="1" t="str">
        <f>IF(HR_Data[[#This Row],[WorkLifeBalance]]=1,"Bad",IF(HR_Data[[#This Row],[WorkLifeBalance]]=2,"Good",IF(HR_Data[[#This Row],[WorkLifeBalance]]=3,"Better","Best")))</f>
        <v>Good</v>
      </c>
    </row>
    <row r="667" spans="1:42" x14ac:dyDescent="0.3">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c r="AJ667">
        <f>IF(HR_Data[[#This Row],[Attrition]]="Yes",1,0)</f>
        <v>0</v>
      </c>
      <c r="AK667">
        <f>IF(HR_Data[[#This Row],[Attrition]]="No",1,0)</f>
        <v>1</v>
      </c>
      <c r="AL667" t="str">
        <f>IF(HR_Data[[#This Row],[Age]]&lt;25,"Under 25",IF(HR_Data[[#This Row],[Age]]&lt;=34,"25-34",IF(HR_Data[[#This Row],[Age]]&lt;=44,"35-44",IF(HR_Data[[#This Row],[Age]]&lt;=54,"45-54","55+"))))</f>
        <v>45-54</v>
      </c>
      <c r="AM667" s="1" t="str">
        <f>IF(HR_Data[[#This Row],[MonthlyIncome]]&lt;3000,"Low Salary",IF(HR_Data[[#This Row],[MonthlyIncome]]&lt;=7000,"Medium Salary","High Salary"))</f>
        <v>Medium Salary</v>
      </c>
      <c r="AN667" s="1" t="str">
        <f>IF(HR_Data[[#This Row],[YearsAtCompany]]&lt;2,"0-1 Years",IF(HR_Data[[#This Row],[YearsAtCompany]]&lt;=5,"2-5 Years",IF(HR_Data[[#This Row],[YearsAtCompany]]&lt;=10,"6-10 Years","10+ Years")))</f>
        <v>2-5 Years</v>
      </c>
      <c r="AO667" s="1" t="str">
        <f>IF(HR_Data[[#This Row],[JobSatisfaction]]=1,"Low",IF(HR_Data[[#This Row],[JobSatisfaction]]=2,"Medium",IF(HR_Data[[#This Row],[JobSatisfaction]]=3,"High","Very High")))</f>
        <v>Very High</v>
      </c>
      <c r="AP667" s="1" t="str">
        <f>IF(HR_Data[[#This Row],[WorkLifeBalance]]=1,"Bad",IF(HR_Data[[#This Row],[WorkLifeBalance]]=2,"Good",IF(HR_Data[[#This Row],[WorkLifeBalance]]=3,"Better","Best")))</f>
        <v>Good</v>
      </c>
    </row>
    <row r="668" spans="1:42" x14ac:dyDescent="0.3">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c r="AJ668">
        <f>IF(HR_Data[[#This Row],[Attrition]]="Yes",1,0)</f>
        <v>1</v>
      </c>
      <c r="AK668">
        <f>IF(HR_Data[[#This Row],[Attrition]]="No",1,0)</f>
        <v>0</v>
      </c>
      <c r="AL668" t="str">
        <f>IF(HR_Data[[#This Row],[Age]]&lt;25,"Under 25",IF(HR_Data[[#This Row],[Age]]&lt;=34,"25-34",IF(HR_Data[[#This Row],[Age]]&lt;=44,"35-44",IF(HR_Data[[#This Row],[Age]]&lt;=54,"45-54","55+"))))</f>
        <v>Under 25</v>
      </c>
      <c r="AM668" s="1" t="str">
        <f>IF(HR_Data[[#This Row],[MonthlyIncome]]&lt;3000,"Low Salary",IF(HR_Data[[#This Row],[MonthlyIncome]]&lt;=7000,"Medium Salary","High Salary"))</f>
        <v>Medium Salary</v>
      </c>
      <c r="AN668" s="1" t="str">
        <f>IF(HR_Data[[#This Row],[YearsAtCompany]]&lt;2,"0-1 Years",IF(HR_Data[[#This Row],[YearsAtCompany]]&lt;=5,"2-5 Years",IF(HR_Data[[#This Row],[YearsAtCompany]]&lt;=10,"6-10 Years","10+ Years")))</f>
        <v>2-5 Years</v>
      </c>
      <c r="AO668" s="1" t="str">
        <f>IF(HR_Data[[#This Row],[JobSatisfaction]]=1,"Low",IF(HR_Data[[#This Row],[JobSatisfaction]]=2,"Medium",IF(HR_Data[[#This Row],[JobSatisfaction]]=3,"High","Very High")))</f>
        <v>High</v>
      </c>
      <c r="AP668" s="1" t="str">
        <f>IF(HR_Data[[#This Row],[WorkLifeBalance]]=1,"Bad",IF(HR_Data[[#This Row],[WorkLifeBalance]]=2,"Good",IF(HR_Data[[#This Row],[WorkLifeBalance]]=3,"Better","Best")))</f>
        <v>Best</v>
      </c>
    </row>
    <row r="669" spans="1:42" x14ac:dyDescent="0.3">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c r="AJ669">
        <f>IF(HR_Data[[#This Row],[Attrition]]="Yes",1,0)</f>
        <v>1</v>
      </c>
      <c r="AK669">
        <f>IF(HR_Data[[#This Row],[Attrition]]="No",1,0)</f>
        <v>0</v>
      </c>
      <c r="AL669" t="str">
        <f>IF(HR_Data[[#This Row],[Age]]&lt;25,"Under 25",IF(HR_Data[[#This Row],[Age]]&lt;=34,"25-34",IF(HR_Data[[#This Row],[Age]]&lt;=44,"35-44",IF(HR_Data[[#This Row],[Age]]&lt;=54,"45-54","55+"))))</f>
        <v>35-44</v>
      </c>
      <c r="AM669" s="1" t="str">
        <f>IF(HR_Data[[#This Row],[MonthlyIncome]]&lt;3000,"Low Salary",IF(HR_Data[[#This Row],[MonthlyIncome]]&lt;=7000,"Medium Salary","High Salary"))</f>
        <v>Low Salary</v>
      </c>
      <c r="AN669" s="1" t="str">
        <f>IF(HR_Data[[#This Row],[YearsAtCompany]]&lt;2,"0-1 Years",IF(HR_Data[[#This Row],[YearsAtCompany]]&lt;=5,"2-5 Years",IF(HR_Data[[#This Row],[YearsAtCompany]]&lt;=10,"6-10 Years","10+ Years")))</f>
        <v>6-10 Years</v>
      </c>
      <c r="AO669" s="1" t="str">
        <f>IF(HR_Data[[#This Row],[JobSatisfaction]]=1,"Low",IF(HR_Data[[#This Row],[JobSatisfaction]]=2,"Medium",IF(HR_Data[[#This Row],[JobSatisfaction]]=3,"High","Very High")))</f>
        <v>Very High</v>
      </c>
      <c r="AP669" s="1" t="str">
        <f>IF(HR_Data[[#This Row],[WorkLifeBalance]]=1,"Bad",IF(HR_Data[[#This Row],[WorkLifeBalance]]=2,"Good",IF(HR_Data[[#This Row],[WorkLifeBalance]]=3,"Better","Best")))</f>
        <v>Good</v>
      </c>
    </row>
    <row r="670" spans="1:42" x14ac:dyDescent="0.3">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c r="AJ670">
        <f>IF(HR_Data[[#This Row],[Attrition]]="Yes",1,0)</f>
        <v>0</v>
      </c>
      <c r="AK670">
        <f>IF(HR_Data[[#This Row],[Attrition]]="No",1,0)</f>
        <v>1</v>
      </c>
      <c r="AL670" t="str">
        <f>IF(HR_Data[[#This Row],[Age]]&lt;25,"Under 25",IF(HR_Data[[#This Row],[Age]]&lt;=34,"25-34",IF(HR_Data[[#This Row],[Age]]&lt;=44,"35-44",IF(HR_Data[[#This Row],[Age]]&lt;=54,"45-54","55+"))))</f>
        <v>25-34</v>
      </c>
      <c r="AM670" s="1" t="str">
        <f>IF(HR_Data[[#This Row],[MonthlyIncome]]&lt;3000,"Low Salary",IF(HR_Data[[#This Row],[MonthlyIncome]]&lt;=7000,"Medium Salary","High Salary"))</f>
        <v>Low Salary</v>
      </c>
      <c r="AN670" s="1" t="str">
        <f>IF(HR_Data[[#This Row],[YearsAtCompany]]&lt;2,"0-1 Years",IF(HR_Data[[#This Row],[YearsAtCompany]]&lt;=5,"2-5 Years",IF(HR_Data[[#This Row],[YearsAtCompany]]&lt;=10,"6-10 Years","10+ Years")))</f>
        <v>2-5 Years</v>
      </c>
      <c r="AO670" s="1" t="str">
        <f>IF(HR_Data[[#This Row],[JobSatisfaction]]=1,"Low",IF(HR_Data[[#This Row],[JobSatisfaction]]=2,"Medium",IF(HR_Data[[#This Row],[JobSatisfaction]]=3,"High","Very High")))</f>
        <v>High</v>
      </c>
      <c r="AP670" s="1" t="str">
        <f>IF(HR_Data[[#This Row],[WorkLifeBalance]]=1,"Bad",IF(HR_Data[[#This Row],[WorkLifeBalance]]=2,"Good",IF(HR_Data[[#This Row],[WorkLifeBalance]]=3,"Better","Best")))</f>
        <v>Better</v>
      </c>
    </row>
    <row r="671" spans="1:42" x14ac:dyDescent="0.3">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c r="AJ671">
        <f>IF(HR_Data[[#This Row],[Attrition]]="Yes",1,0)</f>
        <v>1</v>
      </c>
      <c r="AK671">
        <f>IF(HR_Data[[#This Row],[Attrition]]="No",1,0)</f>
        <v>0</v>
      </c>
      <c r="AL671" t="str">
        <f>IF(HR_Data[[#This Row],[Age]]&lt;25,"Under 25",IF(HR_Data[[#This Row],[Age]]&lt;=34,"25-34",IF(HR_Data[[#This Row],[Age]]&lt;=44,"35-44",IF(HR_Data[[#This Row],[Age]]&lt;=54,"45-54","55+"))))</f>
        <v>35-44</v>
      </c>
      <c r="AM671" s="1" t="str">
        <f>IF(HR_Data[[#This Row],[MonthlyIncome]]&lt;3000,"Low Salary",IF(HR_Data[[#This Row],[MonthlyIncome]]&lt;=7000,"Medium Salary","High Salary"))</f>
        <v>Low Salary</v>
      </c>
      <c r="AN671" s="1" t="str">
        <f>IF(HR_Data[[#This Row],[YearsAtCompany]]&lt;2,"0-1 Years",IF(HR_Data[[#This Row],[YearsAtCompany]]&lt;=5,"2-5 Years",IF(HR_Data[[#This Row],[YearsAtCompany]]&lt;=10,"6-10 Years","10+ Years")))</f>
        <v>2-5 Years</v>
      </c>
      <c r="AO671" s="1" t="str">
        <f>IF(HR_Data[[#This Row],[JobSatisfaction]]=1,"Low",IF(HR_Data[[#This Row],[JobSatisfaction]]=2,"Medium",IF(HR_Data[[#This Row],[JobSatisfaction]]=3,"High","Very High")))</f>
        <v>Low</v>
      </c>
      <c r="AP671" s="1" t="str">
        <f>IF(HR_Data[[#This Row],[WorkLifeBalance]]=1,"Bad",IF(HR_Data[[#This Row],[WorkLifeBalance]]=2,"Good",IF(HR_Data[[#This Row],[WorkLifeBalance]]=3,"Better","Best")))</f>
        <v>Bad</v>
      </c>
    </row>
    <row r="672" spans="1:42" x14ac:dyDescent="0.3">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c r="AJ672">
        <f>IF(HR_Data[[#This Row],[Attrition]]="Yes",1,0)</f>
        <v>0</v>
      </c>
      <c r="AK672">
        <f>IF(HR_Data[[#This Row],[Attrition]]="No",1,0)</f>
        <v>1</v>
      </c>
      <c r="AL672" t="str">
        <f>IF(HR_Data[[#This Row],[Age]]&lt;25,"Under 25",IF(HR_Data[[#This Row],[Age]]&lt;=34,"25-34",IF(HR_Data[[#This Row],[Age]]&lt;=44,"35-44",IF(HR_Data[[#This Row],[Age]]&lt;=54,"45-54","55+"))))</f>
        <v>25-34</v>
      </c>
      <c r="AM672" s="1" t="str">
        <f>IF(HR_Data[[#This Row],[MonthlyIncome]]&lt;3000,"Low Salary",IF(HR_Data[[#This Row],[MonthlyIncome]]&lt;=7000,"Medium Salary","High Salary"))</f>
        <v>Low Salary</v>
      </c>
      <c r="AN672" s="1" t="str">
        <f>IF(HR_Data[[#This Row],[YearsAtCompany]]&lt;2,"0-1 Years",IF(HR_Data[[#This Row],[YearsAtCompany]]&lt;=5,"2-5 Years",IF(HR_Data[[#This Row],[YearsAtCompany]]&lt;=10,"6-10 Years","10+ Years")))</f>
        <v>0-1 Years</v>
      </c>
      <c r="AO672" s="1" t="str">
        <f>IF(HR_Data[[#This Row],[JobSatisfaction]]=1,"Low",IF(HR_Data[[#This Row],[JobSatisfaction]]=2,"Medium",IF(HR_Data[[#This Row],[JobSatisfaction]]=3,"High","Very High")))</f>
        <v>High</v>
      </c>
      <c r="AP672" s="1" t="str">
        <f>IF(HR_Data[[#This Row],[WorkLifeBalance]]=1,"Bad",IF(HR_Data[[#This Row],[WorkLifeBalance]]=2,"Good",IF(HR_Data[[#This Row],[WorkLifeBalance]]=3,"Better","Best")))</f>
        <v>Better</v>
      </c>
    </row>
    <row r="673" spans="1:42" x14ac:dyDescent="0.3">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c r="AJ673">
        <f>IF(HR_Data[[#This Row],[Attrition]]="Yes",1,0)</f>
        <v>0</v>
      </c>
      <c r="AK673">
        <f>IF(HR_Data[[#This Row],[Attrition]]="No",1,0)</f>
        <v>1</v>
      </c>
      <c r="AL673" t="str">
        <f>IF(HR_Data[[#This Row],[Age]]&lt;25,"Under 25",IF(HR_Data[[#This Row],[Age]]&lt;=34,"25-34",IF(HR_Data[[#This Row],[Age]]&lt;=44,"35-44",IF(HR_Data[[#This Row],[Age]]&lt;=54,"45-54","55+"))))</f>
        <v>25-34</v>
      </c>
      <c r="AM673" s="1" t="str">
        <f>IF(HR_Data[[#This Row],[MonthlyIncome]]&lt;3000,"Low Salary",IF(HR_Data[[#This Row],[MonthlyIncome]]&lt;=7000,"Medium Salary","High Salary"))</f>
        <v>Low Salary</v>
      </c>
      <c r="AN673" s="1" t="str">
        <f>IF(HR_Data[[#This Row],[YearsAtCompany]]&lt;2,"0-1 Years",IF(HR_Data[[#This Row],[YearsAtCompany]]&lt;=5,"2-5 Years",IF(HR_Data[[#This Row],[YearsAtCompany]]&lt;=10,"6-10 Years","10+ Years")))</f>
        <v>0-1 Years</v>
      </c>
      <c r="AO673" s="1" t="str">
        <f>IF(HR_Data[[#This Row],[JobSatisfaction]]=1,"Low",IF(HR_Data[[#This Row],[JobSatisfaction]]=2,"Medium",IF(HR_Data[[#This Row],[JobSatisfaction]]=3,"High","Very High")))</f>
        <v>Medium</v>
      </c>
      <c r="AP673" s="1" t="str">
        <f>IF(HR_Data[[#This Row],[WorkLifeBalance]]=1,"Bad",IF(HR_Data[[#This Row],[WorkLifeBalance]]=2,"Good",IF(HR_Data[[#This Row],[WorkLifeBalance]]=3,"Better","Best")))</f>
        <v>Better</v>
      </c>
    </row>
    <row r="674" spans="1:42" x14ac:dyDescent="0.3">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c r="AJ674">
        <f>IF(HR_Data[[#This Row],[Attrition]]="Yes",1,0)</f>
        <v>0</v>
      </c>
      <c r="AK674">
        <f>IF(HR_Data[[#This Row],[Attrition]]="No",1,0)</f>
        <v>1</v>
      </c>
      <c r="AL674" t="str">
        <f>IF(HR_Data[[#This Row],[Age]]&lt;25,"Under 25",IF(HR_Data[[#This Row],[Age]]&lt;=34,"25-34",IF(HR_Data[[#This Row],[Age]]&lt;=44,"35-44",IF(HR_Data[[#This Row],[Age]]&lt;=54,"45-54","55+"))))</f>
        <v>35-44</v>
      </c>
      <c r="AM674" s="1" t="str">
        <f>IF(HR_Data[[#This Row],[MonthlyIncome]]&lt;3000,"Low Salary",IF(HR_Data[[#This Row],[MonthlyIncome]]&lt;=7000,"Medium Salary","High Salary"))</f>
        <v>Medium Salary</v>
      </c>
      <c r="AN674" s="1" t="str">
        <f>IF(HR_Data[[#This Row],[YearsAtCompany]]&lt;2,"0-1 Years",IF(HR_Data[[#This Row],[YearsAtCompany]]&lt;=5,"2-5 Years",IF(HR_Data[[#This Row],[YearsAtCompany]]&lt;=10,"6-10 Years","10+ Years")))</f>
        <v>2-5 Years</v>
      </c>
      <c r="AO674" s="1" t="str">
        <f>IF(HR_Data[[#This Row],[JobSatisfaction]]=1,"Low",IF(HR_Data[[#This Row],[JobSatisfaction]]=2,"Medium",IF(HR_Data[[#This Row],[JobSatisfaction]]=3,"High","Very High")))</f>
        <v>High</v>
      </c>
      <c r="AP674" s="1" t="str">
        <f>IF(HR_Data[[#This Row],[WorkLifeBalance]]=1,"Bad",IF(HR_Data[[#This Row],[WorkLifeBalance]]=2,"Good",IF(HR_Data[[#This Row],[WorkLifeBalance]]=3,"Better","Best")))</f>
        <v>Better</v>
      </c>
    </row>
    <row r="675" spans="1:42" x14ac:dyDescent="0.3">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c r="AJ675">
        <f>IF(HR_Data[[#This Row],[Attrition]]="Yes",1,0)</f>
        <v>0</v>
      </c>
      <c r="AK675">
        <f>IF(HR_Data[[#This Row],[Attrition]]="No",1,0)</f>
        <v>1</v>
      </c>
      <c r="AL675" t="str">
        <f>IF(HR_Data[[#This Row],[Age]]&lt;25,"Under 25",IF(HR_Data[[#This Row],[Age]]&lt;=34,"25-34",IF(HR_Data[[#This Row],[Age]]&lt;=44,"35-44",IF(HR_Data[[#This Row],[Age]]&lt;=54,"45-54","55+"))))</f>
        <v>25-34</v>
      </c>
      <c r="AM675" s="1" t="str">
        <f>IF(HR_Data[[#This Row],[MonthlyIncome]]&lt;3000,"Low Salary",IF(HR_Data[[#This Row],[MonthlyIncome]]&lt;=7000,"Medium Salary","High Salary"))</f>
        <v>Low Salary</v>
      </c>
      <c r="AN675" s="1" t="str">
        <f>IF(HR_Data[[#This Row],[YearsAtCompany]]&lt;2,"0-1 Years",IF(HR_Data[[#This Row],[YearsAtCompany]]&lt;=5,"2-5 Years",IF(HR_Data[[#This Row],[YearsAtCompany]]&lt;=10,"6-10 Years","10+ Years")))</f>
        <v>2-5 Years</v>
      </c>
      <c r="AO675" s="1" t="str">
        <f>IF(HR_Data[[#This Row],[JobSatisfaction]]=1,"Low",IF(HR_Data[[#This Row],[JobSatisfaction]]=2,"Medium",IF(HR_Data[[#This Row],[JobSatisfaction]]=3,"High","Very High")))</f>
        <v>Low</v>
      </c>
      <c r="AP675" s="1" t="str">
        <f>IF(HR_Data[[#This Row],[WorkLifeBalance]]=1,"Bad",IF(HR_Data[[#This Row],[WorkLifeBalance]]=2,"Good",IF(HR_Data[[#This Row],[WorkLifeBalance]]=3,"Better","Best")))</f>
        <v>Better</v>
      </c>
    </row>
    <row r="676" spans="1:42" x14ac:dyDescent="0.3">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c r="AJ676">
        <f>IF(HR_Data[[#This Row],[Attrition]]="Yes",1,0)</f>
        <v>0</v>
      </c>
      <c r="AK676">
        <f>IF(HR_Data[[#This Row],[Attrition]]="No",1,0)</f>
        <v>1</v>
      </c>
      <c r="AL676" t="str">
        <f>IF(HR_Data[[#This Row],[Age]]&lt;25,"Under 25",IF(HR_Data[[#This Row],[Age]]&lt;=34,"25-34",IF(HR_Data[[#This Row],[Age]]&lt;=44,"35-44",IF(HR_Data[[#This Row],[Age]]&lt;=54,"45-54","55+"))))</f>
        <v>55+</v>
      </c>
      <c r="AM676" s="1" t="str">
        <f>IF(HR_Data[[#This Row],[MonthlyIncome]]&lt;3000,"Low Salary",IF(HR_Data[[#This Row],[MonthlyIncome]]&lt;=7000,"Medium Salary","High Salary"))</f>
        <v>High Salary</v>
      </c>
      <c r="AN676" s="1" t="str">
        <f>IF(HR_Data[[#This Row],[YearsAtCompany]]&lt;2,"0-1 Years",IF(HR_Data[[#This Row],[YearsAtCompany]]&lt;=5,"2-5 Years",IF(HR_Data[[#This Row],[YearsAtCompany]]&lt;=10,"6-10 Years","10+ Years")))</f>
        <v>6-10 Years</v>
      </c>
      <c r="AO676" s="1" t="str">
        <f>IF(HR_Data[[#This Row],[JobSatisfaction]]=1,"Low",IF(HR_Data[[#This Row],[JobSatisfaction]]=2,"Medium",IF(HR_Data[[#This Row],[JobSatisfaction]]=3,"High","Very High")))</f>
        <v>Medium</v>
      </c>
      <c r="AP676" s="1" t="str">
        <f>IF(HR_Data[[#This Row],[WorkLifeBalance]]=1,"Bad",IF(HR_Data[[#This Row],[WorkLifeBalance]]=2,"Good",IF(HR_Data[[#This Row],[WorkLifeBalance]]=3,"Better","Best")))</f>
        <v>Better</v>
      </c>
    </row>
    <row r="677" spans="1:42" x14ac:dyDescent="0.3">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c r="AJ677">
        <f>IF(HR_Data[[#This Row],[Attrition]]="Yes",1,0)</f>
        <v>0</v>
      </c>
      <c r="AK677">
        <f>IF(HR_Data[[#This Row],[Attrition]]="No",1,0)</f>
        <v>1</v>
      </c>
      <c r="AL677" t="str">
        <f>IF(HR_Data[[#This Row],[Age]]&lt;25,"Under 25",IF(HR_Data[[#This Row],[Age]]&lt;=34,"25-34",IF(HR_Data[[#This Row],[Age]]&lt;=44,"35-44",IF(HR_Data[[#This Row],[Age]]&lt;=54,"45-54","55+"))))</f>
        <v>25-34</v>
      </c>
      <c r="AM677" s="1" t="str">
        <f>IF(HR_Data[[#This Row],[MonthlyIncome]]&lt;3000,"Low Salary",IF(HR_Data[[#This Row],[MonthlyIncome]]&lt;=7000,"Medium Salary","High Salary"))</f>
        <v>Low Salary</v>
      </c>
      <c r="AN677" s="1" t="str">
        <f>IF(HR_Data[[#This Row],[YearsAtCompany]]&lt;2,"0-1 Years",IF(HR_Data[[#This Row],[YearsAtCompany]]&lt;=5,"2-5 Years",IF(HR_Data[[#This Row],[YearsAtCompany]]&lt;=10,"6-10 Years","10+ Years")))</f>
        <v>6-10 Years</v>
      </c>
      <c r="AO677" s="1" t="str">
        <f>IF(HR_Data[[#This Row],[JobSatisfaction]]=1,"Low",IF(HR_Data[[#This Row],[JobSatisfaction]]=2,"Medium",IF(HR_Data[[#This Row],[JobSatisfaction]]=3,"High","Very High")))</f>
        <v>High</v>
      </c>
      <c r="AP677" s="1" t="str">
        <f>IF(HR_Data[[#This Row],[WorkLifeBalance]]=1,"Bad",IF(HR_Data[[#This Row],[WorkLifeBalance]]=2,"Good",IF(HR_Data[[#This Row],[WorkLifeBalance]]=3,"Better","Best")))</f>
        <v>Best</v>
      </c>
    </row>
    <row r="678" spans="1:42" x14ac:dyDescent="0.3">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c r="AJ678">
        <f>IF(HR_Data[[#This Row],[Attrition]]="Yes",1,0)</f>
        <v>0</v>
      </c>
      <c r="AK678">
        <f>IF(HR_Data[[#This Row],[Attrition]]="No",1,0)</f>
        <v>1</v>
      </c>
      <c r="AL678" t="str">
        <f>IF(HR_Data[[#This Row],[Age]]&lt;25,"Under 25",IF(HR_Data[[#This Row],[Age]]&lt;=34,"25-34",IF(HR_Data[[#This Row],[Age]]&lt;=44,"35-44",IF(HR_Data[[#This Row],[Age]]&lt;=54,"45-54","55+"))))</f>
        <v>35-44</v>
      </c>
      <c r="AM678" s="1" t="str">
        <f>IF(HR_Data[[#This Row],[MonthlyIncome]]&lt;3000,"Low Salary",IF(HR_Data[[#This Row],[MonthlyIncome]]&lt;=7000,"Medium Salary","High Salary"))</f>
        <v>Medium Salary</v>
      </c>
      <c r="AN678" s="1" t="str">
        <f>IF(HR_Data[[#This Row],[YearsAtCompany]]&lt;2,"0-1 Years",IF(HR_Data[[#This Row],[YearsAtCompany]]&lt;=5,"2-5 Years",IF(HR_Data[[#This Row],[YearsAtCompany]]&lt;=10,"6-10 Years","10+ Years")))</f>
        <v>6-10 Years</v>
      </c>
      <c r="AO678" s="1" t="str">
        <f>IF(HR_Data[[#This Row],[JobSatisfaction]]=1,"Low",IF(HR_Data[[#This Row],[JobSatisfaction]]=2,"Medium",IF(HR_Data[[#This Row],[JobSatisfaction]]=3,"High","Very High")))</f>
        <v>Very High</v>
      </c>
      <c r="AP678" s="1" t="str">
        <f>IF(HR_Data[[#This Row],[WorkLifeBalance]]=1,"Bad",IF(HR_Data[[#This Row],[WorkLifeBalance]]=2,"Good",IF(HR_Data[[#This Row],[WorkLifeBalance]]=3,"Better","Best")))</f>
        <v>Bad</v>
      </c>
    </row>
    <row r="679" spans="1:42" x14ac:dyDescent="0.3">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c r="AJ679">
        <f>IF(HR_Data[[#This Row],[Attrition]]="Yes",1,0)</f>
        <v>0</v>
      </c>
      <c r="AK679">
        <f>IF(HR_Data[[#This Row],[Attrition]]="No",1,0)</f>
        <v>1</v>
      </c>
      <c r="AL679" t="str">
        <f>IF(HR_Data[[#This Row],[Age]]&lt;25,"Under 25",IF(HR_Data[[#This Row],[Age]]&lt;=34,"25-34",IF(HR_Data[[#This Row],[Age]]&lt;=44,"35-44",IF(HR_Data[[#This Row],[Age]]&lt;=54,"45-54","55+"))))</f>
        <v>45-54</v>
      </c>
      <c r="AM679" s="1" t="str">
        <f>IF(HR_Data[[#This Row],[MonthlyIncome]]&lt;3000,"Low Salary",IF(HR_Data[[#This Row],[MonthlyIncome]]&lt;=7000,"Medium Salary","High Salary"))</f>
        <v>High Salary</v>
      </c>
      <c r="AN679" s="1" t="str">
        <f>IF(HR_Data[[#This Row],[YearsAtCompany]]&lt;2,"0-1 Years",IF(HR_Data[[#This Row],[YearsAtCompany]]&lt;=5,"2-5 Years",IF(HR_Data[[#This Row],[YearsAtCompany]]&lt;=10,"6-10 Years","10+ Years")))</f>
        <v>10+ Years</v>
      </c>
      <c r="AO679" s="1" t="str">
        <f>IF(HR_Data[[#This Row],[JobSatisfaction]]=1,"Low",IF(HR_Data[[#This Row],[JobSatisfaction]]=2,"Medium",IF(HR_Data[[#This Row],[JobSatisfaction]]=3,"High","Very High")))</f>
        <v>Medium</v>
      </c>
      <c r="AP679" s="1" t="str">
        <f>IF(HR_Data[[#This Row],[WorkLifeBalance]]=1,"Bad",IF(HR_Data[[#This Row],[WorkLifeBalance]]=2,"Good",IF(HR_Data[[#This Row],[WorkLifeBalance]]=3,"Better","Best")))</f>
        <v>Good</v>
      </c>
    </row>
    <row r="680" spans="1:42" x14ac:dyDescent="0.3">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c r="AJ680">
        <f>IF(HR_Data[[#This Row],[Attrition]]="Yes",1,0)</f>
        <v>0</v>
      </c>
      <c r="AK680">
        <f>IF(HR_Data[[#This Row],[Attrition]]="No",1,0)</f>
        <v>1</v>
      </c>
      <c r="AL680" t="str">
        <f>IF(HR_Data[[#This Row],[Age]]&lt;25,"Under 25",IF(HR_Data[[#This Row],[Age]]&lt;=34,"25-34",IF(HR_Data[[#This Row],[Age]]&lt;=44,"35-44",IF(HR_Data[[#This Row],[Age]]&lt;=54,"45-54","55+"))))</f>
        <v>45-54</v>
      </c>
      <c r="AM680" s="1" t="str">
        <f>IF(HR_Data[[#This Row],[MonthlyIncome]]&lt;3000,"Low Salary",IF(HR_Data[[#This Row],[MonthlyIncome]]&lt;=7000,"Medium Salary","High Salary"))</f>
        <v>Low Salary</v>
      </c>
      <c r="AN680" s="1" t="str">
        <f>IF(HR_Data[[#This Row],[YearsAtCompany]]&lt;2,"0-1 Years",IF(HR_Data[[#This Row],[YearsAtCompany]]&lt;=5,"2-5 Years",IF(HR_Data[[#This Row],[YearsAtCompany]]&lt;=10,"6-10 Years","10+ Years")))</f>
        <v>0-1 Years</v>
      </c>
      <c r="AO680" s="1" t="str">
        <f>IF(HR_Data[[#This Row],[JobSatisfaction]]=1,"Low",IF(HR_Data[[#This Row],[JobSatisfaction]]=2,"Medium",IF(HR_Data[[#This Row],[JobSatisfaction]]=3,"High","Very High")))</f>
        <v>High</v>
      </c>
      <c r="AP680" s="1" t="str">
        <f>IF(HR_Data[[#This Row],[WorkLifeBalance]]=1,"Bad",IF(HR_Data[[#This Row],[WorkLifeBalance]]=2,"Good",IF(HR_Data[[#This Row],[WorkLifeBalance]]=3,"Better","Best")))</f>
        <v>Good</v>
      </c>
    </row>
    <row r="681" spans="1:42" x14ac:dyDescent="0.3">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c r="AJ681">
        <f>IF(HR_Data[[#This Row],[Attrition]]="Yes",1,0)</f>
        <v>0</v>
      </c>
      <c r="AK681">
        <f>IF(HR_Data[[#This Row],[Attrition]]="No",1,0)</f>
        <v>1</v>
      </c>
      <c r="AL681" t="str">
        <f>IF(HR_Data[[#This Row],[Age]]&lt;25,"Under 25",IF(HR_Data[[#This Row],[Age]]&lt;=34,"25-34",IF(HR_Data[[#This Row],[Age]]&lt;=44,"35-44",IF(HR_Data[[#This Row],[Age]]&lt;=54,"45-54","55+"))))</f>
        <v>25-34</v>
      </c>
      <c r="AM681" s="1" t="str">
        <f>IF(HR_Data[[#This Row],[MonthlyIncome]]&lt;3000,"Low Salary",IF(HR_Data[[#This Row],[MonthlyIncome]]&lt;=7000,"Medium Salary","High Salary"))</f>
        <v>Medium Salary</v>
      </c>
      <c r="AN681" s="1" t="str">
        <f>IF(HR_Data[[#This Row],[YearsAtCompany]]&lt;2,"0-1 Years",IF(HR_Data[[#This Row],[YearsAtCompany]]&lt;=5,"2-5 Years",IF(HR_Data[[#This Row],[YearsAtCompany]]&lt;=10,"6-10 Years","10+ Years")))</f>
        <v>6-10 Years</v>
      </c>
      <c r="AO681" s="1" t="str">
        <f>IF(HR_Data[[#This Row],[JobSatisfaction]]=1,"Low",IF(HR_Data[[#This Row],[JobSatisfaction]]=2,"Medium",IF(HR_Data[[#This Row],[JobSatisfaction]]=3,"High","Very High")))</f>
        <v>High</v>
      </c>
      <c r="AP681" s="1" t="str">
        <f>IF(HR_Data[[#This Row],[WorkLifeBalance]]=1,"Bad",IF(HR_Data[[#This Row],[WorkLifeBalance]]=2,"Good",IF(HR_Data[[#This Row],[WorkLifeBalance]]=3,"Better","Best")))</f>
        <v>Good</v>
      </c>
    </row>
    <row r="682" spans="1:42" x14ac:dyDescent="0.3">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c r="AJ682">
        <f>IF(HR_Data[[#This Row],[Attrition]]="Yes",1,0)</f>
        <v>0</v>
      </c>
      <c r="AK682">
        <f>IF(HR_Data[[#This Row],[Attrition]]="No",1,0)</f>
        <v>1</v>
      </c>
      <c r="AL682" t="str">
        <f>IF(HR_Data[[#This Row],[Age]]&lt;25,"Under 25",IF(HR_Data[[#This Row],[Age]]&lt;=34,"25-34",IF(HR_Data[[#This Row],[Age]]&lt;=44,"35-44",IF(HR_Data[[#This Row],[Age]]&lt;=54,"45-54","55+"))))</f>
        <v>35-44</v>
      </c>
      <c r="AM682" s="1" t="str">
        <f>IF(HR_Data[[#This Row],[MonthlyIncome]]&lt;3000,"Low Salary",IF(HR_Data[[#This Row],[MonthlyIncome]]&lt;=7000,"Medium Salary","High Salary"))</f>
        <v>Medium Salary</v>
      </c>
      <c r="AN682" s="1" t="str">
        <f>IF(HR_Data[[#This Row],[YearsAtCompany]]&lt;2,"0-1 Years",IF(HR_Data[[#This Row],[YearsAtCompany]]&lt;=5,"2-5 Years",IF(HR_Data[[#This Row],[YearsAtCompany]]&lt;=10,"6-10 Years","10+ Years")))</f>
        <v>6-10 Years</v>
      </c>
      <c r="AO682" s="1" t="str">
        <f>IF(HR_Data[[#This Row],[JobSatisfaction]]=1,"Low",IF(HR_Data[[#This Row],[JobSatisfaction]]=2,"Medium",IF(HR_Data[[#This Row],[JobSatisfaction]]=3,"High","Very High")))</f>
        <v>Very High</v>
      </c>
      <c r="AP682" s="1" t="str">
        <f>IF(HR_Data[[#This Row],[WorkLifeBalance]]=1,"Bad",IF(HR_Data[[#This Row],[WorkLifeBalance]]=2,"Good",IF(HR_Data[[#This Row],[WorkLifeBalance]]=3,"Better","Best")))</f>
        <v>Better</v>
      </c>
    </row>
    <row r="683" spans="1:42" x14ac:dyDescent="0.3">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c r="AJ683">
        <f>IF(HR_Data[[#This Row],[Attrition]]="Yes",1,0)</f>
        <v>0</v>
      </c>
      <c r="AK683">
        <f>IF(HR_Data[[#This Row],[Attrition]]="No",1,0)</f>
        <v>1</v>
      </c>
      <c r="AL683" t="str">
        <f>IF(HR_Data[[#This Row],[Age]]&lt;25,"Under 25",IF(HR_Data[[#This Row],[Age]]&lt;=34,"25-34",IF(HR_Data[[#This Row],[Age]]&lt;=44,"35-44",IF(HR_Data[[#This Row],[Age]]&lt;=54,"45-54","55+"))))</f>
        <v>35-44</v>
      </c>
      <c r="AM683" s="1" t="str">
        <f>IF(HR_Data[[#This Row],[MonthlyIncome]]&lt;3000,"Low Salary",IF(HR_Data[[#This Row],[MonthlyIncome]]&lt;=7000,"Medium Salary","High Salary"))</f>
        <v>High Salary</v>
      </c>
      <c r="AN683" s="1" t="str">
        <f>IF(HR_Data[[#This Row],[YearsAtCompany]]&lt;2,"0-1 Years",IF(HR_Data[[#This Row],[YearsAtCompany]]&lt;=5,"2-5 Years",IF(HR_Data[[#This Row],[YearsAtCompany]]&lt;=10,"6-10 Years","10+ Years")))</f>
        <v>10+ Years</v>
      </c>
      <c r="AO683" s="1" t="str">
        <f>IF(HR_Data[[#This Row],[JobSatisfaction]]=1,"Low",IF(HR_Data[[#This Row],[JobSatisfaction]]=2,"Medium",IF(HR_Data[[#This Row],[JobSatisfaction]]=3,"High","Very High")))</f>
        <v>Low</v>
      </c>
      <c r="AP683" s="1" t="str">
        <f>IF(HR_Data[[#This Row],[WorkLifeBalance]]=1,"Bad",IF(HR_Data[[#This Row],[WorkLifeBalance]]=2,"Good",IF(HR_Data[[#This Row],[WorkLifeBalance]]=3,"Better","Best")))</f>
        <v>Better</v>
      </c>
    </row>
    <row r="684" spans="1:42" x14ac:dyDescent="0.3">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c r="AJ684">
        <f>IF(HR_Data[[#This Row],[Attrition]]="Yes",1,0)</f>
        <v>0</v>
      </c>
      <c r="AK684">
        <f>IF(HR_Data[[#This Row],[Attrition]]="No",1,0)</f>
        <v>1</v>
      </c>
      <c r="AL684" t="str">
        <f>IF(HR_Data[[#This Row],[Age]]&lt;25,"Under 25",IF(HR_Data[[#This Row],[Age]]&lt;=34,"25-34",IF(HR_Data[[#This Row],[Age]]&lt;=44,"35-44",IF(HR_Data[[#This Row],[Age]]&lt;=54,"45-54","55+"))))</f>
        <v>25-34</v>
      </c>
      <c r="AM684" s="1" t="str">
        <f>IF(HR_Data[[#This Row],[MonthlyIncome]]&lt;3000,"Low Salary",IF(HR_Data[[#This Row],[MonthlyIncome]]&lt;=7000,"Medium Salary","High Salary"))</f>
        <v>Low Salary</v>
      </c>
      <c r="AN684" s="1" t="str">
        <f>IF(HR_Data[[#This Row],[YearsAtCompany]]&lt;2,"0-1 Years",IF(HR_Data[[#This Row],[YearsAtCompany]]&lt;=5,"2-5 Years",IF(HR_Data[[#This Row],[YearsAtCompany]]&lt;=10,"6-10 Years","10+ Years")))</f>
        <v>2-5 Years</v>
      </c>
      <c r="AO684" s="1" t="str">
        <f>IF(HR_Data[[#This Row],[JobSatisfaction]]=1,"Low",IF(HR_Data[[#This Row],[JobSatisfaction]]=2,"Medium",IF(HR_Data[[#This Row],[JobSatisfaction]]=3,"High","Very High")))</f>
        <v>Medium</v>
      </c>
      <c r="AP684" s="1" t="str">
        <f>IF(HR_Data[[#This Row],[WorkLifeBalance]]=1,"Bad",IF(HR_Data[[#This Row],[WorkLifeBalance]]=2,"Good",IF(HR_Data[[#This Row],[WorkLifeBalance]]=3,"Better","Best")))</f>
        <v>Better</v>
      </c>
    </row>
    <row r="685" spans="1:42" x14ac:dyDescent="0.3">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c r="AJ685">
        <f>IF(HR_Data[[#This Row],[Attrition]]="Yes",1,0)</f>
        <v>1</v>
      </c>
      <c r="AK685">
        <f>IF(HR_Data[[#This Row],[Attrition]]="No",1,0)</f>
        <v>0</v>
      </c>
      <c r="AL685" t="str">
        <f>IF(HR_Data[[#This Row],[Age]]&lt;25,"Under 25",IF(HR_Data[[#This Row],[Age]]&lt;=34,"25-34",IF(HR_Data[[#This Row],[Age]]&lt;=44,"35-44",IF(HR_Data[[#This Row],[Age]]&lt;=54,"45-54","55+"))))</f>
        <v>25-34</v>
      </c>
      <c r="AM685" s="1" t="str">
        <f>IF(HR_Data[[#This Row],[MonthlyIncome]]&lt;3000,"Low Salary",IF(HR_Data[[#This Row],[MonthlyIncome]]&lt;=7000,"Medium Salary","High Salary"))</f>
        <v>Low Salary</v>
      </c>
      <c r="AN685" s="1" t="str">
        <f>IF(HR_Data[[#This Row],[YearsAtCompany]]&lt;2,"0-1 Years",IF(HR_Data[[#This Row],[YearsAtCompany]]&lt;=5,"2-5 Years",IF(HR_Data[[#This Row],[YearsAtCompany]]&lt;=10,"6-10 Years","10+ Years")))</f>
        <v>0-1 Years</v>
      </c>
      <c r="AO685" s="1" t="str">
        <f>IF(HR_Data[[#This Row],[JobSatisfaction]]=1,"Low",IF(HR_Data[[#This Row],[JobSatisfaction]]=2,"Medium",IF(HR_Data[[#This Row],[JobSatisfaction]]=3,"High","Very High")))</f>
        <v>Medium</v>
      </c>
      <c r="AP685" s="1" t="str">
        <f>IF(HR_Data[[#This Row],[WorkLifeBalance]]=1,"Bad",IF(HR_Data[[#This Row],[WorkLifeBalance]]=2,"Good",IF(HR_Data[[#This Row],[WorkLifeBalance]]=3,"Better","Best")))</f>
        <v>Better</v>
      </c>
    </row>
    <row r="686" spans="1:42" x14ac:dyDescent="0.3">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c r="AJ686">
        <f>IF(HR_Data[[#This Row],[Attrition]]="Yes",1,0)</f>
        <v>0</v>
      </c>
      <c r="AK686">
        <f>IF(HR_Data[[#This Row],[Attrition]]="No",1,0)</f>
        <v>1</v>
      </c>
      <c r="AL686" t="str">
        <f>IF(HR_Data[[#This Row],[Age]]&lt;25,"Under 25",IF(HR_Data[[#This Row],[Age]]&lt;=34,"25-34",IF(HR_Data[[#This Row],[Age]]&lt;=44,"35-44",IF(HR_Data[[#This Row],[Age]]&lt;=54,"45-54","55+"))))</f>
        <v>35-44</v>
      </c>
      <c r="AM686" s="1" t="str">
        <f>IF(HR_Data[[#This Row],[MonthlyIncome]]&lt;3000,"Low Salary",IF(HR_Data[[#This Row],[MonthlyIncome]]&lt;=7000,"Medium Salary","High Salary"))</f>
        <v>High Salary</v>
      </c>
      <c r="AN686" s="1" t="str">
        <f>IF(HR_Data[[#This Row],[YearsAtCompany]]&lt;2,"0-1 Years",IF(HR_Data[[#This Row],[YearsAtCompany]]&lt;=5,"2-5 Years",IF(HR_Data[[#This Row],[YearsAtCompany]]&lt;=10,"6-10 Years","10+ Years")))</f>
        <v>0-1 Years</v>
      </c>
      <c r="AO686" s="1" t="str">
        <f>IF(HR_Data[[#This Row],[JobSatisfaction]]=1,"Low",IF(HR_Data[[#This Row],[JobSatisfaction]]=2,"Medium",IF(HR_Data[[#This Row],[JobSatisfaction]]=3,"High","Very High")))</f>
        <v>Medium</v>
      </c>
      <c r="AP686" s="1" t="str">
        <f>IF(HR_Data[[#This Row],[WorkLifeBalance]]=1,"Bad",IF(HR_Data[[#This Row],[WorkLifeBalance]]=2,"Good",IF(HR_Data[[#This Row],[WorkLifeBalance]]=3,"Better","Best")))</f>
        <v>Good</v>
      </c>
    </row>
    <row r="687" spans="1:42" x14ac:dyDescent="0.3">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c r="AJ687">
        <f>IF(HR_Data[[#This Row],[Attrition]]="Yes",1,0)</f>
        <v>0</v>
      </c>
      <c r="AK687">
        <f>IF(HR_Data[[#This Row],[Attrition]]="No",1,0)</f>
        <v>1</v>
      </c>
      <c r="AL687" t="str">
        <f>IF(HR_Data[[#This Row],[Age]]&lt;25,"Under 25",IF(HR_Data[[#This Row],[Age]]&lt;=34,"25-34",IF(HR_Data[[#This Row],[Age]]&lt;=44,"35-44",IF(HR_Data[[#This Row],[Age]]&lt;=54,"45-54","55+"))))</f>
        <v>25-34</v>
      </c>
      <c r="AM687" s="1" t="str">
        <f>IF(HR_Data[[#This Row],[MonthlyIncome]]&lt;3000,"Low Salary",IF(HR_Data[[#This Row],[MonthlyIncome]]&lt;=7000,"Medium Salary","High Salary"))</f>
        <v>Medium Salary</v>
      </c>
      <c r="AN687" s="1" t="str">
        <f>IF(HR_Data[[#This Row],[YearsAtCompany]]&lt;2,"0-1 Years",IF(HR_Data[[#This Row],[YearsAtCompany]]&lt;=5,"2-5 Years",IF(HR_Data[[#This Row],[YearsAtCompany]]&lt;=10,"6-10 Years","10+ Years")))</f>
        <v>6-10 Years</v>
      </c>
      <c r="AO687" s="1" t="str">
        <f>IF(HR_Data[[#This Row],[JobSatisfaction]]=1,"Low",IF(HR_Data[[#This Row],[JobSatisfaction]]=2,"Medium",IF(HR_Data[[#This Row],[JobSatisfaction]]=3,"High","Very High")))</f>
        <v>Low</v>
      </c>
      <c r="AP687" s="1" t="str">
        <f>IF(HR_Data[[#This Row],[WorkLifeBalance]]=1,"Bad",IF(HR_Data[[#This Row],[WorkLifeBalance]]=2,"Good",IF(HR_Data[[#This Row],[WorkLifeBalance]]=3,"Better","Best")))</f>
        <v>Better</v>
      </c>
    </row>
    <row r="688" spans="1:42" x14ac:dyDescent="0.3">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c r="AJ688">
        <f>IF(HR_Data[[#This Row],[Attrition]]="Yes",1,0)</f>
        <v>0</v>
      </c>
      <c r="AK688">
        <f>IF(HR_Data[[#This Row],[Attrition]]="No",1,0)</f>
        <v>1</v>
      </c>
      <c r="AL688" t="str">
        <f>IF(HR_Data[[#This Row],[Age]]&lt;25,"Under 25",IF(HR_Data[[#This Row],[Age]]&lt;=34,"25-34",IF(HR_Data[[#This Row],[Age]]&lt;=44,"35-44",IF(HR_Data[[#This Row],[Age]]&lt;=54,"45-54","55+"))))</f>
        <v>35-44</v>
      </c>
      <c r="AM688" s="1" t="str">
        <f>IF(HR_Data[[#This Row],[MonthlyIncome]]&lt;3000,"Low Salary",IF(HR_Data[[#This Row],[MonthlyIncome]]&lt;=7000,"Medium Salary","High Salary"))</f>
        <v>Medium Salary</v>
      </c>
      <c r="AN688" s="1" t="str">
        <f>IF(HR_Data[[#This Row],[YearsAtCompany]]&lt;2,"0-1 Years",IF(HR_Data[[#This Row],[YearsAtCompany]]&lt;=5,"2-5 Years",IF(HR_Data[[#This Row],[YearsAtCompany]]&lt;=10,"6-10 Years","10+ Years")))</f>
        <v>10+ Years</v>
      </c>
      <c r="AO688" s="1" t="str">
        <f>IF(HR_Data[[#This Row],[JobSatisfaction]]=1,"Low",IF(HR_Data[[#This Row],[JobSatisfaction]]=2,"Medium",IF(HR_Data[[#This Row],[JobSatisfaction]]=3,"High","Very High")))</f>
        <v>Low</v>
      </c>
      <c r="AP688" s="1" t="str">
        <f>IF(HR_Data[[#This Row],[WorkLifeBalance]]=1,"Bad",IF(HR_Data[[#This Row],[WorkLifeBalance]]=2,"Good",IF(HR_Data[[#This Row],[WorkLifeBalance]]=3,"Better","Best")))</f>
        <v>Better</v>
      </c>
    </row>
    <row r="689" spans="1:42" x14ac:dyDescent="0.3">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c r="AJ689">
        <f>IF(HR_Data[[#This Row],[Attrition]]="Yes",1,0)</f>
        <v>0</v>
      </c>
      <c r="AK689">
        <f>IF(HR_Data[[#This Row],[Attrition]]="No",1,0)</f>
        <v>1</v>
      </c>
      <c r="AL689" t="str">
        <f>IF(HR_Data[[#This Row],[Age]]&lt;25,"Under 25",IF(HR_Data[[#This Row],[Age]]&lt;=34,"25-34",IF(HR_Data[[#This Row],[Age]]&lt;=44,"35-44",IF(HR_Data[[#This Row],[Age]]&lt;=54,"45-54","55+"))))</f>
        <v>35-44</v>
      </c>
      <c r="AM689" s="1" t="str">
        <f>IF(HR_Data[[#This Row],[MonthlyIncome]]&lt;3000,"Low Salary",IF(HR_Data[[#This Row],[MonthlyIncome]]&lt;=7000,"Medium Salary","High Salary"))</f>
        <v>Low Salary</v>
      </c>
      <c r="AN689" s="1" t="str">
        <f>IF(HR_Data[[#This Row],[YearsAtCompany]]&lt;2,"0-1 Years",IF(HR_Data[[#This Row],[YearsAtCompany]]&lt;=5,"2-5 Years",IF(HR_Data[[#This Row],[YearsAtCompany]]&lt;=10,"6-10 Years","10+ Years")))</f>
        <v>10+ Years</v>
      </c>
      <c r="AO689" s="1" t="str">
        <f>IF(HR_Data[[#This Row],[JobSatisfaction]]=1,"Low",IF(HR_Data[[#This Row],[JobSatisfaction]]=2,"Medium",IF(HR_Data[[#This Row],[JobSatisfaction]]=3,"High","Very High")))</f>
        <v>High</v>
      </c>
      <c r="AP689" s="1" t="str">
        <f>IF(HR_Data[[#This Row],[WorkLifeBalance]]=1,"Bad",IF(HR_Data[[#This Row],[WorkLifeBalance]]=2,"Good",IF(HR_Data[[#This Row],[WorkLifeBalance]]=3,"Better","Best")))</f>
        <v>Better</v>
      </c>
    </row>
    <row r="690" spans="1:42" x14ac:dyDescent="0.3">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c r="AJ690">
        <f>IF(HR_Data[[#This Row],[Attrition]]="Yes",1,0)</f>
        <v>1</v>
      </c>
      <c r="AK690">
        <f>IF(HR_Data[[#This Row],[Attrition]]="No",1,0)</f>
        <v>0</v>
      </c>
      <c r="AL690" t="str">
        <f>IF(HR_Data[[#This Row],[Age]]&lt;25,"Under 25",IF(HR_Data[[#This Row],[Age]]&lt;=34,"25-34",IF(HR_Data[[#This Row],[Age]]&lt;=44,"35-44",IF(HR_Data[[#This Row],[Age]]&lt;=54,"45-54","55+"))))</f>
        <v>Under 25</v>
      </c>
      <c r="AM690" s="1" t="str">
        <f>IF(HR_Data[[#This Row],[MonthlyIncome]]&lt;3000,"Low Salary",IF(HR_Data[[#This Row],[MonthlyIncome]]&lt;=7000,"Medium Salary","High Salary"))</f>
        <v>Low Salary</v>
      </c>
      <c r="AN690" s="1" t="str">
        <f>IF(HR_Data[[#This Row],[YearsAtCompany]]&lt;2,"0-1 Years",IF(HR_Data[[#This Row],[YearsAtCompany]]&lt;=5,"2-5 Years",IF(HR_Data[[#This Row],[YearsAtCompany]]&lt;=10,"6-10 Years","10+ Years")))</f>
        <v>0-1 Years</v>
      </c>
      <c r="AO690" s="1" t="str">
        <f>IF(HR_Data[[#This Row],[JobSatisfaction]]=1,"Low",IF(HR_Data[[#This Row],[JobSatisfaction]]=2,"Medium",IF(HR_Data[[#This Row],[JobSatisfaction]]=3,"High","Very High")))</f>
        <v>Medium</v>
      </c>
      <c r="AP690" s="1" t="str">
        <f>IF(HR_Data[[#This Row],[WorkLifeBalance]]=1,"Bad",IF(HR_Data[[#This Row],[WorkLifeBalance]]=2,"Good",IF(HR_Data[[#This Row],[WorkLifeBalance]]=3,"Better","Best")))</f>
        <v>Best</v>
      </c>
    </row>
    <row r="691" spans="1:42" x14ac:dyDescent="0.3">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c r="AJ691">
        <f>IF(HR_Data[[#This Row],[Attrition]]="Yes",1,0)</f>
        <v>1</v>
      </c>
      <c r="AK691">
        <f>IF(HR_Data[[#This Row],[Attrition]]="No",1,0)</f>
        <v>0</v>
      </c>
      <c r="AL691" t="str">
        <f>IF(HR_Data[[#This Row],[Age]]&lt;25,"Under 25",IF(HR_Data[[#This Row],[Age]]&lt;=34,"25-34",IF(HR_Data[[#This Row],[Age]]&lt;=44,"35-44",IF(HR_Data[[#This Row],[Age]]&lt;=54,"45-54","55+"))))</f>
        <v>Under 25</v>
      </c>
      <c r="AM691" s="1" t="str">
        <f>IF(HR_Data[[#This Row],[MonthlyIncome]]&lt;3000,"Low Salary",IF(HR_Data[[#This Row],[MonthlyIncome]]&lt;=7000,"Medium Salary","High Salary"))</f>
        <v>Low Salary</v>
      </c>
      <c r="AN691" s="1" t="str">
        <f>IF(HR_Data[[#This Row],[YearsAtCompany]]&lt;2,"0-1 Years",IF(HR_Data[[#This Row],[YearsAtCompany]]&lt;=5,"2-5 Years",IF(HR_Data[[#This Row],[YearsAtCompany]]&lt;=10,"6-10 Years","10+ Years")))</f>
        <v>0-1 Years</v>
      </c>
      <c r="AO691" s="1" t="str">
        <f>IF(HR_Data[[#This Row],[JobSatisfaction]]=1,"Low",IF(HR_Data[[#This Row],[JobSatisfaction]]=2,"Medium",IF(HR_Data[[#This Row],[JobSatisfaction]]=3,"High","Very High")))</f>
        <v>Low</v>
      </c>
      <c r="AP691" s="1" t="str">
        <f>IF(HR_Data[[#This Row],[WorkLifeBalance]]=1,"Bad",IF(HR_Data[[#This Row],[WorkLifeBalance]]=2,"Good",IF(HR_Data[[#This Row],[WorkLifeBalance]]=3,"Better","Best")))</f>
        <v>Better</v>
      </c>
    </row>
    <row r="692" spans="1:42" x14ac:dyDescent="0.3">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c r="AJ692">
        <f>IF(HR_Data[[#This Row],[Attrition]]="Yes",1,0)</f>
        <v>0</v>
      </c>
      <c r="AK692">
        <f>IF(HR_Data[[#This Row],[Attrition]]="No",1,0)</f>
        <v>1</v>
      </c>
      <c r="AL692" t="str">
        <f>IF(HR_Data[[#This Row],[Age]]&lt;25,"Under 25",IF(HR_Data[[#This Row],[Age]]&lt;=34,"25-34",IF(HR_Data[[#This Row],[Age]]&lt;=44,"35-44",IF(HR_Data[[#This Row],[Age]]&lt;=54,"45-54","55+"))))</f>
        <v>25-34</v>
      </c>
      <c r="AM692" s="1" t="str">
        <f>IF(HR_Data[[#This Row],[MonthlyIncome]]&lt;3000,"Low Salary",IF(HR_Data[[#This Row],[MonthlyIncome]]&lt;=7000,"Medium Salary","High Salary"))</f>
        <v>Medium Salary</v>
      </c>
      <c r="AN692" s="1" t="str">
        <f>IF(HR_Data[[#This Row],[YearsAtCompany]]&lt;2,"0-1 Years",IF(HR_Data[[#This Row],[YearsAtCompany]]&lt;=5,"2-5 Years",IF(HR_Data[[#This Row],[YearsAtCompany]]&lt;=10,"6-10 Years","10+ Years")))</f>
        <v>6-10 Years</v>
      </c>
      <c r="AO692" s="1" t="str">
        <f>IF(HR_Data[[#This Row],[JobSatisfaction]]=1,"Low",IF(HR_Data[[#This Row],[JobSatisfaction]]=2,"Medium",IF(HR_Data[[#This Row],[JobSatisfaction]]=3,"High","Very High")))</f>
        <v>Very High</v>
      </c>
      <c r="AP692" s="1" t="str">
        <f>IF(HR_Data[[#This Row],[WorkLifeBalance]]=1,"Bad",IF(HR_Data[[#This Row],[WorkLifeBalance]]=2,"Good",IF(HR_Data[[#This Row],[WorkLifeBalance]]=3,"Better","Best")))</f>
        <v>Bad</v>
      </c>
    </row>
    <row r="693" spans="1:42" x14ac:dyDescent="0.3">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c r="AJ693">
        <f>IF(HR_Data[[#This Row],[Attrition]]="Yes",1,0)</f>
        <v>0</v>
      </c>
      <c r="AK693">
        <f>IF(HR_Data[[#This Row],[Attrition]]="No",1,0)</f>
        <v>1</v>
      </c>
      <c r="AL693" t="str">
        <f>IF(HR_Data[[#This Row],[Age]]&lt;25,"Under 25",IF(HR_Data[[#This Row],[Age]]&lt;=34,"25-34",IF(HR_Data[[#This Row],[Age]]&lt;=44,"35-44",IF(HR_Data[[#This Row],[Age]]&lt;=54,"45-54","55+"))))</f>
        <v>35-44</v>
      </c>
      <c r="AM693" s="1" t="str">
        <f>IF(HR_Data[[#This Row],[MonthlyIncome]]&lt;3000,"Low Salary",IF(HR_Data[[#This Row],[MonthlyIncome]]&lt;=7000,"Medium Salary","High Salary"))</f>
        <v>Medium Salary</v>
      </c>
      <c r="AN693" s="1" t="str">
        <f>IF(HR_Data[[#This Row],[YearsAtCompany]]&lt;2,"0-1 Years",IF(HR_Data[[#This Row],[YearsAtCompany]]&lt;=5,"2-5 Years",IF(HR_Data[[#This Row],[YearsAtCompany]]&lt;=10,"6-10 Years","10+ Years")))</f>
        <v>0-1 Years</v>
      </c>
      <c r="AO693" s="1" t="str">
        <f>IF(HR_Data[[#This Row],[JobSatisfaction]]=1,"Low",IF(HR_Data[[#This Row],[JobSatisfaction]]=2,"Medium",IF(HR_Data[[#This Row],[JobSatisfaction]]=3,"High","Very High")))</f>
        <v>Medium</v>
      </c>
      <c r="AP693" s="1" t="str">
        <f>IF(HR_Data[[#This Row],[WorkLifeBalance]]=1,"Bad",IF(HR_Data[[#This Row],[WorkLifeBalance]]=2,"Good",IF(HR_Data[[#This Row],[WorkLifeBalance]]=3,"Better","Best")))</f>
        <v>Better</v>
      </c>
    </row>
    <row r="694" spans="1:42" x14ac:dyDescent="0.3">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c r="AJ694">
        <f>IF(HR_Data[[#This Row],[Attrition]]="Yes",1,0)</f>
        <v>0</v>
      </c>
      <c r="AK694">
        <f>IF(HR_Data[[#This Row],[Attrition]]="No",1,0)</f>
        <v>1</v>
      </c>
      <c r="AL694" t="str">
        <f>IF(HR_Data[[#This Row],[Age]]&lt;25,"Under 25",IF(HR_Data[[#This Row],[Age]]&lt;=34,"25-34",IF(HR_Data[[#This Row],[Age]]&lt;=44,"35-44",IF(HR_Data[[#This Row],[Age]]&lt;=54,"45-54","55+"))))</f>
        <v>25-34</v>
      </c>
      <c r="AM694" s="1" t="str">
        <f>IF(HR_Data[[#This Row],[MonthlyIncome]]&lt;3000,"Low Salary",IF(HR_Data[[#This Row],[MonthlyIncome]]&lt;=7000,"Medium Salary","High Salary"))</f>
        <v>Medium Salary</v>
      </c>
      <c r="AN694" s="1" t="str">
        <f>IF(HR_Data[[#This Row],[YearsAtCompany]]&lt;2,"0-1 Years",IF(HR_Data[[#This Row],[YearsAtCompany]]&lt;=5,"2-5 Years",IF(HR_Data[[#This Row],[YearsAtCompany]]&lt;=10,"6-10 Years","10+ Years")))</f>
        <v>6-10 Years</v>
      </c>
      <c r="AO694" s="1" t="str">
        <f>IF(HR_Data[[#This Row],[JobSatisfaction]]=1,"Low",IF(HR_Data[[#This Row],[JobSatisfaction]]=2,"Medium",IF(HR_Data[[#This Row],[JobSatisfaction]]=3,"High","Very High")))</f>
        <v>Low</v>
      </c>
      <c r="AP694" s="1" t="str">
        <f>IF(HR_Data[[#This Row],[WorkLifeBalance]]=1,"Bad",IF(HR_Data[[#This Row],[WorkLifeBalance]]=2,"Good",IF(HR_Data[[#This Row],[WorkLifeBalance]]=3,"Better","Best")))</f>
        <v>Best</v>
      </c>
    </row>
    <row r="695" spans="1:42" x14ac:dyDescent="0.3">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c r="AJ695">
        <f>IF(HR_Data[[#This Row],[Attrition]]="Yes",1,0)</f>
        <v>1</v>
      </c>
      <c r="AK695">
        <f>IF(HR_Data[[#This Row],[Attrition]]="No",1,0)</f>
        <v>0</v>
      </c>
      <c r="AL695" t="str">
        <f>IF(HR_Data[[#This Row],[Age]]&lt;25,"Under 25",IF(HR_Data[[#This Row],[Age]]&lt;=34,"25-34",IF(HR_Data[[#This Row],[Age]]&lt;=44,"35-44",IF(HR_Data[[#This Row],[Age]]&lt;=54,"45-54","55+"))))</f>
        <v>35-44</v>
      </c>
      <c r="AM695" s="1" t="str">
        <f>IF(HR_Data[[#This Row],[MonthlyIncome]]&lt;3000,"Low Salary",IF(HR_Data[[#This Row],[MonthlyIncome]]&lt;=7000,"Medium Salary","High Salary"))</f>
        <v>High Salary</v>
      </c>
      <c r="AN695" s="1" t="str">
        <f>IF(HR_Data[[#This Row],[YearsAtCompany]]&lt;2,"0-1 Years",IF(HR_Data[[#This Row],[YearsAtCompany]]&lt;=5,"2-5 Years",IF(HR_Data[[#This Row],[YearsAtCompany]]&lt;=10,"6-10 Years","10+ Years")))</f>
        <v>10+ Years</v>
      </c>
      <c r="AO695" s="1" t="str">
        <f>IF(HR_Data[[#This Row],[JobSatisfaction]]=1,"Low",IF(HR_Data[[#This Row],[JobSatisfaction]]=2,"Medium",IF(HR_Data[[#This Row],[JobSatisfaction]]=3,"High","Very High")))</f>
        <v>Very High</v>
      </c>
      <c r="AP695" s="1" t="str">
        <f>IF(HR_Data[[#This Row],[WorkLifeBalance]]=1,"Bad",IF(HR_Data[[#This Row],[WorkLifeBalance]]=2,"Good",IF(HR_Data[[#This Row],[WorkLifeBalance]]=3,"Better","Best")))</f>
        <v>Better</v>
      </c>
    </row>
    <row r="696" spans="1:42" x14ac:dyDescent="0.3">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c r="AJ696">
        <f>IF(HR_Data[[#This Row],[Attrition]]="Yes",1,0)</f>
        <v>0</v>
      </c>
      <c r="AK696">
        <f>IF(HR_Data[[#This Row],[Attrition]]="No",1,0)</f>
        <v>1</v>
      </c>
      <c r="AL696" t="str">
        <f>IF(HR_Data[[#This Row],[Age]]&lt;25,"Under 25",IF(HR_Data[[#This Row],[Age]]&lt;=34,"25-34",IF(HR_Data[[#This Row],[Age]]&lt;=44,"35-44",IF(HR_Data[[#This Row],[Age]]&lt;=54,"45-54","55+"))))</f>
        <v>25-34</v>
      </c>
      <c r="AM696" s="1" t="str">
        <f>IF(HR_Data[[#This Row],[MonthlyIncome]]&lt;3000,"Low Salary",IF(HR_Data[[#This Row],[MonthlyIncome]]&lt;=7000,"Medium Salary","High Salary"))</f>
        <v>Medium Salary</v>
      </c>
      <c r="AN696" s="1" t="str">
        <f>IF(HR_Data[[#This Row],[YearsAtCompany]]&lt;2,"0-1 Years",IF(HR_Data[[#This Row],[YearsAtCompany]]&lt;=5,"2-5 Years",IF(HR_Data[[#This Row],[YearsAtCompany]]&lt;=10,"6-10 Years","10+ Years")))</f>
        <v>2-5 Years</v>
      </c>
      <c r="AO696" s="1" t="str">
        <f>IF(HR_Data[[#This Row],[JobSatisfaction]]=1,"Low",IF(HR_Data[[#This Row],[JobSatisfaction]]=2,"Medium",IF(HR_Data[[#This Row],[JobSatisfaction]]=3,"High","Very High")))</f>
        <v>Very High</v>
      </c>
      <c r="AP696" s="1" t="str">
        <f>IF(HR_Data[[#This Row],[WorkLifeBalance]]=1,"Bad",IF(HR_Data[[#This Row],[WorkLifeBalance]]=2,"Good",IF(HR_Data[[#This Row],[WorkLifeBalance]]=3,"Better","Best")))</f>
        <v>Better</v>
      </c>
    </row>
    <row r="697" spans="1:42" x14ac:dyDescent="0.3">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c r="AJ697">
        <f>IF(HR_Data[[#This Row],[Attrition]]="Yes",1,0)</f>
        <v>1</v>
      </c>
      <c r="AK697">
        <f>IF(HR_Data[[#This Row],[Attrition]]="No",1,0)</f>
        <v>0</v>
      </c>
      <c r="AL697" t="str">
        <f>IF(HR_Data[[#This Row],[Age]]&lt;25,"Under 25",IF(HR_Data[[#This Row],[Age]]&lt;=34,"25-34",IF(HR_Data[[#This Row],[Age]]&lt;=44,"35-44",IF(HR_Data[[#This Row],[Age]]&lt;=54,"45-54","55+"))))</f>
        <v>35-44</v>
      </c>
      <c r="AM697" s="1" t="str">
        <f>IF(HR_Data[[#This Row],[MonthlyIncome]]&lt;3000,"Low Salary",IF(HR_Data[[#This Row],[MonthlyIncome]]&lt;=7000,"Medium Salary","High Salary"))</f>
        <v>High Salary</v>
      </c>
      <c r="AN697" s="1" t="str">
        <f>IF(HR_Data[[#This Row],[YearsAtCompany]]&lt;2,"0-1 Years",IF(HR_Data[[#This Row],[YearsAtCompany]]&lt;=5,"2-5 Years",IF(HR_Data[[#This Row],[YearsAtCompany]]&lt;=10,"6-10 Years","10+ Years")))</f>
        <v>10+ Years</v>
      </c>
      <c r="AO697" s="1" t="str">
        <f>IF(HR_Data[[#This Row],[JobSatisfaction]]=1,"Low",IF(HR_Data[[#This Row],[JobSatisfaction]]=2,"Medium",IF(HR_Data[[#This Row],[JobSatisfaction]]=3,"High","Very High")))</f>
        <v>High</v>
      </c>
      <c r="AP697" s="1" t="str">
        <f>IF(HR_Data[[#This Row],[WorkLifeBalance]]=1,"Bad",IF(HR_Data[[#This Row],[WorkLifeBalance]]=2,"Good",IF(HR_Data[[#This Row],[WorkLifeBalance]]=3,"Better","Best")))</f>
        <v>Bad</v>
      </c>
    </row>
    <row r="698" spans="1:42" x14ac:dyDescent="0.3">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c r="AJ698">
        <f>IF(HR_Data[[#This Row],[Attrition]]="Yes",1,0)</f>
        <v>0</v>
      </c>
      <c r="AK698">
        <f>IF(HR_Data[[#This Row],[Attrition]]="No",1,0)</f>
        <v>1</v>
      </c>
      <c r="AL698" t="str">
        <f>IF(HR_Data[[#This Row],[Age]]&lt;25,"Under 25",IF(HR_Data[[#This Row],[Age]]&lt;=34,"25-34",IF(HR_Data[[#This Row],[Age]]&lt;=44,"35-44",IF(HR_Data[[#This Row],[Age]]&lt;=54,"45-54","55+"))))</f>
        <v>45-54</v>
      </c>
      <c r="AM698" s="1" t="str">
        <f>IF(HR_Data[[#This Row],[MonthlyIncome]]&lt;3000,"Low Salary",IF(HR_Data[[#This Row],[MonthlyIncome]]&lt;=7000,"Medium Salary","High Salary"))</f>
        <v>Medium Salary</v>
      </c>
      <c r="AN698" s="1" t="str">
        <f>IF(HR_Data[[#This Row],[YearsAtCompany]]&lt;2,"0-1 Years",IF(HR_Data[[#This Row],[YearsAtCompany]]&lt;=5,"2-5 Years",IF(HR_Data[[#This Row],[YearsAtCompany]]&lt;=10,"6-10 Years","10+ Years")))</f>
        <v>6-10 Years</v>
      </c>
      <c r="AO698" s="1" t="str">
        <f>IF(HR_Data[[#This Row],[JobSatisfaction]]=1,"Low",IF(HR_Data[[#This Row],[JobSatisfaction]]=2,"Medium",IF(HR_Data[[#This Row],[JobSatisfaction]]=3,"High","Very High")))</f>
        <v>Medium</v>
      </c>
      <c r="AP698" s="1" t="str">
        <f>IF(HR_Data[[#This Row],[WorkLifeBalance]]=1,"Bad",IF(HR_Data[[#This Row],[WorkLifeBalance]]=2,"Good",IF(HR_Data[[#This Row],[WorkLifeBalance]]=3,"Better","Best")))</f>
        <v>Good</v>
      </c>
    </row>
    <row r="699" spans="1:42" x14ac:dyDescent="0.3">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c r="AJ699">
        <f>IF(HR_Data[[#This Row],[Attrition]]="Yes",1,0)</f>
        <v>0</v>
      </c>
      <c r="AK699">
        <f>IF(HR_Data[[#This Row],[Attrition]]="No",1,0)</f>
        <v>1</v>
      </c>
      <c r="AL699" t="str">
        <f>IF(HR_Data[[#This Row],[Age]]&lt;25,"Under 25",IF(HR_Data[[#This Row],[Age]]&lt;=34,"25-34",IF(HR_Data[[#This Row],[Age]]&lt;=44,"35-44",IF(HR_Data[[#This Row],[Age]]&lt;=54,"45-54","55+"))))</f>
        <v>25-34</v>
      </c>
      <c r="AM699" s="1" t="str">
        <f>IF(HR_Data[[#This Row],[MonthlyIncome]]&lt;3000,"Low Salary",IF(HR_Data[[#This Row],[MonthlyIncome]]&lt;=7000,"Medium Salary","High Salary"))</f>
        <v>Low Salary</v>
      </c>
      <c r="AN699" s="1" t="str">
        <f>IF(HR_Data[[#This Row],[YearsAtCompany]]&lt;2,"0-1 Years",IF(HR_Data[[#This Row],[YearsAtCompany]]&lt;=5,"2-5 Years",IF(HR_Data[[#This Row],[YearsAtCompany]]&lt;=10,"6-10 Years","10+ Years")))</f>
        <v>2-5 Years</v>
      </c>
      <c r="AO699" s="1" t="str">
        <f>IF(HR_Data[[#This Row],[JobSatisfaction]]=1,"Low",IF(HR_Data[[#This Row],[JobSatisfaction]]=2,"Medium",IF(HR_Data[[#This Row],[JobSatisfaction]]=3,"High","Very High")))</f>
        <v>Very High</v>
      </c>
      <c r="AP699" s="1" t="str">
        <f>IF(HR_Data[[#This Row],[WorkLifeBalance]]=1,"Bad",IF(HR_Data[[#This Row],[WorkLifeBalance]]=2,"Good",IF(HR_Data[[#This Row],[WorkLifeBalance]]=3,"Better","Best")))</f>
        <v>Better</v>
      </c>
    </row>
    <row r="700" spans="1:42" x14ac:dyDescent="0.3">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c r="AJ700">
        <f>IF(HR_Data[[#This Row],[Attrition]]="Yes",1,0)</f>
        <v>0</v>
      </c>
      <c r="AK700">
        <f>IF(HR_Data[[#This Row],[Attrition]]="No",1,0)</f>
        <v>1</v>
      </c>
      <c r="AL700" t="str">
        <f>IF(HR_Data[[#This Row],[Age]]&lt;25,"Under 25",IF(HR_Data[[#This Row],[Age]]&lt;=34,"25-34",IF(HR_Data[[#This Row],[Age]]&lt;=44,"35-44",IF(HR_Data[[#This Row],[Age]]&lt;=54,"45-54","55+"))))</f>
        <v>35-44</v>
      </c>
      <c r="AM700" s="1" t="str">
        <f>IF(HR_Data[[#This Row],[MonthlyIncome]]&lt;3000,"Low Salary",IF(HR_Data[[#This Row],[MonthlyIncome]]&lt;=7000,"Medium Salary","High Salary"))</f>
        <v>Medium Salary</v>
      </c>
      <c r="AN700" s="1" t="str">
        <f>IF(HR_Data[[#This Row],[YearsAtCompany]]&lt;2,"0-1 Years",IF(HR_Data[[#This Row],[YearsAtCompany]]&lt;=5,"2-5 Years",IF(HR_Data[[#This Row],[YearsAtCompany]]&lt;=10,"6-10 Years","10+ Years")))</f>
        <v>2-5 Years</v>
      </c>
      <c r="AO700" s="1" t="str">
        <f>IF(HR_Data[[#This Row],[JobSatisfaction]]=1,"Low",IF(HR_Data[[#This Row],[JobSatisfaction]]=2,"Medium",IF(HR_Data[[#This Row],[JobSatisfaction]]=3,"High","Very High")))</f>
        <v>High</v>
      </c>
      <c r="AP700" s="1" t="str">
        <f>IF(HR_Data[[#This Row],[WorkLifeBalance]]=1,"Bad",IF(HR_Data[[#This Row],[WorkLifeBalance]]=2,"Good",IF(HR_Data[[#This Row],[WorkLifeBalance]]=3,"Better","Best")))</f>
        <v>Better</v>
      </c>
    </row>
    <row r="701" spans="1:42" x14ac:dyDescent="0.3">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c r="AJ701">
        <f>IF(HR_Data[[#This Row],[Attrition]]="Yes",1,0)</f>
        <v>0</v>
      </c>
      <c r="AK701">
        <f>IF(HR_Data[[#This Row],[Attrition]]="No",1,0)</f>
        <v>1</v>
      </c>
      <c r="AL701" t="str">
        <f>IF(HR_Data[[#This Row],[Age]]&lt;25,"Under 25",IF(HR_Data[[#This Row],[Age]]&lt;=34,"25-34",IF(HR_Data[[#This Row],[Age]]&lt;=44,"35-44",IF(HR_Data[[#This Row],[Age]]&lt;=54,"45-54","55+"))))</f>
        <v>45-54</v>
      </c>
      <c r="AM701" s="1" t="str">
        <f>IF(HR_Data[[#This Row],[MonthlyIncome]]&lt;3000,"Low Salary",IF(HR_Data[[#This Row],[MonthlyIncome]]&lt;=7000,"Medium Salary","High Salary"))</f>
        <v>High Salary</v>
      </c>
      <c r="AN701" s="1" t="str">
        <f>IF(HR_Data[[#This Row],[YearsAtCompany]]&lt;2,"0-1 Years",IF(HR_Data[[#This Row],[YearsAtCompany]]&lt;=5,"2-5 Years",IF(HR_Data[[#This Row],[YearsAtCompany]]&lt;=10,"6-10 Years","10+ Years")))</f>
        <v>6-10 Years</v>
      </c>
      <c r="AO701" s="1" t="str">
        <f>IF(HR_Data[[#This Row],[JobSatisfaction]]=1,"Low",IF(HR_Data[[#This Row],[JobSatisfaction]]=2,"Medium",IF(HR_Data[[#This Row],[JobSatisfaction]]=3,"High","Very High")))</f>
        <v>Very High</v>
      </c>
      <c r="AP701" s="1" t="str">
        <f>IF(HR_Data[[#This Row],[WorkLifeBalance]]=1,"Bad",IF(HR_Data[[#This Row],[WorkLifeBalance]]=2,"Good",IF(HR_Data[[#This Row],[WorkLifeBalance]]=3,"Better","Best")))</f>
        <v>Good</v>
      </c>
    </row>
    <row r="702" spans="1:42" x14ac:dyDescent="0.3">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c r="AJ702">
        <f>IF(HR_Data[[#This Row],[Attrition]]="Yes",1,0)</f>
        <v>1</v>
      </c>
      <c r="AK702">
        <f>IF(HR_Data[[#This Row],[Attrition]]="No",1,0)</f>
        <v>0</v>
      </c>
      <c r="AL702" t="str">
        <f>IF(HR_Data[[#This Row],[Age]]&lt;25,"Under 25",IF(HR_Data[[#This Row],[Age]]&lt;=34,"25-34",IF(HR_Data[[#This Row],[Age]]&lt;=44,"35-44",IF(HR_Data[[#This Row],[Age]]&lt;=54,"45-54","55+"))))</f>
        <v>55+</v>
      </c>
      <c r="AM702" s="1" t="str">
        <f>IF(HR_Data[[#This Row],[MonthlyIncome]]&lt;3000,"Low Salary",IF(HR_Data[[#This Row],[MonthlyIncome]]&lt;=7000,"Medium Salary","High Salary"))</f>
        <v>Low Salary</v>
      </c>
      <c r="AN702" s="1" t="str">
        <f>IF(HR_Data[[#This Row],[YearsAtCompany]]&lt;2,"0-1 Years",IF(HR_Data[[#This Row],[YearsAtCompany]]&lt;=5,"2-5 Years",IF(HR_Data[[#This Row],[YearsAtCompany]]&lt;=10,"6-10 Years","10+ Years")))</f>
        <v>0-1 Years</v>
      </c>
      <c r="AO702" s="1" t="str">
        <f>IF(HR_Data[[#This Row],[JobSatisfaction]]=1,"Low",IF(HR_Data[[#This Row],[JobSatisfaction]]=2,"Medium",IF(HR_Data[[#This Row],[JobSatisfaction]]=3,"High","Very High")))</f>
        <v>High</v>
      </c>
      <c r="AP702" s="1" t="str">
        <f>IF(HR_Data[[#This Row],[WorkLifeBalance]]=1,"Bad",IF(HR_Data[[#This Row],[WorkLifeBalance]]=2,"Good",IF(HR_Data[[#This Row],[WorkLifeBalance]]=3,"Better","Best")))</f>
        <v>Better</v>
      </c>
    </row>
    <row r="703" spans="1:42" x14ac:dyDescent="0.3">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c r="AJ703">
        <f>IF(HR_Data[[#This Row],[Attrition]]="Yes",1,0)</f>
        <v>0</v>
      </c>
      <c r="AK703">
        <f>IF(HR_Data[[#This Row],[Attrition]]="No",1,0)</f>
        <v>1</v>
      </c>
      <c r="AL703" t="str">
        <f>IF(HR_Data[[#This Row],[Age]]&lt;25,"Under 25",IF(HR_Data[[#This Row],[Age]]&lt;=34,"25-34",IF(HR_Data[[#This Row],[Age]]&lt;=44,"35-44",IF(HR_Data[[#This Row],[Age]]&lt;=54,"45-54","55+"))))</f>
        <v>45-54</v>
      </c>
      <c r="AM703" s="1" t="str">
        <f>IF(HR_Data[[#This Row],[MonthlyIncome]]&lt;3000,"Low Salary",IF(HR_Data[[#This Row],[MonthlyIncome]]&lt;=7000,"Medium Salary","High Salary"))</f>
        <v>High Salary</v>
      </c>
      <c r="AN703" s="1" t="str">
        <f>IF(HR_Data[[#This Row],[YearsAtCompany]]&lt;2,"0-1 Years",IF(HR_Data[[#This Row],[YearsAtCompany]]&lt;=5,"2-5 Years",IF(HR_Data[[#This Row],[YearsAtCompany]]&lt;=10,"6-10 Years","10+ Years")))</f>
        <v>10+ Years</v>
      </c>
      <c r="AO703" s="1" t="str">
        <f>IF(HR_Data[[#This Row],[JobSatisfaction]]=1,"Low",IF(HR_Data[[#This Row],[JobSatisfaction]]=2,"Medium",IF(HR_Data[[#This Row],[JobSatisfaction]]=3,"High","Very High")))</f>
        <v>High</v>
      </c>
      <c r="AP703" s="1" t="str">
        <f>IF(HR_Data[[#This Row],[WorkLifeBalance]]=1,"Bad",IF(HR_Data[[#This Row],[WorkLifeBalance]]=2,"Good",IF(HR_Data[[#This Row],[WorkLifeBalance]]=3,"Better","Best")))</f>
        <v>Best</v>
      </c>
    </row>
    <row r="704" spans="1:42" x14ac:dyDescent="0.3">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c r="AJ704">
        <f>IF(HR_Data[[#This Row],[Attrition]]="Yes",1,0)</f>
        <v>0</v>
      </c>
      <c r="AK704">
        <f>IF(HR_Data[[#This Row],[Attrition]]="No",1,0)</f>
        <v>1</v>
      </c>
      <c r="AL704" t="str">
        <f>IF(HR_Data[[#This Row],[Age]]&lt;25,"Under 25",IF(HR_Data[[#This Row],[Age]]&lt;=34,"25-34",IF(HR_Data[[#This Row],[Age]]&lt;=44,"35-44",IF(HR_Data[[#This Row],[Age]]&lt;=54,"45-54","55+"))))</f>
        <v>25-34</v>
      </c>
      <c r="AM704" s="1" t="str">
        <f>IF(HR_Data[[#This Row],[MonthlyIncome]]&lt;3000,"Low Salary",IF(HR_Data[[#This Row],[MonthlyIncome]]&lt;=7000,"Medium Salary","High Salary"))</f>
        <v>High Salary</v>
      </c>
      <c r="AN704" s="1" t="str">
        <f>IF(HR_Data[[#This Row],[YearsAtCompany]]&lt;2,"0-1 Years",IF(HR_Data[[#This Row],[YearsAtCompany]]&lt;=5,"2-5 Years",IF(HR_Data[[#This Row],[YearsAtCompany]]&lt;=10,"6-10 Years","10+ Years")))</f>
        <v>6-10 Years</v>
      </c>
      <c r="AO704" s="1" t="str">
        <f>IF(HR_Data[[#This Row],[JobSatisfaction]]=1,"Low",IF(HR_Data[[#This Row],[JobSatisfaction]]=2,"Medium",IF(HR_Data[[#This Row],[JobSatisfaction]]=3,"High","Very High")))</f>
        <v>High</v>
      </c>
      <c r="AP704" s="1" t="str">
        <f>IF(HR_Data[[#This Row],[WorkLifeBalance]]=1,"Bad",IF(HR_Data[[#This Row],[WorkLifeBalance]]=2,"Good",IF(HR_Data[[#This Row],[WorkLifeBalance]]=3,"Better","Best")))</f>
        <v>Best</v>
      </c>
    </row>
    <row r="705" spans="1:42" x14ac:dyDescent="0.3">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c r="AJ705">
        <f>IF(HR_Data[[#This Row],[Attrition]]="Yes",1,0)</f>
        <v>0</v>
      </c>
      <c r="AK705">
        <f>IF(HR_Data[[#This Row],[Attrition]]="No",1,0)</f>
        <v>1</v>
      </c>
      <c r="AL705" t="str">
        <f>IF(HR_Data[[#This Row],[Age]]&lt;25,"Under 25",IF(HR_Data[[#This Row],[Age]]&lt;=34,"25-34",IF(HR_Data[[#This Row],[Age]]&lt;=44,"35-44",IF(HR_Data[[#This Row],[Age]]&lt;=54,"45-54","55+"))))</f>
        <v>35-44</v>
      </c>
      <c r="AM705" s="1" t="str">
        <f>IF(HR_Data[[#This Row],[MonthlyIncome]]&lt;3000,"Low Salary",IF(HR_Data[[#This Row],[MonthlyIncome]]&lt;=7000,"Medium Salary","High Salary"))</f>
        <v>Medium Salary</v>
      </c>
      <c r="AN705" s="1" t="str">
        <f>IF(HR_Data[[#This Row],[YearsAtCompany]]&lt;2,"0-1 Years",IF(HR_Data[[#This Row],[YearsAtCompany]]&lt;=5,"2-5 Years",IF(HR_Data[[#This Row],[YearsAtCompany]]&lt;=10,"6-10 Years","10+ Years")))</f>
        <v>2-5 Years</v>
      </c>
      <c r="AO705" s="1" t="str">
        <f>IF(HR_Data[[#This Row],[JobSatisfaction]]=1,"Low",IF(HR_Data[[#This Row],[JobSatisfaction]]=2,"Medium",IF(HR_Data[[#This Row],[JobSatisfaction]]=3,"High","Very High")))</f>
        <v>Very High</v>
      </c>
      <c r="AP705" s="1" t="str">
        <f>IF(HR_Data[[#This Row],[WorkLifeBalance]]=1,"Bad",IF(HR_Data[[#This Row],[WorkLifeBalance]]=2,"Good",IF(HR_Data[[#This Row],[WorkLifeBalance]]=3,"Better","Best")))</f>
        <v>Better</v>
      </c>
    </row>
    <row r="706" spans="1:42" x14ac:dyDescent="0.3">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c r="AJ706">
        <f>IF(HR_Data[[#This Row],[Attrition]]="Yes",1,0)</f>
        <v>0</v>
      </c>
      <c r="AK706">
        <f>IF(HR_Data[[#This Row],[Attrition]]="No",1,0)</f>
        <v>1</v>
      </c>
      <c r="AL706" t="str">
        <f>IF(HR_Data[[#This Row],[Age]]&lt;25,"Under 25",IF(HR_Data[[#This Row],[Age]]&lt;=34,"25-34",IF(HR_Data[[#This Row],[Age]]&lt;=44,"35-44",IF(HR_Data[[#This Row],[Age]]&lt;=54,"45-54","55+"))))</f>
        <v>35-44</v>
      </c>
      <c r="AM706" s="1" t="str">
        <f>IF(HR_Data[[#This Row],[MonthlyIncome]]&lt;3000,"Low Salary",IF(HR_Data[[#This Row],[MonthlyIncome]]&lt;=7000,"Medium Salary","High Salary"))</f>
        <v>High Salary</v>
      </c>
      <c r="AN706" s="1" t="str">
        <f>IF(HR_Data[[#This Row],[YearsAtCompany]]&lt;2,"0-1 Years",IF(HR_Data[[#This Row],[YearsAtCompany]]&lt;=5,"2-5 Years",IF(HR_Data[[#This Row],[YearsAtCompany]]&lt;=10,"6-10 Years","10+ Years")))</f>
        <v>6-10 Years</v>
      </c>
      <c r="AO706" s="1" t="str">
        <f>IF(HR_Data[[#This Row],[JobSatisfaction]]=1,"Low",IF(HR_Data[[#This Row],[JobSatisfaction]]=2,"Medium",IF(HR_Data[[#This Row],[JobSatisfaction]]=3,"High","Very High")))</f>
        <v>Very High</v>
      </c>
      <c r="AP706" s="1" t="str">
        <f>IF(HR_Data[[#This Row],[WorkLifeBalance]]=1,"Bad",IF(HR_Data[[#This Row],[WorkLifeBalance]]=2,"Good",IF(HR_Data[[#This Row],[WorkLifeBalance]]=3,"Better","Best")))</f>
        <v>Better</v>
      </c>
    </row>
    <row r="707" spans="1:42" x14ac:dyDescent="0.3">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c r="AJ707">
        <f>IF(HR_Data[[#This Row],[Attrition]]="Yes",1,0)</f>
        <v>0</v>
      </c>
      <c r="AK707">
        <f>IF(HR_Data[[#This Row],[Attrition]]="No",1,0)</f>
        <v>1</v>
      </c>
      <c r="AL707" t="str">
        <f>IF(HR_Data[[#This Row],[Age]]&lt;25,"Under 25",IF(HR_Data[[#This Row],[Age]]&lt;=34,"25-34",IF(HR_Data[[#This Row],[Age]]&lt;=44,"35-44",IF(HR_Data[[#This Row],[Age]]&lt;=54,"45-54","55+"))))</f>
        <v>35-44</v>
      </c>
      <c r="AM707" s="1" t="str">
        <f>IF(HR_Data[[#This Row],[MonthlyIncome]]&lt;3000,"Low Salary",IF(HR_Data[[#This Row],[MonthlyIncome]]&lt;=7000,"Medium Salary","High Salary"))</f>
        <v>High Salary</v>
      </c>
      <c r="AN707" s="1" t="str">
        <f>IF(HR_Data[[#This Row],[YearsAtCompany]]&lt;2,"0-1 Years",IF(HR_Data[[#This Row],[YearsAtCompany]]&lt;=5,"2-5 Years",IF(HR_Data[[#This Row],[YearsAtCompany]]&lt;=10,"6-10 Years","10+ Years")))</f>
        <v>6-10 Years</v>
      </c>
      <c r="AO707" s="1" t="str">
        <f>IF(HR_Data[[#This Row],[JobSatisfaction]]=1,"Low",IF(HR_Data[[#This Row],[JobSatisfaction]]=2,"Medium",IF(HR_Data[[#This Row],[JobSatisfaction]]=3,"High","Very High")))</f>
        <v>High</v>
      </c>
      <c r="AP707" s="1" t="str">
        <f>IF(HR_Data[[#This Row],[WorkLifeBalance]]=1,"Bad",IF(HR_Data[[#This Row],[WorkLifeBalance]]=2,"Good",IF(HR_Data[[#This Row],[WorkLifeBalance]]=3,"Better","Best")))</f>
        <v>Better</v>
      </c>
    </row>
    <row r="708" spans="1:42" x14ac:dyDescent="0.3">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c r="AJ708">
        <f>IF(HR_Data[[#This Row],[Attrition]]="Yes",1,0)</f>
        <v>1</v>
      </c>
      <c r="AK708">
        <f>IF(HR_Data[[#This Row],[Attrition]]="No",1,0)</f>
        <v>0</v>
      </c>
      <c r="AL708" t="str">
        <f>IF(HR_Data[[#This Row],[Age]]&lt;25,"Under 25",IF(HR_Data[[#This Row],[Age]]&lt;=34,"25-34",IF(HR_Data[[#This Row],[Age]]&lt;=44,"35-44",IF(HR_Data[[#This Row],[Age]]&lt;=54,"45-54","55+"))))</f>
        <v>35-44</v>
      </c>
      <c r="AM708" s="1" t="str">
        <f>IF(HR_Data[[#This Row],[MonthlyIncome]]&lt;3000,"Low Salary",IF(HR_Data[[#This Row],[MonthlyIncome]]&lt;=7000,"Medium Salary","High Salary"))</f>
        <v>High Salary</v>
      </c>
      <c r="AN708" s="1" t="str">
        <f>IF(HR_Data[[#This Row],[YearsAtCompany]]&lt;2,"0-1 Years",IF(HR_Data[[#This Row],[YearsAtCompany]]&lt;=5,"2-5 Years",IF(HR_Data[[#This Row],[YearsAtCompany]]&lt;=10,"6-10 Years","10+ Years")))</f>
        <v>0-1 Years</v>
      </c>
      <c r="AO708" s="1" t="str">
        <f>IF(HR_Data[[#This Row],[JobSatisfaction]]=1,"Low",IF(HR_Data[[#This Row],[JobSatisfaction]]=2,"Medium",IF(HR_Data[[#This Row],[JobSatisfaction]]=3,"High","Very High")))</f>
        <v>Medium</v>
      </c>
      <c r="AP708" s="1" t="str">
        <f>IF(HR_Data[[#This Row],[WorkLifeBalance]]=1,"Bad",IF(HR_Data[[#This Row],[WorkLifeBalance]]=2,"Good",IF(HR_Data[[#This Row],[WorkLifeBalance]]=3,"Better","Best")))</f>
        <v>Good</v>
      </c>
    </row>
    <row r="709" spans="1:42" x14ac:dyDescent="0.3">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c r="AJ709">
        <f>IF(HR_Data[[#This Row],[Attrition]]="Yes",1,0)</f>
        <v>0</v>
      </c>
      <c r="AK709">
        <f>IF(HR_Data[[#This Row],[Attrition]]="No",1,0)</f>
        <v>1</v>
      </c>
      <c r="AL709" t="str">
        <f>IF(HR_Data[[#This Row],[Age]]&lt;25,"Under 25",IF(HR_Data[[#This Row],[Age]]&lt;=34,"25-34",IF(HR_Data[[#This Row],[Age]]&lt;=44,"35-44",IF(HR_Data[[#This Row],[Age]]&lt;=54,"45-54","55+"))))</f>
        <v>45-54</v>
      </c>
      <c r="AM709" s="1" t="str">
        <f>IF(HR_Data[[#This Row],[MonthlyIncome]]&lt;3000,"Low Salary",IF(HR_Data[[#This Row],[MonthlyIncome]]&lt;=7000,"Medium Salary","High Salary"))</f>
        <v>Medium Salary</v>
      </c>
      <c r="AN709" s="1" t="str">
        <f>IF(HR_Data[[#This Row],[YearsAtCompany]]&lt;2,"0-1 Years",IF(HR_Data[[#This Row],[YearsAtCompany]]&lt;=5,"2-5 Years",IF(HR_Data[[#This Row],[YearsAtCompany]]&lt;=10,"6-10 Years","10+ Years")))</f>
        <v>10+ Years</v>
      </c>
      <c r="AO709" s="1" t="str">
        <f>IF(HR_Data[[#This Row],[JobSatisfaction]]=1,"Low",IF(HR_Data[[#This Row],[JobSatisfaction]]=2,"Medium",IF(HR_Data[[#This Row],[JobSatisfaction]]=3,"High","Very High")))</f>
        <v>High</v>
      </c>
      <c r="AP709" s="1" t="str">
        <f>IF(HR_Data[[#This Row],[WorkLifeBalance]]=1,"Bad",IF(HR_Data[[#This Row],[WorkLifeBalance]]=2,"Good",IF(HR_Data[[#This Row],[WorkLifeBalance]]=3,"Better","Best")))</f>
        <v>Best</v>
      </c>
    </row>
    <row r="710" spans="1:42" x14ac:dyDescent="0.3">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c r="AJ710">
        <f>IF(HR_Data[[#This Row],[Attrition]]="Yes",1,0)</f>
        <v>0</v>
      </c>
      <c r="AK710">
        <f>IF(HR_Data[[#This Row],[Attrition]]="No",1,0)</f>
        <v>1</v>
      </c>
      <c r="AL710" t="str">
        <f>IF(HR_Data[[#This Row],[Age]]&lt;25,"Under 25",IF(HR_Data[[#This Row],[Age]]&lt;=34,"25-34",IF(HR_Data[[#This Row],[Age]]&lt;=44,"35-44",IF(HR_Data[[#This Row],[Age]]&lt;=54,"45-54","55+"))))</f>
        <v>35-44</v>
      </c>
      <c r="AM710" s="1" t="str">
        <f>IF(HR_Data[[#This Row],[MonthlyIncome]]&lt;3000,"Low Salary",IF(HR_Data[[#This Row],[MonthlyIncome]]&lt;=7000,"Medium Salary","High Salary"))</f>
        <v>Medium Salary</v>
      </c>
      <c r="AN710" s="1" t="str">
        <f>IF(HR_Data[[#This Row],[YearsAtCompany]]&lt;2,"0-1 Years",IF(HR_Data[[#This Row],[YearsAtCompany]]&lt;=5,"2-5 Years",IF(HR_Data[[#This Row],[YearsAtCompany]]&lt;=10,"6-10 Years","10+ Years")))</f>
        <v>6-10 Years</v>
      </c>
      <c r="AO710" s="1" t="str">
        <f>IF(HR_Data[[#This Row],[JobSatisfaction]]=1,"Low",IF(HR_Data[[#This Row],[JobSatisfaction]]=2,"Medium",IF(HR_Data[[#This Row],[JobSatisfaction]]=3,"High","Very High")))</f>
        <v>Very High</v>
      </c>
      <c r="AP710" s="1" t="str">
        <f>IF(HR_Data[[#This Row],[WorkLifeBalance]]=1,"Bad",IF(HR_Data[[#This Row],[WorkLifeBalance]]=2,"Good",IF(HR_Data[[#This Row],[WorkLifeBalance]]=3,"Better","Best")))</f>
        <v>Better</v>
      </c>
    </row>
    <row r="711" spans="1:42" x14ac:dyDescent="0.3">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c r="AJ711">
        <f>IF(HR_Data[[#This Row],[Attrition]]="Yes",1,0)</f>
        <v>1</v>
      </c>
      <c r="AK711">
        <f>IF(HR_Data[[#This Row],[Attrition]]="No",1,0)</f>
        <v>0</v>
      </c>
      <c r="AL711" t="str">
        <f>IF(HR_Data[[#This Row],[Age]]&lt;25,"Under 25",IF(HR_Data[[#This Row],[Age]]&lt;=34,"25-34",IF(HR_Data[[#This Row],[Age]]&lt;=44,"35-44",IF(HR_Data[[#This Row],[Age]]&lt;=54,"45-54","55+"))))</f>
        <v>25-34</v>
      </c>
      <c r="AM711" s="1" t="str">
        <f>IF(HR_Data[[#This Row],[MonthlyIncome]]&lt;3000,"Low Salary",IF(HR_Data[[#This Row],[MonthlyIncome]]&lt;=7000,"Medium Salary","High Salary"))</f>
        <v>Low Salary</v>
      </c>
      <c r="AN711" s="1" t="str">
        <f>IF(HR_Data[[#This Row],[YearsAtCompany]]&lt;2,"0-1 Years",IF(HR_Data[[#This Row],[YearsAtCompany]]&lt;=5,"2-5 Years",IF(HR_Data[[#This Row],[YearsAtCompany]]&lt;=10,"6-10 Years","10+ Years")))</f>
        <v>2-5 Years</v>
      </c>
      <c r="AO711" s="1" t="str">
        <f>IF(HR_Data[[#This Row],[JobSatisfaction]]=1,"Low",IF(HR_Data[[#This Row],[JobSatisfaction]]=2,"Medium",IF(HR_Data[[#This Row],[JobSatisfaction]]=3,"High","Very High")))</f>
        <v>Low</v>
      </c>
      <c r="AP711" s="1" t="str">
        <f>IF(HR_Data[[#This Row],[WorkLifeBalance]]=1,"Bad",IF(HR_Data[[#This Row],[WorkLifeBalance]]=2,"Good",IF(HR_Data[[#This Row],[WorkLifeBalance]]=3,"Better","Best")))</f>
        <v>Better</v>
      </c>
    </row>
    <row r="712" spans="1:42" x14ac:dyDescent="0.3">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c r="AJ712">
        <f>IF(HR_Data[[#This Row],[Attrition]]="Yes",1,0)</f>
        <v>0</v>
      </c>
      <c r="AK712">
        <f>IF(HR_Data[[#This Row],[Attrition]]="No",1,0)</f>
        <v>1</v>
      </c>
      <c r="AL712" t="str">
        <f>IF(HR_Data[[#This Row],[Age]]&lt;25,"Under 25",IF(HR_Data[[#This Row],[Age]]&lt;=34,"25-34",IF(HR_Data[[#This Row],[Age]]&lt;=44,"35-44",IF(HR_Data[[#This Row],[Age]]&lt;=54,"45-54","55+"))))</f>
        <v>25-34</v>
      </c>
      <c r="AM712" s="1" t="str">
        <f>IF(HR_Data[[#This Row],[MonthlyIncome]]&lt;3000,"Low Salary",IF(HR_Data[[#This Row],[MonthlyIncome]]&lt;=7000,"Medium Salary","High Salary"))</f>
        <v>High Salary</v>
      </c>
      <c r="AN712" s="1" t="str">
        <f>IF(HR_Data[[#This Row],[YearsAtCompany]]&lt;2,"0-1 Years",IF(HR_Data[[#This Row],[YearsAtCompany]]&lt;=5,"2-5 Years",IF(HR_Data[[#This Row],[YearsAtCompany]]&lt;=10,"6-10 Years","10+ Years")))</f>
        <v>6-10 Years</v>
      </c>
      <c r="AO712" s="1" t="str">
        <f>IF(HR_Data[[#This Row],[JobSatisfaction]]=1,"Low",IF(HR_Data[[#This Row],[JobSatisfaction]]=2,"Medium",IF(HR_Data[[#This Row],[JobSatisfaction]]=3,"High","Very High")))</f>
        <v>High</v>
      </c>
      <c r="AP712" s="1" t="str">
        <f>IF(HR_Data[[#This Row],[WorkLifeBalance]]=1,"Bad",IF(HR_Data[[#This Row],[WorkLifeBalance]]=2,"Good",IF(HR_Data[[#This Row],[WorkLifeBalance]]=3,"Better","Best")))</f>
        <v>Better</v>
      </c>
    </row>
    <row r="713" spans="1:42" x14ac:dyDescent="0.3">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c r="AJ713">
        <f>IF(HR_Data[[#This Row],[Attrition]]="Yes",1,0)</f>
        <v>1</v>
      </c>
      <c r="AK713">
        <f>IF(HR_Data[[#This Row],[Attrition]]="No",1,0)</f>
        <v>0</v>
      </c>
      <c r="AL713" t="str">
        <f>IF(HR_Data[[#This Row],[Age]]&lt;25,"Under 25",IF(HR_Data[[#This Row],[Age]]&lt;=34,"25-34",IF(HR_Data[[#This Row],[Age]]&lt;=44,"35-44",IF(HR_Data[[#This Row],[Age]]&lt;=54,"45-54","55+"))))</f>
        <v>25-34</v>
      </c>
      <c r="AM713" s="1" t="str">
        <f>IF(HR_Data[[#This Row],[MonthlyIncome]]&lt;3000,"Low Salary",IF(HR_Data[[#This Row],[MonthlyIncome]]&lt;=7000,"Medium Salary","High Salary"))</f>
        <v>Low Salary</v>
      </c>
      <c r="AN713" s="1" t="str">
        <f>IF(HR_Data[[#This Row],[YearsAtCompany]]&lt;2,"0-1 Years",IF(HR_Data[[#This Row],[YearsAtCompany]]&lt;=5,"2-5 Years",IF(HR_Data[[#This Row],[YearsAtCompany]]&lt;=10,"6-10 Years","10+ Years")))</f>
        <v>0-1 Years</v>
      </c>
      <c r="AO713" s="1" t="str">
        <f>IF(HR_Data[[#This Row],[JobSatisfaction]]=1,"Low",IF(HR_Data[[#This Row],[JobSatisfaction]]=2,"Medium",IF(HR_Data[[#This Row],[JobSatisfaction]]=3,"High","Very High")))</f>
        <v>Low</v>
      </c>
      <c r="AP713" s="1" t="str">
        <f>IF(HR_Data[[#This Row],[WorkLifeBalance]]=1,"Bad",IF(HR_Data[[#This Row],[WorkLifeBalance]]=2,"Good",IF(HR_Data[[#This Row],[WorkLifeBalance]]=3,"Better","Best")))</f>
        <v>Better</v>
      </c>
    </row>
    <row r="714" spans="1:42" x14ac:dyDescent="0.3">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c r="AJ714">
        <f>IF(HR_Data[[#This Row],[Attrition]]="Yes",1,0)</f>
        <v>0</v>
      </c>
      <c r="AK714">
        <f>IF(HR_Data[[#This Row],[Attrition]]="No",1,0)</f>
        <v>1</v>
      </c>
      <c r="AL714" t="str">
        <f>IF(HR_Data[[#This Row],[Age]]&lt;25,"Under 25",IF(HR_Data[[#This Row],[Age]]&lt;=34,"25-34",IF(HR_Data[[#This Row],[Age]]&lt;=44,"35-44",IF(HR_Data[[#This Row],[Age]]&lt;=54,"45-54","55+"))))</f>
        <v>25-34</v>
      </c>
      <c r="AM714" s="1" t="str">
        <f>IF(HR_Data[[#This Row],[MonthlyIncome]]&lt;3000,"Low Salary",IF(HR_Data[[#This Row],[MonthlyIncome]]&lt;=7000,"Medium Salary","High Salary"))</f>
        <v>Medium Salary</v>
      </c>
      <c r="AN714" s="1" t="str">
        <f>IF(HR_Data[[#This Row],[YearsAtCompany]]&lt;2,"0-1 Years",IF(HR_Data[[#This Row],[YearsAtCompany]]&lt;=5,"2-5 Years",IF(HR_Data[[#This Row],[YearsAtCompany]]&lt;=10,"6-10 Years","10+ Years")))</f>
        <v>2-5 Years</v>
      </c>
      <c r="AO714" s="1" t="str">
        <f>IF(HR_Data[[#This Row],[JobSatisfaction]]=1,"Low",IF(HR_Data[[#This Row],[JobSatisfaction]]=2,"Medium",IF(HR_Data[[#This Row],[JobSatisfaction]]=3,"High","Very High")))</f>
        <v>Very High</v>
      </c>
      <c r="AP714" s="1" t="str">
        <f>IF(HR_Data[[#This Row],[WorkLifeBalance]]=1,"Bad",IF(HR_Data[[#This Row],[WorkLifeBalance]]=2,"Good",IF(HR_Data[[#This Row],[WorkLifeBalance]]=3,"Better","Best")))</f>
        <v>Better</v>
      </c>
    </row>
    <row r="715" spans="1:42" x14ac:dyDescent="0.3">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c r="AJ715">
        <f>IF(HR_Data[[#This Row],[Attrition]]="Yes",1,0)</f>
        <v>0</v>
      </c>
      <c r="AK715">
        <f>IF(HR_Data[[#This Row],[Attrition]]="No",1,0)</f>
        <v>1</v>
      </c>
      <c r="AL715" t="str">
        <f>IF(HR_Data[[#This Row],[Age]]&lt;25,"Under 25",IF(HR_Data[[#This Row],[Age]]&lt;=34,"25-34",IF(HR_Data[[#This Row],[Age]]&lt;=44,"35-44",IF(HR_Data[[#This Row],[Age]]&lt;=54,"45-54","55+"))))</f>
        <v>45-54</v>
      </c>
      <c r="AM715" s="1" t="str">
        <f>IF(HR_Data[[#This Row],[MonthlyIncome]]&lt;3000,"Low Salary",IF(HR_Data[[#This Row],[MonthlyIncome]]&lt;=7000,"Medium Salary","High Salary"))</f>
        <v>Low Salary</v>
      </c>
      <c r="AN715" s="1" t="str">
        <f>IF(HR_Data[[#This Row],[YearsAtCompany]]&lt;2,"0-1 Years",IF(HR_Data[[#This Row],[YearsAtCompany]]&lt;=5,"2-5 Years",IF(HR_Data[[#This Row],[YearsAtCompany]]&lt;=10,"6-10 Years","10+ Years")))</f>
        <v>2-5 Years</v>
      </c>
      <c r="AO715" s="1" t="str">
        <f>IF(HR_Data[[#This Row],[JobSatisfaction]]=1,"Low",IF(HR_Data[[#This Row],[JobSatisfaction]]=2,"Medium",IF(HR_Data[[#This Row],[JobSatisfaction]]=3,"High","Very High")))</f>
        <v>Very High</v>
      </c>
      <c r="AP715" s="1" t="str">
        <f>IF(HR_Data[[#This Row],[WorkLifeBalance]]=1,"Bad",IF(HR_Data[[#This Row],[WorkLifeBalance]]=2,"Good",IF(HR_Data[[#This Row],[WorkLifeBalance]]=3,"Better","Best")))</f>
        <v>Better</v>
      </c>
    </row>
    <row r="716" spans="1:42" x14ac:dyDescent="0.3">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c r="AJ716">
        <f>IF(HR_Data[[#This Row],[Attrition]]="Yes",1,0)</f>
        <v>0</v>
      </c>
      <c r="AK716">
        <f>IF(HR_Data[[#This Row],[Attrition]]="No",1,0)</f>
        <v>1</v>
      </c>
      <c r="AL716" t="str">
        <f>IF(HR_Data[[#This Row],[Age]]&lt;25,"Under 25",IF(HR_Data[[#This Row],[Age]]&lt;=34,"25-34",IF(HR_Data[[#This Row],[Age]]&lt;=44,"35-44",IF(HR_Data[[#This Row],[Age]]&lt;=54,"45-54","55+"))))</f>
        <v>45-54</v>
      </c>
      <c r="AM716" s="1" t="str">
        <f>IF(HR_Data[[#This Row],[MonthlyIncome]]&lt;3000,"Low Salary",IF(HR_Data[[#This Row],[MonthlyIncome]]&lt;=7000,"Medium Salary","High Salary"))</f>
        <v>High Salary</v>
      </c>
      <c r="AN716" s="1" t="str">
        <f>IF(HR_Data[[#This Row],[YearsAtCompany]]&lt;2,"0-1 Years",IF(HR_Data[[#This Row],[YearsAtCompany]]&lt;=5,"2-5 Years",IF(HR_Data[[#This Row],[YearsAtCompany]]&lt;=10,"6-10 Years","10+ Years")))</f>
        <v>2-5 Years</v>
      </c>
      <c r="AO716" s="1" t="str">
        <f>IF(HR_Data[[#This Row],[JobSatisfaction]]=1,"Low",IF(HR_Data[[#This Row],[JobSatisfaction]]=2,"Medium",IF(HR_Data[[#This Row],[JobSatisfaction]]=3,"High","Very High")))</f>
        <v>Very High</v>
      </c>
      <c r="AP716" s="1" t="str">
        <f>IF(HR_Data[[#This Row],[WorkLifeBalance]]=1,"Bad",IF(HR_Data[[#This Row],[WorkLifeBalance]]=2,"Good",IF(HR_Data[[#This Row],[WorkLifeBalance]]=3,"Better","Best")))</f>
        <v>Good</v>
      </c>
    </row>
    <row r="717" spans="1:42" x14ac:dyDescent="0.3">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c r="AJ717">
        <f>IF(HR_Data[[#This Row],[Attrition]]="Yes",1,0)</f>
        <v>0</v>
      </c>
      <c r="AK717">
        <f>IF(HR_Data[[#This Row],[Attrition]]="No",1,0)</f>
        <v>1</v>
      </c>
      <c r="AL717" t="str">
        <f>IF(HR_Data[[#This Row],[Age]]&lt;25,"Under 25",IF(HR_Data[[#This Row],[Age]]&lt;=34,"25-34",IF(HR_Data[[#This Row],[Age]]&lt;=44,"35-44",IF(HR_Data[[#This Row],[Age]]&lt;=54,"45-54","55+"))))</f>
        <v>25-34</v>
      </c>
      <c r="AM717" s="1" t="str">
        <f>IF(HR_Data[[#This Row],[MonthlyIncome]]&lt;3000,"Low Salary",IF(HR_Data[[#This Row],[MonthlyIncome]]&lt;=7000,"Medium Salary","High Salary"))</f>
        <v>Medium Salary</v>
      </c>
      <c r="AN717" s="1" t="str">
        <f>IF(HR_Data[[#This Row],[YearsAtCompany]]&lt;2,"0-1 Years",IF(HR_Data[[#This Row],[YearsAtCompany]]&lt;=5,"2-5 Years",IF(HR_Data[[#This Row],[YearsAtCompany]]&lt;=10,"6-10 Years","10+ Years")))</f>
        <v>6-10 Years</v>
      </c>
      <c r="AO717" s="1" t="str">
        <f>IF(HR_Data[[#This Row],[JobSatisfaction]]=1,"Low",IF(HR_Data[[#This Row],[JobSatisfaction]]=2,"Medium",IF(HR_Data[[#This Row],[JobSatisfaction]]=3,"High","Very High")))</f>
        <v>Medium</v>
      </c>
      <c r="AP717" s="1" t="str">
        <f>IF(HR_Data[[#This Row],[WorkLifeBalance]]=1,"Bad",IF(HR_Data[[#This Row],[WorkLifeBalance]]=2,"Good",IF(HR_Data[[#This Row],[WorkLifeBalance]]=3,"Better","Best")))</f>
        <v>Better</v>
      </c>
    </row>
    <row r="718" spans="1:42" x14ac:dyDescent="0.3">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c r="AJ718">
        <f>IF(HR_Data[[#This Row],[Attrition]]="Yes",1,0)</f>
        <v>0</v>
      </c>
      <c r="AK718">
        <f>IF(HR_Data[[#This Row],[Attrition]]="No",1,0)</f>
        <v>1</v>
      </c>
      <c r="AL718" t="str">
        <f>IF(HR_Data[[#This Row],[Age]]&lt;25,"Under 25",IF(HR_Data[[#This Row],[Age]]&lt;=34,"25-34",IF(HR_Data[[#This Row],[Age]]&lt;=44,"35-44",IF(HR_Data[[#This Row],[Age]]&lt;=54,"45-54","55+"))))</f>
        <v>35-44</v>
      </c>
      <c r="AM718" s="1" t="str">
        <f>IF(HR_Data[[#This Row],[MonthlyIncome]]&lt;3000,"Low Salary",IF(HR_Data[[#This Row],[MonthlyIncome]]&lt;=7000,"Medium Salary","High Salary"))</f>
        <v>High Salary</v>
      </c>
      <c r="AN718" s="1" t="str">
        <f>IF(HR_Data[[#This Row],[YearsAtCompany]]&lt;2,"0-1 Years",IF(HR_Data[[#This Row],[YearsAtCompany]]&lt;=5,"2-5 Years",IF(HR_Data[[#This Row],[YearsAtCompany]]&lt;=10,"6-10 Years","10+ Years")))</f>
        <v>10+ Years</v>
      </c>
      <c r="AO718" s="1" t="str">
        <f>IF(HR_Data[[#This Row],[JobSatisfaction]]=1,"Low",IF(HR_Data[[#This Row],[JobSatisfaction]]=2,"Medium",IF(HR_Data[[#This Row],[JobSatisfaction]]=3,"High","Very High")))</f>
        <v>High</v>
      </c>
      <c r="AP718" s="1" t="str">
        <f>IF(HR_Data[[#This Row],[WorkLifeBalance]]=1,"Bad",IF(HR_Data[[#This Row],[WorkLifeBalance]]=2,"Good",IF(HR_Data[[#This Row],[WorkLifeBalance]]=3,"Better","Best")))</f>
        <v>Best</v>
      </c>
    </row>
    <row r="719" spans="1:42" x14ac:dyDescent="0.3">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c r="AJ719">
        <f>IF(HR_Data[[#This Row],[Attrition]]="Yes",1,0)</f>
        <v>0</v>
      </c>
      <c r="AK719">
        <f>IF(HR_Data[[#This Row],[Attrition]]="No",1,0)</f>
        <v>1</v>
      </c>
      <c r="AL719" t="str">
        <f>IF(HR_Data[[#This Row],[Age]]&lt;25,"Under 25",IF(HR_Data[[#This Row],[Age]]&lt;=34,"25-34",IF(HR_Data[[#This Row],[Age]]&lt;=44,"35-44",IF(HR_Data[[#This Row],[Age]]&lt;=54,"45-54","55+"))))</f>
        <v>25-34</v>
      </c>
      <c r="AM719" s="1" t="str">
        <f>IF(HR_Data[[#This Row],[MonthlyIncome]]&lt;3000,"Low Salary",IF(HR_Data[[#This Row],[MonthlyIncome]]&lt;=7000,"Medium Salary","High Salary"))</f>
        <v>Low Salary</v>
      </c>
      <c r="AN719" s="1" t="str">
        <f>IF(HR_Data[[#This Row],[YearsAtCompany]]&lt;2,"0-1 Years",IF(HR_Data[[#This Row],[YearsAtCompany]]&lt;=5,"2-5 Years",IF(HR_Data[[#This Row],[YearsAtCompany]]&lt;=10,"6-10 Years","10+ Years")))</f>
        <v>2-5 Years</v>
      </c>
      <c r="AO719" s="1" t="str">
        <f>IF(HR_Data[[#This Row],[JobSatisfaction]]=1,"Low",IF(HR_Data[[#This Row],[JobSatisfaction]]=2,"Medium",IF(HR_Data[[#This Row],[JobSatisfaction]]=3,"High","Very High")))</f>
        <v>Medium</v>
      </c>
      <c r="AP719" s="1" t="str">
        <f>IF(HR_Data[[#This Row],[WorkLifeBalance]]=1,"Bad",IF(HR_Data[[#This Row],[WorkLifeBalance]]=2,"Good",IF(HR_Data[[#This Row],[WorkLifeBalance]]=3,"Better","Best")))</f>
        <v>Better</v>
      </c>
    </row>
    <row r="720" spans="1:42" x14ac:dyDescent="0.3">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c r="AJ720">
        <f>IF(HR_Data[[#This Row],[Attrition]]="Yes",1,0)</f>
        <v>0</v>
      </c>
      <c r="AK720">
        <f>IF(HR_Data[[#This Row],[Attrition]]="No",1,0)</f>
        <v>1</v>
      </c>
      <c r="AL720" t="str">
        <f>IF(HR_Data[[#This Row],[Age]]&lt;25,"Under 25",IF(HR_Data[[#This Row],[Age]]&lt;=34,"25-34",IF(HR_Data[[#This Row],[Age]]&lt;=44,"35-44",IF(HR_Data[[#This Row],[Age]]&lt;=54,"45-54","55+"))))</f>
        <v>45-54</v>
      </c>
      <c r="AM720" s="1" t="str">
        <f>IF(HR_Data[[#This Row],[MonthlyIncome]]&lt;3000,"Low Salary",IF(HR_Data[[#This Row],[MonthlyIncome]]&lt;=7000,"Medium Salary","High Salary"))</f>
        <v>Medium Salary</v>
      </c>
      <c r="AN720" s="1" t="str">
        <f>IF(HR_Data[[#This Row],[YearsAtCompany]]&lt;2,"0-1 Years",IF(HR_Data[[#This Row],[YearsAtCompany]]&lt;=5,"2-5 Years",IF(HR_Data[[#This Row],[YearsAtCompany]]&lt;=10,"6-10 Years","10+ Years")))</f>
        <v>6-10 Years</v>
      </c>
      <c r="AO720" s="1" t="str">
        <f>IF(HR_Data[[#This Row],[JobSatisfaction]]=1,"Low",IF(HR_Data[[#This Row],[JobSatisfaction]]=2,"Medium",IF(HR_Data[[#This Row],[JobSatisfaction]]=3,"High","Very High")))</f>
        <v>Low</v>
      </c>
      <c r="AP720" s="1" t="str">
        <f>IF(HR_Data[[#This Row],[WorkLifeBalance]]=1,"Bad",IF(HR_Data[[#This Row],[WorkLifeBalance]]=2,"Good",IF(HR_Data[[#This Row],[WorkLifeBalance]]=3,"Better","Best")))</f>
        <v>Better</v>
      </c>
    </row>
    <row r="721" spans="1:42" x14ac:dyDescent="0.3">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c r="AJ721">
        <f>IF(HR_Data[[#This Row],[Attrition]]="Yes",1,0)</f>
        <v>0</v>
      </c>
      <c r="AK721">
        <f>IF(HR_Data[[#This Row],[Attrition]]="No",1,0)</f>
        <v>1</v>
      </c>
      <c r="AL721" t="str">
        <f>IF(HR_Data[[#This Row],[Age]]&lt;25,"Under 25",IF(HR_Data[[#This Row],[Age]]&lt;=34,"25-34",IF(HR_Data[[#This Row],[Age]]&lt;=44,"35-44",IF(HR_Data[[#This Row],[Age]]&lt;=54,"45-54","55+"))))</f>
        <v>45-54</v>
      </c>
      <c r="AM721" s="1" t="str">
        <f>IF(HR_Data[[#This Row],[MonthlyIncome]]&lt;3000,"Low Salary",IF(HR_Data[[#This Row],[MonthlyIncome]]&lt;=7000,"Medium Salary","High Salary"))</f>
        <v>Medium Salary</v>
      </c>
      <c r="AN721" s="1" t="str">
        <f>IF(HR_Data[[#This Row],[YearsAtCompany]]&lt;2,"0-1 Years",IF(HR_Data[[#This Row],[YearsAtCompany]]&lt;=5,"2-5 Years",IF(HR_Data[[#This Row],[YearsAtCompany]]&lt;=10,"6-10 Years","10+ Years")))</f>
        <v>6-10 Years</v>
      </c>
      <c r="AO721" s="1" t="str">
        <f>IF(HR_Data[[#This Row],[JobSatisfaction]]=1,"Low",IF(HR_Data[[#This Row],[JobSatisfaction]]=2,"Medium",IF(HR_Data[[#This Row],[JobSatisfaction]]=3,"High","Very High")))</f>
        <v>Very High</v>
      </c>
      <c r="AP721" s="1" t="str">
        <f>IF(HR_Data[[#This Row],[WorkLifeBalance]]=1,"Bad",IF(HR_Data[[#This Row],[WorkLifeBalance]]=2,"Good",IF(HR_Data[[#This Row],[WorkLifeBalance]]=3,"Better","Best")))</f>
        <v>Better</v>
      </c>
    </row>
    <row r="722" spans="1:42" x14ac:dyDescent="0.3">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c r="AJ722">
        <f>IF(HR_Data[[#This Row],[Attrition]]="Yes",1,0)</f>
        <v>1</v>
      </c>
      <c r="AK722">
        <f>IF(HR_Data[[#This Row],[Attrition]]="No",1,0)</f>
        <v>0</v>
      </c>
      <c r="AL722" t="str">
        <f>IF(HR_Data[[#This Row],[Age]]&lt;25,"Under 25",IF(HR_Data[[#This Row],[Age]]&lt;=34,"25-34",IF(HR_Data[[#This Row],[Age]]&lt;=44,"35-44",IF(HR_Data[[#This Row],[Age]]&lt;=54,"45-54","55+"))))</f>
        <v>25-34</v>
      </c>
      <c r="AM722" s="1" t="str">
        <f>IF(HR_Data[[#This Row],[MonthlyIncome]]&lt;3000,"Low Salary",IF(HR_Data[[#This Row],[MonthlyIncome]]&lt;=7000,"Medium Salary","High Salary"))</f>
        <v>Low Salary</v>
      </c>
      <c r="AN722" s="1" t="str">
        <f>IF(HR_Data[[#This Row],[YearsAtCompany]]&lt;2,"0-1 Years",IF(HR_Data[[#This Row],[YearsAtCompany]]&lt;=5,"2-5 Years",IF(HR_Data[[#This Row],[YearsAtCompany]]&lt;=10,"6-10 Years","10+ Years")))</f>
        <v>2-5 Years</v>
      </c>
      <c r="AO722" s="1" t="str">
        <f>IF(HR_Data[[#This Row],[JobSatisfaction]]=1,"Low",IF(HR_Data[[#This Row],[JobSatisfaction]]=2,"Medium",IF(HR_Data[[#This Row],[JobSatisfaction]]=3,"High","Very High")))</f>
        <v>High</v>
      </c>
      <c r="AP722" s="1" t="str">
        <f>IF(HR_Data[[#This Row],[WorkLifeBalance]]=1,"Bad",IF(HR_Data[[#This Row],[WorkLifeBalance]]=2,"Good",IF(HR_Data[[#This Row],[WorkLifeBalance]]=3,"Better","Best")))</f>
        <v>Better</v>
      </c>
    </row>
    <row r="723" spans="1:42" x14ac:dyDescent="0.3">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c r="AJ723">
        <f>IF(HR_Data[[#This Row],[Attrition]]="Yes",1,0)</f>
        <v>0</v>
      </c>
      <c r="AK723">
        <f>IF(HR_Data[[#This Row],[Attrition]]="No",1,0)</f>
        <v>1</v>
      </c>
      <c r="AL723" t="str">
        <f>IF(HR_Data[[#This Row],[Age]]&lt;25,"Under 25",IF(HR_Data[[#This Row],[Age]]&lt;=34,"25-34",IF(HR_Data[[#This Row],[Age]]&lt;=44,"35-44",IF(HR_Data[[#This Row],[Age]]&lt;=54,"45-54","55+"))))</f>
        <v>45-54</v>
      </c>
      <c r="AM723" s="1" t="str">
        <f>IF(HR_Data[[#This Row],[MonthlyIncome]]&lt;3000,"Low Salary",IF(HR_Data[[#This Row],[MonthlyIncome]]&lt;=7000,"Medium Salary","High Salary"))</f>
        <v>High Salary</v>
      </c>
      <c r="AN723" s="1" t="str">
        <f>IF(HR_Data[[#This Row],[YearsAtCompany]]&lt;2,"0-1 Years",IF(HR_Data[[#This Row],[YearsAtCompany]]&lt;=5,"2-5 Years",IF(HR_Data[[#This Row],[YearsAtCompany]]&lt;=10,"6-10 Years","10+ Years")))</f>
        <v>10+ Years</v>
      </c>
      <c r="AO723" s="1" t="str">
        <f>IF(HR_Data[[#This Row],[JobSatisfaction]]=1,"Low",IF(HR_Data[[#This Row],[JobSatisfaction]]=2,"Medium",IF(HR_Data[[#This Row],[JobSatisfaction]]=3,"High","Very High")))</f>
        <v>High</v>
      </c>
      <c r="AP723" s="1" t="str">
        <f>IF(HR_Data[[#This Row],[WorkLifeBalance]]=1,"Bad",IF(HR_Data[[#This Row],[WorkLifeBalance]]=2,"Good",IF(HR_Data[[#This Row],[WorkLifeBalance]]=3,"Better","Best")))</f>
        <v>Better</v>
      </c>
    </row>
    <row r="724" spans="1:42" x14ac:dyDescent="0.3">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c r="AJ724">
        <f>IF(HR_Data[[#This Row],[Attrition]]="Yes",1,0)</f>
        <v>0</v>
      </c>
      <c r="AK724">
        <f>IF(HR_Data[[#This Row],[Attrition]]="No",1,0)</f>
        <v>1</v>
      </c>
      <c r="AL724" t="str">
        <f>IF(HR_Data[[#This Row],[Age]]&lt;25,"Under 25",IF(HR_Data[[#This Row],[Age]]&lt;=34,"25-34",IF(HR_Data[[#This Row],[Age]]&lt;=44,"35-44",IF(HR_Data[[#This Row],[Age]]&lt;=54,"45-54","55+"))))</f>
        <v>35-44</v>
      </c>
      <c r="AM724" s="1" t="str">
        <f>IF(HR_Data[[#This Row],[MonthlyIncome]]&lt;3000,"Low Salary",IF(HR_Data[[#This Row],[MonthlyIncome]]&lt;=7000,"Medium Salary","High Salary"))</f>
        <v>Low Salary</v>
      </c>
      <c r="AN724" s="1" t="str">
        <f>IF(HR_Data[[#This Row],[YearsAtCompany]]&lt;2,"0-1 Years",IF(HR_Data[[#This Row],[YearsAtCompany]]&lt;=5,"2-5 Years",IF(HR_Data[[#This Row],[YearsAtCompany]]&lt;=10,"6-10 Years","10+ Years")))</f>
        <v>2-5 Years</v>
      </c>
      <c r="AO724" s="1" t="str">
        <f>IF(HR_Data[[#This Row],[JobSatisfaction]]=1,"Low",IF(HR_Data[[#This Row],[JobSatisfaction]]=2,"Medium",IF(HR_Data[[#This Row],[JobSatisfaction]]=3,"High","Very High")))</f>
        <v>High</v>
      </c>
      <c r="AP724" s="1" t="str">
        <f>IF(HR_Data[[#This Row],[WorkLifeBalance]]=1,"Bad",IF(HR_Data[[#This Row],[WorkLifeBalance]]=2,"Good",IF(HR_Data[[#This Row],[WorkLifeBalance]]=3,"Better","Best")))</f>
        <v>Good</v>
      </c>
    </row>
    <row r="725" spans="1:42" x14ac:dyDescent="0.3">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c r="AJ725">
        <f>IF(HR_Data[[#This Row],[Attrition]]="Yes",1,0)</f>
        <v>0</v>
      </c>
      <c r="AK725">
        <f>IF(HR_Data[[#This Row],[Attrition]]="No",1,0)</f>
        <v>1</v>
      </c>
      <c r="AL725" t="str">
        <f>IF(HR_Data[[#This Row],[Age]]&lt;25,"Under 25",IF(HR_Data[[#This Row],[Age]]&lt;=34,"25-34",IF(HR_Data[[#This Row],[Age]]&lt;=44,"35-44",IF(HR_Data[[#This Row],[Age]]&lt;=54,"45-54","55+"))))</f>
        <v>45-54</v>
      </c>
      <c r="AM725" s="1" t="str">
        <f>IF(HR_Data[[#This Row],[MonthlyIncome]]&lt;3000,"Low Salary",IF(HR_Data[[#This Row],[MonthlyIncome]]&lt;=7000,"Medium Salary","High Salary"))</f>
        <v>High Salary</v>
      </c>
      <c r="AN725" s="1" t="str">
        <f>IF(HR_Data[[#This Row],[YearsAtCompany]]&lt;2,"0-1 Years",IF(HR_Data[[#This Row],[YearsAtCompany]]&lt;=5,"2-5 Years",IF(HR_Data[[#This Row],[YearsAtCompany]]&lt;=10,"6-10 Years","10+ Years")))</f>
        <v>6-10 Years</v>
      </c>
      <c r="AO725" s="1" t="str">
        <f>IF(HR_Data[[#This Row],[JobSatisfaction]]=1,"Low",IF(HR_Data[[#This Row],[JobSatisfaction]]=2,"Medium",IF(HR_Data[[#This Row],[JobSatisfaction]]=3,"High","Very High")))</f>
        <v>High</v>
      </c>
      <c r="AP725" s="1" t="str">
        <f>IF(HR_Data[[#This Row],[WorkLifeBalance]]=1,"Bad",IF(HR_Data[[#This Row],[WorkLifeBalance]]=2,"Good",IF(HR_Data[[#This Row],[WorkLifeBalance]]=3,"Better","Best")))</f>
        <v>Better</v>
      </c>
    </row>
    <row r="726" spans="1:42" x14ac:dyDescent="0.3">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c r="AJ726">
        <f>IF(HR_Data[[#This Row],[Attrition]]="Yes",1,0)</f>
        <v>0</v>
      </c>
      <c r="AK726">
        <f>IF(HR_Data[[#This Row],[Attrition]]="No",1,0)</f>
        <v>1</v>
      </c>
      <c r="AL726" t="str">
        <f>IF(HR_Data[[#This Row],[Age]]&lt;25,"Under 25",IF(HR_Data[[#This Row],[Age]]&lt;=34,"25-34",IF(HR_Data[[#This Row],[Age]]&lt;=44,"35-44",IF(HR_Data[[#This Row],[Age]]&lt;=54,"45-54","55+"))))</f>
        <v>Under 25</v>
      </c>
      <c r="AM726" s="1" t="str">
        <f>IF(HR_Data[[#This Row],[MonthlyIncome]]&lt;3000,"Low Salary",IF(HR_Data[[#This Row],[MonthlyIncome]]&lt;=7000,"Medium Salary","High Salary"))</f>
        <v>Medium Salary</v>
      </c>
      <c r="AN726" s="1" t="str">
        <f>IF(HR_Data[[#This Row],[YearsAtCompany]]&lt;2,"0-1 Years",IF(HR_Data[[#This Row],[YearsAtCompany]]&lt;=5,"2-5 Years",IF(HR_Data[[#This Row],[YearsAtCompany]]&lt;=10,"6-10 Years","10+ Years")))</f>
        <v>2-5 Years</v>
      </c>
      <c r="AO726" s="1" t="str">
        <f>IF(HR_Data[[#This Row],[JobSatisfaction]]=1,"Low",IF(HR_Data[[#This Row],[JobSatisfaction]]=2,"Medium",IF(HR_Data[[#This Row],[JobSatisfaction]]=3,"High","Very High")))</f>
        <v>High</v>
      </c>
      <c r="AP726" s="1" t="str">
        <f>IF(HR_Data[[#This Row],[WorkLifeBalance]]=1,"Bad",IF(HR_Data[[#This Row],[WorkLifeBalance]]=2,"Good",IF(HR_Data[[#This Row],[WorkLifeBalance]]=3,"Better","Best")))</f>
        <v>Better</v>
      </c>
    </row>
    <row r="727" spans="1:42" x14ac:dyDescent="0.3">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c r="AJ727">
        <f>IF(HR_Data[[#This Row],[Attrition]]="Yes",1,0)</f>
        <v>1</v>
      </c>
      <c r="AK727">
        <f>IF(HR_Data[[#This Row],[Attrition]]="No",1,0)</f>
        <v>0</v>
      </c>
      <c r="AL727" t="str">
        <f>IF(HR_Data[[#This Row],[Age]]&lt;25,"Under 25",IF(HR_Data[[#This Row],[Age]]&lt;=34,"25-34",IF(HR_Data[[#This Row],[Age]]&lt;=44,"35-44",IF(HR_Data[[#This Row],[Age]]&lt;=54,"45-54","55+"))))</f>
        <v>35-44</v>
      </c>
      <c r="AM727" s="1" t="str">
        <f>IF(HR_Data[[#This Row],[MonthlyIncome]]&lt;3000,"Low Salary",IF(HR_Data[[#This Row],[MonthlyIncome]]&lt;=7000,"Medium Salary","High Salary"))</f>
        <v>Medium Salary</v>
      </c>
      <c r="AN727" s="1" t="str">
        <f>IF(HR_Data[[#This Row],[YearsAtCompany]]&lt;2,"0-1 Years",IF(HR_Data[[#This Row],[YearsAtCompany]]&lt;=5,"2-5 Years",IF(HR_Data[[#This Row],[YearsAtCompany]]&lt;=10,"6-10 Years","10+ Years")))</f>
        <v>2-5 Years</v>
      </c>
      <c r="AO727" s="1" t="str">
        <f>IF(HR_Data[[#This Row],[JobSatisfaction]]=1,"Low",IF(HR_Data[[#This Row],[JobSatisfaction]]=2,"Medium",IF(HR_Data[[#This Row],[JobSatisfaction]]=3,"High","Very High")))</f>
        <v>Medium</v>
      </c>
      <c r="AP727" s="1" t="str">
        <f>IF(HR_Data[[#This Row],[WorkLifeBalance]]=1,"Bad",IF(HR_Data[[#This Row],[WorkLifeBalance]]=2,"Good",IF(HR_Data[[#This Row],[WorkLifeBalance]]=3,"Better","Best")))</f>
        <v>Bad</v>
      </c>
    </row>
    <row r="728" spans="1:42" x14ac:dyDescent="0.3">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c r="AJ728">
        <f>IF(HR_Data[[#This Row],[Attrition]]="Yes",1,0)</f>
        <v>0</v>
      </c>
      <c r="AK728">
        <f>IF(HR_Data[[#This Row],[Attrition]]="No",1,0)</f>
        <v>1</v>
      </c>
      <c r="AL728" t="str">
        <f>IF(HR_Data[[#This Row],[Age]]&lt;25,"Under 25",IF(HR_Data[[#This Row],[Age]]&lt;=34,"25-34",IF(HR_Data[[#This Row],[Age]]&lt;=44,"35-44",IF(HR_Data[[#This Row],[Age]]&lt;=54,"45-54","55+"))))</f>
        <v>25-34</v>
      </c>
      <c r="AM728" s="1" t="str">
        <f>IF(HR_Data[[#This Row],[MonthlyIncome]]&lt;3000,"Low Salary",IF(HR_Data[[#This Row],[MonthlyIncome]]&lt;=7000,"Medium Salary","High Salary"))</f>
        <v>Medium Salary</v>
      </c>
      <c r="AN728" s="1" t="str">
        <f>IF(HR_Data[[#This Row],[YearsAtCompany]]&lt;2,"0-1 Years",IF(HR_Data[[#This Row],[YearsAtCompany]]&lt;=5,"2-5 Years",IF(HR_Data[[#This Row],[YearsAtCompany]]&lt;=10,"6-10 Years","10+ Years")))</f>
        <v>2-5 Years</v>
      </c>
      <c r="AO728" s="1" t="str">
        <f>IF(HR_Data[[#This Row],[JobSatisfaction]]=1,"Low",IF(HR_Data[[#This Row],[JobSatisfaction]]=2,"Medium",IF(HR_Data[[#This Row],[JobSatisfaction]]=3,"High","Very High")))</f>
        <v>Low</v>
      </c>
      <c r="AP728" s="1" t="str">
        <f>IF(HR_Data[[#This Row],[WorkLifeBalance]]=1,"Bad",IF(HR_Data[[#This Row],[WorkLifeBalance]]=2,"Good",IF(HR_Data[[#This Row],[WorkLifeBalance]]=3,"Better","Best")))</f>
        <v>Better</v>
      </c>
    </row>
    <row r="729" spans="1:42" x14ac:dyDescent="0.3">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c r="AJ729">
        <f>IF(HR_Data[[#This Row],[Attrition]]="Yes",1,0)</f>
        <v>0</v>
      </c>
      <c r="AK729">
        <f>IF(HR_Data[[#This Row],[Attrition]]="No",1,0)</f>
        <v>1</v>
      </c>
      <c r="AL729" t="str">
        <f>IF(HR_Data[[#This Row],[Age]]&lt;25,"Under 25",IF(HR_Data[[#This Row],[Age]]&lt;=34,"25-34",IF(HR_Data[[#This Row],[Age]]&lt;=44,"35-44",IF(HR_Data[[#This Row],[Age]]&lt;=54,"45-54","55+"))))</f>
        <v>Under 25</v>
      </c>
      <c r="AM729" s="1" t="str">
        <f>IF(HR_Data[[#This Row],[MonthlyIncome]]&lt;3000,"Low Salary",IF(HR_Data[[#This Row],[MonthlyIncome]]&lt;=7000,"Medium Salary","High Salary"))</f>
        <v>Low Salary</v>
      </c>
      <c r="AN729" s="1" t="str">
        <f>IF(HR_Data[[#This Row],[YearsAtCompany]]&lt;2,"0-1 Years",IF(HR_Data[[#This Row],[YearsAtCompany]]&lt;=5,"2-5 Years",IF(HR_Data[[#This Row],[YearsAtCompany]]&lt;=10,"6-10 Years","10+ Years")))</f>
        <v>0-1 Years</v>
      </c>
      <c r="AO729" s="1" t="str">
        <f>IF(HR_Data[[#This Row],[JobSatisfaction]]=1,"Low",IF(HR_Data[[#This Row],[JobSatisfaction]]=2,"Medium",IF(HR_Data[[#This Row],[JobSatisfaction]]=3,"High","Very High")))</f>
        <v>Very High</v>
      </c>
      <c r="AP729" s="1" t="str">
        <f>IF(HR_Data[[#This Row],[WorkLifeBalance]]=1,"Bad",IF(HR_Data[[#This Row],[WorkLifeBalance]]=2,"Good",IF(HR_Data[[#This Row],[WorkLifeBalance]]=3,"Better","Best")))</f>
        <v>Better</v>
      </c>
    </row>
    <row r="730" spans="1:42" x14ac:dyDescent="0.3">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c r="AJ730">
        <f>IF(HR_Data[[#This Row],[Attrition]]="Yes",1,0)</f>
        <v>0</v>
      </c>
      <c r="AK730">
        <f>IF(HR_Data[[#This Row],[Attrition]]="No",1,0)</f>
        <v>1</v>
      </c>
      <c r="AL730" t="str">
        <f>IF(HR_Data[[#This Row],[Age]]&lt;25,"Under 25",IF(HR_Data[[#This Row],[Age]]&lt;=34,"25-34",IF(HR_Data[[#This Row],[Age]]&lt;=44,"35-44",IF(HR_Data[[#This Row],[Age]]&lt;=54,"45-54","55+"))))</f>
        <v>45-54</v>
      </c>
      <c r="AM730" s="1" t="str">
        <f>IF(HR_Data[[#This Row],[MonthlyIncome]]&lt;3000,"Low Salary",IF(HR_Data[[#This Row],[MonthlyIncome]]&lt;=7000,"Medium Salary","High Salary"))</f>
        <v>High Salary</v>
      </c>
      <c r="AN730" s="1" t="str">
        <f>IF(HR_Data[[#This Row],[YearsAtCompany]]&lt;2,"0-1 Years",IF(HR_Data[[#This Row],[YearsAtCompany]]&lt;=5,"2-5 Years",IF(HR_Data[[#This Row],[YearsAtCompany]]&lt;=10,"6-10 Years","10+ Years")))</f>
        <v>6-10 Years</v>
      </c>
      <c r="AO730" s="1" t="str">
        <f>IF(HR_Data[[#This Row],[JobSatisfaction]]=1,"Low",IF(HR_Data[[#This Row],[JobSatisfaction]]=2,"Medium",IF(HR_Data[[#This Row],[JobSatisfaction]]=3,"High","Very High")))</f>
        <v>High</v>
      </c>
      <c r="AP730" s="1" t="str">
        <f>IF(HR_Data[[#This Row],[WorkLifeBalance]]=1,"Bad",IF(HR_Data[[#This Row],[WorkLifeBalance]]=2,"Good",IF(HR_Data[[#This Row],[WorkLifeBalance]]=3,"Better","Best")))</f>
        <v>Better</v>
      </c>
    </row>
    <row r="731" spans="1:42" x14ac:dyDescent="0.3">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c r="AJ731">
        <f>IF(HR_Data[[#This Row],[Attrition]]="Yes",1,0)</f>
        <v>0</v>
      </c>
      <c r="AK731">
        <f>IF(HR_Data[[#This Row],[Attrition]]="No",1,0)</f>
        <v>1</v>
      </c>
      <c r="AL731" t="str">
        <f>IF(HR_Data[[#This Row],[Age]]&lt;25,"Under 25",IF(HR_Data[[#This Row],[Age]]&lt;=34,"25-34",IF(HR_Data[[#This Row],[Age]]&lt;=44,"35-44",IF(HR_Data[[#This Row],[Age]]&lt;=54,"45-54","55+"))))</f>
        <v>35-44</v>
      </c>
      <c r="AM731" s="1" t="str">
        <f>IF(HR_Data[[#This Row],[MonthlyIncome]]&lt;3000,"Low Salary",IF(HR_Data[[#This Row],[MonthlyIncome]]&lt;=7000,"Medium Salary","High Salary"))</f>
        <v>High Salary</v>
      </c>
      <c r="AN731" s="1" t="str">
        <f>IF(HR_Data[[#This Row],[YearsAtCompany]]&lt;2,"0-1 Years",IF(HR_Data[[#This Row],[YearsAtCompany]]&lt;=5,"2-5 Years",IF(HR_Data[[#This Row],[YearsAtCompany]]&lt;=10,"6-10 Years","10+ Years")))</f>
        <v>10+ Years</v>
      </c>
      <c r="AO731" s="1" t="str">
        <f>IF(HR_Data[[#This Row],[JobSatisfaction]]=1,"Low",IF(HR_Data[[#This Row],[JobSatisfaction]]=2,"Medium",IF(HR_Data[[#This Row],[JobSatisfaction]]=3,"High","Very High")))</f>
        <v>High</v>
      </c>
      <c r="AP731" s="1" t="str">
        <f>IF(HR_Data[[#This Row],[WorkLifeBalance]]=1,"Bad",IF(HR_Data[[#This Row],[WorkLifeBalance]]=2,"Good",IF(HR_Data[[#This Row],[WorkLifeBalance]]=3,"Better","Best")))</f>
        <v>Good</v>
      </c>
    </row>
    <row r="732" spans="1:42" x14ac:dyDescent="0.3">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c r="AJ732">
        <f>IF(HR_Data[[#This Row],[Attrition]]="Yes",1,0)</f>
        <v>0</v>
      </c>
      <c r="AK732">
        <f>IF(HR_Data[[#This Row],[Attrition]]="No",1,0)</f>
        <v>1</v>
      </c>
      <c r="AL732" t="str">
        <f>IF(HR_Data[[#This Row],[Age]]&lt;25,"Under 25",IF(HR_Data[[#This Row],[Age]]&lt;=34,"25-34",IF(HR_Data[[#This Row],[Age]]&lt;=44,"35-44",IF(HR_Data[[#This Row],[Age]]&lt;=54,"45-54","55+"))))</f>
        <v>25-34</v>
      </c>
      <c r="AM732" s="1" t="str">
        <f>IF(HR_Data[[#This Row],[MonthlyIncome]]&lt;3000,"Low Salary",IF(HR_Data[[#This Row],[MonthlyIncome]]&lt;=7000,"Medium Salary","High Salary"))</f>
        <v>High Salary</v>
      </c>
      <c r="AN732" s="1" t="str">
        <f>IF(HR_Data[[#This Row],[YearsAtCompany]]&lt;2,"0-1 Years",IF(HR_Data[[#This Row],[YearsAtCompany]]&lt;=5,"2-5 Years",IF(HR_Data[[#This Row],[YearsAtCompany]]&lt;=10,"6-10 Years","10+ Years")))</f>
        <v>6-10 Years</v>
      </c>
      <c r="AO732" s="1" t="str">
        <f>IF(HR_Data[[#This Row],[JobSatisfaction]]=1,"Low",IF(HR_Data[[#This Row],[JobSatisfaction]]=2,"Medium",IF(HR_Data[[#This Row],[JobSatisfaction]]=3,"High","Very High")))</f>
        <v>Low</v>
      </c>
      <c r="AP732" s="1" t="str">
        <f>IF(HR_Data[[#This Row],[WorkLifeBalance]]=1,"Bad",IF(HR_Data[[#This Row],[WorkLifeBalance]]=2,"Good",IF(HR_Data[[#This Row],[WorkLifeBalance]]=3,"Better","Best")))</f>
        <v>Good</v>
      </c>
    </row>
    <row r="733" spans="1:42" x14ac:dyDescent="0.3">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c r="AJ733">
        <f>IF(HR_Data[[#This Row],[Attrition]]="Yes",1,0)</f>
        <v>1</v>
      </c>
      <c r="AK733">
        <f>IF(HR_Data[[#This Row],[Attrition]]="No",1,0)</f>
        <v>0</v>
      </c>
      <c r="AL733" t="str">
        <f>IF(HR_Data[[#This Row],[Age]]&lt;25,"Under 25",IF(HR_Data[[#This Row],[Age]]&lt;=34,"25-34",IF(HR_Data[[#This Row],[Age]]&lt;=44,"35-44",IF(HR_Data[[#This Row],[Age]]&lt;=54,"45-54","55+"))))</f>
        <v>Under 25</v>
      </c>
      <c r="AM733" s="1" t="str">
        <f>IF(HR_Data[[#This Row],[MonthlyIncome]]&lt;3000,"Low Salary",IF(HR_Data[[#This Row],[MonthlyIncome]]&lt;=7000,"Medium Salary","High Salary"))</f>
        <v>Low Salary</v>
      </c>
      <c r="AN733" s="1" t="str">
        <f>IF(HR_Data[[#This Row],[YearsAtCompany]]&lt;2,"0-1 Years",IF(HR_Data[[#This Row],[YearsAtCompany]]&lt;=5,"2-5 Years",IF(HR_Data[[#This Row],[YearsAtCompany]]&lt;=10,"6-10 Years","10+ Years")))</f>
        <v>0-1 Years</v>
      </c>
      <c r="AO733" s="1" t="str">
        <f>IF(HR_Data[[#This Row],[JobSatisfaction]]=1,"Low",IF(HR_Data[[#This Row],[JobSatisfaction]]=2,"Medium",IF(HR_Data[[#This Row],[JobSatisfaction]]=3,"High","Very High")))</f>
        <v>Low</v>
      </c>
      <c r="AP733" s="1" t="str">
        <f>IF(HR_Data[[#This Row],[WorkLifeBalance]]=1,"Bad",IF(HR_Data[[#This Row],[WorkLifeBalance]]=2,"Good",IF(HR_Data[[#This Row],[WorkLifeBalance]]=3,"Better","Best")))</f>
        <v>Better</v>
      </c>
    </row>
    <row r="734" spans="1:42" x14ac:dyDescent="0.3">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c r="AJ734">
        <f>IF(HR_Data[[#This Row],[Attrition]]="Yes",1,0)</f>
        <v>1</v>
      </c>
      <c r="AK734">
        <f>IF(HR_Data[[#This Row],[Attrition]]="No",1,0)</f>
        <v>0</v>
      </c>
      <c r="AL734" t="str">
        <f>IF(HR_Data[[#This Row],[Age]]&lt;25,"Under 25",IF(HR_Data[[#This Row],[Age]]&lt;=34,"25-34",IF(HR_Data[[#This Row],[Age]]&lt;=44,"35-44",IF(HR_Data[[#This Row],[Age]]&lt;=54,"45-54","55+"))))</f>
        <v>25-34</v>
      </c>
      <c r="AM734" s="1" t="str">
        <f>IF(HR_Data[[#This Row],[MonthlyIncome]]&lt;3000,"Low Salary",IF(HR_Data[[#This Row],[MonthlyIncome]]&lt;=7000,"Medium Salary","High Salary"))</f>
        <v>Low Salary</v>
      </c>
      <c r="AN734" s="1" t="str">
        <f>IF(HR_Data[[#This Row],[YearsAtCompany]]&lt;2,"0-1 Years",IF(HR_Data[[#This Row],[YearsAtCompany]]&lt;=5,"2-5 Years",IF(HR_Data[[#This Row],[YearsAtCompany]]&lt;=10,"6-10 Years","10+ Years")))</f>
        <v>2-5 Years</v>
      </c>
      <c r="AO734" s="1" t="str">
        <f>IF(HR_Data[[#This Row],[JobSatisfaction]]=1,"Low",IF(HR_Data[[#This Row],[JobSatisfaction]]=2,"Medium",IF(HR_Data[[#This Row],[JobSatisfaction]]=3,"High","Very High")))</f>
        <v>Medium</v>
      </c>
      <c r="AP734" s="1" t="str">
        <f>IF(HR_Data[[#This Row],[WorkLifeBalance]]=1,"Bad",IF(HR_Data[[#This Row],[WorkLifeBalance]]=2,"Good",IF(HR_Data[[#This Row],[WorkLifeBalance]]=3,"Better","Best")))</f>
        <v>Better</v>
      </c>
    </row>
    <row r="735" spans="1:42" x14ac:dyDescent="0.3">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c r="AJ735">
        <f>IF(HR_Data[[#This Row],[Attrition]]="Yes",1,0)</f>
        <v>0</v>
      </c>
      <c r="AK735">
        <f>IF(HR_Data[[#This Row],[Attrition]]="No",1,0)</f>
        <v>1</v>
      </c>
      <c r="AL735" t="str">
        <f>IF(HR_Data[[#This Row],[Age]]&lt;25,"Under 25",IF(HR_Data[[#This Row],[Age]]&lt;=34,"25-34",IF(HR_Data[[#This Row],[Age]]&lt;=44,"35-44",IF(HR_Data[[#This Row],[Age]]&lt;=54,"45-54","55+"))))</f>
        <v>25-34</v>
      </c>
      <c r="AM735" s="1" t="str">
        <f>IF(HR_Data[[#This Row],[MonthlyIncome]]&lt;3000,"Low Salary",IF(HR_Data[[#This Row],[MonthlyIncome]]&lt;=7000,"Medium Salary","High Salary"))</f>
        <v>Medium Salary</v>
      </c>
      <c r="AN735" s="1" t="str">
        <f>IF(HR_Data[[#This Row],[YearsAtCompany]]&lt;2,"0-1 Years",IF(HR_Data[[#This Row],[YearsAtCompany]]&lt;=5,"2-5 Years",IF(HR_Data[[#This Row],[YearsAtCompany]]&lt;=10,"6-10 Years","10+ Years")))</f>
        <v>6-10 Years</v>
      </c>
      <c r="AO735" s="1" t="str">
        <f>IF(HR_Data[[#This Row],[JobSatisfaction]]=1,"Low",IF(HR_Data[[#This Row],[JobSatisfaction]]=2,"Medium",IF(HR_Data[[#This Row],[JobSatisfaction]]=3,"High","Very High")))</f>
        <v>Very High</v>
      </c>
      <c r="AP735" s="1" t="str">
        <f>IF(HR_Data[[#This Row],[WorkLifeBalance]]=1,"Bad",IF(HR_Data[[#This Row],[WorkLifeBalance]]=2,"Good",IF(HR_Data[[#This Row],[WorkLifeBalance]]=3,"Better","Best")))</f>
        <v>Better</v>
      </c>
    </row>
    <row r="736" spans="1:42" x14ac:dyDescent="0.3">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c r="AJ736">
        <f>IF(HR_Data[[#This Row],[Attrition]]="Yes",1,0)</f>
        <v>0</v>
      </c>
      <c r="AK736">
        <f>IF(HR_Data[[#This Row],[Attrition]]="No",1,0)</f>
        <v>1</v>
      </c>
      <c r="AL736" t="str">
        <f>IF(HR_Data[[#This Row],[Age]]&lt;25,"Under 25",IF(HR_Data[[#This Row],[Age]]&lt;=34,"25-34",IF(HR_Data[[#This Row],[Age]]&lt;=44,"35-44",IF(HR_Data[[#This Row],[Age]]&lt;=54,"45-54","55+"))))</f>
        <v>Under 25</v>
      </c>
      <c r="AM736" s="1" t="str">
        <f>IF(HR_Data[[#This Row],[MonthlyIncome]]&lt;3000,"Low Salary",IF(HR_Data[[#This Row],[MonthlyIncome]]&lt;=7000,"Medium Salary","High Salary"))</f>
        <v>Low Salary</v>
      </c>
      <c r="AN736" s="1" t="str">
        <f>IF(HR_Data[[#This Row],[YearsAtCompany]]&lt;2,"0-1 Years",IF(HR_Data[[#This Row],[YearsAtCompany]]&lt;=5,"2-5 Years",IF(HR_Data[[#This Row],[YearsAtCompany]]&lt;=10,"6-10 Years","10+ Years")))</f>
        <v>2-5 Years</v>
      </c>
      <c r="AO736" s="1" t="str">
        <f>IF(HR_Data[[#This Row],[JobSatisfaction]]=1,"Low",IF(HR_Data[[#This Row],[JobSatisfaction]]=2,"Medium",IF(HR_Data[[#This Row],[JobSatisfaction]]=3,"High","Very High")))</f>
        <v>Low</v>
      </c>
      <c r="AP736" s="1" t="str">
        <f>IF(HR_Data[[#This Row],[WorkLifeBalance]]=1,"Bad",IF(HR_Data[[#This Row],[WorkLifeBalance]]=2,"Good",IF(HR_Data[[#This Row],[WorkLifeBalance]]=3,"Better","Best")))</f>
        <v>Good</v>
      </c>
    </row>
    <row r="737" spans="1:42" x14ac:dyDescent="0.3">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c r="AJ737">
        <f>IF(HR_Data[[#This Row],[Attrition]]="Yes",1,0)</f>
        <v>0</v>
      </c>
      <c r="AK737">
        <f>IF(HR_Data[[#This Row],[Attrition]]="No",1,0)</f>
        <v>1</v>
      </c>
      <c r="AL737" t="str">
        <f>IF(HR_Data[[#This Row],[Age]]&lt;25,"Under 25",IF(HR_Data[[#This Row],[Age]]&lt;=34,"25-34",IF(HR_Data[[#This Row],[Age]]&lt;=44,"35-44",IF(HR_Data[[#This Row],[Age]]&lt;=54,"45-54","55+"))))</f>
        <v>45-54</v>
      </c>
      <c r="AM737" s="1" t="str">
        <f>IF(HR_Data[[#This Row],[MonthlyIncome]]&lt;3000,"Low Salary",IF(HR_Data[[#This Row],[MonthlyIncome]]&lt;=7000,"Medium Salary","High Salary"))</f>
        <v>Medium Salary</v>
      </c>
      <c r="AN737" s="1" t="str">
        <f>IF(HR_Data[[#This Row],[YearsAtCompany]]&lt;2,"0-1 Years",IF(HR_Data[[#This Row],[YearsAtCompany]]&lt;=5,"2-5 Years",IF(HR_Data[[#This Row],[YearsAtCompany]]&lt;=10,"6-10 Years","10+ Years")))</f>
        <v>2-5 Years</v>
      </c>
      <c r="AO737" s="1" t="str">
        <f>IF(HR_Data[[#This Row],[JobSatisfaction]]=1,"Low",IF(HR_Data[[#This Row],[JobSatisfaction]]=2,"Medium",IF(HR_Data[[#This Row],[JobSatisfaction]]=3,"High","Very High")))</f>
        <v>High</v>
      </c>
      <c r="AP737" s="1" t="str">
        <f>IF(HR_Data[[#This Row],[WorkLifeBalance]]=1,"Bad",IF(HR_Data[[#This Row],[WorkLifeBalance]]=2,"Good",IF(HR_Data[[#This Row],[WorkLifeBalance]]=3,"Better","Best")))</f>
        <v>Better</v>
      </c>
    </row>
    <row r="738" spans="1:42" x14ac:dyDescent="0.3">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c r="AJ738">
        <f>IF(HR_Data[[#This Row],[Attrition]]="Yes",1,0)</f>
        <v>0</v>
      </c>
      <c r="AK738">
        <f>IF(HR_Data[[#This Row],[Attrition]]="No",1,0)</f>
        <v>1</v>
      </c>
      <c r="AL738" t="str">
        <f>IF(HR_Data[[#This Row],[Age]]&lt;25,"Under 25",IF(HR_Data[[#This Row],[Age]]&lt;=34,"25-34",IF(HR_Data[[#This Row],[Age]]&lt;=44,"35-44",IF(HR_Data[[#This Row],[Age]]&lt;=54,"45-54","55+"))))</f>
        <v>45-54</v>
      </c>
      <c r="AM738" s="1" t="str">
        <f>IF(HR_Data[[#This Row],[MonthlyIncome]]&lt;3000,"Low Salary",IF(HR_Data[[#This Row],[MonthlyIncome]]&lt;=7000,"Medium Salary","High Salary"))</f>
        <v>High Salary</v>
      </c>
      <c r="AN738" s="1" t="str">
        <f>IF(HR_Data[[#This Row],[YearsAtCompany]]&lt;2,"0-1 Years",IF(HR_Data[[#This Row],[YearsAtCompany]]&lt;=5,"2-5 Years",IF(HR_Data[[#This Row],[YearsAtCompany]]&lt;=10,"6-10 Years","10+ Years")))</f>
        <v>10+ Years</v>
      </c>
      <c r="AO738" s="1" t="str">
        <f>IF(HR_Data[[#This Row],[JobSatisfaction]]=1,"Low",IF(HR_Data[[#This Row],[JobSatisfaction]]=2,"Medium",IF(HR_Data[[#This Row],[JobSatisfaction]]=3,"High","Very High")))</f>
        <v>High</v>
      </c>
      <c r="AP738" s="1" t="str">
        <f>IF(HR_Data[[#This Row],[WorkLifeBalance]]=1,"Bad",IF(HR_Data[[#This Row],[WorkLifeBalance]]=2,"Good",IF(HR_Data[[#This Row],[WorkLifeBalance]]=3,"Better","Best")))</f>
        <v>Better</v>
      </c>
    </row>
    <row r="739" spans="1:42" x14ac:dyDescent="0.3">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c r="AJ739">
        <f>IF(HR_Data[[#This Row],[Attrition]]="Yes",1,0)</f>
        <v>0</v>
      </c>
      <c r="AK739">
        <f>IF(HR_Data[[#This Row],[Attrition]]="No",1,0)</f>
        <v>1</v>
      </c>
      <c r="AL739" t="str">
        <f>IF(HR_Data[[#This Row],[Age]]&lt;25,"Under 25",IF(HR_Data[[#This Row],[Age]]&lt;=34,"25-34",IF(HR_Data[[#This Row],[Age]]&lt;=44,"35-44",IF(HR_Data[[#This Row],[Age]]&lt;=54,"45-54","55+"))))</f>
        <v>35-44</v>
      </c>
      <c r="AM739" s="1" t="str">
        <f>IF(HR_Data[[#This Row],[MonthlyIncome]]&lt;3000,"Low Salary",IF(HR_Data[[#This Row],[MonthlyIncome]]&lt;=7000,"Medium Salary","High Salary"))</f>
        <v>Medium Salary</v>
      </c>
      <c r="AN739" s="1" t="str">
        <f>IF(HR_Data[[#This Row],[YearsAtCompany]]&lt;2,"0-1 Years",IF(HR_Data[[#This Row],[YearsAtCompany]]&lt;=5,"2-5 Years",IF(HR_Data[[#This Row],[YearsAtCompany]]&lt;=10,"6-10 Years","10+ Years")))</f>
        <v>2-5 Years</v>
      </c>
      <c r="AO739" s="1" t="str">
        <f>IF(HR_Data[[#This Row],[JobSatisfaction]]=1,"Low",IF(HR_Data[[#This Row],[JobSatisfaction]]=2,"Medium",IF(HR_Data[[#This Row],[JobSatisfaction]]=3,"High","Very High")))</f>
        <v>High</v>
      </c>
      <c r="AP739" s="1" t="str">
        <f>IF(HR_Data[[#This Row],[WorkLifeBalance]]=1,"Bad",IF(HR_Data[[#This Row],[WorkLifeBalance]]=2,"Good",IF(HR_Data[[#This Row],[WorkLifeBalance]]=3,"Better","Best")))</f>
        <v>Better</v>
      </c>
    </row>
    <row r="740" spans="1:42" x14ac:dyDescent="0.3">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c r="AJ740">
        <f>IF(HR_Data[[#This Row],[Attrition]]="Yes",1,0)</f>
        <v>0</v>
      </c>
      <c r="AK740">
        <f>IF(HR_Data[[#This Row],[Attrition]]="No",1,0)</f>
        <v>1</v>
      </c>
      <c r="AL740" t="str">
        <f>IF(HR_Data[[#This Row],[Age]]&lt;25,"Under 25",IF(HR_Data[[#This Row],[Age]]&lt;=34,"25-34",IF(HR_Data[[#This Row],[Age]]&lt;=44,"35-44",IF(HR_Data[[#This Row],[Age]]&lt;=54,"45-54","55+"))))</f>
        <v>35-44</v>
      </c>
      <c r="AM740" s="1" t="str">
        <f>IF(HR_Data[[#This Row],[MonthlyIncome]]&lt;3000,"Low Salary",IF(HR_Data[[#This Row],[MonthlyIncome]]&lt;=7000,"Medium Salary","High Salary"))</f>
        <v>High Salary</v>
      </c>
      <c r="AN740" s="1" t="str">
        <f>IF(HR_Data[[#This Row],[YearsAtCompany]]&lt;2,"0-1 Years",IF(HR_Data[[#This Row],[YearsAtCompany]]&lt;=5,"2-5 Years",IF(HR_Data[[#This Row],[YearsAtCompany]]&lt;=10,"6-10 Years","10+ Years")))</f>
        <v>10+ Years</v>
      </c>
      <c r="AO740" s="1" t="str">
        <f>IF(HR_Data[[#This Row],[JobSatisfaction]]=1,"Low",IF(HR_Data[[#This Row],[JobSatisfaction]]=2,"Medium",IF(HR_Data[[#This Row],[JobSatisfaction]]=3,"High","Very High")))</f>
        <v>Very High</v>
      </c>
      <c r="AP740" s="1" t="str">
        <f>IF(HR_Data[[#This Row],[WorkLifeBalance]]=1,"Bad",IF(HR_Data[[#This Row],[WorkLifeBalance]]=2,"Good",IF(HR_Data[[#This Row],[WorkLifeBalance]]=3,"Better","Best")))</f>
        <v>Better</v>
      </c>
    </row>
    <row r="741" spans="1:42" x14ac:dyDescent="0.3">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c r="AJ741">
        <f>IF(HR_Data[[#This Row],[Attrition]]="Yes",1,0)</f>
        <v>0</v>
      </c>
      <c r="AK741">
        <f>IF(HR_Data[[#This Row],[Attrition]]="No",1,0)</f>
        <v>1</v>
      </c>
      <c r="AL741" t="str">
        <f>IF(HR_Data[[#This Row],[Age]]&lt;25,"Under 25",IF(HR_Data[[#This Row],[Age]]&lt;=34,"25-34",IF(HR_Data[[#This Row],[Age]]&lt;=44,"35-44",IF(HR_Data[[#This Row],[Age]]&lt;=54,"45-54","55+"))))</f>
        <v>25-34</v>
      </c>
      <c r="AM741" s="1" t="str">
        <f>IF(HR_Data[[#This Row],[MonthlyIncome]]&lt;3000,"Low Salary",IF(HR_Data[[#This Row],[MonthlyIncome]]&lt;=7000,"Medium Salary","High Salary"))</f>
        <v>Medium Salary</v>
      </c>
      <c r="AN741" s="1" t="str">
        <f>IF(HR_Data[[#This Row],[YearsAtCompany]]&lt;2,"0-1 Years",IF(HR_Data[[#This Row],[YearsAtCompany]]&lt;=5,"2-5 Years",IF(HR_Data[[#This Row],[YearsAtCompany]]&lt;=10,"6-10 Years","10+ Years")))</f>
        <v>2-5 Years</v>
      </c>
      <c r="AO741" s="1" t="str">
        <f>IF(HR_Data[[#This Row],[JobSatisfaction]]=1,"Low",IF(HR_Data[[#This Row],[JobSatisfaction]]=2,"Medium",IF(HR_Data[[#This Row],[JobSatisfaction]]=3,"High","Very High")))</f>
        <v>Very High</v>
      </c>
      <c r="AP741" s="1" t="str">
        <f>IF(HR_Data[[#This Row],[WorkLifeBalance]]=1,"Bad",IF(HR_Data[[#This Row],[WorkLifeBalance]]=2,"Good",IF(HR_Data[[#This Row],[WorkLifeBalance]]=3,"Better","Best")))</f>
        <v>Better</v>
      </c>
    </row>
    <row r="742" spans="1:42" x14ac:dyDescent="0.3">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c r="AJ742">
        <f>IF(HR_Data[[#This Row],[Attrition]]="Yes",1,0)</f>
        <v>0</v>
      </c>
      <c r="AK742">
        <f>IF(HR_Data[[#This Row],[Attrition]]="No",1,0)</f>
        <v>1</v>
      </c>
      <c r="AL742" t="str">
        <f>IF(HR_Data[[#This Row],[Age]]&lt;25,"Under 25",IF(HR_Data[[#This Row],[Age]]&lt;=34,"25-34",IF(HR_Data[[#This Row],[Age]]&lt;=44,"35-44",IF(HR_Data[[#This Row],[Age]]&lt;=54,"45-54","55+"))))</f>
        <v>35-44</v>
      </c>
      <c r="AM742" s="1" t="str">
        <f>IF(HR_Data[[#This Row],[MonthlyIncome]]&lt;3000,"Low Salary",IF(HR_Data[[#This Row],[MonthlyIncome]]&lt;=7000,"Medium Salary","High Salary"))</f>
        <v>Medium Salary</v>
      </c>
      <c r="AN742" s="1" t="str">
        <f>IF(HR_Data[[#This Row],[YearsAtCompany]]&lt;2,"0-1 Years",IF(HR_Data[[#This Row],[YearsAtCompany]]&lt;=5,"2-5 Years",IF(HR_Data[[#This Row],[YearsAtCompany]]&lt;=10,"6-10 Years","10+ Years")))</f>
        <v>2-5 Years</v>
      </c>
      <c r="AO742" s="1" t="str">
        <f>IF(HR_Data[[#This Row],[JobSatisfaction]]=1,"Low",IF(HR_Data[[#This Row],[JobSatisfaction]]=2,"Medium",IF(HR_Data[[#This Row],[JobSatisfaction]]=3,"High","Very High")))</f>
        <v>Very High</v>
      </c>
      <c r="AP742" s="1" t="str">
        <f>IF(HR_Data[[#This Row],[WorkLifeBalance]]=1,"Bad",IF(HR_Data[[#This Row],[WorkLifeBalance]]=2,"Good",IF(HR_Data[[#This Row],[WorkLifeBalance]]=3,"Better","Best")))</f>
        <v>Good</v>
      </c>
    </row>
    <row r="743" spans="1:42" x14ac:dyDescent="0.3">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c r="AJ743">
        <f>IF(HR_Data[[#This Row],[Attrition]]="Yes",1,0)</f>
        <v>0</v>
      </c>
      <c r="AK743">
        <f>IF(HR_Data[[#This Row],[Attrition]]="No",1,0)</f>
        <v>1</v>
      </c>
      <c r="AL743" t="str">
        <f>IF(HR_Data[[#This Row],[Age]]&lt;25,"Under 25",IF(HR_Data[[#This Row],[Age]]&lt;=34,"25-34",IF(HR_Data[[#This Row],[Age]]&lt;=44,"35-44",IF(HR_Data[[#This Row],[Age]]&lt;=54,"45-54","55+"))))</f>
        <v>35-44</v>
      </c>
      <c r="AM743" s="1" t="str">
        <f>IF(HR_Data[[#This Row],[MonthlyIncome]]&lt;3000,"Low Salary",IF(HR_Data[[#This Row],[MonthlyIncome]]&lt;=7000,"Medium Salary","High Salary"))</f>
        <v>High Salary</v>
      </c>
      <c r="AN743" s="1" t="str">
        <f>IF(HR_Data[[#This Row],[YearsAtCompany]]&lt;2,"0-1 Years",IF(HR_Data[[#This Row],[YearsAtCompany]]&lt;=5,"2-5 Years",IF(HR_Data[[#This Row],[YearsAtCompany]]&lt;=10,"6-10 Years","10+ Years")))</f>
        <v>0-1 Years</v>
      </c>
      <c r="AO743" s="1" t="str">
        <f>IF(HR_Data[[#This Row],[JobSatisfaction]]=1,"Low",IF(HR_Data[[#This Row],[JobSatisfaction]]=2,"Medium",IF(HR_Data[[#This Row],[JobSatisfaction]]=3,"High","Very High")))</f>
        <v>High</v>
      </c>
      <c r="AP743" s="1" t="str">
        <f>IF(HR_Data[[#This Row],[WorkLifeBalance]]=1,"Bad",IF(HR_Data[[#This Row],[WorkLifeBalance]]=2,"Good",IF(HR_Data[[#This Row],[WorkLifeBalance]]=3,"Better","Best")))</f>
        <v>Best</v>
      </c>
    </row>
    <row r="744" spans="1:42" x14ac:dyDescent="0.3">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c r="AJ744">
        <f>IF(HR_Data[[#This Row],[Attrition]]="Yes",1,0)</f>
        <v>0</v>
      </c>
      <c r="AK744">
        <f>IF(HR_Data[[#This Row],[Attrition]]="No",1,0)</f>
        <v>1</v>
      </c>
      <c r="AL744" t="str">
        <f>IF(HR_Data[[#This Row],[Age]]&lt;25,"Under 25",IF(HR_Data[[#This Row],[Age]]&lt;=34,"25-34",IF(HR_Data[[#This Row],[Age]]&lt;=44,"35-44",IF(HR_Data[[#This Row],[Age]]&lt;=54,"45-54","55+"))))</f>
        <v>45-54</v>
      </c>
      <c r="AM744" s="1" t="str">
        <f>IF(HR_Data[[#This Row],[MonthlyIncome]]&lt;3000,"Low Salary",IF(HR_Data[[#This Row],[MonthlyIncome]]&lt;=7000,"Medium Salary","High Salary"))</f>
        <v>Low Salary</v>
      </c>
      <c r="AN744" s="1" t="str">
        <f>IF(HR_Data[[#This Row],[YearsAtCompany]]&lt;2,"0-1 Years",IF(HR_Data[[#This Row],[YearsAtCompany]]&lt;=5,"2-5 Years",IF(HR_Data[[#This Row],[YearsAtCompany]]&lt;=10,"6-10 Years","10+ Years")))</f>
        <v>0-1 Years</v>
      </c>
      <c r="AO744" s="1" t="str">
        <f>IF(HR_Data[[#This Row],[JobSatisfaction]]=1,"Low",IF(HR_Data[[#This Row],[JobSatisfaction]]=2,"Medium",IF(HR_Data[[#This Row],[JobSatisfaction]]=3,"High","Very High")))</f>
        <v>Very High</v>
      </c>
      <c r="AP744" s="1" t="str">
        <f>IF(HR_Data[[#This Row],[WorkLifeBalance]]=1,"Bad",IF(HR_Data[[#This Row],[WorkLifeBalance]]=2,"Good",IF(HR_Data[[#This Row],[WorkLifeBalance]]=3,"Better","Best")))</f>
        <v>Better</v>
      </c>
    </row>
    <row r="745" spans="1:42" x14ac:dyDescent="0.3">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c r="AJ745">
        <f>IF(HR_Data[[#This Row],[Attrition]]="Yes",1,0)</f>
        <v>0</v>
      </c>
      <c r="AK745">
        <f>IF(HR_Data[[#This Row],[Attrition]]="No",1,0)</f>
        <v>1</v>
      </c>
      <c r="AL745" t="str">
        <f>IF(HR_Data[[#This Row],[Age]]&lt;25,"Under 25",IF(HR_Data[[#This Row],[Age]]&lt;=34,"25-34",IF(HR_Data[[#This Row],[Age]]&lt;=44,"35-44",IF(HR_Data[[#This Row],[Age]]&lt;=54,"45-54","55+"))))</f>
        <v>55+</v>
      </c>
      <c r="AM745" s="1" t="str">
        <f>IF(HR_Data[[#This Row],[MonthlyIncome]]&lt;3000,"Low Salary",IF(HR_Data[[#This Row],[MonthlyIncome]]&lt;=7000,"Medium Salary","High Salary"))</f>
        <v>High Salary</v>
      </c>
      <c r="AN745" s="1" t="str">
        <f>IF(HR_Data[[#This Row],[YearsAtCompany]]&lt;2,"0-1 Years",IF(HR_Data[[#This Row],[YearsAtCompany]]&lt;=5,"2-5 Years",IF(HR_Data[[#This Row],[YearsAtCompany]]&lt;=10,"6-10 Years","10+ Years")))</f>
        <v>2-5 Years</v>
      </c>
      <c r="AO745" s="1" t="str">
        <f>IF(HR_Data[[#This Row],[JobSatisfaction]]=1,"Low",IF(HR_Data[[#This Row],[JobSatisfaction]]=2,"Medium",IF(HR_Data[[#This Row],[JobSatisfaction]]=3,"High","Very High")))</f>
        <v>Very High</v>
      </c>
      <c r="AP745" s="1" t="str">
        <f>IF(HR_Data[[#This Row],[WorkLifeBalance]]=1,"Bad",IF(HR_Data[[#This Row],[WorkLifeBalance]]=2,"Good",IF(HR_Data[[#This Row],[WorkLifeBalance]]=3,"Better","Best")))</f>
        <v>Better</v>
      </c>
    </row>
    <row r="746" spans="1:42" x14ac:dyDescent="0.3">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c r="AJ746">
        <f>IF(HR_Data[[#This Row],[Attrition]]="Yes",1,0)</f>
        <v>1</v>
      </c>
      <c r="AK746">
        <f>IF(HR_Data[[#This Row],[Attrition]]="No",1,0)</f>
        <v>0</v>
      </c>
      <c r="AL746" t="str">
        <f>IF(HR_Data[[#This Row],[Age]]&lt;25,"Under 25",IF(HR_Data[[#This Row],[Age]]&lt;=34,"25-34",IF(HR_Data[[#This Row],[Age]]&lt;=44,"35-44",IF(HR_Data[[#This Row],[Age]]&lt;=54,"45-54","55+"))))</f>
        <v>35-44</v>
      </c>
      <c r="AM746" s="1" t="str">
        <f>IF(HR_Data[[#This Row],[MonthlyIncome]]&lt;3000,"Low Salary",IF(HR_Data[[#This Row],[MonthlyIncome]]&lt;=7000,"Medium Salary","High Salary"))</f>
        <v>Medium Salary</v>
      </c>
      <c r="AN746" s="1" t="str">
        <f>IF(HR_Data[[#This Row],[YearsAtCompany]]&lt;2,"0-1 Years",IF(HR_Data[[#This Row],[YearsAtCompany]]&lt;=5,"2-5 Years",IF(HR_Data[[#This Row],[YearsAtCompany]]&lt;=10,"6-10 Years","10+ Years")))</f>
        <v>0-1 Years</v>
      </c>
      <c r="AO746" s="1" t="str">
        <f>IF(HR_Data[[#This Row],[JobSatisfaction]]=1,"Low",IF(HR_Data[[#This Row],[JobSatisfaction]]=2,"Medium",IF(HR_Data[[#This Row],[JobSatisfaction]]=3,"High","Very High")))</f>
        <v>Medium</v>
      </c>
      <c r="AP746" s="1" t="str">
        <f>IF(HR_Data[[#This Row],[WorkLifeBalance]]=1,"Bad",IF(HR_Data[[#This Row],[WorkLifeBalance]]=2,"Good",IF(HR_Data[[#This Row],[WorkLifeBalance]]=3,"Better","Best")))</f>
        <v>Bad</v>
      </c>
    </row>
    <row r="747" spans="1:42" x14ac:dyDescent="0.3">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c r="AJ747">
        <f>IF(HR_Data[[#This Row],[Attrition]]="Yes",1,0)</f>
        <v>0</v>
      </c>
      <c r="AK747">
        <f>IF(HR_Data[[#This Row],[Attrition]]="No",1,0)</f>
        <v>1</v>
      </c>
      <c r="AL747" t="str">
        <f>IF(HR_Data[[#This Row],[Age]]&lt;25,"Under 25",IF(HR_Data[[#This Row],[Age]]&lt;=34,"25-34",IF(HR_Data[[#This Row],[Age]]&lt;=44,"35-44",IF(HR_Data[[#This Row],[Age]]&lt;=54,"45-54","55+"))))</f>
        <v>55+</v>
      </c>
      <c r="AM747" s="1" t="str">
        <f>IF(HR_Data[[#This Row],[MonthlyIncome]]&lt;3000,"Low Salary",IF(HR_Data[[#This Row],[MonthlyIncome]]&lt;=7000,"Medium Salary","High Salary"))</f>
        <v>Medium Salary</v>
      </c>
      <c r="AN747" s="1" t="str">
        <f>IF(HR_Data[[#This Row],[YearsAtCompany]]&lt;2,"0-1 Years",IF(HR_Data[[#This Row],[YearsAtCompany]]&lt;=5,"2-5 Years",IF(HR_Data[[#This Row],[YearsAtCompany]]&lt;=10,"6-10 Years","10+ Years")))</f>
        <v>6-10 Years</v>
      </c>
      <c r="AO747" s="1" t="str">
        <f>IF(HR_Data[[#This Row],[JobSatisfaction]]=1,"Low",IF(HR_Data[[#This Row],[JobSatisfaction]]=2,"Medium",IF(HR_Data[[#This Row],[JobSatisfaction]]=3,"High","Very High")))</f>
        <v>Medium</v>
      </c>
      <c r="AP747" s="1" t="str">
        <f>IF(HR_Data[[#This Row],[WorkLifeBalance]]=1,"Bad",IF(HR_Data[[#This Row],[WorkLifeBalance]]=2,"Good",IF(HR_Data[[#This Row],[WorkLifeBalance]]=3,"Better","Best")))</f>
        <v>Better</v>
      </c>
    </row>
    <row r="748" spans="1:42" x14ac:dyDescent="0.3">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c r="AJ748">
        <f>IF(HR_Data[[#This Row],[Attrition]]="Yes",1,0)</f>
        <v>0</v>
      </c>
      <c r="AK748">
        <f>IF(HR_Data[[#This Row],[Attrition]]="No",1,0)</f>
        <v>1</v>
      </c>
      <c r="AL748" t="str">
        <f>IF(HR_Data[[#This Row],[Age]]&lt;25,"Under 25",IF(HR_Data[[#This Row],[Age]]&lt;=34,"25-34",IF(HR_Data[[#This Row],[Age]]&lt;=44,"35-44",IF(HR_Data[[#This Row],[Age]]&lt;=54,"45-54","55+"))))</f>
        <v>35-44</v>
      </c>
      <c r="AM748" s="1" t="str">
        <f>IF(HR_Data[[#This Row],[MonthlyIncome]]&lt;3000,"Low Salary",IF(HR_Data[[#This Row],[MonthlyIncome]]&lt;=7000,"Medium Salary","High Salary"))</f>
        <v>High Salary</v>
      </c>
      <c r="AN748" s="1" t="str">
        <f>IF(HR_Data[[#This Row],[YearsAtCompany]]&lt;2,"0-1 Years",IF(HR_Data[[#This Row],[YearsAtCompany]]&lt;=5,"2-5 Years",IF(HR_Data[[#This Row],[YearsAtCompany]]&lt;=10,"6-10 Years","10+ Years")))</f>
        <v>10+ Years</v>
      </c>
      <c r="AO748" s="1" t="str">
        <f>IF(HR_Data[[#This Row],[JobSatisfaction]]=1,"Low",IF(HR_Data[[#This Row],[JobSatisfaction]]=2,"Medium",IF(HR_Data[[#This Row],[JobSatisfaction]]=3,"High","Very High")))</f>
        <v>High</v>
      </c>
      <c r="AP748" s="1" t="str">
        <f>IF(HR_Data[[#This Row],[WorkLifeBalance]]=1,"Bad",IF(HR_Data[[#This Row],[WorkLifeBalance]]=2,"Good",IF(HR_Data[[#This Row],[WorkLifeBalance]]=3,"Better","Best")))</f>
        <v>Better</v>
      </c>
    </row>
    <row r="749" spans="1:42" x14ac:dyDescent="0.3">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c r="AJ749">
        <f>IF(HR_Data[[#This Row],[Attrition]]="Yes",1,0)</f>
        <v>0</v>
      </c>
      <c r="AK749">
        <f>IF(HR_Data[[#This Row],[Attrition]]="No",1,0)</f>
        <v>1</v>
      </c>
      <c r="AL749" t="str">
        <f>IF(HR_Data[[#This Row],[Age]]&lt;25,"Under 25",IF(HR_Data[[#This Row],[Age]]&lt;=34,"25-34",IF(HR_Data[[#This Row],[Age]]&lt;=44,"35-44",IF(HR_Data[[#This Row],[Age]]&lt;=54,"45-54","55+"))))</f>
        <v>35-44</v>
      </c>
      <c r="AM749" s="1" t="str">
        <f>IF(HR_Data[[#This Row],[MonthlyIncome]]&lt;3000,"Low Salary",IF(HR_Data[[#This Row],[MonthlyIncome]]&lt;=7000,"Medium Salary","High Salary"))</f>
        <v>Medium Salary</v>
      </c>
      <c r="AN749" s="1" t="str">
        <f>IF(HR_Data[[#This Row],[YearsAtCompany]]&lt;2,"0-1 Years",IF(HR_Data[[#This Row],[YearsAtCompany]]&lt;=5,"2-5 Years",IF(HR_Data[[#This Row],[YearsAtCompany]]&lt;=10,"6-10 Years","10+ Years")))</f>
        <v>0-1 Years</v>
      </c>
      <c r="AO749" s="1" t="str">
        <f>IF(HR_Data[[#This Row],[JobSatisfaction]]=1,"Low",IF(HR_Data[[#This Row],[JobSatisfaction]]=2,"Medium",IF(HR_Data[[#This Row],[JobSatisfaction]]=3,"High","Very High")))</f>
        <v>Very High</v>
      </c>
      <c r="AP749" s="1" t="str">
        <f>IF(HR_Data[[#This Row],[WorkLifeBalance]]=1,"Bad",IF(HR_Data[[#This Row],[WorkLifeBalance]]=2,"Good",IF(HR_Data[[#This Row],[WorkLifeBalance]]=3,"Better","Best")))</f>
        <v>Better</v>
      </c>
    </row>
    <row r="750" spans="1:42" x14ac:dyDescent="0.3">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c r="AJ750">
        <f>IF(HR_Data[[#This Row],[Attrition]]="Yes",1,0)</f>
        <v>1</v>
      </c>
      <c r="AK750">
        <f>IF(HR_Data[[#This Row],[Attrition]]="No",1,0)</f>
        <v>0</v>
      </c>
      <c r="AL750" t="str">
        <f>IF(HR_Data[[#This Row],[Age]]&lt;25,"Under 25",IF(HR_Data[[#This Row],[Age]]&lt;=34,"25-34",IF(HR_Data[[#This Row],[Age]]&lt;=44,"35-44",IF(HR_Data[[#This Row],[Age]]&lt;=54,"45-54","55+"))))</f>
        <v>25-34</v>
      </c>
      <c r="AM750" s="1" t="str">
        <f>IF(HR_Data[[#This Row],[MonthlyIncome]]&lt;3000,"Low Salary",IF(HR_Data[[#This Row],[MonthlyIncome]]&lt;=7000,"Medium Salary","High Salary"))</f>
        <v>Medium Salary</v>
      </c>
      <c r="AN750" s="1" t="str">
        <f>IF(HR_Data[[#This Row],[YearsAtCompany]]&lt;2,"0-1 Years",IF(HR_Data[[#This Row],[YearsAtCompany]]&lt;=5,"2-5 Years",IF(HR_Data[[#This Row],[YearsAtCompany]]&lt;=10,"6-10 Years","10+ Years")))</f>
        <v>2-5 Years</v>
      </c>
      <c r="AO750" s="1" t="str">
        <f>IF(HR_Data[[#This Row],[JobSatisfaction]]=1,"Low",IF(HR_Data[[#This Row],[JobSatisfaction]]=2,"Medium",IF(HR_Data[[#This Row],[JobSatisfaction]]=3,"High","Very High")))</f>
        <v>Low</v>
      </c>
      <c r="AP750" s="1" t="str">
        <f>IF(HR_Data[[#This Row],[WorkLifeBalance]]=1,"Bad",IF(HR_Data[[#This Row],[WorkLifeBalance]]=2,"Good",IF(HR_Data[[#This Row],[WorkLifeBalance]]=3,"Better","Best")))</f>
        <v>Better</v>
      </c>
    </row>
    <row r="751" spans="1:42" x14ac:dyDescent="0.3">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c r="AJ751">
        <f>IF(HR_Data[[#This Row],[Attrition]]="Yes",1,0)</f>
        <v>1</v>
      </c>
      <c r="AK751">
        <f>IF(HR_Data[[#This Row],[Attrition]]="No",1,0)</f>
        <v>0</v>
      </c>
      <c r="AL751" t="str">
        <f>IF(HR_Data[[#This Row],[Age]]&lt;25,"Under 25",IF(HR_Data[[#This Row],[Age]]&lt;=34,"25-34",IF(HR_Data[[#This Row],[Age]]&lt;=44,"35-44",IF(HR_Data[[#This Row],[Age]]&lt;=54,"45-54","55+"))))</f>
        <v>45-54</v>
      </c>
      <c r="AM751" s="1" t="str">
        <f>IF(HR_Data[[#This Row],[MonthlyIncome]]&lt;3000,"Low Salary",IF(HR_Data[[#This Row],[MonthlyIncome]]&lt;=7000,"Medium Salary","High Salary"))</f>
        <v>High Salary</v>
      </c>
      <c r="AN751" s="1" t="str">
        <f>IF(HR_Data[[#This Row],[YearsAtCompany]]&lt;2,"0-1 Years",IF(HR_Data[[#This Row],[YearsAtCompany]]&lt;=5,"2-5 Years",IF(HR_Data[[#This Row],[YearsAtCompany]]&lt;=10,"6-10 Years","10+ Years")))</f>
        <v>10+ Years</v>
      </c>
      <c r="AO751" s="1" t="str">
        <f>IF(HR_Data[[#This Row],[JobSatisfaction]]=1,"Low",IF(HR_Data[[#This Row],[JobSatisfaction]]=2,"Medium",IF(HR_Data[[#This Row],[JobSatisfaction]]=3,"High","Very High")))</f>
        <v>Very High</v>
      </c>
      <c r="AP751" s="1" t="str">
        <f>IF(HR_Data[[#This Row],[WorkLifeBalance]]=1,"Bad",IF(HR_Data[[#This Row],[WorkLifeBalance]]=2,"Good",IF(HR_Data[[#This Row],[WorkLifeBalance]]=3,"Better","Best")))</f>
        <v>Better</v>
      </c>
    </row>
    <row r="752" spans="1:42" x14ac:dyDescent="0.3">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c r="AJ752">
        <f>IF(HR_Data[[#This Row],[Attrition]]="Yes",1,0)</f>
        <v>0</v>
      </c>
      <c r="AK752">
        <f>IF(HR_Data[[#This Row],[Attrition]]="No",1,0)</f>
        <v>1</v>
      </c>
      <c r="AL752" t="str">
        <f>IF(HR_Data[[#This Row],[Age]]&lt;25,"Under 25",IF(HR_Data[[#This Row],[Age]]&lt;=34,"25-34",IF(HR_Data[[#This Row],[Age]]&lt;=44,"35-44",IF(HR_Data[[#This Row],[Age]]&lt;=54,"45-54","55+"))))</f>
        <v>35-44</v>
      </c>
      <c r="AM752" s="1" t="str">
        <f>IF(HR_Data[[#This Row],[MonthlyIncome]]&lt;3000,"Low Salary",IF(HR_Data[[#This Row],[MonthlyIncome]]&lt;=7000,"Medium Salary","High Salary"))</f>
        <v>High Salary</v>
      </c>
      <c r="AN752" s="1" t="str">
        <f>IF(HR_Data[[#This Row],[YearsAtCompany]]&lt;2,"0-1 Years",IF(HR_Data[[#This Row],[YearsAtCompany]]&lt;=5,"2-5 Years",IF(HR_Data[[#This Row],[YearsAtCompany]]&lt;=10,"6-10 Years","10+ Years")))</f>
        <v>10+ Years</v>
      </c>
      <c r="AO752" s="1" t="str">
        <f>IF(HR_Data[[#This Row],[JobSatisfaction]]=1,"Low",IF(HR_Data[[#This Row],[JobSatisfaction]]=2,"Medium",IF(HR_Data[[#This Row],[JobSatisfaction]]=3,"High","Very High")))</f>
        <v>Very High</v>
      </c>
      <c r="AP752" s="1" t="str">
        <f>IF(HR_Data[[#This Row],[WorkLifeBalance]]=1,"Bad",IF(HR_Data[[#This Row],[WorkLifeBalance]]=2,"Good",IF(HR_Data[[#This Row],[WorkLifeBalance]]=3,"Better","Best")))</f>
        <v>Better</v>
      </c>
    </row>
    <row r="753" spans="1:42" x14ac:dyDescent="0.3">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c r="AJ753">
        <f>IF(HR_Data[[#This Row],[Attrition]]="Yes",1,0)</f>
        <v>0</v>
      </c>
      <c r="AK753">
        <f>IF(HR_Data[[#This Row],[Attrition]]="No",1,0)</f>
        <v>1</v>
      </c>
      <c r="AL753" t="str">
        <f>IF(HR_Data[[#This Row],[Age]]&lt;25,"Under 25",IF(HR_Data[[#This Row],[Age]]&lt;=34,"25-34",IF(HR_Data[[#This Row],[Age]]&lt;=44,"35-44",IF(HR_Data[[#This Row],[Age]]&lt;=54,"45-54","55+"))))</f>
        <v>45-54</v>
      </c>
      <c r="AM753" s="1" t="str">
        <f>IF(HR_Data[[#This Row],[MonthlyIncome]]&lt;3000,"Low Salary",IF(HR_Data[[#This Row],[MonthlyIncome]]&lt;=7000,"Medium Salary","High Salary"))</f>
        <v>Medium Salary</v>
      </c>
      <c r="AN753" s="1" t="str">
        <f>IF(HR_Data[[#This Row],[YearsAtCompany]]&lt;2,"0-1 Years",IF(HR_Data[[#This Row],[YearsAtCompany]]&lt;=5,"2-5 Years",IF(HR_Data[[#This Row],[YearsAtCompany]]&lt;=10,"6-10 Years","10+ Years")))</f>
        <v>10+ Years</v>
      </c>
      <c r="AO753" s="1" t="str">
        <f>IF(HR_Data[[#This Row],[JobSatisfaction]]=1,"Low",IF(HR_Data[[#This Row],[JobSatisfaction]]=2,"Medium",IF(HR_Data[[#This Row],[JobSatisfaction]]=3,"High","Very High")))</f>
        <v>High</v>
      </c>
      <c r="AP753" s="1" t="str">
        <f>IF(HR_Data[[#This Row],[WorkLifeBalance]]=1,"Bad",IF(HR_Data[[#This Row],[WorkLifeBalance]]=2,"Good",IF(HR_Data[[#This Row],[WorkLifeBalance]]=3,"Better","Best")))</f>
        <v>Better</v>
      </c>
    </row>
    <row r="754" spans="1:42" x14ac:dyDescent="0.3">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c r="AJ754">
        <f>IF(HR_Data[[#This Row],[Attrition]]="Yes",1,0)</f>
        <v>1</v>
      </c>
      <c r="AK754">
        <f>IF(HR_Data[[#This Row],[Attrition]]="No",1,0)</f>
        <v>0</v>
      </c>
      <c r="AL754" t="str">
        <f>IF(HR_Data[[#This Row],[Age]]&lt;25,"Under 25",IF(HR_Data[[#This Row],[Age]]&lt;=34,"25-34",IF(HR_Data[[#This Row],[Age]]&lt;=44,"35-44",IF(HR_Data[[#This Row],[Age]]&lt;=54,"45-54","55+"))))</f>
        <v>35-44</v>
      </c>
      <c r="AM754" s="1" t="str">
        <f>IF(HR_Data[[#This Row],[MonthlyIncome]]&lt;3000,"Low Salary",IF(HR_Data[[#This Row],[MonthlyIncome]]&lt;=7000,"Medium Salary","High Salary"))</f>
        <v>Low Salary</v>
      </c>
      <c r="AN754" s="1" t="str">
        <f>IF(HR_Data[[#This Row],[YearsAtCompany]]&lt;2,"0-1 Years",IF(HR_Data[[#This Row],[YearsAtCompany]]&lt;=5,"2-5 Years",IF(HR_Data[[#This Row],[YearsAtCompany]]&lt;=10,"6-10 Years","10+ Years")))</f>
        <v>10+ Years</v>
      </c>
      <c r="AO754" s="1" t="str">
        <f>IF(HR_Data[[#This Row],[JobSatisfaction]]=1,"Low",IF(HR_Data[[#This Row],[JobSatisfaction]]=2,"Medium",IF(HR_Data[[#This Row],[JobSatisfaction]]=3,"High","Very High")))</f>
        <v>Low</v>
      </c>
      <c r="AP754" s="1" t="str">
        <f>IF(HR_Data[[#This Row],[WorkLifeBalance]]=1,"Bad",IF(HR_Data[[#This Row],[WorkLifeBalance]]=2,"Good",IF(HR_Data[[#This Row],[WorkLifeBalance]]=3,"Better","Best")))</f>
        <v>Better</v>
      </c>
    </row>
    <row r="755" spans="1:42" x14ac:dyDescent="0.3">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c r="AJ755">
        <f>IF(HR_Data[[#This Row],[Attrition]]="Yes",1,0)</f>
        <v>0</v>
      </c>
      <c r="AK755">
        <f>IF(HR_Data[[#This Row],[Attrition]]="No",1,0)</f>
        <v>1</v>
      </c>
      <c r="AL755" t="str">
        <f>IF(HR_Data[[#This Row],[Age]]&lt;25,"Under 25",IF(HR_Data[[#This Row],[Age]]&lt;=34,"25-34",IF(HR_Data[[#This Row],[Age]]&lt;=44,"35-44",IF(HR_Data[[#This Row],[Age]]&lt;=54,"45-54","55+"))))</f>
        <v>35-44</v>
      </c>
      <c r="AM755" s="1" t="str">
        <f>IF(HR_Data[[#This Row],[MonthlyIncome]]&lt;3000,"Low Salary",IF(HR_Data[[#This Row],[MonthlyIncome]]&lt;=7000,"Medium Salary","High Salary"))</f>
        <v>High Salary</v>
      </c>
      <c r="AN755" s="1" t="str">
        <f>IF(HR_Data[[#This Row],[YearsAtCompany]]&lt;2,"0-1 Years",IF(HR_Data[[#This Row],[YearsAtCompany]]&lt;=5,"2-5 Years",IF(HR_Data[[#This Row],[YearsAtCompany]]&lt;=10,"6-10 Years","10+ Years")))</f>
        <v>10+ Years</v>
      </c>
      <c r="AO755" s="1" t="str">
        <f>IF(HR_Data[[#This Row],[JobSatisfaction]]=1,"Low",IF(HR_Data[[#This Row],[JobSatisfaction]]=2,"Medium",IF(HR_Data[[#This Row],[JobSatisfaction]]=3,"High","Very High")))</f>
        <v>Low</v>
      </c>
      <c r="AP755" s="1" t="str">
        <f>IF(HR_Data[[#This Row],[WorkLifeBalance]]=1,"Bad",IF(HR_Data[[#This Row],[WorkLifeBalance]]=2,"Good",IF(HR_Data[[#This Row],[WorkLifeBalance]]=3,"Better","Best")))</f>
        <v>Better</v>
      </c>
    </row>
    <row r="756" spans="1:42" x14ac:dyDescent="0.3">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c r="AJ756">
        <f>IF(HR_Data[[#This Row],[Attrition]]="Yes",1,0)</f>
        <v>0</v>
      </c>
      <c r="AK756">
        <f>IF(HR_Data[[#This Row],[Attrition]]="No",1,0)</f>
        <v>1</v>
      </c>
      <c r="AL756" t="str">
        <f>IF(HR_Data[[#This Row],[Age]]&lt;25,"Under 25",IF(HR_Data[[#This Row],[Age]]&lt;=34,"25-34",IF(HR_Data[[#This Row],[Age]]&lt;=44,"35-44",IF(HR_Data[[#This Row],[Age]]&lt;=54,"45-54","55+"))))</f>
        <v>25-34</v>
      </c>
      <c r="AM756" s="1" t="str">
        <f>IF(HR_Data[[#This Row],[MonthlyIncome]]&lt;3000,"Low Salary",IF(HR_Data[[#This Row],[MonthlyIncome]]&lt;=7000,"Medium Salary","High Salary"))</f>
        <v>Low Salary</v>
      </c>
      <c r="AN756" s="1" t="str">
        <f>IF(HR_Data[[#This Row],[YearsAtCompany]]&lt;2,"0-1 Years",IF(HR_Data[[#This Row],[YearsAtCompany]]&lt;=5,"2-5 Years",IF(HR_Data[[#This Row],[YearsAtCompany]]&lt;=10,"6-10 Years","10+ Years")))</f>
        <v>2-5 Years</v>
      </c>
      <c r="AO756" s="1" t="str">
        <f>IF(HR_Data[[#This Row],[JobSatisfaction]]=1,"Low",IF(HR_Data[[#This Row],[JobSatisfaction]]=2,"Medium",IF(HR_Data[[#This Row],[JobSatisfaction]]=3,"High","Very High")))</f>
        <v>Very High</v>
      </c>
      <c r="AP756" s="1" t="str">
        <f>IF(HR_Data[[#This Row],[WorkLifeBalance]]=1,"Bad",IF(HR_Data[[#This Row],[WorkLifeBalance]]=2,"Good",IF(HR_Data[[#This Row],[WorkLifeBalance]]=3,"Better","Best")))</f>
        <v>Good</v>
      </c>
    </row>
    <row r="757" spans="1:42" x14ac:dyDescent="0.3">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c r="AJ757">
        <f>IF(HR_Data[[#This Row],[Attrition]]="Yes",1,0)</f>
        <v>0</v>
      </c>
      <c r="AK757">
        <f>IF(HR_Data[[#This Row],[Attrition]]="No",1,0)</f>
        <v>1</v>
      </c>
      <c r="AL757" t="str">
        <f>IF(HR_Data[[#This Row],[Age]]&lt;25,"Under 25",IF(HR_Data[[#This Row],[Age]]&lt;=34,"25-34",IF(HR_Data[[#This Row],[Age]]&lt;=44,"35-44",IF(HR_Data[[#This Row],[Age]]&lt;=54,"45-54","55+"))))</f>
        <v>45-54</v>
      </c>
      <c r="AM757" s="1" t="str">
        <f>IF(HR_Data[[#This Row],[MonthlyIncome]]&lt;3000,"Low Salary",IF(HR_Data[[#This Row],[MonthlyIncome]]&lt;=7000,"Medium Salary","High Salary"))</f>
        <v>High Salary</v>
      </c>
      <c r="AN757" s="1" t="str">
        <f>IF(HR_Data[[#This Row],[YearsAtCompany]]&lt;2,"0-1 Years",IF(HR_Data[[#This Row],[YearsAtCompany]]&lt;=5,"2-5 Years",IF(HR_Data[[#This Row],[YearsAtCompany]]&lt;=10,"6-10 Years","10+ Years")))</f>
        <v>6-10 Years</v>
      </c>
      <c r="AO757" s="1" t="str">
        <f>IF(HR_Data[[#This Row],[JobSatisfaction]]=1,"Low",IF(HR_Data[[#This Row],[JobSatisfaction]]=2,"Medium",IF(HR_Data[[#This Row],[JobSatisfaction]]=3,"High","Very High")))</f>
        <v>Very High</v>
      </c>
      <c r="AP757" s="1" t="str">
        <f>IF(HR_Data[[#This Row],[WorkLifeBalance]]=1,"Bad",IF(HR_Data[[#This Row],[WorkLifeBalance]]=2,"Good",IF(HR_Data[[#This Row],[WorkLifeBalance]]=3,"Better","Best")))</f>
        <v>Best</v>
      </c>
    </row>
    <row r="758" spans="1:42" x14ac:dyDescent="0.3">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c r="AJ758">
        <f>IF(HR_Data[[#This Row],[Attrition]]="Yes",1,0)</f>
        <v>0</v>
      </c>
      <c r="AK758">
        <f>IF(HR_Data[[#This Row],[Attrition]]="No",1,0)</f>
        <v>1</v>
      </c>
      <c r="AL758" t="str">
        <f>IF(HR_Data[[#This Row],[Age]]&lt;25,"Under 25",IF(HR_Data[[#This Row],[Age]]&lt;=34,"25-34",IF(HR_Data[[#This Row],[Age]]&lt;=44,"35-44",IF(HR_Data[[#This Row],[Age]]&lt;=54,"45-54","55+"))))</f>
        <v>25-34</v>
      </c>
      <c r="AM758" s="1" t="str">
        <f>IF(HR_Data[[#This Row],[MonthlyIncome]]&lt;3000,"Low Salary",IF(HR_Data[[#This Row],[MonthlyIncome]]&lt;=7000,"Medium Salary","High Salary"))</f>
        <v>Medium Salary</v>
      </c>
      <c r="AN758" s="1" t="str">
        <f>IF(HR_Data[[#This Row],[YearsAtCompany]]&lt;2,"0-1 Years",IF(HR_Data[[#This Row],[YearsAtCompany]]&lt;=5,"2-5 Years",IF(HR_Data[[#This Row],[YearsAtCompany]]&lt;=10,"6-10 Years","10+ Years")))</f>
        <v>6-10 Years</v>
      </c>
      <c r="AO758" s="1" t="str">
        <f>IF(HR_Data[[#This Row],[JobSatisfaction]]=1,"Low",IF(HR_Data[[#This Row],[JobSatisfaction]]=2,"Medium",IF(HR_Data[[#This Row],[JobSatisfaction]]=3,"High","Very High")))</f>
        <v>High</v>
      </c>
      <c r="AP758" s="1" t="str">
        <f>IF(HR_Data[[#This Row],[WorkLifeBalance]]=1,"Bad",IF(HR_Data[[#This Row],[WorkLifeBalance]]=2,"Good",IF(HR_Data[[#This Row],[WorkLifeBalance]]=3,"Better","Best")))</f>
        <v>Better</v>
      </c>
    </row>
    <row r="759" spans="1:42" x14ac:dyDescent="0.3">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c r="AJ759">
        <f>IF(HR_Data[[#This Row],[Attrition]]="Yes",1,0)</f>
        <v>0</v>
      </c>
      <c r="AK759">
        <f>IF(HR_Data[[#This Row],[Attrition]]="No",1,0)</f>
        <v>1</v>
      </c>
      <c r="AL759" t="str">
        <f>IF(HR_Data[[#This Row],[Age]]&lt;25,"Under 25",IF(HR_Data[[#This Row],[Age]]&lt;=34,"25-34",IF(HR_Data[[#This Row],[Age]]&lt;=44,"35-44",IF(HR_Data[[#This Row],[Age]]&lt;=54,"45-54","55+"))))</f>
        <v>25-34</v>
      </c>
      <c r="AM759" s="1" t="str">
        <f>IF(HR_Data[[#This Row],[MonthlyIncome]]&lt;3000,"Low Salary",IF(HR_Data[[#This Row],[MonthlyIncome]]&lt;=7000,"Medium Salary","High Salary"))</f>
        <v>High Salary</v>
      </c>
      <c r="AN759" s="1" t="str">
        <f>IF(HR_Data[[#This Row],[YearsAtCompany]]&lt;2,"0-1 Years",IF(HR_Data[[#This Row],[YearsAtCompany]]&lt;=5,"2-5 Years",IF(HR_Data[[#This Row],[YearsAtCompany]]&lt;=10,"6-10 Years","10+ Years")))</f>
        <v>10+ Years</v>
      </c>
      <c r="AO759" s="1" t="str">
        <f>IF(HR_Data[[#This Row],[JobSatisfaction]]=1,"Low",IF(HR_Data[[#This Row],[JobSatisfaction]]=2,"Medium",IF(HR_Data[[#This Row],[JobSatisfaction]]=3,"High","Very High")))</f>
        <v>Very High</v>
      </c>
      <c r="AP759" s="1" t="str">
        <f>IF(HR_Data[[#This Row],[WorkLifeBalance]]=1,"Bad",IF(HR_Data[[#This Row],[WorkLifeBalance]]=2,"Good",IF(HR_Data[[#This Row],[WorkLifeBalance]]=3,"Better","Best")))</f>
        <v>Good</v>
      </c>
    </row>
    <row r="760" spans="1:42" x14ac:dyDescent="0.3">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c r="AJ760">
        <f>IF(HR_Data[[#This Row],[Attrition]]="Yes",1,0)</f>
        <v>0</v>
      </c>
      <c r="AK760">
        <f>IF(HR_Data[[#This Row],[Attrition]]="No",1,0)</f>
        <v>1</v>
      </c>
      <c r="AL760" t="str">
        <f>IF(HR_Data[[#This Row],[Age]]&lt;25,"Under 25",IF(HR_Data[[#This Row],[Age]]&lt;=34,"25-34",IF(HR_Data[[#This Row],[Age]]&lt;=44,"35-44",IF(HR_Data[[#This Row],[Age]]&lt;=54,"45-54","55+"))))</f>
        <v>55+</v>
      </c>
      <c r="AM760" s="1" t="str">
        <f>IF(HR_Data[[#This Row],[MonthlyIncome]]&lt;3000,"Low Salary",IF(HR_Data[[#This Row],[MonthlyIncome]]&lt;=7000,"Medium Salary","High Salary"))</f>
        <v>High Salary</v>
      </c>
      <c r="AN760" s="1" t="str">
        <f>IF(HR_Data[[#This Row],[YearsAtCompany]]&lt;2,"0-1 Years",IF(HR_Data[[#This Row],[YearsAtCompany]]&lt;=5,"2-5 Years",IF(HR_Data[[#This Row],[YearsAtCompany]]&lt;=10,"6-10 Years","10+ Years")))</f>
        <v>6-10 Years</v>
      </c>
      <c r="AO760" s="1" t="str">
        <f>IF(HR_Data[[#This Row],[JobSatisfaction]]=1,"Low",IF(HR_Data[[#This Row],[JobSatisfaction]]=2,"Medium",IF(HR_Data[[#This Row],[JobSatisfaction]]=3,"High","Very High")))</f>
        <v>Very High</v>
      </c>
      <c r="AP760" s="1" t="str">
        <f>IF(HR_Data[[#This Row],[WorkLifeBalance]]=1,"Bad",IF(HR_Data[[#This Row],[WorkLifeBalance]]=2,"Good",IF(HR_Data[[#This Row],[WorkLifeBalance]]=3,"Better","Best")))</f>
        <v>Bad</v>
      </c>
    </row>
    <row r="761" spans="1:42" x14ac:dyDescent="0.3">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c r="AJ761">
        <f>IF(HR_Data[[#This Row],[Attrition]]="Yes",1,0)</f>
        <v>0</v>
      </c>
      <c r="AK761">
        <f>IF(HR_Data[[#This Row],[Attrition]]="No",1,0)</f>
        <v>1</v>
      </c>
      <c r="AL761" t="str">
        <f>IF(HR_Data[[#This Row],[Age]]&lt;25,"Under 25",IF(HR_Data[[#This Row],[Age]]&lt;=34,"25-34",IF(HR_Data[[#This Row],[Age]]&lt;=44,"35-44",IF(HR_Data[[#This Row],[Age]]&lt;=54,"45-54","55+"))))</f>
        <v>45-54</v>
      </c>
      <c r="AM761" s="1" t="str">
        <f>IF(HR_Data[[#This Row],[MonthlyIncome]]&lt;3000,"Low Salary",IF(HR_Data[[#This Row],[MonthlyIncome]]&lt;=7000,"Medium Salary","High Salary"))</f>
        <v>Low Salary</v>
      </c>
      <c r="AN761" s="1" t="str">
        <f>IF(HR_Data[[#This Row],[YearsAtCompany]]&lt;2,"0-1 Years",IF(HR_Data[[#This Row],[YearsAtCompany]]&lt;=5,"2-5 Years",IF(HR_Data[[#This Row],[YearsAtCompany]]&lt;=10,"6-10 Years","10+ Years")))</f>
        <v>6-10 Years</v>
      </c>
      <c r="AO761" s="1" t="str">
        <f>IF(HR_Data[[#This Row],[JobSatisfaction]]=1,"Low",IF(HR_Data[[#This Row],[JobSatisfaction]]=2,"Medium",IF(HR_Data[[#This Row],[JobSatisfaction]]=3,"High","Very High")))</f>
        <v>Medium</v>
      </c>
      <c r="AP761" s="1" t="str">
        <f>IF(HR_Data[[#This Row],[WorkLifeBalance]]=1,"Bad",IF(HR_Data[[#This Row],[WorkLifeBalance]]=2,"Good",IF(HR_Data[[#This Row],[WorkLifeBalance]]=3,"Better","Best")))</f>
        <v>Better</v>
      </c>
    </row>
    <row r="762" spans="1:42" x14ac:dyDescent="0.3">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c r="AJ762">
        <f>IF(HR_Data[[#This Row],[Attrition]]="Yes",1,0)</f>
        <v>0</v>
      </c>
      <c r="AK762">
        <f>IF(HR_Data[[#This Row],[Attrition]]="No",1,0)</f>
        <v>1</v>
      </c>
      <c r="AL762" t="str">
        <f>IF(HR_Data[[#This Row],[Age]]&lt;25,"Under 25",IF(HR_Data[[#This Row],[Age]]&lt;=34,"25-34",IF(HR_Data[[#This Row],[Age]]&lt;=44,"35-44",IF(HR_Data[[#This Row],[Age]]&lt;=54,"45-54","55+"))))</f>
        <v>45-54</v>
      </c>
      <c r="AM762" s="1" t="str">
        <f>IF(HR_Data[[#This Row],[MonthlyIncome]]&lt;3000,"Low Salary",IF(HR_Data[[#This Row],[MonthlyIncome]]&lt;=7000,"Medium Salary","High Salary"))</f>
        <v>High Salary</v>
      </c>
      <c r="AN762" s="1" t="str">
        <f>IF(HR_Data[[#This Row],[YearsAtCompany]]&lt;2,"0-1 Years",IF(HR_Data[[#This Row],[YearsAtCompany]]&lt;=5,"2-5 Years",IF(HR_Data[[#This Row],[YearsAtCompany]]&lt;=10,"6-10 Years","10+ Years")))</f>
        <v>10+ Years</v>
      </c>
      <c r="AO762" s="1" t="str">
        <f>IF(HR_Data[[#This Row],[JobSatisfaction]]=1,"Low",IF(HR_Data[[#This Row],[JobSatisfaction]]=2,"Medium",IF(HR_Data[[#This Row],[JobSatisfaction]]=3,"High","Very High")))</f>
        <v>Medium</v>
      </c>
      <c r="AP762" s="1" t="str">
        <f>IF(HR_Data[[#This Row],[WorkLifeBalance]]=1,"Bad",IF(HR_Data[[#This Row],[WorkLifeBalance]]=2,"Good",IF(HR_Data[[#This Row],[WorkLifeBalance]]=3,"Better","Best")))</f>
        <v>Better</v>
      </c>
    </row>
    <row r="763" spans="1:42" x14ac:dyDescent="0.3">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c r="AJ763">
        <f>IF(HR_Data[[#This Row],[Attrition]]="Yes",1,0)</f>
        <v>1</v>
      </c>
      <c r="AK763">
        <f>IF(HR_Data[[#This Row],[Attrition]]="No",1,0)</f>
        <v>0</v>
      </c>
      <c r="AL763" t="str">
        <f>IF(HR_Data[[#This Row],[Age]]&lt;25,"Under 25",IF(HR_Data[[#This Row],[Age]]&lt;=34,"25-34",IF(HR_Data[[#This Row],[Age]]&lt;=44,"35-44",IF(HR_Data[[#This Row],[Age]]&lt;=54,"45-54","55+"))))</f>
        <v>35-44</v>
      </c>
      <c r="AM763" s="1" t="str">
        <f>IF(HR_Data[[#This Row],[MonthlyIncome]]&lt;3000,"Low Salary",IF(HR_Data[[#This Row],[MonthlyIncome]]&lt;=7000,"Medium Salary","High Salary"))</f>
        <v>Medium Salary</v>
      </c>
      <c r="AN763" s="1" t="str">
        <f>IF(HR_Data[[#This Row],[YearsAtCompany]]&lt;2,"0-1 Years",IF(HR_Data[[#This Row],[YearsAtCompany]]&lt;=5,"2-5 Years",IF(HR_Data[[#This Row],[YearsAtCompany]]&lt;=10,"6-10 Years","10+ Years")))</f>
        <v>0-1 Years</v>
      </c>
      <c r="AO763" s="1" t="str">
        <f>IF(HR_Data[[#This Row],[JobSatisfaction]]=1,"Low",IF(HR_Data[[#This Row],[JobSatisfaction]]=2,"Medium",IF(HR_Data[[#This Row],[JobSatisfaction]]=3,"High","Very High")))</f>
        <v>High</v>
      </c>
      <c r="AP763" s="1" t="str">
        <f>IF(HR_Data[[#This Row],[WorkLifeBalance]]=1,"Bad",IF(HR_Data[[#This Row],[WorkLifeBalance]]=2,"Good",IF(HR_Data[[#This Row],[WorkLifeBalance]]=3,"Better","Best")))</f>
        <v>Good</v>
      </c>
    </row>
    <row r="764" spans="1:42" x14ac:dyDescent="0.3">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c r="AJ764">
        <f>IF(HR_Data[[#This Row],[Attrition]]="Yes",1,0)</f>
        <v>1</v>
      </c>
      <c r="AK764">
        <f>IF(HR_Data[[#This Row],[Attrition]]="No",1,0)</f>
        <v>0</v>
      </c>
      <c r="AL764" t="str">
        <f>IF(HR_Data[[#This Row],[Age]]&lt;25,"Under 25",IF(HR_Data[[#This Row],[Age]]&lt;=34,"25-34",IF(HR_Data[[#This Row],[Age]]&lt;=44,"35-44",IF(HR_Data[[#This Row],[Age]]&lt;=54,"45-54","55+"))))</f>
        <v>25-34</v>
      </c>
      <c r="AM764" s="1" t="str">
        <f>IF(HR_Data[[#This Row],[MonthlyIncome]]&lt;3000,"Low Salary",IF(HR_Data[[#This Row],[MonthlyIncome]]&lt;=7000,"Medium Salary","High Salary"))</f>
        <v>Low Salary</v>
      </c>
      <c r="AN764" s="1" t="str">
        <f>IF(HR_Data[[#This Row],[YearsAtCompany]]&lt;2,"0-1 Years",IF(HR_Data[[#This Row],[YearsAtCompany]]&lt;=5,"2-5 Years",IF(HR_Data[[#This Row],[YearsAtCompany]]&lt;=10,"6-10 Years","10+ Years")))</f>
        <v>2-5 Years</v>
      </c>
      <c r="AO764" s="1" t="str">
        <f>IF(HR_Data[[#This Row],[JobSatisfaction]]=1,"Low",IF(HR_Data[[#This Row],[JobSatisfaction]]=2,"Medium",IF(HR_Data[[#This Row],[JobSatisfaction]]=3,"High","Very High")))</f>
        <v>Low</v>
      </c>
      <c r="AP764" s="1" t="str">
        <f>IF(HR_Data[[#This Row],[WorkLifeBalance]]=1,"Bad",IF(HR_Data[[#This Row],[WorkLifeBalance]]=2,"Good",IF(HR_Data[[#This Row],[WorkLifeBalance]]=3,"Better","Best")))</f>
        <v>Better</v>
      </c>
    </row>
    <row r="765" spans="1:42" x14ac:dyDescent="0.3">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c r="AJ765">
        <f>IF(HR_Data[[#This Row],[Attrition]]="Yes",1,0)</f>
        <v>0</v>
      </c>
      <c r="AK765">
        <f>IF(HR_Data[[#This Row],[Attrition]]="No",1,0)</f>
        <v>1</v>
      </c>
      <c r="AL765" t="str">
        <f>IF(HR_Data[[#This Row],[Age]]&lt;25,"Under 25",IF(HR_Data[[#This Row],[Age]]&lt;=34,"25-34",IF(HR_Data[[#This Row],[Age]]&lt;=44,"35-44",IF(HR_Data[[#This Row],[Age]]&lt;=54,"45-54","55+"))))</f>
        <v>25-34</v>
      </c>
      <c r="AM765" s="1" t="str">
        <f>IF(HR_Data[[#This Row],[MonthlyIncome]]&lt;3000,"Low Salary",IF(HR_Data[[#This Row],[MonthlyIncome]]&lt;=7000,"Medium Salary","High Salary"))</f>
        <v>Low Salary</v>
      </c>
      <c r="AN765" s="1" t="str">
        <f>IF(HR_Data[[#This Row],[YearsAtCompany]]&lt;2,"0-1 Years",IF(HR_Data[[#This Row],[YearsAtCompany]]&lt;=5,"2-5 Years",IF(HR_Data[[#This Row],[YearsAtCompany]]&lt;=10,"6-10 Years","10+ Years")))</f>
        <v>0-1 Years</v>
      </c>
      <c r="AO765" s="1" t="str">
        <f>IF(HR_Data[[#This Row],[JobSatisfaction]]=1,"Low",IF(HR_Data[[#This Row],[JobSatisfaction]]=2,"Medium",IF(HR_Data[[#This Row],[JobSatisfaction]]=3,"High","Very High")))</f>
        <v>High</v>
      </c>
      <c r="AP765" s="1" t="str">
        <f>IF(HR_Data[[#This Row],[WorkLifeBalance]]=1,"Bad",IF(HR_Data[[#This Row],[WorkLifeBalance]]=2,"Good",IF(HR_Data[[#This Row],[WorkLifeBalance]]=3,"Better","Best")))</f>
        <v>Better</v>
      </c>
    </row>
    <row r="766" spans="1:42" x14ac:dyDescent="0.3">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c r="AJ766">
        <f>IF(HR_Data[[#This Row],[Attrition]]="Yes",1,0)</f>
        <v>0</v>
      </c>
      <c r="AK766">
        <f>IF(HR_Data[[#This Row],[Attrition]]="No",1,0)</f>
        <v>1</v>
      </c>
      <c r="AL766" t="str">
        <f>IF(HR_Data[[#This Row],[Age]]&lt;25,"Under 25",IF(HR_Data[[#This Row],[Age]]&lt;=34,"25-34",IF(HR_Data[[#This Row],[Age]]&lt;=44,"35-44",IF(HR_Data[[#This Row],[Age]]&lt;=54,"45-54","55+"))))</f>
        <v>25-34</v>
      </c>
      <c r="AM766" s="1" t="str">
        <f>IF(HR_Data[[#This Row],[MonthlyIncome]]&lt;3000,"Low Salary",IF(HR_Data[[#This Row],[MonthlyIncome]]&lt;=7000,"Medium Salary","High Salary"))</f>
        <v>Low Salary</v>
      </c>
      <c r="AN766" s="1" t="str">
        <f>IF(HR_Data[[#This Row],[YearsAtCompany]]&lt;2,"0-1 Years",IF(HR_Data[[#This Row],[YearsAtCompany]]&lt;=5,"2-5 Years",IF(HR_Data[[#This Row],[YearsAtCompany]]&lt;=10,"6-10 Years","10+ Years")))</f>
        <v>0-1 Years</v>
      </c>
      <c r="AO766" s="1" t="str">
        <f>IF(HR_Data[[#This Row],[JobSatisfaction]]=1,"Low",IF(HR_Data[[#This Row],[JobSatisfaction]]=2,"Medium",IF(HR_Data[[#This Row],[JobSatisfaction]]=3,"High","Very High")))</f>
        <v>Medium</v>
      </c>
      <c r="AP766" s="1" t="str">
        <f>IF(HR_Data[[#This Row],[WorkLifeBalance]]=1,"Bad",IF(HR_Data[[#This Row],[WorkLifeBalance]]=2,"Good",IF(HR_Data[[#This Row],[WorkLifeBalance]]=3,"Better","Best")))</f>
        <v>Better</v>
      </c>
    </row>
    <row r="767" spans="1:42" x14ac:dyDescent="0.3">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c r="AJ767">
        <f>IF(HR_Data[[#This Row],[Attrition]]="Yes",1,0)</f>
        <v>0</v>
      </c>
      <c r="AK767">
        <f>IF(HR_Data[[#This Row],[Attrition]]="No",1,0)</f>
        <v>1</v>
      </c>
      <c r="AL767" t="str">
        <f>IF(HR_Data[[#This Row],[Age]]&lt;25,"Under 25",IF(HR_Data[[#This Row],[Age]]&lt;=34,"25-34",IF(HR_Data[[#This Row],[Age]]&lt;=44,"35-44",IF(HR_Data[[#This Row],[Age]]&lt;=54,"45-54","55+"))))</f>
        <v>35-44</v>
      </c>
      <c r="AM767" s="1" t="str">
        <f>IF(HR_Data[[#This Row],[MonthlyIncome]]&lt;3000,"Low Salary",IF(HR_Data[[#This Row],[MonthlyIncome]]&lt;=7000,"Medium Salary","High Salary"))</f>
        <v>Low Salary</v>
      </c>
      <c r="AN767" s="1" t="str">
        <f>IF(HR_Data[[#This Row],[YearsAtCompany]]&lt;2,"0-1 Years",IF(HR_Data[[#This Row],[YearsAtCompany]]&lt;=5,"2-5 Years",IF(HR_Data[[#This Row],[YearsAtCompany]]&lt;=10,"6-10 Years","10+ Years")))</f>
        <v>2-5 Years</v>
      </c>
      <c r="AO767" s="1" t="str">
        <f>IF(HR_Data[[#This Row],[JobSatisfaction]]=1,"Low",IF(HR_Data[[#This Row],[JobSatisfaction]]=2,"Medium",IF(HR_Data[[#This Row],[JobSatisfaction]]=3,"High","Very High")))</f>
        <v>High</v>
      </c>
      <c r="AP767" s="1" t="str">
        <f>IF(HR_Data[[#This Row],[WorkLifeBalance]]=1,"Bad",IF(HR_Data[[#This Row],[WorkLifeBalance]]=2,"Good",IF(HR_Data[[#This Row],[WorkLifeBalance]]=3,"Better","Best")))</f>
        <v>Better</v>
      </c>
    </row>
    <row r="768" spans="1:42" x14ac:dyDescent="0.3">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c r="AJ768">
        <f>IF(HR_Data[[#This Row],[Attrition]]="Yes",1,0)</f>
        <v>0</v>
      </c>
      <c r="AK768">
        <f>IF(HR_Data[[#This Row],[Attrition]]="No",1,0)</f>
        <v>1</v>
      </c>
      <c r="AL768" t="str">
        <f>IF(HR_Data[[#This Row],[Age]]&lt;25,"Under 25",IF(HR_Data[[#This Row],[Age]]&lt;=34,"25-34",IF(HR_Data[[#This Row],[Age]]&lt;=44,"35-44",IF(HR_Data[[#This Row],[Age]]&lt;=54,"45-54","55+"))))</f>
        <v>45-54</v>
      </c>
      <c r="AM768" s="1" t="str">
        <f>IF(HR_Data[[#This Row],[MonthlyIncome]]&lt;3000,"Low Salary",IF(HR_Data[[#This Row],[MonthlyIncome]]&lt;=7000,"Medium Salary","High Salary"))</f>
        <v>High Salary</v>
      </c>
      <c r="AN768" s="1" t="str">
        <f>IF(HR_Data[[#This Row],[YearsAtCompany]]&lt;2,"0-1 Years",IF(HR_Data[[#This Row],[YearsAtCompany]]&lt;=5,"2-5 Years",IF(HR_Data[[#This Row],[YearsAtCompany]]&lt;=10,"6-10 Years","10+ Years")))</f>
        <v>6-10 Years</v>
      </c>
      <c r="AO768" s="1" t="str">
        <f>IF(HR_Data[[#This Row],[JobSatisfaction]]=1,"Low",IF(HR_Data[[#This Row],[JobSatisfaction]]=2,"Medium",IF(HR_Data[[#This Row],[JobSatisfaction]]=3,"High","Very High")))</f>
        <v>High</v>
      </c>
      <c r="AP768" s="1" t="str">
        <f>IF(HR_Data[[#This Row],[WorkLifeBalance]]=1,"Bad",IF(HR_Data[[#This Row],[WorkLifeBalance]]=2,"Good",IF(HR_Data[[#This Row],[WorkLifeBalance]]=3,"Better","Best")))</f>
        <v>Good</v>
      </c>
    </row>
    <row r="769" spans="1:42" x14ac:dyDescent="0.3">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c r="AJ769">
        <f>IF(HR_Data[[#This Row],[Attrition]]="Yes",1,0)</f>
        <v>0</v>
      </c>
      <c r="AK769">
        <f>IF(HR_Data[[#This Row],[Attrition]]="No",1,0)</f>
        <v>1</v>
      </c>
      <c r="AL769" t="str">
        <f>IF(HR_Data[[#This Row],[Age]]&lt;25,"Under 25",IF(HR_Data[[#This Row],[Age]]&lt;=34,"25-34",IF(HR_Data[[#This Row],[Age]]&lt;=44,"35-44",IF(HR_Data[[#This Row],[Age]]&lt;=54,"45-54","55+"))))</f>
        <v>35-44</v>
      </c>
      <c r="AM769" s="1" t="str">
        <f>IF(HR_Data[[#This Row],[MonthlyIncome]]&lt;3000,"Low Salary",IF(HR_Data[[#This Row],[MonthlyIncome]]&lt;=7000,"Medium Salary","High Salary"))</f>
        <v>Medium Salary</v>
      </c>
      <c r="AN769" s="1" t="str">
        <f>IF(HR_Data[[#This Row],[YearsAtCompany]]&lt;2,"0-1 Years",IF(HR_Data[[#This Row],[YearsAtCompany]]&lt;=5,"2-5 Years",IF(HR_Data[[#This Row],[YearsAtCompany]]&lt;=10,"6-10 Years","10+ Years")))</f>
        <v>2-5 Years</v>
      </c>
      <c r="AO769" s="1" t="str">
        <f>IF(HR_Data[[#This Row],[JobSatisfaction]]=1,"Low",IF(HR_Data[[#This Row],[JobSatisfaction]]=2,"Medium",IF(HR_Data[[#This Row],[JobSatisfaction]]=3,"High","Very High")))</f>
        <v>Medium</v>
      </c>
      <c r="AP769" s="1" t="str">
        <f>IF(HR_Data[[#This Row],[WorkLifeBalance]]=1,"Bad",IF(HR_Data[[#This Row],[WorkLifeBalance]]=2,"Good",IF(HR_Data[[#This Row],[WorkLifeBalance]]=3,"Better","Best")))</f>
        <v>Good</v>
      </c>
    </row>
    <row r="770" spans="1:42" x14ac:dyDescent="0.3">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c r="AJ770">
        <f>IF(HR_Data[[#This Row],[Attrition]]="Yes",1,0)</f>
        <v>0</v>
      </c>
      <c r="AK770">
        <f>IF(HR_Data[[#This Row],[Attrition]]="No",1,0)</f>
        <v>1</v>
      </c>
      <c r="AL770" t="str">
        <f>IF(HR_Data[[#This Row],[Age]]&lt;25,"Under 25",IF(HR_Data[[#This Row],[Age]]&lt;=34,"25-34",IF(HR_Data[[#This Row],[Age]]&lt;=44,"35-44",IF(HR_Data[[#This Row],[Age]]&lt;=54,"45-54","55+"))))</f>
        <v>35-44</v>
      </c>
      <c r="AM770" s="1" t="str">
        <f>IF(HR_Data[[#This Row],[MonthlyIncome]]&lt;3000,"Low Salary",IF(HR_Data[[#This Row],[MonthlyIncome]]&lt;=7000,"Medium Salary","High Salary"))</f>
        <v>High Salary</v>
      </c>
      <c r="AN770" s="1" t="str">
        <f>IF(HR_Data[[#This Row],[YearsAtCompany]]&lt;2,"0-1 Years",IF(HR_Data[[#This Row],[YearsAtCompany]]&lt;=5,"2-5 Years",IF(HR_Data[[#This Row],[YearsAtCompany]]&lt;=10,"6-10 Years","10+ Years")))</f>
        <v>6-10 Years</v>
      </c>
      <c r="AO770" s="1" t="str">
        <f>IF(HR_Data[[#This Row],[JobSatisfaction]]=1,"Low",IF(HR_Data[[#This Row],[JobSatisfaction]]=2,"Medium",IF(HR_Data[[#This Row],[JobSatisfaction]]=3,"High","Very High")))</f>
        <v>Low</v>
      </c>
      <c r="AP770" s="1" t="str">
        <f>IF(HR_Data[[#This Row],[WorkLifeBalance]]=1,"Bad",IF(HR_Data[[#This Row],[WorkLifeBalance]]=2,"Good",IF(HR_Data[[#This Row],[WorkLifeBalance]]=3,"Better","Best")))</f>
        <v>Good</v>
      </c>
    </row>
    <row r="771" spans="1:42" x14ac:dyDescent="0.3">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c r="AJ771">
        <f>IF(HR_Data[[#This Row],[Attrition]]="Yes",1,0)</f>
        <v>0</v>
      </c>
      <c r="AK771">
        <f>IF(HR_Data[[#This Row],[Attrition]]="No",1,0)</f>
        <v>1</v>
      </c>
      <c r="AL771" t="str">
        <f>IF(HR_Data[[#This Row],[Age]]&lt;25,"Under 25",IF(HR_Data[[#This Row],[Age]]&lt;=34,"25-34",IF(HR_Data[[#This Row],[Age]]&lt;=44,"35-44",IF(HR_Data[[#This Row],[Age]]&lt;=54,"45-54","55+"))))</f>
        <v>25-34</v>
      </c>
      <c r="AM771" s="1" t="str">
        <f>IF(HR_Data[[#This Row],[MonthlyIncome]]&lt;3000,"Low Salary",IF(HR_Data[[#This Row],[MonthlyIncome]]&lt;=7000,"Medium Salary","High Salary"))</f>
        <v>Low Salary</v>
      </c>
      <c r="AN771" s="1" t="str">
        <f>IF(HR_Data[[#This Row],[YearsAtCompany]]&lt;2,"0-1 Years",IF(HR_Data[[#This Row],[YearsAtCompany]]&lt;=5,"2-5 Years",IF(HR_Data[[#This Row],[YearsAtCompany]]&lt;=10,"6-10 Years","10+ Years")))</f>
        <v>2-5 Years</v>
      </c>
      <c r="AO771" s="1" t="str">
        <f>IF(HR_Data[[#This Row],[JobSatisfaction]]=1,"Low",IF(HR_Data[[#This Row],[JobSatisfaction]]=2,"Medium",IF(HR_Data[[#This Row],[JobSatisfaction]]=3,"High","Very High")))</f>
        <v>High</v>
      </c>
      <c r="AP771" s="1" t="str">
        <f>IF(HR_Data[[#This Row],[WorkLifeBalance]]=1,"Bad",IF(HR_Data[[#This Row],[WorkLifeBalance]]=2,"Good",IF(HR_Data[[#This Row],[WorkLifeBalance]]=3,"Better","Best")))</f>
        <v>Better</v>
      </c>
    </row>
    <row r="772" spans="1:42" x14ac:dyDescent="0.3">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c r="AJ772">
        <f>IF(HR_Data[[#This Row],[Attrition]]="Yes",1,0)</f>
        <v>0</v>
      </c>
      <c r="AK772">
        <f>IF(HR_Data[[#This Row],[Attrition]]="No",1,0)</f>
        <v>1</v>
      </c>
      <c r="AL772" t="str">
        <f>IF(HR_Data[[#This Row],[Age]]&lt;25,"Under 25",IF(HR_Data[[#This Row],[Age]]&lt;=34,"25-34",IF(HR_Data[[#This Row],[Age]]&lt;=44,"35-44",IF(HR_Data[[#This Row],[Age]]&lt;=54,"45-54","55+"))))</f>
        <v>45-54</v>
      </c>
      <c r="AM772" s="1" t="str">
        <f>IF(HR_Data[[#This Row],[MonthlyIncome]]&lt;3000,"Low Salary",IF(HR_Data[[#This Row],[MonthlyIncome]]&lt;=7000,"Medium Salary","High Salary"))</f>
        <v>High Salary</v>
      </c>
      <c r="AN772" s="1" t="str">
        <f>IF(HR_Data[[#This Row],[YearsAtCompany]]&lt;2,"0-1 Years",IF(HR_Data[[#This Row],[YearsAtCompany]]&lt;=5,"2-5 Years",IF(HR_Data[[#This Row],[YearsAtCompany]]&lt;=10,"6-10 Years","10+ Years")))</f>
        <v>2-5 Years</v>
      </c>
      <c r="AO772" s="1" t="str">
        <f>IF(HR_Data[[#This Row],[JobSatisfaction]]=1,"Low",IF(HR_Data[[#This Row],[JobSatisfaction]]=2,"Medium",IF(HR_Data[[#This Row],[JobSatisfaction]]=3,"High","Very High")))</f>
        <v>Very High</v>
      </c>
      <c r="AP772" s="1" t="str">
        <f>IF(HR_Data[[#This Row],[WorkLifeBalance]]=1,"Bad",IF(HR_Data[[#This Row],[WorkLifeBalance]]=2,"Good",IF(HR_Data[[#This Row],[WorkLifeBalance]]=3,"Better","Best")))</f>
        <v>Better</v>
      </c>
    </row>
    <row r="773" spans="1:42" x14ac:dyDescent="0.3">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c r="AJ773">
        <f>IF(HR_Data[[#This Row],[Attrition]]="Yes",1,0)</f>
        <v>0</v>
      </c>
      <c r="AK773">
        <f>IF(HR_Data[[#This Row],[Attrition]]="No",1,0)</f>
        <v>1</v>
      </c>
      <c r="AL773" t="str">
        <f>IF(HR_Data[[#This Row],[Age]]&lt;25,"Under 25",IF(HR_Data[[#This Row],[Age]]&lt;=34,"25-34",IF(HR_Data[[#This Row],[Age]]&lt;=44,"35-44",IF(HR_Data[[#This Row],[Age]]&lt;=54,"45-54","55+"))))</f>
        <v>45-54</v>
      </c>
      <c r="AM773" s="1" t="str">
        <f>IF(HR_Data[[#This Row],[MonthlyIncome]]&lt;3000,"Low Salary",IF(HR_Data[[#This Row],[MonthlyIncome]]&lt;=7000,"Medium Salary","High Salary"))</f>
        <v>High Salary</v>
      </c>
      <c r="AN773" s="1" t="str">
        <f>IF(HR_Data[[#This Row],[YearsAtCompany]]&lt;2,"0-1 Years",IF(HR_Data[[#This Row],[YearsAtCompany]]&lt;=5,"2-5 Years",IF(HR_Data[[#This Row],[YearsAtCompany]]&lt;=10,"6-10 Years","10+ Years")))</f>
        <v>6-10 Years</v>
      </c>
      <c r="AO773" s="1" t="str">
        <f>IF(HR_Data[[#This Row],[JobSatisfaction]]=1,"Low",IF(HR_Data[[#This Row],[JobSatisfaction]]=2,"Medium",IF(HR_Data[[#This Row],[JobSatisfaction]]=3,"High","Very High")))</f>
        <v>High</v>
      </c>
      <c r="AP773" s="1" t="str">
        <f>IF(HR_Data[[#This Row],[WorkLifeBalance]]=1,"Bad",IF(HR_Data[[#This Row],[WorkLifeBalance]]=2,"Good",IF(HR_Data[[#This Row],[WorkLifeBalance]]=3,"Better","Best")))</f>
        <v>Better</v>
      </c>
    </row>
    <row r="774" spans="1:42" x14ac:dyDescent="0.3">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c r="AJ774">
        <f>IF(HR_Data[[#This Row],[Attrition]]="Yes",1,0)</f>
        <v>0</v>
      </c>
      <c r="AK774">
        <f>IF(HR_Data[[#This Row],[Attrition]]="No",1,0)</f>
        <v>1</v>
      </c>
      <c r="AL774" t="str">
        <f>IF(HR_Data[[#This Row],[Age]]&lt;25,"Under 25",IF(HR_Data[[#This Row],[Age]]&lt;=34,"25-34",IF(HR_Data[[#This Row],[Age]]&lt;=44,"35-44",IF(HR_Data[[#This Row],[Age]]&lt;=54,"45-54","55+"))))</f>
        <v>55+</v>
      </c>
      <c r="AM774" s="1" t="str">
        <f>IF(HR_Data[[#This Row],[MonthlyIncome]]&lt;3000,"Low Salary",IF(HR_Data[[#This Row],[MonthlyIncome]]&lt;=7000,"Medium Salary","High Salary"))</f>
        <v>Low Salary</v>
      </c>
      <c r="AN774" s="1" t="str">
        <f>IF(HR_Data[[#This Row],[YearsAtCompany]]&lt;2,"0-1 Years",IF(HR_Data[[#This Row],[YearsAtCompany]]&lt;=5,"2-5 Years",IF(HR_Data[[#This Row],[YearsAtCompany]]&lt;=10,"6-10 Years","10+ Years")))</f>
        <v>2-5 Years</v>
      </c>
      <c r="AO774" s="1" t="str">
        <f>IF(HR_Data[[#This Row],[JobSatisfaction]]=1,"Low",IF(HR_Data[[#This Row],[JobSatisfaction]]=2,"Medium",IF(HR_Data[[#This Row],[JobSatisfaction]]=3,"High","Very High")))</f>
        <v>High</v>
      </c>
      <c r="AP774" s="1" t="str">
        <f>IF(HR_Data[[#This Row],[WorkLifeBalance]]=1,"Bad",IF(HR_Data[[#This Row],[WorkLifeBalance]]=2,"Good",IF(HR_Data[[#This Row],[WorkLifeBalance]]=3,"Better","Best")))</f>
        <v>Better</v>
      </c>
    </row>
    <row r="775" spans="1:42" x14ac:dyDescent="0.3">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c r="AJ775">
        <f>IF(HR_Data[[#This Row],[Attrition]]="Yes",1,0)</f>
        <v>0</v>
      </c>
      <c r="AK775">
        <f>IF(HR_Data[[#This Row],[Attrition]]="No",1,0)</f>
        <v>1</v>
      </c>
      <c r="AL775" t="str">
        <f>IF(HR_Data[[#This Row],[Age]]&lt;25,"Under 25",IF(HR_Data[[#This Row],[Age]]&lt;=34,"25-34",IF(HR_Data[[#This Row],[Age]]&lt;=44,"35-44",IF(HR_Data[[#This Row],[Age]]&lt;=54,"45-54","55+"))))</f>
        <v>35-44</v>
      </c>
      <c r="AM775" s="1" t="str">
        <f>IF(HR_Data[[#This Row],[MonthlyIncome]]&lt;3000,"Low Salary",IF(HR_Data[[#This Row],[MonthlyIncome]]&lt;=7000,"Medium Salary","High Salary"))</f>
        <v>High Salary</v>
      </c>
      <c r="AN775" s="1" t="str">
        <f>IF(HR_Data[[#This Row],[YearsAtCompany]]&lt;2,"0-1 Years",IF(HR_Data[[#This Row],[YearsAtCompany]]&lt;=5,"2-5 Years",IF(HR_Data[[#This Row],[YearsAtCompany]]&lt;=10,"6-10 Years","10+ Years")))</f>
        <v>10+ Years</v>
      </c>
      <c r="AO775" s="1" t="str">
        <f>IF(HR_Data[[#This Row],[JobSatisfaction]]=1,"Low",IF(HR_Data[[#This Row],[JobSatisfaction]]=2,"Medium",IF(HR_Data[[#This Row],[JobSatisfaction]]=3,"High","Very High")))</f>
        <v>Very High</v>
      </c>
      <c r="AP775" s="1" t="str">
        <f>IF(HR_Data[[#This Row],[WorkLifeBalance]]=1,"Bad",IF(HR_Data[[#This Row],[WorkLifeBalance]]=2,"Good",IF(HR_Data[[#This Row],[WorkLifeBalance]]=3,"Better","Best")))</f>
        <v>Good</v>
      </c>
    </row>
    <row r="776" spans="1:42" x14ac:dyDescent="0.3">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c r="AJ776">
        <f>IF(HR_Data[[#This Row],[Attrition]]="Yes",1,0)</f>
        <v>0</v>
      </c>
      <c r="AK776">
        <f>IF(HR_Data[[#This Row],[Attrition]]="No",1,0)</f>
        <v>1</v>
      </c>
      <c r="AL776" t="str">
        <f>IF(HR_Data[[#This Row],[Age]]&lt;25,"Under 25",IF(HR_Data[[#This Row],[Age]]&lt;=34,"25-34",IF(HR_Data[[#This Row],[Age]]&lt;=44,"35-44",IF(HR_Data[[#This Row],[Age]]&lt;=54,"45-54","55+"))))</f>
        <v>55+</v>
      </c>
      <c r="AM776" s="1" t="str">
        <f>IF(HR_Data[[#This Row],[MonthlyIncome]]&lt;3000,"Low Salary",IF(HR_Data[[#This Row],[MonthlyIncome]]&lt;=7000,"Medium Salary","High Salary"))</f>
        <v>High Salary</v>
      </c>
      <c r="AN776" s="1" t="str">
        <f>IF(HR_Data[[#This Row],[YearsAtCompany]]&lt;2,"0-1 Years",IF(HR_Data[[#This Row],[YearsAtCompany]]&lt;=5,"2-5 Years",IF(HR_Data[[#This Row],[YearsAtCompany]]&lt;=10,"6-10 Years","10+ Years")))</f>
        <v>6-10 Years</v>
      </c>
      <c r="AO776" s="1" t="str">
        <f>IF(HR_Data[[#This Row],[JobSatisfaction]]=1,"Low",IF(HR_Data[[#This Row],[JobSatisfaction]]=2,"Medium",IF(HR_Data[[#This Row],[JobSatisfaction]]=3,"High","Very High")))</f>
        <v>Low</v>
      </c>
      <c r="AP776" s="1" t="str">
        <f>IF(HR_Data[[#This Row],[WorkLifeBalance]]=1,"Bad",IF(HR_Data[[#This Row],[WorkLifeBalance]]=2,"Good",IF(HR_Data[[#This Row],[WorkLifeBalance]]=3,"Better","Best")))</f>
        <v>Best</v>
      </c>
    </row>
    <row r="777" spans="1:42" x14ac:dyDescent="0.3">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c r="AJ777">
        <f>IF(HR_Data[[#This Row],[Attrition]]="Yes",1,0)</f>
        <v>0</v>
      </c>
      <c r="AK777">
        <f>IF(HR_Data[[#This Row],[Attrition]]="No",1,0)</f>
        <v>1</v>
      </c>
      <c r="AL777" t="str">
        <f>IF(HR_Data[[#This Row],[Age]]&lt;25,"Under 25",IF(HR_Data[[#This Row],[Age]]&lt;=34,"25-34",IF(HR_Data[[#This Row],[Age]]&lt;=44,"35-44",IF(HR_Data[[#This Row],[Age]]&lt;=54,"45-54","55+"))))</f>
        <v>35-44</v>
      </c>
      <c r="AM777" s="1" t="str">
        <f>IF(HR_Data[[#This Row],[MonthlyIncome]]&lt;3000,"Low Salary",IF(HR_Data[[#This Row],[MonthlyIncome]]&lt;=7000,"Medium Salary","High Salary"))</f>
        <v>High Salary</v>
      </c>
      <c r="AN777" s="1" t="str">
        <f>IF(HR_Data[[#This Row],[YearsAtCompany]]&lt;2,"0-1 Years",IF(HR_Data[[#This Row],[YearsAtCompany]]&lt;=5,"2-5 Years",IF(HR_Data[[#This Row],[YearsAtCompany]]&lt;=10,"6-10 Years","10+ Years")))</f>
        <v>0-1 Years</v>
      </c>
      <c r="AO777" s="1" t="str">
        <f>IF(HR_Data[[#This Row],[JobSatisfaction]]=1,"Low",IF(HR_Data[[#This Row],[JobSatisfaction]]=2,"Medium",IF(HR_Data[[#This Row],[JobSatisfaction]]=3,"High","Very High")))</f>
        <v>Very High</v>
      </c>
      <c r="AP777" s="1" t="str">
        <f>IF(HR_Data[[#This Row],[WorkLifeBalance]]=1,"Bad",IF(HR_Data[[#This Row],[WorkLifeBalance]]=2,"Good",IF(HR_Data[[#This Row],[WorkLifeBalance]]=3,"Better","Best")))</f>
        <v>Better</v>
      </c>
    </row>
    <row r="778" spans="1:42" x14ac:dyDescent="0.3">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c r="AJ778">
        <f>IF(HR_Data[[#This Row],[Attrition]]="Yes",1,0)</f>
        <v>1</v>
      </c>
      <c r="AK778">
        <f>IF(HR_Data[[#This Row],[Attrition]]="No",1,0)</f>
        <v>0</v>
      </c>
      <c r="AL778" t="str">
        <f>IF(HR_Data[[#This Row],[Age]]&lt;25,"Under 25",IF(HR_Data[[#This Row],[Age]]&lt;=34,"25-34",IF(HR_Data[[#This Row],[Age]]&lt;=44,"35-44",IF(HR_Data[[#This Row],[Age]]&lt;=54,"45-54","55+"))))</f>
        <v>Under 25</v>
      </c>
      <c r="AM778" s="1" t="str">
        <f>IF(HR_Data[[#This Row],[MonthlyIncome]]&lt;3000,"Low Salary",IF(HR_Data[[#This Row],[MonthlyIncome]]&lt;=7000,"Medium Salary","High Salary"))</f>
        <v>Low Salary</v>
      </c>
      <c r="AN778" s="1" t="str">
        <f>IF(HR_Data[[#This Row],[YearsAtCompany]]&lt;2,"0-1 Years",IF(HR_Data[[#This Row],[YearsAtCompany]]&lt;=5,"2-5 Years",IF(HR_Data[[#This Row],[YearsAtCompany]]&lt;=10,"6-10 Years","10+ Years")))</f>
        <v>2-5 Years</v>
      </c>
      <c r="AO778" s="1" t="str">
        <f>IF(HR_Data[[#This Row],[JobSatisfaction]]=1,"Low",IF(HR_Data[[#This Row],[JobSatisfaction]]=2,"Medium",IF(HR_Data[[#This Row],[JobSatisfaction]]=3,"High","Very High")))</f>
        <v>Very High</v>
      </c>
      <c r="AP778" s="1" t="str">
        <f>IF(HR_Data[[#This Row],[WorkLifeBalance]]=1,"Bad",IF(HR_Data[[#This Row],[WorkLifeBalance]]=2,"Good",IF(HR_Data[[#This Row],[WorkLifeBalance]]=3,"Better","Best")))</f>
        <v>Better</v>
      </c>
    </row>
    <row r="779" spans="1:42" x14ac:dyDescent="0.3">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c r="AJ779">
        <f>IF(HR_Data[[#This Row],[Attrition]]="Yes",1,0)</f>
        <v>1</v>
      </c>
      <c r="AK779">
        <f>IF(HR_Data[[#This Row],[Attrition]]="No",1,0)</f>
        <v>0</v>
      </c>
      <c r="AL779" t="str">
        <f>IF(HR_Data[[#This Row],[Age]]&lt;25,"Under 25",IF(HR_Data[[#This Row],[Age]]&lt;=34,"25-34",IF(HR_Data[[#This Row],[Age]]&lt;=44,"35-44",IF(HR_Data[[#This Row],[Age]]&lt;=54,"45-54","55+"))))</f>
        <v>Under 25</v>
      </c>
      <c r="AM779" s="1" t="str">
        <f>IF(HR_Data[[#This Row],[MonthlyIncome]]&lt;3000,"Low Salary",IF(HR_Data[[#This Row],[MonthlyIncome]]&lt;=7000,"Medium Salary","High Salary"))</f>
        <v>Low Salary</v>
      </c>
      <c r="AN779" s="1" t="str">
        <f>IF(HR_Data[[#This Row],[YearsAtCompany]]&lt;2,"0-1 Years",IF(HR_Data[[#This Row],[YearsAtCompany]]&lt;=5,"2-5 Years",IF(HR_Data[[#This Row],[YearsAtCompany]]&lt;=10,"6-10 Years","10+ Years")))</f>
        <v>0-1 Years</v>
      </c>
      <c r="AO779" s="1" t="str">
        <f>IF(HR_Data[[#This Row],[JobSatisfaction]]=1,"Low",IF(HR_Data[[#This Row],[JobSatisfaction]]=2,"Medium",IF(HR_Data[[#This Row],[JobSatisfaction]]=3,"High","Very High")))</f>
        <v>Low</v>
      </c>
      <c r="AP779" s="1" t="str">
        <f>IF(HR_Data[[#This Row],[WorkLifeBalance]]=1,"Bad",IF(HR_Data[[#This Row],[WorkLifeBalance]]=2,"Good",IF(HR_Data[[#This Row],[WorkLifeBalance]]=3,"Better","Best")))</f>
        <v>Good</v>
      </c>
    </row>
    <row r="780" spans="1:42" x14ac:dyDescent="0.3">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c r="AJ780">
        <f>IF(HR_Data[[#This Row],[Attrition]]="Yes",1,0)</f>
        <v>0</v>
      </c>
      <c r="AK780">
        <f>IF(HR_Data[[#This Row],[Attrition]]="No",1,0)</f>
        <v>1</v>
      </c>
      <c r="AL780" t="str">
        <f>IF(HR_Data[[#This Row],[Age]]&lt;25,"Under 25",IF(HR_Data[[#This Row],[Age]]&lt;=34,"25-34",IF(HR_Data[[#This Row],[Age]]&lt;=44,"35-44",IF(HR_Data[[#This Row],[Age]]&lt;=54,"45-54","55+"))))</f>
        <v>45-54</v>
      </c>
      <c r="AM780" s="1" t="str">
        <f>IF(HR_Data[[#This Row],[MonthlyIncome]]&lt;3000,"Low Salary",IF(HR_Data[[#This Row],[MonthlyIncome]]&lt;=7000,"Medium Salary","High Salary"))</f>
        <v>Medium Salary</v>
      </c>
      <c r="AN780" s="1" t="str">
        <f>IF(HR_Data[[#This Row],[YearsAtCompany]]&lt;2,"0-1 Years",IF(HR_Data[[#This Row],[YearsAtCompany]]&lt;=5,"2-5 Years",IF(HR_Data[[#This Row],[YearsAtCompany]]&lt;=10,"6-10 Years","10+ Years")))</f>
        <v>10+ Years</v>
      </c>
      <c r="AO780" s="1" t="str">
        <f>IF(HR_Data[[#This Row],[JobSatisfaction]]=1,"Low",IF(HR_Data[[#This Row],[JobSatisfaction]]=2,"Medium",IF(HR_Data[[#This Row],[JobSatisfaction]]=3,"High","Very High")))</f>
        <v>Low</v>
      </c>
      <c r="AP780" s="1" t="str">
        <f>IF(HR_Data[[#This Row],[WorkLifeBalance]]=1,"Bad",IF(HR_Data[[#This Row],[WorkLifeBalance]]=2,"Good",IF(HR_Data[[#This Row],[WorkLifeBalance]]=3,"Better","Best")))</f>
        <v>Better</v>
      </c>
    </row>
    <row r="781" spans="1:42" x14ac:dyDescent="0.3">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c r="AJ781">
        <f>IF(HR_Data[[#This Row],[Attrition]]="Yes",1,0)</f>
        <v>1</v>
      </c>
      <c r="AK781">
        <f>IF(HR_Data[[#This Row],[Attrition]]="No",1,0)</f>
        <v>0</v>
      </c>
      <c r="AL781" t="str">
        <f>IF(HR_Data[[#This Row],[Age]]&lt;25,"Under 25",IF(HR_Data[[#This Row],[Age]]&lt;=34,"25-34",IF(HR_Data[[#This Row],[Age]]&lt;=44,"35-44",IF(HR_Data[[#This Row],[Age]]&lt;=54,"45-54","55+"))))</f>
        <v>45-54</v>
      </c>
      <c r="AM781" s="1" t="str">
        <f>IF(HR_Data[[#This Row],[MonthlyIncome]]&lt;3000,"Low Salary",IF(HR_Data[[#This Row],[MonthlyIncome]]&lt;=7000,"Medium Salary","High Salary"))</f>
        <v>Low Salary</v>
      </c>
      <c r="AN781" s="1" t="str">
        <f>IF(HR_Data[[#This Row],[YearsAtCompany]]&lt;2,"0-1 Years",IF(HR_Data[[#This Row],[YearsAtCompany]]&lt;=5,"2-5 Years",IF(HR_Data[[#This Row],[YearsAtCompany]]&lt;=10,"6-10 Years","10+ Years")))</f>
        <v>6-10 Years</v>
      </c>
      <c r="AO781" s="1" t="str">
        <f>IF(HR_Data[[#This Row],[JobSatisfaction]]=1,"Low",IF(HR_Data[[#This Row],[JobSatisfaction]]=2,"Medium",IF(HR_Data[[#This Row],[JobSatisfaction]]=3,"High","Very High")))</f>
        <v>High</v>
      </c>
      <c r="AP781" s="1" t="str">
        <f>IF(HR_Data[[#This Row],[WorkLifeBalance]]=1,"Bad",IF(HR_Data[[#This Row],[WorkLifeBalance]]=2,"Good",IF(HR_Data[[#This Row],[WorkLifeBalance]]=3,"Better","Best")))</f>
        <v>Best</v>
      </c>
    </row>
    <row r="782" spans="1:42" x14ac:dyDescent="0.3">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c r="AJ782">
        <f>IF(HR_Data[[#This Row],[Attrition]]="Yes",1,0)</f>
        <v>1</v>
      </c>
      <c r="AK782">
        <f>IF(HR_Data[[#This Row],[Attrition]]="No",1,0)</f>
        <v>0</v>
      </c>
      <c r="AL782" t="str">
        <f>IF(HR_Data[[#This Row],[Age]]&lt;25,"Under 25",IF(HR_Data[[#This Row],[Age]]&lt;=34,"25-34",IF(HR_Data[[#This Row],[Age]]&lt;=44,"35-44",IF(HR_Data[[#This Row],[Age]]&lt;=54,"45-54","55+"))))</f>
        <v>25-34</v>
      </c>
      <c r="AM782" s="1" t="str">
        <f>IF(HR_Data[[#This Row],[MonthlyIncome]]&lt;3000,"Low Salary",IF(HR_Data[[#This Row],[MonthlyIncome]]&lt;=7000,"Medium Salary","High Salary"))</f>
        <v>High Salary</v>
      </c>
      <c r="AN782" s="1" t="str">
        <f>IF(HR_Data[[#This Row],[YearsAtCompany]]&lt;2,"0-1 Years",IF(HR_Data[[#This Row],[YearsAtCompany]]&lt;=5,"2-5 Years",IF(HR_Data[[#This Row],[YearsAtCompany]]&lt;=10,"6-10 Years","10+ Years")))</f>
        <v>6-10 Years</v>
      </c>
      <c r="AO782" s="1" t="str">
        <f>IF(HR_Data[[#This Row],[JobSatisfaction]]=1,"Low",IF(HR_Data[[#This Row],[JobSatisfaction]]=2,"Medium",IF(HR_Data[[#This Row],[JobSatisfaction]]=3,"High","Very High")))</f>
        <v>Low</v>
      </c>
      <c r="AP782" s="1" t="str">
        <f>IF(HR_Data[[#This Row],[WorkLifeBalance]]=1,"Bad",IF(HR_Data[[#This Row],[WorkLifeBalance]]=2,"Good",IF(HR_Data[[#This Row],[WorkLifeBalance]]=3,"Better","Best")))</f>
        <v>Good</v>
      </c>
    </row>
    <row r="783" spans="1:42" x14ac:dyDescent="0.3">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c r="AJ783">
        <f>IF(HR_Data[[#This Row],[Attrition]]="Yes",1,0)</f>
        <v>0</v>
      </c>
      <c r="AK783">
        <f>IF(HR_Data[[#This Row],[Attrition]]="No",1,0)</f>
        <v>1</v>
      </c>
      <c r="AL783" t="str">
        <f>IF(HR_Data[[#This Row],[Age]]&lt;25,"Under 25",IF(HR_Data[[#This Row],[Age]]&lt;=34,"25-34",IF(HR_Data[[#This Row],[Age]]&lt;=44,"35-44",IF(HR_Data[[#This Row],[Age]]&lt;=54,"45-54","55+"))))</f>
        <v>25-34</v>
      </c>
      <c r="AM783" s="1" t="str">
        <f>IF(HR_Data[[#This Row],[MonthlyIncome]]&lt;3000,"Low Salary",IF(HR_Data[[#This Row],[MonthlyIncome]]&lt;=7000,"Medium Salary","High Salary"))</f>
        <v>Medium Salary</v>
      </c>
      <c r="AN783" s="1" t="str">
        <f>IF(HR_Data[[#This Row],[YearsAtCompany]]&lt;2,"0-1 Years",IF(HR_Data[[#This Row],[YearsAtCompany]]&lt;=5,"2-5 Years",IF(HR_Data[[#This Row],[YearsAtCompany]]&lt;=10,"6-10 Years","10+ Years")))</f>
        <v>2-5 Years</v>
      </c>
      <c r="AO783" s="1" t="str">
        <f>IF(HR_Data[[#This Row],[JobSatisfaction]]=1,"Low",IF(HR_Data[[#This Row],[JobSatisfaction]]=2,"Medium",IF(HR_Data[[#This Row],[JobSatisfaction]]=3,"High","Very High")))</f>
        <v>Low</v>
      </c>
      <c r="AP783" s="1" t="str">
        <f>IF(HR_Data[[#This Row],[WorkLifeBalance]]=1,"Bad",IF(HR_Data[[#This Row],[WorkLifeBalance]]=2,"Good",IF(HR_Data[[#This Row],[WorkLifeBalance]]=3,"Better","Best")))</f>
        <v>Better</v>
      </c>
    </row>
    <row r="784" spans="1:42" x14ac:dyDescent="0.3">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c r="AJ784">
        <f>IF(HR_Data[[#This Row],[Attrition]]="Yes",1,0)</f>
        <v>0</v>
      </c>
      <c r="AK784">
        <f>IF(HR_Data[[#This Row],[Attrition]]="No",1,0)</f>
        <v>1</v>
      </c>
      <c r="AL784" t="str">
        <f>IF(HR_Data[[#This Row],[Age]]&lt;25,"Under 25",IF(HR_Data[[#This Row],[Age]]&lt;=34,"25-34",IF(HR_Data[[#This Row],[Age]]&lt;=44,"35-44",IF(HR_Data[[#This Row],[Age]]&lt;=54,"45-54","55+"))))</f>
        <v>25-34</v>
      </c>
      <c r="AM784" s="1" t="str">
        <f>IF(HR_Data[[#This Row],[MonthlyIncome]]&lt;3000,"Low Salary",IF(HR_Data[[#This Row],[MonthlyIncome]]&lt;=7000,"Medium Salary","High Salary"))</f>
        <v>High Salary</v>
      </c>
      <c r="AN784" s="1" t="str">
        <f>IF(HR_Data[[#This Row],[YearsAtCompany]]&lt;2,"0-1 Years",IF(HR_Data[[#This Row],[YearsAtCompany]]&lt;=5,"2-5 Years",IF(HR_Data[[#This Row],[YearsAtCompany]]&lt;=10,"6-10 Years","10+ Years")))</f>
        <v>6-10 Years</v>
      </c>
      <c r="AO784" s="1" t="str">
        <f>IF(HR_Data[[#This Row],[JobSatisfaction]]=1,"Low",IF(HR_Data[[#This Row],[JobSatisfaction]]=2,"Medium",IF(HR_Data[[#This Row],[JobSatisfaction]]=3,"High","Very High")))</f>
        <v>Low</v>
      </c>
      <c r="AP784" s="1" t="str">
        <f>IF(HR_Data[[#This Row],[WorkLifeBalance]]=1,"Bad",IF(HR_Data[[#This Row],[WorkLifeBalance]]=2,"Good",IF(HR_Data[[#This Row],[WorkLifeBalance]]=3,"Better","Best")))</f>
        <v>Good</v>
      </c>
    </row>
    <row r="785" spans="1:42" x14ac:dyDescent="0.3">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c r="AJ785">
        <f>IF(HR_Data[[#This Row],[Attrition]]="Yes",1,0)</f>
        <v>0</v>
      </c>
      <c r="AK785">
        <f>IF(HR_Data[[#This Row],[Attrition]]="No",1,0)</f>
        <v>1</v>
      </c>
      <c r="AL785" t="str">
        <f>IF(HR_Data[[#This Row],[Age]]&lt;25,"Under 25",IF(HR_Data[[#This Row],[Age]]&lt;=34,"25-34",IF(HR_Data[[#This Row],[Age]]&lt;=44,"35-44",IF(HR_Data[[#This Row],[Age]]&lt;=54,"45-54","55+"))))</f>
        <v>35-44</v>
      </c>
      <c r="AM785" s="1" t="str">
        <f>IF(HR_Data[[#This Row],[MonthlyIncome]]&lt;3000,"Low Salary",IF(HR_Data[[#This Row],[MonthlyIncome]]&lt;=7000,"Medium Salary","High Salary"))</f>
        <v>Medium Salary</v>
      </c>
      <c r="AN785" s="1" t="str">
        <f>IF(HR_Data[[#This Row],[YearsAtCompany]]&lt;2,"0-1 Years",IF(HR_Data[[#This Row],[YearsAtCompany]]&lt;=5,"2-5 Years",IF(HR_Data[[#This Row],[YearsAtCompany]]&lt;=10,"6-10 Years","10+ Years")))</f>
        <v>6-10 Years</v>
      </c>
      <c r="AO785" s="1" t="str">
        <f>IF(HR_Data[[#This Row],[JobSatisfaction]]=1,"Low",IF(HR_Data[[#This Row],[JobSatisfaction]]=2,"Medium",IF(HR_Data[[#This Row],[JobSatisfaction]]=3,"High","Very High")))</f>
        <v>High</v>
      </c>
      <c r="AP785" s="1" t="str">
        <f>IF(HR_Data[[#This Row],[WorkLifeBalance]]=1,"Bad",IF(HR_Data[[#This Row],[WorkLifeBalance]]=2,"Good",IF(HR_Data[[#This Row],[WorkLifeBalance]]=3,"Better","Best")))</f>
        <v>Better</v>
      </c>
    </row>
    <row r="786" spans="1:42" x14ac:dyDescent="0.3">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c r="AJ786">
        <f>IF(HR_Data[[#This Row],[Attrition]]="Yes",1,0)</f>
        <v>0</v>
      </c>
      <c r="AK786">
        <f>IF(HR_Data[[#This Row],[Attrition]]="No",1,0)</f>
        <v>1</v>
      </c>
      <c r="AL786" t="str">
        <f>IF(HR_Data[[#This Row],[Age]]&lt;25,"Under 25",IF(HR_Data[[#This Row],[Age]]&lt;=34,"25-34",IF(HR_Data[[#This Row],[Age]]&lt;=44,"35-44",IF(HR_Data[[#This Row],[Age]]&lt;=54,"45-54","55+"))))</f>
        <v>35-44</v>
      </c>
      <c r="AM786" s="1" t="str">
        <f>IF(HR_Data[[#This Row],[MonthlyIncome]]&lt;3000,"Low Salary",IF(HR_Data[[#This Row],[MonthlyIncome]]&lt;=7000,"Medium Salary","High Salary"))</f>
        <v>High Salary</v>
      </c>
      <c r="AN786" s="1" t="str">
        <f>IF(HR_Data[[#This Row],[YearsAtCompany]]&lt;2,"0-1 Years",IF(HR_Data[[#This Row],[YearsAtCompany]]&lt;=5,"2-5 Years",IF(HR_Data[[#This Row],[YearsAtCompany]]&lt;=10,"6-10 Years","10+ Years")))</f>
        <v>10+ Years</v>
      </c>
      <c r="AO786" s="1" t="str">
        <f>IF(HR_Data[[#This Row],[JobSatisfaction]]=1,"Low",IF(HR_Data[[#This Row],[JobSatisfaction]]=2,"Medium",IF(HR_Data[[#This Row],[JobSatisfaction]]=3,"High","Very High")))</f>
        <v>High</v>
      </c>
      <c r="AP786" s="1" t="str">
        <f>IF(HR_Data[[#This Row],[WorkLifeBalance]]=1,"Bad",IF(HR_Data[[#This Row],[WorkLifeBalance]]=2,"Good",IF(HR_Data[[#This Row],[WorkLifeBalance]]=3,"Better","Best")))</f>
        <v>Good</v>
      </c>
    </row>
    <row r="787" spans="1:42" x14ac:dyDescent="0.3">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c r="AJ787">
        <f>IF(HR_Data[[#This Row],[Attrition]]="Yes",1,0)</f>
        <v>0</v>
      </c>
      <c r="AK787">
        <f>IF(HR_Data[[#This Row],[Attrition]]="No",1,0)</f>
        <v>1</v>
      </c>
      <c r="AL787" t="str">
        <f>IF(HR_Data[[#This Row],[Age]]&lt;25,"Under 25",IF(HR_Data[[#This Row],[Age]]&lt;=34,"25-34",IF(HR_Data[[#This Row],[Age]]&lt;=44,"35-44",IF(HR_Data[[#This Row],[Age]]&lt;=54,"45-54","55+"))))</f>
        <v>35-44</v>
      </c>
      <c r="AM787" s="1" t="str">
        <f>IF(HR_Data[[#This Row],[MonthlyIncome]]&lt;3000,"Low Salary",IF(HR_Data[[#This Row],[MonthlyIncome]]&lt;=7000,"Medium Salary","High Salary"))</f>
        <v>High Salary</v>
      </c>
      <c r="AN787" s="1" t="str">
        <f>IF(HR_Data[[#This Row],[YearsAtCompany]]&lt;2,"0-1 Years",IF(HR_Data[[#This Row],[YearsAtCompany]]&lt;=5,"2-5 Years",IF(HR_Data[[#This Row],[YearsAtCompany]]&lt;=10,"6-10 Years","10+ Years")))</f>
        <v>10+ Years</v>
      </c>
      <c r="AO787" s="1" t="str">
        <f>IF(HR_Data[[#This Row],[JobSatisfaction]]=1,"Low",IF(HR_Data[[#This Row],[JobSatisfaction]]=2,"Medium",IF(HR_Data[[#This Row],[JobSatisfaction]]=3,"High","Very High")))</f>
        <v>Very High</v>
      </c>
      <c r="AP787" s="1" t="str">
        <f>IF(HR_Data[[#This Row],[WorkLifeBalance]]=1,"Bad",IF(HR_Data[[#This Row],[WorkLifeBalance]]=2,"Good",IF(HR_Data[[#This Row],[WorkLifeBalance]]=3,"Better","Best")))</f>
        <v>Better</v>
      </c>
    </row>
    <row r="788" spans="1:42" x14ac:dyDescent="0.3">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c r="AJ788">
        <f>IF(HR_Data[[#This Row],[Attrition]]="Yes",1,0)</f>
        <v>0</v>
      </c>
      <c r="AK788">
        <f>IF(HR_Data[[#This Row],[Attrition]]="No",1,0)</f>
        <v>1</v>
      </c>
      <c r="AL788" t="str">
        <f>IF(HR_Data[[#This Row],[Age]]&lt;25,"Under 25",IF(HR_Data[[#This Row],[Age]]&lt;=34,"25-34",IF(HR_Data[[#This Row],[Age]]&lt;=44,"35-44",IF(HR_Data[[#This Row],[Age]]&lt;=54,"45-54","55+"))))</f>
        <v>25-34</v>
      </c>
      <c r="AM788" s="1" t="str">
        <f>IF(HR_Data[[#This Row],[MonthlyIncome]]&lt;3000,"Low Salary",IF(HR_Data[[#This Row],[MonthlyIncome]]&lt;=7000,"Medium Salary","High Salary"))</f>
        <v>Medium Salary</v>
      </c>
      <c r="AN788" s="1" t="str">
        <f>IF(HR_Data[[#This Row],[YearsAtCompany]]&lt;2,"0-1 Years",IF(HR_Data[[#This Row],[YearsAtCompany]]&lt;=5,"2-5 Years",IF(HR_Data[[#This Row],[YearsAtCompany]]&lt;=10,"6-10 Years","10+ Years")))</f>
        <v>2-5 Years</v>
      </c>
      <c r="AO788" s="1" t="str">
        <f>IF(HR_Data[[#This Row],[JobSatisfaction]]=1,"Low",IF(HR_Data[[#This Row],[JobSatisfaction]]=2,"Medium",IF(HR_Data[[#This Row],[JobSatisfaction]]=3,"High","Very High")))</f>
        <v>High</v>
      </c>
      <c r="AP788" s="1" t="str">
        <f>IF(HR_Data[[#This Row],[WorkLifeBalance]]=1,"Bad",IF(HR_Data[[#This Row],[WorkLifeBalance]]=2,"Good",IF(HR_Data[[#This Row],[WorkLifeBalance]]=3,"Better","Best")))</f>
        <v>Better</v>
      </c>
    </row>
    <row r="789" spans="1:42" x14ac:dyDescent="0.3">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c r="AJ789">
        <f>IF(HR_Data[[#This Row],[Attrition]]="Yes",1,0)</f>
        <v>0</v>
      </c>
      <c r="AK789">
        <f>IF(HR_Data[[#This Row],[Attrition]]="No",1,0)</f>
        <v>1</v>
      </c>
      <c r="AL789" t="str">
        <f>IF(HR_Data[[#This Row],[Age]]&lt;25,"Under 25",IF(HR_Data[[#This Row],[Age]]&lt;=34,"25-34",IF(HR_Data[[#This Row],[Age]]&lt;=44,"35-44",IF(HR_Data[[#This Row],[Age]]&lt;=54,"45-54","55+"))))</f>
        <v>55+</v>
      </c>
      <c r="AM789" s="1" t="str">
        <f>IF(HR_Data[[#This Row],[MonthlyIncome]]&lt;3000,"Low Salary",IF(HR_Data[[#This Row],[MonthlyIncome]]&lt;=7000,"Medium Salary","High Salary"))</f>
        <v>High Salary</v>
      </c>
      <c r="AN789" s="1" t="str">
        <f>IF(HR_Data[[#This Row],[YearsAtCompany]]&lt;2,"0-1 Years",IF(HR_Data[[#This Row],[YearsAtCompany]]&lt;=5,"2-5 Years",IF(HR_Data[[#This Row],[YearsAtCompany]]&lt;=10,"6-10 Years","10+ Years")))</f>
        <v>2-5 Years</v>
      </c>
      <c r="AO789" s="1" t="str">
        <f>IF(HR_Data[[#This Row],[JobSatisfaction]]=1,"Low",IF(HR_Data[[#This Row],[JobSatisfaction]]=2,"Medium",IF(HR_Data[[#This Row],[JobSatisfaction]]=3,"High","Very High")))</f>
        <v>Medium</v>
      </c>
      <c r="AP789" s="1" t="str">
        <f>IF(HR_Data[[#This Row],[WorkLifeBalance]]=1,"Bad",IF(HR_Data[[#This Row],[WorkLifeBalance]]=2,"Good",IF(HR_Data[[#This Row],[WorkLifeBalance]]=3,"Better","Best")))</f>
        <v>Better</v>
      </c>
    </row>
    <row r="790" spans="1:42" x14ac:dyDescent="0.3">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c r="AJ790">
        <f>IF(HR_Data[[#This Row],[Attrition]]="Yes",1,0)</f>
        <v>0</v>
      </c>
      <c r="AK790">
        <f>IF(HR_Data[[#This Row],[Attrition]]="No",1,0)</f>
        <v>1</v>
      </c>
      <c r="AL790" t="str">
        <f>IF(HR_Data[[#This Row],[Age]]&lt;25,"Under 25",IF(HR_Data[[#This Row],[Age]]&lt;=34,"25-34",IF(HR_Data[[#This Row],[Age]]&lt;=44,"35-44",IF(HR_Data[[#This Row],[Age]]&lt;=54,"45-54","55+"))))</f>
        <v>25-34</v>
      </c>
      <c r="AM790" s="1" t="str">
        <f>IF(HR_Data[[#This Row],[MonthlyIncome]]&lt;3000,"Low Salary",IF(HR_Data[[#This Row],[MonthlyIncome]]&lt;=7000,"Medium Salary","High Salary"))</f>
        <v>Medium Salary</v>
      </c>
      <c r="AN790" s="1" t="str">
        <f>IF(HR_Data[[#This Row],[YearsAtCompany]]&lt;2,"0-1 Years",IF(HR_Data[[#This Row],[YearsAtCompany]]&lt;=5,"2-5 Years",IF(HR_Data[[#This Row],[YearsAtCompany]]&lt;=10,"6-10 Years","10+ Years")))</f>
        <v>6-10 Years</v>
      </c>
      <c r="AO790" s="1" t="str">
        <f>IF(HR_Data[[#This Row],[JobSatisfaction]]=1,"Low",IF(HR_Data[[#This Row],[JobSatisfaction]]=2,"Medium",IF(HR_Data[[#This Row],[JobSatisfaction]]=3,"High","Very High")))</f>
        <v>High</v>
      </c>
      <c r="AP790" s="1" t="str">
        <f>IF(HR_Data[[#This Row],[WorkLifeBalance]]=1,"Bad",IF(HR_Data[[#This Row],[WorkLifeBalance]]=2,"Good",IF(HR_Data[[#This Row],[WorkLifeBalance]]=3,"Better","Best")))</f>
        <v>Best</v>
      </c>
    </row>
    <row r="791" spans="1:42" x14ac:dyDescent="0.3">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c r="AJ791">
        <f>IF(HR_Data[[#This Row],[Attrition]]="Yes",1,0)</f>
        <v>1</v>
      </c>
      <c r="AK791">
        <f>IF(HR_Data[[#This Row],[Attrition]]="No",1,0)</f>
        <v>0</v>
      </c>
      <c r="AL791" t="str">
        <f>IF(HR_Data[[#This Row],[Age]]&lt;25,"Under 25",IF(HR_Data[[#This Row],[Age]]&lt;=34,"25-34",IF(HR_Data[[#This Row],[Age]]&lt;=44,"35-44",IF(HR_Data[[#This Row],[Age]]&lt;=54,"45-54","55+"))))</f>
        <v>35-44</v>
      </c>
      <c r="AM791" s="1" t="str">
        <f>IF(HR_Data[[#This Row],[MonthlyIncome]]&lt;3000,"Low Salary",IF(HR_Data[[#This Row],[MonthlyIncome]]&lt;=7000,"Medium Salary","High Salary"))</f>
        <v>High Salary</v>
      </c>
      <c r="AN791" s="1" t="str">
        <f>IF(HR_Data[[#This Row],[YearsAtCompany]]&lt;2,"0-1 Years",IF(HR_Data[[#This Row],[YearsAtCompany]]&lt;=5,"2-5 Years",IF(HR_Data[[#This Row],[YearsAtCompany]]&lt;=10,"6-10 Years","10+ Years")))</f>
        <v>10+ Years</v>
      </c>
      <c r="AO791" s="1" t="str">
        <f>IF(HR_Data[[#This Row],[JobSatisfaction]]=1,"Low",IF(HR_Data[[#This Row],[JobSatisfaction]]=2,"Medium",IF(HR_Data[[#This Row],[JobSatisfaction]]=3,"High","Very High")))</f>
        <v>Low</v>
      </c>
      <c r="AP791" s="1" t="str">
        <f>IF(HR_Data[[#This Row],[WorkLifeBalance]]=1,"Bad",IF(HR_Data[[#This Row],[WorkLifeBalance]]=2,"Good",IF(HR_Data[[#This Row],[WorkLifeBalance]]=3,"Better","Best")))</f>
        <v>Better</v>
      </c>
    </row>
    <row r="792" spans="1:42" x14ac:dyDescent="0.3">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c r="AJ792">
        <f>IF(HR_Data[[#This Row],[Attrition]]="Yes",1,0)</f>
        <v>0</v>
      </c>
      <c r="AK792">
        <f>IF(HR_Data[[#This Row],[Attrition]]="No",1,0)</f>
        <v>1</v>
      </c>
      <c r="AL792" t="str">
        <f>IF(HR_Data[[#This Row],[Age]]&lt;25,"Under 25",IF(HR_Data[[#This Row],[Age]]&lt;=34,"25-34",IF(HR_Data[[#This Row],[Age]]&lt;=44,"35-44",IF(HR_Data[[#This Row],[Age]]&lt;=54,"45-54","55+"))))</f>
        <v>25-34</v>
      </c>
      <c r="AM792" s="1" t="str">
        <f>IF(HR_Data[[#This Row],[MonthlyIncome]]&lt;3000,"Low Salary",IF(HR_Data[[#This Row],[MonthlyIncome]]&lt;=7000,"Medium Salary","High Salary"))</f>
        <v>High Salary</v>
      </c>
      <c r="AN792" s="1" t="str">
        <f>IF(HR_Data[[#This Row],[YearsAtCompany]]&lt;2,"0-1 Years",IF(HR_Data[[#This Row],[YearsAtCompany]]&lt;=5,"2-5 Years",IF(HR_Data[[#This Row],[YearsAtCompany]]&lt;=10,"6-10 Years","10+ Years")))</f>
        <v>2-5 Years</v>
      </c>
      <c r="AO792" s="1" t="str">
        <f>IF(HR_Data[[#This Row],[JobSatisfaction]]=1,"Low",IF(HR_Data[[#This Row],[JobSatisfaction]]=2,"Medium",IF(HR_Data[[#This Row],[JobSatisfaction]]=3,"High","Very High")))</f>
        <v>Very High</v>
      </c>
      <c r="AP792" s="1" t="str">
        <f>IF(HR_Data[[#This Row],[WorkLifeBalance]]=1,"Bad",IF(HR_Data[[#This Row],[WorkLifeBalance]]=2,"Good",IF(HR_Data[[#This Row],[WorkLifeBalance]]=3,"Better","Best")))</f>
        <v>Better</v>
      </c>
    </row>
    <row r="793" spans="1:42" x14ac:dyDescent="0.3">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c r="AJ793">
        <f>IF(HR_Data[[#This Row],[Attrition]]="Yes",1,0)</f>
        <v>1</v>
      </c>
      <c r="AK793">
        <f>IF(HR_Data[[#This Row],[Attrition]]="No",1,0)</f>
        <v>0</v>
      </c>
      <c r="AL793" t="str">
        <f>IF(HR_Data[[#This Row],[Age]]&lt;25,"Under 25",IF(HR_Data[[#This Row],[Age]]&lt;=34,"25-34",IF(HR_Data[[#This Row],[Age]]&lt;=44,"35-44",IF(HR_Data[[#This Row],[Age]]&lt;=54,"45-54","55+"))))</f>
        <v>35-44</v>
      </c>
      <c r="AM793" s="1" t="str">
        <f>IF(HR_Data[[#This Row],[MonthlyIncome]]&lt;3000,"Low Salary",IF(HR_Data[[#This Row],[MonthlyIncome]]&lt;=7000,"Medium Salary","High Salary"))</f>
        <v>High Salary</v>
      </c>
      <c r="AN793" s="1" t="str">
        <f>IF(HR_Data[[#This Row],[YearsAtCompany]]&lt;2,"0-1 Years",IF(HR_Data[[#This Row],[YearsAtCompany]]&lt;=5,"2-5 Years",IF(HR_Data[[#This Row],[YearsAtCompany]]&lt;=10,"6-10 Years","10+ Years")))</f>
        <v>6-10 Years</v>
      </c>
      <c r="AO793" s="1" t="str">
        <f>IF(HR_Data[[#This Row],[JobSatisfaction]]=1,"Low",IF(HR_Data[[#This Row],[JobSatisfaction]]=2,"Medium",IF(HR_Data[[#This Row],[JobSatisfaction]]=3,"High","Very High")))</f>
        <v>Low</v>
      </c>
      <c r="AP793" s="1" t="str">
        <f>IF(HR_Data[[#This Row],[WorkLifeBalance]]=1,"Bad",IF(HR_Data[[#This Row],[WorkLifeBalance]]=2,"Good",IF(HR_Data[[#This Row],[WorkLifeBalance]]=3,"Better","Best")))</f>
        <v>Better</v>
      </c>
    </row>
    <row r="794" spans="1:42" x14ac:dyDescent="0.3">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c r="AJ794">
        <f>IF(HR_Data[[#This Row],[Attrition]]="Yes",1,0)</f>
        <v>1</v>
      </c>
      <c r="AK794">
        <f>IF(HR_Data[[#This Row],[Attrition]]="No",1,0)</f>
        <v>0</v>
      </c>
      <c r="AL794" t="str">
        <f>IF(HR_Data[[#This Row],[Age]]&lt;25,"Under 25",IF(HR_Data[[#This Row],[Age]]&lt;=34,"25-34",IF(HR_Data[[#This Row],[Age]]&lt;=44,"35-44",IF(HR_Data[[#This Row],[Age]]&lt;=54,"45-54","55+"))))</f>
        <v>25-34</v>
      </c>
      <c r="AM794" s="1" t="str">
        <f>IF(HR_Data[[#This Row],[MonthlyIncome]]&lt;3000,"Low Salary",IF(HR_Data[[#This Row],[MonthlyIncome]]&lt;=7000,"Medium Salary","High Salary"))</f>
        <v>Medium Salary</v>
      </c>
      <c r="AN794" s="1" t="str">
        <f>IF(HR_Data[[#This Row],[YearsAtCompany]]&lt;2,"0-1 Years",IF(HR_Data[[#This Row],[YearsAtCompany]]&lt;=5,"2-5 Years",IF(HR_Data[[#This Row],[YearsAtCompany]]&lt;=10,"6-10 Years","10+ Years")))</f>
        <v>10+ Years</v>
      </c>
      <c r="AO794" s="1" t="str">
        <f>IF(HR_Data[[#This Row],[JobSatisfaction]]=1,"Low",IF(HR_Data[[#This Row],[JobSatisfaction]]=2,"Medium",IF(HR_Data[[#This Row],[JobSatisfaction]]=3,"High","Very High")))</f>
        <v>High</v>
      </c>
      <c r="AP794" s="1" t="str">
        <f>IF(HR_Data[[#This Row],[WorkLifeBalance]]=1,"Bad",IF(HR_Data[[#This Row],[WorkLifeBalance]]=2,"Good",IF(HR_Data[[#This Row],[WorkLifeBalance]]=3,"Better","Best")))</f>
        <v>Better</v>
      </c>
    </row>
    <row r="795" spans="1:42" x14ac:dyDescent="0.3">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c r="AJ795">
        <f>IF(HR_Data[[#This Row],[Attrition]]="Yes",1,0)</f>
        <v>0</v>
      </c>
      <c r="AK795">
        <f>IF(HR_Data[[#This Row],[Attrition]]="No",1,0)</f>
        <v>1</v>
      </c>
      <c r="AL795" t="str">
        <f>IF(HR_Data[[#This Row],[Age]]&lt;25,"Under 25",IF(HR_Data[[#This Row],[Age]]&lt;=34,"25-34",IF(HR_Data[[#This Row],[Age]]&lt;=44,"35-44",IF(HR_Data[[#This Row],[Age]]&lt;=54,"45-54","55+"))))</f>
        <v>25-34</v>
      </c>
      <c r="AM795" s="1" t="str">
        <f>IF(HR_Data[[#This Row],[MonthlyIncome]]&lt;3000,"Low Salary",IF(HR_Data[[#This Row],[MonthlyIncome]]&lt;=7000,"Medium Salary","High Salary"))</f>
        <v>Low Salary</v>
      </c>
      <c r="AN795" s="1" t="str">
        <f>IF(HR_Data[[#This Row],[YearsAtCompany]]&lt;2,"0-1 Years",IF(HR_Data[[#This Row],[YearsAtCompany]]&lt;=5,"2-5 Years",IF(HR_Data[[#This Row],[YearsAtCompany]]&lt;=10,"6-10 Years","10+ Years")))</f>
        <v>2-5 Years</v>
      </c>
      <c r="AO795" s="1" t="str">
        <f>IF(HR_Data[[#This Row],[JobSatisfaction]]=1,"Low",IF(HR_Data[[#This Row],[JobSatisfaction]]=2,"Medium",IF(HR_Data[[#This Row],[JobSatisfaction]]=3,"High","Very High")))</f>
        <v>High</v>
      </c>
      <c r="AP795" s="1" t="str">
        <f>IF(HR_Data[[#This Row],[WorkLifeBalance]]=1,"Bad",IF(HR_Data[[#This Row],[WorkLifeBalance]]=2,"Good",IF(HR_Data[[#This Row],[WorkLifeBalance]]=3,"Better","Best")))</f>
        <v>Good</v>
      </c>
    </row>
    <row r="796" spans="1:42" x14ac:dyDescent="0.3">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c r="AJ796">
        <f>IF(HR_Data[[#This Row],[Attrition]]="Yes",1,0)</f>
        <v>0</v>
      </c>
      <c r="AK796">
        <f>IF(HR_Data[[#This Row],[Attrition]]="No",1,0)</f>
        <v>1</v>
      </c>
      <c r="AL796" t="str">
        <f>IF(HR_Data[[#This Row],[Age]]&lt;25,"Under 25",IF(HR_Data[[#This Row],[Age]]&lt;=34,"25-34",IF(HR_Data[[#This Row],[Age]]&lt;=44,"35-44",IF(HR_Data[[#This Row],[Age]]&lt;=54,"45-54","55+"))))</f>
        <v>25-34</v>
      </c>
      <c r="AM796" s="1" t="str">
        <f>IF(HR_Data[[#This Row],[MonthlyIncome]]&lt;3000,"Low Salary",IF(HR_Data[[#This Row],[MonthlyIncome]]&lt;=7000,"Medium Salary","High Salary"))</f>
        <v>High Salary</v>
      </c>
      <c r="AN796" s="1" t="str">
        <f>IF(HR_Data[[#This Row],[YearsAtCompany]]&lt;2,"0-1 Years",IF(HR_Data[[#This Row],[YearsAtCompany]]&lt;=5,"2-5 Years",IF(HR_Data[[#This Row],[YearsAtCompany]]&lt;=10,"6-10 Years","10+ Years")))</f>
        <v>6-10 Years</v>
      </c>
      <c r="AO796" s="1" t="str">
        <f>IF(HR_Data[[#This Row],[JobSatisfaction]]=1,"Low",IF(HR_Data[[#This Row],[JobSatisfaction]]=2,"Medium",IF(HR_Data[[#This Row],[JobSatisfaction]]=3,"High","Very High")))</f>
        <v>Very High</v>
      </c>
      <c r="AP796" s="1" t="str">
        <f>IF(HR_Data[[#This Row],[WorkLifeBalance]]=1,"Bad",IF(HR_Data[[#This Row],[WorkLifeBalance]]=2,"Good",IF(HR_Data[[#This Row],[WorkLifeBalance]]=3,"Better","Best")))</f>
        <v>Good</v>
      </c>
    </row>
    <row r="797" spans="1:42" x14ac:dyDescent="0.3">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c r="AJ797">
        <f>IF(HR_Data[[#This Row],[Attrition]]="Yes",1,0)</f>
        <v>0</v>
      </c>
      <c r="AK797">
        <f>IF(HR_Data[[#This Row],[Attrition]]="No",1,0)</f>
        <v>1</v>
      </c>
      <c r="AL797" t="str">
        <f>IF(HR_Data[[#This Row],[Age]]&lt;25,"Under 25",IF(HR_Data[[#This Row],[Age]]&lt;=34,"25-34",IF(HR_Data[[#This Row],[Age]]&lt;=44,"35-44",IF(HR_Data[[#This Row],[Age]]&lt;=54,"45-54","55+"))))</f>
        <v>35-44</v>
      </c>
      <c r="AM797" s="1" t="str">
        <f>IF(HR_Data[[#This Row],[MonthlyIncome]]&lt;3000,"Low Salary",IF(HR_Data[[#This Row],[MonthlyIncome]]&lt;=7000,"Medium Salary","High Salary"))</f>
        <v>Medium Salary</v>
      </c>
      <c r="AN797" s="1" t="str">
        <f>IF(HR_Data[[#This Row],[YearsAtCompany]]&lt;2,"0-1 Years",IF(HR_Data[[#This Row],[YearsAtCompany]]&lt;=5,"2-5 Years",IF(HR_Data[[#This Row],[YearsAtCompany]]&lt;=10,"6-10 Years","10+ Years")))</f>
        <v>0-1 Years</v>
      </c>
      <c r="AO797" s="1" t="str">
        <f>IF(HR_Data[[#This Row],[JobSatisfaction]]=1,"Low",IF(HR_Data[[#This Row],[JobSatisfaction]]=2,"Medium",IF(HR_Data[[#This Row],[JobSatisfaction]]=3,"High","Very High")))</f>
        <v>Very High</v>
      </c>
      <c r="AP797" s="1" t="str">
        <f>IF(HR_Data[[#This Row],[WorkLifeBalance]]=1,"Bad",IF(HR_Data[[#This Row],[WorkLifeBalance]]=2,"Good",IF(HR_Data[[#This Row],[WorkLifeBalance]]=3,"Better","Best")))</f>
        <v>Better</v>
      </c>
    </row>
    <row r="798" spans="1:42" x14ac:dyDescent="0.3">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c r="AJ798">
        <f>IF(HR_Data[[#This Row],[Attrition]]="Yes",1,0)</f>
        <v>1</v>
      </c>
      <c r="AK798">
        <f>IF(HR_Data[[#This Row],[Attrition]]="No",1,0)</f>
        <v>0</v>
      </c>
      <c r="AL798" t="str">
        <f>IF(HR_Data[[#This Row],[Age]]&lt;25,"Under 25",IF(HR_Data[[#This Row],[Age]]&lt;=34,"25-34",IF(HR_Data[[#This Row],[Age]]&lt;=44,"35-44",IF(HR_Data[[#This Row],[Age]]&lt;=54,"45-54","55+"))))</f>
        <v>25-34</v>
      </c>
      <c r="AM798" s="1" t="str">
        <f>IF(HR_Data[[#This Row],[MonthlyIncome]]&lt;3000,"Low Salary",IF(HR_Data[[#This Row],[MonthlyIncome]]&lt;=7000,"Medium Salary","High Salary"))</f>
        <v>Medium Salary</v>
      </c>
      <c r="AN798" s="1" t="str">
        <f>IF(HR_Data[[#This Row],[YearsAtCompany]]&lt;2,"0-1 Years",IF(HR_Data[[#This Row],[YearsAtCompany]]&lt;=5,"2-5 Years",IF(HR_Data[[#This Row],[YearsAtCompany]]&lt;=10,"6-10 Years","10+ Years")))</f>
        <v>6-10 Years</v>
      </c>
      <c r="AO798" s="1" t="str">
        <f>IF(HR_Data[[#This Row],[JobSatisfaction]]=1,"Low",IF(HR_Data[[#This Row],[JobSatisfaction]]=2,"Medium",IF(HR_Data[[#This Row],[JobSatisfaction]]=3,"High","Very High")))</f>
        <v>Very High</v>
      </c>
      <c r="AP798" s="1" t="str">
        <f>IF(HR_Data[[#This Row],[WorkLifeBalance]]=1,"Bad",IF(HR_Data[[#This Row],[WorkLifeBalance]]=2,"Good",IF(HR_Data[[#This Row],[WorkLifeBalance]]=3,"Better","Best")))</f>
        <v>Best</v>
      </c>
    </row>
    <row r="799" spans="1:42" x14ac:dyDescent="0.3">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c r="AJ799">
        <f>IF(HR_Data[[#This Row],[Attrition]]="Yes",1,0)</f>
        <v>1</v>
      </c>
      <c r="AK799">
        <f>IF(HR_Data[[#This Row],[Attrition]]="No",1,0)</f>
        <v>0</v>
      </c>
      <c r="AL799" t="str">
        <f>IF(HR_Data[[#This Row],[Age]]&lt;25,"Under 25",IF(HR_Data[[#This Row],[Age]]&lt;=34,"25-34",IF(HR_Data[[#This Row],[Age]]&lt;=44,"35-44",IF(HR_Data[[#This Row],[Age]]&lt;=54,"45-54","55+"))))</f>
        <v>25-34</v>
      </c>
      <c r="AM799" s="1" t="str">
        <f>IF(HR_Data[[#This Row],[MonthlyIncome]]&lt;3000,"Low Salary",IF(HR_Data[[#This Row],[MonthlyIncome]]&lt;=7000,"Medium Salary","High Salary"))</f>
        <v>Low Salary</v>
      </c>
      <c r="AN799" s="1" t="str">
        <f>IF(HR_Data[[#This Row],[YearsAtCompany]]&lt;2,"0-1 Years",IF(HR_Data[[#This Row],[YearsAtCompany]]&lt;=5,"2-5 Years",IF(HR_Data[[#This Row],[YearsAtCompany]]&lt;=10,"6-10 Years","10+ Years")))</f>
        <v>0-1 Years</v>
      </c>
      <c r="AO799" s="1" t="str">
        <f>IF(HR_Data[[#This Row],[JobSatisfaction]]=1,"Low",IF(HR_Data[[#This Row],[JobSatisfaction]]=2,"Medium",IF(HR_Data[[#This Row],[JobSatisfaction]]=3,"High","Very High")))</f>
        <v>High</v>
      </c>
      <c r="AP799" s="1" t="str">
        <f>IF(HR_Data[[#This Row],[WorkLifeBalance]]=1,"Bad",IF(HR_Data[[#This Row],[WorkLifeBalance]]=2,"Good",IF(HR_Data[[#This Row],[WorkLifeBalance]]=3,"Better","Best")))</f>
        <v>Good</v>
      </c>
    </row>
    <row r="800" spans="1:42" x14ac:dyDescent="0.3">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c r="AJ800">
        <f>IF(HR_Data[[#This Row],[Attrition]]="Yes",1,0)</f>
        <v>1</v>
      </c>
      <c r="AK800">
        <f>IF(HR_Data[[#This Row],[Attrition]]="No",1,0)</f>
        <v>0</v>
      </c>
      <c r="AL800" t="str">
        <f>IF(HR_Data[[#This Row],[Age]]&lt;25,"Under 25",IF(HR_Data[[#This Row],[Age]]&lt;=34,"25-34",IF(HR_Data[[#This Row],[Age]]&lt;=44,"35-44",IF(HR_Data[[#This Row],[Age]]&lt;=54,"45-54","55+"))))</f>
        <v>25-34</v>
      </c>
      <c r="AM800" s="1" t="str">
        <f>IF(HR_Data[[#This Row],[MonthlyIncome]]&lt;3000,"Low Salary",IF(HR_Data[[#This Row],[MonthlyIncome]]&lt;=7000,"Medium Salary","High Salary"))</f>
        <v>Low Salary</v>
      </c>
      <c r="AN800" s="1" t="str">
        <f>IF(HR_Data[[#This Row],[YearsAtCompany]]&lt;2,"0-1 Years",IF(HR_Data[[#This Row],[YearsAtCompany]]&lt;=5,"2-5 Years",IF(HR_Data[[#This Row],[YearsAtCompany]]&lt;=10,"6-10 Years","10+ Years")))</f>
        <v>2-5 Years</v>
      </c>
      <c r="AO800" s="1" t="str">
        <f>IF(HR_Data[[#This Row],[JobSatisfaction]]=1,"Low",IF(HR_Data[[#This Row],[JobSatisfaction]]=2,"Medium",IF(HR_Data[[#This Row],[JobSatisfaction]]=3,"High","Very High")))</f>
        <v>Medium</v>
      </c>
      <c r="AP800" s="1" t="str">
        <f>IF(HR_Data[[#This Row],[WorkLifeBalance]]=1,"Bad",IF(HR_Data[[#This Row],[WorkLifeBalance]]=2,"Good",IF(HR_Data[[#This Row],[WorkLifeBalance]]=3,"Better","Best")))</f>
        <v>Better</v>
      </c>
    </row>
    <row r="801" spans="1:42" x14ac:dyDescent="0.3">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c r="AJ801">
        <f>IF(HR_Data[[#This Row],[Attrition]]="Yes",1,0)</f>
        <v>0</v>
      </c>
      <c r="AK801">
        <f>IF(HR_Data[[#This Row],[Attrition]]="No",1,0)</f>
        <v>1</v>
      </c>
      <c r="AL801" t="str">
        <f>IF(HR_Data[[#This Row],[Age]]&lt;25,"Under 25",IF(HR_Data[[#This Row],[Age]]&lt;=34,"25-34",IF(HR_Data[[#This Row],[Age]]&lt;=44,"35-44",IF(HR_Data[[#This Row],[Age]]&lt;=54,"45-54","55+"))))</f>
        <v>35-44</v>
      </c>
      <c r="AM801" s="1" t="str">
        <f>IF(HR_Data[[#This Row],[MonthlyIncome]]&lt;3000,"Low Salary",IF(HR_Data[[#This Row],[MonthlyIncome]]&lt;=7000,"Medium Salary","High Salary"))</f>
        <v>High Salary</v>
      </c>
      <c r="AN801" s="1" t="str">
        <f>IF(HR_Data[[#This Row],[YearsAtCompany]]&lt;2,"0-1 Years",IF(HR_Data[[#This Row],[YearsAtCompany]]&lt;=5,"2-5 Years",IF(HR_Data[[#This Row],[YearsAtCompany]]&lt;=10,"6-10 Years","10+ Years")))</f>
        <v>10+ Years</v>
      </c>
      <c r="AO801" s="1" t="str">
        <f>IF(HR_Data[[#This Row],[JobSatisfaction]]=1,"Low",IF(HR_Data[[#This Row],[JobSatisfaction]]=2,"Medium",IF(HR_Data[[#This Row],[JobSatisfaction]]=3,"High","Very High")))</f>
        <v>Low</v>
      </c>
      <c r="AP801" s="1" t="str">
        <f>IF(HR_Data[[#This Row],[WorkLifeBalance]]=1,"Bad",IF(HR_Data[[#This Row],[WorkLifeBalance]]=2,"Good",IF(HR_Data[[#This Row],[WorkLifeBalance]]=3,"Better","Best")))</f>
        <v>Better</v>
      </c>
    </row>
    <row r="802" spans="1:42" x14ac:dyDescent="0.3">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c r="AJ802">
        <f>IF(HR_Data[[#This Row],[Attrition]]="Yes",1,0)</f>
        <v>1</v>
      </c>
      <c r="AK802">
        <f>IF(HR_Data[[#This Row],[Attrition]]="No",1,0)</f>
        <v>0</v>
      </c>
      <c r="AL802" t="str">
        <f>IF(HR_Data[[#This Row],[Age]]&lt;25,"Under 25",IF(HR_Data[[#This Row],[Age]]&lt;=34,"25-34",IF(HR_Data[[#This Row],[Age]]&lt;=44,"35-44",IF(HR_Data[[#This Row],[Age]]&lt;=54,"45-54","55+"))))</f>
        <v>25-34</v>
      </c>
      <c r="AM802" s="1" t="str">
        <f>IF(HR_Data[[#This Row],[MonthlyIncome]]&lt;3000,"Low Salary",IF(HR_Data[[#This Row],[MonthlyIncome]]&lt;=7000,"Medium Salary","High Salary"))</f>
        <v>Low Salary</v>
      </c>
      <c r="AN802" s="1" t="str">
        <f>IF(HR_Data[[#This Row],[YearsAtCompany]]&lt;2,"0-1 Years",IF(HR_Data[[#This Row],[YearsAtCompany]]&lt;=5,"2-5 Years",IF(HR_Data[[#This Row],[YearsAtCompany]]&lt;=10,"6-10 Years","10+ Years")))</f>
        <v>0-1 Years</v>
      </c>
      <c r="AO802" s="1" t="str">
        <f>IF(HR_Data[[#This Row],[JobSatisfaction]]=1,"Low",IF(HR_Data[[#This Row],[JobSatisfaction]]=2,"Medium",IF(HR_Data[[#This Row],[JobSatisfaction]]=3,"High","Very High")))</f>
        <v>Medium</v>
      </c>
      <c r="AP802" s="1" t="str">
        <f>IF(HR_Data[[#This Row],[WorkLifeBalance]]=1,"Bad",IF(HR_Data[[#This Row],[WorkLifeBalance]]=2,"Good",IF(HR_Data[[#This Row],[WorkLifeBalance]]=3,"Better","Best")))</f>
        <v>Better</v>
      </c>
    </row>
    <row r="803" spans="1:42" x14ac:dyDescent="0.3">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c r="AJ803">
        <f>IF(HR_Data[[#This Row],[Attrition]]="Yes",1,0)</f>
        <v>1</v>
      </c>
      <c r="AK803">
        <f>IF(HR_Data[[#This Row],[Attrition]]="No",1,0)</f>
        <v>0</v>
      </c>
      <c r="AL803" t="str">
        <f>IF(HR_Data[[#This Row],[Age]]&lt;25,"Under 25",IF(HR_Data[[#This Row],[Age]]&lt;=34,"25-34",IF(HR_Data[[#This Row],[Age]]&lt;=44,"35-44",IF(HR_Data[[#This Row],[Age]]&lt;=54,"45-54","55+"))))</f>
        <v>45-54</v>
      </c>
      <c r="AM803" s="1" t="str">
        <f>IF(HR_Data[[#This Row],[MonthlyIncome]]&lt;3000,"Low Salary",IF(HR_Data[[#This Row],[MonthlyIncome]]&lt;=7000,"Medium Salary","High Salary"))</f>
        <v>Medium Salary</v>
      </c>
      <c r="AN803" s="1" t="str">
        <f>IF(HR_Data[[#This Row],[YearsAtCompany]]&lt;2,"0-1 Years",IF(HR_Data[[#This Row],[YearsAtCompany]]&lt;=5,"2-5 Years",IF(HR_Data[[#This Row],[YearsAtCompany]]&lt;=10,"6-10 Years","10+ Years")))</f>
        <v>0-1 Years</v>
      </c>
      <c r="AO803" s="1" t="str">
        <f>IF(HR_Data[[#This Row],[JobSatisfaction]]=1,"Low",IF(HR_Data[[#This Row],[JobSatisfaction]]=2,"Medium",IF(HR_Data[[#This Row],[JobSatisfaction]]=3,"High","Very High")))</f>
        <v>High</v>
      </c>
      <c r="AP803" s="1" t="str">
        <f>IF(HR_Data[[#This Row],[WorkLifeBalance]]=1,"Bad",IF(HR_Data[[#This Row],[WorkLifeBalance]]=2,"Good",IF(HR_Data[[#This Row],[WorkLifeBalance]]=3,"Better","Best")))</f>
        <v>Better</v>
      </c>
    </row>
    <row r="804" spans="1:42" x14ac:dyDescent="0.3">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c r="AJ804">
        <f>IF(HR_Data[[#This Row],[Attrition]]="Yes",1,0)</f>
        <v>0</v>
      </c>
      <c r="AK804">
        <f>IF(HR_Data[[#This Row],[Attrition]]="No",1,0)</f>
        <v>1</v>
      </c>
      <c r="AL804" t="str">
        <f>IF(HR_Data[[#This Row],[Age]]&lt;25,"Under 25",IF(HR_Data[[#This Row],[Age]]&lt;=34,"25-34",IF(HR_Data[[#This Row],[Age]]&lt;=44,"35-44",IF(HR_Data[[#This Row],[Age]]&lt;=54,"45-54","55+"))))</f>
        <v>25-34</v>
      </c>
      <c r="AM804" s="1" t="str">
        <f>IF(HR_Data[[#This Row],[MonthlyIncome]]&lt;3000,"Low Salary",IF(HR_Data[[#This Row],[MonthlyIncome]]&lt;=7000,"Medium Salary","High Salary"))</f>
        <v>Medium Salary</v>
      </c>
      <c r="AN804" s="1" t="str">
        <f>IF(HR_Data[[#This Row],[YearsAtCompany]]&lt;2,"0-1 Years",IF(HR_Data[[#This Row],[YearsAtCompany]]&lt;=5,"2-5 Years",IF(HR_Data[[#This Row],[YearsAtCompany]]&lt;=10,"6-10 Years","10+ Years")))</f>
        <v>2-5 Years</v>
      </c>
      <c r="AO804" s="1" t="str">
        <f>IF(HR_Data[[#This Row],[JobSatisfaction]]=1,"Low",IF(HR_Data[[#This Row],[JobSatisfaction]]=2,"Medium",IF(HR_Data[[#This Row],[JobSatisfaction]]=3,"High","Very High")))</f>
        <v>Medium</v>
      </c>
      <c r="AP804" s="1" t="str">
        <f>IF(HR_Data[[#This Row],[WorkLifeBalance]]=1,"Bad",IF(HR_Data[[#This Row],[WorkLifeBalance]]=2,"Good",IF(HR_Data[[#This Row],[WorkLifeBalance]]=3,"Better","Best")))</f>
        <v>Better</v>
      </c>
    </row>
    <row r="805" spans="1:42" x14ac:dyDescent="0.3">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c r="AJ805">
        <f>IF(HR_Data[[#This Row],[Attrition]]="Yes",1,0)</f>
        <v>0</v>
      </c>
      <c r="AK805">
        <f>IF(HR_Data[[#This Row],[Attrition]]="No",1,0)</f>
        <v>1</v>
      </c>
      <c r="AL805" t="str">
        <f>IF(HR_Data[[#This Row],[Age]]&lt;25,"Under 25",IF(HR_Data[[#This Row],[Age]]&lt;=34,"25-34",IF(HR_Data[[#This Row],[Age]]&lt;=44,"35-44",IF(HR_Data[[#This Row],[Age]]&lt;=54,"45-54","55+"))))</f>
        <v>25-34</v>
      </c>
      <c r="AM805" s="1" t="str">
        <f>IF(HR_Data[[#This Row],[MonthlyIncome]]&lt;3000,"Low Salary",IF(HR_Data[[#This Row],[MonthlyIncome]]&lt;=7000,"Medium Salary","High Salary"))</f>
        <v>Low Salary</v>
      </c>
      <c r="AN805" s="1" t="str">
        <f>IF(HR_Data[[#This Row],[YearsAtCompany]]&lt;2,"0-1 Years",IF(HR_Data[[#This Row],[YearsAtCompany]]&lt;=5,"2-5 Years",IF(HR_Data[[#This Row],[YearsAtCompany]]&lt;=10,"6-10 Years","10+ Years")))</f>
        <v>0-1 Years</v>
      </c>
      <c r="AO805" s="1" t="str">
        <f>IF(HR_Data[[#This Row],[JobSatisfaction]]=1,"Low",IF(HR_Data[[#This Row],[JobSatisfaction]]=2,"Medium",IF(HR_Data[[#This Row],[JobSatisfaction]]=3,"High","Very High")))</f>
        <v>Very High</v>
      </c>
      <c r="AP805" s="1" t="str">
        <f>IF(HR_Data[[#This Row],[WorkLifeBalance]]=1,"Bad",IF(HR_Data[[#This Row],[WorkLifeBalance]]=2,"Good",IF(HR_Data[[#This Row],[WorkLifeBalance]]=3,"Better","Best")))</f>
        <v>Better</v>
      </c>
    </row>
    <row r="806" spans="1:42" x14ac:dyDescent="0.3">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c r="AJ806">
        <f>IF(HR_Data[[#This Row],[Attrition]]="Yes",1,0)</f>
        <v>0</v>
      </c>
      <c r="AK806">
        <f>IF(HR_Data[[#This Row],[Attrition]]="No",1,0)</f>
        <v>1</v>
      </c>
      <c r="AL806" t="str">
        <f>IF(HR_Data[[#This Row],[Age]]&lt;25,"Under 25",IF(HR_Data[[#This Row],[Age]]&lt;=34,"25-34",IF(HR_Data[[#This Row],[Age]]&lt;=44,"35-44",IF(HR_Data[[#This Row],[Age]]&lt;=54,"45-54","55+"))))</f>
        <v>45-54</v>
      </c>
      <c r="AM806" s="1" t="str">
        <f>IF(HR_Data[[#This Row],[MonthlyIncome]]&lt;3000,"Low Salary",IF(HR_Data[[#This Row],[MonthlyIncome]]&lt;=7000,"Medium Salary","High Salary"))</f>
        <v>High Salary</v>
      </c>
      <c r="AN806" s="1" t="str">
        <f>IF(HR_Data[[#This Row],[YearsAtCompany]]&lt;2,"0-1 Years",IF(HR_Data[[#This Row],[YearsAtCompany]]&lt;=5,"2-5 Years",IF(HR_Data[[#This Row],[YearsAtCompany]]&lt;=10,"6-10 Years","10+ Years")))</f>
        <v>2-5 Years</v>
      </c>
      <c r="AO806" s="1" t="str">
        <f>IF(HR_Data[[#This Row],[JobSatisfaction]]=1,"Low",IF(HR_Data[[#This Row],[JobSatisfaction]]=2,"Medium",IF(HR_Data[[#This Row],[JobSatisfaction]]=3,"High","Very High")))</f>
        <v>Very High</v>
      </c>
      <c r="AP806" s="1" t="str">
        <f>IF(HR_Data[[#This Row],[WorkLifeBalance]]=1,"Bad",IF(HR_Data[[#This Row],[WorkLifeBalance]]=2,"Good",IF(HR_Data[[#This Row],[WorkLifeBalance]]=3,"Better","Best")))</f>
        <v>Good</v>
      </c>
    </row>
    <row r="807" spans="1:42" x14ac:dyDescent="0.3">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c r="AJ807">
        <f>IF(HR_Data[[#This Row],[Attrition]]="Yes",1,0)</f>
        <v>0</v>
      </c>
      <c r="AK807">
        <f>IF(HR_Data[[#This Row],[Attrition]]="No",1,0)</f>
        <v>1</v>
      </c>
      <c r="AL807" t="str">
        <f>IF(HR_Data[[#This Row],[Age]]&lt;25,"Under 25",IF(HR_Data[[#This Row],[Age]]&lt;=34,"25-34",IF(HR_Data[[#This Row],[Age]]&lt;=44,"35-44",IF(HR_Data[[#This Row],[Age]]&lt;=54,"45-54","55+"))))</f>
        <v>45-54</v>
      </c>
      <c r="AM807" s="1" t="str">
        <f>IF(HR_Data[[#This Row],[MonthlyIncome]]&lt;3000,"Low Salary",IF(HR_Data[[#This Row],[MonthlyIncome]]&lt;=7000,"Medium Salary","High Salary"))</f>
        <v>Medium Salary</v>
      </c>
      <c r="AN807" s="1" t="str">
        <f>IF(HR_Data[[#This Row],[YearsAtCompany]]&lt;2,"0-1 Years",IF(HR_Data[[#This Row],[YearsAtCompany]]&lt;=5,"2-5 Years",IF(HR_Data[[#This Row],[YearsAtCompany]]&lt;=10,"6-10 Years","10+ Years")))</f>
        <v>10+ Years</v>
      </c>
      <c r="AO807" s="1" t="str">
        <f>IF(HR_Data[[#This Row],[JobSatisfaction]]=1,"Low",IF(HR_Data[[#This Row],[JobSatisfaction]]=2,"Medium",IF(HR_Data[[#This Row],[JobSatisfaction]]=3,"High","Very High")))</f>
        <v>High</v>
      </c>
      <c r="AP807" s="1" t="str">
        <f>IF(HR_Data[[#This Row],[WorkLifeBalance]]=1,"Bad",IF(HR_Data[[#This Row],[WorkLifeBalance]]=2,"Good",IF(HR_Data[[#This Row],[WorkLifeBalance]]=3,"Better","Best")))</f>
        <v>Better</v>
      </c>
    </row>
    <row r="808" spans="1:42" x14ac:dyDescent="0.3">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c r="AJ808">
        <f>IF(HR_Data[[#This Row],[Attrition]]="Yes",1,0)</f>
        <v>0</v>
      </c>
      <c r="AK808">
        <f>IF(HR_Data[[#This Row],[Attrition]]="No",1,0)</f>
        <v>1</v>
      </c>
      <c r="AL808" t="str">
        <f>IF(HR_Data[[#This Row],[Age]]&lt;25,"Under 25",IF(HR_Data[[#This Row],[Age]]&lt;=34,"25-34",IF(HR_Data[[#This Row],[Age]]&lt;=44,"35-44",IF(HR_Data[[#This Row],[Age]]&lt;=54,"45-54","55+"))))</f>
        <v>45-54</v>
      </c>
      <c r="AM808" s="1" t="str">
        <f>IF(HR_Data[[#This Row],[MonthlyIncome]]&lt;3000,"Low Salary",IF(HR_Data[[#This Row],[MonthlyIncome]]&lt;=7000,"Medium Salary","High Salary"))</f>
        <v>High Salary</v>
      </c>
      <c r="AN808" s="1" t="str">
        <f>IF(HR_Data[[#This Row],[YearsAtCompany]]&lt;2,"0-1 Years",IF(HR_Data[[#This Row],[YearsAtCompany]]&lt;=5,"2-5 Years",IF(HR_Data[[#This Row],[YearsAtCompany]]&lt;=10,"6-10 Years","10+ Years")))</f>
        <v>6-10 Years</v>
      </c>
      <c r="AO808" s="1" t="str">
        <f>IF(HR_Data[[#This Row],[JobSatisfaction]]=1,"Low",IF(HR_Data[[#This Row],[JobSatisfaction]]=2,"Medium",IF(HR_Data[[#This Row],[JobSatisfaction]]=3,"High","Very High")))</f>
        <v>Medium</v>
      </c>
      <c r="AP808" s="1" t="str">
        <f>IF(HR_Data[[#This Row],[WorkLifeBalance]]=1,"Bad",IF(HR_Data[[#This Row],[WorkLifeBalance]]=2,"Good",IF(HR_Data[[#This Row],[WorkLifeBalance]]=3,"Better","Best")))</f>
        <v>Better</v>
      </c>
    </row>
    <row r="809" spans="1:42" x14ac:dyDescent="0.3">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c r="AJ809">
        <f>IF(HR_Data[[#This Row],[Attrition]]="Yes",1,0)</f>
        <v>0</v>
      </c>
      <c r="AK809">
        <f>IF(HR_Data[[#This Row],[Attrition]]="No",1,0)</f>
        <v>1</v>
      </c>
      <c r="AL809" t="str">
        <f>IF(HR_Data[[#This Row],[Age]]&lt;25,"Under 25",IF(HR_Data[[#This Row],[Age]]&lt;=34,"25-34",IF(HR_Data[[#This Row],[Age]]&lt;=44,"35-44",IF(HR_Data[[#This Row],[Age]]&lt;=54,"45-54","55+"))))</f>
        <v>35-44</v>
      </c>
      <c r="AM809" s="1" t="str">
        <f>IF(HR_Data[[#This Row],[MonthlyIncome]]&lt;3000,"Low Salary",IF(HR_Data[[#This Row],[MonthlyIncome]]&lt;=7000,"Medium Salary","High Salary"))</f>
        <v>High Salary</v>
      </c>
      <c r="AN809" s="1" t="str">
        <f>IF(HR_Data[[#This Row],[YearsAtCompany]]&lt;2,"0-1 Years",IF(HR_Data[[#This Row],[YearsAtCompany]]&lt;=5,"2-5 Years",IF(HR_Data[[#This Row],[YearsAtCompany]]&lt;=10,"6-10 Years","10+ Years")))</f>
        <v>6-10 Years</v>
      </c>
      <c r="AO809" s="1" t="str">
        <f>IF(HR_Data[[#This Row],[JobSatisfaction]]=1,"Low",IF(HR_Data[[#This Row],[JobSatisfaction]]=2,"Medium",IF(HR_Data[[#This Row],[JobSatisfaction]]=3,"High","Very High")))</f>
        <v>High</v>
      </c>
      <c r="AP809" s="1" t="str">
        <f>IF(HR_Data[[#This Row],[WorkLifeBalance]]=1,"Bad",IF(HR_Data[[#This Row],[WorkLifeBalance]]=2,"Good",IF(HR_Data[[#This Row],[WorkLifeBalance]]=3,"Better","Best")))</f>
        <v>Better</v>
      </c>
    </row>
    <row r="810" spans="1:42" x14ac:dyDescent="0.3">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c r="AJ810">
        <f>IF(HR_Data[[#This Row],[Attrition]]="Yes",1,0)</f>
        <v>0</v>
      </c>
      <c r="AK810">
        <f>IF(HR_Data[[#This Row],[Attrition]]="No",1,0)</f>
        <v>1</v>
      </c>
      <c r="AL810" t="str">
        <f>IF(HR_Data[[#This Row],[Age]]&lt;25,"Under 25",IF(HR_Data[[#This Row],[Age]]&lt;=34,"25-34",IF(HR_Data[[#This Row],[Age]]&lt;=44,"35-44",IF(HR_Data[[#This Row],[Age]]&lt;=54,"45-54","55+"))))</f>
        <v>25-34</v>
      </c>
      <c r="AM810" s="1" t="str">
        <f>IF(HR_Data[[#This Row],[MonthlyIncome]]&lt;3000,"Low Salary",IF(HR_Data[[#This Row],[MonthlyIncome]]&lt;=7000,"Medium Salary","High Salary"))</f>
        <v>Low Salary</v>
      </c>
      <c r="AN810" s="1" t="str">
        <f>IF(HR_Data[[#This Row],[YearsAtCompany]]&lt;2,"0-1 Years",IF(HR_Data[[#This Row],[YearsAtCompany]]&lt;=5,"2-5 Years",IF(HR_Data[[#This Row],[YearsAtCompany]]&lt;=10,"6-10 Years","10+ Years")))</f>
        <v>6-10 Years</v>
      </c>
      <c r="AO810" s="1" t="str">
        <f>IF(HR_Data[[#This Row],[JobSatisfaction]]=1,"Low",IF(HR_Data[[#This Row],[JobSatisfaction]]=2,"Medium",IF(HR_Data[[#This Row],[JobSatisfaction]]=3,"High","Very High")))</f>
        <v>Very High</v>
      </c>
      <c r="AP810" s="1" t="str">
        <f>IF(HR_Data[[#This Row],[WorkLifeBalance]]=1,"Bad",IF(HR_Data[[#This Row],[WorkLifeBalance]]=2,"Good",IF(HR_Data[[#This Row],[WorkLifeBalance]]=3,"Better","Best")))</f>
        <v>Better</v>
      </c>
    </row>
    <row r="811" spans="1:42" x14ac:dyDescent="0.3">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c r="AJ811">
        <f>IF(HR_Data[[#This Row],[Attrition]]="Yes",1,0)</f>
        <v>0</v>
      </c>
      <c r="AK811">
        <f>IF(HR_Data[[#This Row],[Attrition]]="No",1,0)</f>
        <v>1</v>
      </c>
      <c r="AL811" t="str">
        <f>IF(HR_Data[[#This Row],[Age]]&lt;25,"Under 25",IF(HR_Data[[#This Row],[Age]]&lt;=34,"25-34",IF(HR_Data[[#This Row],[Age]]&lt;=44,"35-44",IF(HR_Data[[#This Row],[Age]]&lt;=54,"45-54","55+"))))</f>
        <v>25-34</v>
      </c>
      <c r="AM811" s="1" t="str">
        <f>IF(HR_Data[[#This Row],[MonthlyIncome]]&lt;3000,"Low Salary",IF(HR_Data[[#This Row],[MonthlyIncome]]&lt;=7000,"Medium Salary","High Salary"))</f>
        <v>High Salary</v>
      </c>
      <c r="AN811" s="1" t="str">
        <f>IF(HR_Data[[#This Row],[YearsAtCompany]]&lt;2,"0-1 Years",IF(HR_Data[[#This Row],[YearsAtCompany]]&lt;=5,"2-5 Years",IF(HR_Data[[#This Row],[YearsAtCompany]]&lt;=10,"6-10 Years","10+ Years")))</f>
        <v>6-10 Years</v>
      </c>
      <c r="AO811" s="1" t="str">
        <f>IF(HR_Data[[#This Row],[JobSatisfaction]]=1,"Low",IF(HR_Data[[#This Row],[JobSatisfaction]]=2,"Medium",IF(HR_Data[[#This Row],[JobSatisfaction]]=3,"High","Very High")))</f>
        <v>Medium</v>
      </c>
      <c r="AP811" s="1" t="str">
        <f>IF(HR_Data[[#This Row],[WorkLifeBalance]]=1,"Bad",IF(HR_Data[[#This Row],[WorkLifeBalance]]=2,"Good",IF(HR_Data[[#This Row],[WorkLifeBalance]]=3,"Better","Best")))</f>
        <v>Good</v>
      </c>
    </row>
    <row r="812" spans="1:42" x14ac:dyDescent="0.3">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c r="AJ812">
        <f>IF(HR_Data[[#This Row],[Attrition]]="Yes",1,0)</f>
        <v>0</v>
      </c>
      <c r="AK812">
        <f>IF(HR_Data[[#This Row],[Attrition]]="No",1,0)</f>
        <v>1</v>
      </c>
      <c r="AL812" t="str">
        <f>IF(HR_Data[[#This Row],[Age]]&lt;25,"Under 25",IF(HR_Data[[#This Row],[Age]]&lt;=34,"25-34",IF(HR_Data[[#This Row],[Age]]&lt;=44,"35-44",IF(HR_Data[[#This Row],[Age]]&lt;=54,"45-54","55+"))))</f>
        <v>45-54</v>
      </c>
      <c r="AM812" s="1" t="str">
        <f>IF(HR_Data[[#This Row],[MonthlyIncome]]&lt;3000,"Low Salary",IF(HR_Data[[#This Row],[MonthlyIncome]]&lt;=7000,"Medium Salary","High Salary"))</f>
        <v>High Salary</v>
      </c>
      <c r="AN812" s="1" t="str">
        <f>IF(HR_Data[[#This Row],[YearsAtCompany]]&lt;2,"0-1 Years",IF(HR_Data[[#This Row],[YearsAtCompany]]&lt;=5,"2-5 Years",IF(HR_Data[[#This Row],[YearsAtCompany]]&lt;=10,"6-10 Years","10+ Years")))</f>
        <v>10+ Years</v>
      </c>
      <c r="AO812" s="1" t="str">
        <f>IF(HR_Data[[#This Row],[JobSatisfaction]]=1,"Low",IF(HR_Data[[#This Row],[JobSatisfaction]]=2,"Medium",IF(HR_Data[[#This Row],[JobSatisfaction]]=3,"High","Very High")))</f>
        <v>High</v>
      </c>
      <c r="AP812" s="1" t="str">
        <f>IF(HR_Data[[#This Row],[WorkLifeBalance]]=1,"Bad",IF(HR_Data[[#This Row],[WorkLifeBalance]]=2,"Good",IF(HR_Data[[#This Row],[WorkLifeBalance]]=3,"Better","Best")))</f>
        <v>Better</v>
      </c>
    </row>
    <row r="813" spans="1:42" x14ac:dyDescent="0.3">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c r="AJ813">
        <f>IF(HR_Data[[#This Row],[Attrition]]="Yes",1,0)</f>
        <v>0</v>
      </c>
      <c r="AK813">
        <f>IF(HR_Data[[#This Row],[Attrition]]="No",1,0)</f>
        <v>1</v>
      </c>
      <c r="AL813" t="str">
        <f>IF(HR_Data[[#This Row],[Age]]&lt;25,"Under 25",IF(HR_Data[[#This Row],[Age]]&lt;=34,"25-34",IF(HR_Data[[#This Row],[Age]]&lt;=44,"35-44",IF(HR_Data[[#This Row],[Age]]&lt;=54,"45-54","55+"))))</f>
        <v>35-44</v>
      </c>
      <c r="AM813" s="1" t="str">
        <f>IF(HR_Data[[#This Row],[MonthlyIncome]]&lt;3000,"Low Salary",IF(HR_Data[[#This Row],[MonthlyIncome]]&lt;=7000,"Medium Salary","High Salary"))</f>
        <v>High Salary</v>
      </c>
      <c r="AN813" s="1" t="str">
        <f>IF(HR_Data[[#This Row],[YearsAtCompany]]&lt;2,"0-1 Years",IF(HR_Data[[#This Row],[YearsAtCompany]]&lt;=5,"2-5 Years",IF(HR_Data[[#This Row],[YearsAtCompany]]&lt;=10,"6-10 Years","10+ Years")))</f>
        <v>0-1 Years</v>
      </c>
      <c r="AO813" s="1" t="str">
        <f>IF(HR_Data[[#This Row],[JobSatisfaction]]=1,"Low",IF(HR_Data[[#This Row],[JobSatisfaction]]=2,"Medium",IF(HR_Data[[#This Row],[JobSatisfaction]]=3,"High","Very High")))</f>
        <v>Medium</v>
      </c>
      <c r="AP813" s="1" t="str">
        <f>IF(HR_Data[[#This Row],[WorkLifeBalance]]=1,"Bad",IF(HR_Data[[#This Row],[WorkLifeBalance]]=2,"Good",IF(HR_Data[[#This Row],[WorkLifeBalance]]=3,"Better","Best")))</f>
        <v>Better</v>
      </c>
    </row>
    <row r="814" spans="1:42" x14ac:dyDescent="0.3">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c r="AJ814">
        <f>IF(HR_Data[[#This Row],[Attrition]]="Yes",1,0)</f>
        <v>0</v>
      </c>
      <c r="AK814">
        <f>IF(HR_Data[[#This Row],[Attrition]]="No",1,0)</f>
        <v>1</v>
      </c>
      <c r="AL814" t="str">
        <f>IF(HR_Data[[#This Row],[Age]]&lt;25,"Under 25",IF(HR_Data[[#This Row],[Age]]&lt;=34,"25-34",IF(HR_Data[[#This Row],[Age]]&lt;=44,"35-44",IF(HR_Data[[#This Row],[Age]]&lt;=54,"45-54","55+"))))</f>
        <v>35-44</v>
      </c>
      <c r="AM814" s="1" t="str">
        <f>IF(HR_Data[[#This Row],[MonthlyIncome]]&lt;3000,"Low Salary",IF(HR_Data[[#This Row],[MonthlyIncome]]&lt;=7000,"Medium Salary","High Salary"))</f>
        <v>High Salary</v>
      </c>
      <c r="AN814" s="1" t="str">
        <f>IF(HR_Data[[#This Row],[YearsAtCompany]]&lt;2,"0-1 Years",IF(HR_Data[[#This Row],[YearsAtCompany]]&lt;=5,"2-5 Years",IF(HR_Data[[#This Row],[YearsAtCompany]]&lt;=10,"6-10 Years","10+ Years")))</f>
        <v>6-10 Years</v>
      </c>
      <c r="AO814" s="1" t="str">
        <f>IF(HR_Data[[#This Row],[JobSatisfaction]]=1,"Low",IF(HR_Data[[#This Row],[JobSatisfaction]]=2,"Medium",IF(HR_Data[[#This Row],[JobSatisfaction]]=3,"High","Very High")))</f>
        <v>Low</v>
      </c>
      <c r="AP814" s="1" t="str">
        <f>IF(HR_Data[[#This Row],[WorkLifeBalance]]=1,"Bad",IF(HR_Data[[#This Row],[WorkLifeBalance]]=2,"Good",IF(HR_Data[[#This Row],[WorkLifeBalance]]=3,"Better","Best")))</f>
        <v>Better</v>
      </c>
    </row>
    <row r="815" spans="1:42" x14ac:dyDescent="0.3">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c r="AJ815">
        <f>IF(HR_Data[[#This Row],[Attrition]]="Yes",1,0)</f>
        <v>1</v>
      </c>
      <c r="AK815">
        <f>IF(HR_Data[[#This Row],[Attrition]]="No",1,0)</f>
        <v>0</v>
      </c>
      <c r="AL815" t="str">
        <f>IF(HR_Data[[#This Row],[Age]]&lt;25,"Under 25",IF(HR_Data[[#This Row],[Age]]&lt;=34,"25-34",IF(HR_Data[[#This Row],[Age]]&lt;=44,"35-44",IF(HR_Data[[#This Row],[Age]]&lt;=54,"45-54","55+"))))</f>
        <v>35-44</v>
      </c>
      <c r="AM815" s="1" t="str">
        <f>IF(HR_Data[[#This Row],[MonthlyIncome]]&lt;3000,"Low Salary",IF(HR_Data[[#This Row],[MonthlyIncome]]&lt;=7000,"Medium Salary","High Salary"))</f>
        <v>High Salary</v>
      </c>
      <c r="AN815" s="1" t="str">
        <f>IF(HR_Data[[#This Row],[YearsAtCompany]]&lt;2,"0-1 Years",IF(HR_Data[[#This Row],[YearsAtCompany]]&lt;=5,"2-5 Years",IF(HR_Data[[#This Row],[YearsAtCompany]]&lt;=10,"6-10 Years","10+ Years")))</f>
        <v>10+ Years</v>
      </c>
      <c r="AO815" s="1" t="str">
        <f>IF(HR_Data[[#This Row],[JobSatisfaction]]=1,"Low",IF(HR_Data[[#This Row],[JobSatisfaction]]=2,"Medium",IF(HR_Data[[#This Row],[JobSatisfaction]]=3,"High","Very High")))</f>
        <v>Very High</v>
      </c>
      <c r="AP815" s="1" t="str">
        <f>IF(HR_Data[[#This Row],[WorkLifeBalance]]=1,"Bad",IF(HR_Data[[#This Row],[WorkLifeBalance]]=2,"Good",IF(HR_Data[[#This Row],[WorkLifeBalance]]=3,"Better","Best")))</f>
        <v>Better</v>
      </c>
    </row>
    <row r="816" spans="1:42" x14ac:dyDescent="0.3">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c r="AJ816">
        <f>IF(HR_Data[[#This Row],[Attrition]]="Yes",1,0)</f>
        <v>0</v>
      </c>
      <c r="AK816">
        <f>IF(HR_Data[[#This Row],[Attrition]]="No",1,0)</f>
        <v>1</v>
      </c>
      <c r="AL816" t="str">
        <f>IF(HR_Data[[#This Row],[Age]]&lt;25,"Under 25",IF(HR_Data[[#This Row],[Age]]&lt;=34,"25-34",IF(HR_Data[[#This Row],[Age]]&lt;=44,"35-44",IF(HR_Data[[#This Row],[Age]]&lt;=54,"45-54","55+"))))</f>
        <v>35-44</v>
      </c>
      <c r="AM816" s="1" t="str">
        <f>IF(HR_Data[[#This Row],[MonthlyIncome]]&lt;3000,"Low Salary",IF(HR_Data[[#This Row],[MonthlyIncome]]&lt;=7000,"Medium Salary","High Salary"))</f>
        <v>High Salary</v>
      </c>
      <c r="AN816" s="1" t="str">
        <f>IF(HR_Data[[#This Row],[YearsAtCompany]]&lt;2,"0-1 Years",IF(HR_Data[[#This Row],[YearsAtCompany]]&lt;=5,"2-5 Years",IF(HR_Data[[#This Row],[YearsAtCompany]]&lt;=10,"6-10 Years","10+ Years")))</f>
        <v>10+ Years</v>
      </c>
      <c r="AO816" s="1" t="str">
        <f>IF(HR_Data[[#This Row],[JobSatisfaction]]=1,"Low",IF(HR_Data[[#This Row],[JobSatisfaction]]=2,"Medium",IF(HR_Data[[#This Row],[JobSatisfaction]]=3,"High","Very High")))</f>
        <v>High</v>
      </c>
      <c r="AP816" s="1" t="str">
        <f>IF(HR_Data[[#This Row],[WorkLifeBalance]]=1,"Bad",IF(HR_Data[[#This Row],[WorkLifeBalance]]=2,"Good",IF(HR_Data[[#This Row],[WorkLifeBalance]]=3,"Better","Best")))</f>
        <v>Best</v>
      </c>
    </row>
    <row r="817" spans="1:42" x14ac:dyDescent="0.3">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c r="AJ817">
        <f>IF(HR_Data[[#This Row],[Attrition]]="Yes",1,0)</f>
        <v>0</v>
      </c>
      <c r="AK817">
        <f>IF(HR_Data[[#This Row],[Attrition]]="No",1,0)</f>
        <v>1</v>
      </c>
      <c r="AL817" t="str">
        <f>IF(HR_Data[[#This Row],[Age]]&lt;25,"Under 25",IF(HR_Data[[#This Row],[Age]]&lt;=34,"25-34",IF(HR_Data[[#This Row],[Age]]&lt;=44,"35-44",IF(HR_Data[[#This Row],[Age]]&lt;=54,"45-54","55+"))))</f>
        <v>Under 25</v>
      </c>
      <c r="AM817" s="1" t="str">
        <f>IF(HR_Data[[#This Row],[MonthlyIncome]]&lt;3000,"Low Salary",IF(HR_Data[[#This Row],[MonthlyIncome]]&lt;=7000,"Medium Salary","High Salary"))</f>
        <v>Low Salary</v>
      </c>
      <c r="AN817" s="1" t="str">
        <f>IF(HR_Data[[#This Row],[YearsAtCompany]]&lt;2,"0-1 Years",IF(HR_Data[[#This Row],[YearsAtCompany]]&lt;=5,"2-5 Years",IF(HR_Data[[#This Row],[YearsAtCompany]]&lt;=10,"6-10 Years","10+ Years")))</f>
        <v>2-5 Years</v>
      </c>
      <c r="AO817" s="1" t="str">
        <f>IF(HR_Data[[#This Row],[JobSatisfaction]]=1,"Low",IF(HR_Data[[#This Row],[JobSatisfaction]]=2,"Medium",IF(HR_Data[[#This Row],[JobSatisfaction]]=3,"High","Very High")))</f>
        <v>Medium</v>
      </c>
      <c r="AP817" s="1" t="str">
        <f>IF(HR_Data[[#This Row],[WorkLifeBalance]]=1,"Bad",IF(HR_Data[[#This Row],[WorkLifeBalance]]=2,"Good",IF(HR_Data[[#This Row],[WorkLifeBalance]]=3,"Better","Best")))</f>
        <v>Best</v>
      </c>
    </row>
    <row r="818" spans="1:42" x14ac:dyDescent="0.3">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c r="AJ818">
        <f>IF(HR_Data[[#This Row],[Attrition]]="Yes",1,0)</f>
        <v>0</v>
      </c>
      <c r="AK818">
        <f>IF(HR_Data[[#This Row],[Attrition]]="No",1,0)</f>
        <v>1</v>
      </c>
      <c r="AL818" t="str">
        <f>IF(HR_Data[[#This Row],[Age]]&lt;25,"Under 25",IF(HR_Data[[#This Row],[Age]]&lt;=34,"25-34",IF(HR_Data[[#This Row],[Age]]&lt;=44,"35-44",IF(HR_Data[[#This Row],[Age]]&lt;=54,"45-54","55+"))))</f>
        <v>35-44</v>
      </c>
      <c r="AM818" s="1" t="str">
        <f>IF(HR_Data[[#This Row],[MonthlyIncome]]&lt;3000,"Low Salary",IF(HR_Data[[#This Row],[MonthlyIncome]]&lt;=7000,"Medium Salary","High Salary"))</f>
        <v>Medium Salary</v>
      </c>
      <c r="AN818" s="1" t="str">
        <f>IF(HR_Data[[#This Row],[YearsAtCompany]]&lt;2,"0-1 Years",IF(HR_Data[[#This Row],[YearsAtCompany]]&lt;=5,"2-5 Years",IF(HR_Data[[#This Row],[YearsAtCompany]]&lt;=10,"6-10 Years","10+ Years")))</f>
        <v>2-5 Years</v>
      </c>
      <c r="AO818" s="1" t="str">
        <f>IF(HR_Data[[#This Row],[JobSatisfaction]]=1,"Low",IF(HR_Data[[#This Row],[JobSatisfaction]]=2,"Medium",IF(HR_Data[[#This Row],[JobSatisfaction]]=3,"High","Very High")))</f>
        <v>Medium</v>
      </c>
      <c r="AP818" s="1" t="str">
        <f>IF(HR_Data[[#This Row],[WorkLifeBalance]]=1,"Bad",IF(HR_Data[[#This Row],[WorkLifeBalance]]=2,"Good",IF(HR_Data[[#This Row],[WorkLifeBalance]]=3,"Better","Best")))</f>
        <v>Good</v>
      </c>
    </row>
    <row r="819" spans="1:42" x14ac:dyDescent="0.3">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c r="AJ819">
        <f>IF(HR_Data[[#This Row],[Attrition]]="Yes",1,0)</f>
        <v>0</v>
      </c>
      <c r="AK819">
        <f>IF(HR_Data[[#This Row],[Attrition]]="No",1,0)</f>
        <v>1</v>
      </c>
      <c r="AL819" t="str">
        <f>IF(HR_Data[[#This Row],[Age]]&lt;25,"Under 25",IF(HR_Data[[#This Row],[Age]]&lt;=34,"25-34",IF(HR_Data[[#This Row],[Age]]&lt;=44,"35-44",IF(HR_Data[[#This Row],[Age]]&lt;=54,"45-54","55+"))))</f>
        <v>35-44</v>
      </c>
      <c r="AM819" s="1" t="str">
        <f>IF(HR_Data[[#This Row],[MonthlyIncome]]&lt;3000,"Low Salary",IF(HR_Data[[#This Row],[MonthlyIncome]]&lt;=7000,"Medium Salary","High Salary"))</f>
        <v>High Salary</v>
      </c>
      <c r="AN819" s="1" t="str">
        <f>IF(HR_Data[[#This Row],[YearsAtCompany]]&lt;2,"0-1 Years",IF(HR_Data[[#This Row],[YearsAtCompany]]&lt;=5,"2-5 Years",IF(HR_Data[[#This Row],[YearsAtCompany]]&lt;=10,"6-10 Years","10+ Years")))</f>
        <v>10+ Years</v>
      </c>
      <c r="AO819" s="1" t="str">
        <f>IF(HR_Data[[#This Row],[JobSatisfaction]]=1,"Low",IF(HR_Data[[#This Row],[JobSatisfaction]]=2,"Medium",IF(HR_Data[[#This Row],[JobSatisfaction]]=3,"High","Very High")))</f>
        <v>Very High</v>
      </c>
      <c r="AP819" s="1" t="str">
        <f>IF(HR_Data[[#This Row],[WorkLifeBalance]]=1,"Bad",IF(HR_Data[[#This Row],[WorkLifeBalance]]=2,"Good",IF(HR_Data[[#This Row],[WorkLifeBalance]]=3,"Better","Best")))</f>
        <v>Better</v>
      </c>
    </row>
    <row r="820" spans="1:42" x14ac:dyDescent="0.3">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c r="AJ820">
        <f>IF(HR_Data[[#This Row],[Attrition]]="Yes",1,0)</f>
        <v>0</v>
      </c>
      <c r="AK820">
        <f>IF(HR_Data[[#This Row],[Attrition]]="No",1,0)</f>
        <v>1</v>
      </c>
      <c r="AL820" t="str">
        <f>IF(HR_Data[[#This Row],[Age]]&lt;25,"Under 25",IF(HR_Data[[#This Row],[Age]]&lt;=34,"25-34",IF(HR_Data[[#This Row],[Age]]&lt;=44,"35-44",IF(HR_Data[[#This Row],[Age]]&lt;=54,"45-54","55+"))))</f>
        <v>25-34</v>
      </c>
      <c r="AM820" s="1" t="str">
        <f>IF(HR_Data[[#This Row],[MonthlyIncome]]&lt;3000,"Low Salary",IF(HR_Data[[#This Row],[MonthlyIncome]]&lt;=7000,"Medium Salary","High Salary"))</f>
        <v>Low Salary</v>
      </c>
      <c r="AN820" s="1" t="str">
        <f>IF(HR_Data[[#This Row],[YearsAtCompany]]&lt;2,"0-1 Years",IF(HR_Data[[#This Row],[YearsAtCompany]]&lt;=5,"2-5 Years",IF(HR_Data[[#This Row],[YearsAtCompany]]&lt;=10,"6-10 Years","10+ Years")))</f>
        <v>2-5 Years</v>
      </c>
      <c r="AO820" s="1" t="str">
        <f>IF(HR_Data[[#This Row],[JobSatisfaction]]=1,"Low",IF(HR_Data[[#This Row],[JobSatisfaction]]=2,"Medium",IF(HR_Data[[#This Row],[JobSatisfaction]]=3,"High","Very High")))</f>
        <v>Very High</v>
      </c>
      <c r="AP820" s="1" t="str">
        <f>IF(HR_Data[[#This Row],[WorkLifeBalance]]=1,"Bad",IF(HR_Data[[#This Row],[WorkLifeBalance]]=2,"Good",IF(HR_Data[[#This Row],[WorkLifeBalance]]=3,"Better","Best")))</f>
        <v>Better</v>
      </c>
    </row>
    <row r="821" spans="1:42" x14ac:dyDescent="0.3">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c r="AJ821">
        <f>IF(HR_Data[[#This Row],[Attrition]]="Yes",1,0)</f>
        <v>0</v>
      </c>
      <c r="AK821">
        <f>IF(HR_Data[[#This Row],[Attrition]]="No",1,0)</f>
        <v>1</v>
      </c>
      <c r="AL821" t="str">
        <f>IF(HR_Data[[#This Row],[Age]]&lt;25,"Under 25",IF(HR_Data[[#This Row],[Age]]&lt;=34,"25-34",IF(HR_Data[[#This Row],[Age]]&lt;=44,"35-44",IF(HR_Data[[#This Row],[Age]]&lt;=54,"45-54","55+"))))</f>
        <v>25-34</v>
      </c>
      <c r="AM821" s="1" t="str">
        <f>IF(HR_Data[[#This Row],[MonthlyIncome]]&lt;3000,"Low Salary",IF(HR_Data[[#This Row],[MonthlyIncome]]&lt;=7000,"Medium Salary","High Salary"))</f>
        <v>Medium Salary</v>
      </c>
      <c r="AN821" s="1" t="str">
        <f>IF(HR_Data[[#This Row],[YearsAtCompany]]&lt;2,"0-1 Years",IF(HR_Data[[#This Row],[YearsAtCompany]]&lt;=5,"2-5 Years",IF(HR_Data[[#This Row],[YearsAtCompany]]&lt;=10,"6-10 Years","10+ Years")))</f>
        <v>2-5 Years</v>
      </c>
      <c r="AO821" s="1" t="str">
        <f>IF(HR_Data[[#This Row],[JobSatisfaction]]=1,"Low",IF(HR_Data[[#This Row],[JobSatisfaction]]=2,"Medium",IF(HR_Data[[#This Row],[JobSatisfaction]]=3,"High","Very High")))</f>
        <v>Medium</v>
      </c>
      <c r="AP821" s="1" t="str">
        <f>IF(HR_Data[[#This Row],[WorkLifeBalance]]=1,"Bad",IF(HR_Data[[#This Row],[WorkLifeBalance]]=2,"Good",IF(HR_Data[[#This Row],[WorkLifeBalance]]=3,"Better","Best")))</f>
        <v>Bad</v>
      </c>
    </row>
    <row r="822" spans="1:42" x14ac:dyDescent="0.3">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c r="AJ822">
        <f>IF(HR_Data[[#This Row],[Attrition]]="Yes",1,0)</f>
        <v>0</v>
      </c>
      <c r="AK822">
        <f>IF(HR_Data[[#This Row],[Attrition]]="No",1,0)</f>
        <v>1</v>
      </c>
      <c r="AL822" t="str">
        <f>IF(HR_Data[[#This Row],[Age]]&lt;25,"Under 25",IF(HR_Data[[#This Row],[Age]]&lt;=34,"25-34",IF(HR_Data[[#This Row],[Age]]&lt;=44,"35-44",IF(HR_Data[[#This Row],[Age]]&lt;=54,"45-54","55+"))))</f>
        <v>35-44</v>
      </c>
      <c r="AM822" s="1" t="str">
        <f>IF(HR_Data[[#This Row],[MonthlyIncome]]&lt;3000,"Low Salary",IF(HR_Data[[#This Row],[MonthlyIncome]]&lt;=7000,"Medium Salary","High Salary"))</f>
        <v>Medium Salary</v>
      </c>
      <c r="AN822" s="1" t="str">
        <f>IF(HR_Data[[#This Row],[YearsAtCompany]]&lt;2,"0-1 Years",IF(HR_Data[[#This Row],[YearsAtCompany]]&lt;=5,"2-5 Years",IF(HR_Data[[#This Row],[YearsAtCompany]]&lt;=10,"6-10 Years","10+ Years")))</f>
        <v>2-5 Years</v>
      </c>
      <c r="AO822" s="1" t="str">
        <f>IF(HR_Data[[#This Row],[JobSatisfaction]]=1,"Low",IF(HR_Data[[#This Row],[JobSatisfaction]]=2,"Medium",IF(HR_Data[[#This Row],[JobSatisfaction]]=3,"High","Very High")))</f>
        <v>Very High</v>
      </c>
      <c r="AP822" s="1" t="str">
        <f>IF(HR_Data[[#This Row],[WorkLifeBalance]]=1,"Bad",IF(HR_Data[[#This Row],[WorkLifeBalance]]=2,"Good",IF(HR_Data[[#This Row],[WorkLifeBalance]]=3,"Better","Best")))</f>
        <v>Better</v>
      </c>
    </row>
    <row r="823" spans="1:42" x14ac:dyDescent="0.3">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c r="AJ823">
        <f>IF(HR_Data[[#This Row],[Attrition]]="Yes",1,0)</f>
        <v>0</v>
      </c>
      <c r="AK823">
        <f>IF(HR_Data[[#This Row],[Attrition]]="No",1,0)</f>
        <v>1</v>
      </c>
      <c r="AL823" t="str">
        <f>IF(HR_Data[[#This Row],[Age]]&lt;25,"Under 25",IF(HR_Data[[#This Row],[Age]]&lt;=34,"25-34",IF(HR_Data[[#This Row],[Age]]&lt;=44,"35-44",IF(HR_Data[[#This Row],[Age]]&lt;=54,"45-54","55+"))))</f>
        <v>45-54</v>
      </c>
      <c r="AM823" s="1" t="str">
        <f>IF(HR_Data[[#This Row],[MonthlyIncome]]&lt;3000,"Low Salary",IF(HR_Data[[#This Row],[MonthlyIncome]]&lt;=7000,"Medium Salary","High Salary"))</f>
        <v>High Salary</v>
      </c>
      <c r="AN823" s="1" t="str">
        <f>IF(HR_Data[[#This Row],[YearsAtCompany]]&lt;2,"0-1 Years",IF(HR_Data[[#This Row],[YearsAtCompany]]&lt;=5,"2-5 Years",IF(HR_Data[[#This Row],[YearsAtCompany]]&lt;=10,"6-10 Years","10+ Years")))</f>
        <v>6-10 Years</v>
      </c>
      <c r="AO823" s="1" t="str">
        <f>IF(HR_Data[[#This Row],[JobSatisfaction]]=1,"Low",IF(HR_Data[[#This Row],[JobSatisfaction]]=2,"Medium",IF(HR_Data[[#This Row],[JobSatisfaction]]=3,"High","Very High")))</f>
        <v>Medium</v>
      </c>
      <c r="AP823" s="1" t="str">
        <f>IF(HR_Data[[#This Row],[WorkLifeBalance]]=1,"Bad",IF(HR_Data[[#This Row],[WorkLifeBalance]]=2,"Good",IF(HR_Data[[#This Row],[WorkLifeBalance]]=3,"Better","Best")))</f>
        <v>Better</v>
      </c>
    </row>
    <row r="824" spans="1:42" x14ac:dyDescent="0.3">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c r="AJ824">
        <f>IF(HR_Data[[#This Row],[Attrition]]="Yes",1,0)</f>
        <v>0</v>
      </c>
      <c r="AK824">
        <f>IF(HR_Data[[#This Row],[Attrition]]="No",1,0)</f>
        <v>1</v>
      </c>
      <c r="AL824" t="str">
        <f>IF(HR_Data[[#This Row],[Age]]&lt;25,"Under 25",IF(HR_Data[[#This Row],[Age]]&lt;=34,"25-34",IF(HR_Data[[#This Row],[Age]]&lt;=44,"35-44",IF(HR_Data[[#This Row],[Age]]&lt;=54,"45-54","55+"))))</f>
        <v>25-34</v>
      </c>
      <c r="AM824" s="1" t="str">
        <f>IF(HR_Data[[#This Row],[MonthlyIncome]]&lt;3000,"Low Salary",IF(HR_Data[[#This Row],[MonthlyIncome]]&lt;=7000,"Medium Salary","High Salary"))</f>
        <v>Medium Salary</v>
      </c>
      <c r="AN824" s="1" t="str">
        <f>IF(HR_Data[[#This Row],[YearsAtCompany]]&lt;2,"0-1 Years",IF(HR_Data[[#This Row],[YearsAtCompany]]&lt;=5,"2-5 Years",IF(HR_Data[[#This Row],[YearsAtCompany]]&lt;=10,"6-10 Years","10+ Years")))</f>
        <v>2-5 Years</v>
      </c>
      <c r="AO824" s="1" t="str">
        <f>IF(HR_Data[[#This Row],[JobSatisfaction]]=1,"Low",IF(HR_Data[[#This Row],[JobSatisfaction]]=2,"Medium",IF(HR_Data[[#This Row],[JobSatisfaction]]=3,"High","Very High")))</f>
        <v>High</v>
      </c>
      <c r="AP824" s="1" t="str">
        <f>IF(HR_Data[[#This Row],[WorkLifeBalance]]=1,"Bad",IF(HR_Data[[#This Row],[WorkLifeBalance]]=2,"Good",IF(HR_Data[[#This Row],[WorkLifeBalance]]=3,"Better","Best")))</f>
        <v>Good</v>
      </c>
    </row>
    <row r="825" spans="1:42" x14ac:dyDescent="0.3">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c r="AJ825">
        <f>IF(HR_Data[[#This Row],[Attrition]]="Yes",1,0)</f>
        <v>0</v>
      </c>
      <c r="AK825">
        <f>IF(HR_Data[[#This Row],[Attrition]]="No",1,0)</f>
        <v>1</v>
      </c>
      <c r="AL825" t="str">
        <f>IF(HR_Data[[#This Row],[Age]]&lt;25,"Under 25",IF(HR_Data[[#This Row],[Age]]&lt;=34,"25-34",IF(HR_Data[[#This Row],[Age]]&lt;=44,"35-44",IF(HR_Data[[#This Row],[Age]]&lt;=54,"45-54","55+"))))</f>
        <v>25-34</v>
      </c>
      <c r="AM825" s="1" t="str">
        <f>IF(HR_Data[[#This Row],[MonthlyIncome]]&lt;3000,"Low Salary",IF(HR_Data[[#This Row],[MonthlyIncome]]&lt;=7000,"Medium Salary","High Salary"))</f>
        <v>Medium Salary</v>
      </c>
      <c r="AN825" s="1" t="str">
        <f>IF(HR_Data[[#This Row],[YearsAtCompany]]&lt;2,"0-1 Years",IF(HR_Data[[#This Row],[YearsAtCompany]]&lt;=5,"2-5 Years",IF(HR_Data[[#This Row],[YearsAtCompany]]&lt;=10,"6-10 Years","10+ Years")))</f>
        <v>6-10 Years</v>
      </c>
      <c r="AO825" s="1" t="str">
        <f>IF(HR_Data[[#This Row],[JobSatisfaction]]=1,"Low",IF(HR_Data[[#This Row],[JobSatisfaction]]=2,"Medium",IF(HR_Data[[#This Row],[JobSatisfaction]]=3,"High","Very High")))</f>
        <v>Medium</v>
      </c>
      <c r="AP825" s="1" t="str">
        <f>IF(HR_Data[[#This Row],[WorkLifeBalance]]=1,"Bad",IF(HR_Data[[#This Row],[WorkLifeBalance]]=2,"Good",IF(HR_Data[[#This Row],[WorkLifeBalance]]=3,"Better","Best")))</f>
        <v>Good</v>
      </c>
    </row>
    <row r="826" spans="1:42" x14ac:dyDescent="0.3">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c r="AJ826">
        <f>IF(HR_Data[[#This Row],[Attrition]]="Yes",1,0)</f>
        <v>0</v>
      </c>
      <c r="AK826">
        <f>IF(HR_Data[[#This Row],[Attrition]]="No",1,0)</f>
        <v>1</v>
      </c>
      <c r="AL826" t="str">
        <f>IF(HR_Data[[#This Row],[Age]]&lt;25,"Under 25",IF(HR_Data[[#This Row],[Age]]&lt;=34,"25-34",IF(HR_Data[[#This Row],[Age]]&lt;=44,"35-44",IF(HR_Data[[#This Row],[Age]]&lt;=54,"45-54","55+"))))</f>
        <v>35-44</v>
      </c>
      <c r="AM826" s="1" t="str">
        <f>IF(HR_Data[[#This Row],[MonthlyIncome]]&lt;3000,"Low Salary",IF(HR_Data[[#This Row],[MonthlyIncome]]&lt;=7000,"Medium Salary","High Salary"))</f>
        <v>Medium Salary</v>
      </c>
      <c r="AN826" s="1" t="str">
        <f>IF(HR_Data[[#This Row],[YearsAtCompany]]&lt;2,"0-1 Years",IF(HR_Data[[#This Row],[YearsAtCompany]]&lt;=5,"2-5 Years",IF(HR_Data[[#This Row],[YearsAtCompany]]&lt;=10,"6-10 Years","10+ Years")))</f>
        <v>0-1 Years</v>
      </c>
      <c r="AO826" s="1" t="str">
        <f>IF(HR_Data[[#This Row],[JobSatisfaction]]=1,"Low",IF(HR_Data[[#This Row],[JobSatisfaction]]=2,"Medium",IF(HR_Data[[#This Row],[JobSatisfaction]]=3,"High","Very High")))</f>
        <v>Very High</v>
      </c>
      <c r="AP826" s="1" t="str">
        <f>IF(HR_Data[[#This Row],[WorkLifeBalance]]=1,"Bad",IF(HR_Data[[#This Row],[WorkLifeBalance]]=2,"Good",IF(HR_Data[[#This Row],[WorkLifeBalance]]=3,"Better","Best")))</f>
        <v>Better</v>
      </c>
    </row>
    <row r="827" spans="1:42" x14ac:dyDescent="0.3">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c r="AJ827">
        <f>IF(HR_Data[[#This Row],[Attrition]]="Yes",1,0)</f>
        <v>0</v>
      </c>
      <c r="AK827">
        <f>IF(HR_Data[[#This Row],[Attrition]]="No",1,0)</f>
        <v>1</v>
      </c>
      <c r="AL827" t="str">
        <f>IF(HR_Data[[#This Row],[Age]]&lt;25,"Under 25",IF(HR_Data[[#This Row],[Age]]&lt;=34,"25-34",IF(HR_Data[[#This Row],[Age]]&lt;=44,"35-44",IF(HR_Data[[#This Row],[Age]]&lt;=54,"45-54","55+"))))</f>
        <v>25-34</v>
      </c>
      <c r="AM827" s="1" t="str">
        <f>IF(HR_Data[[#This Row],[MonthlyIncome]]&lt;3000,"Low Salary",IF(HR_Data[[#This Row],[MonthlyIncome]]&lt;=7000,"Medium Salary","High Salary"))</f>
        <v>Medium Salary</v>
      </c>
      <c r="AN827" s="1" t="str">
        <f>IF(HR_Data[[#This Row],[YearsAtCompany]]&lt;2,"0-1 Years",IF(HR_Data[[#This Row],[YearsAtCompany]]&lt;=5,"2-5 Years",IF(HR_Data[[#This Row],[YearsAtCompany]]&lt;=10,"6-10 Years","10+ Years")))</f>
        <v>6-10 Years</v>
      </c>
      <c r="AO827" s="1" t="str">
        <f>IF(HR_Data[[#This Row],[JobSatisfaction]]=1,"Low",IF(HR_Data[[#This Row],[JobSatisfaction]]=2,"Medium",IF(HR_Data[[#This Row],[JobSatisfaction]]=3,"High","Very High")))</f>
        <v>Very High</v>
      </c>
      <c r="AP827" s="1" t="str">
        <f>IF(HR_Data[[#This Row],[WorkLifeBalance]]=1,"Bad",IF(HR_Data[[#This Row],[WorkLifeBalance]]=2,"Good",IF(HR_Data[[#This Row],[WorkLifeBalance]]=3,"Better","Best")))</f>
        <v>Good</v>
      </c>
    </row>
    <row r="828" spans="1:42" x14ac:dyDescent="0.3">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c r="AJ828">
        <f>IF(HR_Data[[#This Row],[Attrition]]="Yes",1,0)</f>
        <v>0</v>
      </c>
      <c r="AK828">
        <f>IF(HR_Data[[#This Row],[Attrition]]="No",1,0)</f>
        <v>1</v>
      </c>
      <c r="AL828" t="str">
        <f>IF(HR_Data[[#This Row],[Age]]&lt;25,"Under 25",IF(HR_Data[[#This Row],[Age]]&lt;=34,"25-34",IF(HR_Data[[#This Row],[Age]]&lt;=44,"35-44",IF(HR_Data[[#This Row],[Age]]&lt;=54,"45-54","55+"))))</f>
        <v>35-44</v>
      </c>
      <c r="AM828" s="1" t="str">
        <f>IF(HR_Data[[#This Row],[MonthlyIncome]]&lt;3000,"Low Salary",IF(HR_Data[[#This Row],[MonthlyIncome]]&lt;=7000,"Medium Salary","High Salary"))</f>
        <v>Low Salary</v>
      </c>
      <c r="AN828" s="1" t="str">
        <f>IF(HR_Data[[#This Row],[YearsAtCompany]]&lt;2,"0-1 Years",IF(HR_Data[[#This Row],[YearsAtCompany]]&lt;=5,"2-5 Years",IF(HR_Data[[#This Row],[YearsAtCompany]]&lt;=10,"6-10 Years","10+ Years")))</f>
        <v>6-10 Years</v>
      </c>
      <c r="AO828" s="1" t="str">
        <f>IF(HR_Data[[#This Row],[JobSatisfaction]]=1,"Low",IF(HR_Data[[#This Row],[JobSatisfaction]]=2,"Medium",IF(HR_Data[[#This Row],[JobSatisfaction]]=3,"High","Very High")))</f>
        <v>High</v>
      </c>
      <c r="AP828" s="1" t="str">
        <f>IF(HR_Data[[#This Row],[WorkLifeBalance]]=1,"Bad",IF(HR_Data[[#This Row],[WorkLifeBalance]]=2,"Good",IF(HR_Data[[#This Row],[WorkLifeBalance]]=3,"Better","Best")))</f>
        <v>Best</v>
      </c>
    </row>
    <row r="829" spans="1:42" x14ac:dyDescent="0.3">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c r="AJ829">
        <f>IF(HR_Data[[#This Row],[Attrition]]="Yes",1,0)</f>
        <v>0</v>
      </c>
      <c r="AK829">
        <f>IF(HR_Data[[#This Row],[Attrition]]="No",1,0)</f>
        <v>1</v>
      </c>
      <c r="AL829" t="str">
        <f>IF(HR_Data[[#This Row],[Age]]&lt;25,"Under 25",IF(HR_Data[[#This Row],[Age]]&lt;=34,"25-34",IF(HR_Data[[#This Row],[Age]]&lt;=44,"35-44",IF(HR_Data[[#This Row],[Age]]&lt;=54,"45-54","55+"))))</f>
        <v>25-34</v>
      </c>
      <c r="AM829" s="1" t="str">
        <f>IF(HR_Data[[#This Row],[MonthlyIncome]]&lt;3000,"Low Salary",IF(HR_Data[[#This Row],[MonthlyIncome]]&lt;=7000,"Medium Salary","High Salary"))</f>
        <v>Low Salary</v>
      </c>
      <c r="AN829" s="1" t="str">
        <f>IF(HR_Data[[#This Row],[YearsAtCompany]]&lt;2,"0-1 Years",IF(HR_Data[[#This Row],[YearsAtCompany]]&lt;=5,"2-5 Years",IF(HR_Data[[#This Row],[YearsAtCompany]]&lt;=10,"6-10 Years","10+ Years")))</f>
        <v>2-5 Years</v>
      </c>
      <c r="AO829" s="1" t="str">
        <f>IF(HR_Data[[#This Row],[JobSatisfaction]]=1,"Low",IF(HR_Data[[#This Row],[JobSatisfaction]]=2,"Medium",IF(HR_Data[[#This Row],[JobSatisfaction]]=3,"High","Very High")))</f>
        <v>High</v>
      </c>
      <c r="AP829" s="1" t="str">
        <f>IF(HR_Data[[#This Row],[WorkLifeBalance]]=1,"Bad",IF(HR_Data[[#This Row],[WorkLifeBalance]]=2,"Good",IF(HR_Data[[#This Row],[WorkLifeBalance]]=3,"Better","Best")))</f>
        <v>Better</v>
      </c>
    </row>
    <row r="830" spans="1:42" x14ac:dyDescent="0.3">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c r="AJ830">
        <f>IF(HR_Data[[#This Row],[Attrition]]="Yes",1,0)</f>
        <v>1</v>
      </c>
      <c r="AK830">
        <f>IF(HR_Data[[#This Row],[Attrition]]="No",1,0)</f>
        <v>0</v>
      </c>
      <c r="AL830" t="str">
        <f>IF(HR_Data[[#This Row],[Age]]&lt;25,"Under 25",IF(HR_Data[[#This Row],[Age]]&lt;=34,"25-34",IF(HR_Data[[#This Row],[Age]]&lt;=44,"35-44",IF(HR_Data[[#This Row],[Age]]&lt;=54,"45-54","55+"))))</f>
        <v>Under 25</v>
      </c>
      <c r="AM830" s="1" t="str">
        <f>IF(HR_Data[[#This Row],[MonthlyIncome]]&lt;3000,"Low Salary",IF(HR_Data[[#This Row],[MonthlyIncome]]&lt;=7000,"Medium Salary","High Salary"))</f>
        <v>Low Salary</v>
      </c>
      <c r="AN830" s="1" t="str">
        <f>IF(HR_Data[[#This Row],[YearsAtCompany]]&lt;2,"0-1 Years",IF(HR_Data[[#This Row],[YearsAtCompany]]&lt;=5,"2-5 Years",IF(HR_Data[[#This Row],[YearsAtCompany]]&lt;=10,"6-10 Years","10+ Years")))</f>
        <v>0-1 Years</v>
      </c>
      <c r="AO830" s="1" t="str">
        <f>IF(HR_Data[[#This Row],[JobSatisfaction]]=1,"Low",IF(HR_Data[[#This Row],[JobSatisfaction]]=2,"Medium",IF(HR_Data[[#This Row],[JobSatisfaction]]=3,"High","Very High")))</f>
        <v>High</v>
      </c>
      <c r="AP830" s="1" t="str">
        <f>IF(HR_Data[[#This Row],[WorkLifeBalance]]=1,"Bad",IF(HR_Data[[#This Row],[WorkLifeBalance]]=2,"Good",IF(HR_Data[[#This Row],[WorkLifeBalance]]=3,"Better","Best")))</f>
        <v>Better</v>
      </c>
    </row>
    <row r="831" spans="1:42" x14ac:dyDescent="0.3">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c r="AJ831">
        <f>IF(HR_Data[[#This Row],[Attrition]]="Yes",1,0)</f>
        <v>1</v>
      </c>
      <c r="AK831">
        <f>IF(HR_Data[[#This Row],[Attrition]]="No",1,0)</f>
        <v>0</v>
      </c>
      <c r="AL831" t="str">
        <f>IF(HR_Data[[#This Row],[Age]]&lt;25,"Under 25",IF(HR_Data[[#This Row],[Age]]&lt;=34,"25-34",IF(HR_Data[[#This Row],[Age]]&lt;=44,"35-44",IF(HR_Data[[#This Row],[Age]]&lt;=54,"45-54","55+"))))</f>
        <v>25-34</v>
      </c>
      <c r="AM831" s="1" t="str">
        <f>IF(HR_Data[[#This Row],[MonthlyIncome]]&lt;3000,"Low Salary",IF(HR_Data[[#This Row],[MonthlyIncome]]&lt;=7000,"Medium Salary","High Salary"))</f>
        <v>High Salary</v>
      </c>
      <c r="AN831" s="1" t="str">
        <f>IF(HR_Data[[#This Row],[YearsAtCompany]]&lt;2,"0-1 Years",IF(HR_Data[[#This Row],[YearsAtCompany]]&lt;=5,"2-5 Years",IF(HR_Data[[#This Row],[YearsAtCompany]]&lt;=10,"6-10 Years","10+ Years")))</f>
        <v>2-5 Years</v>
      </c>
      <c r="AO831" s="1" t="str">
        <f>IF(HR_Data[[#This Row],[JobSatisfaction]]=1,"Low",IF(HR_Data[[#This Row],[JobSatisfaction]]=2,"Medium",IF(HR_Data[[#This Row],[JobSatisfaction]]=3,"High","Very High")))</f>
        <v>Low</v>
      </c>
      <c r="AP831" s="1" t="str">
        <f>IF(HR_Data[[#This Row],[WorkLifeBalance]]=1,"Bad",IF(HR_Data[[#This Row],[WorkLifeBalance]]=2,"Good",IF(HR_Data[[#This Row],[WorkLifeBalance]]=3,"Better","Best")))</f>
        <v>Better</v>
      </c>
    </row>
    <row r="832" spans="1:42" x14ac:dyDescent="0.3">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c r="AJ832">
        <f>IF(HR_Data[[#This Row],[Attrition]]="Yes",1,0)</f>
        <v>0</v>
      </c>
      <c r="AK832">
        <f>IF(HR_Data[[#This Row],[Attrition]]="No",1,0)</f>
        <v>1</v>
      </c>
      <c r="AL832" t="str">
        <f>IF(HR_Data[[#This Row],[Age]]&lt;25,"Under 25",IF(HR_Data[[#This Row],[Age]]&lt;=34,"25-34",IF(HR_Data[[#This Row],[Age]]&lt;=44,"35-44",IF(HR_Data[[#This Row],[Age]]&lt;=54,"45-54","55+"))))</f>
        <v>35-44</v>
      </c>
      <c r="AM832" s="1" t="str">
        <f>IF(HR_Data[[#This Row],[MonthlyIncome]]&lt;3000,"Low Salary",IF(HR_Data[[#This Row],[MonthlyIncome]]&lt;=7000,"Medium Salary","High Salary"))</f>
        <v>Medium Salary</v>
      </c>
      <c r="AN832" s="1" t="str">
        <f>IF(HR_Data[[#This Row],[YearsAtCompany]]&lt;2,"0-1 Years",IF(HR_Data[[#This Row],[YearsAtCompany]]&lt;=5,"2-5 Years",IF(HR_Data[[#This Row],[YearsAtCompany]]&lt;=10,"6-10 Years","10+ Years")))</f>
        <v>0-1 Years</v>
      </c>
      <c r="AO832" s="1" t="str">
        <f>IF(HR_Data[[#This Row],[JobSatisfaction]]=1,"Low",IF(HR_Data[[#This Row],[JobSatisfaction]]=2,"Medium",IF(HR_Data[[#This Row],[JobSatisfaction]]=3,"High","Very High")))</f>
        <v>Very High</v>
      </c>
      <c r="AP832" s="1" t="str">
        <f>IF(HR_Data[[#This Row],[WorkLifeBalance]]=1,"Bad",IF(HR_Data[[#This Row],[WorkLifeBalance]]=2,"Good",IF(HR_Data[[#This Row],[WorkLifeBalance]]=3,"Better","Best")))</f>
        <v>Better</v>
      </c>
    </row>
    <row r="833" spans="1:42" x14ac:dyDescent="0.3">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c r="AJ833">
        <f>IF(HR_Data[[#This Row],[Attrition]]="Yes",1,0)</f>
        <v>1</v>
      </c>
      <c r="AK833">
        <f>IF(HR_Data[[#This Row],[Attrition]]="No",1,0)</f>
        <v>0</v>
      </c>
      <c r="AL833" t="str">
        <f>IF(HR_Data[[#This Row],[Age]]&lt;25,"Under 25",IF(HR_Data[[#This Row],[Age]]&lt;=34,"25-34",IF(HR_Data[[#This Row],[Age]]&lt;=44,"35-44",IF(HR_Data[[#This Row],[Age]]&lt;=54,"45-54","55+"))))</f>
        <v>25-34</v>
      </c>
      <c r="AM833" s="1" t="str">
        <f>IF(HR_Data[[#This Row],[MonthlyIncome]]&lt;3000,"Low Salary",IF(HR_Data[[#This Row],[MonthlyIncome]]&lt;=7000,"Medium Salary","High Salary"))</f>
        <v>Low Salary</v>
      </c>
      <c r="AN833" s="1" t="str">
        <f>IF(HR_Data[[#This Row],[YearsAtCompany]]&lt;2,"0-1 Years",IF(HR_Data[[#This Row],[YearsAtCompany]]&lt;=5,"2-5 Years",IF(HR_Data[[#This Row],[YearsAtCompany]]&lt;=10,"6-10 Years","10+ Years")))</f>
        <v>2-5 Years</v>
      </c>
      <c r="AO833" s="1" t="str">
        <f>IF(HR_Data[[#This Row],[JobSatisfaction]]=1,"Low",IF(HR_Data[[#This Row],[JobSatisfaction]]=2,"Medium",IF(HR_Data[[#This Row],[JobSatisfaction]]=3,"High","Very High")))</f>
        <v>High</v>
      </c>
      <c r="AP833" s="1" t="str">
        <f>IF(HR_Data[[#This Row],[WorkLifeBalance]]=1,"Bad",IF(HR_Data[[#This Row],[WorkLifeBalance]]=2,"Good",IF(HR_Data[[#This Row],[WorkLifeBalance]]=3,"Better","Best")))</f>
        <v>Good</v>
      </c>
    </row>
    <row r="834" spans="1:42" x14ac:dyDescent="0.3">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c r="AJ834">
        <f>IF(HR_Data[[#This Row],[Attrition]]="Yes",1,0)</f>
        <v>0</v>
      </c>
      <c r="AK834">
        <f>IF(HR_Data[[#This Row],[Attrition]]="No",1,0)</f>
        <v>1</v>
      </c>
      <c r="AL834" t="str">
        <f>IF(HR_Data[[#This Row],[Age]]&lt;25,"Under 25",IF(HR_Data[[#This Row],[Age]]&lt;=34,"25-34",IF(HR_Data[[#This Row],[Age]]&lt;=44,"35-44",IF(HR_Data[[#This Row],[Age]]&lt;=54,"45-54","55+"))))</f>
        <v>35-44</v>
      </c>
      <c r="AM834" s="1" t="str">
        <f>IF(HR_Data[[#This Row],[MonthlyIncome]]&lt;3000,"Low Salary",IF(HR_Data[[#This Row],[MonthlyIncome]]&lt;=7000,"Medium Salary","High Salary"))</f>
        <v>Medium Salary</v>
      </c>
      <c r="AN834" s="1" t="str">
        <f>IF(HR_Data[[#This Row],[YearsAtCompany]]&lt;2,"0-1 Years",IF(HR_Data[[#This Row],[YearsAtCompany]]&lt;=5,"2-5 Years",IF(HR_Data[[#This Row],[YearsAtCompany]]&lt;=10,"6-10 Years","10+ Years")))</f>
        <v>6-10 Years</v>
      </c>
      <c r="AO834" s="1" t="str">
        <f>IF(HR_Data[[#This Row],[JobSatisfaction]]=1,"Low",IF(HR_Data[[#This Row],[JobSatisfaction]]=2,"Medium",IF(HR_Data[[#This Row],[JobSatisfaction]]=3,"High","Very High")))</f>
        <v>Very High</v>
      </c>
      <c r="AP834" s="1" t="str">
        <f>IF(HR_Data[[#This Row],[WorkLifeBalance]]=1,"Bad",IF(HR_Data[[#This Row],[WorkLifeBalance]]=2,"Good",IF(HR_Data[[#This Row],[WorkLifeBalance]]=3,"Better","Best")))</f>
        <v>Better</v>
      </c>
    </row>
    <row r="835" spans="1:42" x14ac:dyDescent="0.3">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c r="AJ835">
        <f>IF(HR_Data[[#This Row],[Attrition]]="Yes",1,0)</f>
        <v>0</v>
      </c>
      <c r="AK835">
        <f>IF(HR_Data[[#This Row],[Attrition]]="No",1,0)</f>
        <v>1</v>
      </c>
      <c r="AL835" t="str">
        <f>IF(HR_Data[[#This Row],[Age]]&lt;25,"Under 25",IF(HR_Data[[#This Row],[Age]]&lt;=34,"25-34",IF(HR_Data[[#This Row],[Age]]&lt;=44,"35-44",IF(HR_Data[[#This Row],[Age]]&lt;=54,"45-54","55+"))))</f>
        <v>25-34</v>
      </c>
      <c r="AM835" s="1" t="str">
        <f>IF(HR_Data[[#This Row],[MonthlyIncome]]&lt;3000,"Low Salary",IF(HR_Data[[#This Row],[MonthlyIncome]]&lt;=7000,"Medium Salary","High Salary"))</f>
        <v>Low Salary</v>
      </c>
      <c r="AN835" s="1" t="str">
        <f>IF(HR_Data[[#This Row],[YearsAtCompany]]&lt;2,"0-1 Years",IF(HR_Data[[#This Row],[YearsAtCompany]]&lt;=5,"2-5 Years",IF(HR_Data[[#This Row],[YearsAtCompany]]&lt;=10,"6-10 Years","10+ Years")))</f>
        <v>2-5 Years</v>
      </c>
      <c r="AO835" s="1" t="str">
        <f>IF(HR_Data[[#This Row],[JobSatisfaction]]=1,"Low",IF(HR_Data[[#This Row],[JobSatisfaction]]=2,"Medium",IF(HR_Data[[#This Row],[JobSatisfaction]]=3,"High","Very High")))</f>
        <v>High</v>
      </c>
      <c r="AP835" s="1" t="str">
        <f>IF(HR_Data[[#This Row],[WorkLifeBalance]]=1,"Bad",IF(HR_Data[[#This Row],[WorkLifeBalance]]=2,"Good",IF(HR_Data[[#This Row],[WorkLifeBalance]]=3,"Better","Best")))</f>
        <v>Better</v>
      </c>
    </row>
    <row r="836" spans="1:42" x14ac:dyDescent="0.3">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c r="AJ836">
        <f>IF(HR_Data[[#This Row],[Attrition]]="Yes",1,0)</f>
        <v>0</v>
      </c>
      <c r="AK836">
        <f>IF(HR_Data[[#This Row],[Attrition]]="No",1,0)</f>
        <v>1</v>
      </c>
      <c r="AL836" t="str">
        <f>IF(HR_Data[[#This Row],[Age]]&lt;25,"Under 25",IF(HR_Data[[#This Row],[Age]]&lt;=34,"25-34",IF(HR_Data[[#This Row],[Age]]&lt;=44,"35-44",IF(HR_Data[[#This Row],[Age]]&lt;=54,"45-54","55+"))))</f>
        <v>25-34</v>
      </c>
      <c r="AM836" s="1" t="str">
        <f>IF(HR_Data[[#This Row],[MonthlyIncome]]&lt;3000,"Low Salary",IF(HR_Data[[#This Row],[MonthlyIncome]]&lt;=7000,"Medium Salary","High Salary"))</f>
        <v>Medium Salary</v>
      </c>
      <c r="AN836" s="1" t="str">
        <f>IF(HR_Data[[#This Row],[YearsAtCompany]]&lt;2,"0-1 Years",IF(HR_Data[[#This Row],[YearsAtCompany]]&lt;=5,"2-5 Years",IF(HR_Data[[#This Row],[YearsAtCompany]]&lt;=10,"6-10 Years","10+ Years")))</f>
        <v>6-10 Years</v>
      </c>
      <c r="AO836" s="1" t="str">
        <f>IF(HR_Data[[#This Row],[JobSatisfaction]]=1,"Low",IF(HR_Data[[#This Row],[JobSatisfaction]]=2,"Medium",IF(HR_Data[[#This Row],[JobSatisfaction]]=3,"High","Very High")))</f>
        <v>High</v>
      </c>
      <c r="AP836" s="1" t="str">
        <f>IF(HR_Data[[#This Row],[WorkLifeBalance]]=1,"Bad",IF(HR_Data[[#This Row],[WorkLifeBalance]]=2,"Good",IF(HR_Data[[#This Row],[WorkLifeBalance]]=3,"Better","Best")))</f>
        <v>Good</v>
      </c>
    </row>
    <row r="837" spans="1:42" x14ac:dyDescent="0.3">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c r="AJ837">
        <f>IF(HR_Data[[#This Row],[Attrition]]="Yes",1,0)</f>
        <v>0</v>
      </c>
      <c r="AK837">
        <f>IF(HR_Data[[#This Row],[Attrition]]="No",1,0)</f>
        <v>1</v>
      </c>
      <c r="AL837" t="str">
        <f>IF(HR_Data[[#This Row],[Age]]&lt;25,"Under 25",IF(HR_Data[[#This Row],[Age]]&lt;=34,"25-34",IF(HR_Data[[#This Row],[Age]]&lt;=44,"35-44",IF(HR_Data[[#This Row],[Age]]&lt;=54,"45-54","55+"))))</f>
        <v>35-44</v>
      </c>
      <c r="AM837" s="1" t="str">
        <f>IF(HR_Data[[#This Row],[MonthlyIncome]]&lt;3000,"Low Salary",IF(HR_Data[[#This Row],[MonthlyIncome]]&lt;=7000,"Medium Salary","High Salary"))</f>
        <v>Medium Salary</v>
      </c>
      <c r="AN837" s="1" t="str">
        <f>IF(HR_Data[[#This Row],[YearsAtCompany]]&lt;2,"0-1 Years",IF(HR_Data[[#This Row],[YearsAtCompany]]&lt;=5,"2-5 Years",IF(HR_Data[[#This Row],[YearsAtCompany]]&lt;=10,"6-10 Years","10+ Years")))</f>
        <v>2-5 Years</v>
      </c>
      <c r="AO837" s="1" t="str">
        <f>IF(HR_Data[[#This Row],[JobSatisfaction]]=1,"Low",IF(HR_Data[[#This Row],[JobSatisfaction]]=2,"Medium",IF(HR_Data[[#This Row],[JobSatisfaction]]=3,"High","Very High")))</f>
        <v>High</v>
      </c>
      <c r="AP837" s="1" t="str">
        <f>IF(HR_Data[[#This Row],[WorkLifeBalance]]=1,"Bad",IF(HR_Data[[#This Row],[WorkLifeBalance]]=2,"Good",IF(HR_Data[[#This Row],[WorkLifeBalance]]=3,"Better","Best")))</f>
        <v>Bad</v>
      </c>
    </row>
    <row r="838" spans="1:42" x14ac:dyDescent="0.3">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c r="AJ838">
        <f>IF(HR_Data[[#This Row],[Attrition]]="Yes",1,0)</f>
        <v>1</v>
      </c>
      <c r="AK838">
        <f>IF(HR_Data[[#This Row],[Attrition]]="No",1,0)</f>
        <v>0</v>
      </c>
      <c r="AL838" t="str">
        <f>IF(HR_Data[[#This Row],[Age]]&lt;25,"Under 25",IF(HR_Data[[#This Row],[Age]]&lt;=34,"25-34",IF(HR_Data[[#This Row],[Age]]&lt;=44,"35-44",IF(HR_Data[[#This Row],[Age]]&lt;=54,"45-54","55+"))))</f>
        <v>25-34</v>
      </c>
      <c r="AM838" s="1" t="str">
        <f>IF(HR_Data[[#This Row],[MonthlyIncome]]&lt;3000,"Low Salary",IF(HR_Data[[#This Row],[MonthlyIncome]]&lt;=7000,"Medium Salary","High Salary"))</f>
        <v>High Salary</v>
      </c>
      <c r="AN838" s="1" t="str">
        <f>IF(HR_Data[[#This Row],[YearsAtCompany]]&lt;2,"0-1 Years",IF(HR_Data[[#This Row],[YearsAtCompany]]&lt;=5,"2-5 Years",IF(HR_Data[[#This Row],[YearsAtCompany]]&lt;=10,"6-10 Years","10+ Years")))</f>
        <v>10+ Years</v>
      </c>
      <c r="AO838" s="1" t="str">
        <f>IF(HR_Data[[#This Row],[JobSatisfaction]]=1,"Low",IF(HR_Data[[#This Row],[JobSatisfaction]]=2,"Medium",IF(HR_Data[[#This Row],[JobSatisfaction]]=3,"High","Very High")))</f>
        <v>Low</v>
      </c>
      <c r="AP838" s="1" t="str">
        <f>IF(HR_Data[[#This Row],[WorkLifeBalance]]=1,"Bad",IF(HR_Data[[#This Row],[WorkLifeBalance]]=2,"Good",IF(HR_Data[[#This Row],[WorkLifeBalance]]=3,"Better","Best")))</f>
        <v>Bad</v>
      </c>
    </row>
    <row r="839" spans="1:42" x14ac:dyDescent="0.3">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c r="AJ839">
        <f>IF(HR_Data[[#This Row],[Attrition]]="Yes",1,0)</f>
        <v>0</v>
      </c>
      <c r="AK839">
        <f>IF(HR_Data[[#This Row],[Attrition]]="No",1,0)</f>
        <v>1</v>
      </c>
      <c r="AL839" t="str">
        <f>IF(HR_Data[[#This Row],[Age]]&lt;25,"Under 25",IF(HR_Data[[#This Row],[Age]]&lt;=34,"25-34",IF(HR_Data[[#This Row],[Age]]&lt;=44,"35-44",IF(HR_Data[[#This Row],[Age]]&lt;=54,"45-54","55+"))))</f>
        <v>35-44</v>
      </c>
      <c r="AM839" s="1" t="str">
        <f>IF(HR_Data[[#This Row],[MonthlyIncome]]&lt;3000,"Low Salary",IF(HR_Data[[#This Row],[MonthlyIncome]]&lt;=7000,"Medium Salary","High Salary"))</f>
        <v>High Salary</v>
      </c>
      <c r="AN839" s="1" t="str">
        <f>IF(HR_Data[[#This Row],[YearsAtCompany]]&lt;2,"0-1 Years",IF(HR_Data[[#This Row],[YearsAtCompany]]&lt;=5,"2-5 Years",IF(HR_Data[[#This Row],[YearsAtCompany]]&lt;=10,"6-10 Years","10+ Years")))</f>
        <v>10+ Years</v>
      </c>
      <c r="AO839" s="1" t="str">
        <f>IF(HR_Data[[#This Row],[JobSatisfaction]]=1,"Low",IF(HR_Data[[#This Row],[JobSatisfaction]]=2,"Medium",IF(HR_Data[[#This Row],[JobSatisfaction]]=3,"High","Very High")))</f>
        <v>High</v>
      </c>
      <c r="AP839" s="1" t="str">
        <f>IF(HR_Data[[#This Row],[WorkLifeBalance]]=1,"Bad",IF(HR_Data[[#This Row],[WorkLifeBalance]]=2,"Good",IF(HR_Data[[#This Row],[WorkLifeBalance]]=3,"Better","Best")))</f>
        <v>Good</v>
      </c>
    </row>
    <row r="840" spans="1:42" x14ac:dyDescent="0.3">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c r="AJ840">
        <f>IF(HR_Data[[#This Row],[Attrition]]="Yes",1,0)</f>
        <v>1</v>
      </c>
      <c r="AK840">
        <f>IF(HR_Data[[#This Row],[Attrition]]="No",1,0)</f>
        <v>0</v>
      </c>
      <c r="AL840" t="str">
        <f>IF(HR_Data[[#This Row],[Age]]&lt;25,"Under 25",IF(HR_Data[[#This Row],[Age]]&lt;=34,"25-34",IF(HR_Data[[#This Row],[Age]]&lt;=44,"35-44",IF(HR_Data[[#This Row],[Age]]&lt;=54,"45-54","55+"))))</f>
        <v>35-44</v>
      </c>
      <c r="AM840" s="1" t="str">
        <f>IF(HR_Data[[#This Row],[MonthlyIncome]]&lt;3000,"Low Salary",IF(HR_Data[[#This Row],[MonthlyIncome]]&lt;=7000,"Medium Salary","High Salary"))</f>
        <v>High Salary</v>
      </c>
      <c r="AN840" s="1" t="str">
        <f>IF(HR_Data[[#This Row],[YearsAtCompany]]&lt;2,"0-1 Years",IF(HR_Data[[#This Row],[YearsAtCompany]]&lt;=5,"2-5 Years",IF(HR_Data[[#This Row],[YearsAtCompany]]&lt;=10,"6-10 Years","10+ Years")))</f>
        <v>10+ Years</v>
      </c>
      <c r="AO840" s="1" t="str">
        <f>IF(HR_Data[[#This Row],[JobSatisfaction]]=1,"Low",IF(HR_Data[[#This Row],[JobSatisfaction]]=2,"Medium",IF(HR_Data[[#This Row],[JobSatisfaction]]=3,"High","Very High")))</f>
        <v>Low</v>
      </c>
      <c r="AP840" s="1" t="str">
        <f>IF(HR_Data[[#This Row],[WorkLifeBalance]]=1,"Bad",IF(HR_Data[[#This Row],[WorkLifeBalance]]=2,"Good",IF(HR_Data[[#This Row],[WorkLifeBalance]]=3,"Better","Best")))</f>
        <v>Good</v>
      </c>
    </row>
    <row r="841" spans="1:42" x14ac:dyDescent="0.3">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c r="AJ841">
        <f>IF(HR_Data[[#This Row],[Attrition]]="Yes",1,0)</f>
        <v>0</v>
      </c>
      <c r="AK841">
        <f>IF(HR_Data[[#This Row],[Attrition]]="No",1,0)</f>
        <v>1</v>
      </c>
      <c r="AL841" t="str">
        <f>IF(HR_Data[[#This Row],[Age]]&lt;25,"Under 25",IF(HR_Data[[#This Row],[Age]]&lt;=34,"25-34",IF(HR_Data[[#This Row],[Age]]&lt;=44,"35-44",IF(HR_Data[[#This Row],[Age]]&lt;=54,"45-54","55+"))))</f>
        <v>35-44</v>
      </c>
      <c r="AM841" s="1" t="str">
        <f>IF(HR_Data[[#This Row],[MonthlyIncome]]&lt;3000,"Low Salary",IF(HR_Data[[#This Row],[MonthlyIncome]]&lt;=7000,"Medium Salary","High Salary"))</f>
        <v>Medium Salary</v>
      </c>
      <c r="AN841" s="1" t="str">
        <f>IF(HR_Data[[#This Row],[YearsAtCompany]]&lt;2,"0-1 Years",IF(HR_Data[[#This Row],[YearsAtCompany]]&lt;=5,"2-5 Years",IF(HR_Data[[#This Row],[YearsAtCompany]]&lt;=10,"6-10 Years","10+ Years")))</f>
        <v>6-10 Years</v>
      </c>
      <c r="AO841" s="1" t="str">
        <f>IF(HR_Data[[#This Row],[JobSatisfaction]]=1,"Low",IF(HR_Data[[#This Row],[JobSatisfaction]]=2,"Medium",IF(HR_Data[[#This Row],[JobSatisfaction]]=3,"High","Very High")))</f>
        <v>Low</v>
      </c>
      <c r="AP841" s="1" t="str">
        <f>IF(HR_Data[[#This Row],[WorkLifeBalance]]=1,"Bad",IF(HR_Data[[#This Row],[WorkLifeBalance]]=2,"Good",IF(HR_Data[[#This Row],[WorkLifeBalance]]=3,"Better","Best")))</f>
        <v>Best</v>
      </c>
    </row>
    <row r="842" spans="1:42" x14ac:dyDescent="0.3">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c r="AJ842">
        <f>IF(HR_Data[[#This Row],[Attrition]]="Yes",1,0)</f>
        <v>0</v>
      </c>
      <c r="AK842">
        <f>IF(HR_Data[[#This Row],[Attrition]]="No",1,0)</f>
        <v>1</v>
      </c>
      <c r="AL842" t="str">
        <f>IF(HR_Data[[#This Row],[Age]]&lt;25,"Under 25",IF(HR_Data[[#This Row],[Age]]&lt;=34,"25-34",IF(HR_Data[[#This Row],[Age]]&lt;=44,"35-44",IF(HR_Data[[#This Row],[Age]]&lt;=54,"45-54","55+"))))</f>
        <v>35-44</v>
      </c>
      <c r="AM842" s="1" t="str">
        <f>IF(HR_Data[[#This Row],[MonthlyIncome]]&lt;3000,"Low Salary",IF(HR_Data[[#This Row],[MonthlyIncome]]&lt;=7000,"Medium Salary","High Salary"))</f>
        <v>Low Salary</v>
      </c>
      <c r="AN842" s="1" t="str">
        <f>IF(HR_Data[[#This Row],[YearsAtCompany]]&lt;2,"0-1 Years",IF(HR_Data[[#This Row],[YearsAtCompany]]&lt;=5,"2-5 Years",IF(HR_Data[[#This Row],[YearsAtCompany]]&lt;=10,"6-10 Years","10+ Years")))</f>
        <v>6-10 Years</v>
      </c>
      <c r="AO842" s="1" t="str">
        <f>IF(HR_Data[[#This Row],[JobSatisfaction]]=1,"Low",IF(HR_Data[[#This Row],[JobSatisfaction]]=2,"Medium",IF(HR_Data[[#This Row],[JobSatisfaction]]=3,"High","Very High")))</f>
        <v>High</v>
      </c>
      <c r="AP842" s="1" t="str">
        <f>IF(HR_Data[[#This Row],[WorkLifeBalance]]=1,"Bad",IF(HR_Data[[#This Row],[WorkLifeBalance]]=2,"Good",IF(HR_Data[[#This Row],[WorkLifeBalance]]=3,"Better","Best")))</f>
        <v>Better</v>
      </c>
    </row>
    <row r="843" spans="1:42" x14ac:dyDescent="0.3">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c r="AJ843">
        <f>IF(HR_Data[[#This Row],[Attrition]]="Yes",1,0)</f>
        <v>0</v>
      </c>
      <c r="AK843">
        <f>IF(HR_Data[[#This Row],[Attrition]]="No",1,0)</f>
        <v>1</v>
      </c>
      <c r="AL843" t="str">
        <f>IF(HR_Data[[#This Row],[Age]]&lt;25,"Under 25",IF(HR_Data[[#This Row],[Age]]&lt;=34,"25-34",IF(HR_Data[[#This Row],[Age]]&lt;=44,"35-44",IF(HR_Data[[#This Row],[Age]]&lt;=54,"45-54","55+"))))</f>
        <v>Under 25</v>
      </c>
      <c r="AM843" s="1" t="str">
        <f>IF(HR_Data[[#This Row],[MonthlyIncome]]&lt;3000,"Low Salary",IF(HR_Data[[#This Row],[MonthlyIncome]]&lt;=7000,"Medium Salary","High Salary"))</f>
        <v>Medium Salary</v>
      </c>
      <c r="AN843" s="1" t="str">
        <f>IF(HR_Data[[#This Row],[YearsAtCompany]]&lt;2,"0-1 Years",IF(HR_Data[[#This Row],[YearsAtCompany]]&lt;=5,"2-5 Years",IF(HR_Data[[#This Row],[YearsAtCompany]]&lt;=10,"6-10 Years","10+ Years")))</f>
        <v>2-5 Years</v>
      </c>
      <c r="AO843" s="1" t="str">
        <f>IF(HR_Data[[#This Row],[JobSatisfaction]]=1,"Low",IF(HR_Data[[#This Row],[JobSatisfaction]]=2,"Medium",IF(HR_Data[[#This Row],[JobSatisfaction]]=3,"High","Very High")))</f>
        <v>Medium</v>
      </c>
      <c r="AP843" s="1" t="str">
        <f>IF(HR_Data[[#This Row],[WorkLifeBalance]]=1,"Bad",IF(HR_Data[[#This Row],[WorkLifeBalance]]=2,"Good",IF(HR_Data[[#This Row],[WorkLifeBalance]]=3,"Better","Best")))</f>
        <v>Better</v>
      </c>
    </row>
    <row r="844" spans="1:42" x14ac:dyDescent="0.3">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c r="AJ844">
        <f>IF(HR_Data[[#This Row],[Attrition]]="Yes",1,0)</f>
        <v>1</v>
      </c>
      <c r="AK844">
        <f>IF(HR_Data[[#This Row],[Attrition]]="No",1,0)</f>
        <v>0</v>
      </c>
      <c r="AL844" t="str">
        <f>IF(HR_Data[[#This Row],[Age]]&lt;25,"Under 25",IF(HR_Data[[#This Row],[Age]]&lt;=34,"25-34",IF(HR_Data[[#This Row],[Age]]&lt;=44,"35-44",IF(HR_Data[[#This Row],[Age]]&lt;=54,"45-54","55+"))))</f>
        <v>25-34</v>
      </c>
      <c r="AM844" s="1" t="str">
        <f>IF(HR_Data[[#This Row],[MonthlyIncome]]&lt;3000,"Low Salary",IF(HR_Data[[#This Row],[MonthlyIncome]]&lt;=7000,"Medium Salary","High Salary"))</f>
        <v>Low Salary</v>
      </c>
      <c r="AN844" s="1" t="str">
        <f>IF(HR_Data[[#This Row],[YearsAtCompany]]&lt;2,"0-1 Years",IF(HR_Data[[#This Row],[YearsAtCompany]]&lt;=5,"2-5 Years",IF(HR_Data[[#This Row],[YearsAtCompany]]&lt;=10,"6-10 Years","10+ Years")))</f>
        <v>0-1 Years</v>
      </c>
      <c r="AO844" s="1" t="str">
        <f>IF(HR_Data[[#This Row],[JobSatisfaction]]=1,"Low",IF(HR_Data[[#This Row],[JobSatisfaction]]=2,"Medium",IF(HR_Data[[#This Row],[JobSatisfaction]]=3,"High","Very High")))</f>
        <v>Very High</v>
      </c>
      <c r="AP844" s="1" t="str">
        <f>IF(HR_Data[[#This Row],[WorkLifeBalance]]=1,"Bad",IF(HR_Data[[#This Row],[WorkLifeBalance]]=2,"Good",IF(HR_Data[[#This Row],[WorkLifeBalance]]=3,"Better","Best")))</f>
        <v>Good</v>
      </c>
    </row>
    <row r="845" spans="1:42" x14ac:dyDescent="0.3">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c r="AJ845">
        <f>IF(HR_Data[[#This Row],[Attrition]]="Yes",1,0)</f>
        <v>0</v>
      </c>
      <c r="AK845">
        <f>IF(HR_Data[[#This Row],[Attrition]]="No",1,0)</f>
        <v>1</v>
      </c>
      <c r="AL845" t="str">
        <f>IF(HR_Data[[#This Row],[Age]]&lt;25,"Under 25",IF(HR_Data[[#This Row],[Age]]&lt;=34,"25-34",IF(HR_Data[[#This Row],[Age]]&lt;=44,"35-44",IF(HR_Data[[#This Row],[Age]]&lt;=54,"45-54","55+"))))</f>
        <v>25-34</v>
      </c>
      <c r="AM845" s="1" t="str">
        <f>IF(HR_Data[[#This Row],[MonthlyIncome]]&lt;3000,"Low Salary",IF(HR_Data[[#This Row],[MonthlyIncome]]&lt;=7000,"Medium Salary","High Salary"))</f>
        <v>Medium Salary</v>
      </c>
      <c r="AN845" s="1" t="str">
        <f>IF(HR_Data[[#This Row],[YearsAtCompany]]&lt;2,"0-1 Years",IF(HR_Data[[#This Row],[YearsAtCompany]]&lt;=5,"2-5 Years",IF(HR_Data[[#This Row],[YearsAtCompany]]&lt;=10,"6-10 Years","10+ Years")))</f>
        <v>6-10 Years</v>
      </c>
      <c r="AO845" s="1" t="str">
        <f>IF(HR_Data[[#This Row],[JobSatisfaction]]=1,"Low",IF(HR_Data[[#This Row],[JobSatisfaction]]=2,"Medium",IF(HR_Data[[#This Row],[JobSatisfaction]]=3,"High","Very High")))</f>
        <v>Very High</v>
      </c>
      <c r="AP845" s="1" t="str">
        <f>IF(HR_Data[[#This Row],[WorkLifeBalance]]=1,"Bad",IF(HR_Data[[#This Row],[WorkLifeBalance]]=2,"Good",IF(HR_Data[[#This Row],[WorkLifeBalance]]=3,"Better","Best")))</f>
        <v>Better</v>
      </c>
    </row>
    <row r="846" spans="1:42" x14ac:dyDescent="0.3">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c r="AJ846">
        <f>IF(HR_Data[[#This Row],[Attrition]]="Yes",1,0)</f>
        <v>0</v>
      </c>
      <c r="AK846">
        <f>IF(HR_Data[[#This Row],[Attrition]]="No",1,0)</f>
        <v>1</v>
      </c>
      <c r="AL846" t="str">
        <f>IF(HR_Data[[#This Row],[Age]]&lt;25,"Under 25",IF(HR_Data[[#This Row],[Age]]&lt;=34,"25-34",IF(HR_Data[[#This Row],[Age]]&lt;=44,"35-44",IF(HR_Data[[#This Row],[Age]]&lt;=54,"45-54","55+"))))</f>
        <v>25-34</v>
      </c>
      <c r="AM846" s="1" t="str">
        <f>IF(HR_Data[[#This Row],[MonthlyIncome]]&lt;3000,"Low Salary",IF(HR_Data[[#This Row],[MonthlyIncome]]&lt;=7000,"Medium Salary","High Salary"))</f>
        <v>Medium Salary</v>
      </c>
      <c r="AN846" s="1" t="str">
        <f>IF(HR_Data[[#This Row],[YearsAtCompany]]&lt;2,"0-1 Years",IF(HR_Data[[#This Row],[YearsAtCompany]]&lt;=5,"2-5 Years",IF(HR_Data[[#This Row],[YearsAtCompany]]&lt;=10,"6-10 Years","10+ Years")))</f>
        <v>6-10 Years</v>
      </c>
      <c r="AO846" s="1" t="str">
        <f>IF(HR_Data[[#This Row],[JobSatisfaction]]=1,"Low",IF(HR_Data[[#This Row],[JobSatisfaction]]=2,"Medium",IF(HR_Data[[#This Row],[JobSatisfaction]]=3,"High","Very High")))</f>
        <v>High</v>
      </c>
      <c r="AP846" s="1" t="str">
        <f>IF(HR_Data[[#This Row],[WorkLifeBalance]]=1,"Bad",IF(HR_Data[[#This Row],[WorkLifeBalance]]=2,"Good",IF(HR_Data[[#This Row],[WorkLifeBalance]]=3,"Better","Best")))</f>
        <v>Better</v>
      </c>
    </row>
    <row r="847" spans="1:42" x14ac:dyDescent="0.3">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c r="AJ847">
        <f>IF(HR_Data[[#This Row],[Attrition]]="Yes",1,0)</f>
        <v>0</v>
      </c>
      <c r="AK847">
        <f>IF(HR_Data[[#This Row],[Attrition]]="No",1,0)</f>
        <v>1</v>
      </c>
      <c r="AL847" t="str">
        <f>IF(HR_Data[[#This Row],[Age]]&lt;25,"Under 25",IF(HR_Data[[#This Row],[Age]]&lt;=34,"25-34",IF(HR_Data[[#This Row],[Age]]&lt;=44,"35-44",IF(HR_Data[[#This Row],[Age]]&lt;=54,"45-54","55+"))))</f>
        <v>35-44</v>
      </c>
      <c r="AM847" s="1" t="str">
        <f>IF(HR_Data[[#This Row],[MonthlyIncome]]&lt;3000,"Low Salary",IF(HR_Data[[#This Row],[MonthlyIncome]]&lt;=7000,"Medium Salary","High Salary"))</f>
        <v>Medium Salary</v>
      </c>
      <c r="AN847" s="1" t="str">
        <f>IF(HR_Data[[#This Row],[YearsAtCompany]]&lt;2,"0-1 Years",IF(HR_Data[[#This Row],[YearsAtCompany]]&lt;=5,"2-5 Years",IF(HR_Data[[#This Row],[YearsAtCompany]]&lt;=10,"6-10 Years","10+ Years")))</f>
        <v>0-1 Years</v>
      </c>
      <c r="AO847" s="1" t="str">
        <f>IF(HR_Data[[#This Row],[JobSatisfaction]]=1,"Low",IF(HR_Data[[#This Row],[JobSatisfaction]]=2,"Medium",IF(HR_Data[[#This Row],[JobSatisfaction]]=3,"High","Very High")))</f>
        <v>Very High</v>
      </c>
      <c r="AP847" s="1" t="str">
        <f>IF(HR_Data[[#This Row],[WorkLifeBalance]]=1,"Bad",IF(HR_Data[[#This Row],[WorkLifeBalance]]=2,"Good",IF(HR_Data[[#This Row],[WorkLifeBalance]]=3,"Better","Best")))</f>
        <v>Bad</v>
      </c>
    </row>
    <row r="848" spans="1:42" x14ac:dyDescent="0.3">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c r="AJ848">
        <f>IF(HR_Data[[#This Row],[Attrition]]="Yes",1,0)</f>
        <v>0</v>
      </c>
      <c r="AK848">
        <f>IF(HR_Data[[#This Row],[Attrition]]="No",1,0)</f>
        <v>1</v>
      </c>
      <c r="AL848" t="str">
        <f>IF(HR_Data[[#This Row],[Age]]&lt;25,"Under 25",IF(HR_Data[[#This Row],[Age]]&lt;=34,"25-34",IF(HR_Data[[#This Row],[Age]]&lt;=44,"35-44",IF(HR_Data[[#This Row],[Age]]&lt;=54,"45-54","55+"))))</f>
        <v>35-44</v>
      </c>
      <c r="AM848" s="1" t="str">
        <f>IF(HR_Data[[#This Row],[MonthlyIncome]]&lt;3000,"Low Salary",IF(HR_Data[[#This Row],[MonthlyIncome]]&lt;=7000,"Medium Salary","High Salary"))</f>
        <v>High Salary</v>
      </c>
      <c r="AN848" s="1" t="str">
        <f>IF(HR_Data[[#This Row],[YearsAtCompany]]&lt;2,"0-1 Years",IF(HR_Data[[#This Row],[YearsAtCompany]]&lt;=5,"2-5 Years",IF(HR_Data[[#This Row],[YearsAtCompany]]&lt;=10,"6-10 Years","10+ Years")))</f>
        <v>6-10 Years</v>
      </c>
      <c r="AO848" s="1" t="str">
        <f>IF(HR_Data[[#This Row],[JobSatisfaction]]=1,"Low",IF(HR_Data[[#This Row],[JobSatisfaction]]=2,"Medium",IF(HR_Data[[#This Row],[JobSatisfaction]]=3,"High","Very High")))</f>
        <v>Medium</v>
      </c>
      <c r="AP848" s="1" t="str">
        <f>IF(HR_Data[[#This Row],[WorkLifeBalance]]=1,"Bad",IF(HR_Data[[#This Row],[WorkLifeBalance]]=2,"Good",IF(HR_Data[[#This Row],[WorkLifeBalance]]=3,"Better","Best")))</f>
        <v>Best</v>
      </c>
    </row>
    <row r="849" spans="1:42" x14ac:dyDescent="0.3">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c r="AJ849">
        <f>IF(HR_Data[[#This Row],[Attrition]]="Yes",1,0)</f>
        <v>0</v>
      </c>
      <c r="AK849">
        <f>IF(HR_Data[[#This Row],[Attrition]]="No",1,0)</f>
        <v>1</v>
      </c>
      <c r="AL849" t="str">
        <f>IF(HR_Data[[#This Row],[Age]]&lt;25,"Under 25",IF(HR_Data[[#This Row],[Age]]&lt;=34,"25-34",IF(HR_Data[[#This Row],[Age]]&lt;=44,"35-44",IF(HR_Data[[#This Row],[Age]]&lt;=54,"45-54","55+"))))</f>
        <v>25-34</v>
      </c>
      <c r="AM849" s="1" t="str">
        <f>IF(HR_Data[[#This Row],[MonthlyIncome]]&lt;3000,"Low Salary",IF(HR_Data[[#This Row],[MonthlyIncome]]&lt;=7000,"Medium Salary","High Salary"))</f>
        <v>Medium Salary</v>
      </c>
      <c r="AN849" s="1" t="str">
        <f>IF(HR_Data[[#This Row],[YearsAtCompany]]&lt;2,"0-1 Years",IF(HR_Data[[#This Row],[YearsAtCompany]]&lt;=5,"2-5 Years",IF(HR_Data[[#This Row],[YearsAtCompany]]&lt;=10,"6-10 Years","10+ Years")))</f>
        <v>10+ Years</v>
      </c>
      <c r="AO849" s="1" t="str">
        <f>IF(HR_Data[[#This Row],[JobSatisfaction]]=1,"Low",IF(HR_Data[[#This Row],[JobSatisfaction]]=2,"Medium",IF(HR_Data[[#This Row],[JobSatisfaction]]=3,"High","Very High")))</f>
        <v>Low</v>
      </c>
      <c r="AP849" s="1" t="str">
        <f>IF(HR_Data[[#This Row],[WorkLifeBalance]]=1,"Bad",IF(HR_Data[[#This Row],[WorkLifeBalance]]=2,"Good",IF(HR_Data[[#This Row],[WorkLifeBalance]]=3,"Better","Best")))</f>
        <v>Better</v>
      </c>
    </row>
    <row r="850" spans="1:42" x14ac:dyDescent="0.3">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c r="AJ850">
        <f>IF(HR_Data[[#This Row],[Attrition]]="Yes",1,0)</f>
        <v>0</v>
      </c>
      <c r="AK850">
        <f>IF(HR_Data[[#This Row],[Attrition]]="No",1,0)</f>
        <v>1</v>
      </c>
      <c r="AL850" t="str">
        <f>IF(HR_Data[[#This Row],[Age]]&lt;25,"Under 25",IF(HR_Data[[#This Row],[Age]]&lt;=34,"25-34",IF(HR_Data[[#This Row],[Age]]&lt;=44,"35-44",IF(HR_Data[[#This Row],[Age]]&lt;=54,"45-54","55+"))))</f>
        <v>35-44</v>
      </c>
      <c r="AM850" s="1" t="str">
        <f>IF(HR_Data[[#This Row],[MonthlyIncome]]&lt;3000,"Low Salary",IF(HR_Data[[#This Row],[MonthlyIncome]]&lt;=7000,"Medium Salary","High Salary"))</f>
        <v>Low Salary</v>
      </c>
      <c r="AN850" s="1" t="str">
        <f>IF(HR_Data[[#This Row],[YearsAtCompany]]&lt;2,"0-1 Years",IF(HR_Data[[#This Row],[YearsAtCompany]]&lt;=5,"2-5 Years",IF(HR_Data[[#This Row],[YearsAtCompany]]&lt;=10,"6-10 Years","10+ Years")))</f>
        <v>2-5 Years</v>
      </c>
      <c r="AO850" s="1" t="str">
        <f>IF(HR_Data[[#This Row],[JobSatisfaction]]=1,"Low",IF(HR_Data[[#This Row],[JobSatisfaction]]=2,"Medium",IF(HR_Data[[#This Row],[JobSatisfaction]]=3,"High","Very High")))</f>
        <v>Very High</v>
      </c>
      <c r="AP850" s="1" t="str">
        <f>IF(HR_Data[[#This Row],[WorkLifeBalance]]=1,"Bad",IF(HR_Data[[#This Row],[WorkLifeBalance]]=2,"Good",IF(HR_Data[[#This Row],[WorkLifeBalance]]=3,"Better","Best")))</f>
        <v>Best</v>
      </c>
    </row>
    <row r="851" spans="1:42" x14ac:dyDescent="0.3">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c r="AJ851">
        <f>IF(HR_Data[[#This Row],[Attrition]]="Yes",1,0)</f>
        <v>1</v>
      </c>
      <c r="AK851">
        <f>IF(HR_Data[[#This Row],[Attrition]]="No",1,0)</f>
        <v>0</v>
      </c>
      <c r="AL851" t="str">
        <f>IF(HR_Data[[#This Row],[Age]]&lt;25,"Under 25",IF(HR_Data[[#This Row],[Age]]&lt;=34,"25-34",IF(HR_Data[[#This Row],[Age]]&lt;=44,"35-44",IF(HR_Data[[#This Row],[Age]]&lt;=54,"45-54","55+"))))</f>
        <v>35-44</v>
      </c>
      <c r="AM851" s="1" t="str">
        <f>IF(HR_Data[[#This Row],[MonthlyIncome]]&lt;3000,"Low Salary",IF(HR_Data[[#This Row],[MonthlyIncome]]&lt;=7000,"Medium Salary","High Salary"))</f>
        <v>Medium Salary</v>
      </c>
      <c r="AN851" s="1" t="str">
        <f>IF(HR_Data[[#This Row],[YearsAtCompany]]&lt;2,"0-1 Years",IF(HR_Data[[#This Row],[YearsAtCompany]]&lt;=5,"2-5 Years",IF(HR_Data[[#This Row],[YearsAtCompany]]&lt;=10,"6-10 Years","10+ Years")))</f>
        <v>2-5 Years</v>
      </c>
      <c r="AO851" s="1" t="str">
        <f>IF(HR_Data[[#This Row],[JobSatisfaction]]=1,"Low",IF(HR_Data[[#This Row],[JobSatisfaction]]=2,"Medium",IF(HR_Data[[#This Row],[JobSatisfaction]]=3,"High","Very High")))</f>
        <v>High</v>
      </c>
      <c r="AP851" s="1" t="str">
        <f>IF(HR_Data[[#This Row],[WorkLifeBalance]]=1,"Bad",IF(HR_Data[[#This Row],[WorkLifeBalance]]=2,"Good",IF(HR_Data[[#This Row],[WorkLifeBalance]]=3,"Better","Best")))</f>
        <v>Good</v>
      </c>
    </row>
    <row r="852" spans="1:42" x14ac:dyDescent="0.3">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c r="AJ852">
        <f>IF(HR_Data[[#This Row],[Attrition]]="Yes",1,0)</f>
        <v>0</v>
      </c>
      <c r="AK852">
        <f>IF(HR_Data[[#This Row],[Attrition]]="No",1,0)</f>
        <v>1</v>
      </c>
      <c r="AL852" t="str">
        <f>IF(HR_Data[[#This Row],[Age]]&lt;25,"Under 25",IF(HR_Data[[#This Row],[Age]]&lt;=34,"25-34",IF(HR_Data[[#This Row],[Age]]&lt;=44,"35-44",IF(HR_Data[[#This Row],[Age]]&lt;=54,"45-54","55+"))))</f>
        <v>25-34</v>
      </c>
      <c r="AM852" s="1" t="str">
        <f>IF(HR_Data[[#This Row],[MonthlyIncome]]&lt;3000,"Low Salary",IF(HR_Data[[#This Row],[MonthlyIncome]]&lt;=7000,"Medium Salary","High Salary"))</f>
        <v>Low Salary</v>
      </c>
      <c r="AN852" s="1" t="str">
        <f>IF(HR_Data[[#This Row],[YearsAtCompany]]&lt;2,"0-1 Years",IF(HR_Data[[#This Row],[YearsAtCompany]]&lt;=5,"2-5 Years",IF(HR_Data[[#This Row],[YearsAtCompany]]&lt;=10,"6-10 Years","10+ Years")))</f>
        <v>0-1 Years</v>
      </c>
      <c r="AO852" s="1" t="str">
        <f>IF(HR_Data[[#This Row],[JobSatisfaction]]=1,"Low",IF(HR_Data[[#This Row],[JobSatisfaction]]=2,"Medium",IF(HR_Data[[#This Row],[JobSatisfaction]]=3,"High","Very High")))</f>
        <v>Low</v>
      </c>
      <c r="AP852" s="1" t="str">
        <f>IF(HR_Data[[#This Row],[WorkLifeBalance]]=1,"Bad",IF(HR_Data[[#This Row],[WorkLifeBalance]]=2,"Good",IF(HR_Data[[#This Row],[WorkLifeBalance]]=3,"Better","Best")))</f>
        <v>Better</v>
      </c>
    </row>
    <row r="853" spans="1:42" x14ac:dyDescent="0.3">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c r="AJ853">
        <f>IF(HR_Data[[#This Row],[Attrition]]="Yes",1,0)</f>
        <v>0</v>
      </c>
      <c r="AK853">
        <f>IF(HR_Data[[#This Row],[Attrition]]="No",1,0)</f>
        <v>1</v>
      </c>
      <c r="AL853" t="str">
        <f>IF(HR_Data[[#This Row],[Age]]&lt;25,"Under 25",IF(HR_Data[[#This Row],[Age]]&lt;=34,"25-34",IF(HR_Data[[#This Row],[Age]]&lt;=44,"35-44",IF(HR_Data[[#This Row],[Age]]&lt;=54,"45-54","55+"))))</f>
        <v>55+</v>
      </c>
      <c r="AM853" s="1" t="str">
        <f>IF(HR_Data[[#This Row],[MonthlyIncome]]&lt;3000,"Low Salary",IF(HR_Data[[#This Row],[MonthlyIncome]]&lt;=7000,"Medium Salary","High Salary"))</f>
        <v>High Salary</v>
      </c>
      <c r="AN853" s="1" t="str">
        <f>IF(HR_Data[[#This Row],[YearsAtCompany]]&lt;2,"0-1 Years",IF(HR_Data[[#This Row],[YearsAtCompany]]&lt;=5,"2-5 Years",IF(HR_Data[[#This Row],[YearsAtCompany]]&lt;=10,"6-10 Years","10+ Years")))</f>
        <v>2-5 Years</v>
      </c>
      <c r="AO853" s="1" t="str">
        <f>IF(HR_Data[[#This Row],[JobSatisfaction]]=1,"Low",IF(HR_Data[[#This Row],[JobSatisfaction]]=2,"Medium",IF(HR_Data[[#This Row],[JobSatisfaction]]=3,"High","Very High")))</f>
        <v>Low</v>
      </c>
      <c r="AP853" s="1" t="str">
        <f>IF(HR_Data[[#This Row],[WorkLifeBalance]]=1,"Bad",IF(HR_Data[[#This Row],[WorkLifeBalance]]=2,"Good",IF(HR_Data[[#This Row],[WorkLifeBalance]]=3,"Better","Best")))</f>
        <v>Better</v>
      </c>
    </row>
    <row r="854" spans="1:42" x14ac:dyDescent="0.3">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c r="AJ854">
        <f>IF(HR_Data[[#This Row],[Attrition]]="Yes",1,0)</f>
        <v>0</v>
      </c>
      <c r="AK854">
        <f>IF(HR_Data[[#This Row],[Attrition]]="No",1,0)</f>
        <v>1</v>
      </c>
      <c r="AL854" t="str">
        <f>IF(HR_Data[[#This Row],[Age]]&lt;25,"Under 25",IF(HR_Data[[#This Row],[Age]]&lt;=34,"25-34",IF(HR_Data[[#This Row],[Age]]&lt;=44,"35-44",IF(HR_Data[[#This Row],[Age]]&lt;=54,"45-54","55+"))))</f>
        <v>25-34</v>
      </c>
      <c r="AM854" s="1" t="str">
        <f>IF(HR_Data[[#This Row],[MonthlyIncome]]&lt;3000,"Low Salary",IF(HR_Data[[#This Row],[MonthlyIncome]]&lt;=7000,"Medium Salary","High Salary"))</f>
        <v>Medium Salary</v>
      </c>
      <c r="AN854" s="1" t="str">
        <f>IF(HR_Data[[#This Row],[YearsAtCompany]]&lt;2,"0-1 Years",IF(HR_Data[[#This Row],[YearsAtCompany]]&lt;=5,"2-5 Years",IF(HR_Data[[#This Row],[YearsAtCompany]]&lt;=10,"6-10 Years","10+ Years")))</f>
        <v>6-10 Years</v>
      </c>
      <c r="AO854" s="1" t="str">
        <f>IF(HR_Data[[#This Row],[JobSatisfaction]]=1,"Low",IF(HR_Data[[#This Row],[JobSatisfaction]]=2,"Medium",IF(HR_Data[[#This Row],[JobSatisfaction]]=3,"High","Very High")))</f>
        <v>Very High</v>
      </c>
      <c r="AP854" s="1" t="str">
        <f>IF(HR_Data[[#This Row],[WorkLifeBalance]]=1,"Bad",IF(HR_Data[[#This Row],[WorkLifeBalance]]=2,"Good",IF(HR_Data[[#This Row],[WorkLifeBalance]]=3,"Better","Best")))</f>
        <v>Better</v>
      </c>
    </row>
    <row r="855" spans="1:42" x14ac:dyDescent="0.3">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c r="AJ855">
        <f>IF(HR_Data[[#This Row],[Attrition]]="Yes",1,0)</f>
        <v>0</v>
      </c>
      <c r="AK855">
        <f>IF(HR_Data[[#This Row],[Attrition]]="No",1,0)</f>
        <v>1</v>
      </c>
      <c r="AL855" t="str">
        <f>IF(HR_Data[[#This Row],[Age]]&lt;25,"Under 25",IF(HR_Data[[#This Row],[Age]]&lt;=34,"25-34",IF(HR_Data[[#This Row],[Age]]&lt;=44,"35-44",IF(HR_Data[[#This Row],[Age]]&lt;=54,"45-54","55+"))))</f>
        <v>Under 25</v>
      </c>
      <c r="AM855" s="1" t="str">
        <f>IF(HR_Data[[#This Row],[MonthlyIncome]]&lt;3000,"Low Salary",IF(HR_Data[[#This Row],[MonthlyIncome]]&lt;=7000,"Medium Salary","High Salary"))</f>
        <v>Low Salary</v>
      </c>
      <c r="AN855" s="1" t="str">
        <f>IF(HR_Data[[#This Row],[YearsAtCompany]]&lt;2,"0-1 Years",IF(HR_Data[[#This Row],[YearsAtCompany]]&lt;=5,"2-5 Years",IF(HR_Data[[#This Row],[YearsAtCompany]]&lt;=10,"6-10 Years","10+ Years")))</f>
        <v>0-1 Years</v>
      </c>
      <c r="AO855" s="1" t="str">
        <f>IF(HR_Data[[#This Row],[JobSatisfaction]]=1,"Low",IF(HR_Data[[#This Row],[JobSatisfaction]]=2,"Medium",IF(HR_Data[[#This Row],[JobSatisfaction]]=3,"High","Very High")))</f>
        <v>Low</v>
      </c>
      <c r="AP855" s="1" t="str">
        <f>IF(HR_Data[[#This Row],[WorkLifeBalance]]=1,"Bad",IF(HR_Data[[#This Row],[WorkLifeBalance]]=2,"Good",IF(HR_Data[[#This Row],[WorkLifeBalance]]=3,"Better","Best")))</f>
        <v>Better</v>
      </c>
    </row>
    <row r="856" spans="1:42" x14ac:dyDescent="0.3">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c r="AJ856">
        <f>IF(HR_Data[[#This Row],[Attrition]]="Yes",1,0)</f>
        <v>0</v>
      </c>
      <c r="AK856">
        <f>IF(HR_Data[[#This Row],[Attrition]]="No",1,0)</f>
        <v>1</v>
      </c>
      <c r="AL856" t="str">
        <f>IF(HR_Data[[#This Row],[Age]]&lt;25,"Under 25",IF(HR_Data[[#This Row],[Age]]&lt;=34,"25-34",IF(HR_Data[[#This Row],[Age]]&lt;=44,"35-44",IF(HR_Data[[#This Row],[Age]]&lt;=54,"45-54","55+"))))</f>
        <v>45-54</v>
      </c>
      <c r="AM856" s="1" t="str">
        <f>IF(HR_Data[[#This Row],[MonthlyIncome]]&lt;3000,"Low Salary",IF(HR_Data[[#This Row],[MonthlyIncome]]&lt;=7000,"Medium Salary","High Salary"))</f>
        <v>Medium Salary</v>
      </c>
      <c r="AN856" s="1" t="str">
        <f>IF(HR_Data[[#This Row],[YearsAtCompany]]&lt;2,"0-1 Years",IF(HR_Data[[#This Row],[YearsAtCompany]]&lt;=5,"2-5 Years",IF(HR_Data[[#This Row],[YearsAtCompany]]&lt;=10,"6-10 Years","10+ Years")))</f>
        <v>2-5 Years</v>
      </c>
      <c r="AO856" s="1" t="str">
        <f>IF(HR_Data[[#This Row],[JobSatisfaction]]=1,"Low",IF(HR_Data[[#This Row],[JobSatisfaction]]=2,"Medium",IF(HR_Data[[#This Row],[JobSatisfaction]]=3,"High","Very High")))</f>
        <v>High</v>
      </c>
      <c r="AP856" s="1" t="str">
        <f>IF(HR_Data[[#This Row],[WorkLifeBalance]]=1,"Bad",IF(HR_Data[[#This Row],[WorkLifeBalance]]=2,"Good",IF(HR_Data[[#This Row],[WorkLifeBalance]]=3,"Better","Best")))</f>
        <v>Good</v>
      </c>
    </row>
    <row r="857" spans="1:42" x14ac:dyDescent="0.3">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c r="AJ857">
        <f>IF(HR_Data[[#This Row],[Attrition]]="Yes",1,0)</f>
        <v>0</v>
      </c>
      <c r="AK857">
        <f>IF(HR_Data[[#This Row],[Attrition]]="No",1,0)</f>
        <v>1</v>
      </c>
      <c r="AL857" t="str">
        <f>IF(HR_Data[[#This Row],[Age]]&lt;25,"Under 25",IF(HR_Data[[#This Row],[Age]]&lt;=34,"25-34",IF(HR_Data[[#This Row],[Age]]&lt;=44,"35-44",IF(HR_Data[[#This Row],[Age]]&lt;=54,"45-54","55+"))))</f>
        <v>35-44</v>
      </c>
      <c r="AM857" s="1" t="str">
        <f>IF(HR_Data[[#This Row],[MonthlyIncome]]&lt;3000,"Low Salary",IF(HR_Data[[#This Row],[MonthlyIncome]]&lt;=7000,"Medium Salary","High Salary"))</f>
        <v>Medium Salary</v>
      </c>
      <c r="AN857" s="1" t="str">
        <f>IF(HR_Data[[#This Row],[YearsAtCompany]]&lt;2,"0-1 Years",IF(HR_Data[[#This Row],[YearsAtCompany]]&lt;=5,"2-5 Years",IF(HR_Data[[#This Row],[YearsAtCompany]]&lt;=10,"6-10 Years","10+ Years")))</f>
        <v>10+ Years</v>
      </c>
      <c r="AO857" s="1" t="str">
        <f>IF(HR_Data[[#This Row],[JobSatisfaction]]=1,"Low",IF(HR_Data[[#This Row],[JobSatisfaction]]=2,"Medium",IF(HR_Data[[#This Row],[JobSatisfaction]]=3,"High","Very High")))</f>
        <v>Very High</v>
      </c>
      <c r="AP857" s="1" t="str">
        <f>IF(HR_Data[[#This Row],[WorkLifeBalance]]=1,"Bad",IF(HR_Data[[#This Row],[WorkLifeBalance]]=2,"Good",IF(HR_Data[[#This Row],[WorkLifeBalance]]=3,"Better","Best")))</f>
        <v>Good</v>
      </c>
    </row>
    <row r="858" spans="1:42" x14ac:dyDescent="0.3">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c r="AJ858">
        <f>IF(HR_Data[[#This Row],[Attrition]]="Yes",1,0)</f>
        <v>0</v>
      </c>
      <c r="AK858">
        <f>IF(HR_Data[[#This Row],[Attrition]]="No",1,0)</f>
        <v>1</v>
      </c>
      <c r="AL858" t="str">
        <f>IF(HR_Data[[#This Row],[Age]]&lt;25,"Under 25",IF(HR_Data[[#This Row],[Age]]&lt;=34,"25-34",IF(HR_Data[[#This Row],[Age]]&lt;=44,"35-44",IF(HR_Data[[#This Row],[Age]]&lt;=54,"45-54","55+"))))</f>
        <v>Under 25</v>
      </c>
      <c r="AM858" s="1" t="str">
        <f>IF(HR_Data[[#This Row],[MonthlyIncome]]&lt;3000,"Low Salary",IF(HR_Data[[#This Row],[MonthlyIncome]]&lt;=7000,"Medium Salary","High Salary"))</f>
        <v>Medium Salary</v>
      </c>
      <c r="AN858" s="1" t="str">
        <f>IF(HR_Data[[#This Row],[YearsAtCompany]]&lt;2,"0-1 Years",IF(HR_Data[[#This Row],[YearsAtCompany]]&lt;=5,"2-5 Years",IF(HR_Data[[#This Row],[YearsAtCompany]]&lt;=10,"6-10 Years","10+ Years")))</f>
        <v>2-5 Years</v>
      </c>
      <c r="AO858" s="1" t="str">
        <f>IF(HR_Data[[#This Row],[JobSatisfaction]]=1,"Low",IF(HR_Data[[#This Row],[JobSatisfaction]]=2,"Medium",IF(HR_Data[[#This Row],[JobSatisfaction]]=3,"High","Very High")))</f>
        <v>High</v>
      </c>
      <c r="AP858" s="1" t="str">
        <f>IF(HR_Data[[#This Row],[WorkLifeBalance]]=1,"Bad",IF(HR_Data[[#This Row],[WorkLifeBalance]]=2,"Good",IF(HR_Data[[#This Row],[WorkLifeBalance]]=3,"Better","Best")))</f>
        <v>Good</v>
      </c>
    </row>
    <row r="859" spans="1:42" x14ac:dyDescent="0.3">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c r="AJ859">
        <f>IF(HR_Data[[#This Row],[Attrition]]="Yes",1,0)</f>
        <v>1</v>
      </c>
      <c r="AK859">
        <f>IF(HR_Data[[#This Row],[Attrition]]="No",1,0)</f>
        <v>0</v>
      </c>
      <c r="AL859" t="str">
        <f>IF(HR_Data[[#This Row],[Age]]&lt;25,"Under 25",IF(HR_Data[[#This Row],[Age]]&lt;=34,"25-34",IF(HR_Data[[#This Row],[Age]]&lt;=44,"35-44",IF(HR_Data[[#This Row],[Age]]&lt;=54,"45-54","55+"))))</f>
        <v>35-44</v>
      </c>
      <c r="AM859" s="1" t="str">
        <f>IF(HR_Data[[#This Row],[MonthlyIncome]]&lt;3000,"Low Salary",IF(HR_Data[[#This Row],[MonthlyIncome]]&lt;=7000,"Medium Salary","High Salary"))</f>
        <v>Low Salary</v>
      </c>
      <c r="AN859" s="1" t="str">
        <f>IF(HR_Data[[#This Row],[YearsAtCompany]]&lt;2,"0-1 Years",IF(HR_Data[[#This Row],[YearsAtCompany]]&lt;=5,"2-5 Years",IF(HR_Data[[#This Row],[YearsAtCompany]]&lt;=10,"6-10 Years","10+ Years")))</f>
        <v>6-10 Years</v>
      </c>
      <c r="AO859" s="1" t="str">
        <f>IF(HR_Data[[#This Row],[JobSatisfaction]]=1,"Low",IF(HR_Data[[#This Row],[JobSatisfaction]]=2,"Medium",IF(HR_Data[[#This Row],[JobSatisfaction]]=3,"High","Very High")))</f>
        <v>High</v>
      </c>
      <c r="AP859" s="1" t="str">
        <f>IF(HR_Data[[#This Row],[WorkLifeBalance]]=1,"Bad",IF(HR_Data[[#This Row],[WorkLifeBalance]]=2,"Good",IF(HR_Data[[#This Row],[WorkLifeBalance]]=3,"Better","Best")))</f>
        <v>Better</v>
      </c>
    </row>
    <row r="860" spans="1:42" x14ac:dyDescent="0.3">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c r="AJ860">
        <f>IF(HR_Data[[#This Row],[Attrition]]="Yes",1,0)</f>
        <v>0</v>
      </c>
      <c r="AK860">
        <f>IF(HR_Data[[#This Row],[Attrition]]="No",1,0)</f>
        <v>1</v>
      </c>
      <c r="AL860" t="str">
        <f>IF(HR_Data[[#This Row],[Age]]&lt;25,"Under 25",IF(HR_Data[[#This Row],[Age]]&lt;=34,"25-34",IF(HR_Data[[#This Row],[Age]]&lt;=44,"35-44",IF(HR_Data[[#This Row],[Age]]&lt;=54,"45-54","55+"))))</f>
        <v>45-54</v>
      </c>
      <c r="AM860" s="1" t="str">
        <f>IF(HR_Data[[#This Row],[MonthlyIncome]]&lt;3000,"Low Salary",IF(HR_Data[[#This Row],[MonthlyIncome]]&lt;=7000,"Medium Salary","High Salary"))</f>
        <v>High Salary</v>
      </c>
      <c r="AN860" s="1" t="str">
        <f>IF(HR_Data[[#This Row],[YearsAtCompany]]&lt;2,"0-1 Years",IF(HR_Data[[#This Row],[YearsAtCompany]]&lt;=5,"2-5 Years",IF(HR_Data[[#This Row],[YearsAtCompany]]&lt;=10,"6-10 Years","10+ Years")))</f>
        <v>6-10 Years</v>
      </c>
      <c r="AO860" s="1" t="str">
        <f>IF(HR_Data[[#This Row],[JobSatisfaction]]=1,"Low",IF(HR_Data[[#This Row],[JobSatisfaction]]=2,"Medium",IF(HR_Data[[#This Row],[JobSatisfaction]]=3,"High","Very High")))</f>
        <v>High</v>
      </c>
      <c r="AP860" s="1" t="str">
        <f>IF(HR_Data[[#This Row],[WorkLifeBalance]]=1,"Bad",IF(HR_Data[[#This Row],[WorkLifeBalance]]=2,"Good",IF(HR_Data[[#This Row],[WorkLifeBalance]]=3,"Better","Best")))</f>
        <v>Better</v>
      </c>
    </row>
    <row r="861" spans="1:42" x14ac:dyDescent="0.3">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c r="AJ861">
        <f>IF(HR_Data[[#This Row],[Attrition]]="Yes",1,0)</f>
        <v>0</v>
      </c>
      <c r="AK861">
        <f>IF(HR_Data[[#This Row],[Attrition]]="No",1,0)</f>
        <v>1</v>
      </c>
      <c r="AL861" t="str">
        <f>IF(HR_Data[[#This Row],[Age]]&lt;25,"Under 25",IF(HR_Data[[#This Row],[Age]]&lt;=34,"25-34",IF(HR_Data[[#This Row],[Age]]&lt;=44,"35-44",IF(HR_Data[[#This Row],[Age]]&lt;=54,"45-54","55+"))))</f>
        <v>25-34</v>
      </c>
      <c r="AM861" s="1" t="str">
        <f>IF(HR_Data[[#This Row],[MonthlyIncome]]&lt;3000,"Low Salary",IF(HR_Data[[#This Row],[MonthlyIncome]]&lt;=7000,"Medium Salary","High Salary"))</f>
        <v>Low Salary</v>
      </c>
      <c r="AN861" s="1" t="str">
        <f>IF(HR_Data[[#This Row],[YearsAtCompany]]&lt;2,"0-1 Years",IF(HR_Data[[#This Row],[YearsAtCompany]]&lt;=5,"2-5 Years",IF(HR_Data[[#This Row],[YearsAtCompany]]&lt;=10,"6-10 Years","10+ Years")))</f>
        <v>2-5 Years</v>
      </c>
      <c r="AO861" s="1" t="str">
        <f>IF(HR_Data[[#This Row],[JobSatisfaction]]=1,"Low",IF(HR_Data[[#This Row],[JobSatisfaction]]=2,"Medium",IF(HR_Data[[#This Row],[JobSatisfaction]]=3,"High","Very High")))</f>
        <v>Very High</v>
      </c>
      <c r="AP861" s="1" t="str">
        <f>IF(HR_Data[[#This Row],[WorkLifeBalance]]=1,"Bad",IF(HR_Data[[#This Row],[WorkLifeBalance]]=2,"Good",IF(HR_Data[[#This Row],[WorkLifeBalance]]=3,"Better","Best")))</f>
        <v>Good</v>
      </c>
    </row>
    <row r="862" spans="1:42" x14ac:dyDescent="0.3">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c r="AJ862">
        <f>IF(HR_Data[[#This Row],[Attrition]]="Yes",1,0)</f>
        <v>1</v>
      </c>
      <c r="AK862">
        <f>IF(HR_Data[[#This Row],[Attrition]]="No",1,0)</f>
        <v>0</v>
      </c>
      <c r="AL862" t="str">
        <f>IF(HR_Data[[#This Row],[Age]]&lt;25,"Under 25",IF(HR_Data[[#This Row],[Age]]&lt;=34,"25-34",IF(HR_Data[[#This Row],[Age]]&lt;=44,"35-44",IF(HR_Data[[#This Row],[Age]]&lt;=54,"45-54","55+"))))</f>
        <v>Under 25</v>
      </c>
      <c r="AM862" s="1" t="str">
        <f>IF(HR_Data[[#This Row],[MonthlyIncome]]&lt;3000,"Low Salary",IF(HR_Data[[#This Row],[MonthlyIncome]]&lt;=7000,"Medium Salary","High Salary"))</f>
        <v>Low Salary</v>
      </c>
      <c r="AN862" s="1" t="str">
        <f>IF(HR_Data[[#This Row],[YearsAtCompany]]&lt;2,"0-1 Years",IF(HR_Data[[#This Row],[YearsAtCompany]]&lt;=5,"2-5 Years",IF(HR_Data[[#This Row],[YearsAtCompany]]&lt;=10,"6-10 Years","10+ Years")))</f>
        <v>0-1 Years</v>
      </c>
      <c r="AO862" s="1" t="str">
        <f>IF(HR_Data[[#This Row],[JobSatisfaction]]=1,"Low",IF(HR_Data[[#This Row],[JobSatisfaction]]=2,"Medium",IF(HR_Data[[#This Row],[JobSatisfaction]]=3,"High","Very High")))</f>
        <v>Very High</v>
      </c>
      <c r="AP862" s="1" t="str">
        <f>IF(HR_Data[[#This Row],[WorkLifeBalance]]=1,"Bad",IF(HR_Data[[#This Row],[WorkLifeBalance]]=2,"Good",IF(HR_Data[[#This Row],[WorkLifeBalance]]=3,"Better","Best")))</f>
        <v>Better</v>
      </c>
    </row>
    <row r="863" spans="1:42" x14ac:dyDescent="0.3">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c r="AJ863">
        <f>IF(HR_Data[[#This Row],[Attrition]]="Yes",1,0)</f>
        <v>0</v>
      </c>
      <c r="AK863">
        <f>IF(HR_Data[[#This Row],[Attrition]]="No",1,0)</f>
        <v>1</v>
      </c>
      <c r="AL863" t="str">
        <f>IF(HR_Data[[#This Row],[Age]]&lt;25,"Under 25",IF(HR_Data[[#This Row],[Age]]&lt;=34,"25-34",IF(HR_Data[[#This Row],[Age]]&lt;=44,"35-44",IF(HR_Data[[#This Row],[Age]]&lt;=54,"45-54","55+"))))</f>
        <v>45-54</v>
      </c>
      <c r="AM863" s="1" t="str">
        <f>IF(HR_Data[[#This Row],[MonthlyIncome]]&lt;3000,"Low Salary",IF(HR_Data[[#This Row],[MonthlyIncome]]&lt;=7000,"Medium Salary","High Salary"))</f>
        <v>High Salary</v>
      </c>
      <c r="AN863" s="1" t="str">
        <f>IF(HR_Data[[#This Row],[YearsAtCompany]]&lt;2,"0-1 Years",IF(HR_Data[[#This Row],[YearsAtCompany]]&lt;=5,"2-5 Years",IF(HR_Data[[#This Row],[YearsAtCompany]]&lt;=10,"6-10 Years","10+ Years")))</f>
        <v>10+ Years</v>
      </c>
      <c r="AO863" s="1" t="str">
        <f>IF(HR_Data[[#This Row],[JobSatisfaction]]=1,"Low",IF(HR_Data[[#This Row],[JobSatisfaction]]=2,"Medium",IF(HR_Data[[#This Row],[JobSatisfaction]]=3,"High","Very High")))</f>
        <v>Low</v>
      </c>
      <c r="AP863" s="1" t="str">
        <f>IF(HR_Data[[#This Row],[WorkLifeBalance]]=1,"Bad",IF(HR_Data[[#This Row],[WorkLifeBalance]]=2,"Good",IF(HR_Data[[#This Row],[WorkLifeBalance]]=3,"Better","Best")))</f>
        <v>Better</v>
      </c>
    </row>
    <row r="864" spans="1:42" x14ac:dyDescent="0.3">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c r="AJ864">
        <f>IF(HR_Data[[#This Row],[Attrition]]="Yes",1,0)</f>
        <v>0</v>
      </c>
      <c r="AK864">
        <f>IF(HR_Data[[#This Row],[Attrition]]="No",1,0)</f>
        <v>1</v>
      </c>
      <c r="AL864" t="str">
        <f>IF(HR_Data[[#This Row],[Age]]&lt;25,"Under 25",IF(HR_Data[[#This Row],[Age]]&lt;=34,"25-34",IF(HR_Data[[#This Row],[Age]]&lt;=44,"35-44",IF(HR_Data[[#This Row],[Age]]&lt;=54,"45-54","55+"))))</f>
        <v>35-44</v>
      </c>
      <c r="AM864" s="1" t="str">
        <f>IF(HR_Data[[#This Row],[MonthlyIncome]]&lt;3000,"Low Salary",IF(HR_Data[[#This Row],[MonthlyIncome]]&lt;=7000,"Medium Salary","High Salary"))</f>
        <v>Low Salary</v>
      </c>
      <c r="AN864" s="1" t="str">
        <f>IF(HR_Data[[#This Row],[YearsAtCompany]]&lt;2,"0-1 Years",IF(HR_Data[[#This Row],[YearsAtCompany]]&lt;=5,"2-5 Years",IF(HR_Data[[#This Row],[YearsAtCompany]]&lt;=10,"6-10 Years","10+ Years")))</f>
        <v>0-1 Years</v>
      </c>
      <c r="AO864" s="1" t="str">
        <f>IF(HR_Data[[#This Row],[JobSatisfaction]]=1,"Low",IF(HR_Data[[#This Row],[JobSatisfaction]]=2,"Medium",IF(HR_Data[[#This Row],[JobSatisfaction]]=3,"High","Very High")))</f>
        <v>High</v>
      </c>
      <c r="AP864" s="1" t="str">
        <f>IF(HR_Data[[#This Row],[WorkLifeBalance]]=1,"Bad",IF(HR_Data[[#This Row],[WorkLifeBalance]]=2,"Good",IF(HR_Data[[#This Row],[WorkLifeBalance]]=3,"Better","Best")))</f>
        <v>Better</v>
      </c>
    </row>
    <row r="865" spans="1:42" x14ac:dyDescent="0.3">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c r="AJ865">
        <f>IF(HR_Data[[#This Row],[Attrition]]="Yes",1,0)</f>
        <v>0</v>
      </c>
      <c r="AK865">
        <f>IF(HR_Data[[#This Row],[Attrition]]="No",1,0)</f>
        <v>1</v>
      </c>
      <c r="AL865" t="str">
        <f>IF(HR_Data[[#This Row],[Age]]&lt;25,"Under 25",IF(HR_Data[[#This Row],[Age]]&lt;=34,"25-34",IF(HR_Data[[#This Row],[Age]]&lt;=44,"35-44",IF(HR_Data[[#This Row],[Age]]&lt;=54,"45-54","55+"))))</f>
        <v>25-34</v>
      </c>
      <c r="AM865" s="1" t="str">
        <f>IF(HR_Data[[#This Row],[MonthlyIncome]]&lt;3000,"Low Salary",IF(HR_Data[[#This Row],[MonthlyIncome]]&lt;=7000,"Medium Salary","High Salary"))</f>
        <v>Medium Salary</v>
      </c>
      <c r="AN865" s="1" t="str">
        <f>IF(HR_Data[[#This Row],[YearsAtCompany]]&lt;2,"0-1 Years",IF(HR_Data[[#This Row],[YearsAtCompany]]&lt;=5,"2-5 Years",IF(HR_Data[[#This Row],[YearsAtCompany]]&lt;=10,"6-10 Years","10+ Years")))</f>
        <v>2-5 Years</v>
      </c>
      <c r="AO865" s="1" t="str">
        <f>IF(HR_Data[[#This Row],[JobSatisfaction]]=1,"Low",IF(HR_Data[[#This Row],[JobSatisfaction]]=2,"Medium",IF(HR_Data[[#This Row],[JobSatisfaction]]=3,"High","Very High")))</f>
        <v>High</v>
      </c>
      <c r="AP865" s="1" t="str">
        <f>IF(HR_Data[[#This Row],[WorkLifeBalance]]=1,"Bad",IF(HR_Data[[#This Row],[WorkLifeBalance]]=2,"Good",IF(HR_Data[[#This Row],[WorkLifeBalance]]=3,"Better","Best")))</f>
        <v>Better</v>
      </c>
    </row>
    <row r="866" spans="1:42" x14ac:dyDescent="0.3">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c r="AJ866">
        <f>IF(HR_Data[[#This Row],[Attrition]]="Yes",1,0)</f>
        <v>1</v>
      </c>
      <c r="AK866">
        <f>IF(HR_Data[[#This Row],[Attrition]]="No",1,0)</f>
        <v>0</v>
      </c>
      <c r="AL866" t="str">
        <f>IF(HR_Data[[#This Row],[Age]]&lt;25,"Under 25",IF(HR_Data[[#This Row],[Age]]&lt;=34,"25-34",IF(HR_Data[[#This Row],[Age]]&lt;=44,"35-44",IF(HR_Data[[#This Row],[Age]]&lt;=54,"45-54","55+"))))</f>
        <v>35-44</v>
      </c>
      <c r="AM866" s="1" t="str">
        <f>IF(HR_Data[[#This Row],[MonthlyIncome]]&lt;3000,"Low Salary",IF(HR_Data[[#This Row],[MonthlyIncome]]&lt;=7000,"Medium Salary","High Salary"))</f>
        <v>Low Salary</v>
      </c>
      <c r="AN866" s="1" t="str">
        <f>IF(HR_Data[[#This Row],[YearsAtCompany]]&lt;2,"0-1 Years",IF(HR_Data[[#This Row],[YearsAtCompany]]&lt;=5,"2-5 Years",IF(HR_Data[[#This Row],[YearsAtCompany]]&lt;=10,"6-10 Years","10+ Years")))</f>
        <v>0-1 Years</v>
      </c>
      <c r="AO866" s="1" t="str">
        <f>IF(HR_Data[[#This Row],[JobSatisfaction]]=1,"Low",IF(HR_Data[[#This Row],[JobSatisfaction]]=2,"Medium",IF(HR_Data[[#This Row],[JobSatisfaction]]=3,"High","Very High")))</f>
        <v>Low</v>
      </c>
      <c r="AP866" s="1" t="str">
        <f>IF(HR_Data[[#This Row],[WorkLifeBalance]]=1,"Bad",IF(HR_Data[[#This Row],[WorkLifeBalance]]=2,"Good",IF(HR_Data[[#This Row],[WorkLifeBalance]]=3,"Better","Best")))</f>
        <v>Bad</v>
      </c>
    </row>
    <row r="867" spans="1:42" x14ac:dyDescent="0.3">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c r="AJ867">
        <f>IF(HR_Data[[#This Row],[Attrition]]="Yes",1,0)</f>
        <v>0</v>
      </c>
      <c r="AK867">
        <f>IF(HR_Data[[#This Row],[Attrition]]="No",1,0)</f>
        <v>1</v>
      </c>
      <c r="AL867" t="str">
        <f>IF(HR_Data[[#This Row],[Age]]&lt;25,"Under 25",IF(HR_Data[[#This Row],[Age]]&lt;=34,"25-34",IF(HR_Data[[#This Row],[Age]]&lt;=44,"35-44",IF(HR_Data[[#This Row],[Age]]&lt;=54,"45-54","55+"))))</f>
        <v>25-34</v>
      </c>
      <c r="AM867" s="1" t="str">
        <f>IF(HR_Data[[#This Row],[MonthlyIncome]]&lt;3000,"Low Salary",IF(HR_Data[[#This Row],[MonthlyIncome]]&lt;=7000,"Medium Salary","High Salary"))</f>
        <v>Medium Salary</v>
      </c>
      <c r="AN867" s="1" t="str">
        <f>IF(HR_Data[[#This Row],[YearsAtCompany]]&lt;2,"0-1 Years",IF(HR_Data[[#This Row],[YearsAtCompany]]&lt;=5,"2-5 Years",IF(HR_Data[[#This Row],[YearsAtCompany]]&lt;=10,"6-10 Years","10+ Years")))</f>
        <v>2-5 Years</v>
      </c>
      <c r="AO867" s="1" t="str">
        <f>IF(HR_Data[[#This Row],[JobSatisfaction]]=1,"Low",IF(HR_Data[[#This Row],[JobSatisfaction]]=2,"Medium",IF(HR_Data[[#This Row],[JobSatisfaction]]=3,"High","Very High")))</f>
        <v>Low</v>
      </c>
      <c r="AP867" s="1" t="str">
        <f>IF(HR_Data[[#This Row],[WorkLifeBalance]]=1,"Bad",IF(HR_Data[[#This Row],[WorkLifeBalance]]=2,"Good",IF(HR_Data[[#This Row],[WorkLifeBalance]]=3,"Better","Best")))</f>
        <v>Better</v>
      </c>
    </row>
    <row r="868" spans="1:42" x14ac:dyDescent="0.3">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c r="AJ868">
        <f>IF(HR_Data[[#This Row],[Attrition]]="Yes",1,0)</f>
        <v>0</v>
      </c>
      <c r="AK868">
        <f>IF(HR_Data[[#This Row],[Attrition]]="No",1,0)</f>
        <v>1</v>
      </c>
      <c r="AL868" t="str">
        <f>IF(HR_Data[[#This Row],[Age]]&lt;25,"Under 25",IF(HR_Data[[#This Row],[Age]]&lt;=34,"25-34",IF(HR_Data[[#This Row],[Age]]&lt;=44,"35-44",IF(HR_Data[[#This Row],[Age]]&lt;=54,"45-54","55+"))))</f>
        <v>35-44</v>
      </c>
      <c r="AM868" s="1" t="str">
        <f>IF(HR_Data[[#This Row],[MonthlyIncome]]&lt;3000,"Low Salary",IF(HR_Data[[#This Row],[MonthlyIncome]]&lt;=7000,"Medium Salary","High Salary"))</f>
        <v>Medium Salary</v>
      </c>
      <c r="AN868" s="1" t="str">
        <f>IF(HR_Data[[#This Row],[YearsAtCompany]]&lt;2,"0-1 Years",IF(HR_Data[[#This Row],[YearsAtCompany]]&lt;=5,"2-5 Years",IF(HR_Data[[#This Row],[YearsAtCompany]]&lt;=10,"6-10 Years","10+ Years")))</f>
        <v>0-1 Years</v>
      </c>
      <c r="AO868" s="1" t="str">
        <f>IF(HR_Data[[#This Row],[JobSatisfaction]]=1,"Low",IF(HR_Data[[#This Row],[JobSatisfaction]]=2,"Medium",IF(HR_Data[[#This Row],[JobSatisfaction]]=3,"High","Very High")))</f>
        <v>Medium</v>
      </c>
      <c r="AP868" s="1" t="str">
        <f>IF(HR_Data[[#This Row],[WorkLifeBalance]]=1,"Bad",IF(HR_Data[[#This Row],[WorkLifeBalance]]=2,"Good",IF(HR_Data[[#This Row],[WorkLifeBalance]]=3,"Better","Best")))</f>
        <v>Better</v>
      </c>
    </row>
    <row r="869" spans="1:42" x14ac:dyDescent="0.3">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c r="AJ869">
        <f>IF(HR_Data[[#This Row],[Attrition]]="Yes",1,0)</f>
        <v>0</v>
      </c>
      <c r="AK869">
        <f>IF(HR_Data[[#This Row],[Attrition]]="No",1,0)</f>
        <v>1</v>
      </c>
      <c r="AL869" t="str">
        <f>IF(HR_Data[[#This Row],[Age]]&lt;25,"Under 25",IF(HR_Data[[#This Row],[Age]]&lt;=34,"25-34",IF(HR_Data[[#This Row],[Age]]&lt;=44,"35-44",IF(HR_Data[[#This Row],[Age]]&lt;=54,"45-54","55+"))))</f>
        <v>45-54</v>
      </c>
      <c r="AM869" s="1" t="str">
        <f>IF(HR_Data[[#This Row],[MonthlyIncome]]&lt;3000,"Low Salary",IF(HR_Data[[#This Row],[MonthlyIncome]]&lt;=7000,"Medium Salary","High Salary"))</f>
        <v>High Salary</v>
      </c>
      <c r="AN869" s="1" t="str">
        <f>IF(HR_Data[[#This Row],[YearsAtCompany]]&lt;2,"0-1 Years",IF(HR_Data[[#This Row],[YearsAtCompany]]&lt;=5,"2-5 Years",IF(HR_Data[[#This Row],[YearsAtCompany]]&lt;=10,"6-10 Years","10+ Years")))</f>
        <v>2-5 Years</v>
      </c>
      <c r="AO869" s="1" t="str">
        <f>IF(HR_Data[[#This Row],[JobSatisfaction]]=1,"Low",IF(HR_Data[[#This Row],[JobSatisfaction]]=2,"Medium",IF(HR_Data[[#This Row],[JobSatisfaction]]=3,"High","Very High")))</f>
        <v>Low</v>
      </c>
      <c r="AP869" s="1" t="str">
        <f>IF(HR_Data[[#This Row],[WorkLifeBalance]]=1,"Bad",IF(HR_Data[[#This Row],[WorkLifeBalance]]=2,"Good",IF(HR_Data[[#This Row],[WorkLifeBalance]]=3,"Better","Best")))</f>
        <v>Better</v>
      </c>
    </row>
    <row r="870" spans="1:42" x14ac:dyDescent="0.3">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c r="AJ870">
        <f>IF(HR_Data[[#This Row],[Attrition]]="Yes",1,0)</f>
        <v>0</v>
      </c>
      <c r="AK870">
        <f>IF(HR_Data[[#This Row],[Attrition]]="No",1,0)</f>
        <v>1</v>
      </c>
      <c r="AL870" t="str">
        <f>IF(HR_Data[[#This Row],[Age]]&lt;25,"Under 25",IF(HR_Data[[#This Row],[Age]]&lt;=34,"25-34",IF(HR_Data[[#This Row],[Age]]&lt;=44,"35-44",IF(HR_Data[[#This Row],[Age]]&lt;=54,"45-54","55+"))))</f>
        <v>25-34</v>
      </c>
      <c r="AM870" s="1" t="str">
        <f>IF(HR_Data[[#This Row],[MonthlyIncome]]&lt;3000,"Low Salary",IF(HR_Data[[#This Row],[MonthlyIncome]]&lt;=7000,"Medium Salary","High Salary"))</f>
        <v>Medium Salary</v>
      </c>
      <c r="AN870" s="1" t="str">
        <f>IF(HR_Data[[#This Row],[YearsAtCompany]]&lt;2,"0-1 Years",IF(HR_Data[[#This Row],[YearsAtCompany]]&lt;=5,"2-5 Years",IF(HR_Data[[#This Row],[YearsAtCompany]]&lt;=10,"6-10 Years","10+ Years")))</f>
        <v>6-10 Years</v>
      </c>
      <c r="AO870" s="1" t="str">
        <f>IF(HR_Data[[#This Row],[JobSatisfaction]]=1,"Low",IF(HR_Data[[#This Row],[JobSatisfaction]]=2,"Medium",IF(HR_Data[[#This Row],[JobSatisfaction]]=3,"High","Very High")))</f>
        <v>Low</v>
      </c>
      <c r="AP870" s="1" t="str">
        <f>IF(HR_Data[[#This Row],[WorkLifeBalance]]=1,"Bad",IF(HR_Data[[#This Row],[WorkLifeBalance]]=2,"Good",IF(HR_Data[[#This Row],[WorkLifeBalance]]=3,"Better","Best")))</f>
        <v>Better</v>
      </c>
    </row>
    <row r="871" spans="1:42" x14ac:dyDescent="0.3">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c r="AJ871">
        <f>IF(HR_Data[[#This Row],[Attrition]]="Yes",1,0)</f>
        <v>0</v>
      </c>
      <c r="AK871">
        <f>IF(HR_Data[[#This Row],[Attrition]]="No",1,0)</f>
        <v>1</v>
      </c>
      <c r="AL871" t="str">
        <f>IF(HR_Data[[#This Row],[Age]]&lt;25,"Under 25",IF(HR_Data[[#This Row],[Age]]&lt;=34,"25-34",IF(HR_Data[[#This Row],[Age]]&lt;=44,"35-44",IF(HR_Data[[#This Row],[Age]]&lt;=54,"45-54","55+"))))</f>
        <v>45-54</v>
      </c>
      <c r="AM871" s="1" t="str">
        <f>IF(HR_Data[[#This Row],[MonthlyIncome]]&lt;3000,"Low Salary",IF(HR_Data[[#This Row],[MonthlyIncome]]&lt;=7000,"Medium Salary","High Salary"))</f>
        <v>High Salary</v>
      </c>
      <c r="AN871" s="1" t="str">
        <f>IF(HR_Data[[#This Row],[YearsAtCompany]]&lt;2,"0-1 Years",IF(HR_Data[[#This Row],[YearsAtCompany]]&lt;=5,"2-5 Years",IF(HR_Data[[#This Row],[YearsAtCompany]]&lt;=10,"6-10 Years","10+ Years")))</f>
        <v>2-5 Years</v>
      </c>
      <c r="AO871" s="1" t="str">
        <f>IF(HR_Data[[#This Row],[JobSatisfaction]]=1,"Low",IF(HR_Data[[#This Row],[JobSatisfaction]]=2,"Medium",IF(HR_Data[[#This Row],[JobSatisfaction]]=3,"High","Very High")))</f>
        <v>Medium</v>
      </c>
      <c r="AP871" s="1" t="str">
        <f>IF(HR_Data[[#This Row],[WorkLifeBalance]]=1,"Bad",IF(HR_Data[[#This Row],[WorkLifeBalance]]=2,"Good",IF(HR_Data[[#This Row],[WorkLifeBalance]]=3,"Better","Best")))</f>
        <v>Better</v>
      </c>
    </row>
    <row r="872" spans="1:42" x14ac:dyDescent="0.3">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c r="AJ872">
        <f>IF(HR_Data[[#This Row],[Attrition]]="Yes",1,0)</f>
        <v>0</v>
      </c>
      <c r="AK872">
        <f>IF(HR_Data[[#This Row],[Attrition]]="No",1,0)</f>
        <v>1</v>
      </c>
      <c r="AL872" t="str">
        <f>IF(HR_Data[[#This Row],[Age]]&lt;25,"Under 25",IF(HR_Data[[#This Row],[Age]]&lt;=34,"25-34",IF(HR_Data[[#This Row],[Age]]&lt;=44,"35-44",IF(HR_Data[[#This Row],[Age]]&lt;=54,"45-54","55+"))))</f>
        <v>35-44</v>
      </c>
      <c r="AM872" s="1" t="str">
        <f>IF(HR_Data[[#This Row],[MonthlyIncome]]&lt;3000,"Low Salary",IF(HR_Data[[#This Row],[MonthlyIncome]]&lt;=7000,"Medium Salary","High Salary"))</f>
        <v>High Salary</v>
      </c>
      <c r="AN872" s="1" t="str">
        <f>IF(HR_Data[[#This Row],[YearsAtCompany]]&lt;2,"0-1 Years",IF(HR_Data[[#This Row],[YearsAtCompany]]&lt;=5,"2-5 Years",IF(HR_Data[[#This Row],[YearsAtCompany]]&lt;=10,"6-10 Years","10+ Years")))</f>
        <v>6-10 Years</v>
      </c>
      <c r="AO872" s="1" t="str">
        <f>IF(HR_Data[[#This Row],[JobSatisfaction]]=1,"Low",IF(HR_Data[[#This Row],[JobSatisfaction]]=2,"Medium",IF(HR_Data[[#This Row],[JobSatisfaction]]=3,"High","Very High")))</f>
        <v>Low</v>
      </c>
      <c r="AP872" s="1" t="str">
        <f>IF(HR_Data[[#This Row],[WorkLifeBalance]]=1,"Bad",IF(HR_Data[[#This Row],[WorkLifeBalance]]=2,"Good",IF(HR_Data[[#This Row],[WorkLifeBalance]]=3,"Better","Best")))</f>
        <v>Better</v>
      </c>
    </row>
    <row r="873" spans="1:42" x14ac:dyDescent="0.3">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c r="AJ873">
        <f>IF(HR_Data[[#This Row],[Attrition]]="Yes",1,0)</f>
        <v>1</v>
      </c>
      <c r="AK873">
        <f>IF(HR_Data[[#This Row],[Attrition]]="No",1,0)</f>
        <v>0</v>
      </c>
      <c r="AL873" t="str">
        <f>IF(HR_Data[[#This Row],[Age]]&lt;25,"Under 25",IF(HR_Data[[#This Row],[Age]]&lt;=34,"25-34",IF(HR_Data[[#This Row],[Age]]&lt;=44,"35-44",IF(HR_Data[[#This Row],[Age]]&lt;=54,"45-54","55+"))))</f>
        <v>Under 25</v>
      </c>
      <c r="AM873" s="1" t="str">
        <f>IF(HR_Data[[#This Row],[MonthlyIncome]]&lt;3000,"Low Salary",IF(HR_Data[[#This Row],[MonthlyIncome]]&lt;=7000,"Medium Salary","High Salary"))</f>
        <v>Low Salary</v>
      </c>
      <c r="AN873" s="1" t="str">
        <f>IF(HR_Data[[#This Row],[YearsAtCompany]]&lt;2,"0-1 Years",IF(HR_Data[[#This Row],[YearsAtCompany]]&lt;=5,"2-5 Years",IF(HR_Data[[#This Row],[YearsAtCompany]]&lt;=10,"6-10 Years","10+ Years")))</f>
        <v>0-1 Years</v>
      </c>
      <c r="AO873" s="1" t="str">
        <f>IF(HR_Data[[#This Row],[JobSatisfaction]]=1,"Low",IF(HR_Data[[#This Row],[JobSatisfaction]]=2,"Medium",IF(HR_Data[[#This Row],[JobSatisfaction]]=3,"High","Very High")))</f>
        <v>Medium</v>
      </c>
      <c r="AP873" s="1" t="str">
        <f>IF(HR_Data[[#This Row],[WorkLifeBalance]]=1,"Bad",IF(HR_Data[[#This Row],[WorkLifeBalance]]=2,"Good",IF(HR_Data[[#This Row],[WorkLifeBalance]]=3,"Better","Best")))</f>
        <v>Bad</v>
      </c>
    </row>
    <row r="874" spans="1:42" x14ac:dyDescent="0.3">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c r="AJ874">
        <f>IF(HR_Data[[#This Row],[Attrition]]="Yes",1,0)</f>
        <v>0</v>
      </c>
      <c r="AK874">
        <f>IF(HR_Data[[#This Row],[Attrition]]="No",1,0)</f>
        <v>1</v>
      </c>
      <c r="AL874" t="str">
        <f>IF(HR_Data[[#This Row],[Age]]&lt;25,"Under 25",IF(HR_Data[[#This Row],[Age]]&lt;=34,"25-34",IF(HR_Data[[#This Row],[Age]]&lt;=44,"35-44",IF(HR_Data[[#This Row],[Age]]&lt;=54,"45-54","55+"))))</f>
        <v>25-34</v>
      </c>
      <c r="AM874" s="1" t="str">
        <f>IF(HR_Data[[#This Row],[MonthlyIncome]]&lt;3000,"Low Salary",IF(HR_Data[[#This Row],[MonthlyIncome]]&lt;=7000,"Medium Salary","High Salary"))</f>
        <v>Medium Salary</v>
      </c>
      <c r="AN874" s="1" t="str">
        <f>IF(HR_Data[[#This Row],[YearsAtCompany]]&lt;2,"0-1 Years",IF(HR_Data[[#This Row],[YearsAtCompany]]&lt;=5,"2-5 Years",IF(HR_Data[[#This Row],[YearsAtCompany]]&lt;=10,"6-10 Years","10+ Years")))</f>
        <v>6-10 Years</v>
      </c>
      <c r="AO874" s="1" t="str">
        <f>IF(HR_Data[[#This Row],[JobSatisfaction]]=1,"Low",IF(HR_Data[[#This Row],[JobSatisfaction]]=2,"Medium",IF(HR_Data[[#This Row],[JobSatisfaction]]=3,"High","Very High")))</f>
        <v>High</v>
      </c>
      <c r="AP874" s="1" t="str">
        <f>IF(HR_Data[[#This Row],[WorkLifeBalance]]=1,"Bad",IF(HR_Data[[#This Row],[WorkLifeBalance]]=2,"Good",IF(HR_Data[[#This Row],[WorkLifeBalance]]=3,"Better","Best")))</f>
        <v>Good</v>
      </c>
    </row>
    <row r="875" spans="1:42" x14ac:dyDescent="0.3">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c r="AJ875">
        <f>IF(HR_Data[[#This Row],[Attrition]]="Yes",1,0)</f>
        <v>0</v>
      </c>
      <c r="AK875">
        <f>IF(HR_Data[[#This Row],[Attrition]]="No",1,0)</f>
        <v>1</v>
      </c>
      <c r="AL875" t="str">
        <f>IF(HR_Data[[#This Row],[Age]]&lt;25,"Under 25",IF(HR_Data[[#This Row],[Age]]&lt;=34,"25-34",IF(HR_Data[[#This Row],[Age]]&lt;=44,"35-44",IF(HR_Data[[#This Row],[Age]]&lt;=54,"45-54","55+"))))</f>
        <v>35-44</v>
      </c>
      <c r="AM875" s="1" t="str">
        <f>IF(HR_Data[[#This Row],[MonthlyIncome]]&lt;3000,"Low Salary",IF(HR_Data[[#This Row],[MonthlyIncome]]&lt;=7000,"Medium Salary","High Salary"))</f>
        <v>Low Salary</v>
      </c>
      <c r="AN875" s="1" t="str">
        <f>IF(HR_Data[[#This Row],[YearsAtCompany]]&lt;2,"0-1 Years",IF(HR_Data[[#This Row],[YearsAtCompany]]&lt;=5,"2-5 Years",IF(HR_Data[[#This Row],[YearsAtCompany]]&lt;=10,"6-10 Years","10+ Years")))</f>
        <v>6-10 Years</v>
      </c>
      <c r="AO875" s="1" t="str">
        <f>IF(HR_Data[[#This Row],[JobSatisfaction]]=1,"Low",IF(HR_Data[[#This Row],[JobSatisfaction]]=2,"Medium",IF(HR_Data[[#This Row],[JobSatisfaction]]=3,"High","Very High")))</f>
        <v>High</v>
      </c>
      <c r="AP875" s="1" t="str">
        <f>IF(HR_Data[[#This Row],[WorkLifeBalance]]=1,"Bad",IF(HR_Data[[#This Row],[WorkLifeBalance]]=2,"Good",IF(HR_Data[[#This Row],[WorkLifeBalance]]=3,"Better","Best")))</f>
        <v>Better</v>
      </c>
    </row>
    <row r="876" spans="1:42" x14ac:dyDescent="0.3">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c r="AJ876">
        <f>IF(HR_Data[[#This Row],[Attrition]]="Yes",1,0)</f>
        <v>0</v>
      </c>
      <c r="AK876">
        <f>IF(HR_Data[[#This Row],[Attrition]]="No",1,0)</f>
        <v>1</v>
      </c>
      <c r="AL876" t="str">
        <f>IF(HR_Data[[#This Row],[Age]]&lt;25,"Under 25",IF(HR_Data[[#This Row],[Age]]&lt;=34,"25-34",IF(HR_Data[[#This Row],[Age]]&lt;=44,"35-44",IF(HR_Data[[#This Row],[Age]]&lt;=54,"45-54","55+"))))</f>
        <v>25-34</v>
      </c>
      <c r="AM876" s="1" t="str">
        <f>IF(HR_Data[[#This Row],[MonthlyIncome]]&lt;3000,"Low Salary",IF(HR_Data[[#This Row],[MonthlyIncome]]&lt;=7000,"Medium Salary","High Salary"))</f>
        <v>Medium Salary</v>
      </c>
      <c r="AN876" s="1" t="str">
        <f>IF(HR_Data[[#This Row],[YearsAtCompany]]&lt;2,"0-1 Years",IF(HR_Data[[#This Row],[YearsAtCompany]]&lt;=5,"2-5 Years",IF(HR_Data[[#This Row],[YearsAtCompany]]&lt;=10,"6-10 Years","10+ Years")))</f>
        <v>6-10 Years</v>
      </c>
      <c r="AO876" s="1" t="str">
        <f>IF(HR_Data[[#This Row],[JobSatisfaction]]=1,"Low",IF(HR_Data[[#This Row],[JobSatisfaction]]=2,"Medium",IF(HR_Data[[#This Row],[JobSatisfaction]]=3,"High","Very High")))</f>
        <v>High</v>
      </c>
      <c r="AP876" s="1" t="str">
        <f>IF(HR_Data[[#This Row],[WorkLifeBalance]]=1,"Bad",IF(HR_Data[[#This Row],[WorkLifeBalance]]=2,"Good",IF(HR_Data[[#This Row],[WorkLifeBalance]]=3,"Better","Best")))</f>
        <v>Good</v>
      </c>
    </row>
    <row r="877" spans="1:42" x14ac:dyDescent="0.3">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c r="AJ877">
        <f>IF(HR_Data[[#This Row],[Attrition]]="Yes",1,0)</f>
        <v>0</v>
      </c>
      <c r="AK877">
        <f>IF(HR_Data[[#This Row],[Attrition]]="No",1,0)</f>
        <v>1</v>
      </c>
      <c r="AL877" t="str">
        <f>IF(HR_Data[[#This Row],[Age]]&lt;25,"Under 25",IF(HR_Data[[#This Row],[Age]]&lt;=34,"25-34",IF(HR_Data[[#This Row],[Age]]&lt;=44,"35-44",IF(HR_Data[[#This Row],[Age]]&lt;=54,"45-54","55+"))))</f>
        <v>35-44</v>
      </c>
      <c r="AM877" s="1" t="str">
        <f>IF(HR_Data[[#This Row],[MonthlyIncome]]&lt;3000,"Low Salary",IF(HR_Data[[#This Row],[MonthlyIncome]]&lt;=7000,"Medium Salary","High Salary"))</f>
        <v>Medium Salary</v>
      </c>
      <c r="AN877" s="1" t="str">
        <f>IF(HR_Data[[#This Row],[YearsAtCompany]]&lt;2,"0-1 Years",IF(HR_Data[[#This Row],[YearsAtCompany]]&lt;=5,"2-5 Years",IF(HR_Data[[#This Row],[YearsAtCompany]]&lt;=10,"6-10 Years","10+ Years")))</f>
        <v>10+ Years</v>
      </c>
      <c r="AO877" s="1" t="str">
        <f>IF(HR_Data[[#This Row],[JobSatisfaction]]=1,"Low",IF(HR_Data[[#This Row],[JobSatisfaction]]=2,"Medium",IF(HR_Data[[#This Row],[JobSatisfaction]]=3,"High","Very High")))</f>
        <v>Very High</v>
      </c>
      <c r="AP877" s="1" t="str">
        <f>IF(HR_Data[[#This Row],[WorkLifeBalance]]=1,"Bad",IF(HR_Data[[#This Row],[WorkLifeBalance]]=2,"Good",IF(HR_Data[[#This Row],[WorkLifeBalance]]=3,"Better","Best")))</f>
        <v>Better</v>
      </c>
    </row>
    <row r="878" spans="1:42" x14ac:dyDescent="0.3">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c r="AJ878">
        <f>IF(HR_Data[[#This Row],[Attrition]]="Yes",1,0)</f>
        <v>0</v>
      </c>
      <c r="AK878">
        <f>IF(HR_Data[[#This Row],[Attrition]]="No",1,0)</f>
        <v>1</v>
      </c>
      <c r="AL878" t="str">
        <f>IF(HR_Data[[#This Row],[Age]]&lt;25,"Under 25",IF(HR_Data[[#This Row],[Age]]&lt;=34,"25-34",IF(HR_Data[[#This Row],[Age]]&lt;=44,"35-44",IF(HR_Data[[#This Row],[Age]]&lt;=54,"45-54","55+"))))</f>
        <v>Under 25</v>
      </c>
      <c r="AM878" s="1" t="str">
        <f>IF(HR_Data[[#This Row],[MonthlyIncome]]&lt;3000,"Low Salary",IF(HR_Data[[#This Row],[MonthlyIncome]]&lt;=7000,"Medium Salary","High Salary"))</f>
        <v>Low Salary</v>
      </c>
      <c r="AN878" s="1" t="str">
        <f>IF(HR_Data[[#This Row],[YearsAtCompany]]&lt;2,"0-1 Years",IF(HR_Data[[#This Row],[YearsAtCompany]]&lt;=5,"2-5 Years",IF(HR_Data[[#This Row],[YearsAtCompany]]&lt;=10,"6-10 Years","10+ Years")))</f>
        <v>2-5 Years</v>
      </c>
      <c r="AO878" s="1" t="str">
        <f>IF(HR_Data[[#This Row],[JobSatisfaction]]=1,"Low",IF(HR_Data[[#This Row],[JobSatisfaction]]=2,"Medium",IF(HR_Data[[#This Row],[JobSatisfaction]]=3,"High","Very High")))</f>
        <v>Very High</v>
      </c>
      <c r="AP878" s="1" t="str">
        <f>IF(HR_Data[[#This Row],[WorkLifeBalance]]=1,"Bad",IF(HR_Data[[#This Row],[WorkLifeBalance]]=2,"Good",IF(HR_Data[[#This Row],[WorkLifeBalance]]=3,"Better","Best")))</f>
        <v>Better</v>
      </c>
    </row>
    <row r="879" spans="1:42" x14ac:dyDescent="0.3">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c r="AJ879">
        <f>IF(HR_Data[[#This Row],[Attrition]]="Yes",1,0)</f>
        <v>0</v>
      </c>
      <c r="AK879">
        <f>IF(HR_Data[[#This Row],[Attrition]]="No",1,0)</f>
        <v>1</v>
      </c>
      <c r="AL879" t="str">
        <f>IF(HR_Data[[#This Row],[Age]]&lt;25,"Under 25",IF(HR_Data[[#This Row],[Age]]&lt;=34,"25-34",IF(HR_Data[[#This Row],[Age]]&lt;=44,"35-44",IF(HR_Data[[#This Row],[Age]]&lt;=54,"45-54","55+"))))</f>
        <v>45-54</v>
      </c>
      <c r="AM879" s="1" t="str">
        <f>IF(HR_Data[[#This Row],[MonthlyIncome]]&lt;3000,"Low Salary",IF(HR_Data[[#This Row],[MonthlyIncome]]&lt;=7000,"Medium Salary","High Salary"))</f>
        <v>High Salary</v>
      </c>
      <c r="AN879" s="1" t="str">
        <f>IF(HR_Data[[#This Row],[YearsAtCompany]]&lt;2,"0-1 Years",IF(HR_Data[[#This Row],[YearsAtCompany]]&lt;=5,"2-5 Years",IF(HR_Data[[#This Row],[YearsAtCompany]]&lt;=10,"6-10 Years","10+ Years")))</f>
        <v>6-10 Years</v>
      </c>
      <c r="AO879" s="1" t="str">
        <f>IF(HR_Data[[#This Row],[JobSatisfaction]]=1,"Low",IF(HR_Data[[#This Row],[JobSatisfaction]]=2,"Medium",IF(HR_Data[[#This Row],[JobSatisfaction]]=3,"High","Very High")))</f>
        <v>Very High</v>
      </c>
      <c r="AP879" s="1" t="str">
        <f>IF(HR_Data[[#This Row],[WorkLifeBalance]]=1,"Bad",IF(HR_Data[[#This Row],[WorkLifeBalance]]=2,"Good",IF(HR_Data[[#This Row],[WorkLifeBalance]]=3,"Better","Best")))</f>
        <v>Good</v>
      </c>
    </row>
    <row r="880" spans="1:42" x14ac:dyDescent="0.3">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c r="AJ880">
        <f>IF(HR_Data[[#This Row],[Attrition]]="Yes",1,0)</f>
        <v>0</v>
      </c>
      <c r="AK880">
        <f>IF(HR_Data[[#This Row],[Attrition]]="No",1,0)</f>
        <v>1</v>
      </c>
      <c r="AL880" t="str">
        <f>IF(HR_Data[[#This Row],[Age]]&lt;25,"Under 25",IF(HR_Data[[#This Row],[Age]]&lt;=34,"25-34",IF(HR_Data[[#This Row],[Age]]&lt;=44,"35-44",IF(HR_Data[[#This Row],[Age]]&lt;=54,"45-54","55+"))))</f>
        <v>35-44</v>
      </c>
      <c r="AM880" s="1" t="str">
        <f>IF(HR_Data[[#This Row],[MonthlyIncome]]&lt;3000,"Low Salary",IF(HR_Data[[#This Row],[MonthlyIncome]]&lt;=7000,"Medium Salary","High Salary"))</f>
        <v>Medium Salary</v>
      </c>
      <c r="AN880" s="1" t="str">
        <f>IF(HR_Data[[#This Row],[YearsAtCompany]]&lt;2,"0-1 Years",IF(HR_Data[[#This Row],[YearsAtCompany]]&lt;=5,"2-5 Years",IF(HR_Data[[#This Row],[YearsAtCompany]]&lt;=10,"6-10 Years","10+ Years")))</f>
        <v>2-5 Years</v>
      </c>
      <c r="AO880" s="1" t="str">
        <f>IF(HR_Data[[#This Row],[JobSatisfaction]]=1,"Low",IF(HR_Data[[#This Row],[JobSatisfaction]]=2,"Medium",IF(HR_Data[[#This Row],[JobSatisfaction]]=3,"High","Very High")))</f>
        <v>Low</v>
      </c>
      <c r="AP880" s="1" t="str">
        <f>IF(HR_Data[[#This Row],[WorkLifeBalance]]=1,"Bad",IF(HR_Data[[#This Row],[WorkLifeBalance]]=2,"Good",IF(HR_Data[[#This Row],[WorkLifeBalance]]=3,"Better","Best")))</f>
        <v>Best</v>
      </c>
    </row>
    <row r="881" spans="1:42" x14ac:dyDescent="0.3">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c r="AJ881">
        <f>IF(HR_Data[[#This Row],[Attrition]]="Yes",1,0)</f>
        <v>0</v>
      </c>
      <c r="AK881">
        <f>IF(HR_Data[[#This Row],[Attrition]]="No",1,0)</f>
        <v>1</v>
      </c>
      <c r="AL881" t="str">
        <f>IF(HR_Data[[#This Row],[Age]]&lt;25,"Under 25",IF(HR_Data[[#This Row],[Age]]&lt;=34,"25-34",IF(HR_Data[[#This Row],[Age]]&lt;=44,"35-44",IF(HR_Data[[#This Row],[Age]]&lt;=54,"45-54","55+"))))</f>
        <v>55+</v>
      </c>
      <c r="AM881" s="1" t="str">
        <f>IF(HR_Data[[#This Row],[MonthlyIncome]]&lt;3000,"Low Salary",IF(HR_Data[[#This Row],[MonthlyIncome]]&lt;=7000,"Medium Salary","High Salary"))</f>
        <v>Medium Salary</v>
      </c>
      <c r="AN881" s="1" t="str">
        <f>IF(HR_Data[[#This Row],[YearsAtCompany]]&lt;2,"0-1 Years",IF(HR_Data[[#This Row],[YearsAtCompany]]&lt;=5,"2-5 Years",IF(HR_Data[[#This Row],[YearsAtCompany]]&lt;=10,"6-10 Years","10+ Years")))</f>
        <v>10+ Years</v>
      </c>
      <c r="AO881" s="1" t="str">
        <f>IF(HR_Data[[#This Row],[JobSatisfaction]]=1,"Low",IF(HR_Data[[#This Row],[JobSatisfaction]]=2,"Medium",IF(HR_Data[[#This Row],[JobSatisfaction]]=3,"High","Very High")))</f>
        <v>Very High</v>
      </c>
      <c r="AP881" s="1" t="str">
        <f>IF(HR_Data[[#This Row],[WorkLifeBalance]]=1,"Bad",IF(HR_Data[[#This Row],[WorkLifeBalance]]=2,"Good",IF(HR_Data[[#This Row],[WorkLifeBalance]]=3,"Better","Best")))</f>
        <v>Better</v>
      </c>
    </row>
    <row r="882" spans="1:42" x14ac:dyDescent="0.3">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c r="AJ882">
        <f>IF(HR_Data[[#This Row],[Attrition]]="Yes",1,0)</f>
        <v>0</v>
      </c>
      <c r="AK882">
        <f>IF(HR_Data[[#This Row],[Attrition]]="No",1,0)</f>
        <v>1</v>
      </c>
      <c r="AL882" t="str">
        <f>IF(HR_Data[[#This Row],[Age]]&lt;25,"Under 25",IF(HR_Data[[#This Row],[Age]]&lt;=34,"25-34",IF(HR_Data[[#This Row],[Age]]&lt;=44,"35-44",IF(HR_Data[[#This Row],[Age]]&lt;=54,"45-54","55+"))))</f>
        <v>25-34</v>
      </c>
      <c r="AM882" s="1" t="str">
        <f>IF(HR_Data[[#This Row],[MonthlyIncome]]&lt;3000,"Low Salary",IF(HR_Data[[#This Row],[MonthlyIncome]]&lt;=7000,"Medium Salary","High Salary"))</f>
        <v>Low Salary</v>
      </c>
      <c r="AN882" s="1" t="str">
        <f>IF(HR_Data[[#This Row],[YearsAtCompany]]&lt;2,"0-1 Years",IF(HR_Data[[#This Row],[YearsAtCompany]]&lt;=5,"2-5 Years",IF(HR_Data[[#This Row],[YearsAtCompany]]&lt;=10,"6-10 Years","10+ Years")))</f>
        <v>2-5 Years</v>
      </c>
      <c r="AO882" s="1" t="str">
        <f>IF(HR_Data[[#This Row],[JobSatisfaction]]=1,"Low",IF(HR_Data[[#This Row],[JobSatisfaction]]=2,"Medium",IF(HR_Data[[#This Row],[JobSatisfaction]]=3,"High","Very High")))</f>
        <v>Medium</v>
      </c>
      <c r="AP882" s="1" t="str">
        <f>IF(HR_Data[[#This Row],[WorkLifeBalance]]=1,"Bad",IF(HR_Data[[#This Row],[WorkLifeBalance]]=2,"Good",IF(HR_Data[[#This Row],[WorkLifeBalance]]=3,"Better","Best")))</f>
        <v>Better</v>
      </c>
    </row>
    <row r="883" spans="1:42" x14ac:dyDescent="0.3">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c r="AJ883">
        <f>IF(HR_Data[[#This Row],[Attrition]]="Yes",1,0)</f>
        <v>0</v>
      </c>
      <c r="AK883">
        <f>IF(HR_Data[[#This Row],[Attrition]]="No",1,0)</f>
        <v>1</v>
      </c>
      <c r="AL883" t="str">
        <f>IF(HR_Data[[#This Row],[Age]]&lt;25,"Under 25",IF(HR_Data[[#This Row],[Age]]&lt;=34,"25-34",IF(HR_Data[[#This Row],[Age]]&lt;=44,"35-44",IF(HR_Data[[#This Row],[Age]]&lt;=54,"45-54","55+"))))</f>
        <v>25-34</v>
      </c>
      <c r="AM883" s="1" t="str">
        <f>IF(HR_Data[[#This Row],[MonthlyIncome]]&lt;3000,"Low Salary",IF(HR_Data[[#This Row],[MonthlyIncome]]&lt;=7000,"Medium Salary","High Salary"))</f>
        <v>Medium Salary</v>
      </c>
      <c r="AN883" s="1" t="str">
        <f>IF(HR_Data[[#This Row],[YearsAtCompany]]&lt;2,"0-1 Years",IF(HR_Data[[#This Row],[YearsAtCompany]]&lt;=5,"2-5 Years",IF(HR_Data[[#This Row],[YearsAtCompany]]&lt;=10,"6-10 Years","10+ Years")))</f>
        <v>6-10 Years</v>
      </c>
      <c r="AO883" s="1" t="str">
        <f>IF(HR_Data[[#This Row],[JobSatisfaction]]=1,"Low",IF(HR_Data[[#This Row],[JobSatisfaction]]=2,"Medium",IF(HR_Data[[#This Row],[JobSatisfaction]]=3,"High","Very High")))</f>
        <v>High</v>
      </c>
      <c r="AP883" s="1" t="str">
        <f>IF(HR_Data[[#This Row],[WorkLifeBalance]]=1,"Bad",IF(HR_Data[[#This Row],[WorkLifeBalance]]=2,"Good",IF(HR_Data[[#This Row],[WorkLifeBalance]]=3,"Better","Best")))</f>
        <v>Better</v>
      </c>
    </row>
    <row r="884" spans="1:42" x14ac:dyDescent="0.3">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c r="AJ884">
        <f>IF(HR_Data[[#This Row],[Attrition]]="Yes",1,0)</f>
        <v>0</v>
      </c>
      <c r="AK884">
        <f>IF(HR_Data[[#This Row],[Attrition]]="No",1,0)</f>
        <v>1</v>
      </c>
      <c r="AL884" t="str">
        <f>IF(HR_Data[[#This Row],[Age]]&lt;25,"Under 25",IF(HR_Data[[#This Row],[Age]]&lt;=34,"25-34",IF(HR_Data[[#This Row],[Age]]&lt;=44,"35-44",IF(HR_Data[[#This Row],[Age]]&lt;=54,"45-54","55+"))))</f>
        <v>35-44</v>
      </c>
      <c r="AM884" s="1" t="str">
        <f>IF(HR_Data[[#This Row],[MonthlyIncome]]&lt;3000,"Low Salary",IF(HR_Data[[#This Row],[MonthlyIncome]]&lt;=7000,"Medium Salary","High Salary"))</f>
        <v>High Salary</v>
      </c>
      <c r="AN884" s="1" t="str">
        <f>IF(HR_Data[[#This Row],[YearsAtCompany]]&lt;2,"0-1 Years",IF(HR_Data[[#This Row],[YearsAtCompany]]&lt;=5,"2-5 Years",IF(HR_Data[[#This Row],[YearsAtCompany]]&lt;=10,"6-10 Years","10+ Years")))</f>
        <v>6-10 Years</v>
      </c>
      <c r="AO884" s="1" t="str">
        <f>IF(HR_Data[[#This Row],[JobSatisfaction]]=1,"Low",IF(HR_Data[[#This Row],[JobSatisfaction]]=2,"Medium",IF(HR_Data[[#This Row],[JobSatisfaction]]=3,"High","Very High")))</f>
        <v>Low</v>
      </c>
      <c r="AP884" s="1" t="str">
        <f>IF(HR_Data[[#This Row],[WorkLifeBalance]]=1,"Bad",IF(HR_Data[[#This Row],[WorkLifeBalance]]=2,"Good",IF(HR_Data[[#This Row],[WorkLifeBalance]]=3,"Better","Best")))</f>
        <v>Better</v>
      </c>
    </row>
    <row r="885" spans="1:42" x14ac:dyDescent="0.3">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c r="AJ885">
        <f>IF(HR_Data[[#This Row],[Attrition]]="Yes",1,0)</f>
        <v>0</v>
      </c>
      <c r="AK885">
        <f>IF(HR_Data[[#This Row],[Attrition]]="No",1,0)</f>
        <v>1</v>
      </c>
      <c r="AL885" t="str">
        <f>IF(HR_Data[[#This Row],[Age]]&lt;25,"Under 25",IF(HR_Data[[#This Row],[Age]]&lt;=34,"25-34",IF(HR_Data[[#This Row],[Age]]&lt;=44,"35-44",IF(HR_Data[[#This Row],[Age]]&lt;=54,"45-54","55+"))))</f>
        <v>25-34</v>
      </c>
      <c r="AM885" s="1" t="str">
        <f>IF(HR_Data[[#This Row],[MonthlyIncome]]&lt;3000,"Low Salary",IF(HR_Data[[#This Row],[MonthlyIncome]]&lt;=7000,"Medium Salary","High Salary"))</f>
        <v>Low Salary</v>
      </c>
      <c r="AN885" s="1" t="str">
        <f>IF(HR_Data[[#This Row],[YearsAtCompany]]&lt;2,"0-1 Years",IF(HR_Data[[#This Row],[YearsAtCompany]]&lt;=5,"2-5 Years",IF(HR_Data[[#This Row],[YearsAtCompany]]&lt;=10,"6-10 Years","10+ Years")))</f>
        <v>10+ Years</v>
      </c>
      <c r="AO885" s="1" t="str">
        <f>IF(HR_Data[[#This Row],[JobSatisfaction]]=1,"Low",IF(HR_Data[[#This Row],[JobSatisfaction]]=2,"Medium",IF(HR_Data[[#This Row],[JobSatisfaction]]=3,"High","Very High")))</f>
        <v>Very High</v>
      </c>
      <c r="AP885" s="1" t="str">
        <f>IF(HR_Data[[#This Row],[WorkLifeBalance]]=1,"Bad",IF(HR_Data[[#This Row],[WorkLifeBalance]]=2,"Good",IF(HR_Data[[#This Row],[WorkLifeBalance]]=3,"Better","Best")))</f>
        <v>Better</v>
      </c>
    </row>
    <row r="886" spans="1:42" x14ac:dyDescent="0.3">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c r="AJ886">
        <f>IF(HR_Data[[#This Row],[Attrition]]="Yes",1,0)</f>
        <v>0</v>
      </c>
      <c r="AK886">
        <f>IF(HR_Data[[#This Row],[Attrition]]="No",1,0)</f>
        <v>1</v>
      </c>
      <c r="AL886" t="str">
        <f>IF(HR_Data[[#This Row],[Age]]&lt;25,"Under 25",IF(HR_Data[[#This Row],[Age]]&lt;=34,"25-34",IF(HR_Data[[#This Row],[Age]]&lt;=44,"35-44",IF(HR_Data[[#This Row],[Age]]&lt;=54,"45-54","55+"))))</f>
        <v>35-44</v>
      </c>
      <c r="AM886" s="1" t="str">
        <f>IF(HR_Data[[#This Row],[MonthlyIncome]]&lt;3000,"Low Salary",IF(HR_Data[[#This Row],[MonthlyIncome]]&lt;=7000,"Medium Salary","High Salary"))</f>
        <v>Medium Salary</v>
      </c>
      <c r="AN886" s="1" t="str">
        <f>IF(HR_Data[[#This Row],[YearsAtCompany]]&lt;2,"0-1 Years",IF(HR_Data[[#This Row],[YearsAtCompany]]&lt;=5,"2-5 Years",IF(HR_Data[[#This Row],[YearsAtCompany]]&lt;=10,"6-10 Years","10+ Years")))</f>
        <v>2-5 Years</v>
      </c>
      <c r="AO886" s="1" t="str">
        <f>IF(HR_Data[[#This Row],[JobSatisfaction]]=1,"Low",IF(HR_Data[[#This Row],[JobSatisfaction]]=2,"Medium",IF(HR_Data[[#This Row],[JobSatisfaction]]=3,"High","Very High")))</f>
        <v>Medium</v>
      </c>
      <c r="AP886" s="1" t="str">
        <f>IF(HR_Data[[#This Row],[WorkLifeBalance]]=1,"Bad",IF(HR_Data[[#This Row],[WorkLifeBalance]]=2,"Good",IF(HR_Data[[#This Row],[WorkLifeBalance]]=3,"Better","Best")))</f>
        <v>Best</v>
      </c>
    </row>
    <row r="887" spans="1:42" x14ac:dyDescent="0.3">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c r="AJ887">
        <f>IF(HR_Data[[#This Row],[Attrition]]="Yes",1,0)</f>
        <v>0</v>
      </c>
      <c r="AK887">
        <f>IF(HR_Data[[#This Row],[Attrition]]="No",1,0)</f>
        <v>1</v>
      </c>
      <c r="AL887" t="str">
        <f>IF(HR_Data[[#This Row],[Age]]&lt;25,"Under 25",IF(HR_Data[[#This Row],[Age]]&lt;=34,"25-34",IF(HR_Data[[#This Row],[Age]]&lt;=44,"35-44",IF(HR_Data[[#This Row],[Age]]&lt;=54,"45-54","55+"))))</f>
        <v>25-34</v>
      </c>
      <c r="AM887" s="1" t="str">
        <f>IF(HR_Data[[#This Row],[MonthlyIncome]]&lt;3000,"Low Salary",IF(HR_Data[[#This Row],[MonthlyIncome]]&lt;=7000,"Medium Salary","High Salary"))</f>
        <v>Medium Salary</v>
      </c>
      <c r="AN887" s="1" t="str">
        <f>IF(HR_Data[[#This Row],[YearsAtCompany]]&lt;2,"0-1 Years",IF(HR_Data[[#This Row],[YearsAtCompany]]&lt;=5,"2-5 Years",IF(HR_Data[[#This Row],[YearsAtCompany]]&lt;=10,"6-10 Years","10+ Years")))</f>
        <v>2-5 Years</v>
      </c>
      <c r="AO887" s="1" t="str">
        <f>IF(HR_Data[[#This Row],[JobSatisfaction]]=1,"Low",IF(HR_Data[[#This Row],[JobSatisfaction]]=2,"Medium",IF(HR_Data[[#This Row],[JobSatisfaction]]=3,"High","Very High")))</f>
        <v>Very High</v>
      </c>
      <c r="AP887" s="1" t="str">
        <f>IF(HR_Data[[#This Row],[WorkLifeBalance]]=1,"Bad",IF(HR_Data[[#This Row],[WorkLifeBalance]]=2,"Good",IF(HR_Data[[#This Row],[WorkLifeBalance]]=3,"Better","Best")))</f>
        <v>Better</v>
      </c>
    </row>
    <row r="888" spans="1:42" x14ac:dyDescent="0.3">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c r="AJ888">
        <f>IF(HR_Data[[#This Row],[Attrition]]="Yes",1,0)</f>
        <v>0</v>
      </c>
      <c r="AK888">
        <f>IF(HR_Data[[#This Row],[Attrition]]="No",1,0)</f>
        <v>1</v>
      </c>
      <c r="AL888" t="str">
        <f>IF(HR_Data[[#This Row],[Age]]&lt;25,"Under 25",IF(HR_Data[[#This Row],[Age]]&lt;=34,"25-34",IF(HR_Data[[#This Row],[Age]]&lt;=44,"35-44",IF(HR_Data[[#This Row],[Age]]&lt;=54,"45-54","55+"))))</f>
        <v>25-34</v>
      </c>
      <c r="AM888" s="1" t="str">
        <f>IF(HR_Data[[#This Row],[MonthlyIncome]]&lt;3000,"Low Salary",IF(HR_Data[[#This Row],[MonthlyIncome]]&lt;=7000,"Medium Salary","High Salary"))</f>
        <v>Medium Salary</v>
      </c>
      <c r="AN888" s="1" t="str">
        <f>IF(HR_Data[[#This Row],[YearsAtCompany]]&lt;2,"0-1 Years",IF(HR_Data[[#This Row],[YearsAtCompany]]&lt;=5,"2-5 Years",IF(HR_Data[[#This Row],[YearsAtCompany]]&lt;=10,"6-10 Years","10+ Years")))</f>
        <v>10+ Years</v>
      </c>
      <c r="AO888" s="1" t="str">
        <f>IF(HR_Data[[#This Row],[JobSatisfaction]]=1,"Low",IF(HR_Data[[#This Row],[JobSatisfaction]]=2,"Medium",IF(HR_Data[[#This Row],[JobSatisfaction]]=3,"High","Very High")))</f>
        <v>Medium</v>
      </c>
      <c r="AP888" s="1" t="str">
        <f>IF(HR_Data[[#This Row],[WorkLifeBalance]]=1,"Bad",IF(HR_Data[[#This Row],[WorkLifeBalance]]=2,"Good",IF(HR_Data[[#This Row],[WorkLifeBalance]]=3,"Better","Best")))</f>
        <v>Better</v>
      </c>
    </row>
    <row r="889" spans="1:42" x14ac:dyDescent="0.3">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c r="AJ889">
        <f>IF(HR_Data[[#This Row],[Attrition]]="Yes",1,0)</f>
        <v>0</v>
      </c>
      <c r="AK889">
        <f>IF(HR_Data[[#This Row],[Attrition]]="No",1,0)</f>
        <v>1</v>
      </c>
      <c r="AL889" t="str">
        <f>IF(HR_Data[[#This Row],[Age]]&lt;25,"Under 25",IF(HR_Data[[#This Row],[Age]]&lt;=34,"25-34",IF(HR_Data[[#This Row],[Age]]&lt;=44,"35-44",IF(HR_Data[[#This Row],[Age]]&lt;=54,"45-54","55+"))))</f>
        <v>35-44</v>
      </c>
      <c r="AM889" s="1" t="str">
        <f>IF(HR_Data[[#This Row],[MonthlyIncome]]&lt;3000,"Low Salary",IF(HR_Data[[#This Row],[MonthlyIncome]]&lt;=7000,"Medium Salary","High Salary"))</f>
        <v>High Salary</v>
      </c>
      <c r="AN889" s="1" t="str">
        <f>IF(HR_Data[[#This Row],[YearsAtCompany]]&lt;2,"0-1 Years",IF(HR_Data[[#This Row],[YearsAtCompany]]&lt;=5,"2-5 Years",IF(HR_Data[[#This Row],[YearsAtCompany]]&lt;=10,"6-10 Years","10+ Years")))</f>
        <v>0-1 Years</v>
      </c>
      <c r="AO889" s="1" t="str">
        <f>IF(HR_Data[[#This Row],[JobSatisfaction]]=1,"Low",IF(HR_Data[[#This Row],[JobSatisfaction]]=2,"Medium",IF(HR_Data[[#This Row],[JobSatisfaction]]=3,"High","Very High")))</f>
        <v>Low</v>
      </c>
      <c r="AP889" s="1" t="str">
        <f>IF(HR_Data[[#This Row],[WorkLifeBalance]]=1,"Bad",IF(HR_Data[[#This Row],[WorkLifeBalance]]=2,"Good",IF(HR_Data[[#This Row],[WorkLifeBalance]]=3,"Better","Best")))</f>
        <v>Better</v>
      </c>
    </row>
    <row r="890" spans="1:42" x14ac:dyDescent="0.3">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c r="AJ890">
        <f>IF(HR_Data[[#This Row],[Attrition]]="Yes",1,0)</f>
        <v>0</v>
      </c>
      <c r="AK890">
        <f>IF(HR_Data[[#This Row],[Attrition]]="No",1,0)</f>
        <v>1</v>
      </c>
      <c r="AL890" t="str">
        <f>IF(HR_Data[[#This Row],[Age]]&lt;25,"Under 25",IF(HR_Data[[#This Row],[Age]]&lt;=34,"25-34",IF(HR_Data[[#This Row],[Age]]&lt;=44,"35-44",IF(HR_Data[[#This Row],[Age]]&lt;=54,"45-54","55+"))))</f>
        <v>35-44</v>
      </c>
      <c r="AM890" s="1" t="str">
        <f>IF(HR_Data[[#This Row],[MonthlyIncome]]&lt;3000,"Low Salary",IF(HR_Data[[#This Row],[MonthlyIncome]]&lt;=7000,"Medium Salary","High Salary"))</f>
        <v>High Salary</v>
      </c>
      <c r="AN890" s="1" t="str">
        <f>IF(HR_Data[[#This Row],[YearsAtCompany]]&lt;2,"0-1 Years",IF(HR_Data[[#This Row],[YearsAtCompany]]&lt;=5,"2-5 Years",IF(HR_Data[[#This Row],[YearsAtCompany]]&lt;=10,"6-10 Years","10+ Years")))</f>
        <v>10+ Years</v>
      </c>
      <c r="AO890" s="1" t="str">
        <f>IF(HR_Data[[#This Row],[JobSatisfaction]]=1,"Low",IF(HR_Data[[#This Row],[JobSatisfaction]]=2,"Medium",IF(HR_Data[[#This Row],[JobSatisfaction]]=3,"High","Very High")))</f>
        <v>Very High</v>
      </c>
      <c r="AP890" s="1" t="str">
        <f>IF(HR_Data[[#This Row],[WorkLifeBalance]]=1,"Bad",IF(HR_Data[[#This Row],[WorkLifeBalance]]=2,"Good",IF(HR_Data[[#This Row],[WorkLifeBalance]]=3,"Better","Best")))</f>
        <v>Good</v>
      </c>
    </row>
    <row r="891" spans="1:42" x14ac:dyDescent="0.3">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c r="AJ891">
        <f>IF(HR_Data[[#This Row],[Attrition]]="Yes",1,0)</f>
        <v>0</v>
      </c>
      <c r="AK891">
        <f>IF(HR_Data[[#This Row],[Attrition]]="No",1,0)</f>
        <v>1</v>
      </c>
      <c r="AL891" t="str">
        <f>IF(HR_Data[[#This Row],[Age]]&lt;25,"Under 25",IF(HR_Data[[#This Row],[Age]]&lt;=34,"25-34",IF(HR_Data[[#This Row],[Age]]&lt;=44,"35-44",IF(HR_Data[[#This Row],[Age]]&lt;=54,"45-54","55+"))))</f>
        <v>25-34</v>
      </c>
      <c r="AM891" s="1" t="str">
        <f>IF(HR_Data[[#This Row],[MonthlyIncome]]&lt;3000,"Low Salary",IF(HR_Data[[#This Row],[MonthlyIncome]]&lt;=7000,"Medium Salary","High Salary"))</f>
        <v>Low Salary</v>
      </c>
      <c r="AN891" s="1" t="str">
        <f>IF(HR_Data[[#This Row],[YearsAtCompany]]&lt;2,"0-1 Years",IF(HR_Data[[#This Row],[YearsAtCompany]]&lt;=5,"2-5 Years",IF(HR_Data[[#This Row],[YearsAtCompany]]&lt;=10,"6-10 Years","10+ Years")))</f>
        <v>6-10 Years</v>
      </c>
      <c r="AO891" s="1" t="str">
        <f>IF(HR_Data[[#This Row],[JobSatisfaction]]=1,"Low",IF(HR_Data[[#This Row],[JobSatisfaction]]=2,"Medium",IF(HR_Data[[#This Row],[JobSatisfaction]]=3,"High","Very High")))</f>
        <v>Low</v>
      </c>
      <c r="AP891" s="1" t="str">
        <f>IF(HR_Data[[#This Row],[WorkLifeBalance]]=1,"Bad",IF(HR_Data[[#This Row],[WorkLifeBalance]]=2,"Good",IF(HR_Data[[#This Row],[WorkLifeBalance]]=3,"Better","Best")))</f>
        <v>Good</v>
      </c>
    </row>
    <row r="892" spans="1:42" x14ac:dyDescent="0.3">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c r="AJ892">
        <f>IF(HR_Data[[#This Row],[Attrition]]="Yes",1,0)</f>
        <v>0</v>
      </c>
      <c r="AK892">
        <f>IF(HR_Data[[#This Row],[Attrition]]="No",1,0)</f>
        <v>1</v>
      </c>
      <c r="AL892" t="str">
        <f>IF(HR_Data[[#This Row],[Age]]&lt;25,"Under 25",IF(HR_Data[[#This Row],[Age]]&lt;=34,"25-34",IF(HR_Data[[#This Row],[Age]]&lt;=44,"35-44",IF(HR_Data[[#This Row],[Age]]&lt;=54,"45-54","55+"))))</f>
        <v>45-54</v>
      </c>
      <c r="AM892" s="1" t="str">
        <f>IF(HR_Data[[#This Row],[MonthlyIncome]]&lt;3000,"Low Salary",IF(HR_Data[[#This Row],[MonthlyIncome]]&lt;=7000,"Medium Salary","High Salary"))</f>
        <v>High Salary</v>
      </c>
      <c r="AN892" s="1" t="str">
        <f>IF(HR_Data[[#This Row],[YearsAtCompany]]&lt;2,"0-1 Years",IF(HR_Data[[#This Row],[YearsAtCompany]]&lt;=5,"2-5 Years",IF(HR_Data[[#This Row],[YearsAtCompany]]&lt;=10,"6-10 Years","10+ Years")))</f>
        <v>2-5 Years</v>
      </c>
      <c r="AO892" s="1" t="str">
        <f>IF(HR_Data[[#This Row],[JobSatisfaction]]=1,"Low",IF(HR_Data[[#This Row],[JobSatisfaction]]=2,"Medium",IF(HR_Data[[#This Row],[JobSatisfaction]]=3,"High","Very High")))</f>
        <v>High</v>
      </c>
      <c r="AP892" s="1" t="str">
        <f>IF(HR_Data[[#This Row],[WorkLifeBalance]]=1,"Bad",IF(HR_Data[[#This Row],[WorkLifeBalance]]=2,"Good",IF(HR_Data[[#This Row],[WorkLifeBalance]]=3,"Better","Best")))</f>
        <v>Bad</v>
      </c>
    </row>
    <row r="893" spans="1:42" x14ac:dyDescent="0.3">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c r="AJ893">
        <f>IF(HR_Data[[#This Row],[Attrition]]="Yes",1,0)</f>
        <v>0</v>
      </c>
      <c r="AK893">
        <f>IF(HR_Data[[#This Row],[Attrition]]="No",1,0)</f>
        <v>1</v>
      </c>
      <c r="AL893" t="str">
        <f>IF(HR_Data[[#This Row],[Age]]&lt;25,"Under 25",IF(HR_Data[[#This Row],[Age]]&lt;=34,"25-34",IF(HR_Data[[#This Row],[Age]]&lt;=44,"35-44",IF(HR_Data[[#This Row],[Age]]&lt;=54,"45-54","55+"))))</f>
        <v>35-44</v>
      </c>
      <c r="AM893" s="1" t="str">
        <f>IF(HR_Data[[#This Row],[MonthlyIncome]]&lt;3000,"Low Salary",IF(HR_Data[[#This Row],[MonthlyIncome]]&lt;=7000,"Medium Salary","High Salary"))</f>
        <v>Low Salary</v>
      </c>
      <c r="AN893" s="1" t="str">
        <f>IF(HR_Data[[#This Row],[YearsAtCompany]]&lt;2,"0-1 Years",IF(HR_Data[[#This Row],[YearsAtCompany]]&lt;=5,"2-5 Years",IF(HR_Data[[#This Row],[YearsAtCompany]]&lt;=10,"6-10 Years","10+ Years")))</f>
        <v>6-10 Years</v>
      </c>
      <c r="AO893" s="1" t="str">
        <f>IF(HR_Data[[#This Row],[JobSatisfaction]]=1,"Low",IF(HR_Data[[#This Row],[JobSatisfaction]]=2,"Medium",IF(HR_Data[[#This Row],[JobSatisfaction]]=3,"High","Very High")))</f>
        <v>Very High</v>
      </c>
      <c r="AP893" s="1" t="str">
        <f>IF(HR_Data[[#This Row],[WorkLifeBalance]]=1,"Bad",IF(HR_Data[[#This Row],[WorkLifeBalance]]=2,"Good",IF(HR_Data[[#This Row],[WorkLifeBalance]]=3,"Better","Best")))</f>
        <v>Better</v>
      </c>
    </row>
    <row r="894" spans="1:42" x14ac:dyDescent="0.3">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c r="AJ894">
        <f>IF(HR_Data[[#This Row],[Attrition]]="Yes",1,0)</f>
        <v>1</v>
      </c>
      <c r="AK894">
        <f>IF(HR_Data[[#This Row],[Attrition]]="No",1,0)</f>
        <v>0</v>
      </c>
      <c r="AL894" t="str">
        <f>IF(HR_Data[[#This Row],[Age]]&lt;25,"Under 25",IF(HR_Data[[#This Row],[Age]]&lt;=34,"25-34",IF(HR_Data[[#This Row],[Age]]&lt;=44,"35-44",IF(HR_Data[[#This Row],[Age]]&lt;=54,"45-54","55+"))))</f>
        <v>Under 25</v>
      </c>
      <c r="AM894" s="1" t="str">
        <f>IF(HR_Data[[#This Row],[MonthlyIncome]]&lt;3000,"Low Salary",IF(HR_Data[[#This Row],[MonthlyIncome]]&lt;=7000,"Medium Salary","High Salary"))</f>
        <v>Low Salary</v>
      </c>
      <c r="AN894" s="1" t="str">
        <f>IF(HR_Data[[#This Row],[YearsAtCompany]]&lt;2,"0-1 Years",IF(HR_Data[[#This Row],[YearsAtCompany]]&lt;=5,"2-5 Years",IF(HR_Data[[#This Row],[YearsAtCompany]]&lt;=10,"6-10 Years","10+ Years")))</f>
        <v>0-1 Years</v>
      </c>
      <c r="AO894" s="1" t="str">
        <f>IF(HR_Data[[#This Row],[JobSatisfaction]]=1,"Low",IF(HR_Data[[#This Row],[JobSatisfaction]]=2,"Medium",IF(HR_Data[[#This Row],[JobSatisfaction]]=3,"High","Very High")))</f>
        <v>Medium</v>
      </c>
      <c r="AP894" s="1" t="str">
        <f>IF(HR_Data[[#This Row],[WorkLifeBalance]]=1,"Bad",IF(HR_Data[[#This Row],[WorkLifeBalance]]=2,"Good",IF(HR_Data[[#This Row],[WorkLifeBalance]]=3,"Better","Best")))</f>
        <v>Best</v>
      </c>
    </row>
    <row r="895" spans="1:42" x14ac:dyDescent="0.3">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c r="AJ895">
        <f>IF(HR_Data[[#This Row],[Attrition]]="Yes",1,0)</f>
        <v>0</v>
      </c>
      <c r="AK895">
        <f>IF(HR_Data[[#This Row],[Attrition]]="No",1,0)</f>
        <v>1</v>
      </c>
      <c r="AL895" t="str">
        <f>IF(HR_Data[[#This Row],[Age]]&lt;25,"Under 25",IF(HR_Data[[#This Row],[Age]]&lt;=34,"25-34",IF(HR_Data[[#This Row],[Age]]&lt;=44,"35-44",IF(HR_Data[[#This Row],[Age]]&lt;=54,"45-54","55+"))))</f>
        <v>25-34</v>
      </c>
      <c r="AM895" s="1" t="str">
        <f>IF(HR_Data[[#This Row],[MonthlyIncome]]&lt;3000,"Low Salary",IF(HR_Data[[#This Row],[MonthlyIncome]]&lt;=7000,"Medium Salary","High Salary"))</f>
        <v>Medium Salary</v>
      </c>
      <c r="AN895" s="1" t="str">
        <f>IF(HR_Data[[#This Row],[YearsAtCompany]]&lt;2,"0-1 Years",IF(HR_Data[[#This Row],[YearsAtCompany]]&lt;=5,"2-5 Years",IF(HR_Data[[#This Row],[YearsAtCompany]]&lt;=10,"6-10 Years","10+ Years")))</f>
        <v>2-5 Years</v>
      </c>
      <c r="AO895" s="1" t="str">
        <f>IF(HR_Data[[#This Row],[JobSatisfaction]]=1,"Low",IF(HR_Data[[#This Row],[JobSatisfaction]]=2,"Medium",IF(HR_Data[[#This Row],[JobSatisfaction]]=3,"High","Very High")))</f>
        <v>Very High</v>
      </c>
      <c r="AP895" s="1" t="str">
        <f>IF(HR_Data[[#This Row],[WorkLifeBalance]]=1,"Bad",IF(HR_Data[[#This Row],[WorkLifeBalance]]=2,"Good",IF(HR_Data[[#This Row],[WorkLifeBalance]]=3,"Better","Best")))</f>
        <v>Better</v>
      </c>
    </row>
    <row r="896" spans="1:42" x14ac:dyDescent="0.3">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c r="AJ896">
        <f>IF(HR_Data[[#This Row],[Attrition]]="Yes",1,0)</f>
        <v>0</v>
      </c>
      <c r="AK896">
        <f>IF(HR_Data[[#This Row],[Attrition]]="No",1,0)</f>
        <v>1</v>
      </c>
      <c r="AL896" t="str">
        <f>IF(HR_Data[[#This Row],[Age]]&lt;25,"Under 25",IF(HR_Data[[#This Row],[Age]]&lt;=34,"25-34",IF(HR_Data[[#This Row],[Age]]&lt;=44,"35-44",IF(HR_Data[[#This Row],[Age]]&lt;=54,"45-54","55+"))))</f>
        <v>45-54</v>
      </c>
      <c r="AM896" s="1" t="str">
        <f>IF(HR_Data[[#This Row],[MonthlyIncome]]&lt;3000,"Low Salary",IF(HR_Data[[#This Row],[MonthlyIncome]]&lt;=7000,"Medium Salary","High Salary"))</f>
        <v>High Salary</v>
      </c>
      <c r="AN896" s="1" t="str">
        <f>IF(HR_Data[[#This Row],[YearsAtCompany]]&lt;2,"0-1 Years",IF(HR_Data[[#This Row],[YearsAtCompany]]&lt;=5,"2-5 Years",IF(HR_Data[[#This Row],[YearsAtCompany]]&lt;=10,"6-10 Years","10+ Years")))</f>
        <v>6-10 Years</v>
      </c>
      <c r="AO896" s="1" t="str">
        <f>IF(HR_Data[[#This Row],[JobSatisfaction]]=1,"Low",IF(HR_Data[[#This Row],[JobSatisfaction]]=2,"Medium",IF(HR_Data[[#This Row],[JobSatisfaction]]=3,"High","Very High")))</f>
        <v>Very High</v>
      </c>
      <c r="AP896" s="1" t="str">
        <f>IF(HR_Data[[#This Row],[WorkLifeBalance]]=1,"Bad",IF(HR_Data[[#This Row],[WorkLifeBalance]]=2,"Good",IF(HR_Data[[#This Row],[WorkLifeBalance]]=3,"Better","Best")))</f>
        <v>Better</v>
      </c>
    </row>
    <row r="897" spans="1:42" x14ac:dyDescent="0.3">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c r="AJ897">
        <f>IF(HR_Data[[#This Row],[Attrition]]="Yes",1,0)</f>
        <v>0</v>
      </c>
      <c r="AK897">
        <f>IF(HR_Data[[#This Row],[Attrition]]="No",1,0)</f>
        <v>1</v>
      </c>
      <c r="AL897" t="str">
        <f>IF(HR_Data[[#This Row],[Age]]&lt;25,"Under 25",IF(HR_Data[[#This Row],[Age]]&lt;=34,"25-34",IF(HR_Data[[#This Row],[Age]]&lt;=44,"35-44",IF(HR_Data[[#This Row],[Age]]&lt;=54,"45-54","55+"))))</f>
        <v>25-34</v>
      </c>
      <c r="AM897" s="1" t="str">
        <f>IF(HR_Data[[#This Row],[MonthlyIncome]]&lt;3000,"Low Salary",IF(HR_Data[[#This Row],[MonthlyIncome]]&lt;=7000,"Medium Salary","High Salary"))</f>
        <v>Medium Salary</v>
      </c>
      <c r="AN897" s="1" t="str">
        <f>IF(HR_Data[[#This Row],[YearsAtCompany]]&lt;2,"0-1 Years",IF(HR_Data[[#This Row],[YearsAtCompany]]&lt;=5,"2-5 Years",IF(HR_Data[[#This Row],[YearsAtCompany]]&lt;=10,"6-10 Years","10+ Years")))</f>
        <v>6-10 Years</v>
      </c>
      <c r="AO897" s="1" t="str">
        <f>IF(HR_Data[[#This Row],[JobSatisfaction]]=1,"Low",IF(HR_Data[[#This Row],[JobSatisfaction]]=2,"Medium",IF(HR_Data[[#This Row],[JobSatisfaction]]=3,"High","Very High")))</f>
        <v>Low</v>
      </c>
      <c r="AP897" s="1" t="str">
        <f>IF(HR_Data[[#This Row],[WorkLifeBalance]]=1,"Bad",IF(HR_Data[[#This Row],[WorkLifeBalance]]=2,"Good",IF(HR_Data[[#This Row],[WorkLifeBalance]]=3,"Better","Best")))</f>
        <v>Good</v>
      </c>
    </row>
    <row r="898" spans="1:42" x14ac:dyDescent="0.3">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c r="AJ898">
        <f>IF(HR_Data[[#This Row],[Attrition]]="Yes",1,0)</f>
        <v>0</v>
      </c>
      <c r="AK898">
        <f>IF(HR_Data[[#This Row],[Attrition]]="No",1,0)</f>
        <v>1</v>
      </c>
      <c r="AL898" t="str">
        <f>IF(HR_Data[[#This Row],[Age]]&lt;25,"Under 25",IF(HR_Data[[#This Row],[Age]]&lt;=34,"25-34",IF(HR_Data[[#This Row],[Age]]&lt;=44,"35-44",IF(HR_Data[[#This Row],[Age]]&lt;=54,"45-54","55+"))))</f>
        <v>25-34</v>
      </c>
      <c r="AM898" s="1" t="str">
        <f>IF(HR_Data[[#This Row],[MonthlyIncome]]&lt;3000,"Low Salary",IF(HR_Data[[#This Row],[MonthlyIncome]]&lt;=7000,"Medium Salary","High Salary"))</f>
        <v>Medium Salary</v>
      </c>
      <c r="AN898" s="1" t="str">
        <f>IF(HR_Data[[#This Row],[YearsAtCompany]]&lt;2,"0-1 Years",IF(HR_Data[[#This Row],[YearsAtCompany]]&lt;=5,"2-5 Years",IF(HR_Data[[#This Row],[YearsAtCompany]]&lt;=10,"6-10 Years","10+ Years")))</f>
        <v>6-10 Years</v>
      </c>
      <c r="AO898" s="1" t="str">
        <f>IF(HR_Data[[#This Row],[JobSatisfaction]]=1,"Low",IF(HR_Data[[#This Row],[JobSatisfaction]]=2,"Medium",IF(HR_Data[[#This Row],[JobSatisfaction]]=3,"High","Very High")))</f>
        <v>Low</v>
      </c>
      <c r="AP898" s="1" t="str">
        <f>IF(HR_Data[[#This Row],[WorkLifeBalance]]=1,"Bad",IF(HR_Data[[#This Row],[WorkLifeBalance]]=2,"Good",IF(HR_Data[[#This Row],[WorkLifeBalance]]=3,"Better","Best")))</f>
        <v>Better</v>
      </c>
    </row>
    <row r="899" spans="1:42" x14ac:dyDescent="0.3">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c r="AJ899">
        <f>IF(HR_Data[[#This Row],[Attrition]]="Yes",1,0)</f>
        <v>0</v>
      </c>
      <c r="AK899">
        <f>IF(HR_Data[[#This Row],[Attrition]]="No",1,0)</f>
        <v>1</v>
      </c>
      <c r="AL899" t="str">
        <f>IF(HR_Data[[#This Row],[Age]]&lt;25,"Under 25",IF(HR_Data[[#This Row],[Age]]&lt;=34,"25-34",IF(HR_Data[[#This Row],[Age]]&lt;=44,"35-44",IF(HR_Data[[#This Row],[Age]]&lt;=54,"45-54","55+"))))</f>
        <v>55+</v>
      </c>
      <c r="AM899" s="1" t="str">
        <f>IF(HR_Data[[#This Row],[MonthlyIncome]]&lt;3000,"Low Salary",IF(HR_Data[[#This Row],[MonthlyIncome]]&lt;=7000,"Medium Salary","High Salary"))</f>
        <v>Medium Salary</v>
      </c>
      <c r="AN899" s="1" t="str">
        <f>IF(HR_Data[[#This Row],[YearsAtCompany]]&lt;2,"0-1 Years",IF(HR_Data[[#This Row],[YearsAtCompany]]&lt;=5,"2-5 Years",IF(HR_Data[[#This Row],[YearsAtCompany]]&lt;=10,"6-10 Years","10+ Years")))</f>
        <v>6-10 Years</v>
      </c>
      <c r="AO899" s="1" t="str">
        <f>IF(HR_Data[[#This Row],[JobSatisfaction]]=1,"Low",IF(HR_Data[[#This Row],[JobSatisfaction]]=2,"Medium",IF(HR_Data[[#This Row],[JobSatisfaction]]=3,"High","Very High")))</f>
        <v>Very High</v>
      </c>
      <c r="AP899" s="1" t="str">
        <f>IF(HR_Data[[#This Row],[WorkLifeBalance]]=1,"Bad",IF(HR_Data[[#This Row],[WorkLifeBalance]]=2,"Good",IF(HR_Data[[#This Row],[WorkLifeBalance]]=3,"Better","Best")))</f>
        <v>Better</v>
      </c>
    </row>
    <row r="900" spans="1:42" x14ac:dyDescent="0.3">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c r="AJ900">
        <f>IF(HR_Data[[#This Row],[Attrition]]="Yes",1,0)</f>
        <v>0</v>
      </c>
      <c r="AK900">
        <f>IF(HR_Data[[#This Row],[Attrition]]="No",1,0)</f>
        <v>1</v>
      </c>
      <c r="AL900" t="str">
        <f>IF(HR_Data[[#This Row],[Age]]&lt;25,"Under 25",IF(HR_Data[[#This Row],[Age]]&lt;=34,"25-34",IF(HR_Data[[#This Row],[Age]]&lt;=44,"35-44",IF(HR_Data[[#This Row],[Age]]&lt;=54,"45-54","55+"))))</f>
        <v>35-44</v>
      </c>
      <c r="AM900" s="1" t="str">
        <f>IF(HR_Data[[#This Row],[MonthlyIncome]]&lt;3000,"Low Salary",IF(HR_Data[[#This Row],[MonthlyIncome]]&lt;=7000,"Medium Salary","High Salary"))</f>
        <v>High Salary</v>
      </c>
      <c r="AN900" s="1" t="str">
        <f>IF(HR_Data[[#This Row],[YearsAtCompany]]&lt;2,"0-1 Years",IF(HR_Data[[#This Row],[YearsAtCompany]]&lt;=5,"2-5 Years",IF(HR_Data[[#This Row],[YearsAtCompany]]&lt;=10,"6-10 Years","10+ Years")))</f>
        <v>6-10 Years</v>
      </c>
      <c r="AO900" s="1" t="str">
        <f>IF(HR_Data[[#This Row],[JobSatisfaction]]=1,"Low",IF(HR_Data[[#This Row],[JobSatisfaction]]=2,"Medium",IF(HR_Data[[#This Row],[JobSatisfaction]]=3,"High","Very High")))</f>
        <v>Very High</v>
      </c>
      <c r="AP900" s="1" t="str">
        <f>IF(HR_Data[[#This Row],[WorkLifeBalance]]=1,"Bad",IF(HR_Data[[#This Row],[WorkLifeBalance]]=2,"Good",IF(HR_Data[[#This Row],[WorkLifeBalance]]=3,"Better","Best")))</f>
        <v>Better</v>
      </c>
    </row>
    <row r="901" spans="1:42" x14ac:dyDescent="0.3">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c r="AJ901">
        <f>IF(HR_Data[[#This Row],[Attrition]]="Yes",1,0)</f>
        <v>0</v>
      </c>
      <c r="AK901">
        <f>IF(HR_Data[[#This Row],[Attrition]]="No",1,0)</f>
        <v>1</v>
      </c>
      <c r="AL901" t="str">
        <f>IF(HR_Data[[#This Row],[Age]]&lt;25,"Under 25",IF(HR_Data[[#This Row],[Age]]&lt;=34,"25-34",IF(HR_Data[[#This Row],[Age]]&lt;=44,"35-44",IF(HR_Data[[#This Row],[Age]]&lt;=54,"45-54","55+"))))</f>
        <v>45-54</v>
      </c>
      <c r="AM901" s="1" t="str">
        <f>IF(HR_Data[[#This Row],[MonthlyIncome]]&lt;3000,"Low Salary",IF(HR_Data[[#This Row],[MonthlyIncome]]&lt;=7000,"Medium Salary","High Salary"))</f>
        <v>High Salary</v>
      </c>
      <c r="AN901" s="1" t="str">
        <f>IF(HR_Data[[#This Row],[YearsAtCompany]]&lt;2,"0-1 Years",IF(HR_Data[[#This Row],[YearsAtCompany]]&lt;=5,"2-5 Years",IF(HR_Data[[#This Row],[YearsAtCompany]]&lt;=10,"6-10 Years","10+ Years")))</f>
        <v>0-1 Years</v>
      </c>
      <c r="AO901" s="1" t="str">
        <f>IF(HR_Data[[#This Row],[JobSatisfaction]]=1,"Low",IF(HR_Data[[#This Row],[JobSatisfaction]]=2,"Medium",IF(HR_Data[[#This Row],[JobSatisfaction]]=3,"High","Very High")))</f>
        <v>High</v>
      </c>
      <c r="AP901" s="1" t="str">
        <f>IF(HR_Data[[#This Row],[WorkLifeBalance]]=1,"Bad",IF(HR_Data[[#This Row],[WorkLifeBalance]]=2,"Good",IF(HR_Data[[#This Row],[WorkLifeBalance]]=3,"Better","Best")))</f>
        <v>Best</v>
      </c>
    </row>
    <row r="902" spans="1:42" x14ac:dyDescent="0.3">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c r="AJ902">
        <f>IF(HR_Data[[#This Row],[Attrition]]="Yes",1,0)</f>
        <v>0</v>
      </c>
      <c r="AK902">
        <f>IF(HR_Data[[#This Row],[Attrition]]="No",1,0)</f>
        <v>1</v>
      </c>
      <c r="AL902" t="str">
        <f>IF(HR_Data[[#This Row],[Age]]&lt;25,"Under 25",IF(HR_Data[[#This Row],[Age]]&lt;=34,"25-34",IF(HR_Data[[#This Row],[Age]]&lt;=44,"35-44",IF(HR_Data[[#This Row],[Age]]&lt;=54,"45-54","55+"))))</f>
        <v>35-44</v>
      </c>
      <c r="AM902" s="1" t="str">
        <f>IF(HR_Data[[#This Row],[MonthlyIncome]]&lt;3000,"Low Salary",IF(HR_Data[[#This Row],[MonthlyIncome]]&lt;=7000,"Medium Salary","High Salary"))</f>
        <v>Medium Salary</v>
      </c>
      <c r="AN902" s="1" t="str">
        <f>IF(HR_Data[[#This Row],[YearsAtCompany]]&lt;2,"0-1 Years",IF(HR_Data[[#This Row],[YearsAtCompany]]&lt;=5,"2-5 Years",IF(HR_Data[[#This Row],[YearsAtCompany]]&lt;=10,"6-10 Years","10+ Years")))</f>
        <v>10+ Years</v>
      </c>
      <c r="AO902" s="1" t="str">
        <f>IF(HR_Data[[#This Row],[JobSatisfaction]]=1,"Low",IF(HR_Data[[#This Row],[JobSatisfaction]]=2,"Medium",IF(HR_Data[[#This Row],[JobSatisfaction]]=3,"High","Very High")))</f>
        <v>Medium</v>
      </c>
      <c r="AP902" s="1" t="str">
        <f>IF(HR_Data[[#This Row],[WorkLifeBalance]]=1,"Bad",IF(HR_Data[[#This Row],[WorkLifeBalance]]=2,"Good",IF(HR_Data[[#This Row],[WorkLifeBalance]]=3,"Better","Best")))</f>
        <v>Good</v>
      </c>
    </row>
    <row r="903" spans="1:42" x14ac:dyDescent="0.3">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c r="AJ903">
        <f>IF(HR_Data[[#This Row],[Attrition]]="Yes",1,0)</f>
        <v>0</v>
      </c>
      <c r="AK903">
        <f>IF(HR_Data[[#This Row],[Attrition]]="No",1,0)</f>
        <v>1</v>
      </c>
      <c r="AL903" t="str">
        <f>IF(HR_Data[[#This Row],[Age]]&lt;25,"Under 25",IF(HR_Data[[#This Row],[Age]]&lt;=34,"25-34",IF(HR_Data[[#This Row],[Age]]&lt;=44,"35-44",IF(HR_Data[[#This Row],[Age]]&lt;=54,"45-54","55+"))))</f>
        <v>45-54</v>
      </c>
      <c r="AM903" s="1" t="str">
        <f>IF(HR_Data[[#This Row],[MonthlyIncome]]&lt;3000,"Low Salary",IF(HR_Data[[#This Row],[MonthlyIncome]]&lt;=7000,"Medium Salary","High Salary"))</f>
        <v>Low Salary</v>
      </c>
      <c r="AN903" s="1" t="str">
        <f>IF(HR_Data[[#This Row],[YearsAtCompany]]&lt;2,"0-1 Years",IF(HR_Data[[#This Row],[YearsAtCompany]]&lt;=5,"2-5 Years",IF(HR_Data[[#This Row],[YearsAtCompany]]&lt;=10,"6-10 Years","10+ Years")))</f>
        <v>0-1 Years</v>
      </c>
      <c r="AO903" s="1" t="str">
        <f>IF(HR_Data[[#This Row],[JobSatisfaction]]=1,"Low",IF(HR_Data[[#This Row],[JobSatisfaction]]=2,"Medium",IF(HR_Data[[#This Row],[JobSatisfaction]]=3,"High","Very High")))</f>
        <v>Medium</v>
      </c>
      <c r="AP903" s="1" t="str">
        <f>IF(HR_Data[[#This Row],[WorkLifeBalance]]=1,"Bad",IF(HR_Data[[#This Row],[WorkLifeBalance]]=2,"Good",IF(HR_Data[[#This Row],[WorkLifeBalance]]=3,"Better","Best")))</f>
        <v>Good</v>
      </c>
    </row>
    <row r="904" spans="1:42" x14ac:dyDescent="0.3">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c r="AJ904">
        <f>IF(HR_Data[[#This Row],[Attrition]]="Yes",1,0)</f>
        <v>0</v>
      </c>
      <c r="AK904">
        <f>IF(HR_Data[[#This Row],[Attrition]]="No",1,0)</f>
        <v>1</v>
      </c>
      <c r="AL904" t="str">
        <f>IF(HR_Data[[#This Row],[Age]]&lt;25,"Under 25",IF(HR_Data[[#This Row],[Age]]&lt;=34,"25-34",IF(HR_Data[[#This Row],[Age]]&lt;=44,"35-44",IF(HR_Data[[#This Row],[Age]]&lt;=54,"45-54","55+"))))</f>
        <v>25-34</v>
      </c>
      <c r="AM904" s="1" t="str">
        <f>IF(HR_Data[[#This Row],[MonthlyIncome]]&lt;3000,"Low Salary",IF(HR_Data[[#This Row],[MonthlyIncome]]&lt;=7000,"Medium Salary","High Salary"))</f>
        <v>Low Salary</v>
      </c>
      <c r="AN904" s="1" t="str">
        <f>IF(HR_Data[[#This Row],[YearsAtCompany]]&lt;2,"0-1 Years",IF(HR_Data[[#This Row],[YearsAtCompany]]&lt;=5,"2-5 Years",IF(HR_Data[[#This Row],[YearsAtCompany]]&lt;=10,"6-10 Years","10+ Years")))</f>
        <v>2-5 Years</v>
      </c>
      <c r="AO904" s="1" t="str">
        <f>IF(HR_Data[[#This Row],[JobSatisfaction]]=1,"Low",IF(HR_Data[[#This Row],[JobSatisfaction]]=2,"Medium",IF(HR_Data[[#This Row],[JobSatisfaction]]=3,"High","Very High")))</f>
        <v>High</v>
      </c>
      <c r="AP904" s="1" t="str">
        <f>IF(HR_Data[[#This Row],[WorkLifeBalance]]=1,"Bad",IF(HR_Data[[#This Row],[WorkLifeBalance]]=2,"Good",IF(HR_Data[[#This Row],[WorkLifeBalance]]=3,"Better","Best")))</f>
        <v>Better</v>
      </c>
    </row>
    <row r="905" spans="1:42" x14ac:dyDescent="0.3">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c r="AJ905">
        <f>IF(HR_Data[[#This Row],[Attrition]]="Yes",1,0)</f>
        <v>0</v>
      </c>
      <c r="AK905">
        <f>IF(HR_Data[[#This Row],[Attrition]]="No",1,0)</f>
        <v>1</v>
      </c>
      <c r="AL905" t="str">
        <f>IF(HR_Data[[#This Row],[Age]]&lt;25,"Under 25",IF(HR_Data[[#This Row],[Age]]&lt;=34,"25-34",IF(HR_Data[[#This Row],[Age]]&lt;=44,"35-44",IF(HR_Data[[#This Row],[Age]]&lt;=54,"45-54","55+"))))</f>
        <v>25-34</v>
      </c>
      <c r="AM905" s="1" t="str">
        <f>IF(HR_Data[[#This Row],[MonthlyIncome]]&lt;3000,"Low Salary",IF(HR_Data[[#This Row],[MonthlyIncome]]&lt;=7000,"Medium Salary","High Salary"))</f>
        <v>Medium Salary</v>
      </c>
      <c r="AN905" s="1" t="str">
        <f>IF(HR_Data[[#This Row],[YearsAtCompany]]&lt;2,"0-1 Years",IF(HR_Data[[#This Row],[YearsAtCompany]]&lt;=5,"2-5 Years",IF(HR_Data[[#This Row],[YearsAtCompany]]&lt;=10,"6-10 Years","10+ Years")))</f>
        <v>6-10 Years</v>
      </c>
      <c r="AO905" s="1" t="str">
        <f>IF(HR_Data[[#This Row],[JobSatisfaction]]=1,"Low",IF(HR_Data[[#This Row],[JobSatisfaction]]=2,"Medium",IF(HR_Data[[#This Row],[JobSatisfaction]]=3,"High","Very High")))</f>
        <v>Very High</v>
      </c>
      <c r="AP905" s="1" t="str">
        <f>IF(HR_Data[[#This Row],[WorkLifeBalance]]=1,"Bad",IF(HR_Data[[#This Row],[WorkLifeBalance]]=2,"Good",IF(HR_Data[[#This Row],[WorkLifeBalance]]=3,"Better","Best")))</f>
        <v>Better</v>
      </c>
    </row>
    <row r="906" spans="1:42" x14ac:dyDescent="0.3">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c r="AJ906">
        <f>IF(HR_Data[[#This Row],[Attrition]]="Yes",1,0)</f>
        <v>0</v>
      </c>
      <c r="AK906">
        <f>IF(HR_Data[[#This Row],[Attrition]]="No",1,0)</f>
        <v>1</v>
      </c>
      <c r="AL906" t="str">
        <f>IF(HR_Data[[#This Row],[Age]]&lt;25,"Under 25",IF(HR_Data[[#This Row],[Age]]&lt;=34,"25-34",IF(HR_Data[[#This Row],[Age]]&lt;=44,"35-44",IF(HR_Data[[#This Row],[Age]]&lt;=54,"45-54","55+"))))</f>
        <v>45-54</v>
      </c>
      <c r="AM906" s="1" t="str">
        <f>IF(HR_Data[[#This Row],[MonthlyIncome]]&lt;3000,"Low Salary",IF(HR_Data[[#This Row],[MonthlyIncome]]&lt;=7000,"Medium Salary","High Salary"))</f>
        <v>High Salary</v>
      </c>
      <c r="AN906" s="1" t="str">
        <f>IF(HR_Data[[#This Row],[YearsAtCompany]]&lt;2,"0-1 Years",IF(HR_Data[[#This Row],[YearsAtCompany]]&lt;=5,"2-5 Years",IF(HR_Data[[#This Row],[YearsAtCompany]]&lt;=10,"6-10 Years","10+ Years")))</f>
        <v>0-1 Years</v>
      </c>
      <c r="AO906" s="1" t="str">
        <f>IF(HR_Data[[#This Row],[JobSatisfaction]]=1,"Low",IF(HR_Data[[#This Row],[JobSatisfaction]]=2,"Medium",IF(HR_Data[[#This Row],[JobSatisfaction]]=3,"High","Very High")))</f>
        <v>Very High</v>
      </c>
      <c r="AP906" s="1" t="str">
        <f>IF(HR_Data[[#This Row],[WorkLifeBalance]]=1,"Bad",IF(HR_Data[[#This Row],[WorkLifeBalance]]=2,"Good",IF(HR_Data[[#This Row],[WorkLifeBalance]]=3,"Better","Best")))</f>
        <v>Best</v>
      </c>
    </row>
    <row r="907" spans="1:42" x14ac:dyDescent="0.3">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c r="AJ907">
        <f>IF(HR_Data[[#This Row],[Attrition]]="Yes",1,0)</f>
        <v>0</v>
      </c>
      <c r="AK907">
        <f>IF(HR_Data[[#This Row],[Attrition]]="No",1,0)</f>
        <v>1</v>
      </c>
      <c r="AL907" t="str">
        <f>IF(HR_Data[[#This Row],[Age]]&lt;25,"Under 25",IF(HR_Data[[#This Row],[Age]]&lt;=34,"25-34",IF(HR_Data[[#This Row],[Age]]&lt;=44,"35-44",IF(HR_Data[[#This Row],[Age]]&lt;=54,"45-54","55+"))))</f>
        <v>25-34</v>
      </c>
      <c r="AM907" s="1" t="str">
        <f>IF(HR_Data[[#This Row],[MonthlyIncome]]&lt;3000,"Low Salary",IF(HR_Data[[#This Row],[MonthlyIncome]]&lt;=7000,"Medium Salary","High Salary"))</f>
        <v>High Salary</v>
      </c>
      <c r="AN907" s="1" t="str">
        <f>IF(HR_Data[[#This Row],[YearsAtCompany]]&lt;2,"0-1 Years",IF(HR_Data[[#This Row],[YearsAtCompany]]&lt;=5,"2-5 Years",IF(HR_Data[[#This Row],[YearsAtCompany]]&lt;=10,"6-10 Years","10+ Years")))</f>
        <v>6-10 Years</v>
      </c>
      <c r="AO907" s="1" t="str">
        <f>IF(HR_Data[[#This Row],[JobSatisfaction]]=1,"Low",IF(HR_Data[[#This Row],[JobSatisfaction]]=2,"Medium",IF(HR_Data[[#This Row],[JobSatisfaction]]=3,"High","Very High")))</f>
        <v>Very High</v>
      </c>
      <c r="AP907" s="1" t="str">
        <f>IF(HR_Data[[#This Row],[WorkLifeBalance]]=1,"Bad",IF(HR_Data[[#This Row],[WorkLifeBalance]]=2,"Good",IF(HR_Data[[#This Row],[WorkLifeBalance]]=3,"Better","Best")))</f>
        <v>Good</v>
      </c>
    </row>
    <row r="908" spans="1:42" x14ac:dyDescent="0.3">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c r="AJ908">
        <f>IF(HR_Data[[#This Row],[Attrition]]="Yes",1,0)</f>
        <v>0</v>
      </c>
      <c r="AK908">
        <f>IF(HR_Data[[#This Row],[Attrition]]="No",1,0)</f>
        <v>1</v>
      </c>
      <c r="AL908" t="str">
        <f>IF(HR_Data[[#This Row],[Age]]&lt;25,"Under 25",IF(HR_Data[[#This Row],[Age]]&lt;=34,"25-34",IF(HR_Data[[#This Row],[Age]]&lt;=44,"35-44",IF(HR_Data[[#This Row],[Age]]&lt;=54,"45-54","55+"))))</f>
        <v>25-34</v>
      </c>
      <c r="AM908" s="1" t="str">
        <f>IF(HR_Data[[#This Row],[MonthlyIncome]]&lt;3000,"Low Salary",IF(HR_Data[[#This Row],[MonthlyIncome]]&lt;=7000,"Medium Salary","High Salary"))</f>
        <v>Low Salary</v>
      </c>
      <c r="AN908" s="1" t="str">
        <f>IF(HR_Data[[#This Row],[YearsAtCompany]]&lt;2,"0-1 Years",IF(HR_Data[[#This Row],[YearsAtCompany]]&lt;=5,"2-5 Years",IF(HR_Data[[#This Row],[YearsAtCompany]]&lt;=10,"6-10 Years","10+ Years")))</f>
        <v>0-1 Years</v>
      </c>
      <c r="AO908" s="1" t="str">
        <f>IF(HR_Data[[#This Row],[JobSatisfaction]]=1,"Low",IF(HR_Data[[#This Row],[JobSatisfaction]]=2,"Medium",IF(HR_Data[[#This Row],[JobSatisfaction]]=3,"High","Very High")))</f>
        <v>High</v>
      </c>
      <c r="AP908" s="1" t="str">
        <f>IF(HR_Data[[#This Row],[WorkLifeBalance]]=1,"Bad",IF(HR_Data[[#This Row],[WorkLifeBalance]]=2,"Good",IF(HR_Data[[#This Row],[WorkLifeBalance]]=3,"Better","Best")))</f>
        <v>Good</v>
      </c>
    </row>
    <row r="909" spans="1:42" x14ac:dyDescent="0.3">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c r="AJ909">
        <f>IF(HR_Data[[#This Row],[Attrition]]="Yes",1,0)</f>
        <v>0</v>
      </c>
      <c r="AK909">
        <f>IF(HR_Data[[#This Row],[Attrition]]="No",1,0)</f>
        <v>1</v>
      </c>
      <c r="AL909" t="str">
        <f>IF(HR_Data[[#This Row],[Age]]&lt;25,"Under 25",IF(HR_Data[[#This Row],[Age]]&lt;=34,"25-34",IF(HR_Data[[#This Row],[Age]]&lt;=44,"35-44",IF(HR_Data[[#This Row],[Age]]&lt;=54,"45-54","55+"))))</f>
        <v>35-44</v>
      </c>
      <c r="AM909" s="1" t="str">
        <f>IF(HR_Data[[#This Row],[MonthlyIncome]]&lt;3000,"Low Salary",IF(HR_Data[[#This Row],[MonthlyIncome]]&lt;=7000,"Medium Salary","High Salary"))</f>
        <v>High Salary</v>
      </c>
      <c r="AN909" s="1" t="str">
        <f>IF(HR_Data[[#This Row],[YearsAtCompany]]&lt;2,"0-1 Years",IF(HR_Data[[#This Row],[YearsAtCompany]]&lt;=5,"2-5 Years",IF(HR_Data[[#This Row],[YearsAtCompany]]&lt;=10,"6-10 Years","10+ Years")))</f>
        <v>10+ Years</v>
      </c>
      <c r="AO909" s="1" t="str">
        <f>IF(HR_Data[[#This Row],[JobSatisfaction]]=1,"Low",IF(HR_Data[[#This Row],[JobSatisfaction]]=2,"Medium",IF(HR_Data[[#This Row],[JobSatisfaction]]=3,"High","Very High")))</f>
        <v>Medium</v>
      </c>
      <c r="AP909" s="1" t="str">
        <f>IF(HR_Data[[#This Row],[WorkLifeBalance]]=1,"Bad",IF(HR_Data[[#This Row],[WorkLifeBalance]]=2,"Good",IF(HR_Data[[#This Row],[WorkLifeBalance]]=3,"Better","Best")))</f>
        <v>Better</v>
      </c>
    </row>
    <row r="910" spans="1:42" x14ac:dyDescent="0.3">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c r="AJ910">
        <f>IF(HR_Data[[#This Row],[Attrition]]="Yes",1,0)</f>
        <v>0</v>
      </c>
      <c r="AK910">
        <f>IF(HR_Data[[#This Row],[Attrition]]="No",1,0)</f>
        <v>1</v>
      </c>
      <c r="AL910" t="str">
        <f>IF(HR_Data[[#This Row],[Age]]&lt;25,"Under 25",IF(HR_Data[[#This Row],[Age]]&lt;=34,"25-34",IF(HR_Data[[#This Row],[Age]]&lt;=44,"35-44",IF(HR_Data[[#This Row],[Age]]&lt;=54,"45-54","55+"))))</f>
        <v>25-34</v>
      </c>
      <c r="AM910" s="1" t="str">
        <f>IF(HR_Data[[#This Row],[MonthlyIncome]]&lt;3000,"Low Salary",IF(HR_Data[[#This Row],[MonthlyIncome]]&lt;=7000,"Medium Salary","High Salary"))</f>
        <v>High Salary</v>
      </c>
      <c r="AN910" s="1" t="str">
        <f>IF(HR_Data[[#This Row],[YearsAtCompany]]&lt;2,"0-1 Years",IF(HR_Data[[#This Row],[YearsAtCompany]]&lt;=5,"2-5 Years",IF(HR_Data[[#This Row],[YearsAtCompany]]&lt;=10,"6-10 Years","10+ Years")))</f>
        <v>6-10 Years</v>
      </c>
      <c r="AO910" s="1" t="str">
        <f>IF(HR_Data[[#This Row],[JobSatisfaction]]=1,"Low",IF(HR_Data[[#This Row],[JobSatisfaction]]=2,"Medium",IF(HR_Data[[#This Row],[JobSatisfaction]]=3,"High","Very High")))</f>
        <v>High</v>
      </c>
      <c r="AP910" s="1" t="str">
        <f>IF(HR_Data[[#This Row],[WorkLifeBalance]]=1,"Bad",IF(HR_Data[[#This Row],[WorkLifeBalance]]=2,"Good",IF(HR_Data[[#This Row],[WorkLifeBalance]]=3,"Better","Best")))</f>
        <v>Better</v>
      </c>
    </row>
    <row r="911" spans="1:42" x14ac:dyDescent="0.3">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c r="AJ911">
        <f>IF(HR_Data[[#This Row],[Attrition]]="Yes",1,0)</f>
        <v>0</v>
      </c>
      <c r="AK911">
        <f>IF(HR_Data[[#This Row],[Attrition]]="No",1,0)</f>
        <v>1</v>
      </c>
      <c r="AL911" t="str">
        <f>IF(HR_Data[[#This Row],[Age]]&lt;25,"Under 25",IF(HR_Data[[#This Row],[Age]]&lt;=34,"25-34",IF(HR_Data[[#This Row],[Age]]&lt;=44,"35-44",IF(HR_Data[[#This Row],[Age]]&lt;=54,"45-54","55+"))))</f>
        <v>Under 25</v>
      </c>
      <c r="AM911" s="1" t="str">
        <f>IF(HR_Data[[#This Row],[MonthlyIncome]]&lt;3000,"Low Salary",IF(HR_Data[[#This Row],[MonthlyIncome]]&lt;=7000,"Medium Salary","High Salary"))</f>
        <v>Low Salary</v>
      </c>
      <c r="AN911" s="1" t="str">
        <f>IF(HR_Data[[#This Row],[YearsAtCompany]]&lt;2,"0-1 Years",IF(HR_Data[[#This Row],[YearsAtCompany]]&lt;=5,"2-5 Years",IF(HR_Data[[#This Row],[YearsAtCompany]]&lt;=10,"6-10 Years","10+ Years")))</f>
        <v>0-1 Years</v>
      </c>
      <c r="AO911" s="1" t="str">
        <f>IF(HR_Data[[#This Row],[JobSatisfaction]]=1,"Low",IF(HR_Data[[#This Row],[JobSatisfaction]]=2,"Medium",IF(HR_Data[[#This Row],[JobSatisfaction]]=3,"High","Very High")))</f>
        <v>Very High</v>
      </c>
      <c r="AP911" s="1" t="str">
        <f>IF(HR_Data[[#This Row],[WorkLifeBalance]]=1,"Bad",IF(HR_Data[[#This Row],[WorkLifeBalance]]=2,"Good",IF(HR_Data[[#This Row],[WorkLifeBalance]]=3,"Better","Best")))</f>
        <v>Better</v>
      </c>
    </row>
    <row r="912" spans="1:42" x14ac:dyDescent="0.3">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c r="AJ912">
        <f>IF(HR_Data[[#This Row],[Attrition]]="Yes",1,0)</f>
        <v>0</v>
      </c>
      <c r="AK912">
        <f>IF(HR_Data[[#This Row],[Attrition]]="No",1,0)</f>
        <v>1</v>
      </c>
      <c r="AL912" t="str">
        <f>IF(HR_Data[[#This Row],[Age]]&lt;25,"Under 25",IF(HR_Data[[#This Row],[Age]]&lt;=34,"25-34",IF(HR_Data[[#This Row],[Age]]&lt;=44,"35-44",IF(HR_Data[[#This Row],[Age]]&lt;=54,"45-54","55+"))))</f>
        <v>Under 25</v>
      </c>
      <c r="AM912" s="1" t="str">
        <f>IF(HR_Data[[#This Row],[MonthlyIncome]]&lt;3000,"Low Salary",IF(HR_Data[[#This Row],[MonthlyIncome]]&lt;=7000,"Medium Salary","High Salary"))</f>
        <v>Low Salary</v>
      </c>
      <c r="AN912" s="1" t="str">
        <f>IF(HR_Data[[#This Row],[YearsAtCompany]]&lt;2,"0-1 Years",IF(HR_Data[[#This Row],[YearsAtCompany]]&lt;=5,"2-5 Years",IF(HR_Data[[#This Row],[YearsAtCompany]]&lt;=10,"6-10 Years","10+ Years")))</f>
        <v>0-1 Years</v>
      </c>
      <c r="AO912" s="1" t="str">
        <f>IF(HR_Data[[#This Row],[JobSatisfaction]]=1,"Low",IF(HR_Data[[#This Row],[JobSatisfaction]]=2,"Medium",IF(HR_Data[[#This Row],[JobSatisfaction]]=3,"High","Very High")))</f>
        <v>High</v>
      </c>
      <c r="AP912" s="1" t="str">
        <f>IF(HR_Data[[#This Row],[WorkLifeBalance]]=1,"Bad",IF(HR_Data[[#This Row],[WorkLifeBalance]]=2,"Good",IF(HR_Data[[#This Row],[WorkLifeBalance]]=3,"Better","Best")))</f>
        <v>Better</v>
      </c>
    </row>
    <row r="913" spans="1:42" x14ac:dyDescent="0.3">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c r="AJ913">
        <f>IF(HR_Data[[#This Row],[Attrition]]="Yes",1,0)</f>
        <v>1</v>
      </c>
      <c r="AK913">
        <f>IF(HR_Data[[#This Row],[Attrition]]="No",1,0)</f>
        <v>0</v>
      </c>
      <c r="AL913" t="str">
        <f>IF(HR_Data[[#This Row],[Age]]&lt;25,"Under 25",IF(HR_Data[[#This Row],[Age]]&lt;=34,"25-34",IF(HR_Data[[#This Row],[Age]]&lt;=44,"35-44",IF(HR_Data[[#This Row],[Age]]&lt;=54,"45-54","55+"))))</f>
        <v>25-34</v>
      </c>
      <c r="AM913" s="1" t="str">
        <f>IF(HR_Data[[#This Row],[MonthlyIncome]]&lt;3000,"Low Salary",IF(HR_Data[[#This Row],[MonthlyIncome]]&lt;=7000,"Medium Salary","High Salary"))</f>
        <v>Low Salary</v>
      </c>
      <c r="AN913" s="1" t="str">
        <f>IF(HR_Data[[#This Row],[YearsAtCompany]]&lt;2,"0-1 Years",IF(HR_Data[[#This Row],[YearsAtCompany]]&lt;=5,"2-5 Years",IF(HR_Data[[#This Row],[YearsAtCompany]]&lt;=10,"6-10 Years","10+ Years")))</f>
        <v>0-1 Years</v>
      </c>
      <c r="AO913" s="1" t="str">
        <f>IF(HR_Data[[#This Row],[JobSatisfaction]]=1,"Low",IF(HR_Data[[#This Row],[JobSatisfaction]]=2,"Medium",IF(HR_Data[[#This Row],[JobSatisfaction]]=3,"High","Very High")))</f>
        <v>Very High</v>
      </c>
      <c r="AP913" s="1" t="str">
        <f>IF(HR_Data[[#This Row],[WorkLifeBalance]]=1,"Bad",IF(HR_Data[[#This Row],[WorkLifeBalance]]=2,"Good",IF(HR_Data[[#This Row],[WorkLifeBalance]]=3,"Better","Best")))</f>
        <v>Better</v>
      </c>
    </row>
    <row r="914" spans="1:42" x14ac:dyDescent="0.3">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c r="AJ914">
        <f>IF(HR_Data[[#This Row],[Attrition]]="Yes",1,0)</f>
        <v>0</v>
      </c>
      <c r="AK914">
        <f>IF(HR_Data[[#This Row],[Attrition]]="No",1,0)</f>
        <v>1</v>
      </c>
      <c r="AL914" t="str">
        <f>IF(HR_Data[[#This Row],[Age]]&lt;25,"Under 25",IF(HR_Data[[#This Row],[Age]]&lt;=34,"25-34",IF(HR_Data[[#This Row],[Age]]&lt;=44,"35-44",IF(HR_Data[[#This Row],[Age]]&lt;=54,"45-54","55+"))))</f>
        <v>25-34</v>
      </c>
      <c r="AM914" s="1" t="str">
        <f>IF(HR_Data[[#This Row],[MonthlyIncome]]&lt;3000,"Low Salary",IF(HR_Data[[#This Row],[MonthlyIncome]]&lt;=7000,"Medium Salary","High Salary"))</f>
        <v>Low Salary</v>
      </c>
      <c r="AN914" s="1" t="str">
        <f>IF(HR_Data[[#This Row],[YearsAtCompany]]&lt;2,"0-1 Years",IF(HR_Data[[#This Row],[YearsAtCompany]]&lt;=5,"2-5 Years",IF(HR_Data[[#This Row],[YearsAtCompany]]&lt;=10,"6-10 Years","10+ Years")))</f>
        <v>6-10 Years</v>
      </c>
      <c r="AO914" s="1" t="str">
        <f>IF(HR_Data[[#This Row],[JobSatisfaction]]=1,"Low",IF(HR_Data[[#This Row],[JobSatisfaction]]=2,"Medium",IF(HR_Data[[#This Row],[JobSatisfaction]]=3,"High","Very High")))</f>
        <v>Very High</v>
      </c>
      <c r="AP914" s="1" t="str">
        <f>IF(HR_Data[[#This Row],[WorkLifeBalance]]=1,"Bad",IF(HR_Data[[#This Row],[WorkLifeBalance]]=2,"Good",IF(HR_Data[[#This Row],[WorkLifeBalance]]=3,"Better","Best")))</f>
        <v>Good</v>
      </c>
    </row>
    <row r="915" spans="1:42" x14ac:dyDescent="0.3">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c r="AJ915">
        <f>IF(HR_Data[[#This Row],[Attrition]]="Yes",1,0)</f>
        <v>1</v>
      </c>
      <c r="AK915">
        <f>IF(HR_Data[[#This Row],[Attrition]]="No",1,0)</f>
        <v>0</v>
      </c>
      <c r="AL915" t="str">
        <f>IF(HR_Data[[#This Row],[Age]]&lt;25,"Under 25",IF(HR_Data[[#This Row],[Age]]&lt;=34,"25-34",IF(HR_Data[[#This Row],[Age]]&lt;=44,"35-44",IF(HR_Data[[#This Row],[Age]]&lt;=54,"45-54","55+"))))</f>
        <v>45-54</v>
      </c>
      <c r="AM915" s="1" t="str">
        <f>IF(HR_Data[[#This Row],[MonthlyIncome]]&lt;3000,"Low Salary",IF(HR_Data[[#This Row],[MonthlyIncome]]&lt;=7000,"Medium Salary","High Salary"))</f>
        <v>High Salary</v>
      </c>
      <c r="AN915" s="1" t="str">
        <f>IF(HR_Data[[#This Row],[YearsAtCompany]]&lt;2,"0-1 Years",IF(HR_Data[[#This Row],[YearsAtCompany]]&lt;=5,"2-5 Years",IF(HR_Data[[#This Row],[YearsAtCompany]]&lt;=10,"6-10 Years","10+ Years")))</f>
        <v>10+ Years</v>
      </c>
      <c r="AO915" s="1" t="str">
        <f>IF(HR_Data[[#This Row],[JobSatisfaction]]=1,"Low",IF(HR_Data[[#This Row],[JobSatisfaction]]=2,"Medium",IF(HR_Data[[#This Row],[JobSatisfaction]]=3,"High","Very High")))</f>
        <v>Medium</v>
      </c>
      <c r="AP915" s="1" t="str">
        <f>IF(HR_Data[[#This Row],[WorkLifeBalance]]=1,"Bad",IF(HR_Data[[#This Row],[WorkLifeBalance]]=2,"Good",IF(HR_Data[[#This Row],[WorkLifeBalance]]=3,"Better","Best")))</f>
        <v>Better</v>
      </c>
    </row>
    <row r="916" spans="1:42" x14ac:dyDescent="0.3">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c r="AJ916">
        <f>IF(HR_Data[[#This Row],[Attrition]]="Yes",1,0)</f>
        <v>0</v>
      </c>
      <c r="AK916">
        <f>IF(HR_Data[[#This Row],[Attrition]]="No",1,0)</f>
        <v>1</v>
      </c>
      <c r="AL916" t="str">
        <f>IF(HR_Data[[#This Row],[Age]]&lt;25,"Under 25",IF(HR_Data[[#This Row],[Age]]&lt;=34,"25-34",IF(HR_Data[[#This Row],[Age]]&lt;=44,"35-44",IF(HR_Data[[#This Row],[Age]]&lt;=54,"45-54","55+"))))</f>
        <v>55+</v>
      </c>
      <c r="AM916" s="1" t="str">
        <f>IF(HR_Data[[#This Row],[MonthlyIncome]]&lt;3000,"Low Salary",IF(HR_Data[[#This Row],[MonthlyIncome]]&lt;=7000,"Medium Salary","High Salary"))</f>
        <v>High Salary</v>
      </c>
      <c r="AN916" s="1" t="str">
        <f>IF(HR_Data[[#This Row],[YearsAtCompany]]&lt;2,"0-1 Years",IF(HR_Data[[#This Row],[YearsAtCompany]]&lt;=5,"2-5 Years",IF(HR_Data[[#This Row],[YearsAtCompany]]&lt;=10,"6-10 Years","10+ Years")))</f>
        <v>10+ Years</v>
      </c>
      <c r="AO916" s="1" t="str">
        <f>IF(HR_Data[[#This Row],[JobSatisfaction]]=1,"Low",IF(HR_Data[[#This Row],[JobSatisfaction]]=2,"Medium",IF(HR_Data[[#This Row],[JobSatisfaction]]=3,"High","Very High")))</f>
        <v>Medium</v>
      </c>
      <c r="AP916" s="1" t="str">
        <f>IF(HR_Data[[#This Row],[WorkLifeBalance]]=1,"Bad",IF(HR_Data[[#This Row],[WorkLifeBalance]]=2,"Good",IF(HR_Data[[#This Row],[WorkLifeBalance]]=3,"Better","Best")))</f>
        <v>Better</v>
      </c>
    </row>
    <row r="917" spans="1:42" x14ac:dyDescent="0.3">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c r="AJ917">
        <f>IF(HR_Data[[#This Row],[Attrition]]="Yes",1,0)</f>
        <v>1</v>
      </c>
      <c r="AK917">
        <f>IF(HR_Data[[#This Row],[Attrition]]="No",1,0)</f>
        <v>0</v>
      </c>
      <c r="AL917" t="str">
        <f>IF(HR_Data[[#This Row],[Age]]&lt;25,"Under 25",IF(HR_Data[[#This Row],[Age]]&lt;=34,"25-34",IF(HR_Data[[#This Row],[Age]]&lt;=44,"35-44",IF(HR_Data[[#This Row],[Age]]&lt;=54,"45-54","55+"))))</f>
        <v>Under 25</v>
      </c>
      <c r="AM917" s="1" t="str">
        <f>IF(HR_Data[[#This Row],[MonthlyIncome]]&lt;3000,"Low Salary",IF(HR_Data[[#This Row],[MonthlyIncome]]&lt;=7000,"Medium Salary","High Salary"))</f>
        <v>Low Salary</v>
      </c>
      <c r="AN917" s="1" t="str">
        <f>IF(HR_Data[[#This Row],[YearsAtCompany]]&lt;2,"0-1 Years",IF(HR_Data[[#This Row],[YearsAtCompany]]&lt;=5,"2-5 Years",IF(HR_Data[[#This Row],[YearsAtCompany]]&lt;=10,"6-10 Years","10+ Years")))</f>
        <v>2-5 Years</v>
      </c>
      <c r="AO917" s="1" t="str">
        <f>IF(HR_Data[[#This Row],[JobSatisfaction]]=1,"Low",IF(HR_Data[[#This Row],[JobSatisfaction]]=2,"Medium",IF(HR_Data[[#This Row],[JobSatisfaction]]=3,"High","Very High")))</f>
        <v>High</v>
      </c>
      <c r="AP917" s="1" t="str">
        <f>IF(HR_Data[[#This Row],[WorkLifeBalance]]=1,"Bad",IF(HR_Data[[#This Row],[WorkLifeBalance]]=2,"Good",IF(HR_Data[[#This Row],[WorkLifeBalance]]=3,"Better","Best")))</f>
        <v>Bad</v>
      </c>
    </row>
    <row r="918" spans="1:42" x14ac:dyDescent="0.3">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c r="AJ918">
        <f>IF(HR_Data[[#This Row],[Attrition]]="Yes",1,0)</f>
        <v>0</v>
      </c>
      <c r="AK918">
        <f>IF(HR_Data[[#This Row],[Attrition]]="No",1,0)</f>
        <v>1</v>
      </c>
      <c r="AL918" t="str">
        <f>IF(HR_Data[[#This Row],[Age]]&lt;25,"Under 25",IF(HR_Data[[#This Row],[Age]]&lt;=34,"25-34",IF(HR_Data[[#This Row],[Age]]&lt;=44,"35-44",IF(HR_Data[[#This Row],[Age]]&lt;=54,"45-54","55+"))))</f>
        <v>45-54</v>
      </c>
      <c r="AM918" s="1" t="str">
        <f>IF(HR_Data[[#This Row],[MonthlyIncome]]&lt;3000,"Low Salary",IF(HR_Data[[#This Row],[MonthlyIncome]]&lt;=7000,"Medium Salary","High Salary"))</f>
        <v>High Salary</v>
      </c>
      <c r="AN918" s="1" t="str">
        <f>IF(HR_Data[[#This Row],[YearsAtCompany]]&lt;2,"0-1 Years",IF(HR_Data[[#This Row],[YearsAtCompany]]&lt;=5,"2-5 Years",IF(HR_Data[[#This Row],[YearsAtCompany]]&lt;=10,"6-10 Years","10+ Years")))</f>
        <v>10+ Years</v>
      </c>
      <c r="AO918" s="1" t="str">
        <f>IF(HR_Data[[#This Row],[JobSatisfaction]]=1,"Low",IF(HR_Data[[#This Row],[JobSatisfaction]]=2,"Medium",IF(HR_Data[[#This Row],[JobSatisfaction]]=3,"High","Very High")))</f>
        <v>Medium</v>
      </c>
      <c r="AP918" s="1" t="str">
        <f>IF(HR_Data[[#This Row],[WorkLifeBalance]]=1,"Bad",IF(HR_Data[[#This Row],[WorkLifeBalance]]=2,"Good",IF(HR_Data[[#This Row],[WorkLifeBalance]]=3,"Better","Best")))</f>
        <v>Better</v>
      </c>
    </row>
    <row r="919" spans="1:42" x14ac:dyDescent="0.3">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c r="AJ919">
        <f>IF(HR_Data[[#This Row],[Attrition]]="Yes",1,0)</f>
        <v>0</v>
      </c>
      <c r="AK919">
        <f>IF(HR_Data[[#This Row],[Attrition]]="No",1,0)</f>
        <v>1</v>
      </c>
      <c r="AL919" t="str">
        <f>IF(HR_Data[[#This Row],[Age]]&lt;25,"Under 25",IF(HR_Data[[#This Row],[Age]]&lt;=34,"25-34",IF(HR_Data[[#This Row],[Age]]&lt;=44,"35-44",IF(HR_Data[[#This Row],[Age]]&lt;=54,"45-54","55+"))))</f>
        <v>25-34</v>
      </c>
      <c r="AM919" s="1" t="str">
        <f>IF(HR_Data[[#This Row],[MonthlyIncome]]&lt;3000,"Low Salary",IF(HR_Data[[#This Row],[MonthlyIncome]]&lt;=7000,"Medium Salary","High Salary"))</f>
        <v>Medium Salary</v>
      </c>
      <c r="AN919" s="1" t="str">
        <f>IF(HR_Data[[#This Row],[YearsAtCompany]]&lt;2,"0-1 Years",IF(HR_Data[[#This Row],[YearsAtCompany]]&lt;=5,"2-5 Years",IF(HR_Data[[#This Row],[YearsAtCompany]]&lt;=10,"6-10 Years","10+ Years")))</f>
        <v>2-5 Years</v>
      </c>
      <c r="AO919" s="1" t="str">
        <f>IF(HR_Data[[#This Row],[JobSatisfaction]]=1,"Low",IF(HR_Data[[#This Row],[JobSatisfaction]]=2,"Medium",IF(HR_Data[[#This Row],[JobSatisfaction]]=3,"High","Very High")))</f>
        <v>Low</v>
      </c>
      <c r="AP919" s="1" t="str">
        <f>IF(HR_Data[[#This Row],[WorkLifeBalance]]=1,"Bad",IF(HR_Data[[#This Row],[WorkLifeBalance]]=2,"Good",IF(HR_Data[[#This Row],[WorkLifeBalance]]=3,"Better","Best")))</f>
        <v>Better</v>
      </c>
    </row>
    <row r="920" spans="1:42" x14ac:dyDescent="0.3">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c r="AJ920">
        <f>IF(HR_Data[[#This Row],[Attrition]]="Yes",1,0)</f>
        <v>0</v>
      </c>
      <c r="AK920">
        <f>IF(HR_Data[[#This Row],[Attrition]]="No",1,0)</f>
        <v>1</v>
      </c>
      <c r="AL920" t="str">
        <f>IF(HR_Data[[#This Row],[Age]]&lt;25,"Under 25",IF(HR_Data[[#This Row],[Age]]&lt;=34,"25-34",IF(HR_Data[[#This Row],[Age]]&lt;=44,"35-44",IF(HR_Data[[#This Row],[Age]]&lt;=54,"45-54","55+"))))</f>
        <v>45-54</v>
      </c>
      <c r="AM920" s="1" t="str">
        <f>IF(HR_Data[[#This Row],[MonthlyIncome]]&lt;3000,"Low Salary",IF(HR_Data[[#This Row],[MonthlyIncome]]&lt;=7000,"Medium Salary","High Salary"))</f>
        <v>High Salary</v>
      </c>
      <c r="AN920" s="1" t="str">
        <f>IF(HR_Data[[#This Row],[YearsAtCompany]]&lt;2,"0-1 Years",IF(HR_Data[[#This Row],[YearsAtCompany]]&lt;=5,"2-5 Years",IF(HR_Data[[#This Row],[YearsAtCompany]]&lt;=10,"6-10 Years","10+ Years")))</f>
        <v>10+ Years</v>
      </c>
      <c r="AO920" s="1" t="str">
        <f>IF(HR_Data[[#This Row],[JobSatisfaction]]=1,"Low",IF(HR_Data[[#This Row],[JobSatisfaction]]=2,"Medium",IF(HR_Data[[#This Row],[JobSatisfaction]]=3,"High","Very High")))</f>
        <v>Medium</v>
      </c>
      <c r="AP920" s="1" t="str">
        <f>IF(HR_Data[[#This Row],[WorkLifeBalance]]=1,"Bad",IF(HR_Data[[#This Row],[WorkLifeBalance]]=2,"Good",IF(HR_Data[[#This Row],[WorkLifeBalance]]=3,"Better","Best")))</f>
        <v>Good</v>
      </c>
    </row>
    <row r="921" spans="1:42" x14ac:dyDescent="0.3">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c r="AJ921">
        <f>IF(HR_Data[[#This Row],[Attrition]]="Yes",1,0)</f>
        <v>0</v>
      </c>
      <c r="AK921">
        <f>IF(HR_Data[[#This Row],[Attrition]]="No",1,0)</f>
        <v>1</v>
      </c>
      <c r="AL921" t="str">
        <f>IF(HR_Data[[#This Row],[Age]]&lt;25,"Under 25",IF(HR_Data[[#This Row],[Age]]&lt;=34,"25-34",IF(HR_Data[[#This Row],[Age]]&lt;=44,"35-44",IF(HR_Data[[#This Row],[Age]]&lt;=54,"45-54","55+"))))</f>
        <v>55+</v>
      </c>
      <c r="AM921" s="1" t="str">
        <f>IF(HR_Data[[#This Row],[MonthlyIncome]]&lt;3000,"Low Salary",IF(HR_Data[[#This Row],[MonthlyIncome]]&lt;=7000,"Medium Salary","High Salary"))</f>
        <v>High Salary</v>
      </c>
      <c r="AN921" s="1" t="str">
        <f>IF(HR_Data[[#This Row],[YearsAtCompany]]&lt;2,"0-1 Years",IF(HR_Data[[#This Row],[YearsAtCompany]]&lt;=5,"2-5 Years",IF(HR_Data[[#This Row],[YearsAtCompany]]&lt;=10,"6-10 Years","10+ Years")))</f>
        <v>6-10 Years</v>
      </c>
      <c r="AO921" s="1" t="str">
        <f>IF(HR_Data[[#This Row],[JobSatisfaction]]=1,"Low",IF(HR_Data[[#This Row],[JobSatisfaction]]=2,"Medium",IF(HR_Data[[#This Row],[JobSatisfaction]]=3,"High","Very High")))</f>
        <v>Very High</v>
      </c>
      <c r="AP921" s="1" t="str">
        <f>IF(HR_Data[[#This Row],[WorkLifeBalance]]=1,"Bad",IF(HR_Data[[#This Row],[WorkLifeBalance]]=2,"Good",IF(HR_Data[[#This Row],[WorkLifeBalance]]=3,"Better","Best")))</f>
        <v>Good</v>
      </c>
    </row>
    <row r="922" spans="1:42" x14ac:dyDescent="0.3">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c r="AJ922">
        <f>IF(HR_Data[[#This Row],[Attrition]]="Yes",1,0)</f>
        <v>0</v>
      </c>
      <c r="AK922">
        <f>IF(HR_Data[[#This Row],[Attrition]]="No",1,0)</f>
        <v>1</v>
      </c>
      <c r="AL922" t="str">
        <f>IF(HR_Data[[#This Row],[Age]]&lt;25,"Under 25",IF(HR_Data[[#This Row],[Age]]&lt;=34,"25-34",IF(HR_Data[[#This Row],[Age]]&lt;=44,"35-44",IF(HR_Data[[#This Row],[Age]]&lt;=54,"45-54","55+"))))</f>
        <v>25-34</v>
      </c>
      <c r="AM922" s="1" t="str">
        <f>IF(HR_Data[[#This Row],[MonthlyIncome]]&lt;3000,"Low Salary",IF(HR_Data[[#This Row],[MonthlyIncome]]&lt;=7000,"Medium Salary","High Salary"))</f>
        <v>Medium Salary</v>
      </c>
      <c r="AN922" s="1" t="str">
        <f>IF(HR_Data[[#This Row],[YearsAtCompany]]&lt;2,"0-1 Years",IF(HR_Data[[#This Row],[YearsAtCompany]]&lt;=5,"2-5 Years",IF(HR_Data[[#This Row],[YearsAtCompany]]&lt;=10,"6-10 Years","10+ Years")))</f>
        <v>10+ Years</v>
      </c>
      <c r="AO922" s="1" t="str">
        <f>IF(HR_Data[[#This Row],[JobSatisfaction]]=1,"Low",IF(HR_Data[[#This Row],[JobSatisfaction]]=2,"Medium",IF(HR_Data[[#This Row],[JobSatisfaction]]=3,"High","Very High")))</f>
        <v>Medium</v>
      </c>
      <c r="AP922" s="1" t="str">
        <f>IF(HR_Data[[#This Row],[WorkLifeBalance]]=1,"Bad",IF(HR_Data[[#This Row],[WorkLifeBalance]]=2,"Good",IF(HR_Data[[#This Row],[WorkLifeBalance]]=3,"Better","Best")))</f>
        <v>Best</v>
      </c>
    </row>
    <row r="923" spans="1:42" x14ac:dyDescent="0.3">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c r="AJ923">
        <f>IF(HR_Data[[#This Row],[Attrition]]="Yes",1,0)</f>
        <v>0</v>
      </c>
      <c r="AK923">
        <f>IF(HR_Data[[#This Row],[Attrition]]="No",1,0)</f>
        <v>1</v>
      </c>
      <c r="AL923" t="str">
        <f>IF(HR_Data[[#This Row],[Age]]&lt;25,"Under 25",IF(HR_Data[[#This Row],[Age]]&lt;=34,"25-34",IF(HR_Data[[#This Row],[Age]]&lt;=44,"35-44",IF(HR_Data[[#This Row],[Age]]&lt;=54,"45-54","55+"))))</f>
        <v>25-34</v>
      </c>
      <c r="AM923" s="1" t="str">
        <f>IF(HR_Data[[#This Row],[MonthlyIncome]]&lt;3000,"Low Salary",IF(HR_Data[[#This Row],[MonthlyIncome]]&lt;=7000,"Medium Salary","High Salary"))</f>
        <v>Low Salary</v>
      </c>
      <c r="AN923" s="1" t="str">
        <f>IF(HR_Data[[#This Row],[YearsAtCompany]]&lt;2,"0-1 Years",IF(HR_Data[[#This Row],[YearsAtCompany]]&lt;=5,"2-5 Years",IF(HR_Data[[#This Row],[YearsAtCompany]]&lt;=10,"6-10 Years","10+ Years")))</f>
        <v>2-5 Years</v>
      </c>
      <c r="AO923" s="1" t="str">
        <f>IF(HR_Data[[#This Row],[JobSatisfaction]]=1,"Low",IF(HR_Data[[#This Row],[JobSatisfaction]]=2,"Medium",IF(HR_Data[[#This Row],[JobSatisfaction]]=3,"High","Very High")))</f>
        <v>High</v>
      </c>
      <c r="AP923" s="1" t="str">
        <f>IF(HR_Data[[#This Row],[WorkLifeBalance]]=1,"Bad",IF(HR_Data[[#This Row],[WorkLifeBalance]]=2,"Good",IF(HR_Data[[#This Row],[WorkLifeBalance]]=3,"Better","Best")))</f>
        <v>Good</v>
      </c>
    </row>
    <row r="924" spans="1:42" x14ac:dyDescent="0.3">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c r="AJ924">
        <f>IF(HR_Data[[#This Row],[Attrition]]="Yes",1,0)</f>
        <v>0</v>
      </c>
      <c r="AK924">
        <f>IF(HR_Data[[#This Row],[Attrition]]="No",1,0)</f>
        <v>1</v>
      </c>
      <c r="AL924" t="str">
        <f>IF(HR_Data[[#This Row],[Age]]&lt;25,"Under 25",IF(HR_Data[[#This Row],[Age]]&lt;=34,"25-34",IF(HR_Data[[#This Row],[Age]]&lt;=44,"35-44",IF(HR_Data[[#This Row],[Age]]&lt;=54,"45-54","55+"))))</f>
        <v>35-44</v>
      </c>
      <c r="AM924" s="1" t="str">
        <f>IF(HR_Data[[#This Row],[MonthlyIncome]]&lt;3000,"Low Salary",IF(HR_Data[[#This Row],[MonthlyIncome]]&lt;=7000,"Medium Salary","High Salary"))</f>
        <v>High Salary</v>
      </c>
      <c r="AN924" s="1" t="str">
        <f>IF(HR_Data[[#This Row],[YearsAtCompany]]&lt;2,"0-1 Years",IF(HR_Data[[#This Row],[YearsAtCompany]]&lt;=5,"2-5 Years",IF(HR_Data[[#This Row],[YearsAtCompany]]&lt;=10,"6-10 Years","10+ Years")))</f>
        <v>10+ Years</v>
      </c>
      <c r="AO924" s="1" t="str">
        <f>IF(HR_Data[[#This Row],[JobSatisfaction]]=1,"Low",IF(HR_Data[[#This Row],[JobSatisfaction]]=2,"Medium",IF(HR_Data[[#This Row],[JobSatisfaction]]=3,"High","Very High")))</f>
        <v>Low</v>
      </c>
      <c r="AP924" s="1" t="str">
        <f>IF(HR_Data[[#This Row],[WorkLifeBalance]]=1,"Bad",IF(HR_Data[[#This Row],[WorkLifeBalance]]=2,"Good",IF(HR_Data[[#This Row],[WorkLifeBalance]]=3,"Better","Best")))</f>
        <v>Good</v>
      </c>
    </row>
    <row r="925" spans="1:42" x14ac:dyDescent="0.3">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c r="AJ925">
        <f>IF(HR_Data[[#This Row],[Attrition]]="Yes",1,0)</f>
        <v>0</v>
      </c>
      <c r="AK925">
        <f>IF(HR_Data[[#This Row],[Attrition]]="No",1,0)</f>
        <v>1</v>
      </c>
      <c r="AL925" t="str">
        <f>IF(HR_Data[[#This Row],[Age]]&lt;25,"Under 25",IF(HR_Data[[#This Row],[Age]]&lt;=34,"25-34",IF(HR_Data[[#This Row],[Age]]&lt;=44,"35-44",IF(HR_Data[[#This Row],[Age]]&lt;=54,"45-54","55+"))))</f>
        <v>25-34</v>
      </c>
      <c r="AM925" s="1" t="str">
        <f>IF(HR_Data[[#This Row],[MonthlyIncome]]&lt;3000,"Low Salary",IF(HR_Data[[#This Row],[MonthlyIncome]]&lt;=7000,"Medium Salary","High Salary"))</f>
        <v>Medium Salary</v>
      </c>
      <c r="AN925" s="1" t="str">
        <f>IF(HR_Data[[#This Row],[YearsAtCompany]]&lt;2,"0-1 Years",IF(HR_Data[[#This Row],[YearsAtCompany]]&lt;=5,"2-5 Years",IF(HR_Data[[#This Row],[YearsAtCompany]]&lt;=10,"6-10 Years","10+ Years")))</f>
        <v>6-10 Years</v>
      </c>
      <c r="AO925" s="1" t="str">
        <f>IF(HR_Data[[#This Row],[JobSatisfaction]]=1,"Low",IF(HR_Data[[#This Row],[JobSatisfaction]]=2,"Medium",IF(HR_Data[[#This Row],[JobSatisfaction]]=3,"High","Very High")))</f>
        <v>Medium</v>
      </c>
      <c r="AP925" s="1" t="str">
        <f>IF(HR_Data[[#This Row],[WorkLifeBalance]]=1,"Bad",IF(HR_Data[[#This Row],[WorkLifeBalance]]=2,"Good",IF(HR_Data[[#This Row],[WorkLifeBalance]]=3,"Better","Best")))</f>
        <v>Best</v>
      </c>
    </row>
    <row r="926" spans="1:42" x14ac:dyDescent="0.3">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c r="AJ926">
        <f>IF(HR_Data[[#This Row],[Attrition]]="Yes",1,0)</f>
        <v>0</v>
      </c>
      <c r="AK926">
        <f>IF(HR_Data[[#This Row],[Attrition]]="No",1,0)</f>
        <v>1</v>
      </c>
      <c r="AL926" t="str">
        <f>IF(HR_Data[[#This Row],[Age]]&lt;25,"Under 25",IF(HR_Data[[#This Row],[Age]]&lt;=34,"25-34",IF(HR_Data[[#This Row],[Age]]&lt;=44,"35-44",IF(HR_Data[[#This Row],[Age]]&lt;=54,"45-54","55+"))))</f>
        <v>35-44</v>
      </c>
      <c r="AM926" s="1" t="str">
        <f>IF(HR_Data[[#This Row],[MonthlyIncome]]&lt;3000,"Low Salary",IF(HR_Data[[#This Row],[MonthlyIncome]]&lt;=7000,"Medium Salary","High Salary"))</f>
        <v>Medium Salary</v>
      </c>
      <c r="AN926" s="1" t="str">
        <f>IF(HR_Data[[#This Row],[YearsAtCompany]]&lt;2,"0-1 Years",IF(HR_Data[[#This Row],[YearsAtCompany]]&lt;=5,"2-5 Years",IF(HR_Data[[#This Row],[YearsAtCompany]]&lt;=10,"6-10 Years","10+ Years")))</f>
        <v>2-5 Years</v>
      </c>
      <c r="AO926" s="1" t="str">
        <f>IF(HR_Data[[#This Row],[JobSatisfaction]]=1,"Low",IF(HR_Data[[#This Row],[JobSatisfaction]]=2,"Medium",IF(HR_Data[[#This Row],[JobSatisfaction]]=3,"High","Very High")))</f>
        <v>High</v>
      </c>
      <c r="AP926" s="1" t="str">
        <f>IF(HR_Data[[#This Row],[WorkLifeBalance]]=1,"Bad",IF(HR_Data[[#This Row],[WorkLifeBalance]]=2,"Good",IF(HR_Data[[#This Row],[WorkLifeBalance]]=3,"Better","Best")))</f>
        <v>Better</v>
      </c>
    </row>
    <row r="927" spans="1:42" x14ac:dyDescent="0.3">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c r="AJ927">
        <f>IF(HR_Data[[#This Row],[Attrition]]="Yes",1,0)</f>
        <v>0</v>
      </c>
      <c r="AK927">
        <f>IF(HR_Data[[#This Row],[Attrition]]="No",1,0)</f>
        <v>1</v>
      </c>
      <c r="AL927" t="str">
        <f>IF(HR_Data[[#This Row],[Age]]&lt;25,"Under 25",IF(HR_Data[[#This Row],[Age]]&lt;=34,"25-34",IF(HR_Data[[#This Row],[Age]]&lt;=44,"35-44",IF(HR_Data[[#This Row],[Age]]&lt;=54,"45-54","55+"))))</f>
        <v>35-44</v>
      </c>
      <c r="AM927" s="1" t="str">
        <f>IF(HR_Data[[#This Row],[MonthlyIncome]]&lt;3000,"Low Salary",IF(HR_Data[[#This Row],[MonthlyIncome]]&lt;=7000,"Medium Salary","High Salary"))</f>
        <v>Low Salary</v>
      </c>
      <c r="AN927" s="1" t="str">
        <f>IF(HR_Data[[#This Row],[YearsAtCompany]]&lt;2,"0-1 Years",IF(HR_Data[[#This Row],[YearsAtCompany]]&lt;=5,"2-5 Years",IF(HR_Data[[#This Row],[YearsAtCompany]]&lt;=10,"6-10 Years","10+ Years")))</f>
        <v>0-1 Years</v>
      </c>
      <c r="AO927" s="1" t="str">
        <f>IF(HR_Data[[#This Row],[JobSatisfaction]]=1,"Low",IF(HR_Data[[#This Row],[JobSatisfaction]]=2,"Medium",IF(HR_Data[[#This Row],[JobSatisfaction]]=3,"High","Very High")))</f>
        <v>Medium</v>
      </c>
      <c r="AP927" s="1" t="str">
        <f>IF(HR_Data[[#This Row],[WorkLifeBalance]]=1,"Bad",IF(HR_Data[[#This Row],[WorkLifeBalance]]=2,"Good",IF(HR_Data[[#This Row],[WorkLifeBalance]]=3,"Better","Best")))</f>
        <v>Better</v>
      </c>
    </row>
    <row r="928" spans="1:42" x14ac:dyDescent="0.3">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c r="AJ928">
        <f>IF(HR_Data[[#This Row],[Attrition]]="Yes",1,0)</f>
        <v>0</v>
      </c>
      <c r="AK928">
        <f>IF(HR_Data[[#This Row],[Attrition]]="No",1,0)</f>
        <v>1</v>
      </c>
      <c r="AL928" t="str">
        <f>IF(HR_Data[[#This Row],[Age]]&lt;25,"Under 25",IF(HR_Data[[#This Row],[Age]]&lt;=34,"25-34",IF(HR_Data[[#This Row],[Age]]&lt;=44,"35-44",IF(HR_Data[[#This Row],[Age]]&lt;=54,"45-54","55+"))))</f>
        <v>35-44</v>
      </c>
      <c r="AM928" s="1" t="str">
        <f>IF(HR_Data[[#This Row],[MonthlyIncome]]&lt;3000,"Low Salary",IF(HR_Data[[#This Row],[MonthlyIncome]]&lt;=7000,"Medium Salary","High Salary"))</f>
        <v>High Salary</v>
      </c>
      <c r="AN928" s="1" t="str">
        <f>IF(HR_Data[[#This Row],[YearsAtCompany]]&lt;2,"0-1 Years",IF(HR_Data[[#This Row],[YearsAtCompany]]&lt;=5,"2-5 Years",IF(HR_Data[[#This Row],[YearsAtCompany]]&lt;=10,"6-10 Years","10+ Years")))</f>
        <v>10+ Years</v>
      </c>
      <c r="AO928" s="1" t="str">
        <f>IF(HR_Data[[#This Row],[JobSatisfaction]]=1,"Low",IF(HR_Data[[#This Row],[JobSatisfaction]]=2,"Medium",IF(HR_Data[[#This Row],[JobSatisfaction]]=3,"High","Very High")))</f>
        <v>Very High</v>
      </c>
      <c r="AP928" s="1" t="str">
        <f>IF(HR_Data[[#This Row],[WorkLifeBalance]]=1,"Bad",IF(HR_Data[[#This Row],[WorkLifeBalance]]=2,"Good",IF(HR_Data[[#This Row],[WorkLifeBalance]]=3,"Better","Best")))</f>
        <v>Best</v>
      </c>
    </row>
    <row r="929" spans="1:42" x14ac:dyDescent="0.3">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c r="AJ929">
        <f>IF(HR_Data[[#This Row],[Attrition]]="Yes",1,0)</f>
        <v>0</v>
      </c>
      <c r="AK929">
        <f>IF(HR_Data[[#This Row],[Attrition]]="No",1,0)</f>
        <v>1</v>
      </c>
      <c r="AL929" t="str">
        <f>IF(HR_Data[[#This Row],[Age]]&lt;25,"Under 25",IF(HR_Data[[#This Row],[Age]]&lt;=34,"25-34",IF(HR_Data[[#This Row],[Age]]&lt;=44,"35-44",IF(HR_Data[[#This Row],[Age]]&lt;=54,"45-54","55+"))))</f>
        <v>35-44</v>
      </c>
      <c r="AM929" s="1" t="str">
        <f>IF(HR_Data[[#This Row],[MonthlyIncome]]&lt;3000,"Low Salary",IF(HR_Data[[#This Row],[MonthlyIncome]]&lt;=7000,"Medium Salary","High Salary"))</f>
        <v>Medium Salary</v>
      </c>
      <c r="AN929" s="1" t="str">
        <f>IF(HR_Data[[#This Row],[YearsAtCompany]]&lt;2,"0-1 Years",IF(HR_Data[[#This Row],[YearsAtCompany]]&lt;=5,"2-5 Years",IF(HR_Data[[#This Row],[YearsAtCompany]]&lt;=10,"6-10 Years","10+ Years")))</f>
        <v>10+ Years</v>
      </c>
      <c r="AO929" s="1" t="str">
        <f>IF(HR_Data[[#This Row],[JobSatisfaction]]=1,"Low",IF(HR_Data[[#This Row],[JobSatisfaction]]=2,"Medium",IF(HR_Data[[#This Row],[JobSatisfaction]]=3,"High","Very High")))</f>
        <v>Medium</v>
      </c>
      <c r="AP929" s="1" t="str">
        <f>IF(HR_Data[[#This Row],[WorkLifeBalance]]=1,"Bad",IF(HR_Data[[#This Row],[WorkLifeBalance]]=2,"Good",IF(HR_Data[[#This Row],[WorkLifeBalance]]=3,"Better","Best")))</f>
        <v>Better</v>
      </c>
    </row>
    <row r="930" spans="1:42" x14ac:dyDescent="0.3">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c r="AJ930">
        <f>IF(HR_Data[[#This Row],[Attrition]]="Yes",1,0)</f>
        <v>1</v>
      </c>
      <c r="AK930">
        <f>IF(HR_Data[[#This Row],[Attrition]]="No",1,0)</f>
        <v>0</v>
      </c>
      <c r="AL930" t="str">
        <f>IF(HR_Data[[#This Row],[Age]]&lt;25,"Under 25",IF(HR_Data[[#This Row],[Age]]&lt;=34,"25-34",IF(HR_Data[[#This Row],[Age]]&lt;=44,"35-44",IF(HR_Data[[#This Row],[Age]]&lt;=54,"45-54","55+"))))</f>
        <v>35-44</v>
      </c>
      <c r="AM930" s="1" t="str">
        <f>IF(HR_Data[[#This Row],[MonthlyIncome]]&lt;3000,"Low Salary",IF(HR_Data[[#This Row],[MonthlyIncome]]&lt;=7000,"Medium Salary","High Salary"))</f>
        <v>High Salary</v>
      </c>
      <c r="AN930" s="1" t="str">
        <f>IF(HR_Data[[#This Row],[YearsAtCompany]]&lt;2,"0-1 Years",IF(HR_Data[[#This Row],[YearsAtCompany]]&lt;=5,"2-5 Years",IF(HR_Data[[#This Row],[YearsAtCompany]]&lt;=10,"6-10 Years","10+ Years")))</f>
        <v>6-10 Years</v>
      </c>
      <c r="AO930" s="1" t="str">
        <f>IF(HR_Data[[#This Row],[JobSatisfaction]]=1,"Low",IF(HR_Data[[#This Row],[JobSatisfaction]]=2,"Medium",IF(HR_Data[[#This Row],[JobSatisfaction]]=3,"High","Very High")))</f>
        <v>Very High</v>
      </c>
      <c r="AP930" s="1" t="str">
        <f>IF(HR_Data[[#This Row],[WorkLifeBalance]]=1,"Bad",IF(HR_Data[[#This Row],[WorkLifeBalance]]=2,"Good",IF(HR_Data[[#This Row],[WorkLifeBalance]]=3,"Better","Best")))</f>
        <v>Better</v>
      </c>
    </row>
    <row r="931" spans="1:42" x14ac:dyDescent="0.3">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c r="AJ931">
        <f>IF(HR_Data[[#This Row],[Attrition]]="Yes",1,0)</f>
        <v>0</v>
      </c>
      <c r="AK931">
        <f>IF(HR_Data[[#This Row],[Attrition]]="No",1,0)</f>
        <v>1</v>
      </c>
      <c r="AL931" t="str">
        <f>IF(HR_Data[[#This Row],[Age]]&lt;25,"Under 25",IF(HR_Data[[#This Row],[Age]]&lt;=34,"25-34",IF(HR_Data[[#This Row],[Age]]&lt;=44,"35-44",IF(HR_Data[[#This Row],[Age]]&lt;=54,"45-54","55+"))))</f>
        <v>25-34</v>
      </c>
      <c r="AM931" s="1" t="str">
        <f>IF(HR_Data[[#This Row],[MonthlyIncome]]&lt;3000,"Low Salary",IF(HR_Data[[#This Row],[MonthlyIncome]]&lt;=7000,"Medium Salary","High Salary"))</f>
        <v>Medium Salary</v>
      </c>
      <c r="AN931" s="1" t="str">
        <f>IF(HR_Data[[#This Row],[YearsAtCompany]]&lt;2,"0-1 Years",IF(HR_Data[[#This Row],[YearsAtCompany]]&lt;=5,"2-5 Years",IF(HR_Data[[#This Row],[YearsAtCompany]]&lt;=10,"6-10 Years","10+ Years")))</f>
        <v>2-5 Years</v>
      </c>
      <c r="AO931" s="1" t="str">
        <f>IF(HR_Data[[#This Row],[JobSatisfaction]]=1,"Low",IF(HR_Data[[#This Row],[JobSatisfaction]]=2,"Medium",IF(HR_Data[[#This Row],[JobSatisfaction]]=3,"High","Very High")))</f>
        <v>Very High</v>
      </c>
      <c r="AP931" s="1" t="str">
        <f>IF(HR_Data[[#This Row],[WorkLifeBalance]]=1,"Bad",IF(HR_Data[[#This Row],[WorkLifeBalance]]=2,"Good",IF(HR_Data[[#This Row],[WorkLifeBalance]]=3,"Better","Best")))</f>
        <v>Better</v>
      </c>
    </row>
    <row r="932" spans="1:42" x14ac:dyDescent="0.3">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c r="AJ932">
        <f>IF(HR_Data[[#This Row],[Attrition]]="Yes",1,0)</f>
        <v>0</v>
      </c>
      <c r="AK932">
        <f>IF(HR_Data[[#This Row],[Attrition]]="No",1,0)</f>
        <v>1</v>
      </c>
      <c r="AL932" t="str">
        <f>IF(HR_Data[[#This Row],[Age]]&lt;25,"Under 25",IF(HR_Data[[#This Row],[Age]]&lt;=34,"25-34",IF(HR_Data[[#This Row],[Age]]&lt;=44,"35-44",IF(HR_Data[[#This Row],[Age]]&lt;=54,"45-54","55+"))))</f>
        <v>45-54</v>
      </c>
      <c r="AM932" s="1" t="str">
        <f>IF(HR_Data[[#This Row],[MonthlyIncome]]&lt;3000,"Low Salary",IF(HR_Data[[#This Row],[MonthlyIncome]]&lt;=7000,"Medium Salary","High Salary"))</f>
        <v>Low Salary</v>
      </c>
      <c r="AN932" s="1" t="str">
        <f>IF(HR_Data[[#This Row],[YearsAtCompany]]&lt;2,"0-1 Years",IF(HR_Data[[#This Row],[YearsAtCompany]]&lt;=5,"2-5 Years",IF(HR_Data[[#This Row],[YearsAtCompany]]&lt;=10,"6-10 Years","10+ Years")))</f>
        <v>6-10 Years</v>
      </c>
      <c r="AO932" s="1" t="str">
        <f>IF(HR_Data[[#This Row],[JobSatisfaction]]=1,"Low",IF(HR_Data[[#This Row],[JobSatisfaction]]=2,"Medium",IF(HR_Data[[#This Row],[JobSatisfaction]]=3,"High","Very High")))</f>
        <v>High</v>
      </c>
      <c r="AP932" s="1" t="str">
        <f>IF(HR_Data[[#This Row],[WorkLifeBalance]]=1,"Bad",IF(HR_Data[[#This Row],[WorkLifeBalance]]=2,"Good",IF(HR_Data[[#This Row],[WorkLifeBalance]]=3,"Better","Best")))</f>
        <v>Good</v>
      </c>
    </row>
    <row r="933" spans="1:42" x14ac:dyDescent="0.3">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c r="AJ933">
        <f>IF(HR_Data[[#This Row],[Attrition]]="Yes",1,0)</f>
        <v>0</v>
      </c>
      <c r="AK933">
        <f>IF(HR_Data[[#This Row],[Attrition]]="No",1,0)</f>
        <v>1</v>
      </c>
      <c r="AL933" t="str">
        <f>IF(HR_Data[[#This Row],[Age]]&lt;25,"Under 25",IF(HR_Data[[#This Row],[Age]]&lt;=34,"25-34",IF(HR_Data[[#This Row],[Age]]&lt;=44,"35-44",IF(HR_Data[[#This Row],[Age]]&lt;=54,"45-54","55+"))))</f>
        <v>25-34</v>
      </c>
      <c r="AM933" s="1" t="str">
        <f>IF(HR_Data[[#This Row],[MonthlyIncome]]&lt;3000,"Low Salary",IF(HR_Data[[#This Row],[MonthlyIncome]]&lt;=7000,"Medium Salary","High Salary"))</f>
        <v>Medium Salary</v>
      </c>
      <c r="AN933" s="1" t="str">
        <f>IF(HR_Data[[#This Row],[YearsAtCompany]]&lt;2,"0-1 Years",IF(HR_Data[[#This Row],[YearsAtCompany]]&lt;=5,"2-5 Years",IF(HR_Data[[#This Row],[YearsAtCompany]]&lt;=10,"6-10 Years","10+ Years")))</f>
        <v>6-10 Years</v>
      </c>
      <c r="AO933" s="1" t="str">
        <f>IF(HR_Data[[#This Row],[JobSatisfaction]]=1,"Low",IF(HR_Data[[#This Row],[JobSatisfaction]]=2,"Medium",IF(HR_Data[[#This Row],[JobSatisfaction]]=3,"High","Very High")))</f>
        <v>High</v>
      </c>
      <c r="AP933" s="1" t="str">
        <f>IF(HR_Data[[#This Row],[WorkLifeBalance]]=1,"Bad",IF(HR_Data[[#This Row],[WorkLifeBalance]]=2,"Good",IF(HR_Data[[#This Row],[WorkLifeBalance]]=3,"Better","Best")))</f>
        <v>Better</v>
      </c>
    </row>
    <row r="934" spans="1:42" x14ac:dyDescent="0.3">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c r="AJ934">
        <f>IF(HR_Data[[#This Row],[Attrition]]="Yes",1,0)</f>
        <v>1</v>
      </c>
      <c r="AK934">
        <f>IF(HR_Data[[#This Row],[Attrition]]="No",1,0)</f>
        <v>0</v>
      </c>
      <c r="AL934" t="str">
        <f>IF(HR_Data[[#This Row],[Age]]&lt;25,"Under 25",IF(HR_Data[[#This Row],[Age]]&lt;=34,"25-34",IF(HR_Data[[#This Row],[Age]]&lt;=44,"35-44",IF(HR_Data[[#This Row],[Age]]&lt;=54,"45-54","55+"))))</f>
        <v>25-34</v>
      </c>
      <c r="AM934" s="1" t="str">
        <f>IF(HR_Data[[#This Row],[MonthlyIncome]]&lt;3000,"Low Salary",IF(HR_Data[[#This Row],[MonthlyIncome]]&lt;=7000,"Medium Salary","High Salary"))</f>
        <v>Medium Salary</v>
      </c>
      <c r="AN934" s="1" t="str">
        <f>IF(HR_Data[[#This Row],[YearsAtCompany]]&lt;2,"0-1 Years",IF(HR_Data[[#This Row],[YearsAtCompany]]&lt;=5,"2-5 Years",IF(HR_Data[[#This Row],[YearsAtCompany]]&lt;=10,"6-10 Years","10+ Years")))</f>
        <v>6-10 Years</v>
      </c>
      <c r="AO934" s="1" t="str">
        <f>IF(HR_Data[[#This Row],[JobSatisfaction]]=1,"Low",IF(HR_Data[[#This Row],[JobSatisfaction]]=2,"Medium",IF(HR_Data[[#This Row],[JobSatisfaction]]=3,"High","Very High")))</f>
        <v>High</v>
      </c>
      <c r="AP934" s="1" t="str">
        <f>IF(HR_Data[[#This Row],[WorkLifeBalance]]=1,"Bad",IF(HR_Data[[#This Row],[WorkLifeBalance]]=2,"Good",IF(HR_Data[[#This Row],[WorkLifeBalance]]=3,"Better","Best")))</f>
        <v>Better</v>
      </c>
    </row>
    <row r="935" spans="1:42" x14ac:dyDescent="0.3">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c r="AJ935">
        <f>IF(HR_Data[[#This Row],[Attrition]]="Yes",1,0)</f>
        <v>0</v>
      </c>
      <c r="AK935">
        <f>IF(HR_Data[[#This Row],[Attrition]]="No",1,0)</f>
        <v>1</v>
      </c>
      <c r="AL935" t="str">
        <f>IF(HR_Data[[#This Row],[Age]]&lt;25,"Under 25",IF(HR_Data[[#This Row],[Age]]&lt;=34,"25-34",IF(HR_Data[[#This Row],[Age]]&lt;=44,"35-44",IF(HR_Data[[#This Row],[Age]]&lt;=54,"45-54","55+"))))</f>
        <v>25-34</v>
      </c>
      <c r="AM935" s="1" t="str">
        <f>IF(HR_Data[[#This Row],[MonthlyIncome]]&lt;3000,"Low Salary",IF(HR_Data[[#This Row],[MonthlyIncome]]&lt;=7000,"Medium Salary","High Salary"))</f>
        <v>Low Salary</v>
      </c>
      <c r="AN935" s="1" t="str">
        <f>IF(HR_Data[[#This Row],[YearsAtCompany]]&lt;2,"0-1 Years",IF(HR_Data[[#This Row],[YearsAtCompany]]&lt;=5,"2-5 Years",IF(HR_Data[[#This Row],[YearsAtCompany]]&lt;=10,"6-10 Years","10+ Years")))</f>
        <v>2-5 Years</v>
      </c>
      <c r="AO935" s="1" t="str">
        <f>IF(HR_Data[[#This Row],[JobSatisfaction]]=1,"Low",IF(HR_Data[[#This Row],[JobSatisfaction]]=2,"Medium",IF(HR_Data[[#This Row],[JobSatisfaction]]=3,"High","Very High")))</f>
        <v>Low</v>
      </c>
      <c r="AP935" s="1" t="str">
        <f>IF(HR_Data[[#This Row],[WorkLifeBalance]]=1,"Bad",IF(HR_Data[[#This Row],[WorkLifeBalance]]=2,"Good",IF(HR_Data[[#This Row],[WorkLifeBalance]]=3,"Better","Best")))</f>
        <v>Good</v>
      </c>
    </row>
    <row r="936" spans="1:42" x14ac:dyDescent="0.3">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c r="AJ936">
        <f>IF(HR_Data[[#This Row],[Attrition]]="Yes",1,0)</f>
        <v>0</v>
      </c>
      <c r="AK936">
        <f>IF(HR_Data[[#This Row],[Attrition]]="No",1,0)</f>
        <v>1</v>
      </c>
      <c r="AL936" t="str">
        <f>IF(HR_Data[[#This Row],[Age]]&lt;25,"Under 25",IF(HR_Data[[#This Row],[Age]]&lt;=34,"25-34",IF(HR_Data[[#This Row],[Age]]&lt;=44,"35-44",IF(HR_Data[[#This Row],[Age]]&lt;=54,"45-54","55+"))))</f>
        <v>25-34</v>
      </c>
      <c r="AM936" s="1" t="str">
        <f>IF(HR_Data[[#This Row],[MonthlyIncome]]&lt;3000,"Low Salary",IF(HR_Data[[#This Row],[MonthlyIncome]]&lt;=7000,"Medium Salary","High Salary"))</f>
        <v>Low Salary</v>
      </c>
      <c r="AN936" s="1" t="str">
        <f>IF(HR_Data[[#This Row],[YearsAtCompany]]&lt;2,"0-1 Years",IF(HR_Data[[#This Row],[YearsAtCompany]]&lt;=5,"2-5 Years",IF(HR_Data[[#This Row],[YearsAtCompany]]&lt;=10,"6-10 Years","10+ Years")))</f>
        <v>2-5 Years</v>
      </c>
      <c r="AO936" s="1" t="str">
        <f>IF(HR_Data[[#This Row],[JobSatisfaction]]=1,"Low",IF(HR_Data[[#This Row],[JobSatisfaction]]=2,"Medium",IF(HR_Data[[#This Row],[JobSatisfaction]]=3,"High","Very High")))</f>
        <v>Medium</v>
      </c>
      <c r="AP936" s="1" t="str">
        <f>IF(HR_Data[[#This Row],[WorkLifeBalance]]=1,"Bad",IF(HR_Data[[#This Row],[WorkLifeBalance]]=2,"Good",IF(HR_Data[[#This Row],[WorkLifeBalance]]=3,"Better","Best")))</f>
        <v>Good</v>
      </c>
    </row>
    <row r="937" spans="1:42" x14ac:dyDescent="0.3">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c r="AJ937">
        <f>IF(HR_Data[[#This Row],[Attrition]]="Yes",1,0)</f>
        <v>0</v>
      </c>
      <c r="AK937">
        <f>IF(HR_Data[[#This Row],[Attrition]]="No",1,0)</f>
        <v>1</v>
      </c>
      <c r="AL937" t="str">
        <f>IF(HR_Data[[#This Row],[Age]]&lt;25,"Under 25",IF(HR_Data[[#This Row],[Age]]&lt;=34,"25-34",IF(HR_Data[[#This Row],[Age]]&lt;=44,"35-44",IF(HR_Data[[#This Row],[Age]]&lt;=54,"45-54","55+"))))</f>
        <v>25-34</v>
      </c>
      <c r="AM937" s="1" t="str">
        <f>IF(HR_Data[[#This Row],[MonthlyIncome]]&lt;3000,"Low Salary",IF(HR_Data[[#This Row],[MonthlyIncome]]&lt;=7000,"Medium Salary","High Salary"))</f>
        <v>Medium Salary</v>
      </c>
      <c r="AN937" s="1" t="str">
        <f>IF(HR_Data[[#This Row],[YearsAtCompany]]&lt;2,"0-1 Years",IF(HR_Data[[#This Row],[YearsAtCompany]]&lt;=5,"2-5 Years",IF(HR_Data[[#This Row],[YearsAtCompany]]&lt;=10,"6-10 Years","10+ Years")))</f>
        <v>6-10 Years</v>
      </c>
      <c r="AO937" s="1" t="str">
        <f>IF(HR_Data[[#This Row],[JobSatisfaction]]=1,"Low",IF(HR_Data[[#This Row],[JobSatisfaction]]=2,"Medium",IF(HR_Data[[#This Row],[JobSatisfaction]]=3,"High","Very High")))</f>
        <v>Very High</v>
      </c>
      <c r="AP937" s="1" t="str">
        <f>IF(HR_Data[[#This Row],[WorkLifeBalance]]=1,"Bad",IF(HR_Data[[#This Row],[WorkLifeBalance]]=2,"Good",IF(HR_Data[[#This Row],[WorkLifeBalance]]=3,"Better","Best")))</f>
        <v>Best</v>
      </c>
    </row>
    <row r="938" spans="1:42" x14ac:dyDescent="0.3">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c r="AJ938">
        <f>IF(HR_Data[[#This Row],[Attrition]]="Yes",1,0)</f>
        <v>0</v>
      </c>
      <c r="AK938">
        <f>IF(HR_Data[[#This Row],[Attrition]]="No",1,0)</f>
        <v>1</v>
      </c>
      <c r="AL938" t="str">
        <f>IF(HR_Data[[#This Row],[Age]]&lt;25,"Under 25",IF(HR_Data[[#This Row],[Age]]&lt;=34,"25-34",IF(HR_Data[[#This Row],[Age]]&lt;=44,"35-44",IF(HR_Data[[#This Row],[Age]]&lt;=54,"45-54","55+"))))</f>
        <v>45-54</v>
      </c>
      <c r="AM938" s="1" t="str">
        <f>IF(HR_Data[[#This Row],[MonthlyIncome]]&lt;3000,"Low Salary",IF(HR_Data[[#This Row],[MonthlyIncome]]&lt;=7000,"Medium Salary","High Salary"))</f>
        <v>High Salary</v>
      </c>
      <c r="AN938" s="1" t="str">
        <f>IF(HR_Data[[#This Row],[YearsAtCompany]]&lt;2,"0-1 Years",IF(HR_Data[[#This Row],[YearsAtCompany]]&lt;=5,"2-5 Years",IF(HR_Data[[#This Row],[YearsAtCompany]]&lt;=10,"6-10 Years","10+ Years")))</f>
        <v>0-1 Years</v>
      </c>
      <c r="AO938" s="1" t="str">
        <f>IF(HR_Data[[#This Row],[JobSatisfaction]]=1,"Low",IF(HR_Data[[#This Row],[JobSatisfaction]]=2,"Medium",IF(HR_Data[[#This Row],[JobSatisfaction]]=3,"High","Very High")))</f>
        <v>Medium</v>
      </c>
      <c r="AP938" s="1" t="str">
        <f>IF(HR_Data[[#This Row],[WorkLifeBalance]]=1,"Bad",IF(HR_Data[[#This Row],[WorkLifeBalance]]=2,"Good",IF(HR_Data[[#This Row],[WorkLifeBalance]]=3,"Better","Best")))</f>
        <v>Better</v>
      </c>
    </row>
    <row r="939" spans="1:42" x14ac:dyDescent="0.3">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c r="AJ939">
        <f>IF(HR_Data[[#This Row],[Attrition]]="Yes",1,0)</f>
        <v>0</v>
      </c>
      <c r="AK939">
        <f>IF(HR_Data[[#This Row],[Attrition]]="No",1,0)</f>
        <v>1</v>
      </c>
      <c r="AL939" t="str">
        <f>IF(HR_Data[[#This Row],[Age]]&lt;25,"Under 25",IF(HR_Data[[#This Row],[Age]]&lt;=34,"25-34",IF(HR_Data[[#This Row],[Age]]&lt;=44,"35-44",IF(HR_Data[[#This Row],[Age]]&lt;=54,"45-54","55+"))))</f>
        <v>35-44</v>
      </c>
      <c r="AM939" s="1" t="str">
        <f>IF(HR_Data[[#This Row],[MonthlyIncome]]&lt;3000,"Low Salary",IF(HR_Data[[#This Row],[MonthlyIncome]]&lt;=7000,"Medium Salary","High Salary"))</f>
        <v>High Salary</v>
      </c>
      <c r="AN939" s="1" t="str">
        <f>IF(HR_Data[[#This Row],[YearsAtCompany]]&lt;2,"0-1 Years",IF(HR_Data[[#This Row],[YearsAtCompany]]&lt;=5,"2-5 Years",IF(HR_Data[[#This Row],[YearsAtCompany]]&lt;=10,"6-10 Years","10+ Years")))</f>
        <v>10+ Years</v>
      </c>
      <c r="AO939" s="1" t="str">
        <f>IF(HR_Data[[#This Row],[JobSatisfaction]]=1,"Low",IF(HR_Data[[#This Row],[JobSatisfaction]]=2,"Medium",IF(HR_Data[[#This Row],[JobSatisfaction]]=3,"High","Very High")))</f>
        <v>Medium</v>
      </c>
      <c r="AP939" s="1" t="str">
        <f>IF(HR_Data[[#This Row],[WorkLifeBalance]]=1,"Bad",IF(HR_Data[[#This Row],[WorkLifeBalance]]=2,"Good",IF(HR_Data[[#This Row],[WorkLifeBalance]]=3,"Better","Best")))</f>
        <v>Better</v>
      </c>
    </row>
    <row r="940" spans="1:42" x14ac:dyDescent="0.3">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c r="AJ940">
        <f>IF(HR_Data[[#This Row],[Attrition]]="Yes",1,0)</f>
        <v>0</v>
      </c>
      <c r="AK940">
        <f>IF(HR_Data[[#This Row],[Attrition]]="No",1,0)</f>
        <v>1</v>
      </c>
      <c r="AL940" t="str">
        <f>IF(HR_Data[[#This Row],[Age]]&lt;25,"Under 25",IF(HR_Data[[#This Row],[Age]]&lt;=34,"25-34",IF(HR_Data[[#This Row],[Age]]&lt;=44,"35-44",IF(HR_Data[[#This Row],[Age]]&lt;=54,"45-54","55+"))))</f>
        <v>55+</v>
      </c>
      <c r="AM940" s="1" t="str">
        <f>IF(HR_Data[[#This Row],[MonthlyIncome]]&lt;3000,"Low Salary",IF(HR_Data[[#This Row],[MonthlyIncome]]&lt;=7000,"Medium Salary","High Salary"))</f>
        <v>Low Salary</v>
      </c>
      <c r="AN940" s="1" t="str">
        <f>IF(HR_Data[[#This Row],[YearsAtCompany]]&lt;2,"0-1 Years",IF(HR_Data[[#This Row],[YearsAtCompany]]&lt;=5,"2-5 Years",IF(HR_Data[[#This Row],[YearsAtCompany]]&lt;=10,"6-10 Years","10+ Years")))</f>
        <v>2-5 Years</v>
      </c>
      <c r="AO940" s="1" t="str">
        <f>IF(HR_Data[[#This Row],[JobSatisfaction]]=1,"Low",IF(HR_Data[[#This Row],[JobSatisfaction]]=2,"Medium",IF(HR_Data[[#This Row],[JobSatisfaction]]=3,"High","Very High")))</f>
        <v>High</v>
      </c>
      <c r="AP940" s="1" t="str">
        <f>IF(HR_Data[[#This Row],[WorkLifeBalance]]=1,"Bad",IF(HR_Data[[#This Row],[WorkLifeBalance]]=2,"Good",IF(HR_Data[[#This Row],[WorkLifeBalance]]=3,"Better","Best")))</f>
        <v>Better</v>
      </c>
    </row>
    <row r="941" spans="1:42" x14ac:dyDescent="0.3">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c r="AJ941">
        <f>IF(HR_Data[[#This Row],[Attrition]]="Yes",1,0)</f>
        <v>1</v>
      </c>
      <c r="AK941">
        <f>IF(HR_Data[[#This Row],[Attrition]]="No",1,0)</f>
        <v>0</v>
      </c>
      <c r="AL941" t="str">
        <f>IF(HR_Data[[#This Row],[Age]]&lt;25,"Under 25",IF(HR_Data[[#This Row],[Age]]&lt;=34,"25-34",IF(HR_Data[[#This Row],[Age]]&lt;=44,"35-44",IF(HR_Data[[#This Row],[Age]]&lt;=54,"45-54","55+"))))</f>
        <v>25-34</v>
      </c>
      <c r="AM941" s="1" t="str">
        <f>IF(HR_Data[[#This Row],[MonthlyIncome]]&lt;3000,"Low Salary",IF(HR_Data[[#This Row],[MonthlyIncome]]&lt;=7000,"Medium Salary","High Salary"))</f>
        <v>Medium Salary</v>
      </c>
      <c r="AN941" s="1" t="str">
        <f>IF(HR_Data[[#This Row],[YearsAtCompany]]&lt;2,"0-1 Years",IF(HR_Data[[#This Row],[YearsAtCompany]]&lt;=5,"2-5 Years",IF(HR_Data[[#This Row],[YearsAtCompany]]&lt;=10,"6-10 Years","10+ Years")))</f>
        <v>6-10 Years</v>
      </c>
      <c r="AO941" s="1" t="str">
        <f>IF(HR_Data[[#This Row],[JobSatisfaction]]=1,"Low",IF(HR_Data[[#This Row],[JobSatisfaction]]=2,"Medium",IF(HR_Data[[#This Row],[JobSatisfaction]]=3,"High","Very High")))</f>
        <v>High</v>
      </c>
      <c r="AP941" s="1" t="str">
        <f>IF(HR_Data[[#This Row],[WorkLifeBalance]]=1,"Bad",IF(HR_Data[[#This Row],[WorkLifeBalance]]=2,"Good",IF(HR_Data[[#This Row],[WorkLifeBalance]]=3,"Better","Best")))</f>
        <v>Better</v>
      </c>
    </row>
    <row r="942" spans="1:42" x14ac:dyDescent="0.3">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c r="AJ942">
        <f>IF(HR_Data[[#This Row],[Attrition]]="Yes",1,0)</f>
        <v>1</v>
      </c>
      <c r="AK942">
        <f>IF(HR_Data[[#This Row],[Attrition]]="No",1,0)</f>
        <v>0</v>
      </c>
      <c r="AL942" t="str">
        <f>IF(HR_Data[[#This Row],[Age]]&lt;25,"Under 25",IF(HR_Data[[#This Row],[Age]]&lt;=34,"25-34",IF(HR_Data[[#This Row],[Age]]&lt;=44,"35-44",IF(HR_Data[[#This Row],[Age]]&lt;=54,"45-54","55+"))))</f>
        <v>35-44</v>
      </c>
      <c r="AM942" s="1" t="str">
        <f>IF(HR_Data[[#This Row],[MonthlyIncome]]&lt;3000,"Low Salary",IF(HR_Data[[#This Row],[MonthlyIncome]]&lt;=7000,"Medium Salary","High Salary"))</f>
        <v>Medium Salary</v>
      </c>
      <c r="AN942" s="1" t="str">
        <f>IF(HR_Data[[#This Row],[YearsAtCompany]]&lt;2,"0-1 Years",IF(HR_Data[[#This Row],[YearsAtCompany]]&lt;=5,"2-5 Years",IF(HR_Data[[#This Row],[YearsAtCompany]]&lt;=10,"6-10 Years","10+ Years")))</f>
        <v>2-5 Years</v>
      </c>
      <c r="AO942" s="1" t="str">
        <f>IF(HR_Data[[#This Row],[JobSatisfaction]]=1,"Low",IF(HR_Data[[#This Row],[JobSatisfaction]]=2,"Medium",IF(HR_Data[[#This Row],[JobSatisfaction]]=3,"High","Very High")))</f>
        <v>Low</v>
      </c>
      <c r="AP942" s="1" t="str">
        <f>IF(HR_Data[[#This Row],[WorkLifeBalance]]=1,"Bad",IF(HR_Data[[#This Row],[WorkLifeBalance]]=2,"Good",IF(HR_Data[[#This Row],[WorkLifeBalance]]=3,"Better","Best")))</f>
        <v>Better</v>
      </c>
    </row>
    <row r="943" spans="1:42" x14ac:dyDescent="0.3">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c r="AJ943">
        <f>IF(HR_Data[[#This Row],[Attrition]]="Yes",1,0)</f>
        <v>0</v>
      </c>
      <c r="AK943">
        <f>IF(HR_Data[[#This Row],[Attrition]]="No",1,0)</f>
        <v>1</v>
      </c>
      <c r="AL943" t="str">
        <f>IF(HR_Data[[#This Row],[Age]]&lt;25,"Under 25",IF(HR_Data[[#This Row],[Age]]&lt;=34,"25-34",IF(HR_Data[[#This Row],[Age]]&lt;=44,"35-44",IF(HR_Data[[#This Row],[Age]]&lt;=54,"45-54","55+"))))</f>
        <v>25-34</v>
      </c>
      <c r="AM943" s="1" t="str">
        <f>IF(HR_Data[[#This Row],[MonthlyIncome]]&lt;3000,"Low Salary",IF(HR_Data[[#This Row],[MonthlyIncome]]&lt;=7000,"Medium Salary","High Salary"))</f>
        <v>Medium Salary</v>
      </c>
      <c r="AN943" s="1" t="str">
        <f>IF(HR_Data[[#This Row],[YearsAtCompany]]&lt;2,"0-1 Years",IF(HR_Data[[#This Row],[YearsAtCompany]]&lt;=5,"2-5 Years",IF(HR_Data[[#This Row],[YearsAtCompany]]&lt;=10,"6-10 Years","10+ Years")))</f>
        <v>6-10 Years</v>
      </c>
      <c r="AO943" s="1" t="str">
        <f>IF(HR_Data[[#This Row],[JobSatisfaction]]=1,"Low",IF(HR_Data[[#This Row],[JobSatisfaction]]=2,"Medium",IF(HR_Data[[#This Row],[JobSatisfaction]]=3,"High","Very High")))</f>
        <v>Very High</v>
      </c>
      <c r="AP943" s="1" t="str">
        <f>IF(HR_Data[[#This Row],[WorkLifeBalance]]=1,"Bad",IF(HR_Data[[#This Row],[WorkLifeBalance]]=2,"Good",IF(HR_Data[[#This Row],[WorkLifeBalance]]=3,"Better","Best")))</f>
        <v>Better</v>
      </c>
    </row>
    <row r="944" spans="1:42" x14ac:dyDescent="0.3">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c r="AJ944">
        <f>IF(HR_Data[[#This Row],[Attrition]]="Yes",1,0)</f>
        <v>0</v>
      </c>
      <c r="AK944">
        <f>IF(HR_Data[[#This Row],[Attrition]]="No",1,0)</f>
        <v>1</v>
      </c>
      <c r="AL944" t="str">
        <f>IF(HR_Data[[#This Row],[Age]]&lt;25,"Under 25",IF(HR_Data[[#This Row],[Age]]&lt;=34,"25-34",IF(HR_Data[[#This Row],[Age]]&lt;=44,"35-44",IF(HR_Data[[#This Row],[Age]]&lt;=54,"45-54","55+"))))</f>
        <v>35-44</v>
      </c>
      <c r="AM944" s="1" t="str">
        <f>IF(HR_Data[[#This Row],[MonthlyIncome]]&lt;3000,"Low Salary",IF(HR_Data[[#This Row],[MonthlyIncome]]&lt;=7000,"Medium Salary","High Salary"))</f>
        <v>High Salary</v>
      </c>
      <c r="AN944" s="1" t="str">
        <f>IF(HR_Data[[#This Row],[YearsAtCompany]]&lt;2,"0-1 Years",IF(HR_Data[[#This Row],[YearsAtCompany]]&lt;=5,"2-5 Years",IF(HR_Data[[#This Row],[YearsAtCompany]]&lt;=10,"6-10 Years","10+ Years")))</f>
        <v>6-10 Years</v>
      </c>
      <c r="AO944" s="1" t="str">
        <f>IF(HR_Data[[#This Row],[JobSatisfaction]]=1,"Low",IF(HR_Data[[#This Row],[JobSatisfaction]]=2,"Medium",IF(HR_Data[[#This Row],[JobSatisfaction]]=3,"High","Very High")))</f>
        <v>High</v>
      </c>
      <c r="AP944" s="1" t="str">
        <f>IF(HR_Data[[#This Row],[WorkLifeBalance]]=1,"Bad",IF(HR_Data[[#This Row],[WorkLifeBalance]]=2,"Good",IF(HR_Data[[#This Row],[WorkLifeBalance]]=3,"Better","Best")))</f>
        <v>Better</v>
      </c>
    </row>
    <row r="945" spans="1:42" x14ac:dyDescent="0.3">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c r="AJ945">
        <f>IF(HR_Data[[#This Row],[Attrition]]="Yes",1,0)</f>
        <v>0</v>
      </c>
      <c r="AK945">
        <f>IF(HR_Data[[#This Row],[Attrition]]="No",1,0)</f>
        <v>1</v>
      </c>
      <c r="AL945" t="str">
        <f>IF(HR_Data[[#This Row],[Age]]&lt;25,"Under 25",IF(HR_Data[[#This Row],[Age]]&lt;=34,"25-34",IF(HR_Data[[#This Row],[Age]]&lt;=44,"35-44",IF(HR_Data[[#This Row],[Age]]&lt;=54,"45-54","55+"))))</f>
        <v>45-54</v>
      </c>
      <c r="AM945" s="1" t="str">
        <f>IF(HR_Data[[#This Row],[MonthlyIncome]]&lt;3000,"Low Salary",IF(HR_Data[[#This Row],[MonthlyIncome]]&lt;=7000,"Medium Salary","High Salary"))</f>
        <v>Medium Salary</v>
      </c>
      <c r="AN945" s="1" t="str">
        <f>IF(HR_Data[[#This Row],[YearsAtCompany]]&lt;2,"0-1 Years",IF(HR_Data[[#This Row],[YearsAtCompany]]&lt;=5,"2-5 Years",IF(HR_Data[[#This Row],[YearsAtCompany]]&lt;=10,"6-10 Years","10+ Years")))</f>
        <v>6-10 Years</v>
      </c>
      <c r="AO945" s="1" t="str">
        <f>IF(HR_Data[[#This Row],[JobSatisfaction]]=1,"Low",IF(HR_Data[[#This Row],[JobSatisfaction]]=2,"Medium",IF(HR_Data[[#This Row],[JobSatisfaction]]=3,"High","Very High")))</f>
        <v>Low</v>
      </c>
      <c r="AP945" s="1" t="str">
        <f>IF(HR_Data[[#This Row],[WorkLifeBalance]]=1,"Bad",IF(HR_Data[[#This Row],[WorkLifeBalance]]=2,"Good",IF(HR_Data[[#This Row],[WorkLifeBalance]]=3,"Better","Best")))</f>
        <v>Best</v>
      </c>
    </row>
    <row r="946" spans="1:42" x14ac:dyDescent="0.3">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c r="AJ946">
        <f>IF(HR_Data[[#This Row],[Attrition]]="Yes",1,0)</f>
        <v>0</v>
      </c>
      <c r="AK946">
        <f>IF(HR_Data[[#This Row],[Attrition]]="No",1,0)</f>
        <v>1</v>
      </c>
      <c r="AL946" t="str">
        <f>IF(HR_Data[[#This Row],[Age]]&lt;25,"Under 25",IF(HR_Data[[#This Row],[Age]]&lt;=34,"25-34",IF(HR_Data[[#This Row],[Age]]&lt;=44,"35-44",IF(HR_Data[[#This Row],[Age]]&lt;=54,"45-54","55+"))))</f>
        <v>25-34</v>
      </c>
      <c r="AM946" s="1" t="str">
        <f>IF(HR_Data[[#This Row],[MonthlyIncome]]&lt;3000,"Low Salary",IF(HR_Data[[#This Row],[MonthlyIncome]]&lt;=7000,"Medium Salary","High Salary"))</f>
        <v>Medium Salary</v>
      </c>
      <c r="AN946" s="1" t="str">
        <f>IF(HR_Data[[#This Row],[YearsAtCompany]]&lt;2,"0-1 Years",IF(HR_Data[[#This Row],[YearsAtCompany]]&lt;=5,"2-5 Years",IF(HR_Data[[#This Row],[YearsAtCompany]]&lt;=10,"6-10 Years","10+ Years")))</f>
        <v>6-10 Years</v>
      </c>
      <c r="AO946" s="1" t="str">
        <f>IF(HR_Data[[#This Row],[JobSatisfaction]]=1,"Low",IF(HR_Data[[#This Row],[JobSatisfaction]]=2,"Medium",IF(HR_Data[[#This Row],[JobSatisfaction]]=3,"High","Very High")))</f>
        <v>Very High</v>
      </c>
      <c r="AP946" s="1" t="str">
        <f>IF(HR_Data[[#This Row],[WorkLifeBalance]]=1,"Bad",IF(HR_Data[[#This Row],[WorkLifeBalance]]=2,"Good",IF(HR_Data[[#This Row],[WorkLifeBalance]]=3,"Better","Best")))</f>
        <v>Better</v>
      </c>
    </row>
    <row r="947" spans="1:42" x14ac:dyDescent="0.3">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c r="AJ947">
        <f>IF(HR_Data[[#This Row],[Attrition]]="Yes",1,0)</f>
        <v>0</v>
      </c>
      <c r="AK947">
        <f>IF(HR_Data[[#This Row],[Attrition]]="No",1,0)</f>
        <v>1</v>
      </c>
      <c r="AL947" t="str">
        <f>IF(HR_Data[[#This Row],[Age]]&lt;25,"Under 25",IF(HR_Data[[#This Row],[Age]]&lt;=34,"25-34",IF(HR_Data[[#This Row],[Age]]&lt;=44,"35-44",IF(HR_Data[[#This Row],[Age]]&lt;=54,"45-54","55+"))))</f>
        <v>45-54</v>
      </c>
      <c r="AM947" s="1" t="str">
        <f>IF(HR_Data[[#This Row],[MonthlyIncome]]&lt;3000,"Low Salary",IF(HR_Data[[#This Row],[MonthlyIncome]]&lt;=7000,"Medium Salary","High Salary"))</f>
        <v>High Salary</v>
      </c>
      <c r="AN947" s="1" t="str">
        <f>IF(HR_Data[[#This Row],[YearsAtCompany]]&lt;2,"0-1 Years",IF(HR_Data[[#This Row],[YearsAtCompany]]&lt;=5,"2-5 Years",IF(HR_Data[[#This Row],[YearsAtCompany]]&lt;=10,"6-10 Years","10+ Years")))</f>
        <v>2-5 Years</v>
      </c>
      <c r="AO947" s="1" t="str">
        <f>IF(HR_Data[[#This Row],[JobSatisfaction]]=1,"Low",IF(HR_Data[[#This Row],[JobSatisfaction]]=2,"Medium",IF(HR_Data[[#This Row],[JobSatisfaction]]=3,"High","Very High")))</f>
        <v>Low</v>
      </c>
      <c r="AP947" s="1" t="str">
        <f>IF(HR_Data[[#This Row],[WorkLifeBalance]]=1,"Bad",IF(HR_Data[[#This Row],[WorkLifeBalance]]=2,"Good",IF(HR_Data[[#This Row],[WorkLifeBalance]]=3,"Better","Best")))</f>
        <v>Better</v>
      </c>
    </row>
    <row r="948" spans="1:42" x14ac:dyDescent="0.3">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c r="AJ948">
        <f>IF(HR_Data[[#This Row],[Attrition]]="Yes",1,0)</f>
        <v>1</v>
      </c>
      <c r="AK948">
        <f>IF(HR_Data[[#This Row],[Attrition]]="No",1,0)</f>
        <v>0</v>
      </c>
      <c r="AL948" t="str">
        <f>IF(HR_Data[[#This Row],[Age]]&lt;25,"Under 25",IF(HR_Data[[#This Row],[Age]]&lt;=34,"25-34",IF(HR_Data[[#This Row],[Age]]&lt;=44,"35-44",IF(HR_Data[[#This Row],[Age]]&lt;=54,"45-54","55+"))))</f>
        <v>35-44</v>
      </c>
      <c r="AM948" s="1" t="str">
        <f>IF(HR_Data[[#This Row],[MonthlyIncome]]&lt;3000,"Low Salary",IF(HR_Data[[#This Row],[MonthlyIncome]]&lt;=7000,"Medium Salary","High Salary"))</f>
        <v>High Salary</v>
      </c>
      <c r="AN948" s="1" t="str">
        <f>IF(HR_Data[[#This Row],[YearsAtCompany]]&lt;2,"0-1 Years",IF(HR_Data[[#This Row],[YearsAtCompany]]&lt;=5,"2-5 Years",IF(HR_Data[[#This Row],[YearsAtCompany]]&lt;=10,"6-10 Years","10+ Years")))</f>
        <v>2-5 Years</v>
      </c>
      <c r="AO948" s="1" t="str">
        <f>IF(HR_Data[[#This Row],[JobSatisfaction]]=1,"Low",IF(HR_Data[[#This Row],[JobSatisfaction]]=2,"Medium",IF(HR_Data[[#This Row],[JobSatisfaction]]=3,"High","Very High")))</f>
        <v>Medium</v>
      </c>
      <c r="AP948" s="1" t="str">
        <f>IF(HR_Data[[#This Row],[WorkLifeBalance]]=1,"Bad",IF(HR_Data[[#This Row],[WorkLifeBalance]]=2,"Good",IF(HR_Data[[#This Row],[WorkLifeBalance]]=3,"Better","Best")))</f>
        <v>Better</v>
      </c>
    </row>
    <row r="949" spans="1:42" x14ac:dyDescent="0.3">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c r="AJ949">
        <f>IF(HR_Data[[#This Row],[Attrition]]="Yes",1,0)</f>
        <v>1</v>
      </c>
      <c r="AK949">
        <f>IF(HR_Data[[#This Row],[Attrition]]="No",1,0)</f>
        <v>0</v>
      </c>
      <c r="AL949" t="str">
        <f>IF(HR_Data[[#This Row],[Age]]&lt;25,"Under 25",IF(HR_Data[[#This Row],[Age]]&lt;=34,"25-34",IF(HR_Data[[#This Row],[Age]]&lt;=44,"35-44",IF(HR_Data[[#This Row],[Age]]&lt;=54,"45-54","55+"))))</f>
        <v>45-54</v>
      </c>
      <c r="AM949" s="1" t="str">
        <f>IF(HR_Data[[#This Row],[MonthlyIncome]]&lt;3000,"Low Salary",IF(HR_Data[[#This Row],[MonthlyIncome]]&lt;=7000,"Medium Salary","High Salary"))</f>
        <v>High Salary</v>
      </c>
      <c r="AN949" s="1" t="str">
        <f>IF(HR_Data[[#This Row],[YearsAtCompany]]&lt;2,"0-1 Years",IF(HR_Data[[#This Row],[YearsAtCompany]]&lt;=5,"2-5 Years",IF(HR_Data[[#This Row],[YearsAtCompany]]&lt;=10,"6-10 Years","10+ Years")))</f>
        <v>6-10 Years</v>
      </c>
      <c r="AO949" s="1" t="str">
        <f>IF(HR_Data[[#This Row],[JobSatisfaction]]=1,"Low",IF(HR_Data[[#This Row],[JobSatisfaction]]=2,"Medium",IF(HR_Data[[#This Row],[JobSatisfaction]]=3,"High","Very High")))</f>
        <v>Medium</v>
      </c>
      <c r="AP949" s="1" t="str">
        <f>IF(HR_Data[[#This Row],[WorkLifeBalance]]=1,"Bad",IF(HR_Data[[#This Row],[WorkLifeBalance]]=2,"Good",IF(HR_Data[[#This Row],[WorkLifeBalance]]=3,"Better","Best")))</f>
        <v>Good</v>
      </c>
    </row>
    <row r="950" spans="1:42" x14ac:dyDescent="0.3">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c r="AJ950">
        <f>IF(HR_Data[[#This Row],[Attrition]]="Yes",1,0)</f>
        <v>0</v>
      </c>
      <c r="AK950">
        <f>IF(HR_Data[[#This Row],[Attrition]]="No",1,0)</f>
        <v>1</v>
      </c>
      <c r="AL950" t="str">
        <f>IF(HR_Data[[#This Row],[Age]]&lt;25,"Under 25",IF(HR_Data[[#This Row],[Age]]&lt;=34,"25-34",IF(HR_Data[[#This Row],[Age]]&lt;=44,"35-44",IF(HR_Data[[#This Row],[Age]]&lt;=54,"45-54","55+"))))</f>
        <v>25-34</v>
      </c>
      <c r="AM950" s="1" t="str">
        <f>IF(HR_Data[[#This Row],[MonthlyIncome]]&lt;3000,"Low Salary",IF(HR_Data[[#This Row],[MonthlyIncome]]&lt;=7000,"Medium Salary","High Salary"))</f>
        <v>High Salary</v>
      </c>
      <c r="AN950" s="1" t="str">
        <f>IF(HR_Data[[#This Row],[YearsAtCompany]]&lt;2,"0-1 Years",IF(HR_Data[[#This Row],[YearsAtCompany]]&lt;=5,"2-5 Years",IF(HR_Data[[#This Row],[YearsAtCompany]]&lt;=10,"6-10 Years","10+ Years")))</f>
        <v>6-10 Years</v>
      </c>
      <c r="AO950" s="1" t="str">
        <f>IF(HR_Data[[#This Row],[JobSatisfaction]]=1,"Low",IF(HR_Data[[#This Row],[JobSatisfaction]]=2,"Medium",IF(HR_Data[[#This Row],[JobSatisfaction]]=3,"High","Very High")))</f>
        <v>Low</v>
      </c>
      <c r="AP950" s="1" t="str">
        <f>IF(HR_Data[[#This Row],[WorkLifeBalance]]=1,"Bad",IF(HR_Data[[#This Row],[WorkLifeBalance]]=2,"Good",IF(HR_Data[[#This Row],[WorkLifeBalance]]=3,"Better","Best")))</f>
        <v>Better</v>
      </c>
    </row>
    <row r="951" spans="1:42" x14ac:dyDescent="0.3">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c r="AJ951">
        <f>IF(HR_Data[[#This Row],[Attrition]]="Yes",1,0)</f>
        <v>0</v>
      </c>
      <c r="AK951">
        <f>IF(HR_Data[[#This Row],[Attrition]]="No",1,0)</f>
        <v>1</v>
      </c>
      <c r="AL951" t="str">
        <f>IF(HR_Data[[#This Row],[Age]]&lt;25,"Under 25",IF(HR_Data[[#This Row],[Age]]&lt;=34,"25-34",IF(HR_Data[[#This Row],[Age]]&lt;=44,"35-44",IF(HR_Data[[#This Row],[Age]]&lt;=54,"45-54","55+"))))</f>
        <v>35-44</v>
      </c>
      <c r="AM951" s="1" t="str">
        <f>IF(HR_Data[[#This Row],[MonthlyIncome]]&lt;3000,"Low Salary",IF(HR_Data[[#This Row],[MonthlyIncome]]&lt;=7000,"Medium Salary","High Salary"))</f>
        <v>Medium Salary</v>
      </c>
      <c r="AN951" s="1" t="str">
        <f>IF(HR_Data[[#This Row],[YearsAtCompany]]&lt;2,"0-1 Years",IF(HR_Data[[#This Row],[YearsAtCompany]]&lt;=5,"2-5 Years",IF(HR_Data[[#This Row],[YearsAtCompany]]&lt;=10,"6-10 Years","10+ Years")))</f>
        <v>6-10 Years</v>
      </c>
      <c r="AO951" s="1" t="str">
        <f>IF(HR_Data[[#This Row],[JobSatisfaction]]=1,"Low",IF(HR_Data[[#This Row],[JobSatisfaction]]=2,"Medium",IF(HR_Data[[#This Row],[JobSatisfaction]]=3,"High","Very High")))</f>
        <v>High</v>
      </c>
      <c r="AP951" s="1" t="str">
        <f>IF(HR_Data[[#This Row],[WorkLifeBalance]]=1,"Bad",IF(HR_Data[[#This Row],[WorkLifeBalance]]=2,"Good",IF(HR_Data[[#This Row],[WorkLifeBalance]]=3,"Better","Best")))</f>
        <v>Better</v>
      </c>
    </row>
    <row r="952" spans="1:42" x14ac:dyDescent="0.3">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c r="AJ952">
        <f>IF(HR_Data[[#This Row],[Attrition]]="Yes",1,0)</f>
        <v>0</v>
      </c>
      <c r="AK952">
        <f>IF(HR_Data[[#This Row],[Attrition]]="No",1,0)</f>
        <v>1</v>
      </c>
      <c r="AL952" t="str">
        <f>IF(HR_Data[[#This Row],[Age]]&lt;25,"Under 25",IF(HR_Data[[#This Row],[Age]]&lt;=34,"25-34",IF(HR_Data[[#This Row],[Age]]&lt;=44,"35-44",IF(HR_Data[[#This Row],[Age]]&lt;=54,"45-54","55+"))))</f>
        <v>25-34</v>
      </c>
      <c r="AM952" s="1" t="str">
        <f>IF(HR_Data[[#This Row],[MonthlyIncome]]&lt;3000,"Low Salary",IF(HR_Data[[#This Row],[MonthlyIncome]]&lt;=7000,"Medium Salary","High Salary"))</f>
        <v>High Salary</v>
      </c>
      <c r="AN952" s="1" t="str">
        <f>IF(HR_Data[[#This Row],[YearsAtCompany]]&lt;2,"0-1 Years",IF(HR_Data[[#This Row],[YearsAtCompany]]&lt;=5,"2-5 Years",IF(HR_Data[[#This Row],[YearsAtCompany]]&lt;=10,"6-10 Years","10+ Years")))</f>
        <v>6-10 Years</v>
      </c>
      <c r="AO952" s="1" t="str">
        <f>IF(HR_Data[[#This Row],[JobSatisfaction]]=1,"Low",IF(HR_Data[[#This Row],[JobSatisfaction]]=2,"Medium",IF(HR_Data[[#This Row],[JobSatisfaction]]=3,"High","Very High")))</f>
        <v>High</v>
      </c>
      <c r="AP952" s="1" t="str">
        <f>IF(HR_Data[[#This Row],[WorkLifeBalance]]=1,"Bad",IF(HR_Data[[#This Row],[WorkLifeBalance]]=2,"Good",IF(HR_Data[[#This Row],[WorkLifeBalance]]=3,"Better","Best")))</f>
        <v>Good</v>
      </c>
    </row>
    <row r="953" spans="1:42" x14ac:dyDescent="0.3">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c r="AJ953">
        <f>IF(HR_Data[[#This Row],[Attrition]]="Yes",1,0)</f>
        <v>0</v>
      </c>
      <c r="AK953">
        <f>IF(HR_Data[[#This Row],[Attrition]]="No",1,0)</f>
        <v>1</v>
      </c>
      <c r="AL953" t="str">
        <f>IF(HR_Data[[#This Row],[Age]]&lt;25,"Under 25",IF(HR_Data[[#This Row],[Age]]&lt;=34,"25-34",IF(HR_Data[[#This Row],[Age]]&lt;=44,"35-44",IF(HR_Data[[#This Row],[Age]]&lt;=54,"45-54","55+"))))</f>
        <v>35-44</v>
      </c>
      <c r="AM953" s="1" t="str">
        <f>IF(HR_Data[[#This Row],[MonthlyIncome]]&lt;3000,"Low Salary",IF(HR_Data[[#This Row],[MonthlyIncome]]&lt;=7000,"Medium Salary","High Salary"))</f>
        <v>Medium Salary</v>
      </c>
      <c r="AN953" s="1" t="str">
        <f>IF(HR_Data[[#This Row],[YearsAtCompany]]&lt;2,"0-1 Years",IF(HR_Data[[#This Row],[YearsAtCompany]]&lt;=5,"2-5 Years",IF(HR_Data[[#This Row],[YearsAtCompany]]&lt;=10,"6-10 Years","10+ Years")))</f>
        <v>10+ Years</v>
      </c>
      <c r="AO953" s="1" t="str">
        <f>IF(HR_Data[[#This Row],[JobSatisfaction]]=1,"Low",IF(HR_Data[[#This Row],[JobSatisfaction]]=2,"Medium",IF(HR_Data[[#This Row],[JobSatisfaction]]=3,"High","Very High")))</f>
        <v>Medium</v>
      </c>
      <c r="AP953" s="1" t="str">
        <f>IF(HR_Data[[#This Row],[WorkLifeBalance]]=1,"Bad",IF(HR_Data[[#This Row],[WorkLifeBalance]]=2,"Good",IF(HR_Data[[#This Row],[WorkLifeBalance]]=3,"Better","Best")))</f>
        <v>Better</v>
      </c>
    </row>
    <row r="954" spans="1:42" x14ac:dyDescent="0.3">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c r="AJ954">
        <f>IF(HR_Data[[#This Row],[Attrition]]="Yes",1,0)</f>
        <v>1</v>
      </c>
      <c r="AK954">
        <f>IF(HR_Data[[#This Row],[Attrition]]="No",1,0)</f>
        <v>0</v>
      </c>
      <c r="AL954" t="str">
        <f>IF(HR_Data[[#This Row],[Age]]&lt;25,"Under 25",IF(HR_Data[[#This Row],[Age]]&lt;=34,"25-34",IF(HR_Data[[#This Row],[Age]]&lt;=44,"35-44",IF(HR_Data[[#This Row],[Age]]&lt;=54,"45-54","55+"))))</f>
        <v>25-34</v>
      </c>
      <c r="AM954" s="1" t="str">
        <f>IF(HR_Data[[#This Row],[MonthlyIncome]]&lt;3000,"Low Salary",IF(HR_Data[[#This Row],[MonthlyIncome]]&lt;=7000,"Medium Salary","High Salary"))</f>
        <v>Low Salary</v>
      </c>
      <c r="AN954" s="1" t="str">
        <f>IF(HR_Data[[#This Row],[YearsAtCompany]]&lt;2,"0-1 Years",IF(HR_Data[[#This Row],[YearsAtCompany]]&lt;=5,"2-5 Years",IF(HR_Data[[#This Row],[YearsAtCompany]]&lt;=10,"6-10 Years","10+ Years")))</f>
        <v>2-5 Years</v>
      </c>
      <c r="AO954" s="1" t="str">
        <f>IF(HR_Data[[#This Row],[JobSatisfaction]]=1,"Low",IF(HR_Data[[#This Row],[JobSatisfaction]]=2,"Medium",IF(HR_Data[[#This Row],[JobSatisfaction]]=3,"High","Very High")))</f>
        <v>Medium</v>
      </c>
      <c r="AP954" s="1" t="str">
        <f>IF(HR_Data[[#This Row],[WorkLifeBalance]]=1,"Bad",IF(HR_Data[[#This Row],[WorkLifeBalance]]=2,"Good",IF(HR_Data[[#This Row],[WorkLifeBalance]]=3,"Better","Best")))</f>
        <v>Best</v>
      </c>
    </row>
    <row r="955" spans="1:42" x14ac:dyDescent="0.3">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c r="AJ955">
        <f>IF(HR_Data[[#This Row],[Attrition]]="Yes",1,0)</f>
        <v>1</v>
      </c>
      <c r="AK955">
        <f>IF(HR_Data[[#This Row],[Attrition]]="No",1,0)</f>
        <v>0</v>
      </c>
      <c r="AL955" t="str">
        <f>IF(HR_Data[[#This Row],[Age]]&lt;25,"Under 25",IF(HR_Data[[#This Row],[Age]]&lt;=34,"25-34",IF(HR_Data[[#This Row],[Age]]&lt;=44,"35-44",IF(HR_Data[[#This Row],[Age]]&lt;=54,"45-54","55+"))))</f>
        <v>35-44</v>
      </c>
      <c r="AM955" s="1" t="str">
        <f>IF(HR_Data[[#This Row],[MonthlyIncome]]&lt;3000,"Low Salary",IF(HR_Data[[#This Row],[MonthlyIncome]]&lt;=7000,"Medium Salary","High Salary"))</f>
        <v>Low Salary</v>
      </c>
      <c r="AN955" s="1" t="str">
        <f>IF(HR_Data[[#This Row],[YearsAtCompany]]&lt;2,"0-1 Years",IF(HR_Data[[#This Row],[YearsAtCompany]]&lt;=5,"2-5 Years",IF(HR_Data[[#This Row],[YearsAtCompany]]&lt;=10,"6-10 Years","10+ Years")))</f>
        <v>2-5 Years</v>
      </c>
      <c r="AO955" s="1" t="str">
        <f>IF(HR_Data[[#This Row],[JobSatisfaction]]=1,"Low",IF(HR_Data[[#This Row],[JobSatisfaction]]=2,"Medium",IF(HR_Data[[#This Row],[JobSatisfaction]]=3,"High","Very High")))</f>
        <v>Low</v>
      </c>
      <c r="AP955" s="1" t="str">
        <f>IF(HR_Data[[#This Row],[WorkLifeBalance]]=1,"Bad",IF(HR_Data[[#This Row],[WorkLifeBalance]]=2,"Good",IF(HR_Data[[#This Row],[WorkLifeBalance]]=3,"Better","Best")))</f>
        <v>Best</v>
      </c>
    </row>
    <row r="956" spans="1:42" x14ac:dyDescent="0.3">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c r="AJ956">
        <f>IF(HR_Data[[#This Row],[Attrition]]="Yes",1,0)</f>
        <v>0</v>
      </c>
      <c r="AK956">
        <f>IF(HR_Data[[#This Row],[Attrition]]="No",1,0)</f>
        <v>1</v>
      </c>
      <c r="AL956" t="str">
        <f>IF(HR_Data[[#This Row],[Age]]&lt;25,"Under 25",IF(HR_Data[[#This Row],[Age]]&lt;=34,"25-34",IF(HR_Data[[#This Row],[Age]]&lt;=44,"35-44",IF(HR_Data[[#This Row],[Age]]&lt;=54,"45-54","55+"))))</f>
        <v>35-44</v>
      </c>
      <c r="AM956" s="1" t="str">
        <f>IF(HR_Data[[#This Row],[MonthlyIncome]]&lt;3000,"Low Salary",IF(HR_Data[[#This Row],[MonthlyIncome]]&lt;=7000,"Medium Salary","High Salary"))</f>
        <v>High Salary</v>
      </c>
      <c r="AN956" s="1" t="str">
        <f>IF(HR_Data[[#This Row],[YearsAtCompany]]&lt;2,"0-1 Years",IF(HR_Data[[#This Row],[YearsAtCompany]]&lt;=5,"2-5 Years",IF(HR_Data[[#This Row],[YearsAtCompany]]&lt;=10,"6-10 Years","10+ Years")))</f>
        <v>10+ Years</v>
      </c>
      <c r="AO956" s="1" t="str">
        <f>IF(HR_Data[[#This Row],[JobSatisfaction]]=1,"Low",IF(HR_Data[[#This Row],[JobSatisfaction]]=2,"Medium",IF(HR_Data[[#This Row],[JobSatisfaction]]=3,"High","Very High")))</f>
        <v>High</v>
      </c>
      <c r="AP956" s="1" t="str">
        <f>IF(HR_Data[[#This Row],[WorkLifeBalance]]=1,"Bad",IF(HR_Data[[#This Row],[WorkLifeBalance]]=2,"Good",IF(HR_Data[[#This Row],[WorkLifeBalance]]=3,"Better","Best")))</f>
        <v>Good</v>
      </c>
    </row>
    <row r="957" spans="1:42" x14ac:dyDescent="0.3">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c r="AJ957">
        <f>IF(HR_Data[[#This Row],[Attrition]]="Yes",1,0)</f>
        <v>0</v>
      </c>
      <c r="AK957">
        <f>IF(HR_Data[[#This Row],[Attrition]]="No",1,0)</f>
        <v>1</v>
      </c>
      <c r="AL957" t="str">
        <f>IF(HR_Data[[#This Row],[Age]]&lt;25,"Under 25",IF(HR_Data[[#This Row],[Age]]&lt;=34,"25-34",IF(HR_Data[[#This Row],[Age]]&lt;=44,"35-44",IF(HR_Data[[#This Row],[Age]]&lt;=54,"45-54","55+"))))</f>
        <v>55+</v>
      </c>
      <c r="AM957" s="1" t="str">
        <f>IF(HR_Data[[#This Row],[MonthlyIncome]]&lt;3000,"Low Salary",IF(HR_Data[[#This Row],[MonthlyIncome]]&lt;=7000,"Medium Salary","High Salary"))</f>
        <v>High Salary</v>
      </c>
      <c r="AN957" s="1" t="str">
        <f>IF(HR_Data[[#This Row],[YearsAtCompany]]&lt;2,"0-1 Years",IF(HR_Data[[#This Row],[YearsAtCompany]]&lt;=5,"2-5 Years",IF(HR_Data[[#This Row],[YearsAtCompany]]&lt;=10,"6-10 Years","10+ Years")))</f>
        <v>10+ Years</v>
      </c>
      <c r="AO957" s="1" t="str">
        <f>IF(HR_Data[[#This Row],[JobSatisfaction]]=1,"Low",IF(HR_Data[[#This Row],[JobSatisfaction]]=2,"Medium",IF(HR_Data[[#This Row],[JobSatisfaction]]=3,"High","Very High")))</f>
        <v>High</v>
      </c>
      <c r="AP957" s="1" t="str">
        <f>IF(HR_Data[[#This Row],[WorkLifeBalance]]=1,"Bad",IF(HR_Data[[#This Row],[WorkLifeBalance]]=2,"Good",IF(HR_Data[[#This Row],[WorkLifeBalance]]=3,"Better","Best")))</f>
        <v>Better</v>
      </c>
    </row>
    <row r="958" spans="1:42" x14ac:dyDescent="0.3">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c r="AJ958">
        <f>IF(HR_Data[[#This Row],[Attrition]]="Yes",1,0)</f>
        <v>0</v>
      </c>
      <c r="AK958">
        <f>IF(HR_Data[[#This Row],[Attrition]]="No",1,0)</f>
        <v>1</v>
      </c>
      <c r="AL958" t="str">
        <f>IF(HR_Data[[#This Row],[Age]]&lt;25,"Under 25",IF(HR_Data[[#This Row],[Age]]&lt;=34,"25-34",IF(HR_Data[[#This Row],[Age]]&lt;=44,"35-44",IF(HR_Data[[#This Row],[Age]]&lt;=54,"45-54","55+"))))</f>
        <v>55+</v>
      </c>
      <c r="AM958" s="1" t="str">
        <f>IF(HR_Data[[#This Row],[MonthlyIncome]]&lt;3000,"Low Salary",IF(HR_Data[[#This Row],[MonthlyIncome]]&lt;=7000,"Medium Salary","High Salary"))</f>
        <v>High Salary</v>
      </c>
      <c r="AN958" s="1" t="str">
        <f>IF(HR_Data[[#This Row],[YearsAtCompany]]&lt;2,"0-1 Years",IF(HR_Data[[#This Row],[YearsAtCompany]]&lt;=5,"2-5 Years",IF(HR_Data[[#This Row],[YearsAtCompany]]&lt;=10,"6-10 Years","10+ Years")))</f>
        <v>6-10 Years</v>
      </c>
      <c r="AO958" s="1" t="str">
        <f>IF(HR_Data[[#This Row],[JobSatisfaction]]=1,"Low",IF(HR_Data[[#This Row],[JobSatisfaction]]=2,"Medium",IF(HR_Data[[#This Row],[JobSatisfaction]]=3,"High","Very High")))</f>
        <v>Medium</v>
      </c>
      <c r="AP958" s="1" t="str">
        <f>IF(HR_Data[[#This Row],[WorkLifeBalance]]=1,"Bad",IF(HR_Data[[#This Row],[WorkLifeBalance]]=2,"Good",IF(HR_Data[[#This Row],[WorkLifeBalance]]=3,"Better","Best")))</f>
        <v>Better</v>
      </c>
    </row>
    <row r="959" spans="1:42" x14ac:dyDescent="0.3">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c r="AJ959">
        <f>IF(HR_Data[[#This Row],[Attrition]]="Yes",1,0)</f>
        <v>0</v>
      </c>
      <c r="AK959">
        <f>IF(HR_Data[[#This Row],[Attrition]]="No",1,0)</f>
        <v>1</v>
      </c>
      <c r="AL959" t="str">
        <f>IF(HR_Data[[#This Row],[Age]]&lt;25,"Under 25",IF(HR_Data[[#This Row],[Age]]&lt;=34,"25-34",IF(HR_Data[[#This Row],[Age]]&lt;=44,"35-44",IF(HR_Data[[#This Row],[Age]]&lt;=54,"45-54","55+"))))</f>
        <v>35-44</v>
      </c>
      <c r="AM959" s="1" t="str">
        <f>IF(HR_Data[[#This Row],[MonthlyIncome]]&lt;3000,"Low Salary",IF(HR_Data[[#This Row],[MonthlyIncome]]&lt;=7000,"Medium Salary","High Salary"))</f>
        <v>Medium Salary</v>
      </c>
      <c r="AN959" s="1" t="str">
        <f>IF(HR_Data[[#This Row],[YearsAtCompany]]&lt;2,"0-1 Years",IF(HR_Data[[#This Row],[YearsAtCompany]]&lt;=5,"2-5 Years",IF(HR_Data[[#This Row],[YearsAtCompany]]&lt;=10,"6-10 Years","10+ Years")))</f>
        <v>2-5 Years</v>
      </c>
      <c r="AO959" s="1" t="str">
        <f>IF(HR_Data[[#This Row],[JobSatisfaction]]=1,"Low",IF(HR_Data[[#This Row],[JobSatisfaction]]=2,"Medium",IF(HR_Data[[#This Row],[JobSatisfaction]]=3,"High","Very High")))</f>
        <v>High</v>
      </c>
      <c r="AP959" s="1" t="str">
        <f>IF(HR_Data[[#This Row],[WorkLifeBalance]]=1,"Bad",IF(HR_Data[[#This Row],[WorkLifeBalance]]=2,"Good",IF(HR_Data[[#This Row],[WorkLifeBalance]]=3,"Better","Best")))</f>
        <v>Better</v>
      </c>
    </row>
    <row r="960" spans="1:42" x14ac:dyDescent="0.3">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c r="AJ960">
        <f>IF(HR_Data[[#This Row],[Attrition]]="Yes",1,0)</f>
        <v>0</v>
      </c>
      <c r="AK960">
        <f>IF(HR_Data[[#This Row],[Attrition]]="No",1,0)</f>
        <v>1</v>
      </c>
      <c r="AL960" t="str">
        <f>IF(HR_Data[[#This Row],[Age]]&lt;25,"Under 25",IF(HR_Data[[#This Row],[Age]]&lt;=34,"25-34",IF(HR_Data[[#This Row],[Age]]&lt;=44,"35-44",IF(HR_Data[[#This Row],[Age]]&lt;=54,"45-54","55+"))))</f>
        <v>25-34</v>
      </c>
      <c r="AM960" s="1" t="str">
        <f>IF(HR_Data[[#This Row],[MonthlyIncome]]&lt;3000,"Low Salary",IF(HR_Data[[#This Row],[MonthlyIncome]]&lt;=7000,"Medium Salary","High Salary"))</f>
        <v>High Salary</v>
      </c>
      <c r="AN960" s="1" t="str">
        <f>IF(HR_Data[[#This Row],[YearsAtCompany]]&lt;2,"0-1 Years",IF(HR_Data[[#This Row],[YearsAtCompany]]&lt;=5,"2-5 Years",IF(HR_Data[[#This Row],[YearsAtCompany]]&lt;=10,"6-10 Years","10+ Years")))</f>
        <v>6-10 Years</v>
      </c>
      <c r="AO960" s="1" t="str">
        <f>IF(HR_Data[[#This Row],[JobSatisfaction]]=1,"Low",IF(HR_Data[[#This Row],[JobSatisfaction]]=2,"Medium",IF(HR_Data[[#This Row],[JobSatisfaction]]=3,"High","Very High")))</f>
        <v>Very High</v>
      </c>
      <c r="AP960" s="1" t="str">
        <f>IF(HR_Data[[#This Row],[WorkLifeBalance]]=1,"Bad",IF(HR_Data[[#This Row],[WorkLifeBalance]]=2,"Good",IF(HR_Data[[#This Row],[WorkLifeBalance]]=3,"Better","Best")))</f>
        <v>Good</v>
      </c>
    </row>
    <row r="961" spans="1:42" x14ac:dyDescent="0.3">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c r="AJ961">
        <f>IF(HR_Data[[#This Row],[Attrition]]="Yes",1,0)</f>
        <v>0</v>
      </c>
      <c r="AK961">
        <f>IF(HR_Data[[#This Row],[Attrition]]="No",1,0)</f>
        <v>1</v>
      </c>
      <c r="AL961" t="str">
        <f>IF(HR_Data[[#This Row],[Age]]&lt;25,"Under 25",IF(HR_Data[[#This Row],[Age]]&lt;=34,"25-34",IF(HR_Data[[#This Row],[Age]]&lt;=44,"35-44",IF(HR_Data[[#This Row],[Age]]&lt;=54,"45-54","55+"))))</f>
        <v>35-44</v>
      </c>
      <c r="AM961" s="1" t="str">
        <f>IF(HR_Data[[#This Row],[MonthlyIncome]]&lt;3000,"Low Salary",IF(HR_Data[[#This Row],[MonthlyIncome]]&lt;=7000,"Medium Salary","High Salary"))</f>
        <v>Medium Salary</v>
      </c>
      <c r="AN961" s="1" t="str">
        <f>IF(HR_Data[[#This Row],[YearsAtCompany]]&lt;2,"0-1 Years",IF(HR_Data[[#This Row],[YearsAtCompany]]&lt;=5,"2-5 Years",IF(HR_Data[[#This Row],[YearsAtCompany]]&lt;=10,"6-10 Years","10+ Years")))</f>
        <v>6-10 Years</v>
      </c>
      <c r="AO961" s="1" t="str">
        <f>IF(HR_Data[[#This Row],[JobSatisfaction]]=1,"Low",IF(HR_Data[[#This Row],[JobSatisfaction]]=2,"Medium",IF(HR_Data[[#This Row],[JobSatisfaction]]=3,"High","Very High")))</f>
        <v>Very High</v>
      </c>
      <c r="AP961" s="1" t="str">
        <f>IF(HR_Data[[#This Row],[WorkLifeBalance]]=1,"Bad",IF(HR_Data[[#This Row],[WorkLifeBalance]]=2,"Good",IF(HR_Data[[#This Row],[WorkLifeBalance]]=3,"Better","Best")))</f>
        <v>Better</v>
      </c>
    </row>
    <row r="962" spans="1:42" x14ac:dyDescent="0.3">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c r="AJ962">
        <f>IF(HR_Data[[#This Row],[Attrition]]="Yes",1,0)</f>
        <v>0</v>
      </c>
      <c r="AK962">
        <f>IF(HR_Data[[#This Row],[Attrition]]="No",1,0)</f>
        <v>1</v>
      </c>
      <c r="AL962" t="str">
        <f>IF(HR_Data[[#This Row],[Age]]&lt;25,"Under 25",IF(HR_Data[[#This Row],[Age]]&lt;=34,"25-34",IF(HR_Data[[#This Row],[Age]]&lt;=44,"35-44",IF(HR_Data[[#This Row],[Age]]&lt;=54,"45-54","55+"))))</f>
        <v>35-44</v>
      </c>
      <c r="AM962" s="1" t="str">
        <f>IF(HR_Data[[#This Row],[MonthlyIncome]]&lt;3000,"Low Salary",IF(HR_Data[[#This Row],[MonthlyIncome]]&lt;=7000,"Medium Salary","High Salary"))</f>
        <v>Medium Salary</v>
      </c>
      <c r="AN962" s="1" t="str">
        <f>IF(HR_Data[[#This Row],[YearsAtCompany]]&lt;2,"0-1 Years",IF(HR_Data[[#This Row],[YearsAtCompany]]&lt;=5,"2-5 Years",IF(HR_Data[[#This Row],[YearsAtCompany]]&lt;=10,"6-10 Years","10+ Years")))</f>
        <v>6-10 Years</v>
      </c>
      <c r="AO962" s="1" t="str">
        <f>IF(HR_Data[[#This Row],[JobSatisfaction]]=1,"Low",IF(HR_Data[[#This Row],[JobSatisfaction]]=2,"Medium",IF(HR_Data[[#This Row],[JobSatisfaction]]=3,"High","Very High")))</f>
        <v>Low</v>
      </c>
      <c r="AP962" s="1" t="str">
        <f>IF(HR_Data[[#This Row],[WorkLifeBalance]]=1,"Bad",IF(HR_Data[[#This Row],[WorkLifeBalance]]=2,"Good",IF(HR_Data[[#This Row],[WorkLifeBalance]]=3,"Better","Best")))</f>
        <v>Better</v>
      </c>
    </row>
    <row r="963" spans="1:42" x14ac:dyDescent="0.3">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c r="AJ963">
        <f>IF(HR_Data[[#This Row],[Attrition]]="Yes",1,0)</f>
        <v>0</v>
      </c>
      <c r="AK963">
        <f>IF(HR_Data[[#This Row],[Attrition]]="No",1,0)</f>
        <v>1</v>
      </c>
      <c r="AL963" t="str">
        <f>IF(HR_Data[[#This Row],[Age]]&lt;25,"Under 25",IF(HR_Data[[#This Row],[Age]]&lt;=34,"25-34",IF(HR_Data[[#This Row],[Age]]&lt;=44,"35-44",IF(HR_Data[[#This Row],[Age]]&lt;=54,"45-54","55+"))))</f>
        <v>35-44</v>
      </c>
      <c r="AM963" s="1" t="str">
        <f>IF(HR_Data[[#This Row],[MonthlyIncome]]&lt;3000,"Low Salary",IF(HR_Data[[#This Row],[MonthlyIncome]]&lt;=7000,"Medium Salary","High Salary"))</f>
        <v>Medium Salary</v>
      </c>
      <c r="AN963" s="1" t="str">
        <f>IF(HR_Data[[#This Row],[YearsAtCompany]]&lt;2,"0-1 Years",IF(HR_Data[[#This Row],[YearsAtCompany]]&lt;=5,"2-5 Years",IF(HR_Data[[#This Row],[YearsAtCompany]]&lt;=10,"6-10 Years","10+ Years")))</f>
        <v>6-10 Years</v>
      </c>
      <c r="AO963" s="1" t="str">
        <f>IF(HR_Data[[#This Row],[JobSatisfaction]]=1,"Low",IF(HR_Data[[#This Row],[JobSatisfaction]]=2,"Medium",IF(HR_Data[[#This Row],[JobSatisfaction]]=3,"High","Very High")))</f>
        <v>High</v>
      </c>
      <c r="AP963" s="1" t="str">
        <f>IF(HR_Data[[#This Row],[WorkLifeBalance]]=1,"Bad",IF(HR_Data[[#This Row],[WorkLifeBalance]]=2,"Good",IF(HR_Data[[#This Row],[WorkLifeBalance]]=3,"Better","Best")))</f>
        <v>Better</v>
      </c>
    </row>
    <row r="964" spans="1:42" x14ac:dyDescent="0.3">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c r="AJ964">
        <f>IF(HR_Data[[#This Row],[Attrition]]="Yes",1,0)</f>
        <v>0</v>
      </c>
      <c r="AK964">
        <f>IF(HR_Data[[#This Row],[Attrition]]="No",1,0)</f>
        <v>1</v>
      </c>
      <c r="AL964" t="str">
        <f>IF(HR_Data[[#This Row],[Age]]&lt;25,"Under 25",IF(HR_Data[[#This Row],[Age]]&lt;=34,"25-34",IF(HR_Data[[#This Row],[Age]]&lt;=44,"35-44",IF(HR_Data[[#This Row],[Age]]&lt;=54,"45-54","55+"))))</f>
        <v>45-54</v>
      </c>
      <c r="AM964" s="1" t="str">
        <f>IF(HR_Data[[#This Row],[MonthlyIncome]]&lt;3000,"Low Salary",IF(HR_Data[[#This Row],[MonthlyIncome]]&lt;=7000,"Medium Salary","High Salary"))</f>
        <v>High Salary</v>
      </c>
      <c r="AN964" s="1" t="str">
        <f>IF(HR_Data[[#This Row],[YearsAtCompany]]&lt;2,"0-1 Years",IF(HR_Data[[#This Row],[YearsAtCompany]]&lt;=5,"2-5 Years",IF(HR_Data[[#This Row],[YearsAtCompany]]&lt;=10,"6-10 Years","10+ Years")))</f>
        <v>10+ Years</v>
      </c>
      <c r="AO964" s="1" t="str">
        <f>IF(HR_Data[[#This Row],[JobSatisfaction]]=1,"Low",IF(HR_Data[[#This Row],[JobSatisfaction]]=2,"Medium",IF(HR_Data[[#This Row],[JobSatisfaction]]=3,"High","Very High")))</f>
        <v>Medium</v>
      </c>
      <c r="AP964" s="1" t="str">
        <f>IF(HR_Data[[#This Row],[WorkLifeBalance]]=1,"Bad",IF(HR_Data[[#This Row],[WorkLifeBalance]]=2,"Good",IF(HR_Data[[#This Row],[WorkLifeBalance]]=3,"Better","Best")))</f>
        <v>Better</v>
      </c>
    </row>
    <row r="965" spans="1:42" x14ac:dyDescent="0.3">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c r="AJ965">
        <f>IF(HR_Data[[#This Row],[Attrition]]="Yes",1,0)</f>
        <v>0</v>
      </c>
      <c r="AK965">
        <f>IF(HR_Data[[#This Row],[Attrition]]="No",1,0)</f>
        <v>1</v>
      </c>
      <c r="AL965" t="str">
        <f>IF(HR_Data[[#This Row],[Age]]&lt;25,"Under 25",IF(HR_Data[[#This Row],[Age]]&lt;=34,"25-34",IF(HR_Data[[#This Row],[Age]]&lt;=44,"35-44",IF(HR_Data[[#This Row],[Age]]&lt;=54,"45-54","55+"))))</f>
        <v>35-44</v>
      </c>
      <c r="AM965" s="1" t="str">
        <f>IF(HR_Data[[#This Row],[MonthlyIncome]]&lt;3000,"Low Salary",IF(HR_Data[[#This Row],[MonthlyIncome]]&lt;=7000,"Medium Salary","High Salary"))</f>
        <v>Medium Salary</v>
      </c>
      <c r="AN965" s="1" t="str">
        <f>IF(HR_Data[[#This Row],[YearsAtCompany]]&lt;2,"0-1 Years",IF(HR_Data[[#This Row],[YearsAtCompany]]&lt;=5,"2-5 Years",IF(HR_Data[[#This Row],[YearsAtCompany]]&lt;=10,"6-10 Years","10+ Years")))</f>
        <v>6-10 Years</v>
      </c>
      <c r="AO965" s="1" t="str">
        <f>IF(HR_Data[[#This Row],[JobSatisfaction]]=1,"Low",IF(HR_Data[[#This Row],[JobSatisfaction]]=2,"Medium",IF(HR_Data[[#This Row],[JobSatisfaction]]=3,"High","Very High")))</f>
        <v>Low</v>
      </c>
      <c r="AP965" s="1" t="str">
        <f>IF(HR_Data[[#This Row],[WorkLifeBalance]]=1,"Bad",IF(HR_Data[[#This Row],[WorkLifeBalance]]=2,"Good",IF(HR_Data[[#This Row],[WorkLifeBalance]]=3,"Better","Best")))</f>
        <v>Better</v>
      </c>
    </row>
    <row r="966" spans="1:42" x14ac:dyDescent="0.3">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c r="AJ966">
        <f>IF(HR_Data[[#This Row],[Attrition]]="Yes",1,0)</f>
        <v>0</v>
      </c>
      <c r="AK966">
        <f>IF(HR_Data[[#This Row],[Attrition]]="No",1,0)</f>
        <v>1</v>
      </c>
      <c r="AL966" t="str">
        <f>IF(HR_Data[[#This Row],[Age]]&lt;25,"Under 25",IF(HR_Data[[#This Row],[Age]]&lt;=34,"25-34",IF(HR_Data[[#This Row],[Age]]&lt;=44,"35-44",IF(HR_Data[[#This Row],[Age]]&lt;=54,"45-54","55+"))))</f>
        <v>25-34</v>
      </c>
      <c r="AM966" s="1" t="str">
        <f>IF(HR_Data[[#This Row],[MonthlyIncome]]&lt;3000,"Low Salary",IF(HR_Data[[#This Row],[MonthlyIncome]]&lt;=7000,"Medium Salary","High Salary"))</f>
        <v>Medium Salary</v>
      </c>
      <c r="AN966" s="1" t="str">
        <f>IF(HR_Data[[#This Row],[YearsAtCompany]]&lt;2,"0-1 Years",IF(HR_Data[[#This Row],[YearsAtCompany]]&lt;=5,"2-5 Years",IF(HR_Data[[#This Row],[YearsAtCompany]]&lt;=10,"6-10 Years","10+ Years")))</f>
        <v>6-10 Years</v>
      </c>
      <c r="AO966" s="1" t="str">
        <f>IF(HR_Data[[#This Row],[JobSatisfaction]]=1,"Low",IF(HR_Data[[#This Row],[JobSatisfaction]]=2,"Medium",IF(HR_Data[[#This Row],[JobSatisfaction]]=3,"High","Very High")))</f>
        <v>Low</v>
      </c>
      <c r="AP966" s="1" t="str">
        <f>IF(HR_Data[[#This Row],[WorkLifeBalance]]=1,"Bad",IF(HR_Data[[#This Row],[WorkLifeBalance]]=2,"Good",IF(HR_Data[[#This Row],[WorkLifeBalance]]=3,"Better","Best")))</f>
        <v>Best</v>
      </c>
    </row>
    <row r="967" spans="1:42" x14ac:dyDescent="0.3">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c r="AJ967">
        <f>IF(HR_Data[[#This Row],[Attrition]]="Yes",1,0)</f>
        <v>0</v>
      </c>
      <c r="AK967">
        <f>IF(HR_Data[[#This Row],[Attrition]]="No",1,0)</f>
        <v>1</v>
      </c>
      <c r="AL967" t="str">
        <f>IF(HR_Data[[#This Row],[Age]]&lt;25,"Under 25",IF(HR_Data[[#This Row],[Age]]&lt;=34,"25-34",IF(HR_Data[[#This Row],[Age]]&lt;=44,"35-44",IF(HR_Data[[#This Row],[Age]]&lt;=54,"45-54","55+"))))</f>
        <v>25-34</v>
      </c>
      <c r="AM967" s="1" t="str">
        <f>IF(HR_Data[[#This Row],[MonthlyIncome]]&lt;3000,"Low Salary",IF(HR_Data[[#This Row],[MonthlyIncome]]&lt;=7000,"Medium Salary","High Salary"))</f>
        <v>Medium Salary</v>
      </c>
      <c r="AN967" s="1" t="str">
        <f>IF(HR_Data[[#This Row],[YearsAtCompany]]&lt;2,"0-1 Years",IF(HR_Data[[#This Row],[YearsAtCompany]]&lt;=5,"2-5 Years",IF(HR_Data[[#This Row],[YearsAtCompany]]&lt;=10,"6-10 Years","10+ Years")))</f>
        <v>2-5 Years</v>
      </c>
      <c r="AO967" s="1" t="str">
        <f>IF(HR_Data[[#This Row],[JobSatisfaction]]=1,"Low",IF(HR_Data[[#This Row],[JobSatisfaction]]=2,"Medium",IF(HR_Data[[#This Row],[JobSatisfaction]]=3,"High","Very High")))</f>
        <v>Very High</v>
      </c>
      <c r="AP967" s="1" t="str">
        <f>IF(HR_Data[[#This Row],[WorkLifeBalance]]=1,"Bad",IF(HR_Data[[#This Row],[WorkLifeBalance]]=2,"Good",IF(HR_Data[[#This Row],[WorkLifeBalance]]=3,"Better","Best")))</f>
        <v>Good</v>
      </c>
    </row>
    <row r="968" spans="1:42" x14ac:dyDescent="0.3">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c r="AJ968">
        <f>IF(HR_Data[[#This Row],[Attrition]]="Yes",1,0)</f>
        <v>1</v>
      </c>
      <c r="AK968">
        <f>IF(HR_Data[[#This Row],[Attrition]]="No",1,0)</f>
        <v>0</v>
      </c>
      <c r="AL968" t="str">
        <f>IF(HR_Data[[#This Row],[Age]]&lt;25,"Under 25",IF(HR_Data[[#This Row],[Age]]&lt;=34,"25-34",IF(HR_Data[[#This Row],[Age]]&lt;=44,"35-44",IF(HR_Data[[#This Row],[Age]]&lt;=54,"45-54","55+"))))</f>
        <v>55+</v>
      </c>
      <c r="AM968" s="1" t="str">
        <f>IF(HR_Data[[#This Row],[MonthlyIncome]]&lt;3000,"Low Salary",IF(HR_Data[[#This Row],[MonthlyIncome]]&lt;=7000,"Medium Salary","High Salary"))</f>
        <v>High Salary</v>
      </c>
      <c r="AN968" s="1" t="str">
        <f>IF(HR_Data[[#This Row],[YearsAtCompany]]&lt;2,"0-1 Years",IF(HR_Data[[#This Row],[YearsAtCompany]]&lt;=5,"2-5 Years",IF(HR_Data[[#This Row],[YearsAtCompany]]&lt;=10,"6-10 Years","10+ Years")))</f>
        <v>6-10 Years</v>
      </c>
      <c r="AO968" s="1" t="str">
        <f>IF(HR_Data[[#This Row],[JobSatisfaction]]=1,"Low",IF(HR_Data[[#This Row],[JobSatisfaction]]=2,"Medium",IF(HR_Data[[#This Row],[JobSatisfaction]]=3,"High","Very High")))</f>
        <v>Low</v>
      </c>
      <c r="AP968" s="1" t="str">
        <f>IF(HR_Data[[#This Row],[WorkLifeBalance]]=1,"Bad",IF(HR_Data[[#This Row],[WorkLifeBalance]]=2,"Good",IF(HR_Data[[#This Row],[WorkLifeBalance]]=3,"Better","Best")))</f>
        <v>Good</v>
      </c>
    </row>
    <row r="969" spans="1:42" x14ac:dyDescent="0.3">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c r="AJ969">
        <f>IF(HR_Data[[#This Row],[Attrition]]="Yes",1,0)</f>
        <v>0</v>
      </c>
      <c r="AK969">
        <f>IF(HR_Data[[#This Row],[Attrition]]="No",1,0)</f>
        <v>1</v>
      </c>
      <c r="AL969" t="str">
        <f>IF(HR_Data[[#This Row],[Age]]&lt;25,"Under 25",IF(HR_Data[[#This Row],[Age]]&lt;=34,"25-34",IF(HR_Data[[#This Row],[Age]]&lt;=44,"35-44",IF(HR_Data[[#This Row],[Age]]&lt;=54,"45-54","55+"))))</f>
        <v>35-44</v>
      </c>
      <c r="AM969" s="1" t="str">
        <f>IF(HR_Data[[#This Row],[MonthlyIncome]]&lt;3000,"Low Salary",IF(HR_Data[[#This Row],[MonthlyIncome]]&lt;=7000,"Medium Salary","High Salary"))</f>
        <v>Low Salary</v>
      </c>
      <c r="AN969" s="1" t="str">
        <f>IF(HR_Data[[#This Row],[YearsAtCompany]]&lt;2,"0-1 Years",IF(HR_Data[[#This Row],[YearsAtCompany]]&lt;=5,"2-5 Years",IF(HR_Data[[#This Row],[YearsAtCompany]]&lt;=10,"6-10 Years","10+ Years")))</f>
        <v>2-5 Years</v>
      </c>
      <c r="AO969" s="1" t="str">
        <f>IF(HR_Data[[#This Row],[JobSatisfaction]]=1,"Low",IF(HR_Data[[#This Row],[JobSatisfaction]]=2,"Medium",IF(HR_Data[[#This Row],[JobSatisfaction]]=3,"High","Very High")))</f>
        <v>Medium</v>
      </c>
      <c r="AP969" s="1" t="str">
        <f>IF(HR_Data[[#This Row],[WorkLifeBalance]]=1,"Bad",IF(HR_Data[[#This Row],[WorkLifeBalance]]=2,"Good",IF(HR_Data[[#This Row],[WorkLifeBalance]]=3,"Better","Best")))</f>
        <v>Better</v>
      </c>
    </row>
    <row r="970" spans="1:42" x14ac:dyDescent="0.3">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c r="AJ970">
        <f>IF(HR_Data[[#This Row],[Attrition]]="Yes",1,0)</f>
        <v>0</v>
      </c>
      <c r="AK970">
        <f>IF(HR_Data[[#This Row],[Attrition]]="No",1,0)</f>
        <v>1</v>
      </c>
      <c r="AL970" t="str">
        <f>IF(HR_Data[[#This Row],[Age]]&lt;25,"Under 25",IF(HR_Data[[#This Row],[Age]]&lt;=34,"25-34",IF(HR_Data[[#This Row],[Age]]&lt;=44,"35-44",IF(HR_Data[[#This Row],[Age]]&lt;=54,"45-54","55+"))))</f>
        <v>35-44</v>
      </c>
      <c r="AM970" s="1" t="str">
        <f>IF(HR_Data[[#This Row],[MonthlyIncome]]&lt;3000,"Low Salary",IF(HR_Data[[#This Row],[MonthlyIncome]]&lt;=7000,"Medium Salary","High Salary"))</f>
        <v>Medium Salary</v>
      </c>
      <c r="AN970" s="1" t="str">
        <f>IF(HR_Data[[#This Row],[YearsAtCompany]]&lt;2,"0-1 Years",IF(HR_Data[[#This Row],[YearsAtCompany]]&lt;=5,"2-5 Years",IF(HR_Data[[#This Row],[YearsAtCompany]]&lt;=10,"6-10 Years","10+ Years")))</f>
        <v>10+ Years</v>
      </c>
      <c r="AO970" s="1" t="str">
        <f>IF(HR_Data[[#This Row],[JobSatisfaction]]=1,"Low",IF(HR_Data[[#This Row],[JobSatisfaction]]=2,"Medium",IF(HR_Data[[#This Row],[JobSatisfaction]]=3,"High","Very High")))</f>
        <v>Low</v>
      </c>
      <c r="AP970" s="1" t="str">
        <f>IF(HR_Data[[#This Row],[WorkLifeBalance]]=1,"Bad",IF(HR_Data[[#This Row],[WorkLifeBalance]]=2,"Good",IF(HR_Data[[#This Row],[WorkLifeBalance]]=3,"Better","Best")))</f>
        <v>Good</v>
      </c>
    </row>
    <row r="971" spans="1:42" x14ac:dyDescent="0.3">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c r="AJ971">
        <f>IF(HR_Data[[#This Row],[Attrition]]="Yes",1,0)</f>
        <v>0</v>
      </c>
      <c r="AK971">
        <f>IF(HR_Data[[#This Row],[Attrition]]="No",1,0)</f>
        <v>1</v>
      </c>
      <c r="AL971" t="str">
        <f>IF(HR_Data[[#This Row],[Age]]&lt;25,"Under 25",IF(HR_Data[[#This Row],[Age]]&lt;=34,"25-34",IF(HR_Data[[#This Row],[Age]]&lt;=44,"35-44",IF(HR_Data[[#This Row],[Age]]&lt;=54,"45-54","55+"))))</f>
        <v>45-54</v>
      </c>
      <c r="AM971" s="1" t="str">
        <f>IF(HR_Data[[#This Row],[MonthlyIncome]]&lt;3000,"Low Salary",IF(HR_Data[[#This Row],[MonthlyIncome]]&lt;=7000,"Medium Salary","High Salary"))</f>
        <v>High Salary</v>
      </c>
      <c r="AN971" s="1" t="str">
        <f>IF(HR_Data[[#This Row],[YearsAtCompany]]&lt;2,"0-1 Years",IF(HR_Data[[#This Row],[YearsAtCompany]]&lt;=5,"2-5 Years",IF(HR_Data[[#This Row],[YearsAtCompany]]&lt;=10,"6-10 Years","10+ Years")))</f>
        <v>6-10 Years</v>
      </c>
      <c r="AO971" s="1" t="str">
        <f>IF(HR_Data[[#This Row],[JobSatisfaction]]=1,"Low",IF(HR_Data[[#This Row],[JobSatisfaction]]=2,"Medium",IF(HR_Data[[#This Row],[JobSatisfaction]]=3,"High","Very High")))</f>
        <v>Very High</v>
      </c>
      <c r="AP971" s="1" t="str">
        <f>IF(HR_Data[[#This Row],[WorkLifeBalance]]=1,"Bad",IF(HR_Data[[#This Row],[WorkLifeBalance]]=2,"Good",IF(HR_Data[[#This Row],[WorkLifeBalance]]=3,"Better","Best")))</f>
        <v>Better</v>
      </c>
    </row>
    <row r="972" spans="1:42" x14ac:dyDescent="0.3">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c r="AJ972">
        <f>IF(HR_Data[[#This Row],[Attrition]]="Yes",1,0)</f>
        <v>0</v>
      </c>
      <c r="AK972">
        <f>IF(HR_Data[[#This Row],[Attrition]]="No",1,0)</f>
        <v>1</v>
      </c>
      <c r="AL972" t="str">
        <f>IF(HR_Data[[#This Row],[Age]]&lt;25,"Under 25",IF(HR_Data[[#This Row],[Age]]&lt;=34,"25-34",IF(HR_Data[[#This Row],[Age]]&lt;=44,"35-44",IF(HR_Data[[#This Row],[Age]]&lt;=54,"45-54","55+"))))</f>
        <v>25-34</v>
      </c>
      <c r="AM972" s="1" t="str">
        <f>IF(HR_Data[[#This Row],[MonthlyIncome]]&lt;3000,"Low Salary",IF(HR_Data[[#This Row],[MonthlyIncome]]&lt;=7000,"Medium Salary","High Salary"))</f>
        <v>Low Salary</v>
      </c>
      <c r="AN972" s="1" t="str">
        <f>IF(HR_Data[[#This Row],[YearsAtCompany]]&lt;2,"0-1 Years",IF(HR_Data[[#This Row],[YearsAtCompany]]&lt;=5,"2-5 Years",IF(HR_Data[[#This Row],[YearsAtCompany]]&lt;=10,"6-10 Years","10+ Years")))</f>
        <v>0-1 Years</v>
      </c>
      <c r="AO972" s="1" t="str">
        <f>IF(HR_Data[[#This Row],[JobSatisfaction]]=1,"Low",IF(HR_Data[[#This Row],[JobSatisfaction]]=2,"Medium",IF(HR_Data[[#This Row],[JobSatisfaction]]=3,"High","Very High")))</f>
        <v>Very High</v>
      </c>
      <c r="AP972" s="1" t="str">
        <f>IF(HR_Data[[#This Row],[WorkLifeBalance]]=1,"Bad",IF(HR_Data[[#This Row],[WorkLifeBalance]]=2,"Good",IF(HR_Data[[#This Row],[WorkLifeBalance]]=3,"Better","Best")))</f>
        <v>Better</v>
      </c>
    </row>
    <row r="973" spans="1:42" x14ac:dyDescent="0.3">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c r="AJ973">
        <f>IF(HR_Data[[#This Row],[Attrition]]="Yes",1,0)</f>
        <v>0</v>
      </c>
      <c r="AK973">
        <f>IF(HR_Data[[#This Row],[Attrition]]="No",1,0)</f>
        <v>1</v>
      </c>
      <c r="AL973" t="str">
        <f>IF(HR_Data[[#This Row],[Age]]&lt;25,"Under 25",IF(HR_Data[[#This Row],[Age]]&lt;=34,"25-34",IF(HR_Data[[#This Row],[Age]]&lt;=44,"35-44",IF(HR_Data[[#This Row],[Age]]&lt;=54,"45-54","55+"))))</f>
        <v>45-54</v>
      </c>
      <c r="AM973" s="1" t="str">
        <f>IF(HR_Data[[#This Row],[MonthlyIncome]]&lt;3000,"Low Salary",IF(HR_Data[[#This Row],[MonthlyIncome]]&lt;=7000,"Medium Salary","High Salary"))</f>
        <v>High Salary</v>
      </c>
      <c r="AN973" s="1" t="str">
        <f>IF(HR_Data[[#This Row],[YearsAtCompany]]&lt;2,"0-1 Years",IF(HR_Data[[#This Row],[YearsAtCompany]]&lt;=5,"2-5 Years",IF(HR_Data[[#This Row],[YearsAtCompany]]&lt;=10,"6-10 Years","10+ Years")))</f>
        <v>2-5 Years</v>
      </c>
      <c r="AO973" s="1" t="str">
        <f>IF(HR_Data[[#This Row],[JobSatisfaction]]=1,"Low",IF(HR_Data[[#This Row],[JobSatisfaction]]=2,"Medium",IF(HR_Data[[#This Row],[JobSatisfaction]]=3,"High","Very High")))</f>
        <v>Medium</v>
      </c>
      <c r="AP973" s="1" t="str">
        <f>IF(HR_Data[[#This Row],[WorkLifeBalance]]=1,"Bad",IF(HR_Data[[#This Row],[WorkLifeBalance]]=2,"Good",IF(HR_Data[[#This Row],[WorkLifeBalance]]=3,"Better","Best")))</f>
        <v>Good</v>
      </c>
    </row>
    <row r="974" spans="1:42" x14ac:dyDescent="0.3">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c r="AJ974">
        <f>IF(HR_Data[[#This Row],[Attrition]]="Yes",1,0)</f>
        <v>0</v>
      </c>
      <c r="AK974">
        <f>IF(HR_Data[[#This Row],[Attrition]]="No",1,0)</f>
        <v>1</v>
      </c>
      <c r="AL974" t="str">
        <f>IF(HR_Data[[#This Row],[Age]]&lt;25,"Under 25",IF(HR_Data[[#This Row],[Age]]&lt;=34,"25-34",IF(HR_Data[[#This Row],[Age]]&lt;=44,"35-44",IF(HR_Data[[#This Row],[Age]]&lt;=54,"45-54","55+"))))</f>
        <v>Under 25</v>
      </c>
      <c r="AM974" s="1" t="str">
        <f>IF(HR_Data[[#This Row],[MonthlyIncome]]&lt;3000,"Low Salary",IF(HR_Data[[#This Row],[MonthlyIncome]]&lt;=7000,"Medium Salary","High Salary"))</f>
        <v>Low Salary</v>
      </c>
      <c r="AN974" s="1" t="str">
        <f>IF(HR_Data[[#This Row],[YearsAtCompany]]&lt;2,"0-1 Years",IF(HR_Data[[#This Row],[YearsAtCompany]]&lt;=5,"2-5 Years",IF(HR_Data[[#This Row],[YearsAtCompany]]&lt;=10,"6-10 Years","10+ Years")))</f>
        <v>0-1 Years</v>
      </c>
      <c r="AO974" s="1" t="str">
        <f>IF(HR_Data[[#This Row],[JobSatisfaction]]=1,"Low",IF(HR_Data[[#This Row],[JobSatisfaction]]=2,"Medium",IF(HR_Data[[#This Row],[JobSatisfaction]]=3,"High","Very High")))</f>
        <v>Very High</v>
      </c>
      <c r="AP974" s="1" t="str">
        <f>IF(HR_Data[[#This Row],[WorkLifeBalance]]=1,"Bad",IF(HR_Data[[#This Row],[WorkLifeBalance]]=2,"Good",IF(HR_Data[[#This Row],[WorkLifeBalance]]=3,"Better","Best")))</f>
        <v>Best</v>
      </c>
    </row>
    <row r="975" spans="1:42" x14ac:dyDescent="0.3">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c r="AJ975">
        <f>IF(HR_Data[[#This Row],[Attrition]]="Yes",1,0)</f>
        <v>0</v>
      </c>
      <c r="AK975">
        <f>IF(HR_Data[[#This Row],[Attrition]]="No",1,0)</f>
        <v>1</v>
      </c>
      <c r="AL975" t="str">
        <f>IF(HR_Data[[#This Row],[Age]]&lt;25,"Under 25",IF(HR_Data[[#This Row],[Age]]&lt;=34,"25-34",IF(HR_Data[[#This Row],[Age]]&lt;=44,"35-44",IF(HR_Data[[#This Row],[Age]]&lt;=54,"45-54","55+"))))</f>
        <v>35-44</v>
      </c>
      <c r="AM975" s="1" t="str">
        <f>IF(HR_Data[[#This Row],[MonthlyIncome]]&lt;3000,"Low Salary",IF(HR_Data[[#This Row],[MonthlyIncome]]&lt;=7000,"Medium Salary","High Salary"))</f>
        <v>Medium Salary</v>
      </c>
      <c r="AN975" s="1" t="str">
        <f>IF(HR_Data[[#This Row],[YearsAtCompany]]&lt;2,"0-1 Years",IF(HR_Data[[#This Row],[YearsAtCompany]]&lt;=5,"2-5 Years",IF(HR_Data[[#This Row],[YearsAtCompany]]&lt;=10,"6-10 Years","10+ Years")))</f>
        <v>6-10 Years</v>
      </c>
      <c r="AO975" s="1" t="str">
        <f>IF(HR_Data[[#This Row],[JobSatisfaction]]=1,"Low",IF(HR_Data[[#This Row],[JobSatisfaction]]=2,"Medium",IF(HR_Data[[#This Row],[JobSatisfaction]]=3,"High","Very High")))</f>
        <v>Very High</v>
      </c>
      <c r="AP975" s="1" t="str">
        <f>IF(HR_Data[[#This Row],[WorkLifeBalance]]=1,"Bad",IF(HR_Data[[#This Row],[WorkLifeBalance]]=2,"Good",IF(HR_Data[[#This Row],[WorkLifeBalance]]=3,"Better","Best")))</f>
        <v>Better</v>
      </c>
    </row>
    <row r="976" spans="1:42" x14ac:dyDescent="0.3">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c r="AJ976">
        <f>IF(HR_Data[[#This Row],[Attrition]]="Yes",1,0)</f>
        <v>0</v>
      </c>
      <c r="AK976">
        <f>IF(HR_Data[[#This Row],[Attrition]]="No",1,0)</f>
        <v>1</v>
      </c>
      <c r="AL976" t="str">
        <f>IF(HR_Data[[#This Row],[Age]]&lt;25,"Under 25",IF(HR_Data[[#This Row],[Age]]&lt;=34,"25-34",IF(HR_Data[[#This Row],[Age]]&lt;=44,"35-44",IF(HR_Data[[#This Row],[Age]]&lt;=54,"45-54","55+"))))</f>
        <v>25-34</v>
      </c>
      <c r="AM976" s="1" t="str">
        <f>IF(HR_Data[[#This Row],[MonthlyIncome]]&lt;3000,"Low Salary",IF(HR_Data[[#This Row],[MonthlyIncome]]&lt;=7000,"Medium Salary","High Salary"))</f>
        <v>Medium Salary</v>
      </c>
      <c r="AN976" s="1" t="str">
        <f>IF(HR_Data[[#This Row],[YearsAtCompany]]&lt;2,"0-1 Years",IF(HR_Data[[#This Row],[YearsAtCompany]]&lt;=5,"2-5 Years",IF(HR_Data[[#This Row],[YearsAtCompany]]&lt;=10,"6-10 Years","10+ Years")))</f>
        <v>6-10 Years</v>
      </c>
      <c r="AO976" s="1" t="str">
        <f>IF(HR_Data[[#This Row],[JobSatisfaction]]=1,"Low",IF(HR_Data[[#This Row],[JobSatisfaction]]=2,"Medium",IF(HR_Data[[#This Row],[JobSatisfaction]]=3,"High","Very High")))</f>
        <v>Very High</v>
      </c>
      <c r="AP976" s="1" t="str">
        <f>IF(HR_Data[[#This Row],[WorkLifeBalance]]=1,"Bad",IF(HR_Data[[#This Row],[WorkLifeBalance]]=2,"Good",IF(HR_Data[[#This Row],[WorkLifeBalance]]=3,"Better","Best")))</f>
        <v>Better</v>
      </c>
    </row>
    <row r="977" spans="1:42" x14ac:dyDescent="0.3">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c r="AJ977">
        <f>IF(HR_Data[[#This Row],[Attrition]]="Yes",1,0)</f>
        <v>1</v>
      </c>
      <c r="AK977">
        <f>IF(HR_Data[[#This Row],[Attrition]]="No",1,0)</f>
        <v>0</v>
      </c>
      <c r="AL977" t="str">
        <f>IF(HR_Data[[#This Row],[Age]]&lt;25,"Under 25",IF(HR_Data[[#This Row],[Age]]&lt;=34,"25-34",IF(HR_Data[[#This Row],[Age]]&lt;=44,"35-44",IF(HR_Data[[#This Row],[Age]]&lt;=54,"45-54","55+"))))</f>
        <v>55+</v>
      </c>
      <c r="AM977" s="1" t="str">
        <f>IF(HR_Data[[#This Row],[MonthlyIncome]]&lt;3000,"Low Salary",IF(HR_Data[[#This Row],[MonthlyIncome]]&lt;=7000,"Medium Salary","High Salary"))</f>
        <v>High Salary</v>
      </c>
      <c r="AN977" s="1" t="str">
        <f>IF(HR_Data[[#This Row],[YearsAtCompany]]&lt;2,"0-1 Years",IF(HR_Data[[#This Row],[YearsAtCompany]]&lt;=5,"2-5 Years",IF(HR_Data[[#This Row],[YearsAtCompany]]&lt;=10,"6-10 Years","10+ Years")))</f>
        <v>10+ Years</v>
      </c>
      <c r="AO977" s="1" t="str">
        <f>IF(HR_Data[[#This Row],[JobSatisfaction]]=1,"Low",IF(HR_Data[[#This Row],[JobSatisfaction]]=2,"Medium",IF(HR_Data[[#This Row],[JobSatisfaction]]=3,"High","Very High")))</f>
        <v>High</v>
      </c>
      <c r="AP977" s="1" t="str">
        <f>IF(HR_Data[[#This Row],[WorkLifeBalance]]=1,"Bad",IF(HR_Data[[#This Row],[WorkLifeBalance]]=2,"Good",IF(HR_Data[[#This Row],[WorkLifeBalance]]=3,"Better","Best")))</f>
        <v>Good</v>
      </c>
    </row>
    <row r="978" spans="1:42" x14ac:dyDescent="0.3">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c r="AJ978">
        <f>IF(HR_Data[[#This Row],[Attrition]]="Yes",1,0)</f>
        <v>0</v>
      </c>
      <c r="AK978">
        <f>IF(HR_Data[[#This Row],[Attrition]]="No",1,0)</f>
        <v>1</v>
      </c>
      <c r="AL978" t="str">
        <f>IF(HR_Data[[#This Row],[Age]]&lt;25,"Under 25",IF(HR_Data[[#This Row],[Age]]&lt;=34,"25-34",IF(HR_Data[[#This Row],[Age]]&lt;=44,"35-44",IF(HR_Data[[#This Row],[Age]]&lt;=54,"45-54","55+"))))</f>
        <v>55+</v>
      </c>
      <c r="AM978" s="1" t="str">
        <f>IF(HR_Data[[#This Row],[MonthlyIncome]]&lt;3000,"Low Salary",IF(HR_Data[[#This Row],[MonthlyIncome]]&lt;=7000,"Medium Salary","High Salary"))</f>
        <v>High Salary</v>
      </c>
      <c r="AN978" s="1" t="str">
        <f>IF(HR_Data[[#This Row],[YearsAtCompany]]&lt;2,"0-1 Years",IF(HR_Data[[#This Row],[YearsAtCompany]]&lt;=5,"2-5 Years",IF(HR_Data[[#This Row],[YearsAtCompany]]&lt;=10,"6-10 Years","10+ Years")))</f>
        <v>10+ Years</v>
      </c>
      <c r="AO978" s="1" t="str">
        <f>IF(HR_Data[[#This Row],[JobSatisfaction]]=1,"Low",IF(HR_Data[[#This Row],[JobSatisfaction]]=2,"Medium",IF(HR_Data[[#This Row],[JobSatisfaction]]=3,"High","Very High")))</f>
        <v>Medium</v>
      </c>
      <c r="AP978" s="1" t="str">
        <f>IF(HR_Data[[#This Row],[WorkLifeBalance]]=1,"Bad",IF(HR_Data[[#This Row],[WorkLifeBalance]]=2,"Good",IF(HR_Data[[#This Row],[WorkLifeBalance]]=3,"Better","Best")))</f>
        <v>Better</v>
      </c>
    </row>
    <row r="979" spans="1:42" x14ac:dyDescent="0.3">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c r="AJ979">
        <f>IF(HR_Data[[#This Row],[Attrition]]="Yes",1,0)</f>
        <v>0</v>
      </c>
      <c r="AK979">
        <f>IF(HR_Data[[#This Row],[Attrition]]="No",1,0)</f>
        <v>1</v>
      </c>
      <c r="AL979" t="str">
        <f>IF(HR_Data[[#This Row],[Age]]&lt;25,"Under 25",IF(HR_Data[[#This Row],[Age]]&lt;=34,"25-34",IF(HR_Data[[#This Row],[Age]]&lt;=44,"35-44",IF(HR_Data[[#This Row],[Age]]&lt;=54,"45-54","55+"))))</f>
        <v>25-34</v>
      </c>
      <c r="AM979" s="1" t="str">
        <f>IF(HR_Data[[#This Row],[MonthlyIncome]]&lt;3000,"Low Salary",IF(HR_Data[[#This Row],[MonthlyIncome]]&lt;=7000,"Medium Salary","High Salary"))</f>
        <v>Low Salary</v>
      </c>
      <c r="AN979" s="1" t="str">
        <f>IF(HR_Data[[#This Row],[YearsAtCompany]]&lt;2,"0-1 Years",IF(HR_Data[[#This Row],[YearsAtCompany]]&lt;=5,"2-5 Years",IF(HR_Data[[#This Row],[YearsAtCompany]]&lt;=10,"6-10 Years","10+ Years")))</f>
        <v>2-5 Years</v>
      </c>
      <c r="AO979" s="1" t="str">
        <f>IF(HR_Data[[#This Row],[JobSatisfaction]]=1,"Low",IF(HR_Data[[#This Row],[JobSatisfaction]]=2,"Medium",IF(HR_Data[[#This Row],[JobSatisfaction]]=3,"High","Very High")))</f>
        <v>High</v>
      </c>
      <c r="AP979" s="1" t="str">
        <f>IF(HR_Data[[#This Row],[WorkLifeBalance]]=1,"Bad",IF(HR_Data[[#This Row],[WorkLifeBalance]]=2,"Good",IF(HR_Data[[#This Row],[WorkLifeBalance]]=3,"Better","Best")))</f>
        <v>Better</v>
      </c>
    </row>
    <row r="980" spans="1:42" x14ac:dyDescent="0.3">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c r="AJ980">
        <f>IF(HR_Data[[#This Row],[Attrition]]="Yes",1,0)</f>
        <v>0</v>
      </c>
      <c r="AK980">
        <f>IF(HR_Data[[#This Row],[Attrition]]="No",1,0)</f>
        <v>1</v>
      </c>
      <c r="AL980" t="str">
        <f>IF(HR_Data[[#This Row],[Age]]&lt;25,"Under 25",IF(HR_Data[[#This Row],[Age]]&lt;=34,"25-34",IF(HR_Data[[#This Row],[Age]]&lt;=44,"35-44",IF(HR_Data[[#This Row],[Age]]&lt;=54,"45-54","55+"))))</f>
        <v>35-44</v>
      </c>
      <c r="AM980" s="1" t="str">
        <f>IF(HR_Data[[#This Row],[MonthlyIncome]]&lt;3000,"Low Salary",IF(HR_Data[[#This Row],[MonthlyIncome]]&lt;=7000,"Medium Salary","High Salary"))</f>
        <v>Medium Salary</v>
      </c>
      <c r="AN980" s="1" t="str">
        <f>IF(HR_Data[[#This Row],[YearsAtCompany]]&lt;2,"0-1 Years",IF(HR_Data[[#This Row],[YearsAtCompany]]&lt;=5,"2-5 Years",IF(HR_Data[[#This Row],[YearsAtCompany]]&lt;=10,"6-10 Years","10+ Years")))</f>
        <v>10+ Years</v>
      </c>
      <c r="AO980" s="1" t="str">
        <f>IF(HR_Data[[#This Row],[JobSatisfaction]]=1,"Low",IF(HR_Data[[#This Row],[JobSatisfaction]]=2,"Medium",IF(HR_Data[[#This Row],[JobSatisfaction]]=3,"High","Very High")))</f>
        <v>High</v>
      </c>
      <c r="AP980" s="1" t="str">
        <f>IF(HR_Data[[#This Row],[WorkLifeBalance]]=1,"Bad",IF(HR_Data[[#This Row],[WorkLifeBalance]]=2,"Good",IF(HR_Data[[#This Row],[WorkLifeBalance]]=3,"Better","Best")))</f>
        <v>Better</v>
      </c>
    </row>
    <row r="981" spans="1:42" x14ac:dyDescent="0.3">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c r="AJ981">
        <f>IF(HR_Data[[#This Row],[Attrition]]="Yes",1,0)</f>
        <v>0</v>
      </c>
      <c r="AK981">
        <f>IF(HR_Data[[#This Row],[Attrition]]="No",1,0)</f>
        <v>1</v>
      </c>
      <c r="AL981" t="str">
        <f>IF(HR_Data[[#This Row],[Age]]&lt;25,"Under 25",IF(HR_Data[[#This Row],[Age]]&lt;=34,"25-34",IF(HR_Data[[#This Row],[Age]]&lt;=44,"35-44",IF(HR_Data[[#This Row],[Age]]&lt;=54,"45-54","55+"))))</f>
        <v>25-34</v>
      </c>
      <c r="AM981" s="1" t="str">
        <f>IF(HR_Data[[#This Row],[MonthlyIncome]]&lt;3000,"Low Salary",IF(HR_Data[[#This Row],[MonthlyIncome]]&lt;=7000,"Medium Salary","High Salary"))</f>
        <v>Medium Salary</v>
      </c>
      <c r="AN981" s="1" t="str">
        <f>IF(HR_Data[[#This Row],[YearsAtCompany]]&lt;2,"0-1 Years",IF(HR_Data[[#This Row],[YearsAtCompany]]&lt;=5,"2-5 Years",IF(HR_Data[[#This Row],[YearsAtCompany]]&lt;=10,"6-10 Years","10+ Years")))</f>
        <v>6-10 Years</v>
      </c>
      <c r="AO981" s="1" t="str">
        <f>IF(HR_Data[[#This Row],[JobSatisfaction]]=1,"Low",IF(HR_Data[[#This Row],[JobSatisfaction]]=2,"Medium",IF(HR_Data[[#This Row],[JobSatisfaction]]=3,"High","Very High")))</f>
        <v>High</v>
      </c>
      <c r="AP981" s="1" t="str">
        <f>IF(HR_Data[[#This Row],[WorkLifeBalance]]=1,"Bad",IF(HR_Data[[#This Row],[WorkLifeBalance]]=2,"Good",IF(HR_Data[[#This Row],[WorkLifeBalance]]=3,"Better","Best")))</f>
        <v>Better</v>
      </c>
    </row>
    <row r="982" spans="1:42" x14ac:dyDescent="0.3">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c r="AJ982">
        <f>IF(HR_Data[[#This Row],[Attrition]]="Yes",1,0)</f>
        <v>1</v>
      </c>
      <c r="AK982">
        <f>IF(HR_Data[[#This Row],[Attrition]]="No",1,0)</f>
        <v>0</v>
      </c>
      <c r="AL982" t="str">
        <f>IF(HR_Data[[#This Row],[Age]]&lt;25,"Under 25",IF(HR_Data[[#This Row],[Age]]&lt;=34,"25-34",IF(HR_Data[[#This Row],[Age]]&lt;=44,"35-44",IF(HR_Data[[#This Row],[Age]]&lt;=54,"45-54","55+"))))</f>
        <v>25-34</v>
      </c>
      <c r="AM982" s="1" t="str">
        <f>IF(HR_Data[[#This Row],[MonthlyIncome]]&lt;3000,"Low Salary",IF(HR_Data[[#This Row],[MonthlyIncome]]&lt;=7000,"Medium Salary","High Salary"))</f>
        <v>Low Salary</v>
      </c>
      <c r="AN982" s="1" t="str">
        <f>IF(HR_Data[[#This Row],[YearsAtCompany]]&lt;2,"0-1 Years",IF(HR_Data[[#This Row],[YearsAtCompany]]&lt;=5,"2-5 Years",IF(HR_Data[[#This Row],[YearsAtCompany]]&lt;=10,"6-10 Years","10+ Years")))</f>
        <v>0-1 Years</v>
      </c>
      <c r="AO982" s="1" t="str">
        <f>IF(HR_Data[[#This Row],[JobSatisfaction]]=1,"Low",IF(HR_Data[[#This Row],[JobSatisfaction]]=2,"Medium",IF(HR_Data[[#This Row],[JobSatisfaction]]=3,"High","Very High")))</f>
        <v>Very High</v>
      </c>
      <c r="AP982" s="1" t="str">
        <f>IF(HR_Data[[#This Row],[WorkLifeBalance]]=1,"Bad",IF(HR_Data[[#This Row],[WorkLifeBalance]]=2,"Good",IF(HR_Data[[#This Row],[WorkLifeBalance]]=3,"Better","Best")))</f>
        <v>Best</v>
      </c>
    </row>
    <row r="983" spans="1:42" x14ac:dyDescent="0.3">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c r="AJ983">
        <f>IF(HR_Data[[#This Row],[Attrition]]="Yes",1,0)</f>
        <v>1</v>
      </c>
      <c r="AK983">
        <f>IF(HR_Data[[#This Row],[Attrition]]="No",1,0)</f>
        <v>0</v>
      </c>
      <c r="AL983" t="str">
        <f>IF(HR_Data[[#This Row],[Age]]&lt;25,"Under 25",IF(HR_Data[[#This Row],[Age]]&lt;=34,"25-34",IF(HR_Data[[#This Row],[Age]]&lt;=44,"35-44",IF(HR_Data[[#This Row],[Age]]&lt;=54,"45-54","55+"))))</f>
        <v>35-44</v>
      </c>
      <c r="AM983" s="1" t="str">
        <f>IF(HR_Data[[#This Row],[MonthlyIncome]]&lt;3000,"Low Salary",IF(HR_Data[[#This Row],[MonthlyIncome]]&lt;=7000,"Medium Salary","High Salary"))</f>
        <v>Medium Salary</v>
      </c>
      <c r="AN983" s="1" t="str">
        <f>IF(HR_Data[[#This Row],[YearsAtCompany]]&lt;2,"0-1 Years",IF(HR_Data[[#This Row],[YearsAtCompany]]&lt;=5,"2-5 Years",IF(HR_Data[[#This Row],[YearsAtCompany]]&lt;=10,"6-10 Years","10+ Years")))</f>
        <v>2-5 Years</v>
      </c>
      <c r="AO983" s="1" t="str">
        <f>IF(HR_Data[[#This Row],[JobSatisfaction]]=1,"Low",IF(HR_Data[[#This Row],[JobSatisfaction]]=2,"Medium",IF(HR_Data[[#This Row],[JobSatisfaction]]=3,"High","Very High")))</f>
        <v>High</v>
      </c>
      <c r="AP983" s="1" t="str">
        <f>IF(HR_Data[[#This Row],[WorkLifeBalance]]=1,"Bad",IF(HR_Data[[#This Row],[WorkLifeBalance]]=2,"Good",IF(HR_Data[[#This Row],[WorkLifeBalance]]=3,"Better","Best")))</f>
        <v>Good</v>
      </c>
    </row>
    <row r="984" spans="1:42" x14ac:dyDescent="0.3">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c r="AJ984">
        <f>IF(HR_Data[[#This Row],[Attrition]]="Yes",1,0)</f>
        <v>0</v>
      </c>
      <c r="AK984">
        <f>IF(HR_Data[[#This Row],[Attrition]]="No",1,0)</f>
        <v>1</v>
      </c>
      <c r="AL984" t="str">
        <f>IF(HR_Data[[#This Row],[Age]]&lt;25,"Under 25",IF(HR_Data[[#This Row],[Age]]&lt;=34,"25-34",IF(HR_Data[[#This Row],[Age]]&lt;=44,"35-44",IF(HR_Data[[#This Row],[Age]]&lt;=54,"45-54","55+"))))</f>
        <v>35-44</v>
      </c>
      <c r="AM984" s="1" t="str">
        <f>IF(HR_Data[[#This Row],[MonthlyIncome]]&lt;3000,"Low Salary",IF(HR_Data[[#This Row],[MonthlyIncome]]&lt;=7000,"Medium Salary","High Salary"))</f>
        <v>Low Salary</v>
      </c>
      <c r="AN984" s="1" t="str">
        <f>IF(HR_Data[[#This Row],[YearsAtCompany]]&lt;2,"0-1 Years",IF(HR_Data[[#This Row],[YearsAtCompany]]&lt;=5,"2-5 Years",IF(HR_Data[[#This Row],[YearsAtCompany]]&lt;=10,"6-10 Years","10+ Years")))</f>
        <v>2-5 Years</v>
      </c>
      <c r="AO984" s="1" t="str">
        <f>IF(HR_Data[[#This Row],[JobSatisfaction]]=1,"Low",IF(HR_Data[[#This Row],[JobSatisfaction]]=2,"Medium",IF(HR_Data[[#This Row],[JobSatisfaction]]=3,"High","Very High")))</f>
        <v>High</v>
      </c>
      <c r="AP984" s="1" t="str">
        <f>IF(HR_Data[[#This Row],[WorkLifeBalance]]=1,"Bad",IF(HR_Data[[#This Row],[WorkLifeBalance]]=2,"Good",IF(HR_Data[[#This Row],[WorkLifeBalance]]=3,"Better","Best")))</f>
        <v>Better</v>
      </c>
    </row>
    <row r="985" spans="1:42" x14ac:dyDescent="0.3">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c r="AJ985">
        <f>IF(HR_Data[[#This Row],[Attrition]]="Yes",1,0)</f>
        <v>0</v>
      </c>
      <c r="AK985">
        <f>IF(HR_Data[[#This Row],[Attrition]]="No",1,0)</f>
        <v>1</v>
      </c>
      <c r="AL985" t="str">
        <f>IF(HR_Data[[#This Row],[Age]]&lt;25,"Under 25",IF(HR_Data[[#This Row],[Age]]&lt;=34,"25-34",IF(HR_Data[[#This Row],[Age]]&lt;=44,"35-44",IF(HR_Data[[#This Row],[Age]]&lt;=54,"45-54","55+"))))</f>
        <v>25-34</v>
      </c>
      <c r="AM985" s="1" t="str">
        <f>IF(HR_Data[[#This Row],[MonthlyIncome]]&lt;3000,"Low Salary",IF(HR_Data[[#This Row],[MonthlyIncome]]&lt;=7000,"Medium Salary","High Salary"))</f>
        <v>Medium Salary</v>
      </c>
      <c r="AN985" s="1" t="str">
        <f>IF(HR_Data[[#This Row],[YearsAtCompany]]&lt;2,"0-1 Years",IF(HR_Data[[#This Row],[YearsAtCompany]]&lt;=5,"2-5 Years",IF(HR_Data[[#This Row],[YearsAtCompany]]&lt;=10,"6-10 Years","10+ Years")))</f>
        <v>10+ Years</v>
      </c>
      <c r="AO985" s="1" t="str">
        <f>IF(HR_Data[[#This Row],[JobSatisfaction]]=1,"Low",IF(HR_Data[[#This Row],[JobSatisfaction]]=2,"Medium",IF(HR_Data[[#This Row],[JobSatisfaction]]=3,"High","Very High")))</f>
        <v>Very High</v>
      </c>
      <c r="AP985" s="1" t="str">
        <f>IF(HR_Data[[#This Row],[WorkLifeBalance]]=1,"Bad",IF(HR_Data[[#This Row],[WorkLifeBalance]]=2,"Good",IF(HR_Data[[#This Row],[WorkLifeBalance]]=3,"Better","Best")))</f>
        <v>Best</v>
      </c>
    </row>
    <row r="986" spans="1:42" x14ac:dyDescent="0.3">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c r="AJ986">
        <f>IF(HR_Data[[#This Row],[Attrition]]="Yes",1,0)</f>
        <v>0</v>
      </c>
      <c r="AK986">
        <f>IF(HR_Data[[#This Row],[Attrition]]="No",1,0)</f>
        <v>1</v>
      </c>
      <c r="AL986" t="str">
        <f>IF(HR_Data[[#This Row],[Age]]&lt;25,"Under 25",IF(HR_Data[[#This Row],[Age]]&lt;=34,"25-34",IF(HR_Data[[#This Row],[Age]]&lt;=44,"35-44",IF(HR_Data[[#This Row],[Age]]&lt;=54,"45-54","55+"))))</f>
        <v>25-34</v>
      </c>
      <c r="AM986" s="1" t="str">
        <f>IF(HR_Data[[#This Row],[MonthlyIncome]]&lt;3000,"Low Salary",IF(HR_Data[[#This Row],[MonthlyIncome]]&lt;=7000,"Medium Salary","High Salary"))</f>
        <v>Medium Salary</v>
      </c>
      <c r="AN986" s="1" t="str">
        <f>IF(HR_Data[[#This Row],[YearsAtCompany]]&lt;2,"0-1 Years",IF(HR_Data[[#This Row],[YearsAtCompany]]&lt;=5,"2-5 Years",IF(HR_Data[[#This Row],[YearsAtCompany]]&lt;=10,"6-10 Years","10+ Years")))</f>
        <v>2-5 Years</v>
      </c>
      <c r="AO986" s="1" t="str">
        <f>IF(HR_Data[[#This Row],[JobSatisfaction]]=1,"Low",IF(HR_Data[[#This Row],[JobSatisfaction]]=2,"Medium",IF(HR_Data[[#This Row],[JobSatisfaction]]=3,"High","Very High")))</f>
        <v>Low</v>
      </c>
      <c r="AP986" s="1" t="str">
        <f>IF(HR_Data[[#This Row],[WorkLifeBalance]]=1,"Bad",IF(HR_Data[[#This Row],[WorkLifeBalance]]=2,"Good",IF(HR_Data[[#This Row],[WorkLifeBalance]]=3,"Better","Best")))</f>
        <v>Better</v>
      </c>
    </row>
    <row r="987" spans="1:42" x14ac:dyDescent="0.3">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c r="AJ987">
        <f>IF(HR_Data[[#This Row],[Attrition]]="Yes",1,0)</f>
        <v>1</v>
      </c>
      <c r="AK987">
        <f>IF(HR_Data[[#This Row],[Attrition]]="No",1,0)</f>
        <v>0</v>
      </c>
      <c r="AL987" t="str">
        <f>IF(HR_Data[[#This Row],[Age]]&lt;25,"Under 25",IF(HR_Data[[#This Row],[Age]]&lt;=34,"25-34",IF(HR_Data[[#This Row],[Age]]&lt;=44,"35-44",IF(HR_Data[[#This Row],[Age]]&lt;=54,"45-54","55+"))))</f>
        <v>25-34</v>
      </c>
      <c r="AM987" s="1" t="str">
        <f>IF(HR_Data[[#This Row],[MonthlyIncome]]&lt;3000,"Low Salary",IF(HR_Data[[#This Row],[MonthlyIncome]]&lt;=7000,"Medium Salary","High Salary"))</f>
        <v>Medium Salary</v>
      </c>
      <c r="AN987" s="1" t="str">
        <f>IF(HR_Data[[#This Row],[YearsAtCompany]]&lt;2,"0-1 Years",IF(HR_Data[[#This Row],[YearsAtCompany]]&lt;=5,"2-5 Years",IF(HR_Data[[#This Row],[YearsAtCompany]]&lt;=10,"6-10 Years","10+ Years")))</f>
        <v>6-10 Years</v>
      </c>
      <c r="AO987" s="1" t="str">
        <f>IF(HR_Data[[#This Row],[JobSatisfaction]]=1,"Low",IF(HR_Data[[#This Row],[JobSatisfaction]]=2,"Medium",IF(HR_Data[[#This Row],[JobSatisfaction]]=3,"High","Very High")))</f>
        <v>High</v>
      </c>
      <c r="AP987" s="1" t="str">
        <f>IF(HR_Data[[#This Row],[WorkLifeBalance]]=1,"Bad",IF(HR_Data[[#This Row],[WorkLifeBalance]]=2,"Good",IF(HR_Data[[#This Row],[WorkLifeBalance]]=3,"Better","Best")))</f>
        <v>Good</v>
      </c>
    </row>
    <row r="988" spans="1:42" x14ac:dyDescent="0.3">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c r="AJ988">
        <f>IF(HR_Data[[#This Row],[Attrition]]="Yes",1,0)</f>
        <v>0</v>
      </c>
      <c r="AK988">
        <f>IF(HR_Data[[#This Row],[Attrition]]="No",1,0)</f>
        <v>1</v>
      </c>
      <c r="AL988" t="str">
        <f>IF(HR_Data[[#This Row],[Age]]&lt;25,"Under 25",IF(HR_Data[[#This Row],[Age]]&lt;=34,"25-34",IF(HR_Data[[#This Row],[Age]]&lt;=44,"35-44",IF(HR_Data[[#This Row],[Age]]&lt;=54,"45-54","55+"))))</f>
        <v>35-44</v>
      </c>
      <c r="AM988" s="1" t="str">
        <f>IF(HR_Data[[#This Row],[MonthlyIncome]]&lt;3000,"Low Salary",IF(HR_Data[[#This Row],[MonthlyIncome]]&lt;=7000,"Medium Salary","High Salary"))</f>
        <v>Medium Salary</v>
      </c>
      <c r="AN988" s="1" t="str">
        <f>IF(HR_Data[[#This Row],[YearsAtCompany]]&lt;2,"0-1 Years",IF(HR_Data[[#This Row],[YearsAtCompany]]&lt;=5,"2-5 Years",IF(HR_Data[[#This Row],[YearsAtCompany]]&lt;=10,"6-10 Years","10+ Years")))</f>
        <v>2-5 Years</v>
      </c>
      <c r="AO988" s="1" t="str">
        <f>IF(HR_Data[[#This Row],[JobSatisfaction]]=1,"Low",IF(HR_Data[[#This Row],[JobSatisfaction]]=2,"Medium",IF(HR_Data[[#This Row],[JobSatisfaction]]=3,"High","Very High")))</f>
        <v>Very High</v>
      </c>
      <c r="AP988" s="1" t="str">
        <f>IF(HR_Data[[#This Row],[WorkLifeBalance]]=1,"Bad",IF(HR_Data[[#This Row],[WorkLifeBalance]]=2,"Good",IF(HR_Data[[#This Row],[WorkLifeBalance]]=3,"Better","Best")))</f>
        <v>Best</v>
      </c>
    </row>
    <row r="989" spans="1:42" x14ac:dyDescent="0.3">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c r="AJ989">
        <f>IF(HR_Data[[#This Row],[Attrition]]="Yes",1,0)</f>
        <v>0</v>
      </c>
      <c r="AK989">
        <f>IF(HR_Data[[#This Row],[Attrition]]="No",1,0)</f>
        <v>1</v>
      </c>
      <c r="AL989" t="str">
        <f>IF(HR_Data[[#This Row],[Age]]&lt;25,"Under 25",IF(HR_Data[[#This Row],[Age]]&lt;=34,"25-34",IF(HR_Data[[#This Row],[Age]]&lt;=44,"35-44",IF(HR_Data[[#This Row],[Age]]&lt;=54,"45-54","55+"))))</f>
        <v>45-54</v>
      </c>
      <c r="AM989" s="1" t="str">
        <f>IF(HR_Data[[#This Row],[MonthlyIncome]]&lt;3000,"Low Salary",IF(HR_Data[[#This Row],[MonthlyIncome]]&lt;=7000,"Medium Salary","High Salary"))</f>
        <v>High Salary</v>
      </c>
      <c r="AN989" s="1" t="str">
        <f>IF(HR_Data[[#This Row],[YearsAtCompany]]&lt;2,"0-1 Years",IF(HR_Data[[#This Row],[YearsAtCompany]]&lt;=5,"2-5 Years",IF(HR_Data[[#This Row],[YearsAtCompany]]&lt;=10,"6-10 Years","10+ Years")))</f>
        <v>2-5 Years</v>
      </c>
      <c r="AO989" s="1" t="str">
        <f>IF(HR_Data[[#This Row],[JobSatisfaction]]=1,"Low",IF(HR_Data[[#This Row],[JobSatisfaction]]=2,"Medium",IF(HR_Data[[#This Row],[JobSatisfaction]]=3,"High","Very High")))</f>
        <v>Medium</v>
      </c>
      <c r="AP989" s="1" t="str">
        <f>IF(HR_Data[[#This Row],[WorkLifeBalance]]=1,"Bad",IF(HR_Data[[#This Row],[WorkLifeBalance]]=2,"Good",IF(HR_Data[[#This Row],[WorkLifeBalance]]=3,"Better","Best")))</f>
        <v>Better</v>
      </c>
    </row>
    <row r="990" spans="1:42" x14ac:dyDescent="0.3">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c r="AJ990">
        <f>IF(HR_Data[[#This Row],[Attrition]]="Yes",1,0)</f>
        <v>0</v>
      </c>
      <c r="AK990">
        <f>IF(HR_Data[[#This Row],[Attrition]]="No",1,0)</f>
        <v>1</v>
      </c>
      <c r="AL990" t="str">
        <f>IF(HR_Data[[#This Row],[Age]]&lt;25,"Under 25",IF(HR_Data[[#This Row],[Age]]&lt;=34,"25-34",IF(HR_Data[[#This Row],[Age]]&lt;=44,"35-44",IF(HR_Data[[#This Row],[Age]]&lt;=54,"45-54","55+"))))</f>
        <v>35-44</v>
      </c>
      <c r="AM990" s="1" t="str">
        <f>IF(HR_Data[[#This Row],[MonthlyIncome]]&lt;3000,"Low Salary",IF(HR_Data[[#This Row],[MonthlyIncome]]&lt;=7000,"Medium Salary","High Salary"))</f>
        <v>Medium Salary</v>
      </c>
      <c r="AN990" s="1" t="str">
        <f>IF(HR_Data[[#This Row],[YearsAtCompany]]&lt;2,"0-1 Years",IF(HR_Data[[#This Row],[YearsAtCompany]]&lt;=5,"2-5 Years",IF(HR_Data[[#This Row],[YearsAtCompany]]&lt;=10,"6-10 Years","10+ Years")))</f>
        <v>6-10 Years</v>
      </c>
      <c r="AO990" s="1" t="str">
        <f>IF(HR_Data[[#This Row],[JobSatisfaction]]=1,"Low",IF(HR_Data[[#This Row],[JobSatisfaction]]=2,"Medium",IF(HR_Data[[#This Row],[JobSatisfaction]]=3,"High","Very High")))</f>
        <v>Very High</v>
      </c>
      <c r="AP990" s="1" t="str">
        <f>IF(HR_Data[[#This Row],[WorkLifeBalance]]=1,"Bad",IF(HR_Data[[#This Row],[WorkLifeBalance]]=2,"Good",IF(HR_Data[[#This Row],[WorkLifeBalance]]=3,"Better","Best")))</f>
        <v>Good</v>
      </c>
    </row>
    <row r="991" spans="1:42" x14ac:dyDescent="0.3">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c r="AJ991">
        <f>IF(HR_Data[[#This Row],[Attrition]]="Yes",1,0)</f>
        <v>0</v>
      </c>
      <c r="AK991">
        <f>IF(HR_Data[[#This Row],[Attrition]]="No",1,0)</f>
        <v>1</v>
      </c>
      <c r="AL991" t="str">
        <f>IF(HR_Data[[#This Row],[Age]]&lt;25,"Under 25",IF(HR_Data[[#This Row],[Age]]&lt;=34,"25-34",IF(HR_Data[[#This Row],[Age]]&lt;=44,"35-44",IF(HR_Data[[#This Row],[Age]]&lt;=54,"45-54","55+"))))</f>
        <v>35-44</v>
      </c>
      <c r="AM991" s="1" t="str">
        <f>IF(HR_Data[[#This Row],[MonthlyIncome]]&lt;3000,"Low Salary",IF(HR_Data[[#This Row],[MonthlyIncome]]&lt;=7000,"Medium Salary","High Salary"))</f>
        <v>Low Salary</v>
      </c>
      <c r="AN991" s="1" t="str">
        <f>IF(HR_Data[[#This Row],[YearsAtCompany]]&lt;2,"0-1 Years",IF(HR_Data[[#This Row],[YearsAtCompany]]&lt;=5,"2-5 Years",IF(HR_Data[[#This Row],[YearsAtCompany]]&lt;=10,"6-10 Years","10+ Years")))</f>
        <v>6-10 Years</v>
      </c>
      <c r="AO991" s="1" t="str">
        <f>IF(HR_Data[[#This Row],[JobSatisfaction]]=1,"Low",IF(HR_Data[[#This Row],[JobSatisfaction]]=2,"Medium",IF(HR_Data[[#This Row],[JobSatisfaction]]=3,"High","Very High")))</f>
        <v>High</v>
      </c>
      <c r="AP991" s="1" t="str">
        <f>IF(HR_Data[[#This Row],[WorkLifeBalance]]=1,"Bad",IF(HR_Data[[#This Row],[WorkLifeBalance]]=2,"Good",IF(HR_Data[[#This Row],[WorkLifeBalance]]=3,"Better","Best")))</f>
        <v>Better</v>
      </c>
    </row>
    <row r="992" spans="1:42" x14ac:dyDescent="0.3">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c r="AJ992">
        <f>IF(HR_Data[[#This Row],[Attrition]]="Yes",1,0)</f>
        <v>0</v>
      </c>
      <c r="AK992">
        <f>IF(HR_Data[[#This Row],[Attrition]]="No",1,0)</f>
        <v>1</v>
      </c>
      <c r="AL992" t="str">
        <f>IF(HR_Data[[#This Row],[Age]]&lt;25,"Under 25",IF(HR_Data[[#This Row],[Age]]&lt;=34,"25-34",IF(HR_Data[[#This Row],[Age]]&lt;=44,"35-44",IF(HR_Data[[#This Row],[Age]]&lt;=54,"45-54","55+"))))</f>
        <v>25-34</v>
      </c>
      <c r="AM992" s="1" t="str">
        <f>IF(HR_Data[[#This Row],[MonthlyIncome]]&lt;3000,"Low Salary",IF(HR_Data[[#This Row],[MonthlyIncome]]&lt;=7000,"Medium Salary","High Salary"))</f>
        <v>High Salary</v>
      </c>
      <c r="AN992" s="1" t="str">
        <f>IF(HR_Data[[#This Row],[YearsAtCompany]]&lt;2,"0-1 Years",IF(HR_Data[[#This Row],[YearsAtCompany]]&lt;=5,"2-5 Years",IF(HR_Data[[#This Row],[YearsAtCompany]]&lt;=10,"6-10 Years","10+ Years")))</f>
        <v>2-5 Years</v>
      </c>
      <c r="AO992" s="1" t="str">
        <f>IF(HR_Data[[#This Row],[JobSatisfaction]]=1,"Low",IF(HR_Data[[#This Row],[JobSatisfaction]]=2,"Medium",IF(HR_Data[[#This Row],[JobSatisfaction]]=3,"High","Very High")))</f>
        <v>Very High</v>
      </c>
      <c r="AP992" s="1" t="str">
        <f>IF(HR_Data[[#This Row],[WorkLifeBalance]]=1,"Bad",IF(HR_Data[[#This Row],[WorkLifeBalance]]=2,"Good",IF(HR_Data[[#This Row],[WorkLifeBalance]]=3,"Better","Best")))</f>
        <v>Best</v>
      </c>
    </row>
    <row r="993" spans="1:42" x14ac:dyDescent="0.3">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c r="AJ993">
        <f>IF(HR_Data[[#This Row],[Attrition]]="Yes",1,0)</f>
        <v>0</v>
      </c>
      <c r="AK993">
        <f>IF(HR_Data[[#This Row],[Attrition]]="No",1,0)</f>
        <v>1</v>
      </c>
      <c r="AL993" t="str">
        <f>IF(HR_Data[[#This Row],[Age]]&lt;25,"Under 25",IF(HR_Data[[#This Row],[Age]]&lt;=34,"25-34",IF(HR_Data[[#This Row],[Age]]&lt;=44,"35-44",IF(HR_Data[[#This Row],[Age]]&lt;=54,"45-54","55+"))))</f>
        <v>25-34</v>
      </c>
      <c r="AM993" s="1" t="str">
        <f>IF(HR_Data[[#This Row],[MonthlyIncome]]&lt;3000,"Low Salary",IF(HR_Data[[#This Row],[MonthlyIncome]]&lt;=7000,"Medium Salary","High Salary"))</f>
        <v>Medium Salary</v>
      </c>
      <c r="AN993" s="1" t="str">
        <f>IF(HR_Data[[#This Row],[YearsAtCompany]]&lt;2,"0-1 Years",IF(HR_Data[[#This Row],[YearsAtCompany]]&lt;=5,"2-5 Years",IF(HR_Data[[#This Row],[YearsAtCompany]]&lt;=10,"6-10 Years","10+ Years")))</f>
        <v>2-5 Years</v>
      </c>
      <c r="AO993" s="1" t="str">
        <f>IF(HR_Data[[#This Row],[JobSatisfaction]]=1,"Low",IF(HR_Data[[#This Row],[JobSatisfaction]]=2,"Medium",IF(HR_Data[[#This Row],[JobSatisfaction]]=3,"High","Very High")))</f>
        <v>Medium</v>
      </c>
      <c r="AP993" s="1" t="str">
        <f>IF(HR_Data[[#This Row],[WorkLifeBalance]]=1,"Bad",IF(HR_Data[[#This Row],[WorkLifeBalance]]=2,"Good",IF(HR_Data[[#This Row],[WorkLifeBalance]]=3,"Better","Best")))</f>
        <v>Good</v>
      </c>
    </row>
    <row r="994" spans="1:42" x14ac:dyDescent="0.3">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c r="AJ994">
        <f>IF(HR_Data[[#This Row],[Attrition]]="Yes",1,0)</f>
        <v>0</v>
      </c>
      <c r="AK994">
        <f>IF(HR_Data[[#This Row],[Attrition]]="No",1,0)</f>
        <v>1</v>
      </c>
      <c r="AL994" t="str">
        <f>IF(HR_Data[[#This Row],[Age]]&lt;25,"Under 25",IF(HR_Data[[#This Row],[Age]]&lt;=34,"25-34",IF(HR_Data[[#This Row],[Age]]&lt;=44,"35-44",IF(HR_Data[[#This Row],[Age]]&lt;=54,"45-54","55+"))))</f>
        <v>35-44</v>
      </c>
      <c r="AM994" s="1" t="str">
        <f>IF(HR_Data[[#This Row],[MonthlyIncome]]&lt;3000,"Low Salary",IF(HR_Data[[#This Row],[MonthlyIncome]]&lt;=7000,"Medium Salary","High Salary"))</f>
        <v>High Salary</v>
      </c>
      <c r="AN994" s="1" t="str">
        <f>IF(HR_Data[[#This Row],[YearsAtCompany]]&lt;2,"0-1 Years",IF(HR_Data[[#This Row],[YearsAtCompany]]&lt;=5,"2-5 Years",IF(HR_Data[[#This Row],[YearsAtCompany]]&lt;=10,"6-10 Years","10+ Years")))</f>
        <v>6-10 Years</v>
      </c>
      <c r="AO994" s="1" t="str">
        <f>IF(HR_Data[[#This Row],[JobSatisfaction]]=1,"Low",IF(HR_Data[[#This Row],[JobSatisfaction]]=2,"Medium",IF(HR_Data[[#This Row],[JobSatisfaction]]=3,"High","Very High")))</f>
        <v>High</v>
      </c>
      <c r="AP994" s="1" t="str">
        <f>IF(HR_Data[[#This Row],[WorkLifeBalance]]=1,"Bad",IF(HR_Data[[#This Row],[WorkLifeBalance]]=2,"Good",IF(HR_Data[[#This Row],[WorkLifeBalance]]=3,"Better","Best")))</f>
        <v>Better</v>
      </c>
    </row>
    <row r="995" spans="1:42" x14ac:dyDescent="0.3">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c r="AJ995">
        <f>IF(HR_Data[[#This Row],[Attrition]]="Yes",1,0)</f>
        <v>0</v>
      </c>
      <c r="AK995">
        <f>IF(HR_Data[[#This Row],[Attrition]]="No",1,0)</f>
        <v>1</v>
      </c>
      <c r="AL995" t="str">
        <f>IF(HR_Data[[#This Row],[Age]]&lt;25,"Under 25",IF(HR_Data[[#This Row],[Age]]&lt;=34,"25-34",IF(HR_Data[[#This Row],[Age]]&lt;=44,"35-44",IF(HR_Data[[#This Row],[Age]]&lt;=54,"45-54","55+"))))</f>
        <v>25-34</v>
      </c>
      <c r="AM995" s="1" t="str">
        <f>IF(HR_Data[[#This Row],[MonthlyIncome]]&lt;3000,"Low Salary",IF(HR_Data[[#This Row],[MonthlyIncome]]&lt;=7000,"Medium Salary","High Salary"))</f>
        <v>Medium Salary</v>
      </c>
      <c r="AN995" s="1" t="str">
        <f>IF(HR_Data[[#This Row],[YearsAtCompany]]&lt;2,"0-1 Years",IF(HR_Data[[#This Row],[YearsAtCompany]]&lt;=5,"2-5 Years",IF(HR_Data[[#This Row],[YearsAtCompany]]&lt;=10,"6-10 Years","10+ Years")))</f>
        <v>2-5 Years</v>
      </c>
      <c r="AO995" s="1" t="str">
        <f>IF(HR_Data[[#This Row],[JobSatisfaction]]=1,"Low",IF(HR_Data[[#This Row],[JobSatisfaction]]=2,"Medium",IF(HR_Data[[#This Row],[JobSatisfaction]]=3,"High","Very High")))</f>
        <v>High</v>
      </c>
      <c r="AP995" s="1" t="str">
        <f>IF(HR_Data[[#This Row],[WorkLifeBalance]]=1,"Bad",IF(HR_Data[[#This Row],[WorkLifeBalance]]=2,"Good",IF(HR_Data[[#This Row],[WorkLifeBalance]]=3,"Better","Best")))</f>
        <v>Good</v>
      </c>
    </row>
    <row r="996" spans="1:42" x14ac:dyDescent="0.3">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c r="AJ996">
        <f>IF(HR_Data[[#This Row],[Attrition]]="Yes",1,0)</f>
        <v>0</v>
      </c>
      <c r="AK996">
        <f>IF(HR_Data[[#This Row],[Attrition]]="No",1,0)</f>
        <v>1</v>
      </c>
      <c r="AL996" t="str">
        <f>IF(HR_Data[[#This Row],[Age]]&lt;25,"Under 25",IF(HR_Data[[#This Row],[Age]]&lt;=34,"25-34",IF(HR_Data[[#This Row],[Age]]&lt;=44,"35-44",IF(HR_Data[[#This Row],[Age]]&lt;=54,"45-54","55+"))))</f>
        <v>45-54</v>
      </c>
      <c r="AM996" s="1" t="str">
        <f>IF(HR_Data[[#This Row],[MonthlyIncome]]&lt;3000,"Low Salary",IF(HR_Data[[#This Row],[MonthlyIncome]]&lt;=7000,"Medium Salary","High Salary"))</f>
        <v>High Salary</v>
      </c>
      <c r="AN996" s="1" t="str">
        <f>IF(HR_Data[[#This Row],[YearsAtCompany]]&lt;2,"0-1 Years",IF(HR_Data[[#This Row],[YearsAtCompany]]&lt;=5,"2-5 Years",IF(HR_Data[[#This Row],[YearsAtCompany]]&lt;=10,"6-10 Years","10+ Years")))</f>
        <v>2-5 Years</v>
      </c>
      <c r="AO996" s="1" t="str">
        <f>IF(HR_Data[[#This Row],[JobSatisfaction]]=1,"Low",IF(HR_Data[[#This Row],[JobSatisfaction]]=2,"Medium",IF(HR_Data[[#This Row],[JobSatisfaction]]=3,"High","Very High")))</f>
        <v>High</v>
      </c>
      <c r="AP996" s="1" t="str">
        <f>IF(HR_Data[[#This Row],[WorkLifeBalance]]=1,"Bad",IF(HR_Data[[#This Row],[WorkLifeBalance]]=2,"Good",IF(HR_Data[[#This Row],[WorkLifeBalance]]=3,"Better","Best")))</f>
        <v>Good</v>
      </c>
    </row>
    <row r="997" spans="1:42" x14ac:dyDescent="0.3">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c r="AJ997">
        <f>IF(HR_Data[[#This Row],[Attrition]]="Yes",1,0)</f>
        <v>0</v>
      </c>
      <c r="AK997">
        <f>IF(HR_Data[[#This Row],[Attrition]]="No",1,0)</f>
        <v>1</v>
      </c>
      <c r="AL997" t="str">
        <f>IF(HR_Data[[#This Row],[Age]]&lt;25,"Under 25",IF(HR_Data[[#This Row],[Age]]&lt;=34,"25-34",IF(HR_Data[[#This Row],[Age]]&lt;=44,"35-44",IF(HR_Data[[#This Row],[Age]]&lt;=54,"45-54","55+"))))</f>
        <v>35-44</v>
      </c>
      <c r="AM997" s="1" t="str">
        <f>IF(HR_Data[[#This Row],[MonthlyIncome]]&lt;3000,"Low Salary",IF(HR_Data[[#This Row],[MonthlyIncome]]&lt;=7000,"Medium Salary","High Salary"))</f>
        <v>Medium Salary</v>
      </c>
      <c r="AN997" s="1" t="str">
        <f>IF(HR_Data[[#This Row],[YearsAtCompany]]&lt;2,"0-1 Years",IF(HR_Data[[#This Row],[YearsAtCompany]]&lt;=5,"2-5 Years",IF(HR_Data[[#This Row],[YearsAtCompany]]&lt;=10,"6-10 Years","10+ Years")))</f>
        <v>10+ Years</v>
      </c>
      <c r="AO997" s="1" t="str">
        <f>IF(HR_Data[[#This Row],[JobSatisfaction]]=1,"Low",IF(HR_Data[[#This Row],[JobSatisfaction]]=2,"Medium",IF(HR_Data[[#This Row],[JobSatisfaction]]=3,"High","Very High")))</f>
        <v>High</v>
      </c>
      <c r="AP997" s="1" t="str">
        <f>IF(HR_Data[[#This Row],[WorkLifeBalance]]=1,"Bad",IF(HR_Data[[#This Row],[WorkLifeBalance]]=2,"Good",IF(HR_Data[[#This Row],[WorkLifeBalance]]=3,"Better","Best")))</f>
        <v>Bad</v>
      </c>
    </row>
    <row r="998" spans="1:42" x14ac:dyDescent="0.3">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c r="AJ998">
        <f>IF(HR_Data[[#This Row],[Attrition]]="Yes",1,0)</f>
        <v>0</v>
      </c>
      <c r="AK998">
        <f>IF(HR_Data[[#This Row],[Attrition]]="No",1,0)</f>
        <v>1</v>
      </c>
      <c r="AL998" t="str">
        <f>IF(HR_Data[[#This Row],[Age]]&lt;25,"Under 25",IF(HR_Data[[#This Row],[Age]]&lt;=34,"25-34",IF(HR_Data[[#This Row],[Age]]&lt;=44,"35-44",IF(HR_Data[[#This Row],[Age]]&lt;=54,"45-54","55+"))))</f>
        <v>25-34</v>
      </c>
      <c r="AM998" s="1" t="str">
        <f>IF(HR_Data[[#This Row],[MonthlyIncome]]&lt;3000,"Low Salary",IF(HR_Data[[#This Row],[MonthlyIncome]]&lt;=7000,"Medium Salary","High Salary"))</f>
        <v>Medium Salary</v>
      </c>
      <c r="AN998" s="1" t="str">
        <f>IF(HR_Data[[#This Row],[YearsAtCompany]]&lt;2,"0-1 Years",IF(HR_Data[[#This Row],[YearsAtCompany]]&lt;=5,"2-5 Years",IF(HR_Data[[#This Row],[YearsAtCompany]]&lt;=10,"6-10 Years","10+ Years")))</f>
        <v>6-10 Years</v>
      </c>
      <c r="AO998" s="1" t="str">
        <f>IF(HR_Data[[#This Row],[JobSatisfaction]]=1,"Low",IF(HR_Data[[#This Row],[JobSatisfaction]]=2,"Medium",IF(HR_Data[[#This Row],[JobSatisfaction]]=3,"High","Very High")))</f>
        <v>Very High</v>
      </c>
      <c r="AP998" s="1" t="str">
        <f>IF(HR_Data[[#This Row],[WorkLifeBalance]]=1,"Bad",IF(HR_Data[[#This Row],[WorkLifeBalance]]=2,"Good",IF(HR_Data[[#This Row],[WorkLifeBalance]]=3,"Better","Best")))</f>
        <v>Better</v>
      </c>
    </row>
    <row r="999" spans="1:42" x14ac:dyDescent="0.3">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c r="AJ999">
        <f>IF(HR_Data[[#This Row],[Attrition]]="Yes",1,0)</f>
        <v>1</v>
      </c>
      <c r="AK999">
        <f>IF(HR_Data[[#This Row],[Attrition]]="No",1,0)</f>
        <v>0</v>
      </c>
      <c r="AL999" t="str">
        <f>IF(HR_Data[[#This Row],[Age]]&lt;25,"Under 25",IF(HR_Data[[#This Row],[Age]]&lt;=34,"25-34",IF(HR_Data[[#This Row],[Age]]&lt;=44,"35-44",IF(HR_Data[[#This Row],[Age]]&lt;=54,"45-54","55+"))))</f>
        <v>25-34</v>
      </c>
      <c r="AM999" s="1" t="str">
        <f>IF(HR_Data[[#This Row],[MonthlyIncome]]&lt;3000,"Low Salary",IF(HR_Data[[#This Row],[MonthlyIncome]]&lt;=7000,"Medium Salary","High Salary"))</f>
        <v>Low Salary</v>
      </c>
      <c r="AN999" s="1" t="str">
        <f>IF(HR_Data[[#This Row],[YearsAtCompany]]&lt;2,"0-1 Years",IF(HR_Data[[#This Row],[YearsAtCompany]]&lt;=5,"2-5 Years",IF(HR_Data[[#This Row],[YearsAtCompany]]&lt;=10,"6-10 Years","10+ Years")))</f>
        <v>6-10 Years</v>
      </c>
      <c r="AO999" s="1" t="str">
        <f>IF(HR_Data[[#This Row],[JobSatisfaction]]=1,"Low",IF(HR_Data[[#This Row],[JobSatisfaction]]=2,"Medium",IF(HR_Data[[#This Row],[JobSatisfaction]]=3,"High","Very High")))</f>
        <v>High</v>
      </c>
      <c r="AP999" s="1" t="str">
        <f>IF(HR_Data[[#This Row],[WorkLifeBalance]]=1,"Bad",IF(HR_Data[[#This Row],[WorkLifeBalance]]=2,"Good",IF(HR_Data[[#This Row],[WorkLifeBalance]]=3,"Better","Best")))</f>
        <v>Better</v>
      </c>
    </row>
    <row r="1000" spans="1:42" x14ac:dyDescent="0.3">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c r="AJ1000">
        <f>IF(HR_Data[[#This Row],[Attrition]]="Yes",1,0)</f>
        <v>0</v>
      </c>
      <c r="AK1000">
        <f>IF(HR_Data[[#This Row],[Attrition]]="No",1,0)</f>
        <v>1</v>
      </c>
      <c r="AL1000" t="str">
        <f>IF(HR_Data[[#This Row],[Age]]&lt;25,"Under 25",IF(HR_Data[[#This Row],[Age]]&lt;=34,"25-34",IF(HR_Data[[#This Row],[Age]]&lt;=44,"35-44",IF(HR_Data[[#This Row],[Age]]&lt;=54,"45-54","55+"))))</f>
        <v>25-34</v>
      </c>
      <c r="AM1000" s="1" t="str">
        <f>IF(HR_Data[[#This Row],[MonthlyIncome]]&lt;3000,"Low Salary",IF(HR_Data[[#This Row],[MonthlyIncome]]&lt;=7000,"Medium Salary","High Salary"))</f>
        <v>Medium Salary</v>
      </c>
      <c r="AN1000" s="1" t="str">
        <f>IF(HR_Data[[#This Row],[YearsAtCompany]]&lt;2,"0-1 Years",IF(HR_Data[[#This Row],[YearsAtCompany]]&lt;=5,"2-5 Years",IF(HR_Data[[#This Row],[YearsAtCompany]]&lt;=10,"6-10 Years","10+ Years")))</f>
        <v>2-5 Years</v>
      </c>
      <c r="AO1000" s="1" t="str">
        <f>IF(HR_Data[[#This Row],[JobSatisfaction]]=1,"Low",IF(HR_Data[[#This Row],[JobSatisfaction]]=2,"Medium",IF(HR_Data[[#This Row],[JobSatisfaction]]=3,"High","Very High")))</f>
        <v>Very High</v>
      </c>
      <c r="AP1000" s="1" t="str">
        <f>IF(HR_Data[[#This Row],[WorkLifeBalance]]=1,"Bad",IF(HR_Data[[#This Row],[WorkLifeBalance]]=2,"Good",IF(HR_Data[[#This Row],[WorkLifeBalance]]=3,"Better","Best")))</f>
        <v>Better</v>
      </c>
    </row>
    <row r="1001" spans="1:42" x14ac:dyDescent="0.3">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c r="AJ1001">
        <f>IF(HR_Data[[#This Row],[Attrition]]="Yes",1,0)</f>
        <v>0</v>
      </c>
      <c r="AK1001">
        <f>IF(HR_Data[[#This Row],[Attrition]]="No",1,0)</f>
        <v>1</v>
      </c>
      <c r="AL1001" t="str">
        <f>IF(HR_Data[[#This Row],[Age]]&lt;25,"Under 25",IF(HR_Data[[#This Row],[Age]]&lt;=34,"25-34",IF(HR_Data[[#This Row],[Age]]&lt;=44,"35-44",IF(HR_Data[[#This Row],[Age]]&lt;=54,"45-54","55+"))))</f>
        <v>35-44</v>
      </c>
      <c r="AM1001" s="1" t="str">
        <f>IF(HR_Data[[#This Row],[MonthlyIncome]]&lt;3000,"Low Salary",IF(HR_Data[[#This Row],[MonthlyIncome]]&lt;=7000,"Medium Salary","High Salary"))</f>
        <v>High Salary</v>
      </c>
      <c r="AN1001" s="1" t="str">
        <f>IF(HR_Data[[#This Row],[YearsAtCompany]]&lt;2,"0-1 Years",IF(HR_Data[[#This Row],[YearsAtCompany]]&lt;=5,"2-5 Years",IF(HR_Data[[#This Row],[YearsAtCompany]]&lt;=10,"6-10 Years","10+ Years")))</f>
        <v>10+ Years</v>
      </c>
      <c r="AO1001" s="1" t="str">
        <f>IF(HR_Data[[#This Row],[JobSatisfaction]]=1,"Low",IF(HR_Data[[#This Row],[JobSatisfaction]]=2,"Medium",IF(HR_Data[[#This Row],[JobSatisfaction]]=3,"High","Very High")))</f>
        <v>Low</v>
      </c>
      <c r="AP1001" s="1" t="str">
        <f>IF(HR_Data[[#This Row],[WorkLifeBalance]]=1,"Bad",IF(HR_Data[[#This Row],[WorkLifeBalance]]=2,"Good",IF(HR_Data[[#This Row],[WorkLifeBalance]]=3,"Better","Best")))</f>
        <v>Better</v>
      </c>
    </row>
    <row r="1002" spans="1:42" x14ac:dyDescent="0.3">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c r="AJ1002">
        <f>IF(HR_Data[[#This Row],[Attrition]]="Yes",1,0)</f>
        <v>0</v>
      </c>
      <c r="AK1002">
        <f>IF(HR_Data[[#This Row],[Attrition]]="No",1,0)</f>
        <v>1</v>
      </c>
      <c r="AL1002" t="str">
        <f>IF(HR_Data[[#This Row],[Age]]&lt;25,"Under 25",IF(HR_Data[[#This Row],[Age]]&lt;=34,"25-34",IF(HR_Data[[#This Row],[Age]]&lt;=44,"35-44",IF(HR_Data[[#This Row],[Age]]&lt;=54,"45-54","55+"))))</f>
        <v>45-54</v>
      </c>
      <c r="AM1002" s="1" t="str">
        <f>IF(HR_Data[[#This Row],[MonthlyIncome]]&lt;3000,"Low Salary",IF(HR_Data[[#This Row],[MonthlyIncome]]&lt;=7000,"Medium Salary","High Salary"))</f>
        <v>Low Salary</v>
      </c>
      <c r="AN1002" s="1" t="str">
        <f>IF(HR_Data[[#This Row],[YearsAtCompany]]&lt;2,"0-1 Years",IF(HR_Data[[#This Row],[YearsAtCompany]]&lt;=5,"2-5 Years",IF(HR_Data[[#This Row],[YearsAtCompany]]&lt;=10,"6-10 Years","10+ Years")))</f>
        <v>2-5 Years</v>
      </c>
      <c r="AO1002" s="1" t="str">
        <f>IF(HR_Data[[#This Row],[JobSatisfaction]]=1,"Low",IF(HR_Data[[#This Row],[JobSatisfaction]]=2,"Medium",IF(HR_Data[[#This Row],[JobSatisfaction]]=3,"High","Very High")))</f>
        <v>Low</v>
      </c>
      <c r="AP1002" s="1" t="str">
        <f>IF(HR_Data[[#This Row],[WorkLifeBalance]]=1,"Bad",IF(HR_Data[[#This Row],[WorkLifeBalance]]=2,"Good",IF(HR_Data[[#This Row],[WorkLifeBalance]]=3,"Better","Best")))</f>
        <v>Bad</v>
      </c>
    </row>
    <row r="1003" spans="1:42" x14ac:dyDescent="0.3">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c r="AJ1003">
        <f>IF(HR_Data[[#This Row],[Attrition]]="Yes",1,0)</f>
        <v>0</v>
      </c>
      <c r="AK1003">
        <f>IF(HR_Data[[#This Row],[Attrition]]="No",1,0)</f>
        <v>1</v>
      </c>
      <c r="AL1003" t="str">
        <f>IF(HR_Data[[#This Row],[Age]]&lt;25,"Under 25",IF(HR_Data[[#This Row],[Age]]&lt;=34,"25-34",IF(HR_Data[[#This Row],[Age]]&lt;=44,"35-44",IF(HR_Data[[#This Row],[Age]]&lt;=54,"45-54","55+"))))</f>
        <v>35-44</v>
      </c>
      <c r="AM1003" s="1" t="str">
        <f>IF(HR_Data[[#This Row],[MonthlyIncome]]&lt;3000,"Low Salary",IF(HR_Data[[#This Row],[MonthlyIncome]]&lt;=7000,"Medium Salary","High Salary"))</f>
        <v>Medium Salary</v>
      </c>
      <c r="AN1003" s="1" t="str">
        <f>IF(HR_Data[[#This Row],[YearsAtCompany]]&lt;2,"0-1 Years",IF(HR_Data[[#This Row],[YearsAtCompany]]&lt;=5,"2-5 Years",IF(HR_Data[[#This Row],[YearsAtCompany]]&lt;=10,"6-10 Years","10+ Years")))</f>
        <v>2-5 Years</v>
      </c>
      <c r="AO1003" s="1" t="str">
        <f>IF(HR_Data[[#This Row],[JobSatisfaction]]=1,"Low",IF(HR_Data[[#This Row],[JobSatisfaction]]=2,"Medium",IF(HR_Data[[#This Row],[JobSatisfaction]]=3,"High","Very High")))</f>
        <v>High</v>
      </c>
      <c r="AP1003" s="1" t="str">
        <f>IF(HR_Data[[#This Row],[WorkLifeBalance]]=1,"Bad",IF(HR_Data[[#This Row],[WorkLifeBalance]]=2,"Good",IF(HR_Data[[#This Row],[WorkLifeBalance]]=3,"Better","Best")))</f>
        <v>Better</v>
      </c>
    </row>
    <row r="1004" spans="1:42" x14ac:dyDescent="0.3">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c r="AJ1004">
        <f>IF(HR_Data[[#This Row],[Attrition]]="Yes",1,0)</f>
        <v>0</v>
      </c>
      <c r="AK1004">
        <f>IF(HR_Data[[#This Row],[Attrition]]="No",1,0)</f>
        <v>1</v>
      </c>
      <c r="AL1004" t="str">
        <f>IF(HR_Data[[#This Row],[Age]]&lt;25,"Under 25",IF(HR_Data[[#This Row],[Age]]&lt;=34,"25-34",IF(HR_Data[[#This Row],[Age]]&lt;=44,"35-44",IF(HR_Data[[#This Row],[Age]]&lt;=54,"45-54","55+"))))</f>
        <v>35-44</v>
      </c>
      <c r="AM1004" s="1" t="str">
        <f>IF(HR_Data[[#This Row],[MonthlyIncome]]&lt;3000,"Low Salary",IF(HR_Data[[#This Row],[MonthlyIncome]]&lt;=7000,"Medium Salary","High Salary"))</f>
        <v>High Salary</v>
      </c>
      <c r="AN1004" s="1" t="str">
        <f>IF(HR_Data[[#This Row],[YearsAtCompany]]&lt;2,"0-1 Years",IF(HR_Data[[#This Row],[YearsAtCompany]]&lt;=5,"2-5 Years",IF(HR_Data[[#This Row],[YearsAtCompany]]&lt;=10,"6-10 Years","10+ Years")))</f>
        <v>2-5 Years</v>
      </c>
      <c r="AO1004" s="1" t="str">
        <f>IF(HR_Data[[#This Row],[JobSatisfaction]]=1,"Low",IF(HR_Data[[#This Row],[JobSatisfaction]]=2,"Medium",IF(HR_Data[[#This Row],[JobSatisfaction]]=3,"High","Very High")))</f>
        <v>Very High</v>
      </c>
      <c r="AP1004" s="1" t="str">
        <f>IF(HR_Data[[#This Row],[WorkLifeBalance]]=1,"Bad",IF(HR_Data[[#This Row],[WorkLifeBalance]]=2,"Good",IF(HR_Data[[#This Row],[WorkLifeBalance]]=3,"Better","Best")))</f>
        <v>Better</v>
      </c>
    </row>
    <row r="1005" spans="1:42" x14ac:dyDescent="0.3">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c r="AJ1005">
        <f>IF(HR_Data[[#This Row],[Attrition]]="Yes",1,0)</f>
        <v>0</v>
      </c>
      <c r="AK1005">
        <f>IF(HR_Data[[#This Row],[Attrition]]="No",1,0)</f>
        <v>1</v>
      </c>
      <c r="AL1005" t="str">
        <f>IF(HR_Data[[#This Row],[Age]]&lt;25,"Under 25",IF(HR_Data[[#This Row],[Age]]&lt;=34,"25-34",IF(HR_Data[[#This Row],[Age]]&lt;=44,"35-44",IF(HR_Data[[#This Row],[Age]]&lt;=54,"45-54","55+"))))</f>
        <v>25-34</v>
      </c>
      <c r="AM1005" s="1" t="str">
        <f>IF(HR_Data[[#This Row],[MonthlyIncome]]&lt;3000,"Low Salary",IF(HR_Data[[#This Row],[MonthlyIncome]]&lt;=7000,"Medium Salary","High Salary"))</f>
        <v>Medium Salary</v>
      </c>
      <c r="AN1005" s="1" t="str">
        <f>IF(HR_Data[[#This Row],[YearsAtCompany]]&lt;2,"0-1 Years",IF(HR_Data[[#This Row],[YearsAtCompany]]&lt;=5,"2-5 Years",IF(HR_Data[[#This Row],[YearsAtCompany]]&lt;=10,"6-10 Years","10+ Years")))</f>
        <v>2-5 Years</v>
      </c>
      <c r="AO1005" s="1" t="str">
        <f>IF(HR_Data[[#This Row],[JobSatisfaction]]=1,"Low",IF(HR_Data[[#This Row],[JobSatisfaction]]=2,"Medium",IF(HR_Data[[#This Row],[JobSatisfaction]]=3,"High","Very High")))</f>
        <v>Very High</v>
      </c>
      <c r="AP1005" s="1" t="str">
        <f>IF(HR_Data[[#This Row],[WorkLifeBalance]]=1,"Bad",IF(HR_Data[[#This Row],[WorkLifeBalance]]=2,"Good",IF(HR_Data[[#This Row],[WorkLifeBalance]]=3,"Better","Best")))</f>
        <v>Good</v>
      </c>
    </row>
    <row r="1006" spans="1:42" x14ac:dyDescent="0.3">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c r="AJ1006">
        <f>IF(HR_Data[[#This Row],[Attrition]]="Yes",1,0)</f>
        <v>0</v>
      </c>
      <c r="AK1006">
        <f>IF(HR_Data[[#This Row],[Attrition]]="No",1,0)</f>
        <v>1</v>
      </c>
      <c r="AL1006" t="str">
        <f>IF(HR_Data[[#This Row],[Age]]&lt;25,"Under 25",IF(HR_Data[[#This Row],[Age]]&lt;=34,"25-34",IF(HR_Data[[#This Row],[Age]]&lt;=44,"35-44",IF(HR_Data[[#This Row],[Age]]&lt;=54,"45-54","55+"))))</f>
        <v>25-34</v>
      </c>
      <c r="AM1006" s="1" t="str">
        <f>IF(HR_Data[[#This Row],[MonthlyIncome]]&lt;3000,"Low Salary",IF(HR_Data[[#This Row],[MonthlyIncome]]&lt;=7000,"Medium Salary","High Salary"))</f>
        <v>Medium Salary</v>
      </c>
      <c r="AN1006" s="1" t="str">
        <f>IF(HR_Data[[#This Row],[YearsAtCompany]]&lt;2,"0-1 Years",IF(HR_Data[[#This Row],[YearsAtCompany]]&lt;=5,"2-5 Years",IF(HR_Data[[#This Row],[YearsAtCompany]]&lt;=10,"6-10 Years","10+ Years")))</f>
        <v>6-10 Years</v>
      </c>
      <c r="AO1006" s="1" t="str">
        <f>IF(HR_Data[[#This Row],[JobSatisfaction]]=1,"Low",IF(HR_Data[[#This Row],[JobSatisfaction]]=2,"Medium",IF(HR_Data[[#This Row],[JobSatisfaction]]=3,"High","Very High")))</f>
        <v>Low</v>
      </c>
      <c r="AP1006" s="1" t="str">
        <f>IF(HR_Data[[#This Row],[WorkLifeBalance]]=1,"Bad",IF(HR_Data[[#This Row],[WorkLifeBalance]]=2,"Good",IF(HR_Data[[#This Row],[WorkLifeBalance]]=3,"Better","Best")))</f>
        <v>Better</v>
      </c>
    </row>
    <row r="1007" spans="1:42" x14ac:dyDescent="0.3">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c r="AJ1007">
        <f>IF(HR_Data[[#This Row],[Attrition]]="Yes",1,0)</f>
        <v>0</v>
      </c>
      <c r="AK1007">
        <f>IF(HR_Data[[#This Row],[Attrition]]="No",1,0)</f>
        <v>1</v>
      </c>
      <c r="AL1007" t="str">
        <f>IF(HR_Data[[#This Row],[Age]]&lt;25,"Under 25",IF(HR_Data[[#This Row],[Age]]&lt;=34,"25-34",IF(HR_Data[[#This Row],[Age]]&lt;=44,"35-44",IF(HR_Data[[#This Row],[Age]]&lt;=54,"45-54","55+"))))</f>
        <v>25-34</v>
      </c>
      <c r="AM1007" s="1" t="str">
        <f>IF(HR_Data[[#This Row],[MonthlyIncome]]&lt;3000,"Low Salary",IF(HR_Data[[#This Row],[MonthlyIncome]]&lt;=7000,"Medium Salary","High Salary"))</f>
        <v>High Salary</v>
      </c>
      <c r="AN1007" s="1" t="str">
        <f>IF(HR_Data[[#This Row],[YearsAtCompany]]&lt;2,"0-1 Years",IF(HR_Data[[#This Row],[YearsAtCompany]]&lt;=5,"2-5 Years",IF(HR_Data[[#This Row],[YearsAtCompany]]&lt;=10,"6-10 Years","10+ Years")))</f>
        <v>6-10 Years</v>
      </c>
      <c r="AO1007" s="1" t="str">
        <f>IF(HR_Data[[#This Row],[JobSatisfaction]]=1,"Low",IF(HR_Data[[#This Row],[JobSatisfaction]]=2,"Medium",IF(HR_Data[[#This Row],[JobSatisfaction]]=3,"High","Very High")))</f>
        <v>Low</v>
      </c>
      <c r="AP1007" s="1" t="str">
        <f>IF(HR_Data[[#This Row],[WorkLifeBalance]]=1,"Bad",IF(HR_Data[[#This Row],[WorkLifeBalance]]=2,"Good",IF(HR_Data[[#This Row],[WorkLifeBalance]]=3,"Better","Best")))</f>
        <v>Good</v>
      </c>
    </row>
    <row r="1008" spans="1:42" x14ac:dyDescent="0.3">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c r="AJ1008">
        <f>IF(HR_Data[[#This Row],[Attrition]]="Yes",1,0)</f>
        <v>1</v>
      </c>
      <c r="AK1008">
        <f>IF(HR_Data[[#This Row],[Attrition]]="No",1,0)</f>
        <v>0</v>
      </c>
      <c r="AL1008" t="str">
        <f>IF(HR_Data[[#This Row],[Age]]&lt;25,"Under 25",IF(HR_Data[[#This Row],[Age]]&lt;=34,"25-34",IF(HR_Data[[#This Row],[Age]]&lt;=44,"35-44",IF(HR_Data[[#This Row],[Age]]&lt;=54,"45-54","55+"))))</f>
        <v>45-54</v>
      </c>
      <c r="AM1008" s="1" t="str">
        <f>IF(HR_Data[[#This Row],[MonthlyIncome]]&lt;3000,"Low Salary",IF(HR_Data[[#This Row],[MonthlyIncome]]&lt;=7000,"Medium Salary","High Salary"))</f>
        <v>Medium Salary</v>
      </c>
      <c r="AN1008" s="1" t="str">
        <f>IF(HR_Data[[#This Row],[YearsAtCompany]]&lt;2,"0-1 Years",IF(HR_Data[[#This Row],[YearsAtCompany]]&lt;=5,"2-5 Years",IF(HR_Data[[#This Row],[YearsAtCompany]]&lt;=10,"6-10 Years","10+ Years")))</f>
        <v>2-5 Years</v>
      </c>
      <c r="AO1008" s="1" t="str">
        <f>IF(HR_Data[[#This Row],[JobSatisfaction]]=1,"Low",IF(HR_Data[[#This Row],[JobSatisfaction]]=2,"Medium",IF(HR_Data[[#This Row],[JobSatisfaction]]=3,"High","Very High")))</f>
        <v>Low</v>
      </c>
      <c r="AP1008" s="1" t="str">
        <f>IF(HR_Data[[#This Row],[WorkLifeBalance]]=1,"Bad",IF(HR_Data[[#This Row],[WorkLifeBalance]]=2,"Good",IF(HR_Data[[#This Row],[WorkLifeBalance]]=3,"Better","Best")))</f>
        <v>Better</v>
      </c>
    </row>
    <row r="1009" spans="1:42" x14ac:dyDescent="0.3">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c r="AJ1009">
        <f>IF(HR_Data[[#This Row],[Attrition]]="Yes",1,0)</f>
        <v>1</v>
      </c>
      <c r="AK1009">
        <f>IF(HR_Data[[#This Row],[Attrition]]="No",1,0)</f>
        <v>0</v>
      </c>
      <c r="AL1009" t="str">
        <f>IF(HR_Data[[#This Row],[Age]]&lt;25,"Under 25",IF(HR_Data[[#This Row],[Age]]&lt;=34,"25-34",IF(HR_Data[[#This Row],[Age]]&lt;=44,"35-44",IF(HR_Data[[#This Row],[Age]]&lt;=54,"45-54","55+"))))</f>
        <v>25-34</v>
      </c>
      <c r="AM1009" s="1" t="str">
        <f>IF(HR_Data[[#This Row],[MonthlyIncome]]&lt;3000,"Low Salary",IF(HR_Data[[#This Row],[MonthlyIncome]]&lt;=7000,"Medium Salary","High Salary"))</f>
        <v>High Salary</v>
      </c>
      <c r="AN1009" s="1" t="str">
        <f>IF(HR_Data[[#This Row],[YearsAtCompany]]&lt;2,"0-1 Years",IF(HR_Data[[#This Row],[YearsAtCompany]]&lt;=5,"2-5 Years",IF(HR_Data[[#This Row],[YearsAtCompany]]&lt;=10,"6-10 Years","10+ Years")))</f>
        <v>6-10 Years</v>
      </c>
      <c r="AO1009" s="1" t="str">
        <f>IF(HR_Data[[#This Row],[JobSatisfaction]]=1,"Low",IF(HR_Data[[#This Row],[JobSatisfaction]]=2,"Medium",IF(HR_Data[[#This Row],[JobSatisfaction]]=3,"High","Very High")))</f>
        <v>Very High</v>
      </c>
      <c r="AP1009" s="1" t="str">
        <f>IF(HR_Data[[#This Row],[WorkLifeBalance]]=1,"Bad",IF(HR_Data[[#This Row],[WorkLifeBalance]]=2,"Good",IF(HR_Data[[#This Row],[WorkLifeBalance]]=3,"Better","Best")))</f>
        <v>Better</v>
      </c>
    </row>
    <row r="1010" spans="1:42" x14ac:dyDescent="0.3">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c r="AJ1010">
        <f>IF(HR_Data[[#This Row],[Attrition]]="Yes",1,0)</f>
        <v>0</v>
      </c>
      <c r="AK1010">
        <f>IF(HR_Data[[#This Row],[Attrition]]="No",1,0)</f>
        <v>1</v>
      </c>
      <c r="AL1010" t="str">
        <f>IF(HR_Data[[#This Row],[Age]]&lt;25,"Under 25",IF(HR_Data[[#This Row],[Age]]&lt;=34,"25-34",IF(HR_Data[[#This Row],[Age]]&lt;=44,"35-44",IF(HR_Data[[#This Row],[Age]]&lt;=54,"45-54","55+"))))</f>
        <v>45-54</v>
      </c>
      <c r="AM1010" s="1" t="str">
        <f>IF(HR_Data[[#This Row],[MonthlyIncome]]&lt;3000,"Low Salary",IF(HR_Data[[#This Row],[MonthlyIncome]]&lt;=7000,"Medium Salary","High Salary"))</f>
        <v>High Salary</v>
      </c>
      <c r="AN1010" s="1" t="str">
        <f>IF(HR_Data[[#This Row],[YearsAtCompany]]&lt;2,"0-1 Years",IF(HR_Data[[#This Row],[YearsAtCompany]]&lt;=5,"2-5 Years",IF(HR_Data[[#This Row],[YearsAtCompany]]&lt;=10,"6-10 Years","10+ Years")))</f>
        <v>10+ Years</v>
      </c>
      <c r="AO1010" s="1" t="str">
        <f>IF(HR_Data[[#This Row],[JobSatisfaction]]=1,"Low",IF(HR_Data[[#This Row],[JobSatisfaction]]=2,"Medium",IF(HR_Data[[#This Row],[JobSatisfaction]]=3,"High","Very High")))</f>
        <v>Very High</v>
      </c>
      <c r="AP1010" s="1" t="str">
        <f>IF(HR_Data[[#This Row],[WorkLifeBalance]]=1,"Bad",IF(HR_Data[[#This Row],[WorkLifeBalance]]=2,"Good",IF(HR_Data[[#This Row],[WorkLifeBalance]]=3,"Better","Best")))</f>
        <v>Good</v>
      </c>
    </row>
    <row r="1011" spans="1:42" x14ac:dyDescent="0.3">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c r="AJ1011">
        <f>IF(HR_Data[[#This Row],[Attrition]]="Yes",1,0)</f>
        <v>0</v>
      </c>
      <c r="AK1011">
        <f>IF(HR_Data[[#This Row],[Attrition]]="No",1,0)</f>
        <v>1</v>
      </c>
      <c r="AL1011" t="str">
        <f>IF(HR_Data[[#This Row],[Age]]&lt;25,"Under 25",IF(HR_Data[[#This Row],[Age]]&lt;=34,"25-34",IF(HR_Data[[#This Row],[Age]]&lt;=44,"35-44",IF(HR_Data[[#This Row],[Age]]&lt;=54,"45-54","55+"))))</f>
        <v>55+</v>
      </c>
      <c r="AM1011" s="1" t="str">
        <f>IF(HR_Data[[#This Row],[MonthlyIncome]]&lt;3000,"Low Salary",IF(HR_Data[[#This Row],[MonthlyIncome]]&lt;=7000,"Medium Salary","High Salary"))</f>
        <v>High Salary</v>
      </c>
      <c r="AN1011" s="1" t="str">
        <f>IF(HR_Data[[#This Row],[YearsAtCompany]]&lt;2,"0-1 Years",IF(HR_Data[[#This Row],[YearsAtCompany]]&lt;=5,"2-5 Years",IF(HR_Data[[#This Row],[YearsAtCompany]]&lt;=10,"6-10 Years","10+ Years")))</f>
        <v>6-10 Years</v>
      </c>
      <c r="AO1011" s="1" t="str">
        <f>IF(HR_Data[[#This Row],[JobSatisfaction]]=1,"Low",IF(HR_Data[[#This Row],[JobSatisfaction]]=2,"Medium",IF(HR_Data[[#This Row],[JobSatisfaction]]=3,"High","Very High")))</f>
        <v>Low</v>
      </c>
      <c r="AP1011" s="1" t="str">
        <f>IF(HR_Data[[#This Row],[WorkLifeBalance]]=1,"Bad",IF(HR_Data[[#This Row],[WorkLifeBalance]]=2,"Good",IF(HR_Data[[#This Row],[WorkLifeBalance]]=3,"Better","Best")))</f>
        <v>Better</v>
      </c>
    </row>
    <row r="1012" spans="1:42" x14ac:dyDescent="0.3">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c r="AJ1012">
        <f>IF(HR_Data[[#This Row],[Attrition]]="Yes",1,0)</f>
        <v>0</v>
      </c>
      <c r="AK1012">
        <f>IF(HR_Data[[#This Row],[Attrition]]="No",1,0)</f>
        <v>1</v>
      </c>
      <c r="AL1012" t="str">
        <f>IF(HR_Data[[#This Row],[Age]]&lt;25,"Under 25",IF(HR_Data[[#This Row],[Age]]&lt;=34,"25-34",IF(HR_Data[[#This Row],[Age]]&lt;=44,"35-44",IF(HR_Data[[#This Row],[Age]]&lt;=54,"45-54","55+"))))</f>
        <v>55+</v>
      </c>
      <c r="AM1012" s="1" t="str">
        <f>IF(HR_Data[[#This Row],[MonthlyIncome]]&lt;3000,"Low Salary",IF(HR_Data[[#This Row],[MonthlyIncome]]&lt;=7000,"Medium Salary","High Salary"))</f>
        <v>High Salary</v>
      </c>
      <c r="AN1012" s="1" t="str">
        <f>IF(HR_Data[[#This Row],[YearsAtCompany]]&lt;2,"0-1 Years",IF(HR_Data[[#This Row],[YearsAtCompany]]&lt;=5,"2-5 Years",IF(HR_Data[[#This Row],[YearsAtCompany]]&lt;=10,"6-10 Years","10+ Years")))</f>
        <v>6-10 Years</v>
      </c>
      <c r="AO1012" s="1" t="str">
        <f>IF(HR_Data[[#This Row],[JobSatisfaction]]=1,"Low",IF(HR_Data[[#This Row],[JobSatisfaction]]=2,"Medium",IF(HR_Data[[#This Row],[JobSatisfaction]]=3,"High","Very High")))</f>
        <v>Very High</v>
      </c>
      <c r="AP1012" s="1" t="str">
        <f>IF(HR_Data[[#This Row],[WorkLifeBalance]]=1,"Bad",IF(HR_Data[[#This Row],[WorkLifeBalance]]=2,"Good",IF(HR_Data[[#This Row],[WorkLifeBalance]]=3,"Better","Best")))</f>
        <v>Best</v>
      </c>
    </row>
    <row r="1013" spans="1:42" x14ac:dyDescent="0.3">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c r="AJ1013">
        <f>IF(HR_Data[[#This Row],[Attrition]]="Yes",1,0)</f>
        <v>0</v>
      </c>
      <c r="AK1013">
        <f>IF(HR_Data[[#This Row],[Attrition]]="No",1,0)</f>
        <v>1</v>
      </c>
      <c r="AL1013" t="str">
        <f>IF(HR_Data[[#This Row],[Age]]&lt;25,"Under 25",IF(HR_Data[[#This Row],[Age]]&lt;=34,"25-34",IF(HR_Data[[#This Row],[Age]]&lt;=44,"35-44",IF(HR_Data[[#This Row],[Age]]&lt;=54,"45-54","55+"))))</f>
        <v>35-44</v>
      </c>
      <c r="AM1013" s="1" t="str">
        <f>IF(HR_Data[[#This Row],[MonthlyIncome]]&lt;3000,"Low Salary",IF(HR_Data[[#This Row],[MonthlyIncome]]&lt;=7000,"Medium Salary","High Salary"))</f>
        <v>High Salary</v>
      </c>
      <c r="AN1013" s="1" t="str">
        <f>IF(HR_Data[[#This Row],[YearsAtCompany]]&lt;2,"0-1 Years",IF(HR_Data[[#This Row],[YearsAtCompany]]&lt;=5,"2-5 Years",IF(HR_Data[[#This Row],[YearsAtCompany]]&lt;=10,"6-10 Years","10+ Years")))</f>
        <v>2-5 Years</v>
      </c>
      <c r="AO1013" s="1" t="str">
        <f>IF(HR_Data[[#This Row],[JobSatisfaction]]=1,"Low",IF(HR_Data[[#This Row],[JobSatisfaction]]=2,"Medium",IF(HR_Data[[#This Row],[JobSatisfaction]]=3,"High","Very High")))</f>
        <v>Medium</v>
      </c>
      <c r="AP1013" s="1" t="str">
        <f>IF(HR_Data[[#This Row],[WorkLifeBalance]]=1,"Bad",IF(HR_Data[[#This Row],[WorkLifeBalance]]=2,"Good",IF(HR_Data[[#This Row],[WorkLifeBalance]]=3,"Better","Best")))</f>
        <v>Better</v>
      </c>
    </row>
    <row r="1014" spans="1:42" x14ac:dyDescent="0.3">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c r="AJ1014">
        <f>IF(HR_Data[[#This Row],[Attrition]]="Yes",1,0)</f>
        <v>1</v>
      </c>
      <c r="AK1014">
        <f>IF(HR_Data[[#This Row],[Attrition]]="No",1,0)</f>
        <v>0</v>
      </c>
      <c r="AL1014" t="str">
        <f>IF(HR_Data[[#This Row],[Age]]&lt;25,"Under 25",IF(HR_Data[[#This Row],[Age]]&lt;=34,"25-34",IF(HR_Data[[#This Row],[Age]]&lt;=44,"35-44",IF(HR_Data[[#This Row],[Age]]&lt;=54,"45-54","55+"))))</f>
        <v>25-34</v>
      </c>
      <c r="AM1014" s="1" t="str">
        <f>IF(HR_Data[[#This Row],[MonthlyIncome]]&lt;3000,"Low Salary",IF(HR_Data[[#This Row],[MonthlyIncome]]&lt;=7000,"Medium Salary","High Salary"))</f>
        <v>Low Salary</v>
      </c>
      <c r="AN1014" s="1" t="str">
        <f>IF(HR_Data[[#This Row],[YearsAtCompany]]&lt;2,"0-1 Years",IF(HR_Data[[#This Row],[YearsAtCompany]]&lt;=5,"2-5 Years",IF(HR_Data[[#This Row],[YearsAtCompany]]&lt;=10,"6-10 Years","10+ Years")))</f>
        <v>0-1 Years</v>
      </c>
      <c r="AO1014" s="1" t="str">
        <f>IF(HR_Data[[#This Row],[JobSatisfaction]]=1,"Low",IF(HR_Data[[#This Row],[JobSatisfaction]]=2,"Medium",IF(HR_Data[[#This Row],[JobSatisfaction]]=3,"High","Very High")))</f>
        <v>High</v>
      </c>
      <c r="AP1014" s="1" t="str">
        <f>IF(HR_Data[[#This Row],[WorkLifeBalance]]=1,"Bad",IF(HR_Data[[#This Row],[WorkLifeBalance]]=2,"Good",IF(HR_Data[[#This Row],[WorkLifeBalance]]=3,"Better","Best")))</f>
        <v>Better</v>
      </c>
    </row>
    <row r="1015" spans="1:42" x14ac:dyDescent="0.3">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c r="AJ1015">
        <f>IF(HR_Data[[#This Row],[Attrition]]="Yes",1,0)</f>
        <v>0</v>
      </c>
      <c r="AK1015">
        <f>IF(HR_Data[[#This Row],[Attrition]]="No",1,0)</f>
        <v>1</v>
      </c>
      <c r="AL1015" t="str">
        <f>IF(HR_Data[[#This Row],[Age]]&lt;25,"Under 25",IF(HR_Data[[#This Row],[Age]]&lt;=34,"25-34",IF(HR_Data[[#This Row],[Age]]&lt;=44,"35-44",IF(HR_Data[[#This Row],[Age]]&lt;=54,"45-54","55+"))))</f>
        <v>25-34</v>
      </c>
      <c r="AM1015" s="1" t="str">
        <f>IF(HR_Data[[#This Row],[MonthlyIncome]]&lt;3000,"Low Salary",IF(HR_Data[[#This Row],[MonthlyIncome]]&lt;=7000,"Medium Salary","High Salary"))</f>
        <v>Medium Salary</v>
      </c>
      <c r="AN1015" s="1" t="str">
        <f>IF(HR_Data[[#This Row],[YearsAtCompany]]&lt;2,"0-1 Years",IF(HR_Data[[#This Row],[YearsAtCompany]]&lt;=5,"2-5 Years",IF(HR_Data[[#This Row],[YearsAtCompany]]&lt;=10,"6-10 Years","10+ Years")))</f>
        <v>2-5 Years</v>
      </c>
      <c r="AO1015" s="1" t="str">
        <f>IF(HR_Data[[#This Row],[JobSatisfaction]]=1,"Low",IF(HR_Data[[#This Row],[JobSatisfaction]]=2,"Medium",IF(HR_Data[[#This Row],[JobSatisfaction]]=3,"High","Very High")))</f>
        <v>Low</v>
      </c>
      <c r="AP1015" s="1" t="str">
        <f>IF(HR_Data[[#This Row],[WorkLifeBalance]]=1,"Bad",IF(HR_Data[[#This Row],[WorkLifeBalance]]=2,"Good",IF(HR_Data[[#This Row],[WorkLifeBalance]]=3,"Better","Best")))</f>
        <v>Better</v>
      </c>
    </row>
    <row r="1016" spans="1:42" x14ac:dyDescent="0.3">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c r="AJ1016">
        <f>IF(HR_Data[[#This Row],[Attrition]]="Yes",1,0)</f>
        <v>0</v>
      </c>
      <c r="AK1016">
        <f>IF(HR_Data[[#This Row],[Attrition]]="No",1,0)</f>
        <v>1</v>
      </c>
      <c r="AL1016" t="str">
        <f>IF(HR_Data[[#This Row],[Age]]&lt;25,"Under 25",IF(HR_Data[[#This Row],[Age]]&lt;=34,"25-34",IF(HR_Data[[#This Row],[Age]]&lt;=44,"35-44",IF(HR_Data[[#This Row],[Age]]&lt;=54,"45-54","55+"))))</f>
        <v>25-34</v>
      </c>
      <c r="AM1016" s="1" t="str">
        <f>IF(HR_Data[[#This Row],[MonthlyIncome]]&lt;3000,"Low Salary",IF(HR_Data[[#This Row],[MonthlyIncome]]&lt;=7000,"Medium Salary","High Salary"))</f>
        <v>High Salary</v>
      </c>
      <c r="AN1016" s="1" t="str">
        <f>IF(HR_Data[[#This Row],[YearsAtCompany]]&lt;2,"0-1 Years",IF(HR_Data[[#This Row],[YearsAtCompany]]&lt;=5,"2-5 Years",IF(HR_Data[[#This Row],[YearsAtCompany]]&lt;=10,"6-10 Years","10+ Years")))</f>
        <v>2-5 Years</v>
      </c>
      <c r="AO1016" s="1" t="str">
        <f>IF(HR_Data[[#This Row],[JobSatisfaction]]=1,"Low",IF(HR_Data[[#This Row],[JobSatisfaction]]=2,"Medium",IF(HR_Data[[#This Row],[JobSatisfaction]]=3,"High","Very High")))</f>
        <v>Medium</v>
      </c>
      <c r="AP1016" s="1" t="str">
        <f>IF(HR_Data[[#This Row],[WorkLifeBalance]]=1,"Bad",IF(HR_Data[[#This Row],[WorkLifeBalance]]=2,"Good",IF(HR_Data[[#This Row],[WorkLifeBalance]]=3,"Better","Best")))</f>
        <v>Best</v>
      </c>
    </row>
    <row r="1017" spans="1:42" x14ac:dyDescent="0.3">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c r="AJ1017">
        <f>IF(HR_Data[[#This Row],[Attrition]]="Yes",1,0)</f>
        <v>0</v>
      </c>
      <c r="AK1017">
        <f>IF(HR_Data[[#This Row],[Attrition]]="No",1,0)</f>
        <v>1</v>
      </c>
      <c r="AL1017" t="str">
        <f>IF(HR_Data[[#This Row],[Age]]&lt;25,"Under 25",IF(HR_Data[[#This Row],[Age]]&lt;=34,"25-34",IF(HR_Data[[#This Row],[Age]]&lt;=44,"35-44",IF(HR_Data[[#This Row],[Age]]&lt;=54,"45-54","55+"))))</f>
        <v>25-34</v>
      </c>
      <c r="AM1017" s="1" t="str">
        <f>IF(HR_Data[[#This Row],[MonthlyIncome]]&lt;3000,"Low Salary",IF(HR_Data[[#This Row],[MonthlyIncome]]&lt;=7000,"Medium Salary","High Salary"))</f>
        <v>Low Salary</v>
      </c>
      <c r="AN1017" s="1" t="str">
        <f>IF(HR_Data[[#This Row],[YearsAtCompany]]&lt;2,"0-1 Years",IF(HR_Data[[#This Row],[YearsAtCompany]]&lt;=5,"2-5 Years",IF(HR_Data[[#This Row],[YearsAtCompany]]&lt;=10,"6-10 Years","10+ Years")))</f>
        <v>2-5 Years</v>
      </c>
      <c r="AO1017" s="1" t="str">
        <f>IF(HR_Data[[#This Row],[JobSatisfaction]]=1,"Low",IF(HR_Data[[#This Row],[JobSatisfaction]]=2,"Medium",IF(HR_Data[[#This Row],[JobSatisfaction]]=3,"High","Very High")))</f>
        <v>Low</v>
      </c>
      <c r="AP1017" s="1" t="str">
        <f>IF(HR_Data[[#This Row],[WorkLifeBalance]]=1,"Bad",IF(HR_Data[[#This Row],[WorkLifeBalance]]=2,"Good",IF(HR_Data[[#This Row],[WorkLifeBalance]]=3,"Better","Best")))</f>
        <v>Better</v>
      </c>
    </row>
    <row r="1018" spans="1:42" x14ac:dyDescent="0.3">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c r="AJ1018">
        <f>IF(HR_Data[[#This Row],[Attrition]]="Yes",1,0)</f>
        <v>1</v>
      </c>
      <c r="AK1018">
        <f>IF(HR_Data[[#This Row],[Attrition]]="No",1,0)</f>
        <v>0</v>
      </c>
      <c r="AL1018" t="str">
        <f>IF(HR_Data[[#This Row],[Age]]&lt;25,"Under 25",IF(HR_Data[[#This Row],[Age]]&lt;=34,"25-34",IF(HR_Data[[#This Row],[Age]]&lt;=44,"35-44",IF(HR_Data[[#This Row],[Age]]&lt;=54,"45-54","55+"))))</f>
        <v>25-34</v>
      </c>
      <c r="AM1018" s="1" t="str">
        <f>IF(HR_Data[[#This Row],[MonthlyIncome]]&lt;3000,"Low Salary",IF(HR_Data[[#This Row],[MonthlyIncome]]&lt;=7000,"Medium Salary","High Salary"))</f>
        <v>Low Salary</v>
      </c>
      <c r="AN1018" s="1" t="str">
        <f>IF(HR_Data[[#This Row],[YearsAtCompany]]&lt;2,"0-1 Years",IF(HR_Data[[#This Row],[YearsAtCompany]]&lt;=5,"2-5 Years",IF(HR_Data[[#This Row],[YearsAtCompany]]&lt;=10,"6-10 Years","10+ Years")))</f>
        <v>0-1 Years</v>
      </c>
      <c r="AO1018" s="1" t="str">
        <f>IF(HR_Data[[#This Row],[JobSatisfaction]]=1,"Low",IF(HR_Data[[#This Row],[JobSatisfaction]]=2,"Medium",IF(HR_Data[[#This Row],[JobSatisfaction]]=3,"High","Very High")))</f>
        <v>Medium</v>
      </c>
      <c r="AP1018" s="1" t="str">
        <f>IF(HR_Data[[#This Row],[WorkLifeBalance]]=1,"Bad",IF(HR_Data[[#This Row],[WorkLifeBalance]]=2,"Good",IF(HR_Data[[#This Row],[WorkLifeBalance]]=3,"Better","Best")))</f>
        <v>Best</v>
      </c>
    </row>
    <row r="1019" spans="1:42" x14ac:dyDescent="0.3">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c r="AJ1019">
        <f>IF(HR_Data[[#This Row],[Attrition]]="Yes",1,0)</f>
        <v>0</v>
      </c>
      <c r="AK1019">
        <f>IF(HR_Data[[#This Row],[Attrition]]="No",1,0)</f>
        <v>1</v>
      </c>
      <c r="AL1019" t="str">
        <f>IF(HR_Data[[#This Row],[Age]]&lt;25,"Under 25",IF(HR_Data[[#This Row],[Age]]&lt;=34,"25-34",IF(HR_Data[[#This Row],[Age]]&lt;=44,"35-44",IF(HR_Data[[#This Row],[Age]]&lt;=54,"45-54","55+"))))</f>
        <v>25-34</v>
      </c>
      <c r="AM1019" s="1" t="str">
        <f>IF(HR_Data[[#This Row],[MonthlyIncome]]&lt;3000,"Low Salary",IF(HR_Data[[#This Row],[MonthlyIncome]]&lt;=7000,"Medium Salary","High Salary"))</f>
        <v>Low Salary</v>
      </c>
      <c r="AN1019" s="1" t="str">
        <f>IF(HR_Data[[#This Row],[YearsAtCompany]]&lt;2,"0-1 Years",IF(HR_Data[[#This Row],[YearsAtCompany]]&lt;=5,"2-5 Years",IF(HR_Data[[#This Row],[YearsAtCompany]]&lt;=10,"6-10 Years","10+ Years")))</f>
        <v>2-5 Years</v>
      </c>
      <c r="AO1019" s="1" t="str">
        <f>IF(HR_Data[[#This Row],[JobSatisfaction]]=1,"Low",IF(HR_Data[[#This Row],[JobSatisfaction]]=2,"Medium",IF(HR_Data[[#This Row],[JobSatisfaction]]=3,"High","Very High")))</f>
        <v>Low</v>
      </c>
      <c r="AP1019" s="1" t="str">
        <f>IF(HR_Data[[#This Row],[WorkLifeBalance]]=1,"Bad",IF(HR_Data[[#This Row],[WorkLifeBalance]]=2,"Good",IF(HR_Data[[#This Row],[WorkLifeBalance]]=3,"Better","Best")))</f>
        <v>Best</v>
      </c>
    </row>
    <row r="1020" spans="1:42" x14ac:dyDescent="0.3">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c r="AJ1020">
        <f>IF(HR_Data[[#This Row],[Attrition]]="Yes",1,0)</f>
        <v>0</v>
      </c>
      <c r="AK1020">
        <f>IF(HR_Data[[#This Row],[Attrition]]="No",1,0)</f>
        <v>1</v>
      </c>
      <c r="AL1020" t="str">
        <f>IF(HR_Data[[#This Row],[Age]]&lt;25,"Under 25",IF(HR_Data[[#This Row],[Age]]&lt;=34,"25-34",IF(HR_Data[[#This Row],[Age]]&lt;=44,"35-44",IF(HR_Data[[#This Row],[Age]]&lt;=54,"45-54","55+"))))</f>
        <v>35-44</v>
      </c>
      <c r="AM1020" s="1" t="str">
        <f>IF(HR_Data[[#This Row],[MonthlyIncome]]&lt;3000,"Low Salary",IF(HR_Data[[#This Row],[MonthlyIncome]]&lt;=7000,"Medium Salary","High Salary"))</f>
        <v>Medium Salary</v>
      </c>
      <c r="AN1020" s="1" t="str">
        <f>IF(HR_Data[[#This Row],[YearsAtCompany]]&lt;2,"0-1 Years",IF(HR_Data[[#This Row],[YearsAtCompany]]&lt;=5,"2-5 Years",IF(HR_Data[[#This Row],[YearsAtCompany]]&lt;=10,"6-10 Years","10+ Years")))</f>
        <v>6-10 Years</v>
      </c>
      <c r="AO1020" s="1" t="str">
        <f>IF(HR_Data[[#This Row],[JobSatisfaction]]=1,"Low",IF(HR_Data[[#This Row],[JobSatisfaction]]=2,"Medium",IF(HR_Data[[#This Row],[JobSatisfaction]]=3,"High","Very High")))</f>
        <v>Very High</v>
      </c>
      <c r="AP1020" s="1" t="str">
        <f>IF(HR_Data[[#This Row],[WorkLifeBalance]]=1,"Bad",IF(HR_Data[[#This Row],[WorkLifeBalance]]=2,"Good",IF(HR_Data[[#This Row],[WorkLifeBalance]]=3,"Better","Best")))</f>
        <v>Good</v>
      </c>
    </row>
    <row r="1021" spans="1:42" x14ac:dyDescent="0.3">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c r="AJ1021">
        <f>IF(HR_Data[[#This Row],[Attrition]]="Yes",1,0)</f>
        <v>0</v>
      </c>
      <c r="AK1021">
        <f>IF(HR_Data[[#This Row],[Attrition]]="No",1,0)</f>
        <v>1</v>
      </c>
      <c r="AL1021" t="str">
        <f>IF(HR_Data[[#This Row],[Age]]&lt;25,"Under 25",IF(HR_Data[[#This Row],[Age]]&lt;=34,"25-34",IF(HR_Data[[#This Row],[Age]]&lt;=44,"35-44",IF(HR_Data[[#This Row],[Age]]&lt;=54,"45-54","55+"))))</f>
        <v>35-44</v>
      </c>
      <c r="AM1021" s="1" t="str">
        <f>IF(HR_Data[[#This Row],[MonthlyIncome]]&lt;3000,"Low Salary",IF(HR_Data[[#This Row],[MonthlyIncome]]&lt;=7000,"Medium Salary","High Salary"))</f>
        <v>Medium Salary</v>
      </c>
      <c r="AN1021" s="1" t="str">
        <f>IF(HR_Data[[#This Row],[YearsAtCompany]]&lt;2,"0-1 Years",IF(HR_Data[[#This Row],[YearsAtCompany]]&lt;=5,"2-5 Years",IF(HR_Data[[#This Row],[YearsAtCompany]]&lt;=10,"6-10 Years","10+ Years")))</f>
        <v>2-5 Years</v>
      </c>
      <c r="AO1021" s="1" t="str">
        <f>IF(HR_Data[[#This Row],[JobSatisfaction]]=1,"Low",IF(HR_Data[[#This Row],[JobSatisfaction]]=2,"Medium",IF(HR_Data[[#This Row],[JobSatisfaction]]=3,"High","Very High")))</f>
        <v>Low</v>
      </c>
      <c r="AP1021" s="1" t="str">
        <f>IF(HR_Data[[#This Row],[WorkLifeBalance]]=1,"Bad",IF(HR_Data[[#This Row],[WorkLifeBalance]]=2,"Good",IF(HR_Data[[#This Row],[WorkLifeBalance]]=3,"Better","Best")))</f>
        <v>Good</v>
      </c>
    </row>
    <row r="1022" spans="1:42" x14ac:dyDescent="0.3">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c r="AJ1022">
        <f>IF(HR_Data[[#This Row],[Attrition]]="Yes",1,0)</f>
        <v>0</v>
      </c>
      <c r="AK1022">
        <f>IF(HR_Data[[#This Row],[Attrition]]="No",1,0)</f>
        <v>1</v>
      </c>
      <c r="AL1022" t="str">
        <f>IF(HR_Data[[#This Row],[Age]]&lt;25,"Under 25",IF(HR_Data[[#This Row],[Age]]&lt;=34,"25-34",IF(HR_Data[[#This Row],[Age]]&lt;=44,"35-44",IF(HR_Data[[#This Row],[Age]]&lt;=54,"45-54","55+"))))</f>
        <v>45-54</v>
      </c>
      <c r="AM1022" s="1" t="str">
        <f>IF(HR_Data[[#This Row],[MonthlyIncome]]&lt;3000,"Low Salary",IF(HR_Data[[#This Row],[MonthlyIncome]]&lt;=7000,"Medium Salary","High Salary"))</f>
        <v>Medium Salary</v>
      </c>
      <c r="AN1022" s="1" t="str">
        <f>IF(HR_Data[[#This Row],[YearsAtCompany]]&lt;2,"0-1 Years",IF(HR_Data[[#This Row],[YearsAtCompany]]&lt;=5,"2-5 Years",IF(HR_Data[[#This Row],[YearsAtCompany]]&lt;=10,"6-10 Years","10+ Years")))</f>
        <v>6-10 Years</v>
      </c>
      <c r="AO1022" s="1" t="str">
        <f>IF(HR_Data[[#This Row],[JobSatisfaction]]=1,"Low",IF(HR_Data[[#This Row],[JobSatisfaction]]=2,"Medium",IF(HR_Data[[#This Row],[JobSatisfaction]]=3,"High","Very High")))</f>
        <v>Very High</v>
      </c>
      <c r="AP1022" s="1" t="str">
        <f>IF(HR_Data[[#This Row],[WorkLifeBalance]]=1,"Bad",IF(HR_Data[[#This Row],[WorkLifeBalance]]=2,"Good",IF(HR_Data[[#This Row],[WorkLifeBalance]]=3,"Better","Best")))</f>
        <v>Good</v>
      </c>
    </row>
    <row r="1023" spans="1:42" x14ac:dyDescent="0.3">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c r="AJ1023">
        <f>IF(HR_Data[[#This Row],[Attrition]]="Yes",1,0)</f>
        <v>1</v>
      </c>
      <c r="AK1023">
        <f>IF(HR_Data[[#This Row],[Attrition]]="No",1,0)</f>
        <v>0</v>
      </c>
      <c r="AL1023" t="str">
        <f>IF(HR_Data[[#This Row],[Age]]&lt;25,"Under 25",IF(HR_Data[[#This Row],[Age]]&lt;=34,"25-34",IF(HR_Data[[#This Row],[Age]]&lt;=44,"35-44",IF(HR_Data[[#This Row],[Age]]&lt;=54,"45-54","55+"))))</f>
        <v>25-34</v>
      </c>
      <c r="AM1023" s="1" t="str">
        <f>IF(HR_Data[[#This Row],[MonthlyIncome]]&lt;3000,"Low Salary",IF(HR_Data[[#This Row],[MonthlyIncome]]&lt;=7000,"Medium Salary","High Salary"))</f>
        <v>Medium Salary</v>
      </c>
      <c r="AN1023" s="1" t="str">
        <f>IF(HR_Data[[#This Row],[YearsAtCompany]]&lt;2,"0-1 Years",IF(HR_Data[[#This Row],[YearsAtCompany]]&lt;=5,"2-5 Years",IF(HR_Data[[#This Row],[YearsAtCompany]]&lt;=10,"6-10 Years","10+ Years")))</f>
        <v>2-5 Years</v>
      </c>
      <c r="AO1023" s="1" t="str">
        <f>IF(HR_Data[[#This Row],[JobSatisfaction]]=1,"Low",IF(HR_Data[[#This Row],[JobSatisfaction]]=2,"Medium",IF(HR_Data[[#This Row],[JobSatisfaction]]=3,"High","Very High")))</f>
        <v>Low</v>
      </c>
      <c r="AP1023" s="1" t="str">
        <f>IF(HR_Data[[#This Row],[WorkLifeBalance]]=1,"Bad",IF(HR_Data[[#This Row],[WorkLifeBalance]]=2,"Good",IF(HR_Data[[#This Row],[WorkLifeBalance]]=3,"Better","Best")))</f>
        <v>Better</v>
      </c>
    </row>
    <row r="1024" spans="1:42" x14ac:dyDescent="0.3">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c r="AJ1024">
        <f>IF(HR_Data[[#This Row],[Attrition]]="Yes",1,0)</f>
        <v>0</v>
      </c>
      <c r="AK1024">
        <f>IF(HR_Data[[#This Row],[Attrition]]="No",1,0)</f>
        <v>1</v>
      </c>
      <c r="AL1024" t="str">
        <f>IF(HR_Data[[#This Row],[Age]]&lt;25,"Under 25",IF(HR_Data[[#This Row],[Age]]&lt;=34,"25-34",IF(HR_Data[[#This Row],[Age]]&lt;=44,"35-44",IF(HR_Data[[#This Row],[Age]]&lt;=54,"45-54","55+"))))</f>
        <v>35-44</v>
      </c>
      <c r="AM1024" s="1" t="str">
        <f>IF(HR_Data[[#This Row],[MonthlyIncome]]&lt;3000,"Low Salary",IF(HR_Data[[#This Row],[MonthlyIncome]]&lt;=7000,"Medium Salary","High Salary"))</f>
        <v>Medium Salary</v>
      </c>
      <c r="AN1024" s="1" t="str">
        <f>IF(HR_Data[[#This Row],[YearsAtCompany]]&lt;2,"0-1 Years",IF(HR_Data[[#This Row],[YearsAtCompany]]&lt;=5,"2-5 Years",IF(HR_Data[[#This Row],[YearsAtCompany]]&lt;=10,"6-10 Years","10+ Years")))</f>
        <v>6-10 Years</v>
      </c>
      <c r="AO1024" s="1" t="str">
        <f>IF(HR_Data[[#This Row],[JobSatisfaction]]=1,"Low",IF(HR_Data[[#This Row],[JobSatisfaction]]=2,"Medium",IF(HR_Data[[#This Row],[JobSatisfaction]]=3,"High","Very High")))</f>
        <v>High</v>
      </c>
      <c r="AP1024" s="1" t="str">
        <f>IF(HR_Data[[#This Row],[WorkLifeBalance]]=1,"Bad",IF(HR_Data[[#This Row],[WorkLifeBalance]]=2,"Good",IF(HR_Data[[#This Row],[WorkLifeBalance]]=3,"Better","Best")))</f>
        <v>Bad</v>
      </c>
    </row>
    <row r="1025" spans="1:42" x14ac:dyDescent="0.3">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c r="AJ1025">
        <f>IF(HR_Data[[#This Row],[Attrition]]="Yes",1,0)</f>
        <v>0</v>
      </c>
      <c r="AK1025">
        <f>IF(HR_Data[[#This Row],[Attrition]]="No",1,0)</f>
        <v>1</v>
      </c>
      <c r="AL1025" t="str">
        <f>IF(HR_Data[[#This Row],[Age]]&lt;25,"Under 25",IF(HR_Data[[#This Row],[Age]]&lt;=34,"25-34",IF(HR_Data[[#This Row],[Age]]&lt;=44,"35-44",IF(HR_Data[[#This Row],[Age]]&lt;=54,"45-54","55+"))))</f>
        <v>55+</v>
      </c>
      <c r="AM1025" s="1" t="str">
        <f>IF(HR_Data[[#This Row],[MonthlyIncome]]&lt;3000,"Low Salary",IF(HR_Data[[#This Row],[MonthlyIncome]]&lt;=7000,"Medium Salary","High Salary"))</f>
        <v>Low Salary</v>
      </c>
      <c r="AN1025" s="1" t="str">
        <f>IF(HR_Data[[#This Row],[YearsAtCompany]]&lt;2,"0-1 Years",IF(HR_Data[[#This Row],[YearsAtCompany]]&lt;=5,"2-5 Years",IF(HR_Data[[#This Row],[YearsAtCompany]]&lt;=10,"6-10 Years","10+ Years")))</f>
        <v>2-5 Years</v>
      </c>
      <c r="AO1025" s="1" t="str">
        <f>IF(HR_Data[[#This Row],[JobSatisfaction]]=1,"Low",IF(HR_Data[[#This Row],[JobSatisfaction]]=2,"Medium",IF(HR_Data[[#This Row],[JobSatisfaction]]=3,"High","Very High")))</f>
        <v>Low</v>
      </c>
      <c r="AP1025" s="1" t="str">
        <f>IF(HR_Data[[#This Row],[WorkLifeBalance]]=1,"Bad",IF(HR_Data[[#This Row],[WorkLifeBalance]]=2,"Good",IF(HR_Data[[#This Row],[WorkLifeBalance]]=3,"Better","Best")))</f>
        <v>Best</v>
      </c>
    </row>
    <row r="1026" spans="1:42" x14ac:dyDescent="0.3">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c r="AJ1026">
        <f>IF(HR_Data[[#This Row],[Attrition]]="Yes",1,0)</f>
        <v>0</v>
      </c>
      <c r="AK1026">
        <f>IF(HR_Data[[#This Row],[Attrition]]="No",1,0)</f>
        <v>1</v>
      </c>
      <c r="AL1026" t="str">
        <f>IF(HR_Data[[#This Row],[Age]]&lt;25,"Under 25",IF(HR_Data[[#This Row],[Age]]&lt;=34,"25-34",IF(HR_Data[[#This Row],[Age]]&lt;=44,"35-44",IF(HR_Data[[#This Row],[Age]]&lt;=54,"45-54","55+"))))</f>
        <v>45-54</v>
      </c>
      <c r="AM1026" s="1" t="str">
        <f>IF(HR_Data[[#This Row],[MonthlyIncome]]&lt;3000,"Low Salary",IF(HR_Data[[#This Row],[MonthlyIncome]]&lt;=7000,"Medium Salary","High Salary"))</f>
        <v>High Salary</v>
      </c>
      <c r="AN1026" s="1" t="str">
        <f>IF(HR_Data[[#This Row],[YearsAtCompany]]&lt;2,"0-1 Years",IF(HR_Data[[#This Row],[YearsAtCompany]]&lt;=5,"2-5 Years",IF(HR_Data[[#This Row],[YearsAtCompany]]&lt;=10,"6-10 Years","10+ Years")))</f>
        <v>10+ Years</v>
      </c>
      <c r="AO1026" s="1" t="str">
        <f>IF(HR_Data[[#This Row],[JobSatisfaction]]=1,"Low",IF(HR_Data[[#This Row],[JobSatisfaction]]=2,"Medium",IF(HR_Data[[#This Row],[JobSatisfaction]]=3,"High","Very High")))</f>
        <v>High</v>
      </c>
      <c r="AP1026" s="1" t="str">
        <f>IF(HR_Data[[#This Row],[WorkLifeBalance]]=1,"Bad",IF(HR_Data[[#This Row],[WorkLifeBalance]]=2,"Good",IF(HR_Data[[#This Row],[WorkLifeBalance]]=3,"Better","Best")))</f>
        <v>Best</v>
      </c>
    </row>
    <row r="1027" spans="1:42" x14ac:dyDescent="0.3">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c r="AJ1027">
        <f>IF(HR_Data[[#This Row],[Attrition]]="Yes",1,0)</f>
        <v>0</v>
      </c>
      <c r="AK1027">
        <f>IF(HR_Data[[#This Row],[Attrition]]="No",1,0)</f>
        <v>1</v>
      </c>
      <c r="AL1027" t="str">
        <f>IF(HR_Data[[#This Row],[Age]]&lt;25,"Under 25",IF(HR_Data[[#This Row],[Age]]&lt;=34,"25-34",IF(HR_Data[[#This Row],[Age]]&lt;=44,"35-44",IF(HR_Data[[#This Row],[Age]]&lt;=54,"45-54","55+"))))</f>
        <v>Under 25</v>
      </c>
      <c r="AM1027" s="1" t="str">
        <f>IF(HR_Data[[#This Row],[MonthlyIncome]]&lt;3000,"Low Salary",IF(HR_Data[[#This Row],[MonthlyIncome]]&lt;=7000,"Medium Salary","High Salary"))</f>
        <v>Medium Salary</v>
      </c>
      <c r="AN1027" s="1" t="str">
        <f>IF(HR_Data[[#This Row],[YearsAtCompany]]&lt;2,"0-1 Years",IF(HR_Data[[#This Row],[YearsAtCompany]]&lt;=5,"2-5 Years",IF(HR_Data[[#This Row],[YearsAtCompany]]&lt;=10,"6-10 Years","10+ Years")))</f>
        <v>2-5 Years</v>
      </c>
      <c r="AO1027" s="1" t="str">
        <f>IF(HR_Data[[#This Row],[JobSatisfaction]]=1,"Low",IF(HR_Data[[#This Row],[JobSatisfaction]]=2,"Medium",IF(HR_Data[[#This Row],[JobSatisfaction]]=3,"High","Very High")))</f>
        <v>High</v>
      </c>
      <c r="AP1027" s="1" t="str">
        <f>IF(HR_Data[[#This Row],[WorkLifeBalance]]=1,"Bad",IF(HR_Data[[#This Row],[WorkLifeBalance]]=2,"Good",IF(HR_Data[[#This Row],[WorkLifeBalance]]=3,"Better","Best")))</f>
        <v>Better</v>
      </c>
    </row>
    <row r="1028" spans="1:42" x14ac:dyDescent="0.3">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c r="AJ1028">
        <f>IF(HR_Data[[#This Row],[Attrition]]="Yes",1,0)</f>
        <v>0</v>
      </c>
      <c r="AK1028">
        <f>IF(HR_Data[[#This Row],[Attrition]]="No",1,0)</f>
        <v>1</v>
      </c>
      <c r="AL1028" t="str">
        <f>IF(HR_Data[[#This Row],[Age]]&lt;25,"Under 25",IF(HR_Data[[#This Row],[Age]]&lt;=34,"25-34",IF(HR_Data[[#This Row],[Age]]&lt;=44,"35-44",IF(HR_Data[[#This Row],[Age]]&lt;=54,"45-54","55+"))))</f>
        <v>25-34</v>
      </c>
      <c r="AM1028" s="1" t="str">
        <f>IF(HR_Data[[#This Row],[MonthlyIncome]]&lt;3000,"Low Salary",IF(HR_Data[[#This Row],[MonthlyIncome]]&lt;=7000,"Medium Salary","High Salary"))</f>
        <v>High Salary</v>
      </c>
      <c r="AN1028" s="1" t="str">
        <f>IF(HR_Data[[#This Row],[YearsAtCompany]]&lt;2,"0-1 Years",IF(HR_Data[[#This Row],[YearsAtCompany]]&lt;=5,"2-5 Years",IF(HR_Data[[#This Row],[YearsAtCompany]]&lt;=10,"6-10 Years","10+ Years")))</f>
        <v>2-5 Years</v>
      </c>
      <c r="AO1028" s="1" t="str">
        <f>IF(HR_Data[[#This Row],[JobSatisfaction]]=1,"Low",IF(HR_Data[[#This Row],[JobSatisfaction]]=2,"Medium",IF(HR_Data[[#This Row],[JobSatisfaction]]=3,"High","Very High")))</f>
        <v>Very High</v>
      </c>
      <c r="AP1028" s="1" t="str">
        <f>IF(HR_Data[[#This Row],[WorkLifeBalance]]=1,"Bad",IF(HR_Data[[#This Row],[WorkLifeBalance]]=2,"Good",IF(HR_Data[[#This Row],[WorkLifeBalance]]=3,"Better","Best")))</f>
        <v>Good</v>
      </c>
    </row>
    <row r="1029" spans="1:42" x14ac:dyDescent="0.3">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c r="AJ1029">
        <f>IF(HR_Data[[#This Row],[Attrition]]="Yes",1,0)</f>
        <v>0</v>
      </c>
      <c r="AK1029">
        <f>IF(HR_Data[[#This Row],[Attrition]]="No",1,0)</f>
        <v>1</v>
      </c>
      <c r="AL1029" t="str">
        <f>IF(HR_Data[[#This Row],[Age]]&lt;25,"Under 25",IF(HR_Data[[#This Row],[Age]]&lt;=34,"25-34",IF(HR_Data[[#This Row],[Age]]&lt;=44,"35-44",IF(HR_Data[[#This Row],[Age]]&lt;=54,"45-54","55+"))))</f>
        <v>25-34</v>
      </c>
      <c r="AM1029" s="1" t="str">
        <f>IF(HR_Data[[#This Row],[MonthlyIncome]]&lt;3000,"Low Salary",IF(HR_Data[[#This Row],[MonthlyIncome]]&lt;=7000,"Medium Salary","High Salary"))</f>
        <v>Medium Salary</v>
      </c>
      <c r="AN1029" s="1" t="str">
        <f>IF(HR_Data[[#This Row],[YearsAtCompany]]&lt;2,"0-1 Years",IF(HR_Data[[#This Row],[YearsAtCompany]]&lt;=5,"2-5 Years",IF(HR_Data[[#This Row],[YearsAtCompany]]&lt;=10,"6-10 Years","10+ Years")))</f>
        <v>2-5 Years</v>
      </c>
      <c r="AO1029" s="1" t="str">
        <f>IF(HR_Data[[#This Row],[JobSatisfaction]]=1,"Low",IF(HR_Data[[#This Row],[JobSatisfaction]]=2,"Medium",IF(HR_Data[[#This Row],[JobSatisfaction]]=3,"High","Very High")))</f>
        <v>Medium</v>
      </c>
      <c r="AP1029" s="1" t="str">
        <f>IF(HR_Data[[#This Row],[WorkLifeBalance]]=1,"Bad",IF(HR_Data[[#This Row],[WorkLifeBalance]]=2,"Good",IF(HR_Data[[#This Row],[WorkLifeBalance]]=3,"Better","Best")))</f>
        <v>Good</v>
      </c>
    </row>
    <row r="1030" spans="1:42" x14ac:dyDescent="0.3">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c r="AJ1030">
        <f>IF(HR_Data[[#This Row],[Attrition]]="Yes",1,0)</f>
        <v>0</v>
      </c>
      <c r="AK1030">
        <f>IF(HR_Data[[#This Row],[Attrition]]="No",1,0)</f>
        <v>1</v>
      </c>
      <c r="AL1030" t="str">
        <f>IF(HR_Data[[#This Row],[Age]]&lt;25,"Under 25",IF(HR_Data[[#This Row],[Age]]&lt;=34,"25-34",IF(HR_Data[[#This Row],[Age]]&lt;=44,"35-44",IF(HR_Data[[#This Row],[Age]]&lt;=54,"45-54","55+"))))</f>
        <v>35-44</v>
      </c>
      <c r="AM1030" s="1" t="str">
        <f>IF(HR_Data[[#This Row],[MonthlyIncome]]&lt;3000,"Low Salary",IF(HR_Data[[#This Row],[MonthlyIncome]]&lt;=7000,"Medium Salary","High Salary"))</f>
        <v>Low Salary</v>
      </c>
      <c r="AN1030" s="1" t="str">
        <f>IF(HR_Data[[#This Row],[YearsAtCompany]]&lt;2,"0-1 Years",IF(HR_Data[[#This Row],[YearsAtCompany]]&lt;=5,"2-5 Years",IF(HR_Data[[#This Row],[YearsAtCompany]]&lt;=10,"6-10 Years","10+ Years")))</f>
        <v>2-5 Years</v>
      </c>
      <c r="AO1030" s="1" t="str">
        <f>IF(HR_Data[[#This Row],[JobSatisfaction]]=1,"Low",IF(HR_Data[[#This Row],[JobSatisfaction]]=2,"Medium",IF(HR_Data[[#This Row],[JobSatisfaction]]=3,"High","Very High")))</f>
        <v>High</v>
      </c>
      <c r="AP1030" s="1" t="str">
        <f>IF(HR_Data[[#This Row],[WorkLifeBalance]]=1,"Bad",IF(HR_Data[[#This Row],[WorkLifeBalance]]=2,"Good",IF(HR_Data[[#This Row],[WorkLifeBalance]]=3,"Better","Best")))</f>
        <v>Good</v>
      </c>
    </row>
    <row r="1031" spans="1:42" x14ac:dyDescent="0.3">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c r="AJ1031">
        <f>IF(HR_Data[[#This Row],[Attrition]]="Yes",1,0)</f>
        <v>0</v>
      </c>
      <c r="AK1031">
        <f>IF(HR_Data[[#This Row],[Attrition]]="No",1,0)</f>
        <v>1</v>
      </c>
      <c r="AL1031" t="str">
        <f>IF(HR_Data[[#This Row],[Age]]&lt;25,"Under 25",IF(HR_Data[[#This Row],[Age]]&lt;=34,"25-34",IF(HR_Data[[#This Row],[Age]]&lt;=44,"35-44",IF(HR_Data[[#This Row],[Age]]&lt;=54,"45-54","55+"))))</f>
        <v>35-44</v>
      </c>
      <c r="AM1031" s="1" t="str">
        <f>IF(HR_Data[[#This Row],[MonthlyIncome]]&lt;3000,"Low Salary",IF(HR_Data[[#This Row],[MonthlyIncome]]&lt;=7000,"Medium Salary","High Salary"))</f>
        <v>Medium Salary</v>
      </c>
      <c r="AN1031" s="1" t="str">
        <f>IF(HR_Data[[#This Row],[YearsAtCompany]]&lt;2,"0-1 Years",IF(HR_Data[[#This Row],[YearsAtCompany]]&lt;=5,"2-5 Years",IF(HR_Data[[#This Row],[YearsAtCompany]]&lt;=10,"6-10 Years","10+ Years")))</f>
        <v>6-10 Years</v>
      </c>
      <c r="AO1031" s="1" t="str">
        <f>IF(HR_Data[[#This Row],[JobSatisfaction]]=1,"Low",IF(HR_Data[[#This Row],[JobSatisfaction]]=2,"Medium",IF(HR_Data[[#This Row],[JobSatisfaction]]=3,"High","Very High")))</f>
        <v>High</v>
      </c>
      <c r="AP1031" s="1" t="str">
        <f>IF(HR_Data[[#This Row],[WorkLifeBalance]]=1,"Bad",IF(HR_Data[[#This Row],[WorkLifeBalance]]=2,"Good",IF(HR_Data[[#This Row],[WorkLifeBalance]]=3,"Better","Best")))</f>
        <v>Best</v>
      </c>
    </row>
    <row r="1032" spans="1:42" x14ac:dyDescent="0.3">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c r="AJ1032">
        <f>IF(HR_Data[[#This Row],[Attrition]]="Yes",1,0)</f>
        <v>0</v>
      </c>
      <c r="AK1032">
        <f>IF(HR_Data[[#This Row],[Attrition]]="No",1,0)</f>
        <v>1</v>
      </c>
      <c r="AL1032" t="str">
        <f>IF(HR_Data[[#This Row],[Age]]&lt;25,"Under 25",IF(HR_Data[[#This Row],[Age]]&lt;=34,"25-34",IF(HR_Data[[#This Row],[Age]]&lt;=44,"35-44",IF(HR_Data[[#This Row],[Age]]&lt;=54,"45-54","55+"))))</f>
        <v>25-34</v>
      </c>
      <c r="AM1032" s="1" t="str">
        <f>IF(HR_Data[[#This Row],[MonthlyIncome]]&lt;3000,"Low Salary",IF(HR_Data[[#This Row],[MonthlyIncome]]&lt;=7000,"Medium Salary","High Salary"))</f>
        <v>High Salary</v>
      </c>
      <c r="AN1032" s="1" t="str">
        <f>IF(HR_Data[[#This Row],[YearsAtCompany]]&lt;2,"0-1 Years",IF(HR_Data[[#This Row],[YearsAtCompany]]&lt;=5,"2-5 Years",IF(HR_Data[[#This Row],[YearsAtCompany]]&lt;=10,"6-10 Years","10+ Years")))</f>
        <v>10+ Years</v>
      </c>
      <c r="AO1032" s="1" t="str">
        <f>IF(HR_Data[[#This Row],[JobSatisfaction]]=1,"Low",IF(HR_Data[[#This Row],[JobSatisfaction]]=2,"Medium",IF(HR_Data[[#This Row],[JobSatisfaction]]=3,"High","Very High")))</f>
        <v>Very High</v>
      </c>
      <c r="AP1032" s="1" t="str">
        <f>IF(HR_Data[[#This Row],[WorkLifeBalance]]=1,"Bad",IF(HR_Data[[#This Row],[WorkLifeBalance]]=2,"Good",IF(HR_Data[[#This Row],[WorkLifeBalance]]=3,"Better","Best")))</f>
        <v>Better</v>
      </c>
    </row>
    <row r="1033" spans="1:42" x14ac:dyDescent="0.3">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c r="AJ1033">
        <f>IF(HR_Data[[#This Row],[Attrition]]="Yes",1,0)</f>
        <v>1</v>
      </c>
      <c r="AK1033">
        <f>IF(HR_Data[[#This Row],[Attrition]]="No",1,0)</f>
        <v>0</v>
      </c>
      <c r="AL1033" t="str">
        <f>IF(HR_Data[[#This Row],[Age]]&lt;25,"Under 25",IF(HR_Data[[#This Row],[Age]]&lt;=34,"25-34",IF(HR_Data[[#This Row],[Age]]&lt;=44,"35-44",IF(HR_Data[[#This Row],[Age]]&lt;=54,"45-54","55+"))))</f>
        <v>45-54</v>
      </c>
      <c r="AM1033" s="1" t="str">
        <f>IF(HR_Data[[#This Row],[MonthlyIncome]]&lt;3000,"Low Salary",IF(HR_Data[[#This Row],[MonthlyIncome]]&lt;=7000,"Medium Salary","High Salary"))</f>
        <v>High Salary</v>
      </c>
      <c r="AN1033" s="1" t="str">
        <f>IF(HR_Data[[#This Row],[YearsAtCompany]]&lt;2,"0-1 Years",IF(HR_Data[[#This Row],[YearsAtCompany]]&lt;=5,"2-5 Years",IF(HR_Data[[#This Row],[YearsAtCompany]]&lt;=10,"6-10 Years","10+ Years")))</f>
        <v>6-10 Years</v>
      </c>
      <c r="AO1033" s="1" t="str">
        <f>IF(HR_Data[[#This Row],[JobSatisfaction]]=1,"Low",IF(HR_Data[[#This Row],[JobSatisfaction]]=2,"Medium",IF(HR_Data[[#This Row],[JobSatisfaction]]=3,"High","Very High")))</f>
        <v>Very High</v>
      </c>
      <c r="AP1033" s="1" t="str">
        <f>IF(HR_Data[[#This Row],[WorkLifeBalance]]=1,"Bad",IF(HR_Data[[#This Row],[WorkLifeBalance]]=2,"Good",IF(HR_Data[[#This Row],[WorkLifeBalance]]=3,"Better","Best")))</f>
        <v>Best</v>
      </c>
    </row>
    <row r="1034" spans="1:42" x14ac:dyDescent="0.3">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c r="AJ1034">
        <f>IF(HR_Data[[#This Row],[Attrition]]="Yes",1,0)</f>
        <v>1</v>
      </c>
      <c r="AK1034">
        <f>IF(HR_Data[[#This Row],[Attrition]]="No",1,0)</f>
        <v>0</v>
      </c>
      <c r="AL1034" t="str">
        <f>IF(HR_Data[[#This Row],[Age]]&lt;25,"Under 25",IF(HR_Data[[#This Row],[Age]]&lt;=34,"25-34",IF(HR_Data[[#This Row],[Age]]&lt;=44,"35-44",IF(HR_Data[[#This Row],[Age]]&lt;=54,"45-54","55+"))))</f>
        <v>35-44</v>
      </c>
      <c r="AM1034" s="1" t="str">
        <f>IF(HR_Data[[#This Row],[MonthlyIncome]]&lt;3000,"Low Salary",IF(HR_Data[[#This Row],[MonthlyIncome]]&lt;=7000,"Medium Salary","High Salary"))</f>
        <v>Medium Salary</v>
      </c>
      <c r="AN1034" s="1" t="str">
        <f>IF(HR_Data[[#This Row],[YearsAtCompany]]&lt;2,"0-1 Years",IF(HR_Data[[#This Row],[YearsAtCompany]]&lt;=5,"2-5 Years",IF(HR_Data[[#This Row],[YearsAtCompany]]&lt;=10,"6-10 Years","10+ Years")))</f>
        <v>0-1 Years</v>
      </c>
      <c r="AO1034" s="1" t="str">
        <f>IF(HR_Data[[#This Row],[JobSatisfaction]]=1,"Low",IF(HR_Data[[#This Row],[JobSatisfaction]]=2,"Medium",IF(HR_Data[[#This Row],[JobSatisfaction]]=3,"High","Very High")))</f>
        <v>Low</v>
      </c>
      <c r="AP1034" s="1" t="str">
        <f>IF(HR_Data[[#This Row],[WorkLifeBalance]]=1,"Bad",IF(HR_Data[[#This Row],[WorkLifeBalance]]=2,"Good",IF(HR_Data[[#This Row],[WorkLifeBalance]]=3,"Better","Best")))</f>
        <v>Best</v>
      </c>
    </row>
    <row r="1035" spans="1:42" x14ac:dyDescent="0.3">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c r="AJ1035">
        <f>IF(HR_Data[[#This Row],[Attrition]]="Yes",1,0)</f>
        <v>1</v>
      </c>
      <c r="AK1035">
        <f>IF(HR_Data[[#This Row],[Attrition]]="No",1,0)</f>
        <v>0</v>
      </c>
      <c r="AL1035" t="str">
        <f>IF(HR_Data[[#This Row],[Age]]&lt;25,"Under 25",IF(HR_Data[[#This Row],[Age]]&lt;=34,"25-34",IF(HR_Data[[#This Row],[Age]]&lt;=44,"35-44",IF(HR_Data[[#This Row],[Age]]&lt;=54,"45-54","55+"))))</f>
        <v>25-34</v>
      </c>
      <c r="AM1035" s="1" t="str">
        <f>IF(HR_Data[[#This Row],[MonthlyIncome]]&lt;3000,"Low Salary",IF(HR_Data[[#This Row],[MonthlyIncome]]&lt;=7000,"Medium Salary","High Salary"))</f>
        <v>High Salary</v>
      </c>
      <c r="AN1035" s="1" t="str">
        <f>IF(HR_Data[[#This Row],[YearsAtCompany]]&lt;2,"0-1 Years",IF(HR_Data[[#This Row],[YearsAtCompany]]&lt;=5,"2-5 Years",IF(HR_Data[[#This Row],[YearsAtCompany]]&lt;=10,"6-10 Years","10+ Years")))</f>
        <v>6-10 Years</v>
      </c>
      <c r="AO1035" s="1" t="str">
        <f>IF(HR_Data[[#This Row],[JobSatisfaction]]=1,"Low",IF(HR_Data[[#This Row],[JobSatisfaction]]=2,"Medium",IF(HR_Data[[#This Row],[JobSatisfaction]]=3,"High","Very High")))</f>
        <v>Medium</v>
      </c>
      <c r="AP1035" s="1" t="str">
        <f>IF(HR_Data[[#This Row],[WorkLifeBalance]]=1,"Bad",IF(HR_Data[[#This Row],[WorkLifeBalance]]=2,"Good",IF(HR_Data[[#This Row],[WorkLifeBalance]]=3,"Better","Best")))</f>
        <v>Better</v>
      </c>
    </row>
    <row r="1036" spans="1:42" x14ac:dyDescent="0.3">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c r="AJ1036">
        <f>IF(HR_Data[[#This Row],[Attrition]]="Yes",1,0)</f>
        <v>0</v>
      </c>
      <c r="AK1036">
        <f>IF(HR_Data[[#This Row],[Attrition]]="No",1,0)</f>
        <v>1</v>
      </c>
      <c r="AL1036" t="str">
        <f>IF(HR_Data[[#This Row],[Age]]&lt;25,"Under 25",IF(HR_Data[[#This Row],[Age]]&lt;=34,"25-34",IF(HR_Data[[#This Row],[Age]]&lt;=44,"35-44",IF(HR_Data[[#This Row],[Age]]&lt;=54,"45-54","55+"))))</f>
        <v>45-54</v>
      </c>
      <c r="AM1036" s="1" t="str">
        <f>IF(HR_Data[[#This Row],[MonthlyIncome]]&lt;3000,"Low Salary",IF(HR_Data[[#This Row],[MonthlyIncome]]&lt;=7000,"Medium Salary","High Salary"))</f>
        <v>High Salary</v>
      </c>
      <c r="AN1036" s="1" t="str">
        <f>IF(HR_Data[[#This Row],[YearsAtCompany]]&lt;2,"0-1 Years",IF(HR_Data[[#This Row],[YearsAtCompany]]&lt;=5,"2-5 Years",IF(HR_Data[[#This Row],[YearsAtCompany]]&lt;=10,"6-10 Years","10+ Years")))</f>
        <v>6-10 Years</v>
      </c>
      <c r="AO1036" s="1" t="str">
        <f>IF(HR_Data[[#This Row],[JobSatisfaction]]=1,"Low",IF(HR_Data[[#This Row],[JobSatisfaction]]=2,"Medium",IF(HR_Data[[#This Row],[JobSatisfaction]]=3,"High","Very High")))</f>
        <v>Low</v>
      </c>
      <c r="AP1036" s="1" t="str">
        <f>IF(HR_Data[[#This Row],[WorkLifeBalance]]=1,"Bad",IF(HR_Data[[#This Row],[WorkLifeBalance]]=2,"Good",IF(HR_Data[[#This Row],[WorkLifeBalance]]=3,"Better","Best")))</f>
        <v>Better</v>
      </c>
    </row>
    <row r="1037" spans="1:42" x14ac:dyDescent="0.3">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c r="AJ1037">
        <f>IF(HR_Data[[#This Row],[Attrition]]="Yes",1,0)</f>
        <v>0</v>
      </c>
      <c r="AK1037">
        <f>IF(HR_Data[[#This Row],[Attrition]]="No",1,0)</f>
        <v>1</v>
      </c>
      <c r="AL1037" t="str">
        <f>IF(HR_Data[[#This Row],[Age]]&lt;25,"Under 25",IF(HR_Data[[#This Row],[Age]]&lt;=34,"25-34",IF(HR_Data[[#This Row],[Age]]&lt;=44,"35-44",IF(HR_Data[[#This Row],[Age]]&lt;=54,"45-54","55+"))))</f>
        <v>25-34</v>
      </c>
      <c r="AM1037" s="1" t="str">
        <f>IF(HR_Data[[#This Row],[MonthlyIncome]]&lt;3000,"Low Salary",IF(HR_Data[[#This Row],[MonthlyIncome]]&lt;=7000,"Medium Salary","High Salary"))</f>
        <v>Low Salary</v>
      </c>
      <c r="AN1037" s="1" t="str">
        <f>IF(HR_Data[[#This Row],[YearsAtCompany]]&lt;2,"0-1 Years",IF(HR_Data[[#This Row],[YearsAtCompany]]&lt;=5,"2-5 Years",IF(HR_Data[[#This Row],[YearsAtCompany]]&lt;=10,"6-10 Years","10+ Years")))</f>
        <v>2-5 Years</v>
      </c>
      <c r="AO1037" s="1" t="str">
        <f>IF(HR_Data[[#This Row],[JobSatisfaction]]=1,"Low",IF(HR_Data[[#This Row],[JobSatisfaction]]=2,"Medium",IF(HR_Data[[#This Row],[JobSatisfaction]]=3,"High","Very High")))</f>
        <v>Medium</v>
      </c>
      <c r="AP1037" s="1" t="str">
        <f>IF(HR_Data[[#This Row],[WorkLifeBalance]]=1,"Bad",IF(HR_Data[[#This Row],[WorkLifeBalance]]=2,"Good",IF(HR_Data[[#This Row],[WorkLifeBalance]]=3,"Better","Best")))</f>
        <v>Better</v>
      </c>
    </row>
    <row r="1038" spans="1:42" x14ac:dyDescent="0.3">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c r="AJ1038">
        <f>IF(HR_Data[[#This Row],[Attrition]]="Yes",1,0)</f>
        <v>1</v>
      </c>
      <c r="AK1038">
        <f>IF(HR_Data[[#This Row],[Attrition]]="No",1,0)</f>
        <v>0</v>
      </c>
      <c r="AL1038" t="str">
        <f>IF(HR_Data[[#This Row],[Age]]&lt;25,"Under 25",IF(HR_Data[[#This Row],[Age]]&lt;=34,"25-34",IF(HR_Data[[#This Row],[Age]]&lt;=44,"35-44",IF(HR_Data[[#This Row],[Age]]&lt;=54,"45-54","55+"))))</f>
        <v>25-34</v>
      </c>
      <c r="AM1038" s="1" t="str">
        <f>IF(HR_Data[[#This Row],[MonthlyIncome]]&lt;3000,"Low Salary",IF(HR_Data[[#This Row],[MonthlyIncome]]&lt;=7000,"Medium Salary","High Salary"))</f>
        <v>Medium Salary</v>
      </c>
      <c r="AN1038" s="1" t="str">
        <f>IF(HR_Data[[#This Row],[YearsAtCompany]]&lt;2,"0-1 Years",IF(HR_Data[[#This Row],[YearsAtCompany]]&lt;=5,"2-5 Years",IF(HR_Data[[#This Row],[YearsAtCompany]]&lt;=10,"6-10 Years","10+ Years")))</f>
        <v>2-5 Years</v>
      </c>
      <c r="AO1038" s="1" t="str">
        <f>IF(HR_Data[[#This Row],[JobSatisfaction]]=1,"Low",IF(HR_Data[[#This Row],[JobSatisfaction]]=2,"Medium",IF(HR_Data[[#This Row],[JobSatisfaction]]=3,"High","Very High")))</f>
        <v>Very High</v>
      </c>
      <c r="AP1038" s="1" t="str">
        <f>IF(HR_Data[[#This Row],[WorkLifeBalance]]=1,"Bad",IF(HR_Data[[#This Row],[WorkLifeBalance]]=2,"Good",IF(HR_Data[[#This Row],[WorkLifeBalance]]=3,"Better","Best")))</f>
        <v>Bad</v>
      </c>
    </row>
    <row r="1039" spans="1:42" x14ac:dyDescent="0.3">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c r="AJ1039">
        <f>IF(HR_Data[[#This Row],[Attrition]]="Yes",1,0)</f>
        <v>0</v>
      </c>
      <c r="AK1039">
        <f>IF(HR_Data[[#This Row],[Attrition]]="No",1,0)</f>
        <v>1</v>
      </c>
      <c r="AL1039" t="str">
        <f>IF(HR_Data[[#This Row],[Age]]&lt;25,"Under 25",IF(HR_Data[[#This Row],[Age]]&lt;=34,"25-34",IF(HR_Data[[#This Row],[Age]]&lt;=44,"35-44",IF(HR_Data[[#This Row],[Age]]&lt;=54,"45-54","55+"))))</f>
        <v>45-54</v>
      </c>
      <c r="AM1039" s="1" t="str">
        <f>IF(HR_Data[[#This Row],[MonthlyIncome]]&lt;3000,"Low Salary",IF(HR_Data[[#This Row],[MonthlyIncome]]&lt;=7000,"Medium Salary","High Salary"))</f>
        <v>High Salary</v>
      </c>
      <c r="AN1039" s="1" t="str">
        <f>IF(HR_Data[[#This Row],[YearsAtCompany]]&lt;2,"0-1 Years",IF(HR_Data[[#This Row],[YearsAtCompany]]&lt;=5,"2-5 Years",IF(HR_Data[[#This Row],[YearsAtCompany]]&lt;=10,"6-10 Years","10+ Years")))</f>
        <v>2-5 Years</v>
      </c>
      <c r="AO1039" s="1" t="str">
        <f>IF(HR_Data[[#This Row],[JobSatisfaction]]=1,"Low",IF(HR_Data[[#This Row],[JobSatisfaction]]=2,"Medium",IF(HR_Data[[#This Row],[JobSatisfaction]]=3,"High","Very High")))</f>
        <v>Very High</v>
      </c>
      <c r="AP1039" s="1" t="str">
        <f>IF(HR_Data[[#This Row],[WorkLifeBalance]]=1,"Bad",IF(HR_Data[[#This Row],[WorkLifeBalance]]=2,"Good",IF(HR_Data[[#This Row],[WorkLifeBalance]]=3,"Better","Best")))</f>
        <v>Best</v>
      </c>
    </row>
    <row r="1040" spans="1:42" x14ac:dyDescent="0.3">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c r="AJ1040">
        <f>IF(HR_Data[[#This Row],[Attrition]]="Yes",1,0)</f>
        <v>0</v>
      </c>
      <c r="AK1040">
        <f>IF(HR_Data[[#This Row],[Attrition]]="No",1,0)</f>
        <v>1</v>
      </c>
      <c r="AL1040" t="str">
        <f>IF(HR_Data[[#This Row],[Age]]&lt;25,"Under 25",IF(HR_Data[[#This Row],[Age]]&lt;=34,"25-34",IF(HR_Data[[#This Row],[Age]]&lt;=44,"35-44",IF(HR_Data[[#This Row],[Age]]&lt;=54,"45-54","55+"))))</f>
        <v>45-54</v>
      </c>
      <c r="AM1040" s="1" t="str">
        <f>IF(HR_Data[[#This Row],[MonthlyIncome]]&lt;3000,"Low Salary",IF(HR_Data[[#This Row],[MonthlyIncome]]&lt;=7000,"Medium Salary","High Salary"))</f>
        <v>Medium Salary</v>
      </c>
      <c r="AN1040" s="1" t="str">
        <f>IF(HR_Data[[#This Row],[YearsAtCompany]]&lt;2,"0-1 Years",IF(HR_Data[[#This Row],[YearsAtCompany]]&lt;=5,"2-5 Years",IF(HR_Data[[#This Row],[YearsAtCompany]]&lt;=10,"6-10 Years","10+ Years")))</f>
        <v>2-5 Years</v>
      </c>
      <c r="AO1040" s="1" t="str">
        <f>IF(HR_Data[[#This Row],[JobSatisfaction]]=1,"Low",IF(HR_Data[[#This Row],[JobSatisfaction]]=2,"Medium",IF(HR_Data[[#This Row],[JobSatisfaction]]=3,"High","Very High")))</f>
        <v>Low</v>
      </c>
      <c r="AP1040" s="1" t="str">
        <f>IF(HR_Data[[#This Row],[WorkLifeBalance]]=1,"Bad",IF(HR_Data[[#This Row],[WorkLifeBalance]]=2,"Good",IF(HR_Data[[#This Row],[WorkLifeBalance]]=3,"Better","Best")))</f>
        <v>Better</v>
      </c>
    </row>
    <row r="1041" spans="1:42" x14ac:dyDescent="0.3">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c r="AJ1041">
        <f>IF(HR_Data[[#This Row],[Attrition]]="Yes",1,0)</f>
        <v>1</v>
      </c>
      <c r="AK1041">
        <f>IF(HR_Data[[#This Row],[Attrition]]="No",1,0)</f>
        <v>0</v>
      </c>
      <c r="AL1041" t="str">
        <f>IF(HR_Data[[#This Row],[Age]]&lt;25,"Under 25",IF(HR_Data[[#This Row],[Age]]&lt;=34,"25-34",IF(HR_Data[[#This Row],[Age]]&lt;=44,"35-44",IF(HR_Data[[#This Row],[Age]]&lt;=54,"45-54","55+"))))</f>
        <v>25-34</v>
      </c>
      <c r="AM1041" s="1" t="str">
        <f>IF(HR_Data[[#This Row],[MonthlyIncome]]&lt;3000,"Low Salary",IF(HR_Data[[#This Row],[MonthlyIncome]]&lt;=7000,"Medium Salary","High Salary"))</f>
        <v>Low Salary</v>
      </c>
      <c r="AN1041" s="1" t="str">
        <f>IF(HR_Data[[#This Row],[YearsAtCompany]]&lt;2,"0-1 Years",IF(HR_Data[[#This Row],[YearsAtCompany]]&lt;=5,"2-5 Years",IF(HR_Data[[#This Row],[YearsAtCompany]]&lt;=10,"6-10 Years","10+ Years")))</f>
        <v>2-5 Years</v>
      </c>
      <c r="AO1041" s="1" t="str">
        <f>IF(HR_Data[[#This Row],[JobSatisfaction]]=1,"Low",IF(HR_Data[[#This Row],[JobSatisfaction]]=2,"Medium",IF(HR_Data[[#This Row],[JobSatisfaction]]=3,"High","Very High")))</f>
        <v>High</v>
      </c>
      <c r="AP1041" s="1" t="str">
        <f>IF(HR_Data[[#This Row],[WorkLifeBalance]]=1,"Bad",IF(HR_Data[[#This Row],[WorkLifeBalance]]=2,"Good",IF(HR_Data[[#This Row],[WorkLifeBalance]]=3,"Better","Best")))</f>
        <v>Better</v>
      </c>
    </row>
    <row r="1042" spans="1:42" x14ac:dyDescent="0.3">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c r="AJ1042">
        <f>IF(HR_Data[[#This Row],[Attrition]]="Yes",1,0)</f>
        <v>0</v>
      </c>
      <c r="AK1042">
        <f>IF(HR_Data[[#This Row],[Attrition]]="No",1,0)</f>
        <v>1</v>
      </c>
      <c r="AL1042" t="str">
        <f>IF(HR_Data[[#This Row],[Age]]&lt;25,"Under 25",IF(HR_Data[[#This Row],[Age]]&lt;=34,"25-34",IF(HR_Data[[#This Row],[Age]]&lt;=44,"35-44",IF(HR_Data[[#This Row],[Age]]&lt;=54,"45-54","55+"))))</f>
        <v>35-44</v>
      </c>
      <c r="AM1042" s="1" t="str">
        <f>IF(HR_Data[[#This Row],[MonthlyIncome]]&lt;3000,"Low Salary",IF(HR_Data[[#This Row],[MonthlyIncome]]&lt;=7000,"Medium Salary","High Salary"))</f>
        <v>High Salary</v>
      </c>
      <c r="AN1042" s="1" t="str">
        <f>IF(HR_Data[[#This Row],[YearsAtCompany]]&lt;2,"0-1 Years",IF(HR_Data[[#This Row],[YearsAtCompany]]&lt;=5,"2-5 Years",IF(HR_Data[[#This Row],[YearsAtCompany]]&lt;=10,"6-10 Years","10+ Years")))</f>
        <v>6-10 Years</v>
      </c>
      <c r="AO1042" s="1" t="str">
        <f>IF(HR_Data[[#This Row],[JobSatisfaction]]=1,"Low",IF(HR_Data[[#This Row],[JobSatisfaction]]=2,"Medium",IF(HR_Data[[#This Row],[JobSatisfaction]]=3,"High","Very High")))</f>
        <v>Medium</v>
      </c>
      <c r="AP1042" s="1" t="str">
        <f>IF(HR_Data[[#This Row],[WorkLifeBalance]]=1,"Bad",IF(HR_Data[[#This Row],[WorkLifeBalance]]=2,"Good",IF(HR_Data[[#This Row],[WorkLifeBalance]]=3,"Better","Best")))</f>
        <v>Better</v>
      </c>
    </row>
    <row r="1043" spans="1:42" x14ac:dyDescent="0.3">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c r="AJ1043">
        <f>IF(HR_Data[[#This Row],[Attrition]]="Yes",1,0)</f>
        <v>0</v>
      </c>
      <c r="AK1043">
        <f>IF(HR_Data[[#This Row],[Attrition]]="No",1,0)</f>
        <v>1</v>
      </c>
      <c r="AL1043" t="str">
        <f>IF(HR_Data[[#This Row],[Age]]&lt;25,"Under 25",IF(HR_Data[[#This Row],[Age]]&lt;=34,"25-34",IF(HR_Data[[#This Row],[Age]]&lt;=44,"35-44",IF(HR_Data[[#This Row],[Age]]&lt;=54,"45-54","55+"))))</f>
        <v>25-34</v>
      </c>
      <c r="AM1043" s="1" t="str">
        <f>IF(HR_Data[[#This Row],[MonthlyIncome]]&lt;3000,"Low Salary",IF(HR_Data[[#This Row],[MonthlyIncome]]&lt;=7000,"Medium Salary","High Salary"))</f>
        <v>High Salary</v>
      </c>
      <c r="AN1043" s="1" t="str">
        <f>IF(HR_Data[[#This Row],[YearsAtCompany]]&lt;2,"0-1 Years",IF(HR_Data[[#This Row],[YearsAtCompany]]&lt;=5,"2-5 Years",IF(HR_Data[[#This Row],[YearsAtCompany]]&lt;=10,"6-10 Years","10+ Years")))</f>
        <v>2-5 Years</v>
      </c>
      <c r="AO1043" s="1" t="str">
        <f>IF(HR_Data[[#This Row],[JobSatisfaction]]=1,"Low",IF(HR_Data[[#This Row],[JobSatisfaction]]=2,"Medium",IF(HR_Data[[#This Row],[JobSatisfaction]]=3,"High","Very High")))</f>
        <v>Low</v>
      </c>
      <c r="AP1043" s="1" t="str">
        <f>IF(HR_Data[[#This Row],[WorkLifeBalance]]=1,"Bad",IF(HR_Data[[#This Row],[WorkLifeBalance]]=2,"Good",IF(HR_Data[[#This Row],[WorkLifeBalance]]=3,"Better","Best")))</f>
        <v>Better</v>
      </c>
    </row>
    <row r="1044" spans="1:42" x14ac:dyDescent="0.3">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c r="AJ1044">
        <f>IF(HR_Data[[#This Row],[Attrition]]="Yes",1,0)</f>
        <v>0</v>
      </c>
      <c r="AK1044">
        <f>IF(HR_Data[[#This Row],[Attrition]]="No",1,0)</f>
        <v>1</v>
      </c>
      <c r="AL1044" t="str">
        <f>IF(HR_Data[[#This Row],[Age]]&lt;25,"Under 25",IF(HR_Data[[#This Row],[Age]]&lt;=34,"25-34",IF(HR_Data[[#This Row],[Age]]&lt;=44,"35-44",IF(HR_Data[[#This Row],[Age]]&lt;=54,"45-54","55+"))))</f>
        <v>35-44</v>
      </c>
      <c r="AM1044" s="1" t="str">
        <f>IF(HR_Data[[#This Row],[MonthlyIncome]]&lt;3000,"Low Salary",IF(HR_Data[[#This Row],[MonthlyIncome]]&lt;=7000,"Medium Salary","High Salary"))</f>
        <v>Medium Salary</v>
      </c>
      <c r="AN1044" s="1" t="str">
        <f>IF(HR_Data[[#This Row],[YearsAtCompany]]&lt;2,"0-1 Years",IF(HR_Data[[#This Row],[YearsAtCompany]]&lt;=5,"2-5 Years",IF(HR_Data[[#This Row],[YearsAtCompany]]&lt;=10,"6-10 Years","10+ Years")))</f>
        <v>2-5 Years</v>
      </c>
      <c r="AO1044" s="1" t="str">
        <f>IF(HR_Data[[#This Row],[JobSatisfaction]]=1,"Low",IF(HR_Data[[#This Row],[JobSatisfaction]]=2,"Medium",IF(HR_Data[[#This Row],[JobSatisfaction]]=3,"High","Very High")))</f>
        <v>High</v>
      </c>
      <c r="AP1044" s="1" t="str">
        <f>IF(HR_Data[[#This Row],[WorkLifeBalance]]=1,"Bad",IF(HR_Data[[#This Row],[WorkLifeBalance]]=2,"Good",IF(HR_Data[[#This Row],[WorkLifeBalance]]=3,"Better","Best")))</f>
        <v>Better</v>
      </c>
    </row>
    <row r="1045" spans="1:42" x14ac:dyDescent="0.3">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c r="AJ1045">
        <f>IF(HR_Data[[#This Row],[Attrition]]="Yes",1,0)</f>
        <v>0</v>
      </c>
      <c r="AK1045">
        <f>IF(HR_Data[[#This Row],[Attrition]]="No",1,0)</f>
        <v>1</v>
      </c>
      <c r="AL1045" t="str">
        <f>IF(HR_Data[[#This Row],[Age]]&lt;25,"Under 25",IF(HR_Data[[#This Row],[Age]]&lt;=34,"25-34",IF(HR_Data[[#This Row],[Age]]&lt;=44,"35-44",IF(HR_Data[[#This Row],[Age]]&lt;=54,"45-54","55+"))))</f>
        <v>45-54</v>
      </c>
      <c r="AM1045" s="1" t="str">
        <f>IF(HR_Data[[#This Row],[MonthlyIncome]]&lt;3000,"Low Salary",IF(HR_Data[[#This Row],[MonthlyIncome]]&lt;=7000,"Medium Salary","High Salary"))</f>
        <v>High Salary</v>
      </c>
      <c r="AN1045" s="1" t="str">
        <f>IF(HR_Data[[#This Row],[YearsAtCompany]]&lt;2,"0-1 Years",IF(HR_Data[[#This Row],[YearsAtCompany]]&lt;=5,"2-5 Years",IF(HR_Data[[#This Row],[YearsAtCompany]]&lt;=10,"6-10 Years","10+ Years")))</f>
        <v>6-10 Years</v>
      </c>
      <c r="AO1045" s="1" t="str">
        <f>IF(HR_Data[[#This Row],[JobSatisfaction]]=1,"Low",IF(HR_Data[[#This Row],[JobSatisfaction]]=2,"Medium",IF(HR_Data[[#This Row],[JobSatisfaction]]=3,"High","Very High")))</f>
        <v>Medium</v>
      </c>
      <c r="AP1045" s="1" t="str">
        <f>IF(HR_Data[[#This Row],[WorkLifeBalance]]=1,"Bad",IF(HR_Data[[#This Row],[WorkLifeBalance]]=2,"Good",IF(HR_Data[[#This Row],[WorkLifeBalance]]=3,"Better","Best")))</f>
        <v>Good</v>
      </c>
    </row>
    <row r="1046" spans="1:42" x14ac:dyDescent="0.3">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c r="AJ1046">
        <f>IF(HR_Data[[#This Row],[Attrition]]="Yes",1,0)</f>
        <v>0</v>
      </c>
      <c r="AK1046">
        <f>IF(HR_Data[[#This Row],[Attrition]]="No",1,0)</f>
        <v>1</v>
      </c>
      <c r="AL1046" t="str">
        <f>IF(HR_Data[[#This Row],[Age]]&lt;25,"Under 25",IF(HR_Data[[#This Row],[Age]]&lt;=34,"25-34",IF(HR_Data[[#This Row],[Age]]&lt;=44,"35-44",IF(HR_Data[[#This Row],[Age]]&lt;=54,"45-54","55+"))))</f>
        <v>45-54</v>
      </c>
      <c r="AM1046" s="1" t="str">
        <f>IF(HR_Data[[#This Row],[MonthlyIncome]]&lt;3000,"Low Salary",IF(HR_Data[[#This Row],[MonthlyIncome]]&lt;=7000,"Medium Salary","High Salary"))</f>
        <v>Medium Salary</v>
      </c>
      <c r="AN1046" s="1" t="str">
        <f>IF(HR_Data[[#This Row],[YearsAtCompany]]&lt;2,"0-1 Years",IF(HR_Data[[#This Row],[YearsAtCompany]]&lt;=5,"2-5 Years",IF(HR_Data[[#This Row],[YearsAtCompany]]&lt;=10,"6-10 Years","10+ Years")))</f>
        <v>2-5 Years</v>
      </c>
      <c r="AO1046" s="1" t="str">
        <f>IF(HR_Data[[#This Row],[JobSatisfaction]]=1,"Low",IF(HR_Data[[#This Row],[JobSatisfaction]]=2,"Medium",IF(HR_Data[[#This Row],[JobSatisfaction]]=3,"High","Very High")))</f>
        <v>High</v>
      </c>
      <c r="AP1046" s="1" t="str">
        <f>IF(HR_Data[[#This Row],[WorkLifeBalance]]=1,"Bad",IF(HR_Data[[#This Row],[WorkLifeBalance]]=2,"Good",IF(HR_Data[[#This Row],[WorkLifeBalance]]=3,"Better","Best")))</f>
        <v>Good</v>
      </c>
    </row>
    <row r="1047" spans="1:42" x14ac:dyDescent="0.3">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c r="AJ1047">
        <f>IF(HR_Data[[#This Row],[Attrition]]="Yes",1,0)</f>
        <v>0</v>
      </c>
      <c r="AK1047">
        <f>IF(HR_Data[[#This Row],[Attrition]]="No",1,0)</f>
        <v>1</v>
      </c>
      <c r="AL1047" t="str">
        <f>IF(HR_Data[[#This Row],[Age]]&lt;25,"Under 25",IF(HR_Data[[#This Row],[Age]]&lt;=34,"25-34",IF(HR_Data[[#This Row],[Age]]&lt;=44,"35-44",IF(HR_Data[[#This Row],[Age]]&lt;=54,"45-54","55+"))))</f>
        <v>35-44</v>
      </c>
      <c r="AM1047" s="1" t="str">
        <f>IF(HR_Data[[#This Row],[MonthlyIncome]]&lt;3000,"Low Salary",IF(HR_Data[[#This Row],[MonthlyIncome]]&lt;=7000,"Medium Salary","High Salary"))</f>
        <v>Low Salary</v>
      </c>
      <c r="AN1047" s="1" t="str">
        <f>IF(HR_Data[[#This Row],[YearsAtCompany]]&lt;2,"0-1 Years",IF(HR_Data[[#This Row],[YearsAtCompany]]&lt;=5,"2-5 Years",IF(HR_Data[[#This Row],[YearsAtCompany]]&lt;=10,"6-10 Years","10+ Years")))</f>
        <v>2-5 Years</v>
      </c>
      <c r="AO1047" s="1" t="str">
        <f>IF(HR_Data[[#This Row],[JobSatisfaction]]=1,"Low",IF(HR_Data[[#This Row],[JobSatisfaction]]=2,"Medium",IF(HR_Data[[#This Row],[JobSatisfaction]]=3,"High","Very High")))</f>
        <v>High</v>
      </c>
      <c r="AP1047" s="1" t="str">
        <f>IF(HR_Data[[#This Row],[WorkLifeBalance]]=1,"Bad",IF(HR_Data[[#This Row],[WorkLifeBalance]]=2,"Good",IF(HR_Data[[#This Row],[WorkLifeBalance]]=3,"Better","Best")))</f>
        <v>Best</v>
      </c>
    </row>
    <row r="1048" spans="1:42" x14ac:dyDescent="0.3">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c r="AJ1048">
        <f>IF(HR_Data[[#This Row],[Attrition]]="Yes",1,0)</f>
        <v>0</v>
      </c>
      <c r="AK1048">
        <f>IF(HR_Data[[#This Row],[Attrition]]="No",1,0)</f>
        <v>1</v>
      </c>
      <c r="AL1048" t="str">
        <f>IF(HR_Data[[#This Row],[Age]]&lt;25,"Under 25",IF(HR_Data[[#This Row],[Age]]&lt;=34,"25-34",IF(HR_Data[[#This Row],[Age]]&lt;=44,"35-44",IF(HR_Data[[#This Row],[Age]]&lt;=54,"45-54","55+"))))</f>
        <v>35-44</v>
      </c>
      <c r="AM1048" s="1" t="str">
        <f>IF(HR_Data[[#This Row],[MonthlyIncome]]&lt;3000,"Low Salary",IF(HR_Data[[#This Row],[MonthlyIncome]]&lt;=7000,"Medium Salary","High Salary"))</f>
        <v>Medium Salary</v>
      </c>
      <c r="AN1048" s="1" t="str">
        <f>IF(HR_Data[[#This Row],[YearsAtCompany]]&lt;2,"0-1 Years",IF(HR_Data[[#This Row],[YearsAtCompany]]&lt;=5,"2-5 Years",IF(HR_Data[[#This Row],[YearsAtCompany]]&lt;=10,"6-10 Years","10+ Years")))</f>
        <v>2-5 Years</v>
      </c>
      <c r="AO1048" s="1" t="str">
        <f>IF(HR_Data[[#This Row],[JobSatisfaction]]=1,"Low",IF(HR_Data[[#This Row],[JobSatisfaction]]=2,"Medium",IF(HR_Data[[#This Row],[JobSatisfaction]]=3,"High","Very High")))</f>
        <v>Medium</v>
      </c>
      <c r="AP1048" s="1" t="str">
        <f>IF(HR_Data[[#This Row],[WorkLifeBalance]]=1,"Bad",IF(HR_Data[[#This Row],[WorkLifeBalance]]=2,"Good",IF(HR_Data[[#This Row],[WorkLifeBalance]]=3,"Better","Best")))</f>
        <v>Good</v>
      </c>
    </row>
    <row r="1049" spans="1:42" x14ac:dyDescent="0.3">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c r="AJ1049">
        <f>IF(HR_Data[[#This Row],[Attrition]]="Yes",1,0)</f>
        <v>0</v>
      </c>
      <c r="AK1049">
        <f>IF(HR_Data[[#This Row],[Attrition]]="No",1,0)</f>
        <v>1</v>
      </c>
      <c r="AL1049" t="str">
        <f>IF(HR_Data[[#This Row],[Age]]&lt;25,"Under 25",IF(HR_Data[[#This Row],[Age]]&lt;=34,"25-34",IF(HR_Data[[#This Row],[Age]]&lt;=44,"35-44",IF(HR_Data[[#This Row],[Age]]&lt;=54,"45-54","55+"))))</f>
        <v>25-34</v>
      </c>
      <c r="AM1049" s="1" t="str">
        <f>IF(HR_Data[[#This Row],[MonthlyIncome]]&lt;3000,"Low Salary",IF(HR_Data[[#This Row],[MonthlyIncome]]&lt;=7000,"Medium Salary","High Salary"))</f>
        <v>Medium Salary</v>
      </c>
      <c r="AN1049" s="1" t="str">
        <f>IF(HR_Data[[#This Row],[YearsAtCompany]]&lt;2,"0-1 Years",IF(HR_Data[[#This Row],[YearsAtCompany]]&lt;=5,"2-5 Years",IF(HR_Data[[#This Row],[YearsAtCompany]]&lt;=10,"6-10 Years","10+ Years")))</f>
        <v>2-5 Years</v>
      </c>
      <c r="AO1049" s="1" t="str">
        <f>IF(HR_Data[[#This Row],[JobSatisfaction]]=1,"Low",IF(HR_Data[[#This Row],[JobSatisfaction]]=2,"Medium",IF(HR_Data[[#This Row],[JobSatisfaction]]=3,"High","Very High")))</f>
        <v>Low</v>
      </c>
      <c r="AP1049" s="1" t="str">
        <f>IF(HR_Data[[#This Row],[WorkLifeBalance]]=1,"Bad",IF(HR_Data[[#This Row],[WorkLifeBalance]]=2,"Good",IF(HR_Data[[#This Row],[WorkLifeBalance]]=3,"Better","Best")))</f>
        <v>Better</v>
      </c>
    </row>
    <row r="1050" spans="1:42" x14ac:dyDescent="0.3">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c r="AJ1050">
        <f>IF(HR_Data[[#This Row],[Attrition]]="Yes",1,0)</f>
        <v>0</v>
      </c>
      <c r="AK1050">
        <f>IF(HR_Data[[#This Row],[Attrition]]="No",1,0)</f>
        <v>1</v>
      </c>
      <c r="AL1050" t="str">
        <f>IF(HR_Data[[#This Row],[Age]]&lt;25,"Under 25",IF(HR_Data[[#This Row],[Age]]&lt;=34,"25-34",IF(HR_Data[[#This Row],[Age]]&lt;=44,"35-44",IF(HR_Data[[#This Row],[Age]]&lt;=54,"45-54","55+"))))</f>
        <v>25-34</v>
      </c>
      <c r="AM1050" s="1" t="str">
        <f>IF(HR_Data[[#This Row],[MonthlyIncome]]&lt;3000,"Low Salary",IF(HR_Data[[#This Row],[MonthlyIncome]]&lt;=7000,"Medium Salary","High Salary"))</f>
        <v>Medium Salary</v>
      </c>
      <c r="AN1050" s="1" t="str">
        <f>IF(HR_Data[[#This Row],[YearsAtCompany]]&lt;2,"0-1 Years",IF(HR_Data[[#This Row],[YearsAtCompany]]&lt;=5,"2-5 Years",IF(HR_Data[[#This Row],[YearsAtCompany]]&lt;=10,"6-10 Years","10+ Years")))</f>
        <v>10+ Years</v>
      </c>
      <c r="AO1050" s="1" t="str">
        <f>IF(HR_Data[[#This Row],[JobSatisfaction]]=1,"Low",IF(HR_Data[[#This Row],[JobSatisfaction]]=2,"Medium",IF(HR_Data[[#This Row],[JobSatisfaction]]=3,"High","Very High")))</f>
        <v>Low</v>
      </c>
      <c r="AP1050" s="1" t="str">
        <f>IF(HR_Data[[#This Row],[WorkLifeBalance]]=1,"Bad",IF(HR_Data[[#This Row],[WorkLifeBalance]]=2,"Good",IF(HR_Data[[#This Row],[WorkLifeBalance]]=3,"Better","Best")))</f>
        <v>Better</v>
      </c>
    </row>
    <row r="1051" spans="1:42" x14ac:dyDescent="0.3">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c r="AJ1051">
        <f>IF(HR_Data[[#This Row],[Attrition]]="Yes",1,0)</f>
        <v>0</v>
      </c>
      <c r="AK1051">
        <f>IF(HR_Data[[#This Row],[Attrition]]="No",1,0)</f>
        <v>1</v>
      </c>
      <c r="AL1051" t="str">
        <f>IF(HR_Data[[#This Row],[Age]]&lt;25,"Under 25",IF(HR_Data[[#This Row],[Age]]&lt;=34,"25-34",IF(HR_Data[[#This Row],[Age]]&lt;=44,"35-44",IF(HR_Data[[#This Row],[Age]]&lt;=54,"45-54","55+"))))</f>
        <v>25-34</v>
      </c>
      <c r="AM1051" s="1" t="str">
        <f>IF(HR_Data[[#This Row],[MonthlyIncome]]&lt;3000,"Low Salary",IF(HR_Data[[#This Row],[MonthlyIncome]]&lt;=7000,"Medium Salary","High Salary"))</f>
        <v>Medium Salary</v>
      </c>
      <c r="AN1051" s="1" t="str">
        <f>IF(HR_Data[[#This Row],[YearsAtCompany]]&lt;2,"0-1 Years",IF(HR_Data[[#This Row],[YearsAtCompany]]&lt;=5,"2-5 Years",IF(HR_Data[[#This Row],[YearsAtCompany]]&lt;=10,"6-10 Years","10+ Years")))</f>
        <v>2-5 Years</v>
      </c>
      <c r="AO1051" s="1" t="str">
        <f>IF(HR_Data[[#This Row],[JobSatisfaction]]=1,"Low",IF(HR_Data[[#This Row],[JobSatisfaction]]=2,"Medium",IF(HR_Data[[#This Row],[JobSatisfaction]]=3,"High","Very High")))</f>
        <v>High</v>
      </c>
      <c r="AP1051" s="1" t="str">
        <f>IF(HR_Data[[#This Row],[WorkLifeBalance]]=1,"Bad",IF(HR_Data[[#This Row],[WorkLifeBalance]]=2,"Good",IF(HR_Data[[#This Row],[WorkLifeBalance]]=3,"Better","Best")))</f>
        <v>Good</v>
      </c>
    </row>
    <row r="1052" spans="1:42" x14ac:dyDescent="0.3">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c r="AJ1052">
        <f>IF(HR_Data[[#This Row],[Attrition]]="Yes",1,0)</f>
        <v>0</v>
      </c>
      <c r="AK1052">
        <f>IF(HR_Data[[#This Row],[Attrition]]="No",1,0)</f>
        <v>1</v>
      </c>
      <c r="AL1052" t="str">
        <f>IF(HR_Data[[#This Row],[Age]]&lt;25,"Under 25",IF(HR_Data[[#This Row],[Age]]&lt;=34,"25-34",IF(HR_Data[[#This Row],[Age]]&lt;=44,"35-44",IF(HR_Data[[#This Row],[Age]]&lt;=54,"45-54","55+"))))</f>
        <v>35-44</v>
      </c>
      <c r="AM1052" s="1" t="str">
        <f>IF(HR_Data[[#This Row],[MonthlyIncome]]&lt;3000,"Low Salary",IF(HR_Data[[#This Row],[MonthlyIncome]]&lt;=7000,"Medium Salary","High Salary"))</f>
        <v>Medium Salary</v>
      </c>
      <c r="AN1052" s="1" t="str">
        <f>IF(HR_Data[[#This Row],[YearsAtCompany]]&lt;2,"0-1 Years",IF(HR_Data[[#This Row],[YearsAtCompany]]&lt;=5,"2-5 Years",IF(HR_Data[[#This Row],[YearsAtCompany]]&lt;=10,"6-10 Years","10+ Years")))</f>
        <v>10+ Years</v>
      </c>
      <c r="AO1052" s="1" t="str">
        <f>IF(HR_Data[[#This Row],[JobSatisfaction]]=1,"Low",IF(HR_Data[[#This Row],[JobSatisfaction]]=2,"Medium",IF(HR_Data[[#This Row],[JobSatisfaction]]=3,"High","Very High")))</f>
        <v>Very High</v>
      </c>
      <c r="AP1052" s="1" t="str">
        <f>IF(HR_Data[[#This Row],[WorkLifeBalance]]=1,"Bad",IF(HR_Data[[#This Row],[WorkLifeBalance]]=2,"Good",IF(HR_Data[[#This Row],[WorkLifeBalance]]=3,"Better","Best")))</f>
        <v>Better</v>
      </c>
    </row>
    <row r="1053" spans="1:42" x14ac:dyDescent="0.3">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c r="AJ1053">
        <f>IF(HR_Data[[#This Row],[Attrition]]="Yes",1,0)</f>
        <v>0</v>
      </c>
      <c r="AK1053">
        <f>IF(HR_Data[[#This Row],[Attrition]]="No",1,0)</f>
        <v>1</v>
      </c>
      <c r="AL1053" t="str">
        <f>IF(HR_Data[[#This Row],[Age]]&lt;25,"Under 25",IF(HR_Data[[#This Row],[Age]]&lt;=34,"25-34",IF(HR_Data[[#This Row],[Age]]&lt;=44,"35-44",IF(HR_Data[[#This Row],[Age]]&lt;=54,"45-54","55+"))))</f>
        <v>35-44</v>
      </c>
      <c r="AM1053" s="1" t="str">
        <f>IF(HR_Data[[#This Row],[MonthlyIncome]]&lt;3000,"Low Salary",IF(HR_Data[[#This Row],[MonthlyIncome]]&lt;=7000,"Medium Salary","High Salary"))</f>
        <v>Medium Salary</v>
      </c>
      <c r="AN1053" s="1" t="str">
        <f>IF(HR_Data[[#This Row],[YearsAtCompany]]&lt;2,"0-1 Years",IF(HR_Data[[#This Row],[YearsAtCompany]]&lt;=5,"2-5 Years",IF(HR_Data[[#This Row],[YearsAtCompany]]&lt;=10,"6-10 Years","10+ Years")))</f>
        <v>0-1 Years</v>
      </c>
      <c r="AO1053" s="1" t="str">
        <f>IF(HR_Data[[#This Row],[JobSatisfaction]]=1,"Low",IF(HR_Data[[#This Row],[JobSatisfaction]]=2,"Medium",IF(HR_Data[[#This Row],[JobSatisfaction]]=3,"High","Very High")))</f>
        <v>High</v>
      </c>
      <c r="AP1053" s="1" t="str">
        <f>IF(HR_Data[[#This Row],[WorkLifeBalance]]=1,"Bad",IF(HR_Data[[#This Row],[WorkLifeBalance]]=2,"Good",IF(HR_Data[[#This Row],[WorkLifeBalance]]=3,"Better","Best")))</f>
        <v>Good</v>
      </c>
    </row>
    <row r="1054" spans="1:42" x14ac:dyDescent="0.3">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c r="AJ1054">
        <f>IF(HR_Data[[#This Row],[Attrition]]="Yes",1,0)</f>
        <v>0</v>
      </c>
      <c r="AK1054">
        <f>IF(HR_Data[[#This Row],[Attrition]]="No",1,0)</f>
        <v>1</v>
      </c>
      <c r="AL1054" t="str">
        <f>IF(HR_Data[[#This Row],[Age]]&lt;25,"Under 25",IF(HR_Data[[#This Row],[Age]]&lt;=34,"25-34",IF(HR_Data[[#This Row],[Age]]&lt;=44,"35-44",IF(HR_Data[[#This Row],[Age]]&lt;=54,"45-54","55+"))))</f>
        <v>25-34</v>
      </c>
      <c r="AM1054" s="1" t="str">
        <f>IF(HR_Data[[#This Row],[MonthlyIncome]]&lt;3000,"Low Salary",IF(HR_Data[[#This Row],[MonthlyIncome]]&lt;=7000,"Medium Salary","High Salary"))</f>
        <v>Low Salary</v>
      </c>
      <c r="AN1054" s="1" t="str">
        <f>IF(HR_Data[[#This Row],[YearsAtCompany]]&lt;2,"0-1 Years",IF(HR_Data[[#This Row],[YearsAtCompany]]&lt;=5,"2-5 Years",IF(HR_Data[[#This Row],[YearsAtCompany]]&lt;=10,"6-10 Years","10+ Years")))</f>
        <v>0-1 Years</v>
      </c>
      <c r="AO1054" s="1" t="str">
        <f>IF(HR_Data[[#This Row],[JobSatisfaction]]=1,"Low",IF(HR_Data[[#This Row],[JobSatisfaction]]=2,"Medium",IF(HR_Data[[#This Row],[JobSatisfaction]]=3,"High","Very High")))</f>
        <v>High</v>
      </c>
      <c r="AP1054" s="1" t="str">
        <f>IF(HR_Data[[#This Row],[WorkLifeBalance]]=1,"Bad",IF(HR_Data[[#This Row],[WorkLifeBalance]]=2,"Good",IF(HR_Data[[#This Row],[WorkLifeBalance]]=3,"Better","Best")))</f>
        <v>Good</v>
      </c>
    </row>
    <row r="1055" spans="1:42" x14ac:dyDescent="0.3">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c r="AJ1055">
        <f>IF(HR_Data[[#This Row],[Attrition]]="Yes",1,0)</f>
        <v>0</v>
      </c>
      <c r="AK1055">
        <f>IF(HR_Data[[#This Row],[Attrition]]="No",1,0)</f>
        <v>1</v>
      </c>
      <c r="AL1055" t="str">
        <f>IF(HR_Data[[#This Row],[Age]]&lt;25,"Under 25",IF(HR_Data[[#This Row],[Age]]&lt;=34,"25-34",IF(HR_Data[[#This Row],[Age]]&lt;=44,"35-44",IF(HR_Data[[#This Row],[Age]]&lt;=54,"45-54","55+"))))</f>
        <v>55+</v>
      </c>
      <c r="AM1055" s="1" t="str">
        <f>IF(HR_Data[[#This Row],[MonthlyIncome]]&lt;3000,"Low Salary",IF(HR_Data[[#This Row],[MonthlyIncome]]&lt;=7000,"Medium Salary","High Salary"))</f>
        <v>Medium Salary</v>
      </c>
      <c r="AN1055" s="1" t="str">
        <f>IF(HR_Data[[#This Row],[YearsAtCompany]]&lt;2,"0-1 Years",IF(HR_Data[[#This Row],[YearsAtCompany]]&lt;=5,"2-5 Years",IF(HR_Data[[#This Row],[YearsAtCompany]]&lt;=10,"6-10 Years","10+ Years")))</f>
        <v>10+ Years</v>
      </c>
      <c r="AO1055" s="1" t="str">
        <f>IF(HR_Data[[#This Row],[JobSatisfaction]]=1,"Low",IF(HR_Data[[#This Row],[JobSatisfaction]]=2,"Medium",IF(HR_Data[[#This Row],[JobSatisfaction]]=3,"High","Very High")))</f>
        <v>High</v>
      </c>
      <c r="AP1055" s="1" t="str">
        <f>IF(HR_Data[[#This Row],[WorkLifeBalance]]=1,"Bad",IF(HR_Data[[#This Row],[WorkLifeBalance]]=2,"Good",IF(HR_Data[[#This Row],[WorkLifeBalance]]=3,"Better","Best")))</f>
        <v>Good</v>
      </c>
    </row>
    <row r="1056" spans="1:42" x14ac:dyDescent="0.3">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c r="AJ1056">
        <f>IF(HR_Data[[#This Row],[Attrition]]="Yes",1,0)</f>
        <v>0</v>
      </c>
      <c r="AK1056">
        <f>IF(HR_Data[[#This Row],[Attrition]]="No",1,0)</f>
        <v>1</v>
      </c>
      <c r="AL1056" t="str">
        <f>IF(HR_Data[[#This Row],[Age]]&lt;25,"Under 25",IF(HR_Data[[#This Row],[Age]]&lt;=34,"25-34",IF(HR_Data[[#This Row],[Age]]&lt;=44,"35-44",IF(HR_Data[[#This Row],[Age]]&lt;=54,"45-54","55+"))))</f>
        <v>45-54</v>
      </c>
      <c r="AM1056" s="1" t="str">
        <f>IF(HR_Data[[#This Row],[MonthlyIncome]]&lt;3000,"Low Salary",IF(HR_Data[[#This Row],[MonthlyIncome]]&lt;=7000,"Medium Salary","High Salary"))</f>
        <v>High Salary</v>
      </c>
      <c r="AN1056" s="1" t="str">
        <f>IF(HR_Data[[#This Row],[YearsAtCompany]]&lt;2,"0-1 Years",IF(HR_Data[[#This Row],[YearsAtCompany]]&lt;=5,"2-5 Years",IF(HR_Data[[#This Row],[YearsAtCompany]]&lt;=10,"6-10 Years","10+ Years")))</f>
        <v>6-10 Years</v>
      </c>
      <c r="AO1056" s="1" t="str">
        <f>IF(HR_Data[[#This Row],[JobSatisfaction]]=1,"Low",IF(HR_Data[[#This Row],[JobSatisfaction]]=2,"Medium",IF(HR_Data[[#This Row],[JobSatisfaction]]=3,"High","Very High")))</f>
        <v>Medium</v>
      </c>
      <c r="AP1056" s="1" t="str">
        <f>IF(HR_Data[[#This Row],[WorkLifeBalance]]=1,"Bad",IF(HR_Data[[#This Row],[WorkLifeBalance]]=2,"Good",IF(HR_Data[[#This Row],[WorkLifeBalance]]=3,"Better","Best")))</f>
        <v>Better</v>
      </c>
    </row>
    <row r="1057" spans="1:42" x14ac:dyDescent="0.3">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c r="AJ1057">
        <f>IF(HR_Data[[#This Row],[Attrition]]="Yes",1,0)</f>
        <v>0</v>
      </c>
      <c r="AK1057">
        <f>IF(HR_Data[[#This Row],[Attrition]]="No",1,0)</f>
        <v>1</v>
      </c>
      <c r="AL1057" t="str">
        <f>IF(HR_Data[[#This Row],[Age]]&lt;25,"Under 25",IF(HR_Data[[#This Row],[Age]]&lt;=34,"25-34",IF(HR_Data[[#This Row],[Age]]&lt;=44,"35-44",IF(HR_Data[[#This Row],[Age]]&lt;=54,"45-54","55+"))))</f>
        <v>25-34</v>
      </c>
      <c r="AM1057" s="1" t="str">
        <f>IF(HR_Data[[#This Row],[MonthlyIncome]]&lt;3000,"Low Salary",IF(HR_Data[[#This Row],[MonthlyIncome]]&lt;=7000,"Medium Salary","High Salary"))</f>
        <v>High Salary</v>
      </c>
      <c r="AN1057" s="1" t="str">
        <f>IF(HR_Data[[#This Row],[YearsAtCompany]]&lt;2,"0-1 Years",IF(HR_Data[[#This Row],[YearsAtCompany]]&lt;=5,"2-5 Years",IF(HR_Data[[#This Row],[YearsAtCompany]]&lt;=10,"6-10 Years","10+ Years")))</f>
        <v>10+ Years</v>
      </c>
      <c r="AO1057" s="1" t="str">
        <f>IF(HR_Data[[#This Row],[JobSatisfaction]]=1,"Low",IF(HR_Data[[#This Row],[JobSatisfaction]]=2,"Medium",IF(HR_Data[[#This Row],[JobSatisfaction]]=3,"High","Very High")))</f>
        <v>Low</v>
      </c>
      <c r="AP1057" s="1" t="str">
        <f>IF(HR_Data[[#This Row],[WorkLifeBalance]]=1,"Bad",IF(HR_Data[[#This Row],[WorkLifeBalance]]=2,"Good",IF(HR_Data[[#This Row],[WorkLifeBalance]]=3,"Better","Best")))</f>
        <v>Good</v>
      </c>
    </row>
    <row r="1058" spans="1:42" x14ac:dyDescent="0.3">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c r="AJ1058">
        <f>IF(HR_Data[[#This Row],[Attrition]]="Yes",1,0)</f>
        <v>1</v>
      </c>
      <c r="AK1058">
        <f>IF(HR_Data[[#This Row],[Attrition]]="No",1,0)</f>
        <v>0</v>
      </c>
      <c r="AL1058" t="str">
        <f>IF(HR_Data[[#This Row],[Age]]&lt;25,"Under 25",IF(HR_Data[[#This Row],[Age]]&lt;=34,"25-34",IF(HR_Data[[#This Row],[Age]]&lt;=44,"35-44",IF(HR_Data[[#This Row],[Age]]&lt;=54,"45-54","55+"))))</f>
        <v>25-34</v>
      </c>
      <c r="AM1058" s="1" t="str">
        <f>IF(HR_Data[[#This Row],[MonthlyIncome]]&lt;3000,"Low Salary",IF(HR_Data[[#This Row],[MonthlyIncome]]&lt;=7000,"Medium Salary","High Salary"))</f>
        <v>Low Salary</v>
      </c>
      <c r="AN1058" s="1" t="str">
        <f>IF(HR_Data[[#This Row],[YearsAtCompany]]&lt;2,"0-1 Years",IF(HR_Data[[#This Row],[YearsAtCompany]]&lt;=5,"2-5 Years",IF(HR_Data[[#This Row],[YearsAtCompany]]&lt;=10,"6-10 Years","10+ Years")))</f>
        <v>2-5 Years</v>
      </c>
      <c r="AO1058" s="1" t="str">
        <f>IF(HR_Data[[#This Row],[JobSatisfaction]]=1,"Low",IF(HR_Data[[#This Row],[JobSatisfaction]]=2,"Medium",IF(HR_Data[[#This Row],[JobSatisfaction]]=3,"High","Very High")))</f>
        <v>High</v>
      </c>
      <c r="AP1058" s="1" t="str">
        <f>IF(HR_Data[[#This Row],[WorkLifeBalance]]=1,"Bad",IF(HR_Data[[#This Row],[WorkLifeBalance]]=2,"Good",IF(HR_Data[[#This Row],[WorkLifeBalance]]=3,"Better","Best")))</f>
        <v>Best</v>
      </c>
    </row>
    <row r="1059" spans="1:42" x14ac:dyDescent="0.3">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c r="AJ1059">
        <f>IF(HR_Data[[#This Row],[Attrition]]="Yes",1,0)</f>
        <v>1</v>
      </c>
      <c r="AK1059">
        <f>IF(HR_Data[[#This Row],[Attrition]]="No",1,0)</f>
        <v>0</v>
      </c>
      <c r="AL1059" t="str">
        <f>IF(HR_Data[[#This Row],[Age]]&lt;25,"Under 25",IF(HR_Data[[#This Row],[Age]]&lt;=34,"25-34",IF(HR_Data[[#This Row],[Age]]&lt;=44,"35-44",IF(HR_Data[[#This Row],[Age]]&lt;=54,"45-54","55+"))))</f>
        <v>25-34</v>
      </c>
      <c r="AM1059" s="1" t="str">
        <f>IF(HR_Data[[#This Row],[MonthlyIncome]]&lt;3000,"Low Salary",IF(HR_Data[[#This Row],[MonthlyIncome]]&lt;=7000,"Medium Salary","High Salary"))</f>
        <v>Medium Salary</v>
      </c>
      <c r="AN1059" s="1" t="str">
        <f>IF(HR_Data[[#This Row],[YearsAtCompany]]&lt;2,"0-1 Years",IF(HR_Data[[#This Row],[YearsAtCompany]]&lt;=5,"2-5 Years",IF(HR_Data[[#This Row],[YearsAtCompany]]&lt;=10,"6-10 Years","10+ Years")))</f>
        <v>2-5 Years</v>
      </c>
      <c r="AO1059" s="1" t="str">
        <f>IF(HR_Data[[#This Row],[JobSatisfaction]]=1,"Low",IF(HR_Data[[#This Row],[JobSatisfaction]]=2,"Medium",IF(HR_Data[[#This Row],[JobSatisfaction]]=3,"High","Very High")))</f>
        <v>Medium</v>
      </c>
      <c r="AP1059" s="1" t="str">
        <f>IF(HR_Data[[#This Row],[WorkLifeBalance]]=1,"Bad",IF(HR_Data[[#This Row],[WorkLifeBalance]]=2,"Good",IF(HR_Data[[#This Row],[WorkLifeBalance]]=3,"Better","Best")))</f>
        <v>Bad</v>
      </c>
    </row>
    <row r="1060" spans="1:42" x14ac:dyDescent="0.3">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c r="AJ1060">
        <f>IF(HR_Data[[#This Row],[Attrition]]="Yes",1,0)</f>
        <v>1</v>
      </c>
      <c r="AK1060">
        <f>IF(HR_Data[[#This Row],[Attrition]]="No",1,0)</f>
        <v>0</v>
      </c>
      <c r="AL1060" t="str">
        <f>IF(HR_Data[[#This Row],[Age]]&lt;25,"Under 25",IF(HR_Data[[#This Row],[Age]]&lt;=34,"25-34",IF(HR_Data[[#This Row],[Age]]&lt;=44,"35-44",IF(HR_Data[[#This Row],[Age]]&lt;=54,"45-54","55+"))))</f>
        <v>25-34</v>
      </c>
      <c r="AM1060" s="1" t="str">
        <f>IF(HR_Data[[#This Row],[MonthlyIncome]]&lt;3000,"Low Salary",IF(HR_Data[[#This Row],[MonthlyIncome]]&lt;=7000,"Medium Salary","High Salary"))</f>
        <v>Medium Salary</v>
      </c>
      <c r="AN1060" s="1" t="str">
        <f>IF(HR_Data[[#This Row],[YearsAtCompany]]&lt;2,"0-1 Years",IF(HR_Data[[#This Row],[YearsAtCompany]]&lt;=5,"2-5 Years",IF(HR_Data[[#This Row],[YearsAtCompany]]&lt;=10,"6-10 Years","10+ Years")))</f>
        <v>10+ Years</v>
      </c>
      <c r="AO1060" s="1" t="str">
        <f>IF(HR_Data[[#This Row],[JobSatisfaction]]=1,"Low",IF(HR_Data[[#This Row],[JobSatisfaction]]=2,"Medium",IF(HR_Data[[#This Row],[JobSatisfaction]]=3,"High","Very High")))</f>
        <v>Medium</v>
      </c>
      <c r="AP1060" s="1" t="str">
        <f>IF(HR_Data[[#This Row],[WorkLifeBalance]]=1,"Bad",IF(HR_Data[[#This Row],[WorkLifeBalance]]=2,"Good",IF(HR_Data[[#This Row],[WorkLifeBalance]]=3,"Better","Best")))</f>
        <v>Best</v>
      </c>
    </row>
    <row r="1061" spans="1:42" x14ac:dyDescent="0.3">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c r="AJ1061">
        <f>IF(HR_Data[[#This Row],[Attrition]]="Yes",1,0)</f>
        <v>0</v>
      </c>
      <c r="AK1061">
        <f>IF(HR_Data[[#This Row],[Attrition]]="No",1,0)</f>
        <v>1</v>
      </c>
      <c r="AL1061" t="str">
        <f>IF(HR_Data[[#This Row],[Age]]&lt;25,"Under 25",IF(HR_Data[[#This Row],[Age]]&lt;=34,"25-34",IF(HR_Data[[#This Row],[Age]]&lt;=44,"35-44",IF(HR_Data[[#This Row],[Age]]&lt;=54,"45-54","55+"))))</f>
        <v>35-44</v>
      </c>
      <c r="AM1061" s="1" t="str">
        <f>IF(HR_Data[[#This Row],[MonthlyIncome]]&lt;3000,"Low Salary",IF(HR_Data[[#This Row],[MonthlyIncome]]&lt;=7000,"Medium Salary","High Salary"))</f>
        <v>Low Salary</v>
      </c>
      <c r="AN1061" s="1" t="str">
        <f>IF(HR_Data[[#This Row],[YearsAtCompany]]&lt;2,"0-1 Years",IF(HR_Data[[#This Row],[YearsAtCompany]]&lt;=5,"2-5 Years",IF(HR_Data[[#This Row],[YearsAtCompany]]&lt;=10,"6-10 Years","10+ Years")))</f>
        <v>0-1 Years</v>
      </c>
      <c r="AO1061" s="1" t="str">
        <f>IF(HR_Data[[#This Row],[JobSatisfaction]]=1,"Low",IF(HR_Data[[#This Row],[JobSatisfaction]]=2,"Medium",IF(HR_Data[[#This Row],[JobSatisfaction]]=3,"High","Very High")))</f>
        <v>High</v>
      </c>
      <c r="AP1061" s="1" t="str">
        <f>IF(HR_Data[[#This Row],[WorkLifeBalance]]=1,"Bad",IF(HR_Data[[#This Row],[WorkLifeBalance]]=2,"Good",IF(HR_Data[[#This Row],[WorkLifeBalance]]=3,"Better","Best")))</f>
        <v>Better</v>
      </c>
    </row>
    <row r="1062" spans="1:42" x14ac:dyDescent="0.3">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c r="AJ1062">
        <f>IF(HR_Data[[#This Row],[Attrition]]="Yes",1,0)</f>
        <v>1</v>
      </c>
      <c r="AK1062">
        <f>IF(HR_Data[[#This Row],[Attrition]]="No",1,0)</f>
        <v>0</v>
      </c>
      <c r="AL1062" t="str">
        <f>IF(HR_Data[[#This Row],[Age]]&lt;25,"Under 25",IF(HR_Data[[#This Row],[Age]]&lt;=34,"25-34",IF(HR_Data[[#This Row],[Age]]&lt;=44,"35-44",IF(HR_Data[[#This Row],[Age]]&lt;=54,"45-54","55+"))))</f>
        <v>Under 25</v>
      </c>
      <c r="AM1062" s="1" t="str">
        <f>IF(HR_Data[[#This Row],[MonthlyIncome]]&lt;3000,"Low Salary",IF(HR_Data[[#This Row],[MonthlyIncome]]&lt;=7000,"Medium Salary","High Salary"))</f>
        <v>Medium Salary</v>
      </c>
      <c r="AN1062" s="1" t="str">
        <f>IF(HR_Data[[#This Row],[YearsAtCompany]]&lt;2,"0-1 Years",IF(HR_Data[[#This Row],[YearsAtCompany]]&lt;=5,"2-5 Years",IF(HR_Data[[#This Row],[YearsAtCompany]]&lt;=10,"6-10 Years","10+ Years")))</f>
        <v>0-1 Years</v>
      </c>
      <c r="AO1062" s="1" t="str">
        <f>IF(HR_Data[[#This Row],[JobSatisfaction]]=1,"Low",IF(HR_Data[[#This Row],[JobSatisfaction]]=2,"Medium",IF(HR_Data[[#This Row],[JobSatisfaction]]=3,"High","Very High")))</f>
        <v>Low</v>
      </c>
      <c r="AP1062" s="1" t="str">
        <f>IF(HR_Data[[#This Row],[WorkLifeBalance]]=1,"Bad",IF(HR_Data[[#This Row],[WorkLifeBalance]]=2,"Good",IF(HR_Data[[#This Row],[WorkLifeBalance]]=3,"Better","Best")))</f>
        <v>Good</v>
      </c>
    </row>
    <row r="1063" spans="1:42" x14ac:dyDescent="0.3">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c r="AJ1063">
        <f>IF(HR_Data[[#This Row],[Attrition]]="Yes",1,0)</f>
        <v>0</v>
      </c>
      <c r="AK1063">
        <f>IF(HR_Data[[#This Row],[Attrition]]="No",1,0)</f>
        <v>1</v>
      </c>
      <c r="AL1063" t="str">
        <f>IF(HR_Data[[#This Row],[Age]]&lt;25,"Under 25",IF(HR_Data[[#This Row],[Age]]&lt;=34,"25-34",IF(HR_Data[[#This Row],[Age]]&lt;=44,"35-44",IF(HR_Data[[#This Row],[Age]]&lt;=54,"45-54","55+"))))</f>
        <v>Under 25</v>
      </c>
      <c r="AM1063" s="1" t="str">
        <f>IF(HR_Data[[#This Row],[MonthlyIncome]]&lt;3000,"Low Salary",IF(HR_Data[[#This Row],[MonthlyIncome]]&lt;=7000,"Medium Salary","High Salary"))</f>
        <v>Low Salary</v>
      </c>
      <c r="AN1063" s="1" t="str">
        <f>IF(HR_Data[[#This Row],[YearsAtCompany]]&lt;2,"0-1 Years",IF(HR_Data[[#This Row],[YearsAtCompany]]&lt;=5,"2-5 Years",IF(HR_Data[[#This Row],[YearsAtCompany]]&lt;=10,"6-10 Years","10+ Years")))</f>
        <v>0-1 Years</v>
      </c>
      <c r="AO1063" s="1" t="str">
        <f>IF(HR_Data[[#This Row],[JobSatisfaction]]=1,"Low",IF(HR_Data[[#This Row],[JobSatisfaction]]=2,"Medium",IF(HR_Data[[#This Row],[JobSatisfaction]]=3,"High","Very High")))</f>
        <v>Medium</v>
      </c>
      <c r="AP1063" s="1" t="str">
        <f>IF(HR_Data[[#This Row],[WorkLifeBalance]]=1,"Bad",IF(HR_Data[[#This Row],[WorkLifeBalance]]=2,"Good",IF(HR_Data[[#This Row],[WorkLifeBalance]]=3,"Better","Best")))</f>
        <v>Better</v>
      </c>
    </row>
    <row r="1064" spans="1:42" x14ac:dyDescent="0.3">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c r="AJ1064">
        <f>IF(HR_Data[[#This Row],[Attrition]]="Yes",1,0)</f>
        <v>0</v>
      </c>
      <c r="AK1064">
        <f>IF(HR_Data[[#This Row],[Attrition]]="No",1,0)</f>
        <v>1</v>
      </c>
      <c r="AL1064" t="str">
        <f>IF(HR_Data[[#This Row],[Age]]&lt;25,"Under 25",IF(HR_Data[[#This Row],[Age]]&lt;=34,"25-34",IF(HR_Data[[#This Row],[Age]]&lt;=44,"35-44",IF(HR_Data[[#This Row],[Age]]&lt;=54,"45-54","55+"))))</f>
        <v>35-44</v>
      </c>
      <c r="AM1064" s="1" t="str">
        <f>IF(HR_Data[[#This Row],[MonthlyIncome]]&lt;3000,"Low Salary",IF(HR_Data[[#This Row],[MonthlyIncome]]&lt;=7000,"Medium Salary","High Salary"))</f>
        <v>High Salary</v>
      </c>
      <c r="AN1064" s="1" t="str">
        <f>IF(HR_Data[[#This Row],[YearsAtCompany]]&lt;2,"0-1 Years",IF(HR_Data[[#This Row],[YearsAtCompany]]&lt;=5,"2-5 Years",IF(HR_Data[[#This Row],[YearsAtCompany]]&lt;=10,"6-10 Years","10+ Years")))</f>
        <v>2-5 Years</v>
      </c>
      <c r="AO1064" s="1" t="str">
        <f>IF(HR_Data[[#This Row],[JobSatisfaction]]=1,"Low",IF(HR_Data[[#This Row],[JobSatisfaction]]=2,"Medium",IF(HR_Data[[#This Row],[JobSatisfaction]]=3,"High","Very High")))</f>
        <v>High</v>
      </c>
      <c r="AP1064" s="1" t="str">
        <f>IF(HR_Data[[#This Row],[WorkLifeBalance]]=1,"Bad",IF(HR_Data[[#This Row],[WorkLifeBalance]]=2,"Good",IF(HR_Data[[#This Row],[WorkLifeBalance]]=3,"Better","Best")))</f>
        <v>Good</v>
      </c>
    </row>
    <row r="1065" spans="1:42" x14ac:dyDescent="0.3">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c r="AJ1065">
        <f>IF(HR_Data[[#This Row],[Attrition]]="Yes",1,0)</f>
        <v>0</v>
      </c>
      <c r="AK1065">
        <f>IF(HR_Data[[#This Row],[Attrition]]="No",1,0)</f>
        <v>1</v>
      </c>
      <c r="AL1065" t="str">
        <f>IF(HR_Data[[#This Row],[Age]]&lt;25,"Under 25",IF(HR_Data[[#This Row],[Age]]&lt;=34,"25-34",IF(HR_Data[[#This Row],[Age]]&lt;=44,"35-44",IF(HR_Data[[#This Row],[Age]]&lt;=54,"45-54","55+"))))</f>
        <v>25-34</v>
      </c>
      <c r="AM1065" s="1" t="str">
        <f>IF(HR_Data[[#This Row],[MonthlyIncome]]&lt;3000,"Low Salary",IF(HR_Data[[#This Row],[MonthlyIncome]]&lt;=7000,"Medium Salary","High Salary"))</f>
        <v>High Salary</v>
      </c>
      <c r="AN1065" s="1" t="str">
        <f>IF(HR_Data[[#This Row],[YearsAtCompany]]&lt;2,"0-1 Years",IF(HR_Data[[#This Row],[YearsAtCompany]]&lt;=5,"2-5 Years",IF(HR_Data[[#This Row],[YearsAtCompany]]&lt;=10,"6-10 Years","10+ Years")))</f>
        <v>6-10 Years</v>
      </c>
      <c r="AO1065" s="1" t="str">
        <f>IF(HR_Data[[#This Row],[JobSatisfaction]]=1,"Low",IF(HR_Data[[#This Row],[JobSatisfaction]]=2,"Medium",IF(HR_Data[[#This Row],[JobSatisfaction]]=3,"High","Very High")))</f>
        <v>High</v>
      </c>
      <c r="AP1065" s="1" t="str">
        <f>IF(HR_Data[[#This Row],[WorkLifeBalance]]=1,"Bad",IF(HR_Data[[#This Row],[WorkLifeBalance]]=2,"Good",IF(HR_Data[[#This Row],[WorkLifeBalance]]=3,"Better","Best")))</f>
        <v>Better</v>
      </c>
    </row>
    <row r="1066" spans="1:42" x14ac:dyDescent="0.3">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c r="AJ1066">
        <f>IF(HR_Data[[#This Row],[Attrition]]="Yes",1,0)</f>
        <v>0</v>
      </c>
      <c r="AK1066">
        <f>IF(HR_Data[[#This Row],[Attrition]]="No",1,0)</f>
        <v>1</v>
      </c>
      <c r="AL1066" t="str">
        <f>IF(HR_Data[[#This Row],[Age]]&lt;25,"Under 25",IF(HR_Data[[#This Row],[Age]]&lt;=34,"25-34",IF(HR_Data[[#This Row],[Age]]&lt;=44,"35-44",IF(HR_Data[[#This Row],[Age]]&lt;=54,"45-54","55+"))))</f>
        <v>25-34</v>
      </c>
      <c r="AM1066" s="1" t="str">
        <f>IF(HR_Data[[#This Row],[MonthlyIncome]]&lt;3000,"Low Salary",IF(HR_Data[[#This Row],[MonthlyIncome]]&lt;=7000,"Medium Salary","High Salary"))</f>
        <v>Low Salary</v>
      </c>
      <c r="AN1066" s="1" t="str">
        <f>IF(HR_Data[[#This Row],[YearsAtCompany]]&lt;2,"0-1 Years",IF(HR_Data[[#This Row],[YearsAtCompany]]&lt;=5,"2-5 Years",IF(HR_Data[[#This Row],[YearsAtCompany]]&lt;=10,"6-10 Years","10+ Years")))</f>
        <v>2-5 Years</v>
      </c>
      <c r="AO1066" s="1" t="str">
        <f>IF(HR_Data[[#This Row],[JobSatisfaction]]=1,"Low",IF(HR_Data[[#This Row],[JobSatisfaction]]=2,"Medium",IF(HR_Data[[#This Row],[JobSatisfaction]]=3,"High","Very High")))</f>
        <v>High</v>
      </c>
      <c r="AP1066" s="1" t="str">
        <f>IF(HR_Data[[#This Row],[WorkLifeBalance]]=1,"Bad",IF(HR_Data[[#This Row],[WorkLifeBalance]]=2,"Good",IF(HR_Data[[#This Row],[WorkLifeBalance]]=3,"Better","Best")))</f>
        <v>Best</v>
      </c>
    </row>
    <row r="1067" spans="1:42" x14ac:dyDescent="0.3">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c r="AJ1067">
        <f>IF(HR_Data[[#This Row],[Attrition]]="Yes",1,0)</f>
        <v>0</v>
      </c>
      <c r="AK1067">
        <f>IF(HR_Data[[#This Row],[Attrition]]="No",1,0)</f>
        <v>1</v>
      </c>
      <c r="AL1067" t="str">
        <f>IF(HR_Data[[#This Row],[Age]]&lt;25,"Under 25",IF(HR_Data[[#This Row],[Age]]&lt;=34,"25-34",IF(HR_Data[[#This Row],[Age]]&lt;=44,"35-44",IF(HR_Data[[#This Row],[Age]]&lt;=54,"45-54","55+"))))</f>
        <v>55+</v>
      </c>
      <c r="AM1067" s="1" t="str">
        <f>IF(HR_Data[[#This Row],[MonthlyIncome]]&lt;3000,"Low Salary",IF(HR_Data[[#This Row],[MonthlyIncome]]&lt;=7000,"Medium Salary","High Salary"))</f>
        <v>Medium Salary</v>
      </c>
      <c r="AN1067" s="1" t="str">
        <f>IF(HR_Data[[#This Row],[YearsAtCompany]]&lt;2,"0-1 Years",IF(HR_Data[[#This Row],[YearsAtCompany]]&lt;=5,"2-5 Years",IF(HR_Data[[#This Row],[YearsAtCompany]]&lt;=10,"6-10 Years","10+ Years")))</f>
        <v>2-5 Years</v>
      </c>
      <c r="AO1067" s="1" t="str">
        <f>IF(HR_Data[[#This Row],[JobSatisfaction]]=1,"Low",IF(HR_Data[[#This Row],[JobSatisfaction]]=2,"Medium",IF(HR_Data[[#This Row],[JobSatisfaction]]=3,"High","Very High")))</f>
        <v>High</v>
      </c>
      <c r="AP1067" s="1" t="str">
        <f>IF(HR_Data[[#This Row],[WorkLifeBalance]]=1,"Bad",IF(HR_Data[[#This Row],[WorkLifeBalance]]=2,"Good",IF(HR_Data[[#This Row],[WorkLifeBalance]]=3,"Better","Best")))</f>
        <v>Better</v>
      </c>
    </row>
    <row r="1068" spans="1:42" x14ac:dyDescent="0.3">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c r="AJ1068">
        <f>IF(HR_Data[[#This Row],[Attrition]]="Yes",1,0)</f>
        <v>0</v>
      </c>
      <c r="AK1068">
        <f>IF(HR_Data[[#This Row],[Attrition]]="No",1,0)</f>
        <v>1</v>
      </c>
      <c r="AL1068" t="str">
        <f>IF(HR_Data[[#This Row],[Age]]&lt;25,"Under 25",IF(HR_Data[[#This Row],[Age]]&lt;=34,"25-34",IF(HR_Data[[#This Row],[Age]]&lt;=44,"35-44",IF(HR_Data[[#This Row],[Age]]&lt;=54,"45-54","55+"))))</f>
        <v>25-34</v>
      </c>
      <c r="AM1068" s="1" t="str">
        <f>IF(HR_Data[[#This Row],[MonthlyIncome]]&lt;3000,"Low Salary",IF(HR_Data[[#This Row],[MonthlyIncome]]&lt;=7000,"Medium Salary","High Salary"))</f>
        <v>Medium Salary</v>
      </c>
      <c r="AN1068" s="1" t="str">
        <f>IF(HR_Data[[#This Row],[YearsAtCompany]]&lt;2,"0-1 Years",IF(HR_Data[[#This Row],[YearsAtCompany]]&lt;=5,"2-5 Years",IF(HR_Data[[#This Row],[YearsAtCompany]]&lt;=10,"6-10 Years","10+ Years")))</f>
        <v>2-5 Years</v>
      </c>
      <c r="AO1068" s="1" t="str">
        <f>IF(HR_Data[[#This Row],[JobSatisfaction]]=1,"Low",IF(HR_Data[[#This Row],[JobSatisfaction]]=2,"Medium",IF(HR_Data[[#This Row],[JobSatisfaction]]=3,"High","Very High")))</f>
        <v>Medium</v>
      </c>
      <c r="AP1068" s="1" t="str">
        <f>IF(HR_Data[[#This Row],[WorkLifeBalance]]=1,"Bad",IF(HR_Data[[#This Row],[WorkLifeBalance]]=2,"Good",IF(HR_Data[[#This Row],[WorkLifeBalance]]=3,"Better","Best")))</f>
        <v>Better</v>
      </c>
    </row>
    <row r="1069" spans="1:42" x14ac:dyDescent="0.3">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c r="AJ1069">
        <f>IF(HR_Data[[#This Row],[Attrition]]="Yes",1,0)</f>
        <v>0</v>
      </c>
      <c r="AK1069">
        <f>IF(HR_Data[[#This Row],[Attrition]]="No",1,0)</f>
        <v>1</v>
      </c>
      <c r="AL1069" t="str">
        <f>IF(HR_Data[[#This Row],[Age]]&lt;25,"Under 25",IF(HR_Data[[#This Row],[Age]]&lt;=34,"25-34",IF(HR_Data[[#This Row],[Age]]&lt;=44,"35-44",IF(HR_Data[[#This Row],[Age]]&lt;=54,"45-54","55+"))))</f>
        <v>45-54</v>
      </c>
      <c r="AM1069" s="1" t="str">
        <f>IF(HR_Data[[#This Row],[MonthlyIncome]]&lt;3000,"Low Salary",IF(HR_Data[[#This Row],[MonthlyIncome]]&lt;=7000,"Medium Salary","High Salary"))</f>
        <v>Medium Salary</v>
      </c>
      <c r="AN1069" s="1" t="str">
        <f>IF(HR_Data[[#This Row],[YearsAtCompany]]&lt;2,"0-1 Years",IF(HR_Data[[#This Row],[YearsAtCompany]]&lt;=5,"2-5 Years",IF(HR_Data[[#This Row],[YearsAtCompany]]&lt;=10,"6-10 Years","10+ Years")))</f>
        <v>2-5 Years</v>
      </c>
      <c r="AO1069" s="1" t="str">
        <f>IF(HR_Data[[#This Row],[JobSatisfaction]]=1,"Low",IF(HR_Data[[#This Row],[JobSatisfaction]]=2,"Medium",IF(HR_Data[[#This Row],[JobSatisfaction]]=3,"High","Very High")))</f>
        <v>High</v>
      </c>
      <c r="AP1069" s="1" t="str">
        <f>IF(HR_Data[[#This Row],[WorkLifeBalance]]=1,"Bad",IF(HR_Data[[#This Row],[WorkLifeBalance]]=2,"Good",IF(HR_Data[[#This Row],[WorkLifeBalance]]=3,"Better","Best")))</f>
        <v>Good</v>
      </c>
    </row>
    <row r="1070" spans="1:42" x14ac:dyDescent="0.3">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c r="AJ1070">
        <f>IF(HR_Data[[#This Row],[Attrition]]="Yes",1,0)</f>
        <v>1</v>
      </c>
      <c r="AK1070">
        <f>IF(HR_Data[[#This Row],[Attrition]]="No",1,0)</f>
        <v>0</v>
      </c>
      <c r="AL1070" t="str">
        <f>IF(HR_Data[[#This Row],[Age]]&lt;25,"Under 25",IF(HR_Data[[#This Row],[Age]]&lt;=34,"25-34",IF(HR_Data[[#This Row],[Age]]&lt;=44,"35-44",IF(HR_Data[[#This Row],[Age]]&lt;=54,"45-54","55+"))))</f>
        <v>25-34</v>
      </c>
      <c r="AM1070" s="1" t="str">
        <f>IF(HR_Data[[#This Row],[MonthlyIncome]]&lt;3000,"Low Salary",IF(HR_Data[[#This Row],[MonthlyIncome]]&lt;=7000,"Medium Salary","High Salary"))</f>
        <v>Low Salary</v>
      </c>
      <c r="AN1070" s="1" t="str">
        <f>IF(HR_Data[[#This Row],[YearsAtCompany]]&lt;2,"0-1 Years",IF(HR_Data[[#This Row],[YearsAtCompany]]&lt;=5,"2-5 Years",IF(HR_Data[[#This Row],[YearsAtCompany]]&lt;=10,"6-10 Years","10+ Years")))</f>
        <v>0-1 Years</v>
      </c>
      <c r="AO1070" s="1" t="str">
        <f>IF(HR_Data[[#This Row],[JobSatisfaction]]=1,"Low",IF(HR_Data[[#This Row],[JobSatisfaction]]=2,"Medium",IF(HR_Data[[#This Row],[JobSatisfaction]]=3,"High","Very High")))</f>
        <v>Low</v>
      </c>
      <c r="AP1070" s="1" t="str">
        <f>IF(HR_Data[[#This Row],[WorkLifeBalance]]=1,"Bad",IF(HR_Data[[#This Row],[WorkLifeBalance]]=2,"Good",IF(HR_Data[[#This Row],[WorkLifeBalance]]=3,"Better","Best")))</f>
        <v>Good</v>
      </c>
    </row>
    <row r="1071" spans="1:42" x14ac:dyDescent="0.3">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c r="AJ1071">
        <f>IF(HR_Data[[#This Row],[Attrition]]="Yes",1,0)</f>
        <v>0</v>
      </c>
      <c r="AK1071">
        <f>IF(HR_Data[[#This Row],[Attrition]]="No",1,0)</f>
        <v>1</v>
      </c>
      <c r="AL1071" t="str">
        <f>IF(HR_Data[[#This Row],[Age]]&lt;25,"Under 25",IF(HR_Data[[#This Row],[Age]]&lt;=34,"25-34",IF(HR_Data[[#This Row],[Age]]&lt;=44,"35-44",IF(HR_Data[[#This Row],[Age]]&lt;=54,"45-54","55+"))))</f>
        <v>25-34</v>
      </c>
      <c r="AM1071" s="1" t="str">
        <f>IF(HR_Data[[#This Row],[MonthlyIncome]]&lt;3000,"Low Salary",IF(HR_Data[[#This Row],[MonthlyIncome]]&lt;=7000,"Medium Salary","High Salary"))</f>
        <v>Low Salary</v>
      </c>
      <c r="AN1071" s="1" t="str">
        <f>IF(HR_Data[[#This Row],[YearsAtCompany]]&lt;2,"0-1 Years",IF(HR_Data[[#This Row],[YearsAtCompany]]&lt;=5,"2-5 Years",IF(HR_Data[[#This Row],[YearsAtCompany]]&lt;=10,"6-10 Years","10+ Years")))</f>
        <v>0-1 Years</v>
      </c>
      <c r="AO1071" s="1" t="str">
        <f>IF(HR_Data[[#This Row],[JobSatisfaction]]=1,"Low",IF(HR_Data[[#This Row],[JobSatisfaction]]=2,"Medium",IF(HR_Data[[#This Row],[JobSatisfaction]]=3,"High","Very High")))</f>
        <v>High</v>
      </c>
      <c r="AP1071" s="1" t="str">
        <f>IF(HR_Data[[#This Row],[WorkLifeBalance]]=1,"Bad",IF(HR_Data[[#This Row],[WorkLifeBalance]]=2,"Good",IF(HR_Data[[#This Row],[WorkLifeBalance]]=3,"Better","Best")))</f>
        <v>Bad</v>
      </c>
    </row>
    <row r="1072" spans="1:42" x14ac:dyDescent="0.3">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c r="AJ1072">
        <f>IF(HR_Data[[#This Row],[Attrition]]="Yes",1,0)</f>
        <v>0</v>
      </c>
      <c r="AK1072">
        <f>IF(HR_Data[[#This Row],[Attrition]]="No",1,0)</f>
        <v>1</v>
      </c>
      <c r="AL1072" t="str">
        <f>IF(HR_Data[[#This Row],[Age]]&lt;25,"Under 25",IF(HR_Data[[#This Row],[Age]]&lt;=34,"25-34",IF(HR_Data[[#This Row],[Age]]&lt;=44,"35-44",IF(HR_Data[[#This Row],[Age]]&lt;=54,"45-54","55+"))))</f>
        <v>25-34</v>
      </c>
      <c r="AM1072" s="1" t="str">
        <f>IF(HR_Data[[#This Row],[MonthlyIncome]]&lt;3000,"Low Salary",IF(HR_Data[[#This Row],[MonthlyIncome]]&lt;=7000,"Medium Salary","High Salary"))</f>
        <v>Medium Salary</v>
      </c>
      <c r="AN1072" s="1" t="str">
        <f>IF(HR_Data[[#This Row],[YearsAtCompany]]&lt;2,"0-1 Years",IF(HR_Data[[#This Row],[YearsAtCompany]]&lt;=5,"2-5 Years",IF(HR_Data[[#This Row],[YearsAtCompany]]&lt;=10,"6-10 Years","10+ Years")))</f>
        <v>2-5 Years</v>
      </c>
      <c r="AO1072" s="1" t="str">
        <f>IF(HR_Data[[#This Row],[JobSatisfaction]]=1,"Low",IF(HR_Data[[#This Row],[JobSatisfaction]]=2,"Medium",IF(HR_Data[[#This Row],[JobSatisfaction]]=3,"High","Very High")))</f>
        <v>Low</v>
      </c>
      <c r="AP1072" s="1" t="str">
        <f>IF(HR_Data[[#This Row],[WorkLifeBalance]]=1,"Bad",IF(HR_Data[[#This Row],[WorkLifeBalance]]=2,"Good",IF(HR_Data[[#This Row],[WorkLifeBalance]]=3,"Better","Best")))</f>
        <v>Better</v>
      </c>
    </row>
    <row r="1073" spans="1:42" x14ac:dyDescent="0.3">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c r="AJ1073">
        <f>IF(HR_Data[[#This Row],[Attrition]]="Yes",1,0)</f>
        <v>0</v>
      </c>
      <c r="AK1073">
        <f>IF(HR_Data[[#This Row],[Attrition]]="No",1,0)</f>
        <v>1</v>
      </c>
      <c r="AL1073" t="str">
        <f>IF(HR_Data[[#This Row],[Age]]&lt;25,"Under 25",IF(HR_Data[[#This Row],[Age]]&lt;=34,"25-34",IF(HR_Data[[#This Row],[Age]]&lt;=44,"35-44",IF(HR_Data[[#This Row],[Age]]&lt;=54,"45-54","55+"))))</f>
        <v>45-54</v>
      </c>
      <c r="AM1073" s="1" t="str">
        <f>IF(HR_Data[[#This Row],[MonthlyIncome]]&lt;3000,"Low Salary",IF(HR_Data[[#This Row],[MonthlyIncome]]&lt;=7000,"Medium Salary","High Salary"))</f>
        <v>Medium Salary</v>
      </c>
      <c r="AN1073" s="1" t="str">
        <f>IF(HR_Data[[#This Row],[YearsAtCompany]]&lt;2,"0-1 Years",IF(HR_Data[[#This Row],[YearsAtCompany]]&lt;=5,"2-5 Years",IF(HR_Data[[#This Row],[YearsAtCompany]]&lt;=10,"6-10 Years","10+ Years")))</f>
        <v>2-5 Years</v>
      </c>
      <c r="AO1073" s="1" t="str">
        <f>IF(HR_Data[[#This Row],[JobSatisfaction]]=1,"Low",IF(HR_Data[[#This Row],[JobSatisfaction]]=2,"Medium",IF(HR_Data[[#This Row],[JobSatisfaction]]=3,"High","Very High")))</f>
        <v>Low</v>
      </c>
      <c r="AP1073" s="1" t="str">
        <f>IF(HR_Data[[#This Row],[WorkLifeBalance]]=1,"Bad",IF(HR_Data[[#This Row],[WorkLifeBalance]]=2,"Good",IF(HR_Data[[#This Row],[WorkLifeBalance]]=3,"Better","Best")))</f>
        <v>Better</v>
      </c>
    </row>
    <row r="1074" spans="1:42" x14ac:dyDescent="0.3">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c r="AJ1074">
        <f>IF(HR_Data[[#This Row],[Attrition]]="Yes",1,0)</f>
        <v>0</v>
      </c>
      <c r="AK1074">
        <f>IF(HR_Data[[#This Row],[Attrition]]="No",1,0)</f>
        <v>1</v>
      </c>
      <c r="AL1074" t="str">
        <f>IF(HR_Data[[#This Row],[Age]]&lt;25,"Under 25",IF(HR_Data[[#This Row],[Age]]&lt;=34,"25-34",IF(HR_Data[[#This Row],[Age]]&lt;=44,"35-44",IF(HR_Data[[#This Row],[Age]]&lt;=54,"45-54","55+"))))</f>
        <v>25-34</v>
      </c>
      <c r="AM1074" s="1" t="str">
        <f>IF(HR_Data[[#This Row],[MonthlyIncome]]&lt;3000,"Low Salary",IF(HR_Data[[#This Row],[MonthlyIncome]]&lt;=7000,"Medium Salary","High Salary"))</f>
        <v>Medium Salary</v>
      </c>
      <c r="AN1074" s="1" t="str">
        <f>IF(HR_Data[[#This Row],[YearsAtCompany]]&lt;2,"0-1 Years",IF(HR_Data[[#This Row],[YearsAtCompany]]&lt;=5,"2-5 Years",IF(HR_Data[[#This Row],[YearsAtCompany]]&lt;=10,"6-10 Years","10+ Years")))</f>
        <v>2-5 Years</v>
      </c>
      <c r="AO1074" s="1" t="str">
        <f>IF(HR_Data[[#This Row],[JobSatisfaction]]=1,"Low",IF(HR_Data[[#This Row],[JobSatisfaction]]=2,"Medium",IF(HR_Data[[#This Row],[JobSatisfaction]]=3,"High","Very High")))</f>
        <v>Medium</v>
      </c>
      <c r="AP1074" s="1" t="str">
        <f>IF(HR_Data[[#This Row],[WorkLifeBalance]]=1,"Bad",IF(HR_Data[[#This Row],[WorkLifeBalance]]=2,"Good",IF(HR_Data[[#This Row],[WorkLifeBalance]]=3,"Better","Best")))</f>
        <v>Better</v>
      </c>
    </row>
    <row r="1075" spans="1:42" x14ac:dyDescent="0.3">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c r="AJ1075">
        <f>IF(HR_Data[[#This Row],[Attrition]]="Yes",1,0)</f>
        <v>0</v>
      </c>
      <c r="AK1075">
        <f>IF(HR_Data[[#This Row],[Attrition]]="No",1,0)</f>
        <v>1</v>
      </c>
      <c r="AL1075" t="str">
        <f>IF(HR_Data[[#This Row],[Age]]&lt;25,"Under 25",IF(HR_Data[[#This Row],[Age]]&lt;=34,"25-34",IF(HR_Data[[#This Row],[Age]]&lt;=44,"35-44",IF(HR_Data[[#This Row],[Age]]&lt;=54,"45-54","55+"))))</f>
        <v>25-34</v>
      </c>
      <c r="AM1075" s="1" t="str">
        <f>IF(HR_Data[[#This Row],[MonthlyIncome]]&lt;3000,"Low Salary",IF(HR_Data[[#This Row],[MonthlyIncome]]&lt;=7000,"Medium Salary","High Salary"))</f>
        <v>Medium Salary</v>
      </c>
      <c r="AN1075" s="1" t="str">
        <f>IF(HR_Data[[#This Row],[YearsAtCompany]]&lt;2,"0-1 Years",IF(HR_Data[[#This Row],[YearsAtCompany]]&lt;=5,"2-5 Years",IF(HR_Data[[#This Row],[YearsAtCompany]]&lt;=10,"6-10 Years","10+ Years")))</f>
        <v>6-10 Years</v>
      </c>
      <c r="AO1075" s="1" t="str">
        <f>IF(HR_Data[[#This Row],[JobSatisfaction]]=1,"Low",IF(HR_Data[[#This Row],[JobSatisfaction]]=2,"Medium",IF(HR_Data[[#This Row],[JobSatisfaction]]=3,"High","Very High")))</f>
        <v>Medium</v>
      </c>
      <c r="AP1075" s="1" t="str">
        <f>IF(HR_Data[[#This Row],[WorkLifeBalance]]=1,"Bad",IF(HR_Data[[#This Row],[WorkLifeBalance]]=2,"Good",IF(HR_Data[[#This Row],[WorkLifeBalance]]=3,"Better","Best")))</f>
        <v>Good</v>
      </c>
    </row>
    <row r="1076" spans="1:42" x14ac:dyDescent="0.3">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c r="AJ1076">
        <f>IF(HR_Data[[#This Row],[Attrition]]="Yes",1,0)</f>
        <v>0</v>
      </c>
      <c r="AK1076">
        <f>IF(HR_Data[[#This Row],[Attrition]]="No",1,0)</f>
        <v>1</v>
      </c>
      <c r="AL1076" t="str">
        <f>IF(HR_Data[[#This Row],[Age]]&lt;25,"Under 25",IF(HR_Data[[#This Row],[Age]]&lt;=34,"25-34",IF(HR_Data[[#This Row],[Age]]&lt;=44,"35-44",IF(HR_Data[[#This Row],[Age]]&lt;=54,"45-54","55+"))))</f>
        <v>25-34</v>
      </c>
      <c r="AM1076" s="1" t="str">
        <f>IF(HR_Data[[#This Row],[MonthlyIncome]]&lt;3000,"Low Salary",IF(HR_Data[[#This Row],[MonthlyIncome]]&lt;=7000,"Medium Salary","High Salary"))</f>
        <v>Medium Salary</v>
      </c>
      <c r="AN1076" s="1" t="str">
        <f>IF(HR_Data[[#This Row],[YearsAtCompany]]&lt;2,"0-1 Years",IF(HR_Data[[#This Row],[YearsAtCompany]]&lt;=5,"2-5 Years",IF(HR_Data[[#This Row],[YearsAtCompany]]&lt;=10,"6-10 Years","10+ Years")))</f>
        <v>0-1 Years</v>
      </c>
      <c r="AO1076" s="1" t="str">
        <f>IF(HR_Data[[#This Row],[JobSatisfaction]]=1,"Low",IF(HR_Data[[#This Row],[JobSatisfaction]]=2,"Medium",IF(HR_Data[[#This Row],[JobSatisfaction]]=3,"High","Very High")))</f>
        <v>High</v>
      </c>
      <c r="AP1076" s="1" t="str">
        <f>IF(HR_Data[[#This Row],[WorkLifeBalance]]=1,"Bad",IF(HR_Data[[#This Row],[WorkLifeBalance]]=2,"Good",IF(HR_Data[[#This Row],[WorkLifeBalance]]=3,"Better","Best")))</f>
        <v>Better</v>
      </c>
    </row>
    <row r="1077" spans="1:42" x14ac:dyDescent="0.3">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c r="AJ1077">
        <f>IF(HR_Data[[#This Row],[Attrition]]="Yes",1,0)</f>
        <v>0</v>
      </c>
      <c r="AK1077">
        <f>IF(HR_Data[[#This Row],[Attrition]]="No",1,0)</f>
        <v>1</v>
      </c>
      <c r="AL1077" t="str">
        <f>IF(HR_Data[[#This Row],[Age]]&lt;25,"Under 25",IF(HR_Data[[#This Row],[Age]]&lt;=34,"25-34",IF(HR_Data[[#This Row],[Age]]&lt;=44,"35-44",IF(HR_Data[[#This Row],[Age]]&lt;=54,"45-54","55+"))))</f>
        <v>25-34</v>
      </c>
      <c r="AM1077" s="1" t="str">
        <f>IF(HR_Data[[#This Row],[MonthlyIncome]]&lt;3000,"Low Salary",IF(HR_Data[[#This Row],[MonthlyIncome]]&lt;=7000,"Medium Salary","High Salary"))</f>
        <v>High Salary</v>
      </c>
      <c r="AN1077" s="1" t="str">
        <f>IF(HR_Data[[#This Row],[YearsAtCompany]]&lt;2,"0-1 Years",IF(HR_Data[[#This Row],[YearsAtCompany]]&lt;=5,"2-5 Years",IF(HR_Data[[#This Row],[YearsAtCompany]]&lt;=10,"6-10 Years","10+ Years")))</f>
        <v>2-5 Years</v>
      </c>
      <c r="AO1077" s="1" t="str">
        <f>IF(HR_Data[[#This Row],[JobSatisfaction]]=1,"Low",IF(HR_Data[[#This Row],[JobSatisfaction]]=2,"Medium",IF(HR_Data[[#This Row],[JobSatisfaction]]=3,"High","Very High")))</f>
        <v>Very High</v>
      </c>
      <c r="AP1077" s="1" t="str">
        <f>IF(HR_Data[[#This Row],[WorkLifeBalance]]=1,"Bad",IF(HR_Data[[#This Row],[WorkLifeBalance]]=2,"Good",IF(HR_Data[[#This Row],[WorkLifeBalance]]=3,"Better","Best")))</f>
        <v>Best</v>
      </c>
    </row>
    <row r="1078" spans="1:42" x14ac:dyDescent="0.3">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c r="AJ1078">
        <f>IF(HR_Data[[#This Row],[Attrition]]="Yes",1,0)</f>
        <v>0</v>
      </c>
      <c r="AK1078">
        <f>IF(HR_Data[[#This Row],[Attrition]]="No",1,0)</f>
        <v>1</v>
      </c>
      <c r="AL1078" t="str">
        <f>IF(HR_Data[[#This Row],[Age]]&lt;25,"Under 25",IF(HR_Data[[#This Row],[Age]]&lt;=34,"25-34",IF(HR_Data[[#This Row],[Age]]&lt;=44,"35-44",IF(HR_Data[[#This Row],[Age]]&lt;=54,"45-54","55+"))))</f>
        <v>45-54</v>
      </c>
      <c r="AM1078" s="1" t="str">
        <f>IF(HR_Data[[#This Row],[MonthlyIncome]]&lt;3000,"Low Salary",IF(HR_Data[[#This Row],[MonthlyIncome]]&lt;=7000,"Medium Salary","High Salary"))</f>
        <v>High Salary</v>
      </c>
      <c r="AN1078" s="1" t="str">
        <f>IF(HR_Data[[#This Row],[YearsAtCompany]]&lt;2,"0-1 Years",IF(HR_Data[[#This Row],[YearsAtCompany]]&lt;=5,"2-5 Years",IF(HR_Data[[#This Row],[YearsAtCompany]]&lt;=10,"6-10 Years","10+ Years")))</f>
        <v>10+ Years</v>
      </c>
      <c r="AO1078" s="1" t="str">
        <f>IF(HR_Data[[#This Row],[JobSatisfaction]]=1,"Low",IF(HR_Data[[#This Row],[JobSatisfaction]]=2,"Medium",IF(HR_Data[[#This Row],[JobSatisfaction]]=3,"High","Very High")))</f>
        <v>Very High</v>
      </c>
      <c r="AP1078" s="1" t="str">
        <f>IF(HR_Data[[#This Row],[WorkLifeBalance]]=1,"Bad",IF(HR_Data[[#This Row],[WorkLifeBalance]]=2,"Good",IF(HR_Data[[#This Row],[WorkLifeBalance]]=3,"Better","Best")))</f>
        <v>Better</v>
      </c>
    </row>
    <row r="1079" spans="1:42" x14ac:dyDescent="0.3">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c r="AJ1079">
        <f>IF(HR_Data[[#This Row],[Attrition]]="Yes",1,0)</f>
        <v>1</v>
      </c>
      <c r="AK1079">
        <f>IF(HR_Data[[#This Row],[Attrition]]="No",1,0)</f>
        <v>0</v>
      </c>
      <c r="AL1079" t="str">
        <f>IF(HR_Data[[#This Row],[Age]]&lt;25,"Under 25",IF(HR_Data[[#This Row],[Age]]&lt;=34,"25-34",IF(HR_Data[[#This Row],[Age]]&lt;=44,"35-44",IF(HR_Data[[#This Row],[Age]]&lt;=54,"45-54","55+"))))</f>
        <v>25-34</v>
      </c>
      <c r="AM1079" s="1" t="str">
        <f>IF(HR_Data[[#This Row],[MonthlyIncome]]&lt;3000,"Low Salary",IF(HR_Data[[#This Row],[MonthlyIncome]]&lt;=7000,"Medium Salary","High Salary"))</f>
        <v>Low Salary</v>
      </c>
      <c r="AN1079" s="1" t="str">
        <f>IF(HR_Data[[#This Row],[YearsAtCompany]]&lt;2,"0-1 Years",IF(HR_Data[[#This Row],[YearsAtCompany]]&lt;=5,"2-5 Years",IF(HR_Data[[#This Row],[YearsAtCompany]]&lt;=10,"6-10 Years","10+ Years")))</f>
        <v>6-10 Years</v>
      </c>
      <c r="AO1079" s="1" t="str">
        <f>IF(HR_Data[[#This Row],[JobSatisfaction]]=1,"Low",IF(HR_Data[[#This Row],[JobSatisfaction]]=2,"Medium",IF(HR_Data[[#This Row],[JobSatisfaction]]=3,"High","Very High")))</f>
        <v>Low</v>
      </c>
      <c r="AP1079" s="1" t="str">
        <f>IF(HR_Data[[#This Row],[WorkLifeBalance]]=1,"Bad",IF(HR_Data[[#This Row],[WorkLifeBalance]]=2,"Good",IF(HR_Data[[#This Row],[WorkLifeBalance]]=3,"Better","Best")))</f>
        <v>Bad</v>
      </c>
    </row>
    <row r="1080" spans="1:42" x14ac:dyDescent="0.3">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c r="AJ1080">
        <f>IF(HR_Data[[#This Row],[Attrition]]="Yes",1,0)</f>
        <v>0</v>
      </c>
      <c r="AK1080">
        <f>IF(HR_Data[[#This Row],[Attrition]]="No",1,0)</f>
        <v>1</v>
      </c>
      <c r="AL1080" t="str">
        <f>IF(HR_Data[[#This Row],[Age]]&lt;25,"Under 25",IF(HR_Data[[#This Row],[Age]]&lt;=34,"25-34",IF(HR_Data[[#This Row],[Age]]&lt;=44,"35-44",IF(HR_Data[[#This Row],[Age]]&lt;=54,"45-54","55+"))))</f>
        <v>35-44</v>
      </c>
      <c r="AM1080" s="1" t="str">
        <f>IF(HR_Data[[#This Row],[MonthlyIncome]]&lt;3000,"Low Salary",IF(HR_Data[[#This Row],[MonthlyIncome]]&lt;=7000,"Medium Salary","High Salary"))</f>
        <v>High Salary</v>
      </c>
      <c r="AN1080" s="1" t="str">
        <f>IF(HR_Data[[#This Row],[YearsAtCompany]]&lt;2,"0-1 Years",IF(HR_Data[[#This Row],[YearsAtCompany]]&lt;=5,"2-5 Years",IF(HR_Data[[#This Row],[YearsAtCompany]]&lt;=10,"6-10 Years","10+ Years")))</f>
        <v>10+ Years</v>
      </c>
      <c r="AO1080" s="1" t="str">
        <f>IF(HR_Data[[#This Row],[JobSatisfaction]]=1,"Low",IF(HR_Data[[#This Row],[JobSatisfaction]]=2,"Medium",IF(HR_Data[[#This Row],[JobSatisfaction]]=3,"High","Very High")))</f>
        <v>Low</v>
      </c>
      <c r="AP1080" s="1" t="str">
        <f>IF(HR_Data[[#This Row],[WorkLifeBalance]]=1,"Bad",IF(HR_Data[[#This Row],[WorkLifeBalance]]=2,"Good",IF(HR_Data[[#This Row],[WorkLifeBalance]]=3,"Better","Best")))</f>
        <v>Best</v>
      </c>
    </row>
    <row r="1081" spans="1:42" x14ac:dyDescent="0.3">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c r="AJ1081">
        <f>IF(HR_Data[[#This Row],[Attrition]]="Yes",1,0)</f>
        <v>0</v>
      </c>
      <c r="AK1081">
        <f>IF(HR_Data[[#This Row],[Attrition]]="No",1,0)</f>
        <v>1</v>
      </c>
      <c r="AL1081" t="str">
        <f>IF(HR_Data[[#This Row],[Age]]&lt;25,"Under 25",IF(HR_Data[[#This Row],[Age]]&lt;=34,"25-34",IF(HR_Data[[#This Row],[Age]]&lt;=44,"35-44",IF(HR_Data[[#This Row],[Age]]&lt;=54,"45-54","55+"))))</f>
        <v>35-44</v>
      </c>
      <c r="AM1081" s="1" t="str">
        <f>IF(HR_Data[[#This Row],[MonthlyIncome]]&lt;3000,"Low Salary",IF(HR_Data[[#This Row],[MonthlyIncome]]&lt;=7000,"Medium Salary","High Salary"))</f>
        <v>High Salary</v>
      </c>
      <c r="AN1081" s="1" t="str">
        <f>IF(HR_Data[[#This Row],[YearsAtCompany]]&lt;2,"0-1 Years",IF(HR_Data[[#This Row],[YearsAtCompany]]&lt;=5,"2-5 Years",IF(HR_Data[[#This Row],[YearsAtCompany]]&lt;=10,"6-10 Years","10+ Years")))</f>
        <v>2-5 Years</v>
      </c>
      <c r="AO1081" s="1" t="str">
        <f>IF(HR_Data[[#This Row],[JobSatisfaction]]=1,"Low",IF(HR_Data[[#This Row],[JobSatisfaction]]=2,"Medium",IF(HR_Data[[#This Row],[JobSatisfaction]]=3,"High","Very High")))</f>
        <v>Medium</v>
      </c>
      <c r="AP1081" s="1" t="str">
        <f>IF(HR_Data[[#This Row],[WorkLifeBalance]]=1,"Bad",IF(HR_Data[[#This Row],[WorkLifeBalance]]=2,"Good",IF(HR_Data[[#This Row],[WorkLifeBalance]]=3,"Better","Best")))</f>
        <v>Better</v>
      </c>
    </row>
    <row r="1082" spans="1:42" x14ac:dyDescent="0.3">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c r="AJ1082">
        <f>IF(HR_Data[[#This Row],[Attrition]]="Yes",1,0)</f>
        <v>0</v>
      </c>
      <c r="AK1082">
        <f>IF(HR_Data[[#This Row],[Attrition]]="No",1,0)</f>
        <v>1</v>
      </c>
      <c r="AL1082" t="str">
        <f>IF(HR_Data[[#This Row],[Age]]&lt;25,"Under 25",IF(HR_Data[[#This Row],[Age]]&lt;=34,"25-34",IF(HR_Data[[#This Row],[Age]]&lt;=44,"35-44",IF(HR_Data[[#This Row],[Age]]&lt;=54,"45-54","55+"))))</f>
        <v>45-54</v>
      </c>
      <c r="AM1082" s="1" t="str">
        <f>IF(HR_Data[[#This Row],[MonthlyIncome]]&lt;3000,"Low Salary",IF(HR_Data[[#This Row],[MonthlyIncome]]&lt;=7000,"Medium Salary","High Salary"))</f>
        <v>High Salary</v>
      </c>
      <c r="AN1082" s="1" t="str">
        <f>IF(HR_Data[[#This Row],[YearsAtCompany]]&lt;2,"0-1 Years",IF(HR_Data[[#This Row],[YearsAtCompany]]&lt;=5,"2-5 Years",IF(HR_Data[[#This Row],[YearsAtCompany]]&lt;=10,"6-10 Years","10+ Years")))</f>
        <v>10+ Years</v>
      </c>
      <c r="AO1082" s="1" t="str">
        <f>IF(HR_Data[[#This Row],[JobSatisfaction]]=1,"Low",IF(HR_Data[[#This Row],[JobSatisfaction]]=2,"Medium",IF(HR_Data[[#This Row],[JobSatisfaction]]=3,"High","Very High")))</f>
        <v>Medium</v>
      </c>
      <c r="AP1082" s="1" t="str">
        <f>IF(HR_Data[[#This Row],[WorkLifeBalance]]=1,"Bad",IF(HR_Data[[#This Row],[WorkLifeBalance]]=2,"Good",IF(HR_Data[[#This Row],[WorkLifeBalance]]=3,"Better","Best")))</f>
        <v>Best</v>
      </c>
    </row>
    <row r="1083" spans="1:42" x14ac:dyDescent="0.3">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c r="AJ1083">
        <f>IF(HR_Data[[#This Row],[Attrition]]="Yes",1,0)</f>
        <v>0</v>
      </c>
      <c r="AK1083">
        <f>IF(HR_Data[[#This Row],[Attrition]]="No",1,0)</f>
        <v>1</v>
      </c>
      <c r="AL1083" t="str">
        <f>IF(HR_Data[[#This Row],[Age]]&lt;25,"Under 25",IF(HR_Data[[#This Row],[Age]]&lt;=34,"25-34",IF(HR_Data[[#This Row],[Age]]&lt;=44,"35-44",IF(HR_Data[[#This Row],[Age]]&lt;=54,"45-54","55+"))))</f>
        <v>35-44</v>
      </c>
      <c r="AM1083" s="1" t="str">
        <f>IF(HR_Data[[#This Row],[MonthlyIncome]]&lt;3000,"Low Salary",IF(HR_Data[[#This Row],[MonthlyIncome]]&lt;=7000,"Medium Salary","High Salary"))</f>
        <v>High Salary</v>
      </c>
      <c r="AN1083" s="1" t="str">
        <f>IF(HR_Data[[#This Row],[YearsAtCompany]]&lt;2,"0-1 Years",IF(HR_Data[[#This Row],[YearsAtCompany]]&lt;=5,"2-5 Years",IF(HR_Data[[#This Row],[YearsAtCompany]]&lt;=10,"6-10 Years","10+ Years")))</f>
        <v>10+ Years</v>
      </c>
      <c r="AO1083" s="1" t="str">
        <f>IF(HR_Data[[#This Row],[JobSatisfaction]]=1,"Low",IF(HR_Data[[#This Row],[JobSatisfaction]]=2,"Medium",IF(HR_Data[[#This Row],[JobSatisfaction]]=3,"High","Very High")))</f>
        <v>Medium</v>
      </c>
      <c r="AP1083" s="1" t="str">
        <f>IF(HR_Data[[#This Row],[WorkLifeBalance]]=1,"Bad",IF(HR_Data[[#This Row],[WorkLifeBalance]]=2,"Good",IF(HR_Data[[#This Row],[WorkLifeBalance]]=3,"Better","Best")))</f>
        <v>Bad</v>
      </c>
    </row>
    <row r="1084" spans="1:42" x14ac:dyDescent="0.3">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c r="AJ1084">
        <f>IF(HR_Data[[#This Row],[Attrition]]="Yes",1,0)</f>
        <v>0</v>
      </c>
      <c r="AK1084">
        <f>IF(HR_Data[[#This Row],[Attrition]]="No",1,0)</f>
        <v>1</v>
      </c>
      <c r="AL1084" t="str">
        <f>IF(HR_Data[[#This Row],[Age]]&lt;25,"Under 25",IF(HR_Data[[#This Row],[Age]]&lt;=34,"25-34",IF(HR_Data[[#This Row],[Age]]&lt;=44,"35-44",IF(HR_Data[[#This Row],[Age]]&lt;=54,"45-54","55+"))))</f>
        <v>Under 25</v>
      </c>
      <c r="AM1084" s="1" t="str">
        <f>IF(HR_Data[[#This Row],[MonthlyIncome]]&lt;3000,"Low Salary",IF(HR_Data[[#This Row],[MonthlyIncome]]&lt;=7000,"Medium Salary","High Salary"))</f>
        <v>Low Salary</v>
      </c>
      <c r="AN1084" s="1" t="str">
        <f>IF(HR_Data[[#This Row],[YearsAtCompany]]&lt;2,"0-1 Years",IF(HR_Data[[#This Row],[YearsAtCompany]]&lt;=5,"2-5 Years",IF(HR_Data[[#This Row],[YearsAtCompany]]&lt;=10,"6-10 Years","10+ Years")))</f>
        <v>2-5 Years</v>
      </c>
      <c r="AO1084" s="1" t="str">
        <f>IF(HR_Data[[#This Row],[JobSatisfaction]]=1,"Low",IF(HR_Data[[#This Row],[JobSatisfaction]]=2,"Medium",IF(HR_Data[[#This Row],[JobSatisfaction]]=3,"High","Very High")))</f>
        <v>High</v>
      </c>
      <c r="AP1084" s="1" t="str">
        <f>IF(HR_Data[[#This Row],[WorkLifeBalance]]=1,"Bad",IF(HR_Data[[#This Row],[WorkLifeBalance]]=2,"Good",IF(HR_Data[[#This Row],[WorkLifeBalance]]=3,"Better","Best")))</f>
        <v>Better</v>
      </c>
    </row>
    <row r="1085" spans="1:42" x14ac:dyDescent="0.3">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c r="AJ1085">
        <f>IF(HR_Data[[#This Row],[Attrition]]="Yes",1,0)</f>
        <v>1</v>
      </c>
      <c r="AK1085">
        <f>IF(HR_Data[[#This Row],[Attrition]]="No",1,0)</f>
        <v>0</v>
      </c>
      <c r="AL1085" t="str">
        <f>IF(HR_Data[[#This Row],[Age]]&lt;25,"Under 25",IF(HR_Data[[#This Row],[Age]]&lt;=34,"25-34",IF(HR_Data[[#This Row],[Age]]&lt;=44,"35-44",IF(HR_Data[[#This Row],[Age]]&lt;=54,"45-54","55+"))))</f>
        <v>35-44</v>
      </c>
      <c r="AM1085" s="1" t="str">
        <f>IF(HR_Data[[#This Row],[MonthlyIncome]]&lt;3000,"Low Salary",IF(HR_Data[[#This Row],[MonthlyIncome]]&lt;=7000,"Medium Salary","High Salary"))</f>
        <v>Low Salary</v>
      </c>
      <c r="AN1085" s="1" t="str">
        <f>IF(HR_Data[[#This Row],[YearsAtCompany]]&lt;2,"0-1 Years",IF(HR_Data[[#This Row],[YearsAtCompany]]&lt;=5,"2-5 Years",IF(HR_Data[[#This Row],[YearsAtCompany]]&lt;=10,"6-10 Years","10+ Years")))</f>
        <v>2-5 Years</v>
      </c>
      <c r="AO1085" s="1" t="str">
        <f>IF(HR_Data[[#This Row],[JobSatisfaction]]=1,"Low",IF(HR_Data[[#This Row],[JobSatisfaction]]=2,"Medium",IF(HR_Data[[#This Row],[JobSatisfaction]]=3,"High","Very High")))</f>
        <v>Low</v>
      </c>
      <c r="AP1085" s="1" t="str">
        <f>IF(HR_Data[[#This Row],[WorkLifeBalance]]=1,"Bad",IF(HR_Data[[#This Row],[WorkLifeBalance]]=2,"Good",IF(HR_Data[[#This Row],[WorkLifeBalance]]=3,"Better","Best")))</f>
        <v>Bad</v>
      </c>
    </row>
    <row r="1086" spans="1:42" x14ac:dyDescent="0.3">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c r="AJ1086">
        <f>IF(HR_Data[[#This Row],[Attrition]]="Yes",1,0)</f>
        <v>0</v>
      </c>
      <c r="AK1086">
        <f>IF(HR_Data[[#This Row],[Attrition]]="No",1,0)</f>
        <v>1</v>
      </c>
      <c r="AL1086" t="str">
        <f>IF(HR_Data[[#This Row],[Age]]&lt;25,"Under 25",IF(HR_Data[[#This Row],[Age]]&lt;=34,"25-34",IF(HR_Data[[#This Row],[Age]]&lt;=44,"35-44",IF(HR_Data[[#This Row],[Age]]&lt;=54,"45-54","55+"))))</f>
        <v>25-34</v>
      </c>
      <c r="AM1086" s="1" t="str">
        <f>IF(HR_Data[[#This Row],[MonthlyIncome]]&lt;3000,"Low Salary",IF(HR_Data[[#This Row],[MonthlyIncome]]&lt;=7000,"Medium Salary","High Salary"))</f>
        <v>High Salary</v>
      </c>
      <c r="AN1086" s="1" t="str">
        <f>IF(HR_Data[[#This Row],[YearsAtCompany]]&lt;2,"0-1 Years",IF(HR_Data[[#This Row],[YearsAtCompany]]&lt;=5,"2-5 Years",IF(HR_Data[[#This Row],[YearsAtCompany]]&lt;=10,"6-10 Years","10+ Years")))</f>
        <v>6-10 Years</v>
      </c>
      <c r="AO1086" s="1" t="str">
        <f>IF(HR_Data[[#This Row],[JobSatisfaction]]=1,"Low",IF(HR_Data[[#This Row],[JobSatisfaction]]=2,"Medium",IF(HR_Data[[#This Row],[JobSatisfaction]]=3,"High","Very High")))</f>
        <v>High</v>
      </c>
      <c r="AP1086" s="1" t="str">
        <f>IF(HR_Data[[#This Row],[WorkLifeBalance]]=1,"Bad",IF(HR_Data[[#This Row],[WorkLifeBalance]]=2,"Good",IF(HR_Data[[#This Row],[WorkLifeBalance]]=3,"Better","Best")))</f>
        <v>Better</v>
      </c>
    </row>
    <row r="1087" spans="1:42" x14ac:dyDescent="0.3">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c r="AJ1087">
        <f>IF(HR_Data[[#This Row],[Attrition]]="Yes",1,0)</f>
        <v>1</v>
      </c>
      <c r="AK1087">
        <f>IF(HR_Data[[#This Row],[Attrition]]="No",1,0)</f>
        <v>0</v>
      </c>
      <c r="AL1087" t="str">
        <f>IF(HR_Data[[#This Row],[Age]]&lt;25,"Under 25",IF(HR_Data[[#This Row],[Age]]&lt;=34,"25-34",IF(HR_Data[[#This Row],[Age]]&lt;=44,"35-44",IF(HR_Data[[#This Row],[Age]]&lt;=54,"45-54","55+"))))</f>
        <v>25-34</v>
      </c>
      <c r="AM1087" s="1" t="str">
        <f>IF(HR_Data[[#This Row],[MonthlyIncome]]&lt;3000,"Low Salary",IF(HR_Data[[#This Row],[MonthlyIncome]]&lt;=7000,"Medium Salary","High Salary"))</f>
        <v>Medium Salary</v>
      </c>
      <c r="AN1087" s="1" t="str">
        <f>IF(HR_Data[[#This Row],[YearsAtCompany]]&lt;2,"0-1 Years",IF(HR_Data[[#This Row],[YearsAtCompany]]&lt;=5,"2-5 Years",IF(HR_Data[[#This Row],[YearsAtCompany]]&lt;=10,"6-10 Years","10+ Years")))</f>
        <v>6-10 Years</v>
      </c>
      <c r="AO1087" s="1" t="str">
        <f>IF(HR_Data[[#This Row],[JobSatisfaction]]=1,"Low",IF(HR_Data[[#This Row],[JobSatisfaction]]=2,"Medium",IF(HR_Data[[#This Row],[JobSatisfaction]]=3,"High","Very High")))</f>
        <v>High</v>
      </c>
      <c r="AP1087" s="1" t="str">
        <f>IF(HR_Data[[#This Row],[WorkLifeBalance]]=1,"Bad",IF(HR_Data[[#This Row],[WorkLifeBalance]]=2,"Good",IF(HR_Data[[#This Row],[WorkLifeBalance]]=3,"Better","Best")))</f>
        <v>Bad</v>
      </c>
    </row>
    <row r="1088" spans="1:42" x14ac:dyDescent="0.3">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c r="AJ1088">
        <f>IF(HR_Data[[#This Row],[Attrition]]="Yes",1,0)</f>
        <v>0</v>
      </c>
      <c r="AK1088">
        <f>IF(HR_Data[[#This Row],[Attrition]]="No",1,0)</f>
        <v>1</v>
      </c>
      <c r="AL1088" t="str">
        <f>IF(HR_Data[[#This Row],[Age]]&lt;25,"Under 25",IF(HR_Data[[#This Row],[Age]]&lt;=34,"25-34",IF(HR_Data[[#This Row],[Age]]&lt;=44,"35-44",IF(HR_Data[[#This Row],[Age]]&lt;=54,"45-54","55+"))))</f>
        <v>45-54</v>
      </c>
      <c r="AM1088" s="1" t="str">
        <f>IF(HR_Data[[#This Row],[MonthlyIncome]]&lt;3000,"Low Salary",IF(HR_Data[[#This Row],[MonthlyIncome]]&lt;=7000,"Medium Salary","High Salary"))</f>
        <v>High Salary</v>
      </c>
      <c r="AN1088" s="1" t="str">
        <f>IF(HR_Data[[#This Row],[YearsAtCompany]]&lt;2,"0-1 Years",IF(HR_Data[[#This Row],[YearsAtCompany]]&lt;=5,"2-5 Years",IF(HR_Data[[#This Row],[YearsAtCompany]]&lt;=10,"6-10 Years","10+ Years")))</f>
        <v>10+ Years</v>
      </c>
      <c r="AO1088" s="1" t="str">
        <f>IF(HR_Data[[#This Row],[JobSatisfaction]]=1,"Low",IF(HR_Data[[#This Row],[JobSatisfaction]]=2,"Medium",IF(HR_Data[[#This Row],[JobSatisfaction]]=3,"High","Very High")))</f>
        <v>Very High</v>
      </c>
      <c r="AP1088" s="1" t="str">
        <f>IF(HR_Data[[#This Row],[WorkLifeBalance]]=1,"Bad",IF(HR_Data[[#This Row],[WorkLifeBalance]]=2,"Good",IF(HR_Data[[#This Row],[WorkLifeBalance]]=3,"Better","Best")))</f>
        <v>Better</v>
      </c>
    </row>
    <row r="1089" spans="1:42" x14ac:dyDescent="0.3">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c r="AJ1089">
        <f>IF(HR_Data[[#This Row],[Attrition]]="Yes",1,0)</f>
        <v>0</v>
      </c>
      <c r="AK1089">
        <f>IF(HR_Data[[#This Row],[Attrition]]="No",1,0)</f>
        <v>1</v>
      </c>
      <c r="AL1089" t="str">
        <f>IF(HR_Data[[#This Row],[Age]]&lt;25,"Under 25",IF(HR_Data[[#This Row],[Age]]&lt;=34,"25-34",IF(HR_Data[[#This Row],[Age]]&lt;=44,"35-44",IF(HR_Data[[#This Row],[Age]]&lt;=54,"45-54","55+"))))</f>
        <v>25-34</v>
      </c>
      <c r="AM1089" s="1" t="str">
        <f>IF(HR_Data[[#This Row],[MonthlyIncome]]&lt;3000,"Low Salary",IF(HR_Data[[#This Row],[MonthlyIncome]]&lt;=7000,"Medium Salary","High Salary"))</f>
        <v>Low Salary</v>
      </c>
      <c r="AN1089" s="1" t="str">
        <f>IF(HR_Data[[#This Row],[YearsAtCompany]]&lt;2,"0-1 Years",IF(HR_Data[[#This Row],[YearsAtCompany]]&lt;=5,"2-5 Years",IF(HR_Data[[#This Row],[YearsAtCompany]]&lt;=10,"6-10 Years","10+ Years")))</f>
        <v>10+ Years</v>
      </c>
      <c r="AO1089" s="1" t="str">
        <f>IF(HR_Data[[#This Row],[JobSatisfaction]]=1,"Low",IF(HR_Data[[#This Row],[JobSatisfaction]]=2,"Medium",IF(HR_Data[[#This Row],[JobSatisfaction]]=3,"High","Very High")))</f>
        <v>High</v>
      </c>
      <c r="AP1089" s="1" t="str">
        <f>IF(HR_Data[[#This Row],[WorkLifeBalance]]=1,"Bad",IF(HR_Data[[#This Row],[WorkLifeBalance]]=2,"Good",IF(HR_Data[[#This Row],[WorkLifeBalance]]=3,"Better","Best")))</f>
        <v>Better</v>
      </c>
    </row>
    <row r="1090" spans="1:42" x14ac:dyDescent="0.3">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c r="AJ1090">
        <f>IF(HR_Data[[#This Row],[Attrition]]="Yes",1,0)</f>
        <v>0</v>
      </c>
      <c r="AK1090">
        <f>IF(HR_Data[[#This Row],[Attrition]]="No",1,0)</f>
        <v>1</v>
      </c>
      <c r="AL1090" t="str">
        <f>IF(HR_Data[[#This Row],[Age]]&lt;25,"Under 25",IF(HR_Data[[#This Row],[Age]]&lt;=34,"25-34",IF(HR_Data[[#This Row],[Age]]&lt;=44,"35-44",IF(HR_Data[[#This Row],[Age]]&lt;=54,"45-54","55+"))))</f>
        <v>35-44</v>
      </c>
      <c r="AM1090" s="1" t="str">
        <f>IF(HR_Data[[#This Row],[MonthlyIncome]]&lt;3000,"Low Salary",IF(HR_Data[[#This Row],[MonthlyIncome]]&lt;=7000,"Medium Salary","High Salary"))</f>
        <v>Medium Salary</v>
      </c>
      <c r="AN1090" s="1" t="str">
        <f>IF(HR_Data[[#This Row],[YearsAtCompany]]&lt;2,"0-1 Years",IF(HR_Data[[#This Row],[YearsAtCompany]]&lt;=5,"2-5 Years",IF(HR_Data[[#This Row],[YearsAtCompany]]&lt;=10,"6-10 Years","10+ Years")))</f>
        <v>0-1 Years</v>
      </c>
      <c r="AO1090" s="1" t="str">
        <f>IF(HR_Data[[#This Row],[JobSatisfaction]]=1,"Low",IF(HR_Data[[#This Row],[JobSatisfaction]]=2,"Medium",IF(HR_Data[[#This Row],[JobSatisfaction]]=3,"High","Very High")))</f>
        <v>Medium</v>
      </c>
      <c r="AP1090" s="1" t="str">
        <f>IF(HR_Data[[#This Row],[WorkLifeBalance]]=1,"Bad",IF(HR_Data[[#This Row],[WorkLifeBalance]]=2,"Good",IF(HR_Data[[#This Row],[WorkLifeBalance]]=3,"Better","Best")))</f>
        <v>Better</v>
      </c>
    </row>
    <row r="1091" spans="1:42" x14ac:dyDescent="0.3">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c r="AJ1091">
        <f>IF(HR_Data[[#This Row],[Attrition]]="Yes",1,0)</f>
        <v>0</v>
      </c>
      <c r="AK1091">
        <f>IF(HR_Data[[#This Row],[Attrition]]="No",1,0)</f>
        <v>1</v>
      </c>
      <c r="AL1091" t="str">
        <f>IF(HR_Data[[#This Row],[Age]]&lt;25,"Under 25",IF(HR_Data[[#This Row],[Age]]&lt;=34,"25-34",IF(HR_Data[[#This Row],[Age]]&lt;=44,"35-44",IF(HR_Data[[#This Row],[Age]]&lt;=54,"45-54","55+"))))</f>
        <v>35-44</v>
      </c>
      <c r="AM1091" s="1" t="str">
        <f>IF(HR_Data[[#This Row],[MonthlyIncome]]&lt;3000,"Low Salary",IF(HR_Data[[#This Row],[MonthlyIncome]]&lt;=7000,"Medium Salary","High Salary"))</f>
        <v>Medium Salary</v>
      </c>
      <c r="AN1091" s="1" t="str">
        <f>IF(HR_Data[[#This Row],[YearsAtCompany]]&lt;2,"0-1 Years",IF(HR_Data[[#This Row],[YearsAtCompany]]&lt;=5,"2-5 Years",IF(HR_Data[[#This Row],[YearsAtCompany]]&lt;=10,"6-10 Years","10+ Years")))</f>
        <v>6-10 Years</v>
      </c>
      <c r="AO1091" s="1" t="str">
        <f>IF(HR_Data[[#This Row],[JobSatisfaction]]=1,"Low",IF(HR_Data[[#This Row],[JobSatisfaction]]=2,"Medium",IF(HR_Data[[#This Row],[JobSatisfaction]]=3,"High","Very High")))</f>
        <v>Very High</v>
      </c>
      <c r="AP1091" s="1" t="str">
        <f>IF(HR_Data[[#This Row],[WorkLifeBalance]]=1,"Bad",IF(HR_Data[[#This Row],[WorkLifeBalance]]=2,"Good",IF(HR_Data[[#This Row],[WorkLifeBalance]]=3,"Better","Best")))</f>
        <v>Better</v>
      </c>
    </row>
    <row r="1092" spans="1:42" x14ac:dyDescent="0.3">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c r="AJ1092">
        <f>IF(HR_Data[[#This Row],[Attrition]]="Yes",1,0)</f>
        <v>0</v>
      </c>
      <c r="AK1092">
        <f>IF(HR_Data[[#This Row],[Attrition]]="No",1,0)</f>
        <v>1</v>
      </c>
      <c r="AL1092" t="str">
        <f>IF(HR_Data[[#This Row],[Age]]&lt;25,"Under 25",IF(HR_Data[[#This Row],[Age]]&lt;=34,"25-34",IF(HR_Data[[#This Row],[Age]]&lt;=44,"35-44",IF(HR_Data[[#This Row],[Age]]&lt;=54,"45-54","55+"))))</f>
        <v>25-34</v>
      </c>
      <c r="AM1092" s="1" t="str">
        <f>IF(HR_Data[[#This Row],[MonthlyIncome]]&lt;3000,"Low Salary",IF(HR_Data[[#This Row],[MonthlyIncome]]&lt;=7000,"Medium Salary","High Salary"))</f>
        <v>High Salary</v>
      </c>
      <c r="AN1092" s="1" t="str">
        <f>IF(HR_Data[[#This Row],[YearsAtCompany]]&lt;2,"0-1 Years",IF(HR_Data[[#This Row],[YearsAtCompany]]&lt;=5,"2-5 Years",IF(HR_Data[[#This Row],[YearsAtCompany]]&lt;=10,"6-10 Years","10+ Years")))</f>
        <v>6-10 Years</v>
      </c>
      <c r="AO1092" s="1" t="str">
        <f>IF(HR_Data[[#This Row],[JobSatisfaction]]=1,"Low",IF(HR_Data[[#This Row],[JobSatisfaction]]=2,"Medium",IF(HR_Data[[#This Row],[JobSatisfaction]]=3,"High","Very High")))</f>
        <v>Low</v>
      </c>
      <c r="AP1092" s="1" t="str">
        <f>IF(HR_Data[[#This Row],[WorkLifeBalance]]=1,"Bad",IF(HR_Data[[#This Row],[WorkLifeBalance]]=2,"Good",IF(HR_Data[[#This Row],[WorkLifeBalance]]=3,"Better","Best")))</f>
        <v>Better</v>
      </c>
    </row>
    <row r="1093" spans="1:42" x14ac:dyDescent="0.3">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c r="AJ1093">
        <f>IF(HR_Data[[#This Row],[Attrition]]="Yes",1,0)</f>
        <v>0</v>
      </c>
      <c r="AK1093">
        <f>IF(HR_Data[[#This Row],[Attrition]]="No",1,0)</f>
        <v>1</v>
      </c>
      <c r="AL1093" t="str">
        <f>IF(HR_Data[[#This Row],[Age]]&lt;25,"Under 25",IF(HR_Data[[#This Row],[Age]]&lt;=34,"25-34",IF(HR_Data[[#This Row],[Age]]&lt;=44,"35-44",IF(HR_Data[[#This Row],[Age]]&lt;=54,"45-54","55+"))))</f>
        <v>25-34</v>
      </c>
      <c r="AM1093" s="1" t="str">
        <f>IF(HR_Data[[#This Row],[MonthlyIncome]]&lt;3000,"Low Salary",IF(HR_Data[[#This Row],[MonthlyIncome]]&lt;=7000,"Medium Salary","High Salary"))</f>
        <v>Medium Salary</v>
      </c>
      <c r="AN1093" s="1" t="str">
        <f>IF(HR_Data[[#This Row],[YearsAtCompany]]&lt;2,"0-1 Years",IF(HR_Data[[#This Row],[YearsAtCompany]]&lt;=5,"2-5 Years",IF(HR_Data[[#This Row],[YearsAtCompany]]&lt;=10,"6-10 Years","10+ Years")))</f>
        <v>2-5 Years</v>
      </c>
      <c r="AO1093" s="1" t="str">
        <f>IF(HR_Data[[#This Row],[JobSatisfaction]]=1,"Low",IF(HR_Data[[#This Row],[JobSatisfaction]]=2,"Medium",IF(HR_Data[[#This Row],[JobSatisfaction]]=3,"High","Very High")))</f>
        <v>Medium</v>
      </c>
      <c r="AP1093" s="1" t="str">
        <f>IF(HR_Data[[#This Row],[WorkLifeBalance]]=1,"Bad",IF(HR_Data[[#This Row],[WorkLifeBalance]]=2,"Good",IF(HR_Data[[#This Row],[WorkLifeBalance]]=3,"Better","Best")))</f>
        <v>Better</v>
      </c>
    </row>
    <row r="1094" spans="1:42" x14ac:dyDescent="0.3">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c r="AJ1094">
        <f>IF(HR_Data[[#This Row],[Attrition]]="Yes",1,0)</f>
        <v>0</v>
      </c>
      <c r="AK1094">
        <f>IF(HR_Data[[#This Row],[Attrition]]="No",1,0)</f>
        <v>1</v>
      </c>
      <c r="AL1094" t="str">
        <f>IF(HR_Data[[#This Row],[Age]]&lt;25,"Under 25",IF(HR_Data[[#This Row],[Age]]&lt;=34,"25-34",IF(HR_Data[[#This Row],[Age]]&lt;=44,"35-44",IF(HR_Data[[#This Row],[Age]]&lt;=54,"45-54","55+"))))</f>
        <v>45-54</v>
      </c>
      <c r="AM1094" s="1" t="str">
        <f>IF(HR_Data[[#This Row],[MonthlyIncome]]&lt;3000,"Low Salary",IF(HR_Data[[#This Row],[MonthlyIncome]]&lt;=7000,"Medium Salary","High Salary"))</f>
        <v>Low Salary</v>
      </c>
      <c r="AN1094" s="1" t="str">
        <f>IF(HR_Data[[#This Row],[YearsAtCompany]]&lt;2,"0-1 Years",IF(HR_Data[[#This Row],[YearsAtCompany]]&lt;=5,"2-5 Years",IF(HR_Data[[#This Row],[YearsAtCompany]]&lt;=10,"6-10 Years","10+ Years")))</f>
        <v>2-5 Years</v>
      </c>
      <c r="AO1094" s="1" t="str">
        <f>IF(HR_Data[[#This Row],[JobSatisfaction]]=1,"Low",IF(HR_Data[[#This Row],[JobSatisfaction]]=2,"Medium",IF(HR_Data[[#This Row],[JobSatisfaction]]=3,"High","Very High")))</f>
        <v>Very High</v>
      </c>
      <c r="AP1094" s="1" t="str">
        <f>IF(HR_Data[[#This Row],[WorkLifeBalance]]=1,"Bad",IF(HR_Data[[#This Row],[WorkLifeBalance]]=2,"Good",IF(HR_Data[[#This Row],[WorkLifeBalance]]=3,"Better","Best")))</f>
        <v>Better</v>
      </c>
    </row>
    <row r="1095" spans="1:42" x14ac:dyDescent="0.3">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c r="AJ1095">
        <f>IF(HR_Data[[#This Row],[Attrition]]="Yes",1,0)</f>
        <v>0</v>
      </c>
      <c r="AK1095">
        <f>IF(HR_Data[[#This Row],[Attrition]]="No",1,0)</f>
        <v>1</v>
      </c>
      <c r="AL1095" t="str">
        <f>IF(HR_Data[[#This Row],[Age]]&lt;25,"Under 25",IF(HR_Data[[#This Row],[Age]]&lt;=34,"25-34",IF(HR_Data[[#This Row],[Age]]&lt;=44,"35-44",IF(HR_Data[[#This Row],[Age]]&lt;=54,"45-54","55+"))))</f>
        <v>35-44</v>
      </c>
      <c r="AM1095" s="1" t="str">
        <f>IF(HR_Data[[#This Row],[MonthlyIncome]]&lt;3000,"Low Salary",IF(HR_Data[[#This Row],[MonthlyIncome]]&lt;=7000,"Medium Salary","High Salary"))</f>
        <v>High Salary</v>
      </c>
      <c r="AN1095" s="1" t="str">
        <f>IF(HR_Data[[#This Row],[YearsAtCompany]]&lt;2,"0-1 Years",IF(HR_Data[[#This Row],[YearsAtCompany]]&lt;=5,"2-5 Years",IF(HR_Data[[#This Row],[YearsAtCompany]]&lt;=10,"6-10 Years","10+ Years")))</f>
        <v>10+ Years</v>
      </c>
      <c r="AO1095" s="1" t="str">
        <f>IF(HR_Data[[#This Row],[JobSatisfaction]]=1,"Low",IF(HR_Data[[#This Row],[JobSatisfaction]]=2,"Medium",IF(HR_Data[[#This Row],[JobSatisfaction]]=3,"High","Very High")))</f>
        <v>Very High</v>
      </c>
      <c r="AP1095" s="1" t="str">
        <f>IF(HR_Data[[#This Row],[WorkLifeBalance]]=1,"Bad",IF(HR_Data[[#This Row],[WorkLifeBalance]]=2,"Good",IF(HR_Data[[#This Row],[WorkLifeBalance]]=3,"Better","Best")))</f>
        <v>Bad</v>
      </c>
    </row>
    <row r="1096" spans="1:42" x14ac:dyDescent="0.3">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c r="AJ1096">
        <f>IF(HR_Data[[#This Row],[Attrition]]="Yes",1,0)</f>
        <v>0</v>
      </c>
      <c r="AK1096">
        <f>IF(HR_Data[[#This Row],[Attrition]]="No",1,0)</f>
        <v>1</v>
      </c>
      <c r="AL1096" t="str">
        <f>IF(HR_Data[[#This Row],[Age]]&lt;25,"Under 25",IF(HR_Data[[#This Row],[Age]]&lt;=34,"25-34",IF(HR_Data[[#This Row],[Age]]&lt;=44,"35-44",IF(HR_Data[[#This Row],[Age]]&lt;=54,"45-54","55+"))))</f>
        <v>35-44</v>
      </c>
      <c r="AM1096" s="1" t="str">
        <f>IF(HR_Data[[#This Row],[MonthlyIncome]]&lt;3000,"Low Salary",IF(HR_Data[[#This Row],[MonthlyIncome]]&lt;=7000,"Medium Salary","High Salary"))</f>
        <v>Medium Salary</v>
      </c>
      <c r="AN1096" s="1" t="str">
        <f>IF(HR_Data[[#This Row],[YearsAtCompany]]&lt;2,"0-1 Years",IF(HR_Data[[#This Row],[YearsAtCompany]]&lt;=5,"2-5 Years",IF(HR_Data[[#This Row],[YearsAtCompany]]&lt;=10,"6-10 Years","10+ Years")))</f>
        <v>6-10 Years</v>
      </c>
      <c r="AO1096" s="1" t="str">
        <f>IF(HR_Data[[#This Row],[JobSatisfaction]]=1,"Low",IF(HR_Data[[#This Row],[JobSatisfaction]]=2,"Medium",IF(HR_Data[[#This Row],[JobSatisfaction]]=3,"High","Very High")))</f>
        <v>Low</v>
      </c>
      <c r="AP1096" s="1" t="str">
        <f>IF(HR_Data[[#This Row],[WorkLifeBalance]]=1,"Bad",IF(HR_Data[[#This Row],[WorkLifeBalance]]=2,"Good",IF(HR_Data[[#This Row],[WorkLifeBalance]]=3,"Better","Best")))</f>
        <v>Best</v>
      </c>
    </row>
    <row r="1097" spans="1:42" x14ac:dyDescent="0.3">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c r="AJ1097">
        <f>IF(HR_Data[[#This Row],[Attrition]]="Yes",1,0)</f>
        <v>0</v>
      </c>
      <c r="AK1097">
        <f>IF(HR_Data[[#This Row],[Attrition]]="No",1,0)</f>
        <v>1</v>
      </c>
      <c r="AL1097" t="str">
        <f>IF(HR_Data[[#This Row],[Age]]&lt;25,"Under 25",IF(HR_Data[[#This Row],[Age]]&lt;=34,"25-34",IF(HR_Data[[#This Row],[Age]]&lt;=44,"35-44",IF(HR_Data[[#This Row],[Age]]&lt;=54,"45-54","55+"))))</f>
        <v>25-34</v>
      </c>
      <c r="AM1097" s="1" t="str">
        <f>IF(HR_Data[[#This Row],[MonthlyIncome]]&lt;3000,"Low Salary",IF(HR_Data[[#This Row],[MonthlyIncome]]&lt;=7000,"Medium Salary","High Salary"))</f>
        <v>Medium Salary</v>
      </c>
      <c r="AN1097" s="1" t="str">
        <f>IF(HR_Data[[#This Row],[YearsAtCompany]]&lt;2,"0-1 Years",IF(HR_Data[[#This Row],[YearsAtCompany]]&lt;=5,"2-5 Years",IF(HR_Data[[#This Row],[YearsAtCompany]]&lt;=10,"6-10 Years","10+ Years")))</f>
        <v>10+ Years</v>
      </c>
      <c r="AO1097" s="1" t="str">
        <f>IF(HR_Data[[#This Row],[JobSatisfaction]]=1,"Low",IF(HR_Data[[#This Row],[JobSatisfaction]]=2,"Medium",IF(HR_Data[[#This Row],[JobSatisfaction]]=3,"High","Very High")))</f>
        <v>High</v>
      </c>
      <c r="AP1097" s="1" t="str">
        <f>IF(HR_Data[[#This Row],[WorkLifeBalance]]=1,"Bad",IF(HR_Data[[#This Row],[WorkLifeBalance]]=2,"Good",IF(HR_Data[[#This Row],[WorkLifeBalance]]=3,"Better","Best")))</f>
        <v>Better</v>
      </c>
    </row>
    <row r="1098" spans="1:42" x14ac:dyDescent="0.3">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c r="AJ1098">
        <f>IF(HR_Data[[#This Row],[Attrition]]="Yes",1,0)</f>
        <v>0</v>
      </c>
      <c r="AK1098">
        <f>IF(HR_Data[[#This Row],[Attrition]]="No",1,0)</f>
        <v>1</v>
      </c>
      <c r="AL1098" t="str">
        <f>IF(HR_Data[[#This Row],[Age]]&lt;25,"Under 25",IF(HR_Data[[#This Row],[Age]]&lt;=34,"25-34",IF(HR_Data[[#This Row],[Age]]&lt;=44,"35-44",IF(HR_Data[[#This Row],[Age]]&lt;=54,"45-54","55+"))))</f>
        <v>35-44</v>
      </c>
      <c r="AM1098" s="1" t="str">
        <f>IF(HR_Data[[#This Row],[MonthlyIncome]]&lt;3000,"Low Salary",IF(HR_Data[[#This Row],[MonthlyIncome]]&lt;=7000,"Medium Salary","High Salary"))</f>
        <v>High Salary</v>
      </c>
      <c r="AN1098" s="1" t="str">
        <f>IF(HR_Data[[#This Row],[YearsAtCompany]]&lt;2,"0-1 Years",IF(HR_Data[[#This Row],[YearsAtCompany]]&lt;=5,"2-5 Years",IF(HR_Data[[#This Row],[YearsAtCompany]]&lt;=10,"6-10 Years","10+ Years")))</f>
        <v>10+ Years</v>
      </c>
      <c r="AO1098" s="1" t="str">
        <f>IF(HR_Data[[#This Row],[JobSatisfaction]]=1,"Low",IF(HR_Data[[#This Row],[JobSatisfaction]]=2,"Medium",IF(HR_Data[[#This Row],[JobSatisfaction]]=3,"High","Very High")))</f>
        <v>Very High</v>
      </c>
      <c r="AP1098" s="1" t="str">
        <f>IF(HR_Data[[#This Row],[WorkLifeBalance]]=1,"Bad",IF(HR_Data[[#This Row],[WorkLifeBalance]]=2,"Good",IF(HR_Data[[#This Row],[WorkLifeBalance]]=3,"Better","Best")))</f>
        <v>Better</v>
      </c>
    </row>
    <row r="1099" spans="1:42" x14ac:dyDescent="0.3">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c r="AJ1099">
        <f>IF(HR_Data[[#This Row],[Attrition]]="Yes",1,0)</f>
        <v>0</v>
      </c>
      <c r="AK1099">
        <f>IF(HR_Data[[#This Row],[Attrition]]="No",1,0)</f>
        <v>1</v>
      </c>
      <c r="AL1099" t="str">
        <f>IF(HR_Data[[#This Row],[Age]]&lt;25,"Under 25",IF(HR_Data[[#This Row],[Age]]&lt;=34,"25-34",IF(HR_Data[[#This Row],[Age]]&lt;=44,"35-44",IF(HR_Data[[#This Row],[Age]]&lt;=54,"45-54","55+"))))</f>
        <v>Under 25</v>
      </c>
      <c r="AM1099" s="1" t="str">
        <f>IF(HR_Data[[#This Row],[MonthlyIncome]]&lt;3000,"Low Salary",IF(HR_Data[[#This Row],[MonthlyIncome]]&lt;=7000,"Medium Salary","High Salary"))</f>
        <v>Low Salary</v>
      </c>
      <c r="AN1099" s="1" t="str">
        <f>IF(HR_Data[[#This Row],[YearsAtCompany]]&lt;2,"0-1 Years",IF(HR_Data[[#This Row],[YearsAtCompany]]&lt;=5,"2-5 Years",IF(HR_Data[[#This Row],[YearsAtCompany]]&lt;=10,"6-10 Years","10+ Years")))</f>
        <v>0-1 Years</v>
      </c>
      <c r="AO1099" s="1" t="str">
        <f>IF(HR_Data[[#This Row],[JobSatisfaction]]=1,"Low",IF(HR_Data[[#This Row],[JobSatisfaction]]=2,"Medium",IF(HR_Data[[#This Row],[JobSatisfaction]]=3,"High","Very High")))</f>
        <v>Low</v>
      </c>
      <c r="AP1099" s="1" t="str">
        <f>IF(HR_Data[[#This Row],[WorkLifeBalance]]=1,"Bad",IF(HR_Data[[#This Row],[WorkLifeBalance]]=2,"Good",IF(HR_Data[[#This Row],[WorkLifeBalance]]=3,"Better","Best")))</f>
        <v>Better</v>
      </c>
    </row>
    <row r="1100" spans="1:42" x14ac:dyDescent="0.3">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c r="AJ1100">
        <f>IF(HR_Data[[#This Row],[Attrition]]="Yes",1,0)</f>
        <v>0</v>
      </c>
      <c r="AK1100">
        <f>IF(HR_Data[[#This Row],[Attrition]]="No",1,0)</f>
        <v>1</v>
      </c>
      <c r="AL1100" t="str">
        <f>IF(HR_Data[[#This Row],[Age]]&lt;25,"Under 25",IF(HR_Data[[#This Row],[Age]]&lt;=34,"25-34",IF(HR_Data[[#This Row],[Age]]&lt;=44,"35-44",IF(HR_Data[[#This Row],[Age]]&lt;=54,"45-54","55+"))))</f>
        <v>35-44</v>
      </c>
      <c r="AM1100" s="1" t="str">
        <f>IF(HR_Data[[#This Row],[MonthlyIncome]]&lt;3000,"Low Salary",IF(HR_Data[[#This Row],[MonthlyIncome]]&lt;=7000,"Medium Salary","High Salary"))</f>
        <v>Medium Salary</v>
      </c>
      <c r="AN1100" s="1" t="str">
        <f>IF(HR_Data[[#This Row],[YearsAtCompany]]&lt;2,"0-1 Years",IF(HR_Data[[#This Row],[YearsAtCompany]]&lt;=5,"2-5 Years",IF(HR_Data[[#This Row],[YearsAtCompany]]&lt;=10,"6-10 Years","10+ Years")))</f>
        <v>2-5 Years</v>
      </c>
      <c r="AO1100" s="1" t="str">
        <f>IF(HR_Data[[#This Row],[JobSatisfaction]]=1,"Low",IF(HR_Data[[#This Row],[JobSatisfaction]]=2,"Medium",IF(HR_Data[[#This Row],[JobSatisfaction]]=3,"High","Very High")))</f>
        <v>Very High</v>
      </c>
      <c r="AP1100" s="1" t="str">
        <f>IF(HR_Data[[#This Row],[WorkLifeBalance]]=1,"Bad",IF(HR_Data[[#This Row],[WorkLifeBalance]]=2,"Good",IF(HR_Data[[#This Row],[WorkLifeBalance]]=3,"Better","Best")))</f>
        <v>Better</v>
      </c>
    </row>
    <row r="1101" spans="1:42" x14ac:dyDescent="0.3">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c r="AJ1101">
        <f>IF(HR_Data[[#This Row],[Attrition]]="Yes",1,0)</f>
        <v>0</v>
      </c>
      <c r="AK1101">
        <f>IF(HR_Data[[#This Row],[Attrition]]="No",1,0)</f>
        <v>1</v>
      </c>
      <c r="AL1101" t="str">
        <f>IF(HR_Data[[#This Row],[Age]]&lt;25,"Under 25",IF(HR_Data[[#This Row],[Age]]&lt;=34,"25-34",IF(HR_Data[[#This Row],[Age]]&lt;=44,"35-44",IF(HR_Data[[#This Row],[Age]]&lt;=54,"45-54","55+"))))</f>
        <v>45-54</v>
      </c>
      <c r="AM1101" s="1" t="str">
        <f>IF(HR_Data[[#This Row],[MonthlyIncome]]&lt;3000,"Low Salary",IF(HR_Data[[#This Row],[MonthlyIncome]]&lt;=7000,"Medium Salary","High Salary"))</f>
        <v>High Salary</v>
      </c>
      <c r="AN1101" s="1" t="str">
        <f>IF(HR_Data[[#This Row],[YearsAtCompany]]&lt;2,"0-1 Years",IF(HR_Data[[#This Row],[YearsAtCompany]]&lt;=5,"2-5 Years",IF(HR_Data[[#This Row],[YearsAtCompany]]&lt;=10,"6-10 Years","10+ Years")))</f>
        <v>6-10 Years</v>
      </c>
      <c r="AO1101" s="1" t="str">
        <f>IF(HR_Data[[#This Row],[JobSatisfaction]]=1,"Low",IF(HR_Data[[#This Row],[JobSatisfaction]]=2,"Medium",IF(HR_Data[[#This Row],[JobSatisfaction]]=3,"High","Very High")))</f>
        <v>Medium</v>
      </c>
      <c r="AP1101" s="1" t="str">
        <f>IF(HR_Data[[#This Row],[WorkLifeBalance]]=1,"Bad",IF(HR_Data[[#This Row],[WorkLifeBalance]]=2,"Good",IF(HR_Data[[#This Row],[WorkLifeBalance]]=3,"Better","Best")))</f>
        <v>Better</v>
      </c>
    </row>
    <row r="1102" spans="1:42" x14ac:dyDescent="0.3">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c r="AJ1102">
        <f>IF(HR_Data[[#This Row],[Attrition]]="Yes",1,0)</f>
        <v>0</v>
      </c>
      <c r="AK1102">
        <f>IF(HR_Data[[#This Row],[Attrition]]="No",1,0)</f>
        <v>1</v>
      </c>
      <c r="AL1102" t="str">
        <f>IF(HR_Data[[#This Row],[Age]]&lt;25,"Under 25",IF(HR_Data[[#This Row],[Age]]&lt;=34,"25-34",IF(HR_Data[[#This Row],[Age]]&lt;=44,"35-44",IF(HR_Data[[#This Row],[Age]]&lt;=54,"45-54","55+"))))</f>
        <v>35-44</v>
      </c>
      <c r="AM1102" s="1" t="str">
        <f>IF(HR_Data[[#This Row],[MonthlyIncome]]&lt;3000,"Low Salary",IF(HR_Data[[#This Row],[MonthlyIncome]]&lt;=7000,"Medium Salary","High Salary"))</f>
        <v>Low Salary</v>
      </c>
      <c r="AN1102" s="1" t="str">
        <f>IF(HR_Data[[#This Row],[YearsAtCompany]]&lt;2,"0-1 Years",IF(HR_Data[[#This Row],[YearsAtCompany]]&lt;=5,"2-5 Years",IF(HR_Data[[#This Row],[YearsAtCompany]]&lt;=10,"6-10 Years","10+ Years")))</f>
        <v>2-5 Years</v>
      </c>
      <c r="AO1102" s="1" t="str">
        <f>IF(HR_Data[[#This Row],[JobSatisfaction]]=1,"Low",IF(HR_Data[[#This Row],[JobSatisfaction]]=2,"Medium",IF(HR_Data[[#This Row],[JobSatisfaction]]=3,"High","Very High")))</f>
        <v>High</v>
      </c>
      <c r="AP1102" s="1" t="str">
        <f>IF(HR_Data[[#This Row],[WorkLifeBalance]]=1,"Bad",IF(HR_Data[[#This Row],[WorkLifeBalance]]=2,"Good",IF(HR_Data[[#This Row],[WorkLifeBalance]]=3,"Better","Best")))</f>
        <v>Better</v>
      </c>
    </row>
    <row r="1103" spans="1:42" x14ac:dyDescent="0.3">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c r="AJ1103">
        <f>IF(HR_Data[[#This Row],[Attrition]]="Yes",1,0)</f>
        <v>0</v>
      </c>
      <c r="AK1103">
        <f>IF(HR_Data[[#This Row],[Attrition]]="No",1,0)</f>
        <v>1</v>
      </c>
      <c r="AL1103" t="str">
        <f>IF(HR_Data[[#This Row],[Age]]&lt;25,"Under 25",IF(HR_Data[[#This Row],[Age]]&lt;=34,"25-34",IF(HR_Data[[#This Row],[Age]]&lt;=44,"35-44",IF(HR_Data[[#This Row],[Age]]&lt;=54,"45-54","55+"))))</f>
        <v>25-34</v>
      </c>
      <c r="AM1103" s="1" t="str">
        <f>IF(HR_Data[[#This Row],[MonthlyIncome]]&lt;3000,"Low Salary",IF(HR_Data[[#This Row],[MonthlyIncome]]&lt;=7000,"Medium Salary","High Salary"))</f>
        <v>Medium Salary</v>
      </c>
      <c r="AN1103" s="1" t="str">
        <f>IF(HR_Data[[#This Row],[YearsAtCompany]]&lt;2,"0-1 Years",IF(HR_Data[[#This Row],[YearsAtCompany]]&lt;=5,"2-5 Years",IF(HR_Data[[#This Row],[YearsAtCompany]]&lt;=10,"6-10 Years","10+ Years")))</f>
        <v>6-10 Years</v>
      </c>
      <c r="AO1103" s="1" t="str">
        <f>IF(HR_Data[[#This Row],[JobSatisfaction]]=1,"Low",IF(HR_Data[[#This Row],[JobSatisfaction]]=2,"Medium",IF(HR_Data[[#This Row],[JobSatisfaction]]=3,"High","Very High")))</f>
        <v>Medium</v>
      </c>
      <c r="AP1103" s="1" t="str">
        <f>IF(HR_Data[[#This Row],[WorkLifeBalance]]=1,"Bad",IF(HR_Data[[#This Row],[WorkLifeBalance]]=2,"Good",IF(HR_Data[[#This Row],[WorkLifeBalance]]=3,"Better","Best")))</f>
        <v>Better</v>
      </c>
    </row>
    <row r="1104" spans="1:42" x14ac:dyDescent="0.3">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c r="AJ1104">
        <f>IF(HR_Data[[#This Row],[Attrition]]="Yes",1,0)</f>
        <v>0</v>
      </c>
      <c r="AK1104">
        <f>IF(HR_Data[[#This Row],[Attrition]]="No",1,0)</f>
        <v>1</v>
      </c>
      <c r="AL1104" t="str">
        <f>IF(HR_Data[[#This Row],[Age]]&lt;25,"Under 25",IF(HR_Data[[#This Row],[Age]]&lt;=34,"25-34",IF(HR_Data[[#This Row],[Age]]&lt;=44,"35-44",IF(HR_Data[[#This Row],[Age]]&lt;=54,"45-54","55+"))))</f>
        <v>35-44</v>
      </c>
      <c r="AM1104" s="1" t="str">
        <f>IF(HR_Data[[#This Row],[MonthlyIncome]]&lt;3000,"Low Salary",IF(HR_Data[[#This Row],[MonthlyIncome]]&lt;=7000,"Medium Salary","High Salary"))</f>
        <v>Low Salary</v>
      </c>
      <c r="AN1104" s="1" t="str">
        <f>IF(HR_Data[[#This Row],[YearsAtCompany]]&lt;2,"0-1 Years",IF(HR_Data[[#This Row],[YearsAtCompany]]&lt;=5,"2-5 Years",IF(HR_Data[[#This Row],[YearsAtCompany]]&lt;=10,"6-10 Years","10+ Years")))</f>
        <v>2-5 Years</v>
      </c>
      <c r="AO1104" s="1" t="str">
        <f>IF(HR_Data[[#This Row],[JobSatisfaction]]=1,"Low",IF(HR_Data[[#This Row],[JobSatisfaction]]=2,"Medium",IF(HR_Data[[#This Row],[JobSatisfaction]]=3,"High","Very High")))</f>
        <v>Very High</v>
      </c>
      <c r="AP1104" s="1" t="str">
        <f>IF(HR_Data[[#This Row],[WorkLifeBalance]]=1,"Bad",IF(HR_Data[[#This Row],[WorkLifeBalance]]=2,"Good",IF(HR_Data[[#This Row],[WorkLifeBalance]]=3,"Better","Best")))</f>
        <v>Good</v>
      </c>
    </row>
    <row r="1105" spans="1:42" x14ac:dyDescent="0.3">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c r="AJ1105">
        <f>IF(HR_Data[[#This Row],[Attrition]]="Yes",1,0)</f>
        <v>0</v>
      </c>
      <c r="AK1105">
        <f>IF(HR_Data[[#This Row],[Attrition]]="No",1,0)</f>
        <v>1</v>
      </c>
      <c r="AL1105" t="str">
        <f>IF(HR_Data[[#This Row],[Age]]&lt;25,"Under 25",IF(HR_Data[[#This Row],[Age]]&lt;=34,"25-34",IF(HR_Data[[#This Row],[Age]]&lt;=44,"35-44",IF(HR_Data[[#This Row],[Age]]&lt;=54,"45-54","55+"))))</f>
        <v>45-54</v>
      </c>
      <c r="AM1105" s="1" t="str">
        <f>IF(HR_Data[[#This Row],[MonthlyIncome]]&lt;3000,"Low Salary",IF(HR_Data[[#This Row],[MonthlyIncome]]&lt;=7000,"Medium Salary","High Salary"))</f>
        <v>Medium Salary</v>
      </c>
      <c r="AN1105" s="1" t="str">
        <f>IF(HR_Data[[#This Row],[YearsAtCompany]]&lt;2,"0-1 Years",IF(HR_Data[[#This Row],[YearsAtCompany]]&lt;=5,"2-5 Years",IF(HR_Data[[#This Row],[YearsAtCompany]]&lt;=10,"6-10 Years","10+ Years")))</f>
        <v>6-10 Years</v>
      </c>
      <c r="AO1105" s="1" t="str">
        <f>IF(HR_Data[[#This Row],[JobSatisfaction]]=1,"Low",IF(HR_Data[[#This Row],[JobSatisfaction]]=2,"Medium",IF(HR_Data[[#This Row],[JobSatisfaction]]=3,"High","Very High")))</f>
        <v>High</v>
      </c>
      <c r="AP1105" s="1" t="str">
        <f>IF(HR_Data[[#This Row],[WorkLifeBalance]]=1,"Bad",IF(HR_Data[[#This Row],[WorkLifeBalance]]=2,"Good",IF(HR_Data[[#This Row],[WorkLifeBalance]]=3,"Better","Best")))</f>
        <v>Better</v>
      </c>
    </row>
    <row r="1106" spans="1:42" x14ac:dyDescent="0.3">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c r="AJ1106">
        <f>IF(HR_Data[[#This Row],[Attrition]]="Yes",1,0)</f>
        <v>0</v>
      </c>
      <c r="AK1106">
        <f>IF(HR_Data[[#This Row],[Attrition]]="No",1,0)</f>
        <v>1</v>
      </c>
      <c r="AL1106" t="str">
        <f>IF(HR_Data[[#This Row],[Age]]&lt;25,"Under 25",IF(HR_Data[[#This Row],[Age]]&lt;=34,"25-34",IF(HR_Data[[#This Row],[Age]]&lt;=44,"35-44",IF(HR_Data[[#This Row],[Age]]&lt;=54,"45-54","55+"))))</f>
        <v>25-34</v>
      </c>
      <c r="AM1106" s="1" t="str">
        <f>IF(HR_Data[[#This Row],[MonthlyIncome]]&lt;3000,"Low Salary",IF(HR_Data[[#This Row],[MonthlyIncome]]&lt;=7000,"Medium Salary","High Salary"))</f>
        <v>Low Salary</v>
      </c>
      <c r="AN1106" s="1" t="str">
        <f>IF(HR_Data[[#This Row],[YearsAtCompany]]&lt;2,"0-1 Years",IF(HR_Data[[#This Row],[YearsAtCompany]]&lt;=5,"2-5 Years",IF(HR_Data[[#This Row],[YearsAtCompany]]&lt;=10,"6-10 Years","10+ Years")))</f>
        <v>0-1 Years</v>
      </c>
      <c r="AO1106" s="1" t="str">
        <f>IF(HR_Data[[#This Row],[JobSatisfaction]]=1,"Low",IF(HR_Data[[#This Row],[JobSatisfaction]]=2,"Medium",IF(HR_Data[[#This Row],[JobSatisfaction]]=3,"High","Very High")))</f>
        <v>High</v>
      </c>
      <c r="AP1106" s="1" t="str">
        <f>IF(HR_Data[[#This Row],[WorkLifeBalance]]=1,"Bad",IF(HR_Data[[#This Row],[WorkLifeBalance]]=2,"Good",IF(HR_Data[[#This Row],[WorkLifeBalance]]=3,"Better","Best")))</f>
        <v>Good</v>
      </c>
    </row>
    <row r="1107" spans="1:42" x14ac:dyDescent="0.3">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c r="AJ1107">
        <f>IF(HR_Data[[#This Row],[Attrition]]="Yes",1,0)</f>
        <v>0</v>
      </c>
      <c r="AK1107">
        <f>IF(HR_Data[[#This Row],[Attrition]]="No",1,0)</f>
        <v>1</v>
      </c>
      <c r="AL1107" t="str">
        <f>IF(HR_Data[[#This Row],[Age]]&lt;25,"Under 25",IF(HR_Data[[#This Row],[Age]]&lt;=34,"25-34",IF(HR_Data[[#This Row],[Age]]&lt;=44,"35-44",IF(HR_Data[[#This Row],[Age]]&lt;=54,"45-54","55+"))))</f>
        <v>25-34</v>
      </c>
      <c r="AM1107" s="1" t="str">
        <f>IF(HR_Data[[#This Row],[MonthlyIncome]]&lt;3000,"Low Salary",IF(HR_Data[[#This Row],[MonthlyIncome]]&lt;=7000,"Medium Salary","High Salary"))</f>
        <v>Medium Salary</v>
      </c>
      <c r="AN1107" s="1" t="str">
        <f>IF(HR_Data[[#This Row],[YearsAtCompany]]&lt;2,"0-1 Years",IF(HR_Data[[#This Row],[YearsAtCompany]]&lt;=5,"2-5 Years",IF(HR_Data[[#This Row],[YearsAtCompany]]&lt;=10,"6-10 Years","10+ Years")))</f>
        <v>2-5 Years</v>
      </c>
      <c r="AO1107" s="1" t="str">
        <f>IF(HR_Data[[#This Row],[JobSatisfaction]]=1,"Low",IF(HR_Data[[#This Row],[JobSatisfaction]]=2,"Medium",IF(HR_Data[[#This Row],[JobSatisfaction]]=3,"High","Very High")))</f>
        <v>Low</v>
      </c>
      <c r="AP1107" s="1" t="str">
        <f>IF(HR_Data[[#This Row],[WorkLifeBalance]]=1,"Bad",IF(HR_Data[[#This Row],[WorkLifeBalance]]=2,"Good",IF(HR_Data[[#This Row],[WorkLifeBalance]]=3,"Better","Best")))</f>
        <v>Bad</v>
      </c>
    </row>
    <row r="1108" spans="1:42" x14ac:dyDescent="0.3">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c r="AJ1108">
        <f>IF(HR_Data[[#This Row],[Attrition]]="Yes",1,0)</f>
        <v>1</v>
      </c>
      <c r="AK1108">
        <f>IF(HR_Data[[#This Row],[Attrition]]="No",1,0)</f>
        <v>0</v>
      </c>
      <c r="AL1108" t="str">
        <f>IF(HR_Data[[#This Row],[Age]]&lt;25,"Under 25",IF(HR_Data[[#This Row],[Age]]&lt;=34,"25-34",IF(HR_Data[[#This Row],[Age]]&lt;=44,"35-44",IF(HR_Data[[#This Row],[Age]]&lt;=54,"45-54","55+"))))</f>
        <v>25-34</v>
      </c>
      <c r="AM1108" s="1" t="str">
        <f>IF(HR_Data[[#This Row],[MonthlyIncome]]&lt;3000,"Low Salary",IF(HR_Data[[#This Row],[MonthlyIncome]]&lt;=7000,"Medium Salary","High Salary"))</f>
        <v>High Salary</v>
      </c>
      <c r="AN1108" s="1" t="str">
        <f>IF(HR_Data[[#This Row],[YearsAtCompany]]&lt;2,"0-1 Years",IF(HR_Data[[#This Row],[YearsAtCompany]]&lt;=5,"2-5 Years",IF(HR_Data[[#This Row],[YearsAtCompany]]&lt;=10,"6-10 Years","10+ Years")))</f>
        <v>6-10 Years</v>
      </c>
      <c r="AO1108" s="1" t="str">
        <f>IF(HR_Data[[#This Row],[JobSatisfaction]]=1,"Low",IF(HR_Data[[#This Row],[JobSatisfaction]]=2,"Medium",IF(HR_Data[[#This Row],[JobSatisfaction]]=3,"High","Very High")))</f>
        <v>Low</v>
      </c>
      <c r="AP1108" s="1" t="str">
        <f>IF(HR_Data[[#This Row],[WorkLifeBalance]]=1,"Bad",IF(HR_Data[[#This Row],[WorkLifeBalance]]=2,"Good",IF(HR_Data[[#This Row],[WorkLifeBalance]]=3,"Better","Best")))</f>
        <v>Better</v>
      </c>
    </row>
    <row r="1109" spans="1:42" x14ac:dyDescent="0.3">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c r="AJ1109">
        <f>IF(HR_Data[[#This Row],[Attrition]]="Yes",1,0)</f>
        <v>0</v>
      </c>
      <c r="AK1109">
        <f>IF(HR_Data[[#This Row],[Attrition]]="No",1,0)</f>
        <v>1</v>
      </c>
      <c r="AL1109" t="str">
        <f>IF(HR_Data[[#This Row],[Age]]&lt;25,"Under 25",IF(HR_Data[[#This Row],[Age]]&lt;=34,"25-34",IF(HR_Data[[#This Row],[Age]]&lt;=44,"35-44",IF(HR_Data[[#This Row],[Age]]&lt;=54,"45-54","55+"))))</f>
        <v>35-44</v>
      </c>
      <c r="AM1109" s="1" t="str">
        <f>IF(HR_Data[[#This Row],[MonthlyIncome]]&lt;3000,"Low Salary",IF(HR_Data[[#This Row],[MonthlyIncome]]&lt;=7000,"Medium Salary","High Salary"))</f>
        <v>Medium Salary</v>
      </c>
      <c r="AN1109" s="1" t="str">
        <f>IF(HR_Data[[#This Row],[YearsAtCompany]]&lt;2,"0-1 Years",IF(HR_Data[[#This Row],[YearsAtCompany]]&lt;=5,"2-5 Years",IF(HR_Data[[#This Row],[YearsAtCompany]]&lt;=10,"6-10 Years","10+ Years")))</f>
        <v>6-10 Years</v>
      </c>
      <c r="AO1109" s="1" t="str">
        <f>IF(HR_Data[[#This Row],[JobSatisfaction]]=1,"Low",IF(HR_Data[[#This Row],[JobSatisfaction]]=2,"Medium",IF(HR_Data[[#This Row],[JobSatisfaction]]=3,"High","Very High")))</f>
        <v>High</v>
      </c>
      <c r="AP1109" s="1" t="str">
        <f>IF(HR_Data[[#This Row],[WorkLifeBalance]]=1,"Bad",IF(HR_Data[[#This Row],[WorkLifeBalance]]=2,"Good",IF(HR_Data[[#This Row],[WorkLifeBalance]]=3,"Better","Best")))</f>
        <v>Better</v>
      </c>
    </row>
    <row r="1110" spans="1:42" x14ac:dyDescent="0.3">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c r="AJ1110">
        <f>IF(HR_Data[[#This Row],[Attrition]]="Yes",1,0)</f>
        <v>0</v>
      </c>
      <c r="AK1110">
        <f>IF(HR_Data[[#This Row],[Attrition]]="No",1,0)</f>
        <v>1</v>
      </c>
      <c r="AL1110" t="str">
        <f>IF(HR_Data[[#This Row],[Age]]&lt;25,"Under 25",IF(HR_Data[[#This Row],[Age]]&lt;=34,"25-34",IF(HR_Data[[#This Row],[Age]]&lt;=44,"35-44",IF(HR_Data[[#This Row],[Age]]&lt;=54,"45-54","55+"))))</f>
        <v>35-44</v>
      </c>
      <c r="AM1110" s="1" t="str">
        <f>IF(HR_Data[[#This Row],[MonthlyIncome]]&lt;3000,"Low Salary",IF(HR_Data[[#This Row],[MonthlyIncome]]&lt;=7000,"Medium Salary","High Salary"))</f>
        <v>Low Salary</v>
      </c>
      <c r="AN1110" s="1" t="str">
        <f>IF(HR_Data[[#This Row],[YearsAtCompany]]&lt;2,"0-1 Years",IF(HR_Data[[#This Row],[YearsAtCompany]]&lt;=5,"2-5 Years",IF(HR_Data[[#This Row],[YearsAtCompany]]&lt;=10,"6-10 Years","10+ Years")))</f>
        <v>2-5 Years</v>
      </c>
      <c r="AO1110" s="1" t="str">
        <f>IF(HR_Data[[#This Row],[JobSatisfaction]]=1,"Low",IF(HR_Data[[#This Row],[JobSatisfaction]]=2,"Medium",IF(HR_Data[[#This Row],[JobSatisfaction]]=3,"High","Very High")))</f>
        <v>Low</v>
      </c>
      <c r="AP1110" s="1" t="str">
        <f>IF(HR_Data[[#This Row],[WorkLifeBalance]]=1,"Bad",IF(HR_Data[[#This Row],[WorkLifeBalance]]=2,"Good",IF(HR_Data[[#This Row],[WorkLifeBalance]]=3,"Better","Best")))</f>
        <v>Better</v>
      </c>
    </row>
    <row r="1111" spans="1:42" x14ac:dyDescent="0.3">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c r="AJ1111">
        <f>IF(HR_Data[[#This Row],[Attrition]]="Yes",1,0)</f>
        <v>0</v>
      </c>
      <c r="AK1111">
        <f>IF(HR_Data[[#This Row],[Attrition]]="No",1,0)</f>
        <v>1</v>
      </c>
      <c r="AL1111" t="str">
        <f>IF(HR_Data[[#This Row],[Age]]&lt;25,"Under 25",IF(HR_Data[[#This Row],[Age]]&lt;=34,"25-34",IF(HR_Data[[#This Row],[Age]]&lt;=44,"35-44",IF(HR_Data[[#This Row],[Age]]&lt;=54,"45-54","55+"))))</f>
        <v>25-34</v>
      </c>
      <c r="AM1111" s="1" t="str">
        <f>IF(HR_Data[[#This Row],[MonthlyIncome]]&lt;3000,"Low Salary",IF(HR_Data[[#This Row],[MonthlyIncome]]&lt;=7000,"Medium Salary","High Salary"))</f>
        <v>High Salary</v>
      </c>
      <c r="AN1111" s="1" t="str">
        <f>IF(HR_Data[[#This Row],[YearsAtCompany]]&lt;2,"0-1 Years",IF(HR_Data[[#This Row],[YearsAtCompany]]&lt;=5,"2-5 Years",IF(HR_Data[[#This Row],[YearsAtCompany]]&lt;=10,"6-10 Years","10+ Years")))</f>
        <v>2-5 Years</v>
      </c>
      <c r="AO1111" s="1" t="str">
        <f>IF(HR_Data[[#This Row],[JobSatisfaction]]=1,"Low",IF(HR_Data[[#This Row],[JobSatisfaction]]=2,"Medium",IF(HR_Data[[#This Row],[JobSatisfaction]]=3,"High","Very High")))</f>
        <v>Medium</v>
      </c>
      <c r="AP1111" s="1" t="str">
        <f>IF(HR_Data[[#This Row],[WorkLifeBalance]]=1,"Bad",IF(HR_Data[[#This Row],[WorkLifeBalance]]=2,"Good",IF(HR_Data[[#This Row],[WorkLifeBalance]]=3,"Better","Best")))</f>
        <v>Better</v>
      </c>
    </row>
    <row r="1112" spans="1:42" x14ac:dyDescent="0.3">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c r="AJ1112">
        <f>IF(HR_Data[[#This Row],[Attrition]]="Yes",1,0)</f>
        <v>1</v>
      </c>
      <c r="AK1112">
        <f>IF(HR_Data[[#This Row],[Attrition]]="No",1,0)</f>
        <v>0</v>
      </c>
      <c r="AL1112" t="str">
        <f>IF(HR_Data[[#This Row],[Age]]&lt;25,"Under 25",IF(HR_Data[[#This Row],[Age]]&lt;=34,"25-34",IF(HR_Data[[#This Row],[Age]]&lt;=44,"35-44",IF(HR_Data[[#This Row],[Age]]&lt;=54,"45-54","55+"))))</f>
        <v>35-44</v>
      </c>
      <c r="AM1112" s="1" t="str">
        <f>IF(HR_Data[[#This Row],[MonthlyIncome]]&lt;3000,"Low Salary",IF(HR_Data[[#This Row],[MonthlyIncome]]&lt;=7000,"Medium Salary","High Salary"))</f>
        <v>Low Salary</v>
      </c>
      <c r="AN1112" s="1" t="str">
        <f>IF(HR_Data[[#This Row],[YearsAtCompany]]&lt;2,"0-1 Years",IF(HR_Data[[#This Row],[YearsAtCompany]]&lt;=5,"2-5 Years",IF(HR_Data[[#This Row],[YearsAtCompany]]&lt;=10,"6-10 Years","10+ Years")))</f>
        <v>0-1 Years</v>
      </c>
      <c r="AO1112" s="1" t="str">
        <f>IF(HR_Data[[#This Row],[JobSatisfaction]]=1,"Low",IF(HR_Data[[#This Row],[JobSatisfaction]]=2,"Medium",IF(HR_Data[[#This Row],[JobSatisfaction]]=3,"High","Very High")))</f>
        <v>Low</v>
      </c>
      <c r="AP1112" s="1" t="str">
        <f>IF(HR_Data[[#This Row],[WorkLifeBalance]]=1,"Bad",IF(HR_Data[[#This Row],[WorkLifeBalance]]=2,"Good",IF(HR_Data[[#This Row],[WorkLifeBalance]]=3,"Better","Best")))</f>
        <v>Better</v>
      </c>
    </row>
    <row r="1113" spans="1:42" x14ac:dyDescent="0.3">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c r="AJ1113">
        <f>IF(HR_Data[[#This Row],[Attrition]]="Yes",1,0)</f>
        <v>1</v>
      </c>
      <c r="AK1113">
        <f>IF(HR_Data[[#This Row],[Attrition]]="No",1,0)</f>
        <v>0</v>
      </c>
      <c r="AL1113" t="str">
        <f>IF(HR_Data[[#This Row],[Age]]&lt;25,"Under 25",IF(HR_Data[[#This Row],[Age]]&lt;=34,"25-34",IF(HR_Data[[#This Row],[Age]]&lt;=44,"35-44",IF(HR_Data[[#This Row],[Age]]&lt;=54,"45-54","55+"))))</f>
        <v>45-54</v>
      </c>
      <c r="AM1113" s="1" t="str">
        <f>IF(HR_Data[[#This Row],[MonthlyIncome]]&lt;3000,"Low Salary",IF(HR_Data[[#This Row],[MonthlyIncome]]&lt;=7000,"Medium Salary","High Salary"))</f>
        <v>High Salary</v>
      </c>
      <c r="AN1113" s="1" t="str">
        <f>IF(HR_Data[[#This Row],[YearsAtCompany]]&lt;2,"0-1 Years",IF(HR_Data[[#This Row],[YearsAtCompany]]&lt;=5,"2-5 Years",IF(HR_Data[[#This Row],[YearsAtCompany]]&lt;=10,"6-10 Years","10+ Years")))</f>
        <v>10+ Years</v>
      </c>
      <c r="AO1113" s="1" t="str">
        <f>IF(HR_Data[[#This Row],[JobSatisfaction]]=1,"Low",IF(HR_Data[[#This Row],[JobSatisfaction]]=2,"Medium",IF(HR_Data[[#This Row],[JobSatisfaction]]=3,"High","Very High")))</f>
        <v>Very High</v>
      </c>
      <c r="AP1113" s="1" t="str">
        <f>IF(HR_Data[[#This Row],[WorkLifeBalance]]=1,"Bad",IF(HR_Data[[#This Row],[WorkLifeBalance]]=2,"Good",IF(HR_Data[[#This Row],[WorkLifeBalance]]=3,"Better","Best")))</f>
        <v>Better</v>
      </c>
    </row>
    <row r="1114" spans="1:42" x14ac:dyDescent="0.3">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c r="AJ1114">
        <f>IF(HR_Data[[#This Row],[Attrition]]="Yes",1,0)</f>
        <v>1</v>
      </c>
      <c r="AK1114">
        <f>IF(HR_Data[[#This Row],[Attrition]]="No",1,0)</f>
        <v>0</v>
      </c>
      <c r="AL1114" t="str">
        <f>IF(HR_Data[[#This Row],[Age]]&lt;25,"Under 25",IF(HR_Data[[#This Row],[Age]]&lt;=34,"25-34",IF(HR_Data[[#This Row],[Age]]&lt;=44,"35-44",IF(HR_Data[[#This Row],[Age]]&lt;=54,"45-54","55+"))))</f>
        <v>35-44</v>
      </c>
      <c r="AM1114" s="1" t="str">
        <f>IF(HR_Data[[#This Row],[MonthlyIncome]]&lt;3000,"Low Salary",IF(HR_Data[[#This Row],[MonthlyIncome]]&lt;=7000,"Medium Salary","High Salary"))</f>
        <v>Medium Salary</v>
      </c>
      <c r="AN1114" s="1" t="str">
        <f>IF(HR_Data[[#This Row],[YearsAtCompany]]&lt;2,"0-1 Years",IF(HR_Data[[#This Row],[YearsAtCompany]]&lt;=5,"2-5 Years",IF(HR_Data[[#This Row],[YearsAtCompany]]&lt;=10,"6-10 Years","10+ Years")))</f>
        <v>2-5 Years</v>
      </c>
      <c r="AO1114" s="1" t="str">
        <f>IF(HR_Data[[#This Row],[JobSatisfaction]]=1,"Low",IF(HR_Data[[#This Row],[JobSatisfaction]]=2,"Medium",IF(HR_Data[[#This Row],[JobSatisfaction]]=3,"High","Very High")))</f>
        <v>Medium</v>
      </c>
      <c r="AP1114" s="1" t="str">
        <f>IF(HR_Data[[#This Row],[WorkLifeBalance]]=1,"Bad",IF(HR_Data[[#This Row],[WorkLifeBalance]]=2,"Good",IF(HR_Data[[#This Row],[WorkLifeBalance]]=3,"Better","Best")))</f>
        <v>Better</v>
      </c>
    </row>
    <row r="1115" spans="1:42" x14ac:dyDescent="0.3">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c r="AJ1115">
        <f>IF(HR_Data[[#This Row],[Attrition]]="Yes",1,0)</f>
        <v>0</v>
      </c>
      <c r="AK1115">
        <f>IF(HR_Data[[#This Row],[Attrition]]="No",1,0)</f>
        <v>1</v>
      </c>
      <c r="AL1115" t="str">
        <f>IF(HR_Data[[#This Row],[Age]]&lt;25,"Under 25",IF(HR_Data[[#This Row],[Age]]&lt;=34,"25-34",IF(HR_Data[[#This Row],[Age]]&lt;=44,"35-44",IF(HR_Data[[#This Row],[Age]]&lt;=54,"45-54","55+"))))</f>
        <v>25-34</v>
      </c>
      <c r="AM1115" s="1" t="str">
        <f>IF(HR_Data[[#This Row],[MonthlyIncome]]&lt;3000,"Low Salary",IF(HR_Data[[#This Row],[MonthlyIncome]]&lt;=7000,"Medium Salary","High Salary"))</f>
        <v>Medium Salary</v>
      </c>
      <c r="AN1115" s="1" t="str">
        <f>IF(HR_Data[[#This Row],[YearsAtCompany]]&lt;2,"0-1 Years",IF(HR_Data[[#This Row],[YearsAtCompany]]&lt;=5,"2-5 Years",IF(HR_Data[[#This Row],[YearsAtCompany]]&lt;=10,"6-10 Years","10+ Years")))</f>
        <v>6-10 Years</v>
      </c>
      <c r="AO1115" s="1" t="str">
        <f>IF(HR_Data[[#This Row],[JobSatisfaction]]=1,"Low",IF(HR_Data[[#This Row],[JobSatisfaction]]=2,"Medium",IF(HR_Data[[#This Row],[JobSatisfaction]]=3,"High","Very High")))</f>
        <v>Low</v>
      </c>
      <c r="AP1115" s="1" t="str">
        <f>IF(HR_Data[[#This Row],[WorkLifeBalance]]=1,"Bad",IF(HR_Data[[#This Row],[WorkLifeBalance]]=2,"Good",IF(HR_Data[[#This Row],[WorkLifeBalance]]=3,"Better","Best")))</f>
        <v>Good</v>
      </c>
    </row>
    <row r="1116" spans="1:42" x14ac:dyDescent="0.3">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c r="AJ1116">
        <f>IF(HR_Data[[#This Row],[Attrition]]="Yes",1,0)</f>
        <v>0</v>
      </c>
      <c r="AK1116">
        <f>IF(HR_Data[[#This Row],[Attrition]]="No",1,0)</f>
        <v>1</v>
      </c>
      <c r="AL1116" t="str">
        <f>IF(HR_Data[[#This Row],[Age]]&lt;25,"Under 25",IF(HR_Data[[#This Row],[Age]]&lt;=34,"25-34",IF(HR_Data[[#This Row],[Age]]&lt;=44,"35-44",IF(HR_Data[[#This Row],[Age]]&lt;=54,"45-54","55+"))))</f>
        <v>45-54</v>
      </c>
      <c r="AM1116" s="1" t="str">
        <f>IF(HR_Data[[#This Row],[MonthlyIncome]]&lt;3000,"Low Salary",IF(HR_Data[[#This Row],[MonthlyIncome]]&lt;=7000,"Medium Salary","High Salary"))</f>
        <v>Low Salary</v>
      </c>
      <c r="AN1116" s="1" t="str">
        <f>IF(HR_Data[[#This Row],[YearsAtCompany]]&lt;2,"0-1 Years",IF(HR_Data[[#This Row],[YearsAtCompany]]&lt;=5,"2-5 Years",IF(HR_Data[[#This Row],[YearsAtCompany]]&lt;=10,"6-10 Years","10+ Years")))</f>
        <v>6-10 Years</v>
      </c>
      <c r="AO1116" s="1" t="str">
        <f>IF(HR_Data[[#This Row],[JobSatisfaction]]=1,"Low",IF(HR_Data[[#This Row],[JobSatisfaction]]=2,"Medium",IF(HR_Data[[#This Row],[JobSatisfaction]]=3,"High","Very High")))</f>
        <v>Low</v>
      </c>
      <c r="AP1116" s="1" t="str">
        <f>IF(HR_Data[[#This Row],[WorkLifeBalance]]=1,"Bad",IF(HR_Data[[#This Row],[WorkLifeBalance]]=2,"Good",IF(HR_Data[[#This Row],[WorkLifeBalance]]=3,"Better","Best")))</f>
        <v>Good</v>
      </c>
    </row>
    <row r="1117" spans="1:42" x14ac:dyDescent="0.3">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c r="AJ1117">
        <f>IF(HR_Data[[#This Row],[Attrition]]="Yes",1,0)</f>
        <v>0</v>
      </c>
      <c r="AK1117">
        <f>IF(HR_Data[[#This Row],[Attrition]]="No",1,0)</f>
        <v>1</v>
      </c>
      <c r="AL1117" t="str">
        <f>IF(HR_Data[[#This Row],[Age]]&lt;25,"Under 25",IF(HR_Data[[#This Row],[Age]]&lt;=34,"25-34",IF(HR_Data[[#This Row],[Age]]&lt;=44,"35-44",IF(HR_Data[[#This Row],[Age]]&lt;=54,"45-54","55+"))))</f>
        <v>25-34</v>
      </c>
      <c r="AM1117" s="1" t="str">
        <f>IF(HR_Data[[#This Row],[MonthlyIncome]]&lt;3000,"Low Salary",IF(HR_Data[[#This Row],[MonthlyIncome]]&lt;=7000,"Medium Salary","High Salary"))</f>
        <v>Low Salary</v>
      </c>
      <c r="AN1117" s="1" t="str">
        <f>IF(HR_Data[[#This Row],[YearsAtCompany]]&lt;2,"0-1 Years",IF(HR_Data[[#This Row],[YearsAtCompany]]&lt;=5,"2-5 Years",IF(HR_Data[[#This Row],[YearsAtCompany]]&lt;=10,"6-10 Years","10+ Years")))</f>
        <v>0-1 Years</v>
      </c>
      <c r="AO1117" s="1" t="str">
        <f>IF(HR_Data[[#This Row],[JobSatisfaction]]=1,"Low",IF(HR_Data[[#This Row],[JobSatisfaction]]=2,"Medium",IF(HR_Data[[#This Row],[JobSatisfaction]]=3,"High","Very High")))</f>
        <v>Very High</v>
      </c>
      <c r="AP1117" s="1" t="str">
        <f>IF(HR_Data[[#This Row],[WorkLifeBalance]]=1,"Bad",IF(HR_Data[[#This Row],[WorkLifeBalance]]=2,"Good",IF(HR_Data[[#This Row],[WorkLifeBalance]]=3,"Better","Best")))</f>
        <v>Bad</v>
      </c>
    </row>
    <row r="1118" spans="1:42" x14ac:dyDescent="0.3">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c r="AJ1118">
        <f>IF(HR_Data[[#This Row],[Attrition]]="Yes",1,0)</f>
        <v>0</v>
      </c>
      <c r="AK1118">
        <f>IF(HR_Data[[#This Row],[Attrition]]="No",1,0)</f>
        <v>1</v>
      </c>
      <c r="AL1118" t="str">
        <f>IF(HR_Data[[#This Row],[Age]]&lt;25,"Under 25",IF(HR_Data[[#This Row],[Age]]&lt;=34,"25-34",IF(HR_Data[[#This Row],[Age]]&lt;=44,"35-44",IF(HR_Data[[#This Row],[Age]]&lt;=54,"45-54","55+"))))</f>
        <v>55+</v>
      </c>
      <c r="AM1118" s="1" t="str">
        <f>IF(HR_Data[[#This Row],[MonthlyIncome]]&lt;3000,"Low Salary",IF(HR_Data[[#This Row],[MonthlyIncome]]&lt;=7000,"Medium Salary","High Salary"))</f>
        <v>High Salary</v>
      </c>
      <c r="AN1118" s="1" t="str">
        <f>IF(HR_Data[[#This Row],[YearsAtCompany]]&lt;2,"0-1 Years",IF(HR_Data[[#This Row],[YearsAtCompany]]&lt;=5,"2-5 Years",IF(HR_Data[[#This Row],[YearsAtCompany]]&lt;=10,"6-10 Years","10+ Years")))</f>
        <v>10+ Years</v>
      </c>
      <c r="AO1118" s="1" t="str">
        <f>IF(HR_Data[[#This Row],[JobSatisfaction]]=1,"Low",IF(HR_Data[[#This Row],[JobSatisfaction]]=2,"Medium",IF(HR_Data[[#This Row],[JobSatisfaction]]=3,"High","Very High")))</f>
        <v>Very High</v>
      </c>
      <c r="AP1118" s="1" t="str">
        <f>IF(HR_Data[[#This Row],[WorkLifeBalance]]=1,"Bad",IF(HR_Data[[#This Row],[WorkLifeBalance]]=2,"Good",IF(HR_Data[[#This Row],[WorkLifeBalance]]=3,"Better","Best")))</f>
        <v>Better</v>
      </c>
    </row>
    <row r="1119" spans="1:42" x14ac:dyDescent="0.3">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c r="AJ1119">
        <f>IF(HR_Data[[#This Row],[Attrition]]="Yes",1,0)</f>
        <v>0</v>
      </c>
      <c r="AK1119">
        <f>IF(HR_Data[[#This Row],[Attrition]]="No",1,0)</f>
        <v>1</v>
      </c>
      <c r="AL1119" t="str">
        <f>IF(HR_Data[[#This Row],[Age]]&lt;25,"Under 25",IF(HR_Data[[#This Row],[Age]]&lt;=34,"25-34",IF(HR_Data[[#This Row],[Age]]&lt;=44,"35-44",IF(HR_Data[[#This Row],[Age]]&lt;=54,"45-54","55+"))))</f>
        <v>25-34</v>
      </c>
      <c r="AM1119" s="1" t="str">
        <f>IF(HR_Data[[#This Row],[MonthlyIncome]]&lt;3000,"Low Salary",IF(HR_Data[[#This Row],[MonthlyIncome]]&lt;=7000,"Medium Salary","High Salary"))</f>
        <v>Medium Salary</v>
      </c>
      <c r="AN1119" s="1" t="str">
        <f>IF(HR_Data[[#This Row],[YearsAtCompany]]&lt;2,"0-1 Years",IF(HR_Data[[#This Row],[YearsAtCompany]]&lt;=5,"2-5 Years",IF(HR_Data[[#This Row],[YearsAtCompany]]&lt;=10,"6-10 Years","10+ Years")))</f>
        <v>2-5 Years</v>
      </c>
      <c r="AO1119" s="1" t="str">
        <f>IF(HR_Data[[#This Row],[JobSatisfaction]]=1,"Low",IF(HR_Data[[#This Row],[JobSatisfaction]]=2,"Medium",IF(HR_Data[[#This Row],[JobSatisfaction]]=3,"High","Very High")))</f>
        <v>Very High</v>
      </c>
      <c r="AP1119" s="1" t="str">
        <f>IF(HR_Data[[#This Row],[WorkLifeBalance]]=1,"Bad",IF(HR_Data[[#This Row],[WorkLifeBalance]]=2,"Good",IF(HR_Data[[#This Row],[WorkLifeBalance]]=3,"Better","Best")))</f>
        <v>Good</v>
      </c>
    </row>
    <row r="1120" spans="1:42" x14ac:dyDescent="0.3">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c r="AJ1120">
        <f>IF(HR_Data[[#This Row],[Attrition]]="Yes",1,0)</f>
        <v>0</v>
      </c>
      <c r="AK1120">
        <f>IF(HR_Data[[#This Row],[Attrition]]="No",1,0)</f>
        <v>1</v>
      </c>
      <c r="AL1120" t="str">
        <f>IF(HR_Data[[#This Row],[Age]]&lt;25,"Under 25",IF(HR_Data[[#This Row],[Age]]&lt;=34,"25-34",IF(HR_Data[[#This Row],[Age]]&lt;=44,"35-44",IF(HR_Data[[#This Row],[Age]]&lt;=54,"45-54","55+"))))</f>
        <v>25-34</v>
      </c>
      <c r="AM1120" s="1" t="str">
        <f>IF(HR_Data[[#This Row],[MonthlyIncome]]&lt;3000,"Low Salary",IF(HR_Data[[#This Row],[MonthlyIncome]]&lt;=7000,"Medium Salary","High Salary"))</f>
        <v>Low Salary</v>
      </c>
      <c r="AN1120" s="1" t="str">
        <f>IF(HR_Data[[#This Row],[YearsAtCompany]]&lt;2,"0-1 Years",IF(HR_Data[[#This Row],[YearsAtCompany]]&lt;=5,"2-5 Years",IF(HR_Data[[#This Row],[YearsAtCompany]]&lt;=10,"6-10 Years","10+ Years")))</f>
        <v>0-1 Years</v>
      </c>
      <c r="AO1120" s="1" t="str">
        <f>IF(HR_Data[[#This Row],[JobSatisfaction]]=1,"Low",IF(HR_Data[[#This Row],[JobSatisfaction]]=2,"Medium",IF(HR_Data[[#This Row],[JobSatisfaction]]=3,"High","Very High")))</f>
        <v>Very High</v>
      </c>
      <c r="AP1120" s="1" t="str">
        <f>IF(HR_Data[[#This Row],[WorkLifeBalance]]=1,"Bad",IF(HR_Data[[#This Row],[WorkLifeBalance]]=2,"Good",IF(HR_Data[[#This Row],[WorkLifeBalance]]=3,"Better","Best")))</f>
        <v>Better</v>
      </c>
    </row>
    <row r="1121" spans="1:42" x14ac:dyDescent="0.3">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c r="AJ1121">
        <f>IF(HR_Data[[#This Row],[Attrition]]="Yes",1,0)</f>
        <v>0</v>
      </c>
      <c r="AK1121">
        <f>IF(HR_Data[[#This Row],[Attrition]]="No",1,0)</f>
        <v>1</v>
      </c>
      <c r="AL1121" t="str">
        <f>IF(HR_Data[[#This Row],[Age]]&lt;25,"Under 25",IF(HR_Data[[#This Row],[Age]]&lt;=34,"25-34",IF(HR_Data[[#This Row],[Age]]&lt;=44,"35-44",IF(HR_Data[[#This Row],[Age]]&lt;=54,"45-54","55+"))))</f>
        <v>35-44</v>
      </c>
      <c r="AM1121" s="1" t="str">
        <f>IF(HR_Data[[#This Row],[MonthlyIncome]]&lt;3000,"Low Salary",IF(HR_Data[[#This Row],[MonthlyIncome]]&lt;=7000,"Medium Salary","High Salary"))</f>
        <v>High Salary</v>
      </c>
      <c r="AN1121" s="1" t="str">
        <f>IF(HR_Data[[#This Row],[YearsAtCompany]]&lt;2,"0-1 Years",IF(HR_Data[[#This Row],[YearsAtCompany]]&lt;=5,"2-5 Years",IF(HR_Data[[#This Row],[YearsAtCompany]]&lt;=10,"6-10 Years","10+ Years")))</f>
        <v>6-10 Years</v>
      </c>
      <c r="AO1121" s="1" t="str">
        <f>IF(HR_Data[[#This Row],[JobSatisfaction]]=1,"Low",IF(HR_Data[[#This Row],[JobSatisfaction]]=2,"Medium",IF(HR_Data[[#This Row],[JobSatisfaction]]=3,"High","Very High")))</f>
        <v>Medium</v>
      </c>
      <c r="AP1121" s="1" t="str">
        <f>IF(HR_Data[[#This Row],[WorkLifeBalance]]=1,"Bad",IF(HR_Data[[#This Row],[WorkLifeBalance]]=2,"Good",IF(HR_Data[[#This Row],[WorkLifeBalance]]=3,"Better","Best")))</f>
        <v>Better</v>
      </c>
    </row>
    <row r="1122" spans="1:42" x14ac:dyDescent="0.3">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c r="AJ1122">
        <f>IF(HR_Data[[#This Row],[Attrition]]="Yes",1,0)</f>
        <v>0</v>
      </c>
      <c r="AK1122">
        <f>IF(HR_Data[[#This Row],[Attrition]]="No",1,0)</f>
        <v>1</v>
      </c>
      <c r="AL1122" t="str">
        <f>IF(HR_Data[[#This Row],[Age]]&lt;25,"Under 25",IF(HR_Data[[#This Row],[Age]]&lt;=34,"25-34",IF(HR_Data[[#This Row],[Age]]&lt;=44,"35-44",IF(HR_Data[[#This Row],[Age]]&lt;=54,"45-54","55+"))))</f>
        <v>35-44</v>
      </c>
      <c r="AM1122" s="1" t="str">
        <f>IF(HR_Data[[#This Row],[MonthlyIncome]]&lt;3000,"Low Salary",IF(HR_Data[[#This Row],[MonthlyIncome]]&lt;=7000,"Medium Salary","High Salary"))</f>
        <v>Medium Salary</v>
      </c>
      <c r="AN1122" s="1" t="str">
        <f>IF(HR_Data[[#This Row],[YearsAtCompany]]&lt;2,"0-1 Years",IF(HR_Data[[#This Row],[YearsAtCompany]]&lt;=5,"2-5 Years",IF(HR_Data[[#This Row],[YearsAtCompany]]&lt;=10,"6-10 Years","10+ Years")))</f>
        <v>2-5 Years</v>
      </c>
      <c r="AO1122" s="1" t="str">
        <f>IF(HR_Data[[#This Row],[JobSatisfaction]]=1,"Low",IF(HR_Data[[#This Row],[JobSatisfaction]]=2,"Medium",IF(HR_Data[[#This Row],[JobSatisfaction]]=3,"High","Very High")))</f>
        <v>Medium</v>
      </c>
      <c r="AP1122" s="1" t="str">
        <f>IF(HR_Data[[#This Row],[WorkLifeBalance]]=1,"Bad",IF(HR_Data[[#This Row],[WorkLifeBalance]]=2,"Good",IF(HR_Data[[#This Row],[WorkLifeBalance]]=3,"Better","Best")))</f>
        <v>Best</v>
      </c>
    </row>
    <row r="1123" spans="1:42" x14ac:dyDescent="0.3">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c r="AJ1123">
        <f>IF(HR_Data[[#This Row],[Attrition]]="Yes",1,0)</f>
        <v>0</v>
      </c>
      <c r="AK1123">
        <f>IF(HR_Data[[#This Row],[Attrition]]="No",1,0)</f>
        <v>1</v>
      </c>
      <c r="AL1123" t="str">
        <f>IF(HR_Data[[#This Row],[Age]]&lt;25,"Under 25",IF(HR_Data[[#This Row],[Age]]&lt;=34,"25-34",IF(HR_Data[[#This Row],[Age]]&lt;=44,"35-44",IF(HR_Data[[#This Row],[Age]]&lt;=54,"45-54","55+"))))</f>
        <v>35-44</v>
      </c>
      <c r="AM1123" s="1" t="str">
        <f>IF(HR_Data[[#This Row],[MonthlyIncome]]&lt;3000,"Low Salary",IF(HR_Data[[#This Row],[MonthlyIncome]]&lt;=7000,"Medium Salary","High Salary"))</f>
        <v>Medium Salary</v>
      </c>
      <c r="AN1123" s="1" t="str">
        <f>IF(HR_Data[[#This Row],[YearsAtCompany]]&lt;2,"0-1 Years",IF(HR_Data[[#This Row],[YearsAtCompany]]&lt;=5,"2-5 Years",IF(HR_Data[[#This Row],[YearsAtCompany]]&lt;=10,"6-10 Years","10+ Years")))</f>
        <v>0-1 Years</v>
      </c>
      <c r="AO1123" s="1" t="str">
        <f>IF(HR_Data[[#This Row],[JobSatisfaction]]=1,"Low",IF(HR_Data[[#This Row],[JobSatisfaction]]=2,"Medium",IF(HR_Data[[#This Row],[JobSatisfaction]]=3,"High","Very High")))</f>
        <v>High</v>
      </c>
      <c r="AP1123" s="1" t="str">
        <f>IF(HR_Data[[#This Row],[WorkLifeBalance]]=1,"Bad",IF(HR_Data[[#This Row],[WorkLifeBalance]]=2,"Good",IF(HR_Data[[#This Row],[WorkLifeBalance]]=3,"Better","Best")))</f>
        <v>Better</v>
      </c>
    </row>
    <row r="1124" spans="1:42" x14ac:dyDescent="0.3">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c r="AJ1124">
        <f>IF(HR_Data[[#This Row],[Attrition]]="Yes",1,0)</f>
        <v>0</v>
      </c>
      <c r="AK1124">
        <f>IF(HR_Data[[#This Row],[Attrition]]="No",1,0)</f>
        <v>1</v>
      </c>
      <c r="AL1124" t="str">
        <f>IF(HR_Data[[#This Row],[Age]]&lt;25,"Under 25",IF(HR_Data[[#This Row],[Age]]&lt;=34,"25-34",IF(HR_Data[[#This Row],[Age]]&lt;=44,"35-44",IF(HR_Data[[#This Row],[Age]]&lt;=54,"45-54","55+"))))</f>
        <v>25-34</v>
      </c>
      <c r="AM1124" s="1" t="str">
        <f>IF(HR_Data[[#This Row],[MonthlyIncome]]&lt;3000,"Low Salary",IF(HR_Data[[#This Row],[MonthlyIncome]]&lt;=7000,"Medium Salary","High Salary"))</f>
        <v>Medium Salary</v>
      </c>
      <c r="AN1124" s="1" t="str">
        <f>IF(HR_Data[[#This Row],[YearsAtCompany]]&lt;2,"0-1 Years",IF(HR_Data[[#This Row],[YearsAtCompany]]&lt;=5,"2-5 Years",IF(HR_Data[[#This Row],[YearsAtCompany]]&lt;=10,"6-10 Years","10+ Years")))</f>
        <v>6-10 Years</v>
      </c>
      <c r="AO1124" s="1" t="str">
        <f>IF(HR_Data[[#This Row],[JobSatisfaction]]=1,"Low",IF(HR_Data[[#This Row],[JobSatisfaction]]=2,"Medium",IF(HR_Data[[#This Row],[JobSatisfaction]]=3,"High","Very High")))</f>
        <v>Low</v>
      </c>
      <c r="AP1124" s="1" t="str">
        <f>IF(HR_Data[[#This Row],[WorkLifeBalance]]=1,"Bad",IF(HR_Data[[#This Row],[WorkLifeBalance]]=2,"Good",IF(HR_Data[[#This Row],[WorkLifeBalance]]=3,"Better","Best")))</f>
        <v>Better</v>
      </c>
    </row>
    <row r="1125" spans="1:42" x14ac:dyDescent="0.3">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c r="AJ1125">
        <f>IF(HR_Data[[#This Row],[Attrition]]="Yes",1,0)</f>
        <v>0</v>
      </c>
      <c r="AK1125">
        <f>IF(HR_Data[[#This Row],[Attrition]]="No",1,0)</f>
        <v>1</v>
      </c>
      <c r="AL1125" t="str">
        <f>IF(HR_Data[[#This Row],[Age]]&lt;25,"Under 25",IF(HR_Data[[#This Row],[Age]]&lt;=34,"25-34",IF(HR_Data[[#This Row],[Age]]&lt;=44,"35-44",IF(HR_Data[[#This Row],[Age]]&lt;=54,"45-54","55+"))))</f>
        <v>35-44</v>
      </c>
      <c r="AM1125" s="1" t="str">
        <f>IF(HR_Data[[#This Row],[MonthlyIncome]]&lt;3000,"Low Salary",IF(HR_Data[[#This Row],[MonthlyIncome]]&lt;=7000,"Medium Salary","High Salary"))</f>
        <v>Medium Salary</v>
      </c>
      <c r="AN1125" s="1" t="str">
        <f>IF(HR_Data[[#This Row],[YearsAtCompany]]&lt;2,"0-1 Years",IF(HR_Data[[#This Row],[YearsAtCompany]]&lt;=5,"2-5 Years",IF(HR_Data[[#This Row],[YearsAtCompany]]&lt;=10,"6-10 Years","10+ Years")))</f>
        <v>2-5 Years</v>
      </c>
      <c r="AO1125" s="1" t="str">
        <f>IF(HR_Data[[#This Row],[JobSatisfaction]]=1,"Low",IF(HR_Data[[#This Row],[JobSatisfaction]]=2,"Medium",IF(HR_Data[[#This Row],[JobSatisfaction]]=3,"High","Very High")))</f>
        <v>High</v>
      </c>
      <c r="AP1125" s="1" t="str">
        <f>IF(HR_Data[[#This Row],[WorkLifeBalance]]=1,"Bad",IF(HR_Data[[#This Row],[WorkLifeBalance]]=2,"Good",IF(HR_Data[[#This Row],[WorkLifeBalance]]=3,"Better","Best")))</f>
        <v>Better</v>
      </c>
    </row>
    <row r="1126" spans="1:42" x14ac:dyDescent="0.3">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c r="AJ1126">
        <f>IF(HR_Data[[#This Row],[Attrition]]="Yes",1,0)</f>
        <v>0</v>
      </c>
      <c r="AK1126">
        <f>IF(HR_Data[[#This Row],[Attrition]]="No",1,0)</f>
        <v>1</v>
      </c>
      <c r="AL1126" t="str">
        <f>IF(HR_Data[[#This Row],[Age]]&lt;25,"Under 25",IF(HR_Data[[#This Row],[Age]]&lt;=34,"25-34",IF(HR_Data[[#This Row],[Age]]&lt;=44,"35-44",IF(HR_Data[[#This Row],[Age]]&lt;=54,"45-54","55+"))))</f>
        <v>35-44</v>
      </c>
      <c r="AM1126" s="1" t="str">
        <f>IF(HR_Data[[#This Row],[MonthlyIncome]]&lt;3000,"Low Salary",IF(HR_Data[[#This Row],[MonthlyIncome]]&lt;=7000,"Medium Salary","High Salary"))</f>
        <v>High Salary</v>
      </c>
      <c r="AN1126" s="1" t="str">
        <f>IF(HR_Data[[#This Row],[YearsAtCompany]]&lt;2,"0-1 Years",IF(HR_Data[[#This Row],[YearsAtCompany]]&lt;=5,"2-5 Years",IF(HR_Data[[#This Row],[YearsAtCompany]]&lt;=10,"6-10 Years","10+ Years")))</f>
        <v>6-10 Years</v>
      </c>
      <c r="AO1126" s="1" t="str">
        <f>IF(HR_Data[[#This Row],[JobSatisfaction]]=1,"Low",IF(HR_Data[[#This Row],[JobSatisfaction]]=2,"Medium",IF(HR_Data[[#This Row],[JobSatisfaction]]=3,"High","Very High")))</f>
        <v>High</v>
      </c>
      <c r="AP1126" s="1" t="str">
        <f>IF(HR_Data[[#This Row],[WorkLifeBalance]]=1,"Bad",IF(HR_Data[[#This Row],[WorkLifeBalance]]=2,"Good",IF(HR_Data[[#This Row],[WorkLifeBalance]]=3,"Better","Best")))</f>
        <v>Better</v>
      </c>
    </row>
    <row r="1127" spans="1:42" x14ac:dyDescent="0.3">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c r="AJ1127">
        <f>IF(HR_Data[[#This Row],[Attrition]]="Yes",1,0)</f>
        <v>0</v>
      </c>
      <c r="AK1127">
        <f>IF(HR_Data[[#This Row],[Attrition]]="No",1,0)</f>
        <v>1</v>
      </c>
      <c r="AL1127" t="str">
        <f>IF(HR_Data[[#This Row],[Age]]&lt;25,"Under 25",IF(HR_Data[[#This Row],[Age]]&lt;=34,"25-34",IF(HR_Data[[#This Row],[Age]]&lt;=44,"35-44",IF(HR_Data[[#This Row],[Age]]&lt;=54,"45-54","55+"))))</f>
        <v>25-34</v>
      </c>
      <c r="AM1127" s="1" t="str">
        <f>IF(HR_Data[[#This Row],[MonthlyIncome]]&lt;3000,"Low Salary",IF(HR_Data[[#This Row],[MonthlyIncome]]&lt;=7000,"Medium Salary","High Salary"))</f>
        <v>High Salary</v>
      </c>
      <c r="AN1127" s="1" t="str">
        <f>IF(HR_Data[[#This Row],[YearsAtCompany]]&lt;2,"0-1 Years",IF(HR_Data[[#This Row],[YearsAtCompany]]&lt;=5,"2-5 Years",IF(HR_Data[[#This Row],[YearsAtCompany]]&lt;=10,"6-10 Years","10+ Years")))</f>
        <v>6-10 Years</v>
      </c>
      <c r="AO1127" s="1" t="str">
        <f>IF(HR_Data[[#This Row],[JobSatisfaction]]=1,"Low",IF(HR_Data[[#This Row],[JobSatisfaction]]=2,"Medium",IF(HR_Data[[#This Row],[JobSatisfaction]]=3,"High","Very High")))</f>
        <v>Very High</v>
      </c>
      <c r="AP1127" s="1" t="str">
        <f>IF(HR_Data[[#This Row],[WorkLifeBalance]]=1,"Bad",IF(HR_Data[[#This Row],[WorkLifeBalance]]=2,"Good",IF(HR_Data[[#This Row],[WorkLifeBalance]]=3,"Better","Best")))</f>
        <v>Best</v>
      </c>
    </row>
    <row r="1128" spans="1:42" x14ac:dyDescent="0.3">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c r="AJ1128">
        <f>IF(HR_Data[[#This Row],[Attrition]]="Yes",1,0)</f>
        <v>0</v>
      </c>
      <c r="AK1128">
        <f>IF(HR_Data[[#This Row],[Attrition]]="No",1,0)</f>
        <v>1</v>
      </c>
      <c r="AL1128" t="str">
        <f>IF(HR_Data[[#This Row],[Age]]&lt;25,"Under 25",IF(HR_Data[[#This Row],[Age]]&lt;=34,"25-34",IF(HR_Data[[#This Row],[Age]]&lt;=44,"35-44",IF(HR_Data[[#This Row],[Age]]&lt;=54,"45-54","55+"))))</f>
        <v>45-54</v>
      </c>
      <c r="AM1128" s="1" t="str">
        <f>IF(HR_Data[[#This Row],[MonthlyIncome]]&lt;3000,"Low Salary",IF(HR_Data[[#This Row],[MonthlyIncome]]&lt;=7000,"Medium Salary","High Salary"))</f>
        <v>High Salary</v>
      </c>
      <c r="AN1128" s="1" t="str">
        <f>IF(HR_Data[[#This Row],[YearsAtCompany]]&lt;2,"0-1 Years",IF(HR_Data[[#This Row],[YearsAtCompany]]&lt;=5,"2-5 Years",IF(HR_Data[[#This Row],[YearsAtCompany]]&lt;=10,"6-10 Years","10+ Years")))</f>
        <v>0-1 Years</v>
      </c>
      <c r="AO1128" s="1" t="str">
        <f>IF(HR_Data[[#This Row],[JobSatisfaction]]=1,"Low",IF(HR_Data[[#This Row],[JobSatisfaction]]=2,"Medium",IF(HR_Data[[#This Row],[JobSatisfaction]]=3,"High","Very High")))</f>
        <v>High</v>
      </c>
      <c r="AP1128" s="1" t="str">
        <f>IF(HR_Data[[#This Row],[WorkLifeBalance]]=1,"Bad",IF(HR_Data[[#This Row],[WorkLifeBalance]]=2,"Good",IF(HR_Data[[#This Row],[WorkLifeBalance]]=3,"Better","Best")))</f>
        <v>Better</v>
      </c>
    </row>
    <row r="1129" spans="1:42" x14ac:dyDescent="0.3">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c r="AJ1129">
        <f>IF(HR_Data[[#This Row],[Attrition]]="Yes",1,0)</f>
        <v>0</v>
      </c>
      <c r="AK1129">
        <f>IF(HR_Data[[#This Row],[Attrition]]="No",1,0)</f>
        <v>1</v>
      </c>
      <c r="AL1129" t="str">
        <f>IF(HR_Data[[#This Row],[Age]]&lt;25,"Under 25",IF(HR_Data[[#This Row],[Age]]&lt;=34,"25-34",IF(HR_Data[[#This Row],[Age]]&lt;=44,"35-44",IF(HR_Data[[#This Row],[Age]]&lt;=54,"45-54","55+"))))</f>
        <v>Under 25</v>
      </c>
      <c r="AM1129" s="1" t="str">
        <f>IF(HR_Data[[#This Row],[MonthlyIncome]]&lt;3000,"Low Salary",IF(HR_Data[[#This Row],[MonthlyIncome]]&lt;=7000,"Medium Salary","High Salary"))</f>
        <v>Low Salary</v>
      </c>
      <c r="AN1129" s="1" t="str">
        <f>IF(HR_Data[[#This Row],[YearsAtCompany]]&lt;2,"0-1 Years",IF(HR_Data[[#This Row],[YearsAtCompany]]&lt;=5,"2-5 Years",IF(HR_Data[[#This Row],[YearsAtCompany]]&lt;=10,"6-10 Years","10+ Years")))</f>
        <v>2-5 Years</v>
      </c>
      <c r="AO1129" s="1" t="str">
        <f>IF(HR_Data[[#This Row],[JobSatisfaction]]=1,"Low",IF(HR_Data[[#This Row],[JobSatisfaction]]=2,"Medium",IF(HR_Data[[#This Row],[JobSatisfaction]]=3,"High","Very High")))</f>
        <v>High</v>
      </c>
      <c r="AP1129" s="1" t="str">
        <f>IF(HR_Data[[#This Row],[WorkLifeBalance]]=1,"Bad",IF(HR_Data[[#This Row],[WorkLifeBalance]]=2,"Good",IF(HR_Data[[#This Row],[WorkLifeBalance]]=3,"Better","Best")))</f>
        <v>Better</v>
      </c>
    </row>
    <row r="1130" spans="1:42" x14ac:dyDescent="0.3">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c r="AJ1130">
        <f>IF(HR_Data[[#This Row],[Attrition]]="Yes",1,0)</f>
        <v>0</v>
      </c>
      <c r="AK1130">
        <f>IF(HR_Data[[#This Row],[Attrition]]="No",1,0)</f>
        <v>1</v>
      </c>
      <c r="AL1130" t="str">
        <f>IF(HR_Data[[#This Row],[Age]]&lt;25,"Under 25",IF(HR_Data[[#This Row],[Age]]&lt;=34,"25-34",IF(HR_Data[[#This Row],[Age]]&lt;=44,"35-44",IF(HR_Data[[#This Row],[Age]]&lt;=54,"45-54","55+"))))</f>
        <v>35-44</v>
      </c>
      <c r="AM1130" s="1" t="str">
        <f>IF(HR_Data[[#This Row],[MonthlyIncome]]&lt;3000,"Low Salary",IF(HR_Data[[#This Row],[MonthlyIncome]]&lt;=7000,"Medium Salary","High Salary"))</f>
        <v>Medium Salary</v>
      </c>
      <c r="AN1130" s="1" t="str">
        <f>IF(HR_Data[[#This Row],[YearsAtCompany]]&lt;2,"0-1 Years",IF(HR_Data[[#This Row],[YearsAtCompany]]&lt;=5,"2-5 Years",IF(HR_Data[[#This Row],[YearsAtCompany]]&lt;=10,"6-10 Years","10+ Years")))</f>
        <v>2-5 Years</v>
      </c>
      <c r="AO1130" s="1" t="str">
        <f>IF(HR_Data[[#This Row],[JobSatisfaction]]=1,"Low",IF(HR_Data[[#This Row],[JobSatisfaction]]=2,"Medium",IF(HR_Data[[#This Row],[JobSatisfaction]]=3,"High","Very High")))</f>
        <v>Low</v>
      </c>
      <c r="AP1130" s="1" t="str">
        <f>IF(HR_Data[[#This Row],[WorkLifeBalance]]=1,"Bad",IF(HR_Data[[#This Row],[WorkLifeBalance]]=2,"Good",IF(HR_Data[[#This Row],[WorkLifeBalance]]=3,"Better","Best")))</f>
        <v>Better</v>
      </c>
    </row>
    <row r="1131" spans="1:42" x14ac:dyDescent="0.3">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c r="AJ1131">
        <f>IF(HR_Data[[#This Row],[Attrition]]="Yes",1,0)</f>
        <v>0</v>
      </c>
      <c r="AK1131">
        <f>IF(HR_Data[[#This Row],[Attrition]]="No",1,0)</f>
        <v>1</v>
      </c>
      <c r="AL1131" t="str">
        <f>IF(HR_Data[[#This Row],[Age]]&lt;25,"Under 25",IF(HR_Data[[#This Row],[Age]]&lt;=34,"25-34",IF(HR_Data[[#This Row],[Age]]&lt;=44,"35-44",IF(HR_Data[[#This Row],[Age]]&lt;=54,"45-54","55+"))))</f>
        <v>35-44</v>
      </c>
      <c r="AM1131" s="1" t="str">
        <f>IF(HR_Data[[#This Row],[MonthlyIncome]]&lt;3000,"Low Salary",IF(HR_Data[[#This Row],[MonthlyIncome]]&lt;=7000,"Medium Salary","High Salary"))</f>
        <v>High Salary</v>
      </c>
      <c r="AN1131" s="1" t="str">
        <f>IF(HR_Data[[#This Row],[YearsAtCompany]]&lt;2,"0-1 Years",IF(HR_Data[[#This Row],[YearsAtCompany]]&lt;=5,"2-5 Years",IF(HR_Data[[#This Row],[YearsAtCompany]]&lt;=10,"6-10 Years","10+ Years")))</f>
        <v>0-1 Years</v>
      </c>
      <c r="AO1131" s="1" t="str">
        <f>IF(HR_Data[[#This Row],[JobSatisfaction]]=1,"Low",IF(HR_Data[[#This Row],[JobSatisfaction]]=2,"Medium",IF(HR_Data[[#This Row],[JobSatisfaction]]=3,"High","Very High")))</f>
        <v>Very High</v>
      </c>
      <c r="AP1131" s="1" t="str">
        <f>IF(HR_Data[[#This Row],[WorkLifeBalance]]=1,"Bad",IF(HR_Data[[#This Row],[WorkLifeBalance]]=2,"Good",IF(HR_Data[[#This Row],[WorkLifeBalance]]=3,"Better","Best")))</f>
        <v>Better</v>
      </c>
    </row>
    <row r="1132" spans="1:42" x14ac:dyDescent="0.3">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c r="AJ1132">
        <f>IF(HR_Data[[#This Row],[Attrition]]="Yes",1,0)</f>
        <v>0</v>
      </c>
      <c r="AK1132">
        <f>IF(HR_Data[[#This Row],[Attrition]]="No",1,0)</f>
        <v>1</v>
      </c>
      <c r="AL1132" t="str">
        <f>IF(HR_Data[[#This Row],[Age]]&lt;25,"Under 25",IF(HR_Data[[#This Row],[Age]]&lt;=34,"25-34",IF(HR_Data[[#This Row],[Age]]&lt;=44,"35-44",IF(HR_Data[[#This Row],[Age]]&lt;=54,"45-54","55+"))))</f>
        <v>35-44</v>
      </c>
      <c r="AM1132" s="1" t="str">
        <f>IF(HR_Data[[#This Row],[MonthlyIncome]]&lt;3000,"Low Salary",IF(HR_Data[[#This Row],[MonthlyIncome]]&lt;=7000,"Medium Salary","High Salary"))</f>
        <v>Medium Salary</v>
      </c>
      <c r="AN1132" s="1" t="str">
        <f>IF(HR_Data[[#This Row],[YearsAtCompany]]&lt;2,"0-1 Years",IF(HR_Data[[#This Row],[YearsAtCompany]]&lt;=5,"2-5 Years",IF(HR_Data[[#This Row],[YearsAtCompany]]&lt;=10,"6-10 Years","10+ Years")))</f>
        <v>6-10 Years</v>
      </c>
      <c r="AO1132" s="1" t="str">
        <f>IF(HR_Data[[#This Row],[JobSatisfaction]]=1,"Low",IF(HR_Data[[#This Row],[JobSatisfaction]]=2,"Medium",IF(HR_Data[[#This Row],[JobSatisfaction]]=3,"High","Very High")))</f>
        <v>High</v>
      </c>
      <c r="AP1132" s="1" t="str">
        <f>IF(HR_Data[[#This Row],[WorkLifeBalance]]=1,"Bad",IF(HR_Data[[#This Row],[WorkLifeBalance]]=2,"Good",IF(HR_Data[[#This Row],[WorkLifeBalance]]=3,"Better","Best")))</f>
        <v>Good</v>
      </c>
    </row>
    <row r="1133" spans="1:42" x14ac:dyDescent="0.3">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c r="AJ1133">
        <f>IF(HR_Data[[#This Row],[Attrition]]="Yes",1,0)</f>
        <v>0</v>
      </c>
      <c r="AK1133">
        <f>IF(HR_Data[[#This Row],[Attrition]]="No",1,0)</f>
        <v>1</v>
      </c>
      <c r="AL1133" t="str">
        <f>IF(HR_Data[[#This Row],[Age]]&lt;25,"Under 25",IF(HR_Data[[#This Row],[Age]]&lt;=34,"25-34",IF(HR_Data[[#This Row],[Age]]&lt;=44,"35-44",IF(HR_Data[[#This Row],[Age]]&lt;=54,"45-54","55+"))))</f>
        <v>25-34</v>
      </c>
      <c r="AM1133" s="1" t="str">
        <f>IF(HR_Data[[#This Row],[MonthlyIncome]]&lt;3000,"Low Salary",IF(HR_Data[[#This Row],[MonthlyIncome]]&lt;=7000,"Medium Salary","High Salary"))</f>
        <v>Medium Salary</v>
      </c>
      <c r="AN1133" s="1" t="str">
        <f>IF(HR_Data[[#This Row],[YearsAtCompany]]&lt;2,"0-1 Years",IF(HR_Data[[#This Row],[YearsAtCompany]]&lt;=5,"2-5 Years",IF(HR_Data[[#This Row],[YearsAtCompany]]&lt;=10,"6-10 Years","10+ Years")))</f>
        <v>6-10 Years</v>
      </c>
      <c r="AO1133" s="1" t="str">
        <f>IF(HR_Data[[#This Row],[JobSatisfaction]]=1,"Low",IF(HR_Data[[#This Row],[JobSatisfaction]]=2,"Medium",IF(HR_Data[[#This Row],[JobSatisfaction]]=3,"High","Very High")))</f>
        <v>High</v>
      </c>
      <c r="AP1133" s="1" t="str">
        <f>IF(HR_Data[[#This Row],[WorkLifeBalance]]=1,"Bad",IF(HR_Data[[#This Row],[WorkLifeBalance]]=2,"Good",IF(HR_Data[[#This Row],[WorkLifeBalance]]=3,"Better","Best")))</f>
        <v>Good</v>
      </c>
    </row>
    <row r="1134" spans="1:42" x14ac:dyDescent="0.3">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c r="AJ1134">
        <f>IF(HR_Data[[#This Row],[Attrition]]="Yes",1,0)</f>
        <v>0</v>
      </c>
      <c r="AK1134">
        <f>IF(HR_Data[[#This Row],[Attrition]]="No",1,0)</f>
        <v>1</v>
      </c>
      <c r="AL1134" t="str">
        <f>IF(HR_Data[[#This Row],[Age]]&lt;25,"Under 25",IF(HR_Data[[#This Row],[Age]]&lt;=34,"25-34",IF(HR_Data[[#This Row],[Age]]&lt;=44,"35-44",IF(HR_Data[[#This Row],[Age]]&lt;=54,"45-54","55+"))))</f>
        <v>35-44</v>
      </c>
      <c r="AM1134" s="1" t="str">
        <f>IF(HR_Data[[#This Row],[MonthlyIncome]]&lt;3000,"Low Salary",IF(HR_Data[[#This Row],[MonthlyIncome]]&lt;=7000,"Medium Salary","High Salary"))</f>
        <v>Medium Salary</v>
      </c>
      <c r="AN1134" s="1" t="str">
        <f>IF(HR_Data[[#This Row],[YearsAtCompany]]&lt;2,"0-1 Years",IF(HR_Data[[#This Row],[YearsAtCompany]]&lt;=5,"2-5 Years",IF(HR_Data[[#This Row],[YearsAtCompany]]&lt;=10,"6-10 Years","10+ Years")))</f>
        <v>2-5 Years</v>
      </c>
      <c r="AO1134" s="1" t="str">
        <f>IF(HR_Data[[#This Row],[JobSatisfaction]]=1,"Low",IF(HR_Data[[#This Row],[JobSatisfaction]]=2,"Medium",IF(HR_Data[[#This Row],[JobSatisfaction]]=3,"High","Very High")))</f>
        <v>Low</v>
      </c>
      <c r="AP1134" s="1" t="str">
        <f>IF(HR_Data[[#This Row],[WorkLifeBalance]]=1,"Bad",IF(HR_Data[[#This Row],[WorkLifeBalance]]=2,"Good",IF(HR_Data[[#This Row],[WorkLifeBalance]]=3,"Better","Best")))</f>
        <v>Better</v>
      </c>
    </row>
    <row r="1135" spans="1:42" x14ac:dyDescent="0.3">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c r="AJ1135">
        <f>IF(HR_Data[[#This Row],[Attrition]]="Yes",1,0)</f>
        <v>0</v>
      </c>
      <c r="AK1135">
        <f>IF(HR_Data[[#This Row],[Attrition]]="No",1,0)</f>
        <v>1</v>
      </c>
      <c r="AL1135" t="str">
        <f>IF(HR_Data[[#This Row],[Age]]&lt;25,"Under 25",IF(HR_Data[[#This Row],[Age]]&lt;=34,"25-34",IF(HR_Data[[#This Row],[Age]]&lt;=44,"35-44",IF(HR_Data[[#This Row],[Age]]&lt;=54,"45-54","55+"))))</f>
        <v>35-44</v>
      </c>
      <c r="AM1135" s="1" t="str">
        <f>IF(HR_Data[[#This Row],[MonthlyIncome]]&lt;3000,"Low Salary",IF(HR_Data[[#This Row],[MonthlyIncome]]&lt;=7000,"Medium Salary","High Salary"))</f>
        <v>Medium Salary</v>
      </c>
      <c r="AN1135" s="1" t="str">
        <f>IF(HR_Data[[#This Row],[YearsAtCompany]]&lt;2,"0-1 Years",IF(HR_Data[[#This Row],[YearsAtCompany]]&lt;=5,"2-5 Years",IF(HR_Data[[#This Row],[YearsAtCompany]]&lt;=10,"6-10 Years","10+ Years")))</f>
        <v>6-10 Years</v>
      </c>
      <c r="AO1135" s="1" t="str">
        <f>IF(HR_Data[[#This Row],[JobSatisfaction]]=1,"Low",IF(HR_Data[[#This Row],[JobSatisfaction]]=2,"Medium",IF(HR_Data[[#This Row],[JobSatisfaction]]=3,"High","Very High")))</f>
        <v>Medium</v>
      </c>
      <c r="AP1135" s="1" t="str">
        <f>IF(HR_Data[[#This Row],[WorkLifeBalance]]=1,"Bad",IF(HR_Data[[#This Row],[WorkLifeBalance]]=2,"Good",IF(HR_Data[[#This Row],[WorkLifeBalance]]=3,"Better","Best")))</f>
        <v>Better</v>
      </c>
    </row>
    <row r="1136" spans="1:42" x14ac:dyDescent="0.3">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c r="AJ1136">
        <f>IF(HR_Data[[#This Row],[Attrition]]="Yes",1,0)</f>
        <v>0</v>
      </c>
      <c r="AK1136">
        <f>IF(HR_Data[[#This Row],[Attrition]]="No",1,0)</f>
        <v>1</v>
      </c>
      <c r="AL1136" t="str">
        <f>IF(HR_Data[[#This Row],[Age]]&lt;25,"Under 25",IF(HR_Data[[#This Row],[Age]]&lt;=34,"25-34",IF(HR_Data[[#This Row],[Age]]&lt;=44,"35-44",IF(HR_Data[[#This Row],[Age]]&lt;=54,"45-54","55+"))))</f>
        <v>35-44</v>
      </c>
      <c r="AM1136" s="1" t="str">
        <f>IF(HR_Data[[#This Row],[MonthlyIncome]]&lt;3000,"Low Salary",IF(HR_Data[[#This Row],[MonthlyIncome]]&lt;=7000,"Medium Salary","High Salary"))</f>
        <v>Low Salary</v>
      </c>
      <c r="AN1136" s="1" t="str">
        <f>IF(HR_Data[[#This Row],[YearsAtCompany]]&lt;2,"0-1 Years",IF(HR_Data[[#This Row],[YearsAtCompany]]&lt;=5,"2-5 Years",IF(HR_Data[[#This Row],[YearsAtCompany]]&lt;=10,"6-10 Years","10+ Years")))</f>
        <v>0-1 Years</v>
      </c>
      <c r="AO1136" s="1" t="str">
        <f>IF(HR_Data[[#This Row],[JobSatisfaction]]=1,"Low",IF(HR_Data[[#This Row],[JobSatisfaction]]=2,"Medium",IF(HR_Data[[#This Row],[JobSatisfaction]]=3,"High","Very High")))</f>
        <v>Very High</v>
      </c>
      <c r="AP1136" s="1" t="str">
        <f>IF(HR_Data[[#This Row],[WorkLifeBalance]]=1,"Bad",IF(HR_Data[[#This Row],[WorkLifeBalance]]=2,"Good",IF(HR_Data[[#This Row],[WorkLifeBalance]]=3,"Better","Best")))</f>
        <v>Good</v>
      </c>
    </row>
    <row r="1137" spans="1:42" x14ac:dyDescent="0.3">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c r="AJ1137">
        <f>IF(HR_Data[[#This Row],[Attrition]]="Yes",1,0)</f>
        <v>0</v>
      </c>
      <c r="AK1137">
        <f>IF(HR_Data[[#This Row],[Attrition]]="No",1,0)</f>
        <v>1</v>
      </c>
      <c r="AL1137" t="str">
        <f>IF(HR_Data[[#This Row],[Age]]&lt;25,"Under 25",IF(HR_Data[[#This Row],[Age]]&lt;=34,"25-34",IF(HR_Data[[#This Row],[Age]]&lt;=44,"35-44",IF(HR_Data[[#This Row],[Age]]&lt;=54,"45-54","55+"))))</f>
        <v>45-54</v>
      </c>
      <c r="AM1137" s="1" t="str">
        <f>IF(HR_Data[[#This Row],[MonthlyIncome]]&lt;3000,"Low Salary",IF(HR_Data[[#This Row],[MonthlyIncome]]&lt;=7000,"Medium Salary","High Salary"))</f>
        <v>High Salary</v>
      </c>
      <c r="AN1137" s="1" t="str">
        <f>IF(HR_Data[[#This Row],[YearsAtCompany]]&lt;2,"0-1 Years",IF(HR_Data[[#This Row],[YearsAtCompany]]&lt;=5,"2-5 Years",IF(HR_Data[[#This Row],[YearsAtCompany]]&lt;=10,"6-10 Years","10+ Years")))</f>
        <v>10+ Years</v>
      </c>
      <c r="AO1137" s="1" t="str">
        <f>IF(HR_Data[[#This Row],[JobSatisfaction]]=1,"Low",IF(HR_Data[[#This Row],[JobSatisfaction]]=2,"Medium",IF(HR_Data[[#This Row],[JobSatisfaction]]=3,"High","Very High")))</f>
        <v>Low</v>
      </c>
      <c r="AP1137" s="1" t="str">
        <f>IF(HR_Data[[#This Row],[WorkLifeBalance]]=1,"Bad",IF(HR_Data[[#This Row],[WorkLifeBalance]]=2,"Good",IF(HR_Data[[#This Row],[WorkLifeBalance]]=3,"Better","Best")))</f>
        <v>Bad</v>
      </c>
    </row>
    <row r="1138" spans="1:42" x14ac:dyDescent="0.3">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c r="AJ1138">
        <f>IF(HR_Data[[#This Row],[Attrition]]="Yes",1,0)</f>
        <v>1</v>
      </c>
      <c r="AK1138">
        <f>IF(HR_Data[[#This Row],[Attrition]]="No",1,0)</f>
        <v>0</v>
      </c>
      <c r="AL1138" t="str">
        <f>IF(HR_Data[[#This Row],[Age]]&lt;25,"Under 25",IF(HR_Data[[#This Row],[Age]]&lt;=34,"25-34",IF(HR_Data[[#This Row],[Age]]&lt;=44,"35-44",IF(HR_Data[[#This Row],[Age]]&lt;=54,"45-54","55+"))))</f>
        <v>25-34</v>
      </c>
      <c r="AM1138" s="1" t="str">
        <f>IF(HR_Data[[#This Row],[MonthlyIncome]]&lt;3000,"Low Salary",IF(HR_Data[[#This Row],[MonthlyIncome]]&lt;=7000,"Medium Salary","High Salary"))</f>
        <v>Low Salary</v>
      </c>
      <c r="AN1138" s="1" t="str">
        <f>IF(HR_Data[[#This Row],[YearsAtCompany]]&lt;2,"0-1 Years",IF(HR_Data[[#This Row],[YearsAtCompany]]&lt;=5,"2-5 Years",IF(HR_Data[[#This Row],[YearsAtCompany]]&lt;=10,"6-10 Years","10+ Years")))</f>
        <v>0-1 Years</v>
      </c>
      <c r="AO1138" s="1" t="str">
        <f>IF(HR_Data[[#This Row],[JobSatisfaction]]=1,"Low",IF(HR_Data[[#This Row],[JobSatisfaction]]=2,"Medium",IF(HR_Data[[#This Row],[JobSatisfaction]]=3,"High","Very High")))</f>
        <v>Medium</v>
      </c>
      <c r="AP1138" s="1" t="str">
        <f>IF(HR_Data[[#This Row],[WorkLifeBalance]]=1,"Bad",IF(HR_Data[[#This Row],[WorkLifeBalance]]=2,"Good",IF(HR_Data[[#This Row],[WorkLifeBalance]]=3,"Better","Best")))</f>
        <v>Better</v>
      </c>
    </row>
    <row r="1139" spans="1:42" x14ac:dyDescent="0.3">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c r="AJ1139">
        <f>IF(HR_Data[[#This Row],[Attrition]]="Yes",1,0)</f>
        <v>0</v>
      </c>
      <c r="AK1139">
        <f>IF(HR_Data[[#This Row],[Attrition]]="No",1,0)</f>
        <v>1</v>
      </c>
      <c r="AL1139" t="str">
        <f>IF(HR_Data[[#This Row],[Age]]&lt;25,"Under 25",IF(HR_Data[[#This Row],[Age]]&lt;=34,"25-34",IF(HR_Data[[#This Row],[Age]]&lt;=44,"35-44",IF(HR_Data[[#This Row],[Age]]&lt;=54,"45-54","55+"))))</f>
        <v>Under 25</v>
      </c>
      <c r="AM1139" s="1" t="str">
        <f>IF(HR_Data[[#This Row],[MonthlyIncome]]&lt;3000,"Low Salary",IF(HR_Data[[#This Row],[MonthlyIncome]]&lt;=7000,"Medium Salary","High Salary"))</f>
        <v>Low Salary</v>
      </c>
      <c r="AN1139" s="1" t="str">
        <f>IF(HR_Data[[#This Row],[YearsAtCompany]]&lt;2,"0-1 Years",IF(HR_Data[[#This Row],[YearsAtCompany]]&lt;=5,"2-5 Years",IF(HR_Data[[#This Row],[YearsAtCompany]]&lt;=10,"6-10 Years","10+ Years")))</f>
        <v>2-5 Years</v>
      </c>
      <c r="AO1139" s="1" t="str">
        <f>IF(HR_Data[[#This Row],[JobSatisfaction]]=1,"Low",IF(HR_Data[[#This Row],[JobSatisfaction]]=2,"Medium",IF(HR_Data[[#This Row],[JobSatisfaction]]=3,"High","Very High")))</f>
        <v>High</v>
      </c>
      <c r="AP1139" s="1" t="str">
        <f>IF(HR_Data[[#This Row],[WorkLifeBalance]]=1,"Bad",IF(HR_Data[[#This Row],[WorkLifeBalance]]=2,"Good",IF(HR_Data[[#This Row],[WorkLifeBalance]]=3,"Better","Best")))</f>
        <v>Good</v>
      </c>
    </row>
    <row r="1140" spans="1:42" x14ac:dyDescent="0.3">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c r="AJ1140">
        <f>IF(HR_Data[[#This Row],[Attrition]]="Yes",1,0)</f>
        <v>0</v>
      </c>
      <c r="AK1140">
        <f>IF(HR_Data[[#This Row],[Attrition]]="No",1,0)</f>
        <v>1</v>
      </c>
      <c r="AL1140" t="str">
        <f>IF(HR_Data[[#This Row],[Age]]&lt;25,"Under 25",IF(HR_Data[[#This Row],[Age]]&lt;=34,"25-34",IF(HR_Data[[#This Row],[Age]]&lt;=44,"35-44",IF(HR_Data[[#This Row],[Age]]&lt;=54,"45-54","55+"))))</f>
        <v>45-54</v>
      </c>
      <c r="AM1140" s="1" t="str">
        <f>IF(HR_Data[[#This Row],[MonthlyIncome]]&lt;3000,"Low Salary",IF(HR_Data[[#This Row],[MonthlyIncome]]&lt;=7000,"Medium Salary","High Salary"))</f>
        <v>High Salary</v>
      </c>
      <c r="AN1140" s="1" t="str">
        <f>IF(HR_Data[[#This Row],[YearsAtCompany]]&lt;2,"0-1 Years",IF(HR_Data[[#This Row],[YearsAtCompany]]&lt;=5,"2-5 Years",IF(HR_Data[[#This Row],[YearsAtCompany]]&lt;=10,"6-10 Years","10+ Years")))</f>
        <v>10+ Years</v>
      </c>
      <c r="AO1140" s="1" t="str">
        <f>IF(HR_Data[[#This Row],[JobSatisfaction]]=1,"Low",IF(HR_Data[[#This Row],[JobSatisfaction]]=2,"Medium",IF(HR_Data[[#This Row],[JobSatisfaction]]=3,"High","Very High")))</f>
        <v>High</v>
      </c>
      <c r="AP1140" s="1" t="str">
        <f>IF(HR_Data[[#This Row],[WorkLifeBalance]]=1,"Bad",IF(HR_Data[[#This Row],[WorkLifeBalance]]=2,"Good",IF(HR_Data[[#This Row],[WorkLifeBalance]]=3,"Better","Best")))</f>
        <v>Better</v>
      </c>
    </row>
    <row r="1141" spans="1:42" x14ac:dyDescent="0.3">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c r="AJ1141">
        <f>IF(HR_Data[[#This Row],[Attrition]]="Yes",1,0)</f>
        <v>0</v>
      </c>
      <c r="AK1141">
        <f>IF(HR_Data[[#This Row],[Attrition]]="No",1,0)</f>
        <v>1</v>
      </c>
      <c r="AL1141" t="str">
        <f>IF(HR_Data[[#This Row],[Age]]&lt;25,"Under 25",IF(HR_Data[[#This Row],[Age]]&lt;=34,"25-34",IF(HR_Data[[#This Row],[Age]]&lt;=44,"35-44",IF(HR_Data[[#This Row],[Age]]&lt;=54,"45-54","55+"))))</f>
        <v>25-34</v>
      </c>
      <c r="AM1141" s="1" t="str">
        <f>IF(HR_Data[[#This Row],[MonthlyIncome]]&lt;3000,"Low Salary",IF(HR_Data[[#This Row],[MonthlyIncome]]&lt;=7000,"Medium Salary","High Salary"))</f>
        <v>Medium Salary</v>
      </c>
      <c r="AN1141" s="1" t="str">
        <f>IF(HR_Data[[#This Row],[YearsAtCompany]]&lt;2,"0-1 Years",IF(HR_Data[[#This Row],[YearsAtCompany]]&lt;=5,"2-5 Years",IF(HR_Data[[#This Row],[YearsAtCompany]]&lt;=10,"6-10 Years","10+ Years")))</f>
        <v>2-5 Years</v>
      </c>
      <c r="AO1141" s="1" t="str">
        <f>IF(HR_Data[[#This Row],[JobSatisfaction]]=1,"Low",IF(HR_Data[[#This Row],[JobSatisfaction]]=2,"Medium",IF(HR_Data[[#This Row],[JobSatisfaction]]=3,"High","Very High")))</f>
        <v>Very High</v>
      </c>
      <c r="AP1141" s="1" t="str">
        <f>IF(HR_Data[[#This Row],[WorkLifeBalance]]=1,"Bad",IF(HR_Data[[#This Row],[WorkLifeBalance]]=2,"Good",IF(HR_Data[[#This Row],[WorkLifeBalance]]=3,"Better","Best")))</f>
        <v>Better</v>
      </c>
    </row>
    <row r="1142" spans="1:42" x14ac:dyDescent="0.3">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c r="AJ1142">
        <f>IF(HR_Data[[#This Row],[Attrition]]="Yes",1,0)</f>
        <v>0</v>
      </c>
      <c r="AK1142">
        <f>IF(HR_Data[[#This Row],[Attrition]]="No",1,0)</f>
        <v>1</v>
      </c>
      <c r="AL1142" t="str">
        <f>IF(HR_Data[[#This Row],[Age]]&lt;25,"Under 25",IF(HR_Data[[#This Row],[Age]]&lt;=34,"25-34",IF(HR_Data[[#This Row],[Age]]&lt;=44,"35-44",IF(HR_Data[[#This Row],[Age]]&lt;=54,"45-54","55+"))))</f>
        <v>35-44</v>
      </c>
      <c r="AM1142" s="1" t="str">
        <f>IF(HR_Data[[#This Row],[MonthlyIncome]]&lt;3000,"Low Salary",IF(HR_Data[[#This Row],[MonthlyIncome]]&lt;=7000,"Medium Salary","High Salary"))</f>
        <v>High Salary</v>
      </c>
      <c r="AN1142" s="1" t="str">
        <f>IF(HR_Data[[#This Row],[YearsAtCompany]]&lt;2,"0-1 Years",IF(HR_Data[[#This Row],[YearsAtCompany]]&lt;=5,"2-5 Years",IF(HR_Data[[#This Row],[YearsAtCompany]]&lt;=10,"6-10 Years","10+ Years")))</f>
        <v>10+ Years</v>
      </c>
      <c r="AO1142" s="1" t="str">
        <f>IF(HR_Data[[#This Row],[JobSatisfaction]]=1,"Low",IF(HR_Data[[#This Row],[JobSatisfaction]]=2,"Medium",IF(HR_Data[[#This Row],[JobSatisfaction]]=3,"High","Very High")))</f>
        <v>Very High</v>
      </c>
      <c r="AP1142" s="1" t="str">
        <f>IF(HR_Data[[#This Row],[WorkLifeBalance]]=1,"Bad",IF(HR_Data[[#This Row],[WorkLifeBalance]]=2,"Good",IF(HR_Data[[#This Row],[WorkLifeBalance]]=3,"Better","Best")))</f>
        <v>Good</v>
      </c>
    </row>
    <row r="1143" spans="1:42" x14ac:dyDescent="0.3">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c r="AJ1143">
        <f>IF(HR_Data[[#This Row],[Attrition]]="Yes",1,0)</f>
        <v>0</v>
      </c>
      <c r="AK1143">
        <f>IF(HR_Data[[#This Row],[Attrition]]="No",1,0)</f>
        <v>1</v>
      </c>
      <c r="AL1143" t="str">
        <f>IF(HR_Data[[#This Row],[Age]]&lt;25,"Under 25",IF(HR_Data[[#This Row],[Age]]&lt;=34,"25-34",IF(HR_Data[[#This Row],[Age]]&lt;=44,"35-44",IF(HR_Data[[#This Row],[Age]]&lt;=54,"45-54","55+"))))</f>
        <v>25-34</v>
      </c>
      <c r="AM1143" s="1" t="str">
        <f>IF(HR_Data[[#This Row],[MonthlyIncome]]&lt;3000,"Low Salary",IF(HR_Data[[#This Row],[MonthlyIncome]]&lt;=7000,"Medium Salary","High Salary"))</f>
        <v>Low Salary</v>
      </c>
      <c r="AN1143" s="1" t="str">
        <f>IF(HR_Data[[#This Row],[YearsAtCompany]]&lt;2,"0-1 Years",IF(HR_Data[[#This Row],[YearsAtCompany]]&lt;=5,"2-5 Years",IF(HR_Data[[#This Row],[YearsAtCompany]]&lt;=10,"6-10 Years","10+ Years")))</f>
        <v>6-10 Years</v>
      </c>
      <c r="AO1143" s="1" t="str">
        <f>IF(HR_Data[[#This Row],[JobSatisfaction]]=1,"Low",IF(HR_Data[[#This Row],[JobSatisfaction]]=2,"Medium",IF(HR_Data[[#This Row],[JobSatisfaction]]=3,"High","Very High")))</f>
        <v>Medium</v>
      </c>
      <c r="AP1143" s="1" t="str">
        <f>IF(HR_Data[[#This Row],[WorkLifeBalance]]=1,"Bad",IF(HR_Data[[#This Row],[WorkLifeBalance]]=2,"Good",IF(HR_Data[[#This Row],[WorkLifeBalance]]=3,"Better","Best")))</f>
        <v>Good</v>
      </c>
    </row>
    <row r="1144" spans="1:42" x14ac:dyDescent="0.3">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c r="AJ1144">
        <f>IF(HR_Data[[#This Row],[Attrition]]="Yes",1,0)</f>
        <v>0</v>
      </c>
      <c r="AK1144">
        <f>IF(HR_Data[[#This Row],[Attrition]]="No",1,0)</f>
        <v>1</v>
      </c>
      <c r="AL1144" t="str">
        <f>IF(HR_Data[[#This Row],[Age]]&lt;25,"Under 25",IF(HR_Data[[#This Row],[Age]]&lt;=34,"25-34",IF(HR_Data[[#This Row],[Age]]&lt;=44,"35-44",IF(HR_Data[[#This Row],[Age]]&lt;=54,"45-54","55+"))))</f>
        <v>45-54</v>
      </c>
      <c r="AM1144" s="1" t="str">
        <f>IF(HR_Data[[#This Row],[MonthlyIncome]]&lt;3000,"Low Salary",IF(HR_Data[[#This Row],[MonthlyIncome]]&lt;=7000,"Medium Salary","High Salary"))</f>
        <v>Medium Salary</v>
      </c>
      <c r="AN1144" s="1" t="str">
        <f>IF(HR_Data[[#This Row],[YearsAtCompany]]&lt;2,"0-1 Years",IF(HR_Data[[#This Row],[YearsAtCompany]]&lt;=5,"2-5 Years",IF(HR_Data[[#This Row],[YearsAtCompany]]&lt;=10,"6-10 Years","10+ Years")))</f>
        <v>6-10 Years</v>
      </c>
      <c r="AO1144" s="1" t="str">
        <f>IF(HR_Data[[#This Row],[JobSatisfaction]]=1,"Low",IF(HR_Data[[#This Row],[JobSatisfaction]]=2,"Medium",IF(HR_Data[[#This Row],[JobSatisfaction]]=3,"High","Very High")))</f>
        <v>Low</v>
      </c>
      <c r="AP1144" s="1" t="str">
        <f>IF(HR_Data[[#This Row],[WorkLifeBalance]]=1,"Bad",IF(HR_Data[[#This Row],[WorkLifeBalance]]=2,"Good",IF(HR_Data[[#This Row],[WorkLifeBalance]]=3,"Better","Best")))</f>
        <v>Better</v>
      </c>
    </row>
    <row r="1145" spans="1:42" x14ac:dyDescent="0.3">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c r="AJ1145">
        <f>IF(HR_Data[[#This Row],[Attrition]]="Yes",1,0)</f>
        <v>0</v>
      </c>
      <c r="AK1145">
        <f>IF(HR_Data[[#This Row],[Attrition]]="No",1,0)</f>
        <v>1</v>
      </c>
      <c r="AL1145" t="str">
        <f>IF(HR_Data[[#This Row],[Age]]&lt;25,"Under 25",IF(HR_Data[[#This Row],[Age]]&lt;=34,"25-34",IF(HR_Data[[#This Row],[Age]]&lt;=44,"35-44",IF(HR_Data[[#This Row],[Age]]&lt;=54,"45-54","55+"))))</f>
        <v>45-54</v>
      </c>
      <c r="AM1145" s="1" t="str">
        <f>IF(HR_Data[[#This Row],[MonthlyIncome]]&lt;3000,"Low Salary",IF(HR_Data[[#This Row],[MonthlyIncome]]&lt;=7000,"Medium Salary","High Salary"))</f>
        <v>Medium Salary</v>
      </c>
      <c r="AN1145" s="1" t="str">
        <f>IF(HR_Data[[#This Row],[YearsAtCompany]]&lt;2,"0-1 Years",IF(HR_Data[[#This Row],[YearsAtCompany]]&lt;=5,"2-5 Years",IF(HR_Data[[#This Row],[YearsAtCompany]]&lt;=10,"6-10 Years","10+ Years")))</f>
        <v>6-10 Years</v>
      </c>
      <c r="AO1145" s="1" t="str">
        <f>IF(HR_Data[[#This Row],[JobSatisfaction]]=1,"Low",IF(HR_Data[[#This Row],[JobSatisfaction]]=2,"Medium",IF(HR_Data[[#This Row],[JobSatisfaction]]=3,"High","Very High")))</f>
        <v>Low</v>
      </c>
      <c r="AP1145" s="1" t="str">
        <f>IF(HR_Data[[#This Row],[WorkLifeBalance]]=1,"Bad",IF(HR_Data[[#This Row],[WorkLifeBalance]]=2,"Good",IF(HR_Data[[#This Row],[WorkLifeBalance]]=3,"Better","Best")))</f>
        <v>Better</v>
      </c>
    </row>
    <row r="1146" spans="1:42" x14ac:dyDescent="0.3">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c r="AJ1146">
        <f>IF(HR_Data[[#This Row],[Attrition]]="Yes",1,0)</f>
        <v>0</v>
      </c>
      <c r="AK1146">
        <f>IF(HR_Data[[#This Row],[Attrition]]="No",1,0)</f>
        <v>1</v>
      </c>
      <c r="AL1146" t="str">
        <f>IF(HR_Data[[#This Row],[Age]]&lt;25,"Under 25",IF(HR_Data[[#This Row],[Age]]&lt;=34,"25-34",IF(HR_Data[[#This Row],[Age]]&lt;=44,"35-44",IF(HR_Data[[#This Row],[Age]]&lt;=54,"45-54","55+"))))</f>
        <v>25-34</v>
      </c>
      <c r="AM1146" s="1" t="str">
        <f>IF(HR_Data[[#This Row],[MonthlyIncome]]&lt;3000,"Low Salary",IF(HR_Data[[#This Row],[MonthlyIncome]]&lt;=7000,"Medium Salary","High Salary"))</f>
        <v>Medium Salary</v>
      </c>
      <c r="AN1146" s="1" t="str">
        <f>IF(HR_Data[[#This Row],[YearsAtCompany]]&lt;2,"0-1 Years",IF(HR_Data[[#This Row],[YearsAtCompany]]&lt;=5,"2-5 Years",IF(HR_Data[[#This Row],[YearsAtCompany]]&lt;=10,"6-10 Years","10+ Years")))</f>
        <v>2-5 Years</v>
      </c>
      <c r="AO1146" s="1" t="str">
        <f>IF(HR_Data[[#This Row],[JobSatisfaction]]=1,"Low",IF(HR_Data[[#This Row],[JobSatisfaction]]=2,"Medium",IF(HR_Data[[#This Row],[JobSatisfaction]]=3,"High","Very High")))</f>
        <v>Low</v>
      </c>
      <c r="AP1146" s="1" t="str">
        <f>IF(HR_Data[[#This Row],[WorkLifeBalance]]=1,"Bad",IF(HR_Data[[#This Row],[WorkLifeBalance]]=2,"Good",IF(HR_Data[[#This Row],[WorkLifeBalance]]=3,"Better","Best")))</f>
        <v>Better</v>
      </c>
    </row>
    <row r="1147" spans="1:42" x14ac:dyDescent="0.3">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c r="AJ1147">
        <f>IF(HR_Data[[#This Row],[Attrition]]="Yes",1,0)</f>
        <v>0</v>
      </c>
      <c r="AK1147">
        <f>IF(HR_Data[[#This Row],[Attrition]]="No",1,0)</f>
        <v>1</v>
      </c>
      <c r="AL1147" t="str">
        <f>IF(HR_Data[[#This Row],[Age]]&lt;25,"Under 25",IF(HR_Data[[#This Row],[Age]]&lt;=34,"25-34",IF(HR_Data[[#This Row],[Age]]&lt;=44,"35-44",IF(HR_Data[[#This Row],[Age]]&lt;=54,"45-54","55+"))))</f>
        <v>35-44</v>
      </c>
      <c r="AM1147" s="1" t="str">
        <f>IF(HR_Data[[#This Row],[MonthlyIncome]]&lt;3000,"Low Salary",IF(HR_Data[[#This Row],[MonthlyIncome]]&lt;=7000,"Medium Salary","High Salary"))</f>
        <v>Medium Salary</v>
      </c>
      <c r="AN1147" s="1" t="str">
        <f>IF(HR_Data[[#This Row],[YearsAtCompany]]&lt;2,"0-1 Years",IF(HR_Data[[#This Row],[YearsAtCompany]]&lt;=5,"2-5 Years",IF(HR_Data[[#This Row],[YearsAtCompany]]&lt;=10,"6-10 Years","10+ Years")))</f>
        <v>2-5 Years</v>
      </c>
      <c r="AO1147" s="1" t="str">
        <f>IF(HR_Data[[#This Row],[JobSatisfaction]]=1,"Low",IF(HR_Data[[#This Row],[JobSatisfaction]]=2,"Medium",IF(HR_Data[[#This Row],[JobSatisfaction]]=3,"High","Very High")))</f>
        <v>High</v>
      </c>
      <c r="AP1147" s="1" t="str">
        <f>IF(HR_Data[[#This Row],[WorkLifeBalance]]=1,"Bad",IF(HR_Data[[#This Row],[WorkLifeBalance]]=2,"Good",IF(HR_Data[[#This Row],[WorkLifeBalance]]=3,"Better","Best")))</f>
        <v>Better</v>
      </c>
    </row>
    <row r="1148" spans="1:42" x14ac:dyDescent="0.3">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c r="AJ1148">
        <f>IF(HR_Data[[#This Row],[Attrition]]="Yes",1,0)</f>
        <v>0</v>
      </c>
      <c r="AK1148">
        <f>IF(HR_Data[[#This Row],[Attrition]]="No",1,0)</f>
        <v>1</v>
      </c>
      <c r="AL1148" t="str">
        <f>IF(HR_Data[[#This Row],[Age]]&lt;25,"Under 25",IF(HR_Data[[#This Row],[Age]]&lt;=34,"25-34",IF(HR_Data[[#This Row],[Age]]&lt;=44,"35-44",IF(HR_Data[[#This Row],[Age]]&lt;=54,"45-54","55+"))))</f>
        <v>25-34</v>
      </c>
      <c r="AM1148" s="1" t="str">
        <f>IF(HR_Data[[#This Row],[MonthlyIncome]]&lt;3000,"Low Salary",IF(HR_Data[[#This Row],[MonthlyIncome]]&lt;=7000,"Medium Salary","High Salary"))</f>
        <v>Medium Salary</v>
      </c>
      <c r="AN1148" s="1" t="str">
        <f>IF(HR_Data[[#This Row],[YearsAtCompany]]&lt;2,"0-1 Years",IF(HR_Data[[#This Row],[YearsAtCompany]]&lt;=5,"2-5 Years",IF(HR_Data[[#This Row],[YearsAtCompany]]&lt;=10,"6-10 Years","10+ Years")))</f>
        <v>6-10 Years</v>
      </c>
      <c r="AO1148" s="1" t="str">
        <f>IF(HR_Data[[#This Row],[JobSatisfaction]]=1,"Low",IF(HR_Data[[#This Row],[JobSatisfaction]]=2,"Medium",IF(HR_Data[[#This Row],[JobSatisfaction]]=3,"High","Very High")))</f>
        <v>Very High</v>
      </c>
      <c r="AP1148" s="1" t="str">
        <f>IF(HR_Data[[#This Row],[WorkLifeBalance]]=1,"Bad",IF(HR_Data[[#This Row],[WorkLifeBalance]]=2,"Good",IF(HR_Data[[#This Row],[WorkLifeBalance]]=3,"Better","Best")))</f>
        <v>Better</v>
      </c>
    </row>
    <row r="1149" spans="1:42" x14ac:dyDescent="0.3">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c r="AJ1149">
        <f>IF(HR_Data[[#This Row],[Attrition]]="Yes",1,0)</f>
        <v>0</v>
      </c>
      <c r="AK1149">
        <f>IF(HR_Data[[#This Row],[Attrition]]="No",1,0)</f>
        <v>1</v>
      </c>
      <c r="AL1149" t="str">
        <f>IF(HR_Data[[#This Row],[Age]]&lt;25,"Under 25",IF(HR_Data[[#This Row],[Age]]&lt;=34,"25-34",IF(HR_Data[[#This Row],[Age]]&lt;=44,"35-44",IF(HR_Data[[#This Row],[Age]]&lt;=54,"45-54","55+"))))</f>
        <v>45-54</v>
      </c>
      <c r="AM1149" s="1" t="str">
        <f>IF(HR_Data[[#This Row],[MonthlyIncome]]&lt;3000,"Low Salary",IF(HR_Data[[#This Row],[MonthlyIncome]]&lt;=7000,"Medium Salary","High Salary"))</f>
        <v>Medium Salary</v>
      </c>
      <c r="AN1149" s="1" t="str">
        <f>IF(HR_Data[[#This Row],[YearsAtCompany]]&lt;2,"0-1 Years",IF(HR_Data[[#This Row],[YearsAtCompany]]&lt;=5,"2-5 Years",IF(HR_Data[[#This Row],[YearsAtCompany]]&lt;=10,"6-10 Years","10+ Years")))</f>
        <v>6-10 Years</v>
      </c>
      <c r="AO1149" s="1" t="str">
        <f>IF(HR_Data[[#This Row],[JobSatisfaction]]=1,"Low",IF(HR_Data[[#This Row],[JobSatisfaction]]=2,"Medium",IF(HR_Data[[#This Row],[JobSatisfaction]]=3,"High","Very High")))</f>
        <v>Low</v>
      </c>
      <c r="AP1149" s="1" t="str">
        <f>IF(HR_Data[[#This Row],[WorkLifeBalance]]=1,"Bad",IF(HR_Data[[#This Row],[WorkLifeBalance]]=2,"Good",IF(HR_Data[[#This Row],[WorkLifeBalance]]=3,"Better","Best")))</f>
        <v>Good</v>
      </c>
    </row>
    <row r="1150" spans="1:42" x14ac:dyDescent="0.3">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c r="AJ1150">
        <f>IF(HR_Data[[#This Row],[Attrition]]="Yes",1,0)</f>
        <v>0</v>
      </c>
      <c r="AK1150">
        <f>IF(HR_Data[[#This Row],[Attrition]]="No",1,0)</f>
        <v>1</v>
      </c>
      <c r="AL1150" t="str">
        <f>IF(HR_Data[[#This Row],[Age]]&lt;25,"Under 25",IF(HR_Data[[#This Row],[Age]]&lt;=34,"25-34",IF(HR_Data[[#This Row],[Age]]&lt;=44,"35-44",IF(HR_Data[[#This Row],[Age]]&lt;=54,"45-54","55+"))))</f>
        <v>35-44</v>
      </c>
      <c r="AM1150" s="1" t="str">
        <f>IF(HR_Data[[#This Row],[MonthlyIncome]]&lt;3000,"Low Salary",IF(HR_Data[[#This Row],[MonthlyIncome]]&lt;=7000,"Medium Salary","High Salary"))</f>
        <v>Medium Salary</v>
      </c>
      <c r="AN1150" s="1" t="str">
        <f>IF(HR_Data[[#This Row],[YearsAtCompany]]&lt;2,"0-1 Years",IF(HR_Data[[#This Row],[YearsAtCompany]]&lt;=5,"2-5 Years",IF(HR_Data[[#This Row],[YearsAtCompany]]&lt;=10,"6-10 Years","10+ Years")))</f>
        <v>6-10 Years</v>
      </c>
      <c r="AO1150" s="1" t="str">
        <f>IF(HR_Data[[#This Row],[JobSatisfaction]]=1,"Low",IF(HR_Data[[#This Row],[JobSatisfaction]]=2,"Medium",IF(HR_Data[[#This Row],[JobSatisfaction]]=3,"High","Very High")))</f>
        <v>Low</v>
      </c>
      <c r="AP1150" s="1" t="str">
        <f>IF(HR_Data[[#This Row],[WorkLifeBalance]]=1,"Bad",IF(HR_Data[[#This Row],[WorkLifeBalance]]=2,"Good",IF(HR_Data[[#This Row],[WorkLifeBalance]]=3,"Better","Best")))</f>
        <v>Better</v>
      </c>
    </row>
    <row r="1151" spans="1:42" x14ac:dyDescent="0.3">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c r="AJ1151">
        <f>IF(HR_Data[[#This Row],[Attrition]]="Yes",1,0)</f>
        <v>0</v>
      </c>
      <c r="AK1151">
        <f>IF(HR_Data[[#This Row],[Attrition]]="No",1,0)</f>
        <v>1</v>
      </c>
      <c r="AL1151" t="str">
        <f>IF(HR_Data[[#This Row],[Age]]&lt;25,"Under 25",IF(HR_Data[[#This Row],[Age]]&lt;=34,"25-34",IF(HR_Data[[#This Row],[Age]]&lt;=44,"35-44",IF(HR_Data[[#This Row],[Age]]&lt;=54,"45-54","55+"))))</f>
        <v>25-34</v>
      </c>
      <c r="AM1151" s="1" t="str">
        <f>IF(HR_Data[[#This Row],[MonthlyIncome]]&lt;3000,"Low Salary",IF(HR_Data[[#This Row],[MonthlyIncome]]&lt;=7000,"Medium Salary","High Salary"))</f>
        <v>Medium Salary</v>
      </c>
      <c r="AN1151" s="1" t="str">
        <f>IF(HR_Data[[#This Row],[YearsAtCompany]]&lt;2,"0-1 Years",IF(HR_Data[[#This Row],[YearsAtCompany]]&lt;=5,"2-5 Years",IF(HR_Data[[#This Row],[YearsAtCompany]]&lt;=10,"6-10 Years","10+ Years")))</f>
        <v>6-10 Years</v>
      </c>
      <c r="AO1151" s="1" t="str">
        <f>IF(HR_Data[[#This Row],[JobSatisfaction]]=1,"Low",IF(HR_Data[[#This Row],[JobSatisfaction]]=2,"Medium",IF(HR_Data[[#This Row],[JobSatisfaction]]=3,"High","Very High")))</f>
        <v>Low</v>
      </c>
      <c r="AP1151" s="1" t="str">
        <f>IF(HR_Data[[#This Row],[WorkLifeBalance]]=1,"Bad",IF(HR_Data[[#This Row],[WorkLifeBalance]]=2,"Good",IF(HR_Data[[#This Row],[WorkLifeBalance]]=3,"Better","Best")))</f>
        <v>Better</v>
      </c>
    </row>
    <row r="1152" spans="1:42" x14ac:dyDescent="0.3">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c r="AJ1152">
        <f>IF(HR_Data[[#This Row],[Attrition]]="Yes",1,0)</f>
        <v>0</v>
      </c>
      <c r="AK1152">
        <f>IF(HR_Data[[#This Row],[Attrition]]="No",1,0)</f>
        <v>1</v>
      </c>
      <c r="AL1152" t="str">
        <f>IF(HR_Data[[#This Row],[Age]]&lt;25,"Under 25",IF(HR_Data[[#This Row],[Age]]&lt;=34,"25-34",IF(HR_Data[[#This Row],[Age]]&lt;=44,"35-44",IF(HR_Data[[#This Row],[Age]]&lt;=54,"45-54","55+"))))</f>
        <v>35-44</v>
      </c>
      <c r="AM1152" s="1" t="str">
        <f>IF(HR_Data[[#This Row],[MonthlyIncome]]&lt;3000,"Low Salary",IF(HR_Data[[#This Row],[MonthlyIncome]]&lt;=7000,"Medium Salary","High Salary"))</f>
        <v>Medium Salary</v>
      </c>
      <c r="AN1152" s="1" t="str">
        <f>IF(HR_Data[[#This Row],[YearsAtCompany]]&lt;2,"0-1 Years",IF(HR_Data[[#This Row],[YearsAtCompany]]&lt;=5,"2-5 Years",IF(HR_Data[[#This Row],[YearsAtCompany]]&lt;=10,"6-10 Years","10+ Years")))</f>
        <v>10+ Years</v>
      </c>
      <c r="AO1152" s="1" t="str">
        <f>IF(HR_Data[[#This Row],[JobSatisfaction]]=1,"Low",IF(HR_Data[[#This Row],[JobSatisfaction]]=2,"Medium",IF(HR_Data[[#This Row],[JobSatisfaction]]=3,"High","Very High")))</f>
        <v>Low</v>
      </c>
      <c r="AP1152" s="1" t="str">
        <f>IF(HR_Data[[#This Row],[WorkLifeBalance]]=1,"Bad",IF(HR_Data[[#This Row],[WorkLifeBalance]]=2,"Good",IF(HR_Data[[#This Row],[WorkLifeBalance]]=3,"Better","Best")))</f>
        <v>Better</v>
      </c>
    </row>
    <row r="1153" spans="1:42" x14ac:dyDescent="0.3">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c r="AJ1153">
        <f>IF(HR_Data[[#This Row],[Attrition]]="Yes",1,0)</f>
        <v>0</v>
      </c>
      <c r="AK1153">
        <f>IF(HR_Data[[#This Row],[Attrition]]="No",1,0)</f>
        <v>1</v>
      </c>
      <c r="AL1153" t="str">
        <f>IF(HR_Data[[#This Row],[Age]]&lt;25,"Under 25",IF(HR_Data[[#This Row],[Age]]&lt;=34,"25-34",IF(HR_Data[[#This Row],[Age]]&lt;=44,"35-44",IF(HR_Data[[#This Row],[Age]]&lt;=54,"45-54","55+"))))</f>
        <v>25-34</v>
      </c>
      <c r="AM1153" s="1" t="str">
        <f>IF(HR_Data[[#This Row],[MonthlyIncome]]&lt;3000,"Low Salary",IF(HR_Data[[#This Row],[MonthlyIncome]]&lt;=7000,"Medium Salary","High Salary"))</f>
        <v>Medium Salary</v>
      </c>
      <c r="AN1153" s="1" t="str">
        <f>IF(HR_Data[[#This Row],[YearsAtCompany]]&lt;2,"0-1 Years",IF(HR_Data[[#This Row],[YearsAtCompany]]&lt;=5,"2-5 Years",IF(HR_Data[[#This Row],[YearsAtCompany]]&lt;=10,"6-10 Years","10+ Years")))</f>
        <v>2-5 Years</v>
      </c>
      <c r="AO1153" s="1" t="str">
        <f>IF(HR_Data[[#This Row],[JobSatisfaction]]=1,"Low",IF(HR_Data[[#This Row],[JobSatisfaction]]=2,"Medium",IF(HR_Data[[#This Row],[JobSatisfaction]]=3,"High","Very High")))</f>
        <v>Low</v>
      </c>
      <c r="AP1153" s="1" t="str">
        <f>IF(HR_Data[[#This Row],[WorkLifeBalance]]=1,"Bad",IF(HR_Data[[#This Row],[WorkLifeBalance]]=2,"Good",IF(HR_Data[[#This Row],[WorkLifeBalance]]=3,"Better","Best")))</f>
        <v>Good</v>
      </c>
    </row>
    <row r="1154" spans="1:42" x14ac:dyDescent="0.3">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c r="AJ1154">
        <f>IF(HR_Data[[#This Row],[Attrition]]="Yes",1,0)</f>
        <v>0</v>
      </c>
      <c r="AK1154">
        <f>IF(HR_Data[[#This Row],[Attrition]]="No",1,0)</f>
        <v>1</v>
      </c>
      <c r="AL1154" t="str">
        <f>IF(HR_Data[[#This Row],[Age]]&lt;25,"Under 25",IF(HR_Data[[#This Row],[Age]]&lt;=34,"25-34",IF(HR_Data[[#This Row],[Age]]&lt;=44,"35-44",IF(HR_Data[[#This Row],[Age]]&lt;=54,"45-54","55+"))))</f>
        <v>Under 25</v>
      </c>
      <c r="AM1154" s="1" t="str">
        <f>IF(HR_Data[[#This Row],[MonthlyIncome]]&lt;3000,"Low Salary",IF(HR_Data[[#This Row],[MonthlyIncome]]&lt;=7000,"Medium Salary","High Salary"))</f>
        <v>Medium Salary</v>
      </c>
      <c r="AN1154" s="1" t="str">
        <f>IF(HR_Data[[#This Row],[YearsAtCompany]]&lt;2,"0-1 Years",IF(HR_Data[[#This Row],[YearsAtCompany]]&lt;=5,"2-5 Years",IF(HR_Data[[#This Row],[YearsAtCompany]]&lt;=10,"6-10 Years","10+ Years")))</f>
        <v>2-5 Years</v>
      </c>
      <c r="AO1154" s="1" t="str">
        <f>IF(HR_Data[[#This Row],[JobSatisfaction]]=1,"Low",IF(HR_Data[[#This Row],[JobSatisfaction]]=2,"Medium",IF(HR_Data[[#This Row],[JobSatisfaction]]=3,"High","Very High")))</f>
        <v>Very High</v>
      </c>
      <c r="AP1154" s="1" t="str">
        <f>IF(HR_Data[[#This Row],[WorkLifeBalance]]=1,"Bad",IF(HR_Data[[#This Row],[WorkLifeBalance]]=2,"Good",IF(HR_Data[[#This Row],[WorkLifeBalance]]=3,"Better","Best")))</f>
        <v>Better</v>
      </c>
    </row>
    <row r="1155" spans="1:42" x14ac:dyDescent="0.3">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c r="AJ1155">
        <f>IF(HR_Data[[#This Row],[Attrition]]="Yes",1,0)</f>
        <v>1</v>
      </c>
      <c r="AK1155">
        <f>IF(HR_Data[[#This Row],[Attrition]]="No",1,0)</f>
        <v>0</v>
      </c>
      <c r="AL1155" t="str">
        <f>IF(HR_Data[[#This Row],[Age]]&lt;25,"Under 25",IF(HR_Data[[#This Row],[Age]]&lt;=34,"25-34",IF(HR_Data[[#This Row],[Age]]&lt;=44,"35-44",IF(HR_Data[[#This Row],[Age]]&lt;=54,"45-54","55+"))))</f>
        <v>Under 25</v>
      </c>
      <c r="AM1155" s="1" t="str">
        <f>IF(HR_Data[[#This Row],[MonthlyIncome]]&lt;3000,"Low Salary",IF(HR_Data[[#This Row],[MonthlyIncome]]&lt;=7000,"Medium Salary","High Salary"))</f>
        <v>Low Salary</v>
      </c>
      <c r="AN1155" s="1" t="str">
        <f>IF(HR_Data[[#This Row],[YearsAtCompany]]&lt;2,"0-1 Years",IF(HR_Data[[#This Row],[YearsAtCompany]]&lt;=5,"2-5 Years",IF(HR_Data[[#This Row],[YearsAtCompany]]&lt;=10,"6-10 Years","10+ Years")))</f>
        <v>0-1 Years</v>
      </c>
      <c r="AO1155" s="1" t="str">
        <f>IF(HR_Data[[#This Row],[JobSatisfaction]]=1,"Low",IF(HR_Data[[#This Row],[JobSatisfaction]]=2,"Medium",IF(HR_Data[[#This Row],[JobSatisfaction]]=3,"High","Very High")))</f>
        <v>Very High</v>
      </c>
      <c r="AP1155" s="1" t="str">
        <f>IF(HR_Data[[#This Row],[WorkLifeBalance]]=1,"Bad",IF(HR_Data[[#This Row],[WorkLifeBalance]]=2,"Good",IF(HR_Data[[#This Row],[WorkLifeBalance]]=3,"Better","Best")))</f>
        <v>Best</v>
      </c>
    </row>
    <row r="1156" spans="1:42" x14ac:dyDescent="0.3">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c r="AJ1156">
        <f>IF(HR_Data[[#This Row],[Attrition]]="Yes",1,0)</f>
        <v>0</v>
      </c>
      <c r="AK1156">
        <f>IF(HR_Data[[#This Row],[Attrition]]="No",1,0)</f>
        <v>1</v>
      </c>
      <c r="AL1156" t="str">
        <f>IF(HR_Data[[#This Row],[Age]]&lt;25,"Under 25",IF(HR_Data[[#This Row],[Age]]&lt;=34,"25-34",IF(HR_Data[[#This Row],[Age]]&lt;=44,"35-44",IF(HR_Data[[#This Row],[Age]]&lt;=54,"45-54","55+"))))</f>
        <v>45-54</v>
      </c>
      <c r="AM1156" s="1" t="str">
        <f>IF(HR_Data[[#This Row],[MonthlyIncome]]&lt;3000,"Low Salary",IF(HR_Data[[#This Row],[MonthlyIncome]]&lt;=7000,"Medium Salary","High Salary"))</f>
        <v>High Salary</v>
      </c>
      <c r="AN1156" s="1" t="str">
        <f>IF(HR_Data[[#This Row],[YearsAtCompany]]&lt;2,"0-1 Years",IF(HR_Data[[#This Row],[YearsAtCompany]]&lt;=5,"2-5 Years",IF(HR_Data[[#This Row],[YearsAtCompany]]&lt;=10,"6-10 Years","10+ Years")))</f>
        <v>2-5 Years</v>
      </c>
      <c r="AO1156" s="1" t="str">
        <f>IF(HR_Data[[#This Row],[JobSatisfaction]]=1,"Low",IF(HR_Data[[#This Row],[JobSatisfaction]]=2,"Medium",IF(HR_Data[[#This Row],[JobSatisfaction]]=3,"High","Very High")))</f>
        <v>High</v>
      </c>
      <c r="AP1156" s="1" t="str">
        <f>IF(HR_Data[[#This Row],[WorkLifeBalance]]=1,"Bad",IF(HR_Data[[#This Row],[WorkLifeBalance]]=2,"Good",IF(HR_Data[[#This Row],[WorkLifeBalance]]=3,"Better","Best")))</f>
        <v>Better</v>
      </c>
    </row>
    <row r="1157" spans="1:42" x14ac:dyDescent="0.3">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c r="AJ1157">
        <f>IF(HR_Data[[#This Row],[Attrition]]="Yes",1,0)</f>
        <v>0</v>
      </c>
      <c r="AK1157">
        <f>IF(HR_Data[[#This Row],[Attrition]]="No",1,0)</f>
        <v>1</v>
      </c>
      <c r="AL1157" t="str">
        <f>IF(HR_Data[[#This Row],[Age]]&lt;25,"Under 25",IF(HR_Data[[#This Row],[Age]]&lt;=34,"25-34",IF(HR_Data[[#This Row],[Age]]&lt;=44,"35-44",IF(HR_Data[[#This Row],[Age]]&lt;=54,"45-54","55+"))))</f>
        <v>35-44</v>
      </c>
      <c r="AM1157" s="1" t="str">
        <f>IF(HR_Data[[#This Row],[MonthlyIncome]]&lt;3000,"Low Salary",IF(HR_Data[[#This Row],[MonthlyIncome]]&lt;=7000,"Medium Salary","High Salary"))</f>
        <v>Medium Salary</v>
      </c>
      <c r="AN1157" s="1" t="str">
        <f>IF(HR_Data[[#This Row],[YearsAtCompany]]&lt;2,"0-1 Years",IF(HR_Data[[#This Row],[YearsAtCompany]]&lt;=5,"2-5 Years",IF(HR_Data[[#This Row],[YearsAtCompany]]&lt;=10,"6-10 Years","10+ Years")))</f>
        <v>6-10 Years</v>
      </c>
      <c r="AO1157" s="1" t="str">
        <f>IF(HR_Data[[#This Row],[JobSatisfaction]]=1,"Low",IF(HR_Data[[#This Row],[JobSatisfaction]]=2,"Medium",IF(HR_Data[[#This Row],[JobSatisfaction]]=3,"High","Very High")))</f>
        <v>High</v>
      </c>
      <c r="AP1157" s="1" t="str">
        <f>IF(HR_Data[[#This Row],[WorkLifeBalance]]=1,"Bad",IF(HR_Data[[#This Row],[WorkLifeBalance]]=2,"Good",IF(HR_Data[[#This Row],[WorkLifeBalance]]=3,"Better","Best")))</f>
        <v>Better</v>
      </c>
    </row>
    <row r="1158" spans="1:42" x14ac:dyDescent="0.3">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c r="AJ1158">
        <f>IF(HR_Data[[#This Row],[Attrition]]="Yes",1,0)</f>
        <v>0</v>
      </c>
      <c r="AK1158">
        <f>IF(HR_Data[[#This Row],[Attrition]]="No",1,0)</f>
        <v>1</v>
      </c>
      <c r="AL1158" t="str">
        <f>IF(HR_Data[[#This Row],[Age]]&lt;25,"Under 25",IF(HR_Data[[#This Row],[Age]]&lt;=34,"25-34",IF(HR_Data[[#This Row],[Age]]&lt;=44,"35-44",IF(HR_Data[[#This Row],[Age]]&lt;=54,"45-54","55+"))))</f>
        <v>35-44</v>
      </c>
      <c r="AM1158" s="1" t="str">
        <f>IF(HR_Data[[#This Row],[MonthlyIncome]]&lt;3000,"Low Salary",IF(HR_Data[[#This Row],[MonthlyIncome]]&lt;=7000,"Medium Salary","High Salary"))</f>
        <v>High Salary</v>
      </c>
      <c r="AN1158" s="1" t="str">
        <f>IF(HR_Data[[#This Row],[YearsAtCompany]]&lt;2,"0-1 Years",IF(HR_Data[[#This Row],[YearsAtCompany]]&lt;=5,"2-5 Years",IF(HR_Data[[#This Row],[YearsAtCompany]]&lt;=10,"6-10 Years","10+ Years")))</f>
        <v>10+ Years</v>
      </c>
      <c r="AO1158" s="1" t="str">
        <f>IF(HR_Data[[#This Row],[JobSatisfaction]]=1,"Low",IF(HR_Data[[#This Row],[JobSatisfaction]]=2,"Medium",IF(HR_Data[[#This Row],[JobSatisfaction]]=3,"High","Very High")))</f>
        <v>High</v>
      </c>
      <c r="AP1158" s="1" t="str">
        <f>IF(HR_Data[[#This Row],[WorkLifeBalance]]=1,"Bad",IF(HR_Data[[#This Row],[WorkLifeBalance]]=2,"Good",IF(HR_Data[[#This Row],[WorkLifeBalance]]=3,"Better","Best")))</f>
        <v>Better</v>
      </c>
    </row>
    <row r="1159" spans="1:42" x14ac:dyDescent="0.3">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c r="AJ1159">
        <f>IF(HR_Data[[#This Row],[Attrition]]="Yes",1,0)</f>
        <v>0</v>
      </c>
      <c r="AK1159">
        <f>IF(HR_Data[[#This Row],[Attrition]]="No",1,0)</f>
        <v>1</v>
      </c>
      <c r="AL1159" t="str">
        <f>IF(HR_Data[[#This Row],[Age]]&lt;25,"Under 25",IF(HR_Data[[#This Row],[Age]]&lt;=34,"25-34",IF(HR_Data[[#This Row],[Age]]&lt;=44,"35-44",IF(HR_Data[[#This Row],[Age]]&lt;=54,"45-54","55+"))))</f>
        <v>35-44</v>
      </c>
      <c r="AM1159" s="1" t="str">
        <f>IF(HR_Data[[#This Row],[MonthlyIncome]]&lt;3000,"Low Salary",IF(HR_Data[[#This Row],[MonthlyIncome]]&lt;=7000,"Medium Salary","High Salary"))</f>
        <v>Medium Salary</v>
      </c>
      <c r="AN1159" s="1" t="str">
        <f>IF(HR_Data[[#This Row],[YearsAtCompany]]&lt;2,"0-1 Years",IF(HR_Data[[#This Row],[YearsAtCompany]]&lt;=5,"2-5 Years",IF(HR_Data[[#This Row],[YearsAtCompany]]&lt;=10,"6-10 Years","10+ Years")))</f>
        <v>10+ Years</v>
      </c>
      <c r="AO1159" s="1" t="str">
        <f>IF(HR_Data[[#This Row],[JobSatisfaction]]=1,"Low",IF(HR_Data[[#This Row],[JobSatisfaction]]=2,"Medium",IF(HR_Data[[#This Row],[JobSatisfaction]]=3,"High","Very High")))</f>
        <v>High</v>
      </c>
      <c r="AP1159" s="1" t="str">
        <f>IF(HR_Data[[#This Row],[WorkLifeBalance]]=1,"Bad",IF(HR_Data[[#This Row],[WorkLifeBalance]]=2,"Good",IF(HR_Data[[#This Row],[WorkLifeBalance]]=3,"Better","Best")))</f>
        <v>Better</v>
      </c>
    </row>
    <row r="1160" spans="1:42" x14ac:dyDescent="0.3">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c r="AJ1160">
        <f>IF(HR_Data[[#This Row],[Attrition]]="Yes",1,0)</f>
        <v>0</v>
      </c>
      <c r="AK1160">
        <f>IF(HR_Data[[#This Row],[Attrition]]="No",1,0)</f>
        <v>1</v>
      </c>
      <c r="AL1160" t="str">
        <f>IF(HR_Data[[#This Row],[Age]]&lt;25,"Under 25",IF(HR_Data[[#This Row],[Age]]&lt;=34,"25-34",IF(HR_Data[[#This Row],[Age]]&lt;=44,"35-44",IF(HR_Data[[#This Row],[Age]]&lt;=54,"45-54","55+"))))</f>
        <v>35-44</v>
      </c>
      <c r="AM1160" s="1" t="str">
        <f>IF(HR_Data[[#This Row],[MonthlyIncome]]&lt;3000,"Low Salary",IF(HR_Data[[#This Row],[MonthlyIncome]]&lt;=7000,"Medium Salary","High Salary"))</f>
        <v>Medium Salary</v>
      </c>
      <c r="AN1160" s="1" t="str">
        <f>IF(HR_Data[[#This Row],[YearsAtCompany]]&lt;2,"0-1 Years",IF(HR_Data[[#This Row],[YearsAtCompany]]&lt;=5,"2-5 Years",IF(HR_Data[[#This Row],[YearsAtCompany]]&lt;=10,"6-10 Years","10+ Years")))</f>
        <v>2-5 Years</v>
      </c>
      <c r="AO1160" s="1" t="str">
        <f>IF(HR_Data[[#This Row],[JobSatisfaction]]=1,"Low",IF(HR_Data[[#This Row],[JobSatisfaction]]=2,"Medium",IF(HR_Data[[#This Row],[JobSatisfaction]]=3,"High","Very High")))</f>
        <v>High</v>
      </c>
      <c r="AP1160" s="1" t="str">
        <f>IF(HR_Data[[#This Row],[WorkLifeBalance]]=1,"Bad",IF(HR_Data[[#This Row],[WorkLifeBalance]]=2,"Good",IF(HR_Data[[#This Row],[WorkLifeBalance]]=3,"Better","Best")))</f>
        <v>Good</v>
      </c>
    </row>
    <row r="1161" spans="1:42" x14ac:dyDescent="0.3">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c r="AJ1161">
        <f>IF(HR_Data[[#This Row],[Attrition]]="Yes",1,0)</f>
        <v>0</v>
      </c>
      <c r="AK1161">
        <f>IF(HR_Data[[#This Row],[Attrition]]="No",1,0)</f>
        <v>1</v>
      </c>
      <c r="AL1161" t="str">
        <f>IF(HR_Data[[#This Row],[Age]]&lt;25,"Under 25",IF(HR_Data[[#This Row],[Age]]&lt;=34,"25-34",IF(HR_Data[[#This Row],[Age]]&lt;=44,"35-44",IF(HR_Data[[#This Row],[Age]]&lt;=54,"45-54","55+"))))</f>
        <v>35-44</v>
      </c>
      <c r="AM1161" s="1" t="str">
        <f>IF(HR_Data[[#This Row],[MonthlyIncome]]&lt;3000,"Low Salary",IF(HR_Data[[#This Row],[MonthlyIncome]]&lt;=7000,"Medium Salary","High Salary"))</f>
        <v>Medium Salary</v>
      </c>
      <c r="AN1161" s="1" t="str">
        <f>IF(HR_Data[[#This Row],[YearsAtCompany]]&lt;2,"0-1 Years",IF(HR_Data[[#This Row],[YearsAtCompany]]&lt;=5,"2-5 Years",IF(HR_Data[[#This Row],[YearsAtCompany]]&lt;=10,"6-10 Years","10+ Years")))</f>
        <v>6-10 Years</v>
      </c>
      <c r="AO1161" s="1" t="str">
        <f>IF(HR_Data[[#This Row],[JobSatisfaction]]=1,"Low",IF(HR_Data[[#This Row],[JobSatisfaction]]=2,"Medium",IF(HR_Data[[#This Row],[JobSatisfaction]]=3,"High","Very High")))</f>
        <v>High</v>
      </c>
      <c r="AP1161" s="1" t="str">
        <f>IF(HR_Data[[#This Row],[WorkLifeBalance]]=1,"Bad",IF(HR_Data[[#This Row],[WorkLifeBalance]]=2,"Good",IF(HR_Data[[#This Row],[WorkLifeBalance]]=3,"Better","Best")))</f>
        <v>Bad</v>
      </c>
    </row>
    <row r="1162" spans="1:42" x14ac:dyDescent="0.3">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c r="AJ1162">
        <f>IF(HR_Data[[#This Row],[Attrition]]="Yes",1,0)</f>
        <v>0</v>
      </c>
      <c r="AK1162">
        <f>IF(HR_Data[[#This Row],[Attrition]]="No",1,0)</f>
        <v>1</v>
      </c>
      <c r="AL1162" t="str">
        <f>IF(HR_Data[[#This Row],[Age]]&lt;25,"Under 25",IF(HR_Data[[#This Row],[Age]]&lt;=34,"25-34",IF(HR_Data[[#This Row],[Age]]&lt;=44,"35-44",IF(HR_Data[[#This Row],[Age]]&lt;=54,"45-54","55+"))))</f>
        <v>45-54</v>
      </c>
      <c r="AM1162" s="1" t="str">
        <f>IF(HR_Data[[#This Row],[MonthlyIncome]]&lt;3000,"Low Salary",IF(HR_Data[[#This Row],[MonthlyIncome]]&lt;=7000,"Medium Salary","High Salary"))</f>
        <v>Medium Salary</v>
      </c>
      <c r="AN1162" s="1" t="str">
        <f>IF(HR_Data[[#This Row],[YearsAtCompany]]&lt;2,"0-1 Years",IF(HR_Data[[#This Row],[YearsAtCompany]]&lt;=5,"2-5 Years",IF(HR_Data[[#This Row],[YearsAtCompany]]&lt;=10,"6-10 Years","10+ Years")))</f>
        <v>6-10 Years</v>
      </c>
      <c r="AO1162" s="1" t="str">
        <f>IF(HR_Data[[#This Row],[JobSatisfaction]]=1,"Low",IF(HR_Data[[#This Row],[JobSatisfaction]]=2,"Medium",IF(HR_Data[[#This Row],[JobSatisfaction]]=3,"High","Very High")))</f>
        <v>Very High</v>
      </c>
      <c r="AP1162" s="1" t="str">
        <f>IF(HR_Data[[#This Row],[WorkLifeBalance]]=1,"Bad",IF(HR_Data[[#This Row],[WorkLifeBalance]]=2,"Good",IF(HR_Data[[#This Row],[WorkLifeBalance]]=3,"Better","Best")))</f>
        <v>Better</v>
      </c>
    </row>
    <row r="1163" spans="1:42" x14ac:dyDescent="0.3">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c r="AJ1163">
        <f>IF(HR_Data[[#This Row],[Attrition]]="Yes",1,0)</f>
        <v>0</v>
      </c>
      <c r="AK1163">
        <f>IF(HR_Data[[#This Row],[Attrition]]="No",1,0)</f>
        <v>1</v>
      </c>
      <c r="AL1163" t="str">
        <f>IF(HR_Data[[#This Row],[Age]]&lt;25,"Under 25",IF(HR_Data[[#This Row],[Age]]&lt;=34,"25-34",IF(HR_Data[[#This Row],[Age]]&lt;=44,"35-44",IF(HR_Data[[#This Row],[Age]]&lt;=54,"45-54","55+"))))</f>
        <v>35-44</v>
      </c>
      <c r="AM1163" s="1" t="str">
        <f>IF(HR_Data[[#This Row],[MonthlyIncome]]&lt;3000,"Low Salary",IF(HR_Data[[#This Row],[MonthlyIncome]]&lt;=7000,"Medium Salary","High Salary"))</f>
        <v>High Salary</v>
      </c>
      <c r="AN1163" s="1" t="str">
        <f>IF(HR_Data[[#This Row],[YearsAtCompany]]&lt;2,"0-1 Years",IF(HR_Data[[#This Row],[YearsAtCompany]]&lt;=5,"2-5 Years",IF(HR_Data[[#This Row],[YearsAtCompany]]&lt;=10,"6-10 Years","10+ Years")))</f>
        <v>2-5 Years</v>
      </c>
      <c r="AO1163" s="1" t="str">
        <f>IF(HR_Data[[#This Row],[JobSatisfaction]]=1,"Low",IF(HR_Data[[#This Row],[JobSatisfaction]]=2,"Medium",IF(HR_Data[[#This Row],[JobSatisfaction]]=3,"High","Very High")))</f>
        <v>High</v>
      </c>
      <c r="AP1163" s="1" t="str">
        <f>IF(HR_Data[[#This Row],[WorkLifeBalance]]=1,"Bad",IF(HR_Data[[#This Row],[WorkLifeBalance]]=2,"Good",IF(HR_Data[[#This Row],[WorkLifeBalance]]=3,"Better","Best")))</f>
        <v>Best</v>
      </c>
    </row>
    <row r="1164" spans="1:42" x14ac:dyDescent="0.3">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c r="AJ1164">
        <f>IF(HR_Data[[#This Row],[Attrition]]="Yes",1,0)</f>
        <v>1</v>
      </c>
      <c r="AK1164">
        <f>IF(HR_Data[[#This Row],[Attrition]]="No",1,0)</f>
        <v>0</v>
      </c>
      <c r="AL1164" t="str">
        <f>IF(HR_Data[[#This Row],[Age]]&lt;25,"Under 25",IF(HR_Data[[#This Row],[Age]]&lt;=34,"25-34",IF(HR_Data[[#This Row],[Age]]&lt;=44,"35-44",IF(HR_Data[[#This Row],[Age]]&lt;=54,"45-54","55+"))))</f>
        <v>35-44</v>
      </c>
      <c r="AM1164" s="1" t="str">
        <f>IF(HR_Data[[#This Row],[MonthlyIncome]]&lt;3000,"Low Salary",IF(HR_Data[[#This Row],[MonthlyIncome]]&lt;=7000,"Medium Salary","High Salary"))</f>
        <v>High Salary</v>
      </c>
      <c r="AN1164" s="1" t="str">
        <f>IF(HR_Data[[#This Row],[YearsAtCompany]]&lt;2,"0-1 Years",IF(HR_Data[[#This Row],[YearsAtCompany]]&lt;=5,"2-5 Years",IF(HR_Data[[#This Row],[YearsAtCompany]]&lt;=10,"6-10 Years","10+ Years")))</f>
        <v>10+ Years</v>
      </c>
      <c r="AO1164" s="1" t="str">
        <f>IF(HR_Data[[#This Row],[JobSatisfaction]]=1,"Low",IF(HR_Data[[#This Row],[JobSatisfaction]]=2,"Medium",IF(HR_Data[[#This Row],[JobSatisfaction]]=3,"High","Very High")))</f>
        <v>Low</v>
      </c>
      <c r="AP1164" s="1" t="str">
        <f>IF(HR_Data[[#This Row],[WorkLifeBalance]]=1,"Bad",IF(HR_Data[[#This Row],[WorkLifeBalance]]=2,"Good",IF(HR_Data[[#This Row],[WorkLifeBalance]]=3,"Better","Best")))</f>
        <v>Better</v>
      </c>
    </row>
    <row r="1165" spans="1:42" x14ac:dyDescent="0.3">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c r="AJ1165">
        <f>IF(HR_Data[[#This Row],[Attrition]]="Yes",1,0)</f>
        <v>0</v>
      </c>
      <c r="AK1165">
        <f>IF(HR_Data[[#This Row],[Attrition]]="No",1,0)</f>
        <v>1</v>
      </c>
      <c r="AL1165" t="str">
        <f>IF(HR_Data[[#This Row],[Age]]&lt;25,"Under 25",IF(HR_Data[[#This Row],[Age]]&lt;=34,"25-34",IF(HR_Data[[#This Row],[Age]]&lt;=44,"35-44",IF(HR_Data[[#This Row],[Age]]&lt;=54,"45-54","55+"))))</f>
        <v>35-44</v>
      </c>
      <c r="AM1165" s="1" t="str">
        <f>IF(HR_Data[[#This Row],[MonthlyIncome]]&lt;3000,"Low Salary",IF(HR_Data[[#This Row],[MonthlyIncome]]&lt;=7000,"Medium Salary","High Salary"))</f>
        <v>Medium Salary</v>
      </c>
      <c r="AN1165" s="1" t="str">
        <f>IF(HR_Data[[#This Row],[YearsAtCompany]]&lt;2,"0-1 Years",IF(HR_Data[[#This Row],[YearsAtCompany]]&lt;=5,"2-5 Years",IF(HR_Data[[#This Row],[YearsAtCompany]]&lt;=10,"6-10 Years","10+ Years")))</f>
        <v>6-10 Years</v>
      </c>
      <c r="AO1165" s="1" t="str">
        <f>IF(HR_Data[[#This Row],[JobSatisfaction]]=1,"Low",IF(HR_Data[[#This Row],[JobSatisfaction]]=2,"Medium",IF(HR_Data[[#This Row],[JobSatisfaction]]=3,"High","Very High")))</f>
        <v>Medium</v>
      </c>
      <c r="AP1165" s="1" t="str">
        <f>IF(HR_Data[[#This Row],[WorkLifeBalance]]=1,"Bad",IF(HR_Data[[#This Row],[WorkLifeBalance]]=2,"Good",IF(HR_Data[[#This Row],[WorkLifeBalance]]=3,"Better","Best")))</f>
        <v>Bad</v>
      </c>
    </row>
    <row r="1166" spans="1:42" x14ac:dyDescent="0.3">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c r="AJ1166">
        <f>IF(HR_Data[[#This Row],[Attrition]]="Yes",1,0)</f>
        <v>0</v>
      </c>
      <c r="AK1166">
        <f>IF(HR_Data[[#This Row],[Attrition]]="No",1,0)</f>
        <v>1</v>
      </c>
      <c r="AL1166" t="str">
        <f>IF(HR_Data[[#This Row],[Age]]&lt;25,"Under 25",IF(HR_Data[[#This Row],[Age]]&lt;=34,"25-34",IF(HR_Data[[#This Row],[Age]]&lt;=44,"35-44",IF(HR_Data[[#This Row],[Age]]&lt;=54,"45-54","55+"))))</f>
        <v>35-44</v>
      </c>
      <c r="AM1166" s="1" t="str">
        <f>IF(HR_Data[[#This Row],[MonthlyIncome]]&lt;3000,"Low Salary",IF(HR_Data[[#This Row],[MonthlyIncome]]&lt;=7000,"Medium Salary","High Salary"))</f>
        <v>High Salary</v>
      </c>
      <c r="AN1166" s="1" t="str">
        <f>IF(HR_Data[[#This Row],[YearsAtCompany]]&lt;2,"0-1 Years",IF(HR_Data[[#This Row],[YearsAtCompany]]&lt;=5,"2-5 Years",IF(HR_Data[[#This Row],[YearsAtCompany]]&lt;=10,"6-10 Years","10+ Years")))</f>
        <v>2-5 Years</v>
      </c>
      <c r="AO1166" s="1" t="str">
        <f>IF(HR_Data[[#This Row],[JobSatisfaction]]=1,"Low",IF(HR_Data[[#This Row],[JobSatisfaction]]=2,"Medium",IF(HR_Data[[#This Row],[JobSatisfaction]]=3,"High","Very High")))</f>
        <v>Very High</v>
      </c>
      <c r="AP1166" s="1" t="str">
        <f>IF(HR_Data[[#This Row],[WorkLifeBalance]]=1,"Bad",IF(HR_Data[[#This Row],[WorkLifeBalance]]=2,"Good",IF(HR_Data[[#This Row],[WorkLifeBalance]]=3,"Better","Best")))</f>
        <v>Good</v>
      </c>
    </row>
    <row r="1167" spans="1:42" x14ac:dyDescent="0.3">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c r="AJ1167">
        <f>IF(HR_Data[[#This Row],[Attrition]]="Yes",1,0)</f>
        <v>0</v>
      </c>
      <c r="AK1167">
        <f>IF(HR_Data[[#This Row],[Attrition]]="No",1,0)</f>
        <v>1</v>
      </c>
      <c r="AL1167" t="str">
        <f>IF(HR_Data[[#This Row],[Age]]&lt;25,"Under 25",IF(HR_Data[[#This Row],[Age]]&lt;=34,"25-34",IF(HR_Data[[#This Row],[Age]]&lt;=44,"35-44",IF(HR_Data[[#This Row],[Age]]&lt;=54,"45-54","55+"))))</f>
        <v>35-44</v>
      </c>
      <c r="AM1167" s="1" t="str">
        <f>IF(HR_Data[[#This Row],[MonthlyIncome]]&lt;3000,"Low Salary",IF(HR_Data[[#This Row],[MonthlyIncome]]&lt;=7000,"Medium Salary","High Salary"))</f>
        <v>Medium Salary</v>
      </c>
      <c r="AN1167" s="1" t="str">
        <f>IF(HR_Data[[#This Row],[YearsAtCompany]]&lt;2,"0-1 Years",IF(HR_Data[[#This Row],[YearsAtCompany]]&lt;=5,"2-5 Years",IF(HR_Data[[#This Row],[YearsAtCompany]]&lt;=10,"6-10 Years","10+ Years")))</f>
        <v>6-10 Years</v>
      </c>
      <c r="AO1167" s="1" t="str">
        <f>IF(HR_Data[[#This Row],[JobSatisfaction]]=1,"Low",IF(HR_Data[[#This Row],[JobSatisfaction]]=2,"Medium",IF(HR_Data[[#This Row],[JobSatisfaction]]=3,"High","Very High")))</f>
        <v>Very High</v>
      </c>
      <c r="AP1167" s="1" t="str">
        <f>IF(HR_Data[[#This Row],[WorkLifeBalance]]=1,"Bad",IF(HR_Data[[#This Row],[WorkLifeBalance]]=2,"Good",IF(HR_Data[[#This Row],[WorkLifeBalance]]=3,"Better","Best")))</f>
        <v>Better</v>
      </c>
    </row>
    <row r="1168" spans="1:42" x14ac:dyDescent="0.3">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c r="AJ1168">
        <f>IF(HR_Data[[#This Row],[Attrition]]="Yes",1,0)</f>
        <v>0</v>
      </c>
      <c r="AK1168">
        <f>IF(HR_Data[[#This Row],[Attrition]]="No",1,0)</f>
        <v>1</v>
      </c>
      <c r="AL1168" t="str">
        <f>IF(HR_Data[[#This Row],[Age]]&lt;25,"Under 25",IF(HR_Data[[#This Row],[Age]]&lt;=34,"25-34",IF(HR_Data[[#This Row],[Age]]&lt;=44,"35-44",IF(HR_Data[[#This Row],[Age]]&lt;=54,"45-54","55+"))))</f>
        <v>45-54</v>
      </c>
      <c r="AM1168" s="1" t="str">
        <f>IF(HR_Data[[#This Row],[MonthlyIncome]]&lt;3000,"Low Salary",IF(HR_Data[[#This Row],[MonthlyIncome]]&lt;=7000,"Medium Salary","High Salary"))</f>
        <v>High Salary</v>
      </c>
      <c r="AN1168" s="1" t="str">
        <f>IF(HR_Data[[#This Row],[YearsAtCompany]]&lt;2,"0-1 Years",IF(HR_Data[[#This Row],[YearsAtCompany]]&lt;=5,"2-5 Years",IF(HR_Data[[#This Row],[YearsAtCompany]]&lt;=10,"6-10 Years","10+ Years")))</f>
        <v>2-5 Years</v>
      </c>
      <c r="AO1168" s="1" t="str">
        <f>IF(HR_Data[[#This Row],[JobSatisfaction]]=1,"Low",IF(HR_Data[[#This Row],[JobSatisfaction]]=2,"Medium",IF(HR_Data[[#This Row],[JobSatisfaction]]=3,"High","Very High")))</f>
        <v>Very High</v>
      </c>
      <c r="AP1168" s="1" t="str">
        <f>IF(HR_Data[[#This Row],[WorkLifeBalance]]=1,"Bad",IF(HR_Data[[#This Row],[WorkLifeBalance]]=2,"Good",IF(HR_Data[[#This Row],[WorkLifeBalance]]=3,"Better","Best")))</f>
        <v>Better</v>
      </c>
    </row>
    <row r="1169" spans="1:42" x14ac:dyDescent="0.3">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c r="AJ1169">
        <f>IF(HR_Data[[#This Row],[Attrition]]="Yes",1,0)</f>
        <v>1</v>
      </c>
      <c r="AK1169">
        <f>IF(HR_Data[[#This Row],[Attrition]]="No",1,0)</f>
        <v>0</v>
      </c>
      <c r="AL1169" t="str">
        <f>IF(HR_Data[[#This Row],[Age]]&lt;25,"Under 25",IF(HR_Data[[#This Row],[Age]]&lt;=34,"25-34",IF(HR_Data[[#This Row],[Age]]&lt;=44,"35-44",IF(HR_Data[[#This Row],[Age]]&lt;=54,"45-54","55+"))))</f>
        <v>35-44</v>
      </c>
      <c r="AM1169" s="1" t="str">
        <f>IF(HR_Data[[#This Row],[MonthlyIncome]]&lt;3000,"Low Salary",IF(HR_Data[[#This Row],[MonthlyIncome]]&lt;=7000,"Medium Salary","High Salary"))</f>
        <v>Medium Salary</v>
      </c>
      <c r="AN1169" s="1" t="str">
        <f>IF(HR_Data[[#This Row],[YearsAtCompany]]&lt;2,"0-1 Years",IF(HR_Data[[#This Row],[YearsAtCompany]]&lt;=5,"2-5 Years",IF(HR_Data[[#This Row],[YearsAtCompany]]&lt;=10,"6-10 Years","10+ Years")))</f>
        <v>2-5 Years</v>
      </c>
      <c r="AO1169" s="1" t="str">
        <f>IF(HR_Data[[#This Row],[JobSatisfaction]]=1,"Low",IF(HR_Data[[#This Row],[JobSatisfaction]]=2,"Medium",IF(HR_Data[[#This Row],[JobSatisfaction]]=3,"High","Very High")))</f>
        <v>Very High</v>
      </c>
      <c r="AP1169" s="1" t="str">
        <f>IF(HR_Data[[#This Row],[WorkLifeBalance]]=1,"Bad",IF(HR_Data[[#This Row],[WorkLifeBalance]]=2,"Good",IF(HR_Data[[#This Row],[WorkLifeBalance]]=3,"Better","Best")))</f>
        <v>Good</v>
      </c>
    </row>
    <row r="1170" spans="1:42" x14ac:dyDescent="0.3">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c r="AJ1170">
        <f>IF(HR_Data[[#This Row],[Attrition]]="Yes",1,0)</f>
        <v>0</v>
      </c>
      <c r="AK1170">
        <f>IF(HR_Data[[#This Row],[Attrition]]="No",1,0)</f>
        <v>1</v>
      </c>
      <c r="AL1170" t="str">
        <f>IF(HR_Data[[#This Row],[Age]]&lt;25,"Under 25",IF(HR_Data[[#This Row],[Age]]&lt;=34,"25-34",IF(HR_Data[[#This Row],[Age]]&lt;=44,"35-44",IF(HR_Data[[#This Row],[Age]]&lt;=54,"45-54","55+"))))</f>
        <v>Under 25</v>
      </c>
      <c r="AM1170" s="1" t="str">
        <f>IF(HR_Data[[#This Row],[MonthlyIncome]]&lt;3000,"Low Salary",IF(HR_Data[[#This Row],[MonthlyIncome]]&lt;=7000,"Medium Salary","High Salary"))</f>
        <v>Medium Salary</v>
      </c>
      <c r="AN1170" s="1" t="str">
        <f>IF(HR_Data[[#This Row],[YearsAtCompany]]&lt;2,"0-1 Years",IF(HR_Data[[#This Row],[YearsAtCompany]]&lt;=5,"2-5 Years",IF(HR_Data[[#This Row],[YearsAtCompany]]&lt;=10,"6-10 Years","10+ Years")))</f>
        <v>6-10 Years</v>
      </c>
      <c r="AO1170" s="1" t="str">
        <f>IF(HR_Data[[#This Row],[JobSatisfaction]]=1,"Low",IF(HR_Data[[#This Row],[JobSatisfaction]]=2,"Medium",IF(HR_Data[[#This Row],[JobSatisfaction]]=3,"High","Very High")))</f>
        <v>Very High</v>
      </c>
      <c r="AP1170" s="1" t="str">
        <f>IF(HR_Data[[#This Row],[WorkLifeBalance]]=1,"Bad",IF(HR_Data[[#This Row],[WorkLifeBalance]]=2,"Good",IF(HR_Data[[#This Row],[WorkLifeBalance]]=3,"Better","Best")))</f>
        <v>Better</v>
      </c>
    </row>
    <row r="1171" spans="1:42" x14ac:dyDescent="0.3">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c r="AJ1171">
        <f>IF(HR_Data[[#This Row],[Attrition]]="Yes",1,0)</f>
        <v>0</v>
      </c>
      <c r="AK1171">
        <f>IF(HR_Data[[#This Row],[Attrition]]="No",1,0)</f>
        <v>1</v>
      </c>
      <c r="AL1171" t="str">
        <f>IF(HR_Data[[#This Row],[Age]]&lt;25,"Under 25",IF(HR_Data[[#This Row],[Age]]&lt;=34,"25-34",IF(HR_Data[[#This Row],[Age]]&lt;=44,"35-44",IF(HR_Data[[#This Row],[Age]]&lt;=54,"45-54","55+"))))</f>
        <v>25-34</v>
      </c>
      <c r="AM1171" s="1" t="str">
        <f>IF(HR_Data[[#This Row],[MonthlyIncome]]&lt;3000,"Low Salary",IF(HR_Data[[#This Row],[MonthlyIncome]]&lt;=7000,"Medium Salary","High Salary"))</f>
        <v>Medium Salary</v>
      </c>
      <c r="AN1171" s="1" t="str">
        <f>IF(HR_Data[[#This Row],[YearsAtCompany]]&lt;2,"0-1 Years",IF(HR_Data[[#This Row],[YearsAtCompany]]&lt;=5,"2-5 Years",IF(HR_Data[[#This Row],[YearsAtCompany]]&lt;=10,"6-10 Years","10+ Years")))</f>
        <v>2-5 Years</v>
      </c>
      <c r="AO1171" s="1" t="str">
        <f>IF(HR_Data[[#This Row],[JobSatisfaction]]=1,"Low",IF(HR_Data[[#This Row],[JobSatisfaction]]=2,"Medium",IF(HR_Data[[#This Row],[JobSatisfaction]]=3,"High","Very High")))</f>
        <v>High</v>
      </c>
      <c r="AP1171" s="1" t="str">
        <f>IF(HR_Data[[#This Row],[WorkLifeBalance]]=1,"Bad",IF(HR_Data[[#This Row],[WorkLifeBalance]]=2,"Good",IF(HR_Data[[#This Row],[WorkLifeBalance]]=3,"Better","Best")))</f>
        <v>Better</v>
      </c>
    </row>
    <row r="1172" spans="1:42" x14ac:dyDescent="0.3">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c r="AJ1172">
        <f>IF(HR_Data[[#This Row],[Attrition]]="Yes",1,0)</f>
        <v>0</v>
      </c>
      <c r="AK1172">
        <f>IF(HR_Data[[#This Row],[Attrition]]="No",1,0)</f>
        <v>1</v>
      </c>
      <c r="AL1172" t="str">
        <f>IF(HR_Data[[#This Row],[Age]]&lt;25,"Under 25",IF(HR_Data[[#This Row],[Age]]&lt;=34,"25-34",IF(HR_Data[[#This Row],[Age]]&lt;=44,"35-44",IF(HR_Data[[#This Row],[Age]]&lt;=54,"45-54","55+"))))</f>
        <v>25-34</v>
      </c>
      <c r="AM1172" s="1" t="str">
        <f>IF(HR_Data[[#This Row],[MonthlyIncome]]&lt;3000,"Low Salary",IF(HR_Data[[#This Row],[MonthlyIncome]]&lt;=7000,"Medium Salary","High Salary"))</f>
        <v>Low Salary</v>
      </c>
      <c r="AN1172" s="1" t="str">
        <f>IF(HR_Data[[#This Row],[YearsAtCompany]]&lt;2,"0-1 Years",IF(HR_Data[[#This Row],[YearsAtCompany]]&lt;=5,"2-5 Years",IF(HR_Data[[#This Row],[YearsAtCompany]]&lt;=10,"6-10 Years","10+ Years")))</f>
        <v>2-5 Years</v>
      </c>
      <c r="AO1172" s="1" t="str">
        <f>IF(HR_Data[[#This Row],[JobSatisfaction]]=1,"Low",IF(HR_Data[[#This Row],[JobSatisfaction]]=2,"Medium",IF(HR_Data[[#This Row],[JobSatisfaction]]=3,"High","Very High")))</f>
        <v>Very High</v>
      </c>
      <c r="AP1172" s="1" t="str">
        <f>IF(HR_Data[[#This Row],[WorkLifeBalance]]=1,"Bad",IF(HR_Data[[#This Row],[WorkLifeBalance]]=2,"Good",IF(HR_Data[[#This Row],[WorkLifeBalance]]=3,"Better","Best")))</f>
        <v>Good</v>
      </c>
    </row>
    <row r="1173" spans="1:42" x14ac:dyDescent="0.3">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c r="AJ1173">
        <f>IF(HR_Data[[#This Row],[Attrition]]="Yes",1,0)</f>
        <v>1</v>
      </c>
      <c r="AK1173">
        <f>IF(HR_Data[[#This Row],[Attrition]]="No",1,0)</f>
        <v>0</v>
      </c>
      <c r="AL1173" t="str">
        <f>IF(HR_Data[[#This Row],[Age]]&lt;25,"Under 25",IF(HR_Data[[#This Row],[Age]]&lt;=34,"25-34",IF(HR_Data[[#This Row],[Age]]&lt;=44,"35-44",IF(HR_Data[[#This Row],[Age]]&lt;=54,"45-54","55+"))))</f>
        <v>35-44</v>
      </c>
      <c r="AM1173" s="1" t="str">
        <f>IF(HR_Data[[#This Row],[MonthlyIncome]]&lt;3000,"Low Salary",IF(HR_Data[[#This Row],[MonthlyIncome]]&lt;=7000,"Medium Salary","High Salary"))</f>
        <v>Low Salary</v>
      </c>
      <c r="AN1173" s="1" t="str">
        <f>IF(HR_Data[[#This Row],[YearsAtCompany]]&lt;2,"0-1 Years",IF(HR_Data[[#This Row],[YearsAtCompany]]&lt;=5,"2-5 Years",IF(HR_Data[[#This Row],[YearsAtCompany]]&lt;=10,"6-10 Years","10+ Years")))</f>
        <v>2-5 Years</v>
      </c>
      <c r="AO1173" s="1" t="str">
        <f>IF(HR_Data[[#This Row],[JobSatisfaction]]=1,"Low",IF(HR_Data[[#This Row],[JobSatisfaction]]=2,"Medium",IF(HR_Data[[#This Row],[JobSatisfaction]]=3,"High","Very High")))</f>
        <v>Low</v>
      </c>
      <c r="AP1173" s="1" t="str">
        <f>IF(HR_Data[[#This Row],[WorkLifeBalance]]=1,"Bad",IF(HR_Data[[#This Row],[WorkLifeBalance]]=2,"Good",IF(HR_Data[[#This Row],[WorkLifeBalance]]=3,"Better","Best")))</f>
        <v>Bad</v>
      </c>
    </row>
    <row r="1174" spans="1:42" x14ac:dyDescent="0.3">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c r="AJ1174">
        <f>IF(HR_Data[[#This Row],[Attrition]]="Yes",1,0)</f>
        <v>0</v>
      </c>
      <c r="AK1174">
        <f>IF(HR_Data[[#This Row],[Attrition]]="No",1,0)</f>
        <v>1</v>
      </c>
      <c r="AL1174" t="str">
        <f>IF(HR_Data[[#This Row],[Age]]&lt;25,"Under 25",IF(HR_Data[[#This Row],[Age]]&lt;=34,"25-34",IF(HR_Data[[#This Row],[Age]]&lt;=44,"35-44",IF(HR_Data[[#This Row],[Age]]&lt;=54,"45-54","55+"))))</f>
        <v>25-34</v>
      </c>
      <c r="AM1174" s="1" t="str">
        <f>IF(HR_Data[[#This Row],[MonthlyIncome]]&lt;3000,"Low Salary",IF(HR_Data[[#This Row],[MonthlyIncome]]&lt;=7000,"Medium Salary","High Salary"))</f>
        <v>Medium Salary</v>
      </c>
      <c r="AN1174" s="1" t="str">
        <f>IF(HR_Data[[#This Row],[YearsAtCompany]]&lt;2,"0-1 Years",IF(HR_Data[[#This Row],[YearsAtCompany]]&lt;=5,"2-5 Years",IF(HR_Data[[#This Row],[YearsAtCompany]]&lt;=10,"6-10 Years","10+ Years")))</f>
        <v>2-5 Years</v>
      </c>
      <c r="AO1174" s="1" t="str">
        <f>IF(HR_Data[[#This Row],[JobSatisfaction]]=1,"Low",IF(HR_Data[[#This Row],[JobSatisfaction]]=2,"Medium",IF(HR_Data[[#This Row],[JobSatisfaction]]=3,"High","Very High")))</f>
        <v>High</v>
      </c>
      <c r="AP1174" s="1" t="str">
        <f>IF(HR_Data[[#This Row],[WorkLifeBalance]]=1,"Bad",IF(HR_Data[[#This Row],[WorkLifeBalance]]=2,"Good",IF(HR_Data[[#This Row],[WorkLifeBalance]]=3,"Better","Best")))</f>
        <v>Better</v>
      </c>
    </row>
    <row r="1175" spans="1:42" x14ac:dyDescent="0.3">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c r="AJ1175">
        <f>IF(HR_Data[[#This Row],[Attrition]]="Yes",1,0)</f>
        <v>0</v>
      </c>
      <c r="AK1175">
        <f>IF(HR_Data[[#This Row],[Attrition]]="No",1,0)</f>
        <v>1</v>
      </c>
      <c r="AL1175" t="str">
        <f>IF(HR_Data[[#This Row],[Age]]&lt;25,"Under 25",IF(HR_Data[[#This Row],[Age]]&lt;=34,"25-34",IF(HR_Data[[#This Row],[Age]]&lt;=44,"35-44",IF(HR_Data[[#This Row],[Age]]&lt;=54,"45-54","55+"))))</f>
        <v>35-44</v>
      </c>
      <c r="AM1175" s="1" t="str">
        <f>IF(HR_Data[[#This Row],[MonthlyIncome]]&lt;3000,"Low Salary",IF(HR_Data[[#This Row],[MonthlyIncome]]&lt;=7000,"Medium Salary","High Salary"))</f>
        <v>High Salary</v>
      </c>
      <c r="AN1175" s="1" t="str">
        <f>IF(HR_Data[[#This Row],[YearsAtCompany]]&lt;2,"0-1 Years",IF(HR_Data[[#This Row],[YearsAtCompany]]&lt;=5,"2-5 Years",IF(HR_Data[[#This Row],[YearsAtCompany]]&lt;=10,"6-10 Years","10+ Years")))</f>
        <v>2-5 Years</v>
      </c>
      <c r="AO1175" s="1" t="str">
        <f>IF(HR_Data[[#This Row],[JobSatisfaction]]=1,"Low",IF(HR_Data[[#This Row],[JobSatisfaction]]=2,"Medium",IF(HR_Data[[#This Row],[JobSatisfaction]]=3,"High","Very High")))</f>
        <v>Low</v>
      </c>
      <c r="AP1175" s="1" t="str">
        <f>IF(HR_Data[[#This Row],[WorkLifeBalance]]=1,"Bad",IF(HR_Data[[#This Row],[WorkLifeBalance]]=2,"Good",IF(HR_Data[[#This Row],[WorkLifeBalance]]=3,"Better","Best")))</f>
        <v>Better</v>
      </c>
    </row>
    <row r="1176" spans="1:42" x14ac:dyDescent="0.3">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c r="AJ1176">
        <f>IF(HR_Data[[#This Row],[Attrition]]="Yes",1,0)</f>
        <v>0</v>
      </c>
      <c r="AK1176">
        <f>IF(HR_Data[[#This Row],[Attrition]]="No",1,0)</f>
        <v>1</v>
      </c>
      <c r="AL1176" t="str">
        <f>IF(HR_Data[[#This Row],[Age]]&lt;25,"Under 25",IF(HR_Data[[#This Row],[Age]]&lt;=34,"25-34",IF(HR_Data[[#This Row],[Age]]&lt;=44,"35-44",IF(HR_Data[[#This Row],[Age]]&lt;=54,"45-54","55+"))))</f>
        <v>25-34</v>
      </c>
      <c r="AM1176" s="1" t="str">
        <f>IF(HR_Data[[#This Row],[MonthlyIncome]]&lt;3000,"Low Salary",IF(HR_Data[[#This Row],[MonthlyIncome]]&lt;=7000,"Medium Salary","High Salary"))</f>
        <v>Medium Salary</v>
      </c>
      <c r="AN1176" s="1" t="str">
        <f>IF(HR_Data[[#This Row],[YearsAtCompany]]&lt;2,"0-1 Years",IF(HR_Data[[#This Row],[YearsAtCompany]]&lt;=5,"2-5 Years",IF(HR_Data[[#This Row],[YearsAtCompany]]&lt;=10,"6-10 Years","10+ Years")))</f>
        <v>6-10 Years</v>
      </c>
      <c r="AO1176" s="1" t="str">
        <f>IF(HR_Data[[#This Row],[JobSatisfaction]]=1,"Low",IF(HR_Data[[#This Row],[JobSatisfaction]]=2,"Medium",IF(HR_Data[[#This Row],[JobSatisfaction]]=3,"High","Very High")))</f>
        <v>High</v>
      </c>
      <c r="AP1176" s="1" t="str">
        <f>IF(HR_Data[[#This Row],[WorkLifeBalance]]=1,"Bad",IF(HR_Data[[#This Row],[WorkLifeBalance]]=2,"Good",IF(HR_Data[[#This Row],[WorkLifeBalance]]=3,"Better","Best")))</f>
        <v>Better</v>
      </c>
    </row>
    <row r="1177" spans="1:42" x14ac:dyDescent="0.3">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c r="AJ1177">
        <f>IF(HR_Data[[#This Row],[Attrition]]="Yes",1,0)</f>
        <v>0</v>
      </c>
      <c r="AK1177">
        <f>IF(HR_Data[[#This Row],[Attrition]]="No",1,0)</f>
        <v>1</v>
      </c>
      <c r="AL1177" t="str">
        <f>IF(HR_Data[[#This Row],[Age]]&lt;25,"Under 25",IF(HR_Data[[#This Row],[Age]]&lt;=34,"25-34",IF(HR_Data[[#This Row],[Age]]&lt;=44,"35-44",IF(HR_Data[[#This Row],[Age]]&lt;=54,"45-54","55+"))))</f>
        <v>35-44</v>
      </c>
      <c r="AM1177" s="1" t="str">
        <f>IF(HR_Data[[#This Row],[MonthlyIncome]]&lt;3000,"Low Salary",IF(HR_Data[[#This Row],[MonthlyIncome]]&lt;=7000,"Medium Salary","High Salary"))</f>
        <v>Medium Salary</v>
      </c>
      <c r="AN1177" s="1" t="str">
        <f>IF(HR_Data[[#This Row],[YearsAtCompany]]&lt;2,"0-1 Years",IF(HR_Data[[#This Row],[YearsAtCompany]]&lt;=5,"2-5 Years",IF(HR_Data[[#This Row],[YearsAtCompany]]&lt;=10,"6-10 Years","10+ Years")))</f>
        <v>2-5 Years</v>
      </c>
      <c r="AO1177" s="1" t="str">
        <f>IF(HR_Data[[#This Row],[JobSatisfaction]]=1,"Low",IF(HR_Data[[#This Row],[JobSatisfaction]]=2,"Medium",IF(HR_Data[[#This Row],[JobSatisfaction]]=3,"High","Very High")))</f>
        <v>Medium</v>
      </c>
      <c r="AP1177" s="1" t="str">
        <f>IF(HR_Data[[#This Row],[WorkLifeBalance]]=1,"Bad",IF(HR_Data[[#This Row],[WorkLifeBalance]]=2,"Good",IF(HR_Data[[#This Row],[WorkLifeBalance]]=3,"Better","Best")))</f>
        <v>Better</v>
      </c>
    </row>
    <row r="1178" spans="1:42" x14ac:dyDescent="0.3">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c r="AJ1178">
        <f>IF(HR_Data[[#This Row],[Attrition]]="Yes",1,0)</f>
        <v>0</v>
      </c>
      <c r="AK1178">
        <f>IF(HR_Data[[#This Row],[Attrition]]="No",1,0)</f>
        <v>1</v>
      </c>
      <c r="AL1178" t="str">
        <f>IF(HR_Data[[#This Row],[Age]]&lt;25,"Under 25",IF(HR_Data[[#This Row],[Age]]&lt;=34,"25-34",IF(HR_Data[[#This Row],[Age]]&lt;=44,"35-44",IF(HR_Data[[#This Row],[Age]]&lt;=54,"45-54","55+"))))</f>
        <v>45-54</v>
      </c>
      <c r="AM1178" s="1" t="str">
        <f>IF(HR_Data[[#This Row],[MonthlyIncome]]&lt;3000,"Low Salary",IF(HR_Data[[#This Row],[MonthlyIncome]]&lt;=7000,"Medium Salary","High Salary"))</f>
        <v>High Salary</v>
      </c>
      <c r="AN1178" s="1" t="str">
        <f>IF(HR_Data[[#This Row],[YearsAtCompany]]&lt;2,"0-1 Years",IF(HR_Data[[#This Row],[YearsAtCompany]]&lt;=5,"2-5 Years",IF(HR_Data[[#This Row],[YearsAtCompany]]&lt;=10,"6-10 Years","10+ Years")))</f>
        <v>2-5 Years</v>
      </c>
      <c r="AO1178" s="1" t="str">
        <f>IF(HR_Data[[#This Row],[JobSatisfaction]]=1,"Low",IF(HR_Data[[#This Row],[JobSatisfaction]]=2,"Medium",IF(HR_Data[[#This Row],[JobSatisfaction]]=3,"High","Very High")))</f>
        <v>Medium</v>
      </c>
      <c r="AP1178" s="1" t="str">
        <f>IF(HR_Data[[#This Row],[WorkLifeBalance]]=1,"Bad",IF(HR_Data[[#This Row],[WorkLifeBalance]]=2,"Good",IF(HR_Data[[#This Row],[WorkLifeBalance]]=3,"Better","Best")))</f>
        <v>Better</v>
      </c>
    </row>
    <row r="1179" spans="1:42" x14ac:dyDescent="0.3">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c r="AJ1179">
        <f>IF(HR_Data[[#This Row],[Attrition]]="Yes",1,0)</f>
        <v>0</v>
      </c>
      <c r="AK1179">
        <f>IF(HR_Data[[#This Row],[Attrition]]="No",1,0)</f>
        <v>1</v>
      </c>
      <c r="AL1179" t="str">
        <f>IF(HR_Data[[#This Row],[Age]]&lt;25,"Under 25",IF(HR_Data[[#This Row],[Age]]&lt;=34,"25-34",IF(HR_Data[[#This Row],[Age]]&lt;=44,"35-44",IF(HR_Data[[#This Row],[Age]]&lt;=54,"45-54","55+"))))</f>
        <v>45-54</v>
      </c>
      <c r="AM1179" s="1" t="str">
        <f>IF(HR_Data[[#This Row],[MonthlyIncome]]&lt;3000,"Low Salary",IF(HR_Data[[#This Row],[MonthlyIncome]]&lt;=7000,"Medium Salary","High Salary"))</f>
        <v>High Salary</v>
      </c>
      <c r="AN1179" s="1" t="str">
        <f>IF(HR_Data[[#This Row],[YearsAtCompany]]&lt;2,"0-1 Years",IF(HR_Data[[#This Row],[YearsAtCompany]]&lt;=5,"2-5 Years",IF(HR_Data[[#This Row],[YearsAtCompany]]&lt;=10,"6-10 Years","10+ Years")))</f>
        <v>10+ Years</v>
      </c>
      <c r="AO1179" s="1" t="str">
        <f>IF(HR_Data[[#This Row],[JobSatisfaction]]=1,"Low",IF(HR_Data[[#This Row],[JobSatisfaction]]=2,"Medium",IF(HR_Data[[#This Row],[JobSatisfaction]]=3,"High","Very High")))</f>
        <v>Low</v>
      </c>
      <c r="AP1179" s="1" t="str">
        <f>IF(HR_Data[[#This Row],[WorkLifeBalance]]=1,"Bad",IF(HR_Data[[#This Row],[WorkLifeBalance]]=2,"Good",IF(HR_Data[[#This Row],[WorkLifeBalance]]=3,"Better","Best")))</f>
        <v>Better</v>
      </c>
    </row>
    <row r="1180" spans="1:42" x14ac:dyDescent="0.3">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c r="AJ1180">
        <f>IF(HR_Data[[#This Row],[Attrition]]="Yes",1,0)</f>
        <v>0</v>
      </c>
      <c r="AK1180">
        <f>IF(HR_Data[[#This Row],[Attrition]]="No",1,0)</f>
        <v>1</v>
      </c>
      <c r="AL1180" t="str">
        <f>IF(HR_Data[[#This Row],[Age]]&lt;25,"Under 25",IF(HR_Data[[#This Row],[Age]]&lt;=34,"25-34",IF(HR_Data[[#This Row],[Age]]&lt;=44,"35-44",IF(HR_Data[[#This Row],[Age]]&lt;=54,"45-54","55+"))))</f>
        <v>Under 25</v>
      </c>
      <c r="AM1180" s="1" t="str">
        <f>IF(HR_Data[[#This Row],[MonthlyIncome]]&lt;3000,"Low Salary",IF(HR_Data[[#This Row],[MonthlyIncome]]&lt;=7000,"Medium Salary","High Salary"))</f>
        <v>Low Salary</v>
      </c>
      <c r="AN1180" s="1" t="str">
        <f>IF(HR_Data[[#This Row],[YearsAtCompany]]&lt;2,"0-1 Years",IF(HR_Data[[#This Row],[YearsAtCompany]]&lt;=5,"2-5 Years",IF(HR_Data[[#This Row],[YearsAtCompany]]&lt;=10,"6-10 Years","10+ Years")))</f>
        <v>2-5 Years</v>
      </c>
      <c r="AO1180" s="1" t="str">
        <f>IF(HR_Data[[#This Row],[JobSatisfaction]]=1,"Low",IF(HR_Data[[#This Row],[JobSatisfaction]]=2,"Medium",IF(HR_Data[[#This Row],[JobSatisfaction]]=3,"High","Very High")))</f>
        <v>High</v>
      </c>
      <c r="AP1180" s="1" t="str">
        <f>IF(HR_Data[[#This Row],[WorkLifeBalance]]=1,"Bad",IF(HR_Data[[#This Row],[WorkLifeBalance]]=2,"Good",IF(HR_Data[[#This Row],[WorkLifeBalance]]=3,"Better","Best")))</f>
        <v>Better</v>
      </c>
    </row>
    <row r="1181" spans="1:42" x14ac:dyDescent="0.3">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c r="AJ1181">
        <f>IF(HR_Data[[#This Row],[Attrition]]="Yes",1,0)</f>
        <v>0</v>
      </c>
      <c r="AK1181">
        <f>IF(HR_Data[[#This Row],[Attrition]]="No",1,0)</f>
        <v>1</v>
      </c>
      <c r="AL1181" t="str">
        <f>IF(HR_Data[[#This Row],[Age]]&lt;25,"Under 25",IF(HR_Data[[#This Row],[Age]]&lt;=34,"25-34",IF(HR_Data[[#This Row],[Age]]&lt;=44,"35-44",IF(HR_Data[[#This Row],[Age]]&lt;=54,"45-54","55+"))))</f>
        <v>25-34</v>
      </c>
      <c r="AM1181" s="1" t="str">
        <f>IF(HR_Data[[#This Row],[MonthlyIncome]]&lt;3000,"Low Salary",IF(HR_Data[[#This Row],[MonthlyIncome]]&lt;=7000,"Medium Salary","High Salary"))</f>
        <v>Medium Salary</v>
      </c>
      <c r="AN1181" s="1" t="str">
        <f>IF(HR_Data[[#This Row],[YearsAtCompany]]&lt;2,"0-1 Years",IF(HR_Data[[#This Row],[YearsAtCompany]]&lt;=5,"2-5 Years",IF(HR_Data[[#This Row],[YearsAtCompany]]&lt;=10,"6-10 Years","10+ Years")))</f>
        <v>10+ Years</v>
      </c>
      <c r="AO1181" s="1" t="str">
        <f>IF(HR_Data[[#This Row],[JobSatisfaction]]=1,"Low",IF(HR_Data[[#This Row],[JobSatisfaction]]=2,"Medium",IF(HR_Data[[#This Row],[JobSatisfaction]]=3,"High","Very High")))</f>
        <v>Medium</v>
      </c>
      <c r="AP1181" s="1" t="str">
        <f>IF(HR_Data[[#This Row],[WorkLifeBalance]]=1,"Bad",IF(HR_Data[[#This Row],[WorkLifeBalance]]=2,"Good",IF(HR_Data[[#This Row],[WorkLifeBalance]]=3,"Better","Best")))</f>
        <v>Better</v>
      </c>
    </row>
    <row r="1182" spans="1:42" x14ac:dyDescent="0.3">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c r="AJ1182">
        <f>IF(HR_Data[[#This Row],[Attrition]]="Yes",1,0)</f>
        <v>0</v>
      </c>
      <c r="AK1182">
        <f>IF(HR_Data[[#This Row],[Attrition]]="No",1,0)</f>
        <v>1</v>
      </c>
      <c r="AL1182" t="str">
        <f>IF(HR_Data[[#This Row],[Age]]&lt;25,"Under 25",IF(HR_Data[[#This Row],[Age]]&lt;=34,"25-34",IF(HR_Data[[#This Row],[Age]]&lt;=44,"35-44",IF(HR_Data[[#This Row],[Age]]&lt;=54,"45-54","55+"))))</f>
        <v>35-44</v>
      </c>
      <c r="AM1182" s="1" t="str">
        <f>IF(HR_Data[[#This Row],[MonthlyIncome]]&lt;3000,"Low Salary",IF(HR_Data[[#This Row],[MonthlyIncome]]&lt;=7000,"Medium Salary","High Salary"))</f>
        <v>Low Salary</v>
      </c>
      <c r="AN1182" s="1" t="str">
        <f>IF(HR_Data[[#This Row],[YearsAtCompany]]&lt;2,"0-1 Years",IF(HR_Data[[#This Row],[YearsAtCompany]]&lt;=5,"2-5 Years",IF(HR_Data[[#This Row],[YearsAtCompany]]&lt;=10,"6-10 Years","10+ Years")))</f>
        <v>2-5 Years</v>
      </c>
      <c r="AO1182" s="1" t="str">
        <f>IF(HR_Data[[#This Row],[JobSatisfaction]]=1,"Low",IF(HR_Data[[#This Row],[JobSatisfaction]]=2,"Medium",IF(HR_Data[[#This Row],[JobSatisfaction]]=3,"High","Very High")))</f>
        <v>Medium</v>
      </c>
      <c r="AP1182" s="1" t="str">
        <f>IF(HR_Data[[#This Row],[WorkLifeBalance]]=1,"Bad",IF(HR_Data[[#This Row],[WorkLifeBalance]]=2,"Good",IF(HR_Data[[#This Row],[WorkLifeBalance]]=3,"Better","Best")))</f>
        <v>Better</v>
      </c>
    </row>
    <row r="1183" spans="1:42" x14ac:dyDescent="0.3">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c r="AJ1183">
        <f>IF(HR_Data[[#This Row],[Attrition]]="Yes",1,0)</f>
        <v>0</v>
      </c>
      <c r="AK1183">
        <f>IF(HR_Data[[#This Row],[Attrition]]="No",1,0)</f>
        <v>1</v>
      </c>
      <c r="AL1183" t="str">
        <f>IF(HR_Data[[#This Row],[Age]]&lt;25,"Under 25",IF(HR_Data[[#This Row],[Age]]&lt;=34,"25-34",IF(HR_Data[[#This Row],[Age]]&lt;=44,"35-44",IF(HR_Data[[#This Row],[Age]]&lt;=54,"45-54","55+"))))</f>
        <v>45-54</v>
      </c>
      <c r="AM1183" s="1" t="str">
        <f>IF(HR_Data[[#This Row],[MonthlyIncome]]&lt;3000,"Low Salary",IF(HR_Data[[#This Row],[MonthlyIncome]]&lt;=7000,"Medium Salary","High Salary"))</f>
        <v>High Salary</v>
      </c>
      <c r="AN1183" s="1" t="str">
        <f>IF(HR_Data[[#This Row],[YearsAtCompany]]&lt;2,"0-1 Years",IF(HR_Data[[#This Row],[YearsAtCompany]]&lt;=5,"2-5 Years",IF(HR_Data[[#This Row],[YearsAtCompany]]&lt;=10,"6-10 Years","10+ Years")))</f>
        <v>10+ Years</v>
      </c>
      <c r="AO1183" s="1" t="str">
        <f>IF(HR_Data[[#This Row],[JobSatisfaction]]=1,"Low",IF(HR_Data[[#This Row],[JobSatisfaction]]=2,"Medium",IF(HR_Data[[#This Row],[JobSatisfaction]]=3,"High","Very High")))</f>
        <v>High</v>
      </c>
      <c r="AP1183" s="1" t="str">
        <f>IF(HR_Data[[#This Row],[WorkLifeBalance]]=1,"Bad",IF(HR_Data[[#This Row],[WorkLifeBalance]]=2,"Good",IF(HR_Data[[#This Row],[WorkLifeBalance]]=3,"Better","Best")))</f>
        <v>Better</v>
      </c>
    </row>
    <row r="1184" spans="1:42" x14ac:dyDescent="0.3">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c r="AJ1184">
        <f>IF(HR_Data[[#This Row],[Attrition]]="Yes",1,0)</f>
        <v>0</v>
      </c>
      <c r="AK1184">
        <f>IF(HR_Data[[#This Row],[Attrition]]="No",1,0)</f>
        <v>1</v>
      </c>
      <c r="AL1184" t="str">
        <f>IF(HR_Data[[#This Row],[Age]]&lt;25,"Under 25",IF(HR_Data[[#This Row],[Age]]&lt;=34,"25-34",IF(HR_Data[[#This Row],[Age]]&lt;=44,"35-44",IF(HR_Data[[#This Row],[Age]]&lt;=54,"45-54","55+"))))</f>
        <v>35-44</v>
      </c>
      <c r="AM1184" s="1" t="str">
        <f>IF(HR_Data[[#This Row],[MonthlyIncome]]&lt;3000,"Low Salary",IF(HR_Data[[#This Row],[MonthlyIncome]]&lt;=7000,"Medium Salary","High Salary"))</f>
        <v>Medium Salary</v>
      </c>
      <c r="AN1184" s="1" t="str">
        <f>IF(HR_Data[[#This Row],[YearsAtCompany]]&lt;2,"0-1 Years",IF(HR_Data[[#This Row],[YearsAtCompany]]&lt;=5,"2-5 Years",IF(HR_Data[[#This Row],[YearsAtCompany]]&lt;=10,"6-10 Years","10+ Years")))</f>
        <v>2-5 Years</v>
      </c>
      <c r="AO1184" s="1" t="str">
        <f>IF(HR_Data[[#This Row],[JobSatisfaction]]=1,"Low",IF(HR_Data[[#This Row],[JobSatisfaction]]=2,"Medium",IF(HR_Data[[#This Row],[JobSatisfaction]]=3,"High","Very High")))</f>
        <v>High</v>
      </c>
      <c r="AP1184" s="1" t="str">
        <f>IF(HR_Data[[#This Row],[WorkLifeBalance]]=1,"Bad",IF(HR_Data[[#This Row],[WorkLifeBalance]]=2,"Good",IF(HR_Data[[#This Row],[WorkLifeBalance]]=3,"Better","Best")))</f>
        <v>Better</v>
      </c>
    </row>
    <row r="1185" spans="1:42" x14ac:dyDescent="0.3">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c r="AJ1185">
        <f>IF(HR_Data[[#This Row],[Attrition]]="Yes",1,0)</f>
        <v>0</v>
      </c>
      <c r="AK1185">
        <f>IF(HR_Data[[#This Row],[Attrition]]="No",1,0)</f>
        <v>1</v>
      </c>
      <c r="AL1185" t="str">
        <f>IF(HR_Data[[#This Row],[Age]]&lt;25,"Under 25",IF(HR_Data[[#This Row],[Age]]&lt;=34,"25-34",IF(HR_Data[[#This Row],[Age]]&lt;=44,"35-44",IF(HR_Data[[#This Row],[Age]]&lt;=54,"45-54","55+"))))</f>
        <v>35-44</v>
      </c>
      <c r="AM1185" s="1" t="str">
        <f>IF(HR_Data[[#This Row],[MonthlyIncome]]&lt;3000,"Low Salary",IF(HR_Data[[#This Row],[MonthlyIncome]]&lt;=7000,"Medium Salary","High Salary"))</f>
        <v>Medium Salary</v>
      </c>
      <c r="AN1185" s="1" t="str">
        <f>IF(HR_Data[[#This Row],[YearsAtCompany]]&lt;2,"0-1 Years",IF(HR_Data[[#This Row],[YearsAtCompany]]&lt;=5,"2-5 Years",IF(HR_Data[[#This Row],[YearsAtCompany]]&lt;=10,"6-10 Years","10+ Years")))</f>
        <v>2-5 Years</v>
      </c>
      <c r="AO1185" s="1" t="str">
        <f>IF(HR_Data[[#This Row],[JobSatisfaction]]=1,"Low",IF(HR_Data[[#This Row],[JobSatisfaction]]=2,"Medium",IF(HR_Data[[#This Row],[JobSatisfaction]]=3,"High","Very High")))</f>
        <v>Low</v>
      </c>
      <c r="AP1185" s="1" t="str">
        <f>IF(HR_Data[[#This Row],[WorkLifeBalance]]=1,"Bad",IF(HR_Data[[#This Row],[WorkLifeBalance]]=2,"Good",IF(HR_Data[[#This Row],[WorkLifeBalance]]=3,"Better","Best")))</f>
        <v>Better</v>
      </c>
    </row>
    <row r="1186" spans="1:42" x14ac:dyDescent="0.3">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c r="AJ1186">
        <f>IF(HR_Data[[#This Row],[Attrition]]="Yes",1,0)</f>
        <v>0</v>
      </c>
      <c r="AK1186">
        <f>IF(HR_Data[[#This Row],[Attrition]]="No",1,0)</f>
        <v>1</v>
      </c>
      <c r="AL1186" t="str">
        <f>IF(HR_Data[[#This Row],[Age]]&lt;25,"Under 25",IF(HR_Data[[#This Row],[Age]]&lt;=34,"25-34",IF(HR_Data[[#This Row],[Age]]&lt;=44,"35-44",IF(HR_Data[[#This Row],[Age]]&lt;=54,"45-54","55+"))))</f>
        <v>45-54</v>
      </c>
      <c r="AM1186" s="1" t="str">
        <f>IF(HR_Data[[#This Row],[MonthlyIncome]]&lt;3000,"Low Salary",IF(HR_Data[[#This Row],[MonthlyIncome]]&lt;=7000,"Medium Salary","High Salary"))</f>
        <v>High Salary</v>
      </c>
      <c r="AN1186" s="1" t="str">
        <f>IF(HR_Data[[#This Row],[YearsAtCompany]]&lt;2,"0-1 Years",IF(HR_Data[[#This Row],[YearsAtCompany]]&lt;=5,"2-5 Years",IF(HR_Data[[#This Row],[YearsAtCompany]]&lt;=10,"6-10 Years","10+ Years")))</f>
        <v>6-10 Years</v>
      </c>
      <c r="AO1186" s="1" t="str">
        <f>IF(HR_Data[[#This Row],[JobSatisfaction]]=1,"Low",IF(HR_Data[[#This Row],[JobSatisfaction]]=2,"Medium",IF(HR_Data[[#This Row],[JobSatisfaction]]=3,"High","Very High")))</f>
        <v>High</v>
      </c>
      <c r="AP1186" s="1" t="str">
        <f>IF(HR_Data[[#This Row],[WorkLifeBalance]]=1,"Bad",IF(HR_Data[[#This Row],[WorkLifeBalance]]=2,"Good",IF(HR_Data[[#This Row],[WorkLifeBalance]]=3,"Better","Best")))</f>
        <v>Better</v>
      </c>
    </row>
    <row r="1187" spans="1:42" x14ac:dyDescent="0.3">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c r="AJ1187">
        <f>IF(HR_Data[[#This Row],[Attrition]]="Yes",1,0)</f>
        <v>0</v>
      </c>
      <c r="AK1187">
        <f>IF(HR_Data[[#This Row],[Attrition]]="No",1,0)</f>
        <v>1</v>
      </c>
      <c r="AL1187" t="str">
        <f>IF(HR_Data[[#This Row],[Age]]&lt;25,"Under 25",IF(HR_Data[[#This Row],[Age]]&lt;=34,"25-34",IF(HR_Data[[#This Row],[Age]]&lt;=44,"35-44",IF(HR_Data[[#This Row],[Age]]&lt;=54,"45-54","55+"))))</f>
        <v>35-44</v>
      </c>
      <c r="AM1187" s="1" t="str">
        <f>IF(HR_Data[[#This Row],[MonthlyIncome]]&lt;3000,"Low Salary",IF(HR_Data[[#This Row],[MonthlyIncome]]&lt;=7000,"Medium Salary","High Salary"))</f>
        <v>High Salary</v>
      </c>
      <c r="AN1187" s="1" t="str">
        <f>IF(HR_Data[[#This Row],[YearsAtCompany]]&lt;2,"0-1 Years",IF(HR_Data[[#This Row],[YearsAtCompany]]&lt;=5,"2-5 Years",IF(HR_Data[[#This Row],[YearsAtCompany]]&lt;=10,"6-10 Years","10+ Years")))</f>
        <v>10+ Years</v>
      </c>
      <c r="AO1187" s="1" t="str">
        <f>IF(HR_Data[[#This Row],[JobSatisfaction]]=1,"Low",IF(HR_Data[[#This Row],[JobSatisfaction]]=2,"Medium",IF(HR_Data[[#This Row],[JobSatisfaction]]=3,"High","Very High")))</f>
        <v>High</v>
      </c>
      <c r="AP1187" s="1" t="str">
        <f>IF(HR_Data[[#This Row],[WorkLifeBalance]]=1,"Bad",IF(HR_Data[[#This Row],[WorkLifeBalance]]=2,"Good",IF(HR_Data[[#This Row],[WorkLifeBalance]]=3,"Better","Best")))</f>
        <v>Better</v>
      </c>
    </row>
    <row r="1188" spans="1:42" x14ac:dyDescent="0.3">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c r="AJ1188">
        <f>IF(HR_Data[[#This Row],[Attrition]]="Yes",1,0)</f>
        <v>1</v>
      </c>
      <c r="AK1188">
        <f>IF(HR_Data[[#This Row],[Attrition]]="No",1,0)</f>
        <v>0</v>
      </c>
      <c r="AL1188" t="str">
        <f>IF(HR_Data[[#This Row],[Age]]&lt;25,"Under 25",IF(HR_Data[[#This Row],[Age]]&lt;=34,"25-34",IF(HR_Data[[#This Row],[Age]]&lt;=44,"35-44",IF(HR_Data[[#This Row],[Age]]&lt;=54,"45-54","55+"))))</f>
        <v>35-44</v>
      </c>
      <c r="AM1188" s="1" t="str">
        <f>IF(HR_Data[[#This Row],[MonthlyIncome]]&lt;3000,"Low Salary",IF(HR_Data[[#This Row],[MonthlyIncome]]&lt;=7000,"Medium Salary","High Salary"))</f>
        <v>Medium Salary</v>
      </c>
      <c r="AN1188" s="1" t="str">
        <f>IF(HR_Data[[#This Row],[YearsAtCompany]]&lt;2,"0-1 Years",IF(HR_Data[[#This Row],[YearsAtCompany]]&lt;=5,"2-5 Years",IF(HR_Data[[#This Row],[YearsAtCompany]]&lt;=10,"6-10 Years","10+ Years")))</f>
        <v>10+ Years</v>
      </c>
      <c r="AO1188" s="1" t="str">
        <f>IF(HR_Data[[#This Row],[JobSatisfaction]]=1,"Low",IF(HR_Data[[#This Row],[JobSatisfaction]]=2,"Medium",IF(HR_Data[[#This Row],[JobSatisfaction]]=3,"High","Very High")))</f>
        <v>Very High</v>
      </c>
      <c r="AP1188" s="1" t="str">
        <f>IF(HR_Data[[#This Row],[WorkLifeBalance]]=1,"Bad",IF(HR_Data[[#This Row],[WorkLifeBalance]]=2,"Good",IF(HR_Data[[#This Row],[WorkLifeBalance]]=3,"Better","Best")))</f>
        <v>Best</v>
      </c>
    </row>
    <row r="1189" spans="1:42" x14ac:dyDescent="0.3">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c r="AJ1189">
        <f>IF(HR_Data[[#This Row],[Attrition]]="Yes",1,0)</f>
        <v>0</v>
      </c>
      <c r="AK1189">
        <f>IF(HR_Data[[#This Row],[Attrition]]="No",1,0)</f>
        <v>1</v>
      </c>
      <c r="AL1189" t="str">
        <f>IF(HR_Data[[#This Row],[Age]]&lt;25,"Under 25",IF(HR_Data[[#This Row],[Age]]&lt;=34,"25-34",IF(HR_Data[[#This Row],[Age]]&lt;=44,"35-44",IF(HR_Data[[#This Row],[Age]]&lt;=54,"45-54","55+"))))</f>
        <v>35-44</v>
      </c>
      <c r="AM1189" s="1" t="str">
        <f>IF(HR_Data[[#This Row],[MonthlyIncome]]&lt;3000,"Low Salary",IF(HR_Data[[#This Row],[MonthlyIncome]]&lt;=7000,"Medium Salary","High Salary"))</f>
        <v>Medium Salary</v>
      </c>
      <c r="AN1189" s="1" t="str">
        <f>IF(HR_Data[[#This Row],[YearsAtCompany]]&lt;2,"0-1 Years",IF(HR_Data[[#This Row],[YearsAtCompany]]&lt;=5,"2-5 Years",IF(HR_Data[[#This Row],[YearsAtCompany]]&lt;=10,"6-10 Years","10+ Years")))</f>
        <v>10+ Years</v>
      </c>
      <c r="AO1189" s="1" t="str">
        <f>IF(HR_Data[[#This Row],[JobSatisfaction]]=1,"Low",IF(HR_Data[[#This Row],[JobSatisfaction]]=2,"Medium",IF(HR_Data[[#This Row],[JobSatisfaction]]=3,"High","Very High")))</f>
        <v>Very High</v>
      </c>
      <c r="AP1189" s="1" t="str">
        <f>IF(HR_Data[[#This Row],[WorkLifeBalance]]=1,"Bad",IF(HR_Data[[#This Row],[WorkLifeBalance]]=2,"Good",IF(HR_Data[[#This Row],[WorkLifeBalance]]=3,"Better","Best")))</f>
        <v>Best</v>
      </c>
    </row>
    <row r="1190" spans="1:42" x14ac:dyDescent="0.3">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c r="AJ1190">
        <f>IF(HR_Data[[#This Row],[Attrition]]="Yes",1,0)</f>
        <v>0</v>
      </c>
      <c r="AK1190">
        <f>IF(HR_Data[[#This Row],[Attrition]]="No",1,0)</f>
        <v>1</v>
      </c>
      <c r="AL1190" t="str">
        <f>IF(HR_Data[[#This Row],[Age]]&lt;25,"Under 25",IF(HR_Data[[#This Row],[Age]]&lt;=34,"25-34",IF(HR_Data[[#This Row],[Age]]&lt;=44,"35-44",IF(HR_Data[[#This Row],[Age]]&lt;=54,"45-54","55+"))))</f>
        <v>25-34</v>
      </c>
      <c r="AM1190" s="1" t="str">
        <f>IF(HR_Data[[#This Row],[MonthlyIncome]]&lt;3000,"Low Salary",IF(HR_Data[[#This Row],[MonthlyIncome]]&lt;=7000,"Medium Salary","High Salary"))</f>
        <v>Medium Salary</v>
      </c>
      <c r="AN1190" s="1" t="str">
        <f>IF(HR_Data[[#This Row],[YearsAtCompany]]&lt;2,"0-1 Years",IF(HR_Data[[#This Row],[YearsAtCompany]]&lt;=5,"2-5 Years",IF(HR_Data[[#This Row],[YearsAtCompany]]&lt;=10,"6-10 Years","10+ Years")))</f>
        <v>6-10 Years</v>
      </c>
      <c r="AO1190" s="1" t="str">
        <f>IF(HR_Data[[#This Row],[JobSatisfaction]]=1,"Low",IF(HR_Data[[#This Row],[JobSatisfaction]]=2,"Medium",IF(HR_Data[[#This Row],[JobSatisfaction]]=3,"High","Very High")))</f>
        <v>Medium</v>
      </c>
      <c r="AP1190" s="1" t="str">
        <f>IF(HR_Data[[#This Row],[WorkLifeBalance]]=1,"Bad",IF(HR_Data[[#This Row],[WorkLifeBalance]]=2,"Good",IF(HR_Data[[#This Row],[WorkLifeBalance]]=3,"Better","Best")))</f>
        <v>Good</v>
      </c>
    </row>
    <row r="1191" spans="1:42" x14ac:dyDescent="0.3">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c r="AJ1191">
        <f>IF(HR_Data[[#This Row],[Attrition]]="Yes",1,0)</f>
        <v>0</v>
      </c>
      <c r="AK1191">
        <f>IF(HR_Data[[#This Row],[Attrition]]="No",1,0)</f>
        <v>1</v>
      </c>
      <c r="AL1191" t="str">
        <f>IF(HR_Data[[#This Row],[Age]]&lt;25,"Under 25",IF(HR_Data[[#This Row],[Age]]&lt;=34,"25-34",IF(HR_Data[[#This Row],[Age]]&lt;=44,"35-44",IF(HR_Data[[#This Row],[Age]]&lt;=54,"45-54","55+"))))</f>
        <v>25-34</v>
      </c>
      <c r="AM1191" s="1" t="str">
        <f>IF(HR_Data[[#This Row],[MonthlyIncome]]&lt;3000,"Low Salary",IF(HR_Data[[#This Row],[MonthlyIncome]]&lt;=7000,"Medium Salary","High Salary"))</f>
        <v>Medium Salary</v>
      </c>
      <c r="AN1191" s="1" t="str">
        <f>IF(HR_Data[[#This Row],[YearsAtCompany]]&lt;2,"0-1 Years",IF(HR_Data[[#This Row],[YearsAtCompany]]&lt;=5,"2-5 Years",IF(HR_Data[[#This Row],[YearsAtCompany]]&lt;=10,"6-10 Years","10+ Years")))</f>
        <v>6-10 Years</v>
      </c>
      <c r="AO1191" s="1" t="str">
        <f>IF(HR_Data[[#This Row],[JobSatisfaction]]=1,"Low",IF(HR_Data[[#This Row],[JobSatisfaction]]=2,"Medium",IF(HR_Data[[#This Row],[JobSatisfaction]]=3,"High","Very High")))</f>
        <v>Very High</v>
      </c>
      <c r="AP1191" s="1" t="str">
        <f>IF(HR_Data[[#This Row],[WorkLifeBalance]]=1,"Bad",IF(HR_Data[[#This Row],[WorkLifeBalance]]=2,"Good",IF(HR_Data[[#This Row],[WorkLifeBalance]]=3,"Better","Best")))</f>
        <v>Better</v>
      </c>
    </row>
    <row r="1192" spans="1:42" x14ac:dyDescent="0.3">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c r="AJ1192">
        <f>IF(HR_Data[[#This Row],[Attrition]]="Yes",1,0)</f>
        <v>0</v>
      </c>
      <c r="AK1192">
        <f>IF(HR_Data[[#This Row],[Attrition]]="No",1,0)</f>
        <v>1</v>
      </c>
      <c r="AL1192" t="str">
        <f>IF(HR_Data[[#This Row],[Age]]&lt;25,"Under 25",IF(HR_Data[[#This Row],[Age]]&lt;=34,"25-34",IF(HR_Data[[#This Row],[Age]]&lt;=44,"35-44",IF(HR_Data[[#This Row],[Age]]&lt;=54,"45-54","55+"))))</f>
        <v>25-34</v>
      </c>
      <c r="AM1192" s="1" t="str">
        <f>IF(HR_Data[[#This Row],[MonthlyIncome]]&lt;3000,"Low Salary",IF(HR_Data[[#This Row],[MonthlyIncome]]&lt;=7000,"Medium Salary","High Salary"))</f>
        <v>Medium Salary</v>
      </c>
      <c r="AN1192" s="1" t="str">
        <f>IF(HR_Data[[#This Row],[YearsAtCompany]]&lt;2,"0-1 Years",IF(HR_Data[[#This Row],[YearsAtCompany]]&lt;=5,"2-5 Years",IF(HR_Data[[#This Row],[YearsAtCompany]]&lt;=10,"6-10 Years","10+ Years")))</f>
        <v>6-10 Years</v>
      </c>
      <c r="AO1192" s="1" t="str">
        <f>IF(HR_Data[[#This Row],[JobSatisfaction]]=1,"Low",IF(HR_Data[[#This Row],[JobSatisfaction]]=2,"Medium",IF(HR_Data[[#This Row],[JobSatisfaction]]=3,"High","Very High")))</f>
        <v>Medium</v>
      </c>
      <c r="AP1192" s="1" t="str">
        <f>IF(HR_Data[[#This Row],[WorkLifeBalance]]=1,"Bad",IF(HR_Data[[#This Row],[WorkLifeBalance]]=2,"Good",IF(HR_Data[[#This Row],[WorkLifeBalance]]=3,"Better","Best")))</f>
        <v>Good</v>
      </c>
    </row>
    <row r="1193" spans="1:42" x14ac:dyDescent="0.3">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c r="AJ1193">
        <f>IF(HR_Data[[#This Row],[Attrition]]="Yes",1,0)</f>
        <v>0</v>
      </c>
      <c r="AK1193">
        <f>IF(HR_Data[[#This Row],[Attrition]]="No",1,0)</f>
        <v>1</v>
      </c>
      <c r="AL1193" t="str">
        <f>IF(HR_Data[[#This Row],[Age]]&lt;25,"Under 25",IF(HR_Data[[#This Row],[Age]]&lt;=34,"25-34",IF(HR_Data[[#This Row],[Age]]&lt;=44,"35-44",IF(HR_Data[[#This Row],[Age]]&lt;=54,"45-54","55+"))))</f>
        <v>25-34</v>
      </c>
      <c r="AM1193" s="1" t="str">
        <f>IF(HR_Data[[#This Row],[MonthlyIncome]]&lt;3000,"Low Salary",IF(HR_Data[[#This Row],[MonthlyIncome]]&lt;=7000,"Medium Salary","High Salary"))</f>
        <v>Medium Salary</v>
      </c>
      <c r="AN1193" s="1" t="str">
        <f>IF(HR_Data[[#This Row],[YearsAtCompany]]&lt;2,"0-1 Years",IF(HR_Data[[#This Row],[YearsAtCompany]]&lt;=5,"2-5 Years",IF(HR_Data[[#This Row],[YearsAtCompany]]&lt;=10,"6-10 Years","10+ Years")))</f>
        <v>6-10 Years</v>
      </c>
      <c r="AO1193" s="1" t="str">
        <f>IF(HR_Data[[#This Row],[JobSatisfaction]]=1,"Low",IF(HR_Data[[#This Row],[JobSatisfaction]]=2,"Medium",IF(HR_Data[[#This Row],[JobSatisfaction]]=3,"High","Very High")))</f>
        <v>Very High</v>
      </c>
      <c r="AP1193" s="1" t="str">
        <f>IF(HR_Data[[#This Row],[WorkLifeBalance]]=1,"Bad",IF(HR_Data[[#This Row],[WorkLifeBalance]]=2,"Good",IF(HR_Data[[#This Row],[WorkLifeBalance]]=3,"Better","Best")))</f>
        <v>Better</v>
      </c>
    </row>
    <row r="1194" spans="1:42" x14ac:dyDescent="0.3">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c r="AJ1194">
        <f>IF(HR_Data[[#This Row],[Attrition]]="Yes",1,0)</f>
        <v>0</v>
      </c>
      <c r="AK1194">
        <f>IF(HR_Data[[#This Row],[Attrition]]="No",1,0)</f>
        <v>1</v>
      </c>
      <c r="AL1194" t="str">
        <f>IF(HR_Data[[#This Row],[Age]]&lt;25,"Under 25",IF(HR_Data[[#This Row],[Age]]&lt;=34,"25-34",IF(HR_Data[[#This Row],[Age]]&lt;=44,"35-44",IF(HR_Data[[#This Row],[Age]]&lt;=54,"45-54","55+"))))</f>
        <v>45-54</v>
      </c>
      <c r="AM1194" s="1" t="str">
        <f>IF(HR_Data[[#This Row],[MonthlyIncome]]&lt;3000,"Low Salary",IF(HR_Data[[#This Row],[MonthlyIncome]]&lt;=7000,"Medium Salary","High Salary"))</f>
        <v>Low Salary</v>
      </c>
      <c r="AN1194" s="1" t="str">
        <f>IF(HR_Data[[#This Row],[YearsAtCompany]]&lt;2,"0-1 Years",IF(HR_Data[[#This Row],[YearsAtCompany]]&lt;=5,"2-5 Years",IF(HR_Data[[#This Row],[YearsAtCompany]]&lt;=10,"6-10 Years","10+ Years")))</f>
        <v>2-5 Years</v>
      </c>
      <c r="AO1194" s="1" t="str">
        <f>IF(HR_Data[[#This Row],[JobSatisfaction]]=1,"Low",IF(HR_Data[[#This Row],[JobSatisfaction]]=2,"Medium",IF(HR_Data[[#This Row],[JobSatisfaction]]=3,"High","Very High")))</f>
        <v>Low</v>
      </c>
      <c r="AP1194" s="1" t="str">
        <f>IF(HR_Data[[#This Row],[WorkLifeBalance]]=1,"Bad",IF(HR_Data[[#This Row],[WorkLifeBalance]]=2,"Good",IF(HR_Data[[#This Row],[WorkLifeBalance]]=3,"Better","Best")))</f>
        <v>Good</v>
      </c>
    </row>
    <row r="1195" spans="1:42" x14ac:dyDescent="0.3">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c r="AJ1195">
        <f>IF(HR_Data[[#This Row],[Attrition]]="Yes",1,0)</f>
        <v>0</v>
      </c>
      <c r="AK1195">
        <f>IF(HR_Data[[#This Row],[Attrition]]="No",1,0)</f>
        <v>1</v>
      </c>
      <c r="AL1195" t="str">
        <f>IF(HR_Data[[#This Row],[Age]]&lt;25,"Under 25",IF(HR_Data[[#This Row],[Age]]&lt;=34,"25-34",IF(HR_Data[[#This Row],[Age]]&lt;=44,"35-44",IF(HR_Data[[#This Row],[Age]]&lt;=54,"45-54","55+"))))</f>
        <v>35-44</v>
      </c>
      <c r="AM1195" s="1" t="str">
        <f>IF(HR_Data[[#This Row],[MonthlyIncome]]&lt;3000,"Low Salary",IF(HR_Data[[#This Row],[MonthlyIncome]]&lt;=7000,"Medium Salary","High Salary"))</f>
        <v>Low Salary</v>
      </c>
      <c r="AN1195" s="1" t="str">
        <f>IF(HR_Data[[#This Row],[YearsAtCompany]]&lt;2,"0-1 Years",IF(HR_Data[[#This Row],[YearsAtCompany]]&lt;=5,"2-5 Years",IF(HR_Data[[#This Row],[YearsAtCompany]]&lt;=10,"6-10 Years","10+ Years")))</f>
        <v>2-5 Years</v>
      </c>
      <c r="AO1195" s="1" t="str">
        <f>IF(HR_Data[[#This Row],[JobSatisfaction]]=1,"Low",IF(HR_Data[[#This Row],[JobSatisfaction]]=2,"Medium",IF(HR_Data[[#This Row],[JobSatisfaction]]=3,"High","Very High")))</f>
        <v>Medium</v>
      </c>
      <c r="AP1195" s="1" t="str">
        <f>IF(HR_Data[[#This Row],[WorkLifeBalance]]=1,"Bad",IF(HR_Data[[#This Row],[WorkLifeBalance]]=2,"Good",IF(HR_Data[[#This Row],[WorkLifeBalance]]=3,"Better","Best")))</f>
        <v>Better</v>
      </c>
    </row>
    <row r="1196" spans="1:42" x14ac:dyDescent="0.3">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c r="AJ1196">
        <f>IF(HR_Data[[#This Row],[Attrition]]="Yes",1,0)</f>
        <v>0</v>
      </c>
      <c r="AK1196">
        <f>IF(HR_Data[[#This Row],[Attrition]]="No",1,0)</f>
        <v>1</v>
      </c>
      <c r="AL1196" t="str">
        <f>IF(HR_Data[[#This Row],[Age]]&lt;25,"Under 25",IF(HR_Data[[#This Row],[Age]]&lt;=34,"25-34",IF(HR_Data[[#This Row],[Age]]&lt;=44,"35-44",IF(HR_Data[[#This Row],[Age]]&lt;=54,"45-54","55+"))))</f>
        <v>45-54</v>
      </c>
      <c r="AM1196" s="1" t="str">
        <f>IF(HR_Data[[#This Row],[MonthlyIncome]]&lt;3000,"Low Salary",IF(HR_Data[[#This Row],[MonthlyIncome]]&lt;=7000,"Medium Salary","High Salary"))</f>
        <v>High Salary</v>
      </c>
      <c r="AN1196" s="1" t="str">
        <f>IF(HR_Data[[#This Row],[YearsAtCompany]]&lt;2,"0-1 Years",IF(HR_Data[[#This Row],[YearsAtCompany]]&lt;=5,"2-5 Years",IF(HR_Data[[#This Row],[YearsAtCompany]]&lt;=10,"6-10 Years","10+ Years")))</f>
        <v>2-5 Years</v>
      </c>
      <c r="AO1196" s="1" t="str">
        <f>IF(HR_Data[[#This Row],[JobSatisfaction]]=1,"Low",IF(HR_Data[[#This Row],[JobSatisfaction]]=2,"Medium",IF(HR_Data[[#This Row],[JobSatisfaction]]=3,"High","Very High")))</f>
        <v>Medium</v>
      </c>
      <c r="AP1196" s="1" t="str">
        <f>IF(HR_Data[[#This Row],[WorkLifeBalance]]=1,"Bad",IF(HR_Data[[#This Row],[WorkLifeBalance]]=2,"Good",IF(HR_Data[[#This Row],[WorkLifeBalance]]=3,"Better","Best")))</f>
        <v>Better</v>
      </c>
    </row>
    <row r="1197" spans="1:42" x14ac:dyDescent="0.3">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c r="AJ1197">
        <f>IF(HR_Data[[#This Row],[Attrition]]="Yes",1,0)</f>
        <v>0</v>
      </c>
      <c r="AK1197">
        <f>IF(HR_Data[[#This Row],[Attrition]]="No",1,0)</f>
        <v>1</v>
      </c>
      <c r="AL1197" t="str">
        <f>IF(HR_Data[[#This Row],[Age]]&lt;25,"Under 25",IF(HR_Data[[#This Row],[Age]]&lt;=34,"25-34",IF(HR_Data[[#This Row],[Age]]&lt;=44,"35-44",IF(HR_Data[[#This Row],[Age]]&lt;=54,"45-54","55+"))))</f>
        <v>45-54</v>
      </c>
      <c r="AM1197" s="1" t="str">
        <f>IF(HR_Data[[#This Row],[MonthlyIncome]]&lt;3000,"Low Salary",IF(HR_Data[[#This Row],[MonthlyIncome]]&lt;=7000,"Medium Salary","High Salary"))</f>
        <v>High Salary</v>
      </c>
      <c r="AN1197" s="1" t="str">
        <f>IF(HR_Data[[#This Row],[YearsAtCompany]]&lt;2,"0-1 Years",IF(HR_Data[[#This Row],[YearsAtCompany]]&lt;=5,"2-5 Years",IF(HR_Data[[#This Row],[YearsAtCompany]]&lt;=10,"6-10 Years","10+ Years")))</f>
        <v>6-10 Years</v>
      </c>
      <c r="AO1197" s="1" t="str">
        <f>IF(HR_Data[[#This Row],[JobSatisfaction]]=1,"Low",IF(HR_Data[[#This Row],[JobSatisfaction]]=2,"Medium",IF(HR_Data[[#This Row],[JobSatisfaction]]=3,"High","Very High")))</f>
        <v>High</v>
      </c>
      <c r="AP1197" s="1" t="str">
        <f>IF(HR_Data[[#This Row],[WorkLifeBalance]]=1,"Bad",IF(HR_Data[[#This Row],[WorkLifeBalance]]=2,"Good",IF(HR_Data[[#This Row],[WorkLifeBalance]]=3,"Better","Best")))</f>
        <v>Better</v>
      </c>
    </row>
    <row r="1198" spans="1:42" x14ac:dyDescent="0.3">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c r="AJ1198">
        <f>IF(HR_Data[[#This Row],[Attrition]]="Yes",1,0)</f>
        <v>0</v>
      </c>
      <c r="AK1198">
        <f>IF(HR_Data[[#This Row],[Attrition]]="No",1,0)</f>
        <v>1</v>
      </c>
      <c r="AL1198" t="str">
        <f>IF(HR_Data[[#This Row],[Age]]&lt;25,"Under 25",IF(HR_Data[[#This Row],[Age]]&lt;=34,"25-34",IF(HR_Data[[#This Row],[Age]]&lt;=44,"35-44",IF(HR_Data[[#This Row],[Age]]&lt;=54,"45-54","55+"))))</f>
        <v>35-44</v>
      </c>
      <c r="AM1198" s="1" t="str">
        <f>IF(HR_Data[[#This Row],[MonthlyIncome]]&lt;3000,"Low Salary",IF(HR_Data[[#This Row],[MonthlyIncome]]&lt;=7000,"Medium Salary","High Salary"))</f>
        <v>High Salary</v>
      </c>
      <c r="AN1198" s="1" t="str">
        <f>IF(HR_Data[[#This Row],[YearsAtCompany]]&lt;2,"0-1 Years",IF(HR_Data[[#This Row],[YearsAtCompany]]&lt;=5,"2-5 Years",IF(HR_Data[[#This Row],[YearsAtCompany]]&lt;=10,"6-10 Years","10+ Years")))</f>
        <v>2-5 Years</v>
      </c>
      <c r="AO1198" s="1" t="str">
        <f>IF(HR_Data[[#This Row],[JobSatisfaction]]=1,"Low",IF(HR_Data[[#This Row],[JobSatisfaction]]=2,"Medium",IF(HR_Data[[#This Row],[JobSatisfaction]]=3,"High","Very High")))</f>
        <v>High</v>
      </c>
      <c r="AP1198" s="1" t="str">
        <f>IF(HR_Data[[#This Row],[WorkLifeBalance]]=1,"Bad",IF(HR_Data[[#This Row],[WorkLifeBalance]]=2,"Good",IF(HR_Data[[#This Row],[WorkLifeBalance]]=3,"Better","Best")))</f>
        <v>Better</v>
      </c>
    </row>
    <row r="1199" spans="1:42" x14ac:dyDescent="0.3">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c r="AJ1199">
        <f>IF(HR_Data[[#This Row],[Attrition]]="Yes",1,0)</f>
        <v>0</v>
      </c>
      <c r="AK1199">
        <f>IF(HR_Data[[#This Row],[Attrition]]="No",1,0)</f>
        <v>1</v>
      </c>
      <c r="AL1199" t="str">
        <f>IF(HR_Data[[#This Row],[Age]]&lt;25,"Under 25",IF(HR_Data[[#This Row],[Age]]&lt;=34,"25-34",IF(HR_Data[[#This Row],[Age]]&lt;=44,"35-44",IF(HR_Data[[#This Row],[Age]]&lt;=54,"45-54","55+"))))</f>
        <v>Under 25</v>
      </c>
      <c r="AM1199" s="1" t="str">
        <f>IF(HR_Data[[#This Row],[MonthlyIncome]]&lt;3000,"Low Salary",IF(HR_Data[[#This Row],[MonthlyIncome]]&lt;=7000,"Medium Salary","High Salary"))</f>
        <v>Low Salary</v>
      </c>
      <c r="AN1199" s="1" t="str">
        <f>IF(HR_Data[[#This Row],[YearsAtCompany]]&lt;2,"0-1 Years",IF(HR_Data[[#This Row],[YearsAtCompany]]&lt;=5,"2-5 Years",IF(HR_Data[[#This Row],[YearsAtCompany]]&lt;=10,"6-10 Years","10+ Years")))</f>
        <v>2-5 Years</v>
      </c>
      <c r="AO1199" s="1" t="str">
        <f>IF(HR_Data[[#This Row],[JobSatisfaction]]=1,"Low",IF(HR_Data[[#This Row],[JobSatisfaction]]=2,"Medium",IF(HR_Data[[#This Row],[JobSatisfaction]]=3,"High","Very High")))</f>
        <v>Low</v>
      </c>
      <c r="AP1199" s="1" t="str">
        <f>IF(HR_Data[[#This Row],[WorkLifeBalance]]=1,"Bad",IF(HR_Data[[#This Row],[WorkLifeBalance]]=2,"Good",IF(HR_Data[[#This Row],[WorkLifeBalance]]=3,"Better","Best")))</f>
        <v>Better</v>
      </c>
    </row>
    <row r="1200" spans="1:42" x14ac:dyDescent="0.3">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c r="AJ1200">
        <f>IF(HR_Data[[#This Row],[Attrition]]="Yes",1,0)</f>
        <v>0</v>
      </c>
      <c r="AK1200">
        <f>IF(HR_Data[[#This Row],[Attrition]]="No",1,0)</f>
        <v>1</v>
      </c>
      <c r="AL1200" t="str">
        <f>IF(HR_Data[[#This Row],[Age]]&lt;25,"Under 25",IF(HR_Data[[#This Row],[Age]]&lt;=34,"25-34",IF(HR_Data[[#This Row],[Age]]&lt;=44,"35-44",IF(HR_Data[[#This Row],[Age]]&lt;=54,"45-54","55+"))))</f>
        <v>25-34</v>
      </c>
      <c r="AM1200" s="1" t="str">
        <f>IF(HR_Data[[#This Row],[MonthlyIncome]]&lt;3000,"Low Salary",IF(HR_Data[[#This Row],[MonthlyIncome]]&lt;=7000,"Medium Salary","High Salary"))</f>
        <v>Medium Salary</v>
      </c>
      <c r="AN1200" s="1" t="str">
        <f>IF(HR_Data[[#This Row],[YearsAtCompany]]&lt;2,"0-1 Years",IF(HR_Data[[#This Row],[YearsAtCompany]]&lt;=5,"2-5 Years",IF(HR_Data[[#This Row],[YearsAtCompany]]&lt;=10,"6-10 Years","10+ Years")))</f>
        <v>6-10 Years</v>
      </c>
      <c r="AO1200" s="1" t="str">
        <f>IF(HR_Data[[#This Row],[JobSatisfaction]]=1,"Low",IF(HR_Data[[#This Row],[JobSatisfaction]]=2,"Medium",IF(HR_Data[[#This Row],[JobSatisfaction]]=3,"High","Very High")))</f>
        <v>Very High</v>
      </c>
      <c r="AP1200" s="1" t="str">
        <f>IF(HR_Data[[#This Row],[WorkLifeBalance]]=1,"Bad",IF(HR_Data[[#This Row],[WorkLifeBalance]]=2,"Good",IF(HR_Data[[#This Row],[WorkLifeBalance]]=3,"Better","Best")))</f>
        <v>Better</v>
      </c>
    </row>
    <row r="1201" spans="1:42" x14ac:dyDescent="0.3">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c r="AJ1201">
        <f>IF(HR_Data[[#This Row],[Attrition]]="Yes",1,0)</f>
        <v>0</v>
      </c>
      <c r="AK1201">
        <f>IF(HR_Data[[#This Row],[Attrition]]="No",1,0)</f>
        <v>1</v>
      </c>
      <c r="AL1201" t="str">
        <f>IF(HR_Data[[#This Row],[Age]]&lt;25,"Under 25",IF(HR_Data[[#This Row],[Age]]&lt;=34,"25-34",IF(HR_Data[[#This Row],[Age]]&lt;=44,"35-44",IF(HR_Data[[#This Row],[Age]]&lt;=54,"45-54","55+"))))</f>
        <v>35-44</v>
      </c>
      <c r="AM1201" s="1" t="str">
        <f>IF(HR_Data[[#This Row],[MonthlyIncome]]&lt;3000,"Low Salary",IF(HR_Data[[#This Row],[MonthlyIncome]]&lt;=7000,"Medium Salary","High Salary"))</f>
        <v>Medium Salary</v>
      </c>
      <c r="AN1201" s="1" t="str">
        <f>IF(HR_Data[[#This Row],[YearsAtCompany]]&lt;2,"0-1 Years",IF(HR_Data[[#This Row],[YearsAtCompany]]&lt;=5,"2-5 Years",IF(HR_Data[[#This Row],[YearsAtCompany]]&lt;=10,"6-10 Years","10+ Years")))</f>
        <v>2-5 Years</v>
      </c>
      <c r="AO1201" s="1" t="str">
        <f>IF(HR_Data[[#This Row],[JobSatisfaction]]=1,"Low",IF(HR_Data[[#This Row],[JobSatisfaction]]=2,"Medium",IF(HR_Data[[#This Row],[JobSatisfaction]]=3,"High","Very High")))</f>
        <v>High</v>
      </c>
      <c r="AP1201" s="1" t="str">
        <f>IF(HR_Data[[#This Row],[WorkLifeBalance]]=1,"Bad",IF(HR_Data[[#This Row],[WorkLifeBalance]]=2,"Good",IF(HR_Data[[#This Row],[WorkLifeBalance]]=3,"Better","Best")))</f>
        <v>Good</v>
      </c>
    </row>
    <row r="1202" spans="1:42" x14ac:dyDescent="0.3">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c r="AJ1202">
        <f>IF(HR_Data[[#This Row],[Attrition]]="Yes",1,0)</f>
        <v>0</v>
      </c>
      <c r="AK1202">
        <f>IF(HR_Data[[#This Row],[Attrition]]="No",1,0)</f>
        <v>1</v>
      </c>
      <c r="AL1202" t="str">
        <f>IF(HR_Data[[#This Row],[Age]]&lt;25,"Under 25",IF(HR_Data[[#This Row],[Age]]&lt;=34,"25-34",IF(HR_Data[[#This Row],[Age]]&lt;=44,"35-44",IF(HR_Data[[#This Row],[Age]]&lt;=54,"45-54","55+"))))</f>
        <v>35-44</v>
      </c>
      <c r="AM1202" s="1" t="str">
        <f>IF(HR_Data[[#This Row],[MonthlyIncome]]&lt;3000,"Low Salary",IF(HR_Data[[#This Row],[MonthlyIncome]]&lt;=7000,"Medium Salary","High Salary"))</f>
        <v>Medium Salary</v>
      </c>
      <c r="AN1202" s="1" t="str">
        <f>IF(HR_Data[[#This Row],[YearsAtCompany]]&lt;2,"0-1 Years",IF(HR_Data[[#This Row],[YearsAtCompany]]&lt;=5,"2-5 Years",IF(HR_Data[[#This Row],[YearsAtCompany]]&lt;=10,"6-10 Years","10+ Years")))</f>
        <v>2-5 Years</v>
      </c>
      <c r="AO1202" s="1" t="str">
        <f>IF(HR_Data[[#This Row],[JobSatisfaction]]=1,"Low",IF(HR_Data[[#This Row],[JobSatisfaction]]=2,"Medium",IF(HR_Data[[#This Row],[JobSatisfaction]]=3,"High","Very High")))</f>
        <v>Very High</v>
      </c>
      <c r="AP1202" s="1" t="str">
        <f>IF(HR_Data[[#This Row],[WorkLifeBalance]]=1,"Bad",IF(HR_Data[[#This Row],[WorkLifeBalance]]=2,"Good",IF(HR_Data[[#This Row],[WorkLifeBalance]]=3,"Better","Best")))</f>
        <v>Better</v>
      </c>
    </row>
    <row r="1203" spans="1:42" x14ac:dyDescent="0.3">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c r="AJ1203">
        <f>IF(HR_Data[[#This Row],[Attrition]]="Yes",1,0)</f>
        <v>1</v>
      </c>
      <c r="AK1203">
        <f>IF(HR_Data[[#This Row],[Attrition]]="No",1,0)</f>
        <v>0</v>
      </c>
      <c r="AL1203" t="str">
        <f>IF(HR_Data[[#This Row],[Age]]&lt;25,"Under 25",IF(HR_Data[[#This Row],[Age]]&lt;=34,"25-34",IF(HR_Data[[#This Row],[Age]]&lt;=44,"35-44",IF(HR_Data[[#This Row],[Age]]&lt;=54,"45-54","55+"))))</f>
        <v>Under 25</v>
      </c>
      <c r="AM1203" s="1" t="str">
        <f>IF(HR_Data[[#This Row],[MonthlyIncome]]&lt;3000,"Low Salary",IF(HR_Data[[#This Row],[MonthlyIncome]]&lt;=7000,"Medium Salary","High Salary"))</f>
        <v>Medium Salary</v>
      </c>
      <c r="AN1203" s="1" t="str">
        <f>IF(HR_Data[[#This Row],[YearsAtCompany]]&lt;2,"0-1 Years",IF(HR_Data[[#This Row],[YearsAtCompany]]&lt;=5,"2-5 Years",IF(HR_Data[[#This Row],[YearsAtCompany]]&lt;=10,"6-10 Years","10+ Years")))</f>
        <v>2-5 Years</v>
      </c>
      <c r="AO1203" s="1" t="str">
        <f>IF(HR_Data[[#This Row],[JobSatisfaction]]=1,"Low",IF(HR_Data[[#This Row],[JobSatisfaction]]=2,"Medium",IF(HR_Data[[#This Row],[JobSatisfaction]]=3,"High","Very High")))</f>
        <v>High</v>
      </c>
      <c r="AP1203" s="1" t="str">
        <f>IF(HR_Data[[#This Row],[WorkLifeBalance]]=1,"Bad",IF(HR_Data[[#This Row],[WorkLifeBalance]]=2,"Good",IF(HR_Data[[#This Row],[WorkLifeBalance]]=3,"Better","Best")))</f>
        <v>Better</v>
      </c>
    </row>
    <row r="1204" spans="1:42" x14ac:dyDescent="0.3">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c r="AJ1204">
        <f>IF(HR_Data[[#This Row],[Attrition]]="Yes",1,0)</f>
        <v>0</v>
      </c>
      <c r="AK1204">
        <f>IF(HR_Data[[#This Row],[Attrition]]="No",1,0)</f>
        <v>1</v>
      </c>
      <c r="AL1204" t="str">
        <f>IF(HR_Data[[#This Row],[Age]]&lt;25,"Under 25",IF(HR_Data[[#This Row],[Age]]&lt;=34,"25-34",IF(HR_Data[[#This Row],[Age]]&lt;=44,"35-44",IF(HR_Data[[#This Row],[Age]]&lt;=54,"45-54","55+"))))</f>
        <v>35-44</v>
      </c>
      <c r="AM1204" s="1" t="str">
        <f>IF(HR_Data[[#This Row],[MonthlyIncome]]&lt;3000,"Low Salary",IF(HR_Data[[#This Row],[MonthlyIncome]]&lt;=7000,"Medium Salary","High Salary"))</f>
        <v>Medium Salary</v>
      </c>
      <c r="AN1204" s="1" t="str">
        <f>IF(HR_Data[[#This Row],[YearsAtCompany]]&lt;2,"0-1 Years",IF(HR_Data[[#This Row],[YearsAtCompany]]&lt;=5,"2-5 Years",IF(HR_Data[[#This Row],[YearsAtCompany]]&lt;=10,"6-10 Years","10+ Years")))</f>
        <v>0-1 Years</v>
      </c>
      <c r="AO1204" s="1" t="str">
        <f>IF(HR_Data[[#This Row],[JobSatisfaction]]=1,"Low",IF(HR_Data[[#This Row],[JobSatisfaction]]=2,"Medium",IF(HR_Data[[#This Row],[JobSatisfaction]]=3,"High","Very High")))</f>
        <v>High</v>
      </c>
      <c r="AP1204" s="1" t="str">
        <f>IF(HR_Data[[#This Row],[WorkLifeBalance]]=1,"Bad",IF(HR_Data[[#This Row],[WorkLifeBalance]]=2,"Good",IF(HR_Data[[#This Row],[WorkLifeBalance]]=3,"Better","Best")))</f>
        <v>Good</v>
      </c>
    </row>
    <row r="1205" spans="1:42" x14ac:dyDescent="0.3">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c r="AJ1205">
        <f>IF(HR_Data[[#This Row],[Attrition]]="Yes",1,0)</f>
        <v>0</v>
      </c>
      <c r="AK1205">
        <f>IF(HR_Data[[#This Row],[Attrition]]="No",1,0)</f>
        <v>1</v>
      </c>
      <c r="AL1205" t="str">
        <f>IF(HR_Data[[#This Row],[Age]]&lt;25,"Under 25",IF(HR_Data[[#This Row],[Age]]&lt;=34,"25-34",IF(HR_Data[[#This Row],[Age]]&lt;=44,"35-44",IF(HR_Data[[#This Row],[Age]]&lt;=54,"45-54","55+"))))</f>
        <v>45-54</v>
      </c>
      <c r="AM1205" s="1" t="str">
        <f>IF(HR_Data[[#This Row],[MonthlyIncome]]&lt;3000,"Low Salary",IF(HR_Data[[#This Row],[MonthlyIncome]]&lt;=7000,"Medium Salary","High Salary"))</f>
        <v>High Salary</v>
      </c>
      <c r="AN1205" s="1" t="str">
        <f>IF(HR_Data[[#This Row],[YearsAtCompany]]&lt;2,"0-1 Years",IF(HR_Data[[#This Row],[YearsAtCompany]]&lt;=5,"2-5 Years",IF(HR_Data[[#This Row],[YearsAtCompany]]&lt;=10,"6-10 Years","10+ Years")))</f>
        <v>2-5 Years</v>
      </c>
      <c r="AO1205" s="1" t="str">
        <f>IF(HR_Data[[#This Row],[JobSatisfaction]]=1,"Low",IF(HR_Data[[#This Row],[JobSatisfaction]]=2,"Medium",IF(HR_Data[[#This Row],[JobSatisfaction]]=3,"High","Very High")))</f>
        <v>Very High</v>
      </c>
      <c r="AP1205" s="1" t="str">
        <f>IF(HR_Data[[#This Row],[WorkLifeBalance]]=1,"Bad",IF(HR_Data[[#This Row],[WorkLifeBalance]]=2,"Good",IF(HR_Data[[#This Row],[WorkLifeBalance]]=3,"Better","Best")))</f>
        <v>Better</v>
      </c>
    </row>
    <row r="1206" spans="1:42" x14ac:dyDescent="0.3">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c r="AJ1206">
        <f>IF(HR_Data[[#This Row],[Attrition]]="Yes",1,0)</f>
        <v>1</v>
      </c>
      <c r="AK1206">
        <f>IF(HR_Data[[#This Row],[Attrition]]="No",1,0)</f>
        <v>0</v>
      </c>
      <c r="AL1206" t="str">
        <f>IF(HR_Data[[#This Row],[Age]]&lt;25,"Under 25",IF(HR_Data[[#This Row],[Age]]&lt;=34,"25-34",IF(HR_Data[[#This Row],[Age]]&lt;=44,"35-44",IF(HR_Data[[#This Row],[Age]]&lt;=54,"45-54","55+"))))</f>
        <v>45-54</v>
      </c>
      <c r="AM1206" s="1" t="str">
        <f>IF(HR_Data[[#This Row],[MonthlyIncome]]&lt;3000,"Low Salary",IF(HR_Data[[#This Row],[MonthlyIncome]]&lt;=7000,"Medium Salary","High Salary"))</f>
        <v>Low Salary</v>
      </c>
      <c r="AN1206" s="1" t="str">
        <f>IF(HR_Data[[#This Row],[YearsAtCompany]]&lt;2,"0-1 Years",IF(HR_Data[[#This Row],[YearsAtCompany]]&lt;=5,"2-5 Years",IF(HR_Data[[#This Row],[YearsAtCompany]]&lt;=10,"6-10 Years","10+ Years")))</f>
        <v>6-10 Years</v>
      </c>
      <c r="AO1206" s="1" t="str">
        <f>IF(HR_Data[[#This Row],[JobSatisfaction]]=1,"Low",IF(HR_Data[[#This Row],[JobSatisfaction]]=2,"Medium",IF(HR_Data[[#This Row],[JobSatisfaction]]=3,"High","Very High")))</f>
        <v>High</v>
      </c>
      <c r="AP1206" s="1" t="str">
        <f>IF(HR_Data[[#This Row],[WorkLifeBalance]]=1,"Bad",IF(HR_Data[[#This Row],[WorkLifeBalance]]=2,"Good",IF(HR_Data[[#This Row],[WorkLifeBalance]]=3,"Better","Best")))</f>
        <v>Better</v>
      </c>
    </row>
    <row r="1207" spans="1:42" x14ac:dyDescent="0.3">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c r="AJ1207">
        <f>IF(HR_Data[[#This Row],[Attrition]]="Yes",1,0)</f>
        <v>1</v>
      </c>
      <c r="AK1207">
        <f>IF(HR_Data[[#This Row],[Attrition]]="No",1,0)</f>
        <v>0</v>
      </c>
      <c r="AL1207" t="str">
        <f>IF(HR_Data[[#This Row],[Age]]&lt;25,"Under 25",IF(HR_Data[[#This Row],[Age]]&lt;=34,"25-34",IF(HR_Data[[#This Row],[Age]]&lt;=44,"35-44",IF(HR_Data[[#This Row],[Age]]&lt;=54,"45-54","55+"))))</f>
        <v>25-34</v>
      </c>
      <c r="AM1207" s="1" t="str">
        <f>IF(HR_Data[[#This Row],[MonthlyIncome]]&lt;3000,"Low Salary",IF(HR_Data[[#This Row],[MonthlyIncome]]&lt;=7000,"Medium Salary","High Salary"))</f>
        <v>Low Salary</v>
      </c>
      <c r="AN1207" s="1" t="str">
        <f>IF(HR_Data[[#This Row],[YearsAtCompany]]&lt;2,"0-1 Years",IF(HR_Data[[#This Row],[YearsAtCompany]]&lt;=5,"2-5 Years",IF(HR_Data[[#This Row],[YearsAtCompany]]&lt;=10,"6-10 Years","10+ Years")))</f>
        <v>0-1 Years</v>
      </c>
      <c r="AO1207" s="1" t="str">
        <f>IF(HR_Data[[#This Row],[JobSatisfaction]]=1,"Low",IF(HR_Data[[#This Row],[JobSatisfaction]]=2,"Medium",IF(HR_Data[[#This Row],[JobSatisfaction]]=3,"High","Very High")))</f>
        <v>Medium</v>
      </c>
      <c r="AP1207" s="1" t="str">
        <f>IF(HR_Data[[#This Row],[WorkLifeBalance]]=1,"Bad",IF(HR_Data[[#This Row],[WorkLifeBalance]]=2,"Good",IF(HR_Data[[#This Row],[WorkLifeBalance]]=3,"Better","Best")))</f>
        <v>Better</v>
      </c>
    </row>
    <row r="1208" spans="1:42" x14ac:dyDescent="0.3">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c r="AJ1208">
        <f>IF(HR_Data[[#This Row],[Attrition]]="Yes",1,0)</f>
        <v>0</v>
      </c>
      <c r="AK1208">
        <f>IF(HR_Data[[#This Row],[Attrition]]="No",1,0)</f>
        <v>1</v>
      </c>
      <c r="AL1208" t="str">
        <f>IF(HR_Data[[#This Row],[Age]]&lt;25,"Under 25",IF(HR_Data[[#This Row],[Age]]&lt;=34,"25-34",IF(HR_Data[[#This Row],[Age]]&lt;=44,"35-44",IF(HR_Data[[#This Row],[Age]]&lt;=54,"45-54","55+"))))</f>
        <v>25-34</v>
      </c>
      <c r="AM1208" s="1" t="str">
        <f>IF(HR_Data[[#This Row],[MonthlyIncome]]&lt;3000,"Low Salary",IF(HR_Data[[#This Row],[MonthlyIncome]]&lt;=7000,"Medium Salary","High Salary"))</f>
        <v>Low Salary</v>
      </c>
      <c r="AN1208" s="1" t="str">
        <f>IF(HR_Data[[#This Row],[YearsAtCompany]]&lt;2,"0-1 Years",IF(HR_Data[[#This Row],[YearsAtCompany]]&lt;=5,"2-5 Years",IF(HR_Data[[#This Row],[YearsAtCompany]]&lt;=10,"6-10 Years","10+ Years")))</f>
        <v>6-10 Years</v>
      </c>
      <c r="AO1208" s="1" t="str">
        <f>IF(HR_Data[[#This Row],[JobSatisfaction]]=1,"Low",IF(HR_Data[[#This Row],[JobSatisfaction]]=2,"Medium",IF(HR_Data[[#This Row],[JobSatisfaction]]=3,"High","Very High")))</f>
        <v>Very High</v>
      </c>
      <c r="AP1208" s="1" t="str">
        <f>IF(HR_Data[[#This Row],[WorkLifeBalance]]=1,"Bad",IF(HR_Data[[#This Row],[WorkLifeBalance]]=2,"Good",IF(HR_Data[[#This Row],[WorkLifeBalance]]=3,"Better","Best")))</f>
        <v>Better</v>
      </c>
    </row>
    <row r="1209" spans="1:42" x14ac:dyDescent="0.3">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c r="AJ1209">
        <f>IF(HR_Data[[#This Row],[Attrition]]="Yes",1,0)</f>
        <v>0</v>
      </c>
      <c r="AK1209">
        <f>IF(HR_Data[[#This Row],[Attrition]]="No",1,0)</f>
        <v>1</v>
      </c>
      <c r="AL1209" t="str">
        <f>IF(HR_Data[[#This Row],[Age]]&lt;25,"Under 25",IF(HR_Data[[#This Row],[Age]]&lt;=34,"25-34",IF(HR_Data[[#This Row],[Age]]&lt;=44,"35-44",IF(HR_Data[[#This Row],[Age]]&lt;=54,"45-54","55+"))))</f>
        <v>55+</v>
      </c>
      <c r="AM1209" s="1" t="str">
        <f>IF(HR_Data[[#This Row],[MonthlyIncome]]&lt;3000,"Low Salary",IF(HR_Data[[#This Row],[MonthlyIncome]]&lt;=7000,"Medium Salary","High Salary"))</f>
        <v>Medium Salary</v>
      </c>
      <c r="AN1209" s="1" t="str">
        <f>IF(HR_Data[[#This Row],[YearsAtCompany]]&lt;2,"0-1 Years",IF(HR_Data[[#This Row],[YearsAtCompany]]&lt;=5,"2-5 Years",IF(HR_Data[[#This Row],[YearsAtCompany]]&lt;=10,"6-10 Years","10+ Years")))</f>
        <v>2-5 Years</v>
      </c>
      <c r="AO1209" s="1" t="str">
        <f>IF(HR_Data[[#This Row],[JobSatisfaction]]=1,"Low",IF(HR_Data[[#This Row],[JobSatisfaction]]=2,"Medium",IF(HR_Data[[#This Row],[JobSatisfaction]]=3,"High","Very High")))</f>
        <v>Medium</v>
      </c>
      <c r="AP1209" s="1" t="str">
        <f>IF(HR_Data[[#This Row],[WorkLifeBalance]]=1,"Bad",IF(HR_Data[[#This Row],[WorkLifeBalance]]=2,"Good",IF(HR_Data[[#This Row],[WorkLifeBalance]]=3,"Better","Best")))</f>
        <v>Better</v>
      </c>
    </row>
    <row r="1210" spans="1:42" x14ac:dyDescent="0.3">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c r="AJ1210">
        <f>IF(HR_Data[[#This Row],[Attrition]]="Yes",1,0)</f>
        <v>0</v>
      </c>
      <c r="AK1210">
        <f>IF(HR_Data[[#This Row],[Attrition]]="No",1,0)</f>
        <v>1</v>
      </c>
      <c r="AL1210" t="str">
        <f>IF(HR_Data[[#This Row],[Age]]&lt;25,"Under 25",IF(HR_Data[[#This Row],[Age]]&lt;=34,"25-34",IF(HR_Data[[#This Row],[Age]]&lt;=44,"35-44",IF(HR_Data[[#This Row],[Age]]&lt;=54,"45-54","55+"))))</f>
        <v>25-34</v>
      </c>
      <c r="AM1210" s="1" t="str">
        <f>IF(HR_Data[[#This Row],[MonthlyIncome]]&lt;3000,"Low Salary",IF(HR_Data[[#This Row],[MonthlyIncome]]&lt;=7000,"Medium Salary","High Salary"))</f>
        <v>Medium Salary</v>
      </c>
      <c r="AN1210" s="1" t="str">
        <f>IF(HR_Data[[#This Row],[YearsAtCompany]]&lt;2,"0-1 Years",IF(HR_Data[[#This Row],[YearsAtCompany]]&lt;=5,"2-5 Years",IF(HR_Data[[#This Row],[YearsAtCompany]]&lt;=10,"6-10 Years","10+ Years")))</f>
        <v>10+ Years</v>
      </c>
      <c r="AO1210" s="1" t="str">
        <f>IF(HR_Data[[#This Row],[JobSatisfaction]]=1,"Low",IF(HR_Data[[#This Row],[JobSatisfaction]]=2,"Medium",IF(HR_Data[[#This Row],[JobSatisfaction]]=3,"High","Very High")))</f>
        <v>Very High</v>
      </c>
      <c r="AP1210" s="1" t="str">
        <f>IF(HR_Data[[#This Row],[WorkLifeBalance]]=1,"Bad",IF(HR_Data[[#This Row],[WorkLifeBalance]]=2,"Good",IF(HR_Data[[#This Row],[WorkLifeBalance]]=3,"Better","Best")))</f>
        <v>Best</v>
      </c>
    </row>
    <row r="1211" spans="1:42" x14ac:dyDescent="0.3">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c r="AJ1211">
        <f>IF(HR_Data[[#This Row],[Attrition]]="Yes",1,0)</f>
        <v>0</v>
      </c>
      <c r="AK1211">
        <f>IF(HR_Data[[#This Row],[Attrition]]="No",1,0)</f>
        <v>1</v>
      </c>
      <c r="AL1211" t="str">
        <f>IF(HR_Data[[#This Row],[Age]]&lt;25,"Under 25",IF(HR_Data[[#This Row],[Age]]&lt;=34,"25-34",IF(HR_Data[[#This Row],[Age]]&lt;=44,"35-44",IF(HR_Data[[#This Row],[Age]]&lt;=54,"45-54","55+"))))</f>
        <v>55+</v>
      </c>
      <c r="AM1211" s="1" t="str">
        <f>IF(HR_Data[[#This Row],[MonthlyIncome]]&lt;3000,"Low Salary",IF(HR_Data[[#This Row],[MonthlyIncome]]&lt;=7000,"Medium Salary","High Salary"))</f>
        <v>High Salary</v>
      </c>
      <c r="AN1211" s="1" t="str">
        <f>IF(HR_Data[[#This Row],[YearsAtCompany]]&lt;2,"0-1 Years",IF(HR_Data[[#This Row],[YearsAtCompany]]&lt;=5,"2-5 Years",IF(HR_Data[[#This Row],[YearsAtCompany]]&lt;=10,"6-10 Years","10+ Years")))</f>
        <v>0-1 Years</v>
      </c>
      <c r="AO1211" s="1" t="str">
        <f>IF(HR_Data[[#This Row],[JobSatisfaction]]=1,"Low",IF(HR_Data[[#This Row],[JobSatisfaction]]=2,"Medium",IF(HR_Data[[#This Row],[JobSatisfaction]]=3,"High","Very High")))</f>
        <v>Very High</v>
      </c>
      <c r="AP1211" s="1" t="str">
        <f>IF(HR_Data[[#This Row],[WorkLifeBalance]]=1,"Bad",IF(HR_Data[[#This Row],[WorkLifeBalance]]=2,"Good",IF(HR_Data[[#This Row],[WorkLifeBalance]]=3,"Better","Best")))</f>
        <v>Best</v>
      </c>
    </row>
    <row r="1212" spans="1:42" x14ac:dyDescent="0.3">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c r="AJ1212">
        <f>IF(HR_Data[[#This Row],[Attrition]]="Yes",1,0)</f>
        <v>0</v>
      </c>
      <c r="AK1212">
        <f>IF(HR_Data[[#This Row],[Attrition]]="No",1,0)</f>
        <v>1</v>
      </c>
      <c r="AL1212" t="str">
        <f>IF(HR_Data[[#This Row],[Age]]&lt;25,"Under 25",IF(HR_Data[[#This Row],[Age]]&lt;=34,"25-34",IF(HR_Data[[#This Row],[Age]]&lt;=44,"35-44",IF(HR_Data[[#This Row],[Age]]&lt;=54,"45-54","55+"))))</f>
        <v>25-34</v>
      </c>
      <c r="AM1212" s="1" t="str">
        <f>IF(HR_Data[[#This Row],[MonthlyIncome]]&lt;3000,"Low Salary",IF(HR_Data[[#This Row],[MonthlyIncome]]&lt;=7000,"Medium Salary","High Salary"))</f>
        <v>Low Salary</v>
      </c>
      <c r="AN1212" s="1" t="str">
        <f>IF(HR_Data[[#This Row],[YearsAtCompany]]&lt;2,"0-1 Years",IF(HR_Data[[#This Row],[YearsAtCompany]]&lt;=5,"2-5 Years",IF(HR_Data[[#This Row],[YearsAtCompany]]&lt;=10,"6-10 Years","10+ Years")))</f>
        <v>10+ Years</v>
      </c>
      <c r="AO1212" s="1" t="str">
        <f>IF(HR_Data[[#This Row],[JobSatisfaction]]=1,"Low",IF(HR_Data[[#This Row],[JobSatisfaction]]=2,"Medium",IF(HR_Data[[#This Row],[JobSatisfaction]]=3,"High","Very High")))</f>
        <v>Medium</v>
      </c>
      <c r="AP1212" s="1" t="str">
        <f>IF(HR_Data[[#This Row],[WorkLifeBalance]]=1,"Bad",IF(HR_Data[[#This Row],[WorkLifeBalance]]=2,"Good",IF(HR_Data[[#This Row],[WorkLifeBalance]]=3,"Better","Best")))</f>
        <v>Better</v>
      </c>
    </row>
    <row r="1213" spans="1:42" x14ac:dyDescent="0.3">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c r="AJ1213">
        <f>IF(HR_Data[[#This Row],[Attrition]]="Yes",1,0)</f>
        <v>0</v>
      </c>
      <c r="AK1213">
        <f>IF(HR_Data[[#This Row],[Attrition]]="No",1,0)</f>
        <v>1</v>
      </c>
      <c r="AL1213" t="str">
        <f>IF(HR_Data[[#This Row],[Age]]&lt;25,"Under 25",IF(HR_Data[[#This Row],[Age]]&lt;=34,"25-34",IF(HR_Data[[#This Row],[Age]]&lt;=44,"35-44",IF(HR_Data[[#This Row],[Age]]&lt;=54,"45-54","55+"))))</f>
        <v>35-44</v>
      </c>
      <c r="AM1213" s="1" t="str">
        <f>IF(HR_Data[[#This Row],[MonthlyIncome]]&lt;3000,"Low Salary",IF(HR_Data[[#This Row],[MonthlyIncome]]&lt;=7000,"Medium Salary","High Salary"))</f>
        <v>High Salary</v>
      </c>
      <c r="AN1213" s="1" t="str">
        <f>IF(HR_Data[[#This Row],[YearsAtCompany]]&lt;2,"0-1 Years",IF(HR_Data[[#This Row],[YearsAtCompany]]&lt;=5,"2-5 Years",IF(HR_Data[[#This Row],[YearsAtCompany]]&lt;=10,"6-10 Years","10+ Years")))</f>
        <v>6-10 Years</v>
      </c>
      <c r="AO1213" s="1" t="str">
        <f>IF(HR_Data[[#This Row],[JobSatisfaction]]=1,"Low",IF(HR_Data[[#This Row],[JobSatisfaction]]=2,"Medium",IF(HR_Data[[#This Row],[JobSatisfaction]]=3,"High","Very High")))</f>
        <v>Very High</v>
      </c>
      <c r="AP1213" s="1" t="str">
        <f>IF(HR_Data[[#This Row],[WorkLifeBalance]]=1,"Bad",IF(HR_Data[[#This Row],[WorkLifeBalance]]=2,"Good",IF(HR_Data[[#This Row],[WorkLifeBalance]]=3,"Better","Best")))</f>
        <v>Good</v>
      </c>
    </row>
    <row r="1214" spans="1:42" x14ac:dyDescent="0.3">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c r="AJ1214">
        <f>IF(HR_Data[[#This Row],[Attrition]]="Yes",1,0)</f>
        <v>0</v>
      </c>
      <c r="AK1214">
        <f>IF(HR_Data[[#This Row],[Attrition]]="No",1,0)</f>
        <v>1</v>
      </c>
      <c r="AL1214" t="str">
        <f>IF(HR_Data[[#This Row],[Age]]&lt;25,"Under 25",IF(HR_Data[[#This Row],[Age]]&lt;=34,"25-34",IF(HR_Data[[#This Row],[Age]]&lt;=44,"35-44",IF(HR_Data[[#This Row],[Age]]&lt;=54,"45-54","55+"))))</f>
        <v>25-34</v>
      </c>
      <c r="AM1214" s="1" t="str">
        <f>IF(HR_Data[[#This Row],[MonthlyIncome]]&lt;3000,"Low Salary",IF(HR_Data[[#This Row],[MonthlyIncome]]&lt;=7000,"Medium Salary","High Salary"))</f>
        <v>Low Salary</v>
      </c>
      <c r="AN1214" s="1" t="str">
        <f>IF(HR_Data[[#This Row],[YearsAtCompany]]&lt;2,"0-1 Years",IF(HR_Data[[#This Row],[YearsAtCompany]]&lt;=5,"2-5 Years",IF(HR_Data[[#This Row],[YearsAtCompany]]&lt;=10,"6-10 Years","10+ Years")))</f>
        <v>6-10 Years</v>
      </c>
      <c r="AO1214" s="1" t="str">
        <f>IF(HR_Data[[#This Row],[JobSatisfaction]]=1,"Low",IF(HR_Data[[#This Row],[JobSatisfaction]]=2,"Medium",IF(HR_Data[[#This Row],[JobSatisfaction]]=3,"High","Very High")))</f>
        <v>Very High</v>
      </c>
      <c r="AP1214" s="1" t="str">
        <f>IF(HR_Data[[#This Row],[WorkLifeBalance]]=1,"Bad",IF(HR_Data[[#This Row],[WorkLifeBalance]]=2,"Good",IF(HR_Data[[#This Row],[WorkLifeBalance]]=3,"Better","Best")))</f>
        <v>Better</v>
      </c>
    </row>
    <row r="1215" spans="1:42" x14ac:dyDescent="0.3">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c r="AJ1215">
        <f>IF(HR_Data[[#This Row],[Attrition]]="Yes",1,0)</f>
        <v>1</v>
      </c>
      <c r="AK1215">
        <f>IF(HR_Data[[#This Row],[Attrition]]="No",1,0)</f>
        <v>0</v>
      </c>
      <c r="AL1215" t="str">
        <f>IF(HR_Data[[#This Row],[Age]]&lt;25,"Under 25",IF(HR_Data[[#This Row],[Age]]&lt;=34,"25-34",IF(HR_Data[[#This Row],[Age]]&lt;=44,"35-44",IF(HR_Data[[#This Row],[Age]]&lt;=54,"45-54","55+"))))</f>
        <v>Under 25</v>
      </c>
      <c r="AM1215" s="1" t="str">
        <f>IF(HR_Data[[#This Row],[MonthlyIncome]]&lt;3000,"Low Salary",IF(HR_Data[[#This Row],[MonthlyIncome]]&lt;=7000,"Medium Salary","High Salary"))</f>
        <v>Low Salary</v>
      </c>
      <c r="AN1215" s="1" t="str">
        <f>IF(HR_Data[[#This Row],[YearsAtCompany]]&lt;2,"0-1 Years",IF(HR_Data[[#This Row],[YearsAtCompany]]&lt;=5,"2-5 Years",IF(HR_Data[[#This Row],[YearsAtCompany]]&lt;=10,"6-10 Years","10+ Years")))</f>
        <v>2-5 Years</v>
      </c>
      <c r="AO1215" s="1" t="str">
        <f>IF(HR_Data[[#This Row],[JobSatisfaction]]=1,"Low",IF(HR_Data[[#This Row],[JobSatisfaction]]=2,"Medium",IF(HR_Data[[#This Row],[JobSatisfaction]]=3,"High","Very High")))</f>
        <v>Very High</v>
      </c>
      <c r="AP1215" s="1" t="str">
        <f>IF(HR_Data[[#This Row],[WorkLifeBalance]]=1,"Bad",IF(HR_Data[[#This Row],[WorkLifeBalance]]=2,"Good",IF(HR_Data[[#This Row],[WorkLifeBalance]]=3,"Better","Best")))</f>
        <v>Better</v>
      </c>
    </row>
    <row r="1216" spans="1:42" x14ac:dyDescent="0.3">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c r="AJ1216">
        <f>IF(HR_Data[[#This Row],[Attrition]]="Yes",1,0)</f>
        <v>0</v>
      </c>
      <c r="AK1216">
        <f>IF(HR_Data[[#This Row],[Attrition]]="No",1,0)</f>
        <v>1</v>
      </c>
      <c r="AL1216" t="str">
        <f>IF(HR_Data[[#This Row],[Age]]&lt;25,"Under 25",IF(HR_Data[[#This Row],[Age]]&lt;=34,"25-34",IF(HR_Data[[#This Row],[Age]]&lt;=44,"35-44",IF(HR_Data[[#This Row],[Age]]&lt;=54,"45-54","55+"))))</f>
        <v>35-44</v>
      </c>
      <c r="AM1216" s="1" t="str">
        <f>IF(HR_Data[[#This Row],[MonthlyIncome]]&lt;3000,"Low Salary",IF(HR_Data[[#This Row],[MonthlyIncome]]&lt;=7000,"Medium Salary","High Salary"))</f>
        <v>High Salary</v>
      </c>
      <c r="AN1216" s="1" t="str">
        <f>IF(HR_Data[[#This Row],[YearsAtCompany]]&lt;2,"0-1 Years",IF(HR_Data[[#This Row],[YearsAtCompany]]&lt;=5,"2-5 Years",IF(HR_Data[[#This Row],[YearsAtCompany]]&lt;=10,"6-10 Years","10+ Years")))</f>
        <v>6-10 Years</v>
      </c>
      <c r="AO1216" s="1" t="str">
        <f>IF(HR_Data[[#This Row],[JobSatisfaction]]=1,"Low",IF(HR_Data[[#This Row],[JobSatisfaction]]=2,"Medium",IF(HR_Data[[#This Row],[JobSatisfaction]]=3,"High","Very High")))</f>
        <v>Very High</v>
      </c>
      <c r="AP1216" s="1" t="str">
        <f>IF(HR_Data[[#This Row],[WorkLifeBalance]]=1,"Bad",IF(HR_Data[[#This Row],[WorkLifeBalance]]=2,"Good",IF(HR_Data[[#This Row],[WorkLifeBalance]]=3,"Better","Best")))</f>
        <v>Better</v>
      </c>
    </row>
    <row r="1217" spans="1:42" x14ac:dyDescent="0.3">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c r="AJ1217">
        <f>IF(HR_Data[[#This Row],[Attrition]]="Yes",1,0)</f>
        <v>0</v>
      </c>
      <c r="AK1217">
        <f>IF(HR_Data[[#This Row],[Attrition]]="No",1,0)</f>
        <v>1</v>
      </c>
      <c r="AL1217" t="str">
        <f>IF(HR_Data[[#This Row],[Age]]&lt;25,"Under 25",IF(HR_Data[[#This Row],[Age]]&lt;=34,"25-34",IF(HR_Data[[#This Row],[Age]]&lt;=44,"35-44",IF(HR_Data[[#This Row],[Age]]&lt;=54,"45-54","55+"))))</f>
        <v>35-44</v>
      </c>
      <c r="AM1217" s="1" t="str">
        <f>IF(HR_Data[[#This Row],[MonthlyIncome]]&lt;3000,"Low Salary",IF(HR_Data[[#This Row],[MonthlyIncome]]&lt;=7000,"Medium Salary","High Salary"))</f>
        <v>Medium Salary</v>
      </c>
      <c r="AN1217" s="1" t="str">
        <f>IF(HR_Data[[#This Row],[YearsAtCompany]]&lt;2,"0-1 Years",IF(HR_Data[[#This Row],[YearsAtCompany]]&lt;=5,"2-5 Years",IF(HR_Data[[#This Row],[YearsAtCompany]]&lt;=10,"6-10 Years","10+ Years")))</f>
        <v>2-5 Years</v>
      </c>
      <c r="AO1217" s="1" t="str">
        <f>IF(HR_Data[[#This Row],[JobSatisfaction]]=1,"Low",IF(HR_Data[[#This Row],[JobSatisfaction]]=2,"Medium",IF(HR_Data[[#This Row],[JobSatisfaction]]=3,"High","Very High")))</f>
        <v>Very High</v>
      </c>
      <c r="AP1217" s="1" t="str">
        <f>IF(HR_Data[[#This Row],[WorkLifeBalance]]=1,"Bad",IF(HR_Data[[#This Row],[WorkLifeBalance]]=2,"Good",IF(HR_Data[[#This Row],[WorkLifeBalance]]=3,"Better","Best")))</f>
        <v>Best</v>
      </c>
    </row>
    <row r="1218" spans="1:42" x14ac:dyDescent="0.3">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c r="AJ1218">
        <f>IF(HR_Data[[#This Row],[Attrition]]="Yes",1,0)</f>
        <v>0</v>
      </c>
      <c r="AK1218">
        <f>IF(HR_Data[[#This Row],[Attrition]]="No",1,0)</f>
        <v>1</v>
      </c>
      <c r="AL1218" t="str">
        <f>IF(HR_Data[[#This Row],[Age]]&lt;25,"Under 25",IF(HR_Data[[#This Row],[Age]]&lt;=34,"25-34",IF(HR_Data[[#This Row],[Age]]&lt;=44,"35-44",IF(HR_Data[[#This Row],[Age]]&lt;=54,"45-54","55+"))))</f>
        <v>35-44</v>
      </c>
      <c r="AM1218" s="1" t="str">
        <f>IF(HR_Data[[#This Row],[MonthlyIncome]]&lt;3000,"Low Salary",IF(HR_Data[[#This Row],[MonthlyIncome]]&lt;=7000,"Medium Salary","High Salary"))</f>
        <v>High Salary</v>
      </c>
      <c r="AN1218" s="1" t="str">
        <f>IF(HR_Data[[#This Row],[YearsAtCompany]]&lt;2,"0-1 Years",IF(HR_Data[[#This Row],[YearsAtCompany]]&lt;=5,"2-5 Years",IF(HR_Data[[#This Row],[YearsAtCompany]]&lt;=10,"6-10 Years","10+ Years")))</f>
        <v>6-10 Years</v>
      </c>
      <c r="AO1218" s="1" t="str">
        <f>IF(HR_Data[[#This Row],[JobSatisfaction]]=1,"Low",IF(HR_Data[[#This Row],[JobSatisfaction]]=2,"Medium",IF(HR_Data[[#This Row],[JobSatisfaction]]=3,"High","Very High")))</f>
        <v>Very High</v>
      </c>
      <c r="AP1218" s="1" t="str">
        <f>IF(HR_Data[[#This Row],[WorkLifeBalance]]=1,"Bad",IF(HR_Data[[#This Row],[WorkLifeBalance]]=2,"Good",IF(HR_Data[[#This Row],[WorkLifeBalance]]=3,"Better","Best")))</f>
        <v>Better</v>
      </c>
    </row>
    <row r="1219" spans="1:42" x14ac:dyDescent="0.3">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c r="AJ1219">
        <f>IF(HR_Data[[#This Row],[Attrition]]="Yes",1,0)</f>
        <v>0</v>
      </c>
      <c r="AK1219">
        <f>IF(HR_Data[[#This Row],[Attrition]]="No",1,0)</f>
        <v>1</v>
      </c>
      <c r="AL1219" t="str">
        <f>IF(HR_Data[[#This Row],[Age]]&lt;25,"Under 25",IF(HR_Data[[#This Row],[Age]]&lt;=34,"25-34",IF(HR_Data[[#This Row],[Age]]&lt;=44,"35-44",IF(HR_Data[[#This Row],[Age]]&lt;=54,"45-54","55+"))))</f>
        <v>Under 25</v>
      </c>
      <c r="AM1219" s="1" t="str">
        <f>IF(HR_Data[[#This Row],[MonthlyIncome]]&lt;3000,"Low Salary",IF(HR_Data[[#This Row],[MonthlyIncome]]&lt;=7000,"Medium Salary","High Salary"))</f>
        <v>Medium Salary</v>
      </c>
      <c r="AN1219" s="1" t="str">
        <f>IF(HR_Data[[#This Row],[YearsAtCompany]]&lt;2,"0-1 Years",IF(HR_Data[[#This Row],[YearsAtCompany]]&lt;=5,"2-5 Years",IF(HR_Data[[#This Row],[YearsAtCompany]]&lt;=10,"6-10 Years","10+ Years")))</f>
        <v>2-5 Years</v>
      </c>
      <c r="AO1219" s="1" t="str">
        <f>IF(HR_Data[[#This Row],[JobSatisfaction]]=1,"Low",IF(HR_Data[[#This Row],[JobSatisfaction]]=2,"Medium",IF(HR_Data[[#This Row],[JobSatisfaction]]=3,"High","Very High")))</f>
        <v>High</v>
      </c>
      <c r="AP1219" s="1" t="str">
        <f>IF(HR_Data[[#This Row],[WorkLifeBalance]]=1,"Bad",IF(HR_Data[[#This Row],[WorkLifeBalance]]=2,"Good",IF(HR_Data[[#This Row],[WorkLifeBalance]]=3,"Better","Best")))</f>
        <v>Better</v>
      </c>
    </row>
    <row r="1220" spans="1:42" x14ac:dyDescent="0.3">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c r="AJ1220">
        <f>IF(HR_Data[[#This Row],[Attrition]]="Yes",1,0)</f>
        <v>0</v>
      </c>
      <c r="AK1220">
        <f>IF(HR_Data[[#This Row],[Attrition]]="No",1,0)</f>
        <v>1</v>
      </c>
      <c r="AL1220" t="str">
        <f>IF(HR_Data[[#This Row],[Age]]&lt;25,"Under 25",IF(HR_Data[[#This Row],[Age]]&lt;=34,"25-34",IF(HR_Data[[#This Row],[Age]]&lt;=44,"35-44",IF(HR_Data[[#This Row],[Age]]&lt;=54,"45-54","55+"))))</f>
        <v>35-44</v>
      </c>
      <c r="AM1220" s="1" t="str">
        <f>IF(HR_Data[[#This Row],[MonthlyIncome]]&lt;3000,"Low Salary",IF(HR_Data[[#This Row],[MonthlyIncome]]&lt;=7000,"Medium Salary","High Salary"))</f>
        <v>High Salary</v>
      </c>
      <c r="AN1220" s="1" t="str">
        <f>IF(HR_Data[[#This Row],[YearsAtCompany]]&lt;2,"0-1 Years",IF(HR_Data[[#This Row],[YearsAtCompany]]&lt;=5,"2-5 Years",IF(HR_Data[[#This Row],[YearsAtCompany]]&lt;=10,"6-10 Years","10+ Years")))</f>
        <v>6-10 Years</v>
      </c>
      <c r="AO1220" s="1" t="str">
        <f>IF(HR_Data[[#This Row],[JobSatisfaction]]=1,"Low",IF(HR_Data[[#This Row],[JobSatisfaction]]=2,"Medium",IF(HR_Data[[#This Row],[JobSatisfaction]]=3,"High","Very High")))</f>
        <v>High</v>
      </c>
      <c r="AP1220" s="1" t="str">
        <f>IF(HR_Data[[#This Row],[WorkLifeBalance]]=1,"Bad",IF(HR_Data[[#This Row],[WorkLifeBalance]]=2,"Good",IF(HR_Data[[#This Row],[WorkLifeBalance]]=3,"Better","Best")))</f>
        <v>Better</v>
      </c>
    </row>
    <row r="1221" spans="1:42" x14ac:dyDescent="0.3">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c r="AJ1221">
        <f>IF(HR_Data[[#This Row],[Attrition]]="Yes",1,0)</f>
        <v>0</v>
      </c>
      <c r="AK1221">
        <f>IF(HR_Data[[#This Row],[Attrition]]="No",1,0)</f>
        <v>1</v>
      </c>
      <c r="AL1221" t="str">
        <f>IF(HR_Data[[#This Row],[Age]]&lt;25,"Under 25",IF(HR_Data[[#This Row],[Age]]&lt;=34,"25-34",IF(HR_Data[[#This Row],[Age]]&lt;=44,"35-44",IF(HR_Data[[#This Row],[Age]]&lt;=54,"45-54","55+"))))</f>
        <v>25-34</v>
      </c>
      <c r="AM1221" s="1" t="str">
        <f>IF(HR_Data[[#This Row],[MonthlyIncome]]&lt;3000,"Low Salary",IF(HR_Data[[#This Row],[MonthlyIncome]]&lt;=7000,"Medium Salary","High Salary"))</f>
        <v>Low Salary</v>
      </c>
      <c r="AN1221" s="1" t="str">
        <f>IF(HR_Data[[#This Row],[YearsAtCompany]]&lt;2,"0-1 Years",IF(HR_Data[[#This Row],[YearsAtCompany]]&lt;=5,"2-5 Years",IF(HR_Data[[#This Row],[YearsAtCompany]]&lt;=10,"6-10 Years","10+ Years")))</f>
        <v>2-5 Years</v>
      </c>
      <c r="AO1221" s="1" t="str">
        <f>IF(HR_Data[[#This Row],[JobSatisfaction]]=1,"Low",IF(HR_Data[[#This Row],[JobSatisfaction]]=2,"Medium",IF(HR_Data[[#This Row],[JobSatisfaction]]=3,"High","Very High")))</f>
        <v>High</v>
      </c>
      <c r="AP1221" s="1" t="str">
        <f>IF(HR_Data[[#This Row],[WorkLifeBalance]]=1,"Bad",IF(HR_Data[[#This Row],[WorkLifeBalance]]=2,"Good",IF(HR_Data[[#This Row],[WorkLifeBalance]]=3,"Better","Best")))</f>
        <v>Better</v>
      </c>
    </row>
    <row r="1222" spans="1:42" x14ac:dyDescent="0.3">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c r="AJ1222">
        <f>IF(HR_Data[[#This Row],[Attrition]]="Yes",1,0)</f>
        <v>0</v>
      </c>
      <c r="AK1222">
        <f>IF(HR_Data[[#This Row],[Attrition]]="No",1,0)</f>
        <v>1</v>
      </c>
      <c r="AL1222" t="str">
        <f>IF(HR_Data[[#This Row],[Age]]&lt;25,"Under 25",IF(HR_Data[[#This Row],[Age]]&lt;=34,"25-34",IF(HR_Data[[#This Row],[Age]]&lt;=44,"35-44",IF(HR_Data[[#This Row],[Age]]&lt;=54,"45-54","55+"))))</f>
        <v>35-44</v>
      </c>
      <c r="AM1222" s="1" t="str">
        <f>IF(HR_Data[[#This Row],[MonthlyIncome]]&lt;3000,"Low Salary",IF(HR_Data[[#This Row],[MonthlyIncome]]&lt;=7000,"Medium Salary","High Salary"))</f>
        <v>Medium Salary</v>
      </c>
      <c r="AN1222" s="1" t="str">
        <f>IF(HR_Data[[#This Row],[YearsAtCompany]]&lt;2,"0-1 Years",IF(HR_Data[[#This Row],[YearsAtCompany]]&lt;=5,"2-5 Years",IF(HR_Data[[#This Row],[YearsAtCompany]]&lt;=10,"6-10 Years","10+ Years")))</f>
        <v>10+ Years</v>
      </c>
      <c r="AO1222" s="1" t="str">
        <f>IF(HR_Data[[#This Row],[JobSatisfaction]]=1,"Low",IF(HR_Data[[#This Row],[JobSatisfaction]]=2,"Medium",IF(HR_Data[[#This Row],[JobSatisfaction]]=3,"High","Very High")))</f>
        <v>Very High</v>
      </c>
      <c r="AP1222" s="1" t="str">
        <f>IF(HR_Data[[#This Row],[WorkLifeBalance]]=1,"Bad",IF(HR_Data[[#This Row],[WorkLifeBalance]]=2,"Good",IF(HR_Data[[#This Row],[WorkLifeBalance]]=3,"Better","Best")))</f>
        <v>Good</v>
      </c>
    </row>
    <row r="1223" spans="1:42" x14ac:dyDescent="0.3">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c r="AJ1223">
        <f>IF(HR_Data[[#This Row],[Attrition]]="Yes",1,0)</f>
        <v>0</v>
      </c>
      <c r="AK1223">
        <f>IF(HR_Data[[#This Row],[Attrition]]="No",1,0)</f>
        <v>1</v>
      </c>
      <c r="AL1223" t="str">
        <f>IF(HR_Data[[#This Row],[Age]]&lt;25,"Under 25",IF(HR_Data[[#This Row],[Age]]&lt;=34,"25-34",IF(HR_Data[[#This Row],[Age]]&lt;=44,"35-44",IF(HR_Data[[#This Row],[Age]]&lt;=54,"45-54","55+"))))</f>
        <v>45-54</v>
      </c>
      <c r="AM1223" s="1" t="str">
        <f>IF(HR_Data[[#This Row],[MonthlyIncome]]&lt;3000,"Low Salary",IF(HR_Data[[#This Row],[MonthlyIncome]]&lt;=7000,"Medium Salary","High Salary"))</f>
        <v>High Salary</v>
      </c>
      <c r="AN1223" s="1" t="str">
        <f>IF(HR_Data[[#This Row],[YearsAtCompany]]&lt;2,"0-1 Years",IF(HR_Data[[#This Row],[YearsAtCompany]]&lt;=5,"2-5 Years",IF(HR_Data[[#This Row],[YearsAtCompany]]&lt;=10,"6-10 Years","10+ Years")))</f>
        <v>10+ Years</v>
      </c>
      <c r="AO1223" s="1" t="str">
        <f>IF(HR_Data[[#This Row],[JobSatisfaction]]=1,"Low",IF(HR_Data[[#This Row],[JobSatisfaction]]=2,"Medium",IF(HR_Data[[#This Row],[JobSatisfaction]]=3,"High","Very High")))</f>
        <v>High</v>
      </c>
      <c r="AP1223" s="1" t="str">
        <f>IF(HR_Data[[#This Row],[WorkLifeBalance]]=1,"Bad",IF(HR_Data[[#This Row],[WorkLifeBalance]]=2,"Good",IF(HR_Data[[#This Row],[WorkLifeBalance]]=3,"Better","Best")))</f>
        <v>Good</v>
      </c>
    </row>
    <row r="1224" spans="1:42" x14ac:dyDescent="0.3">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c r="AJ1224">
        <f>IF(HR_Data[[#This Row],[Attrition]]="Yes",1,0)</f>
        <v>1</v>
      </c>
      <c r="AK1224">
        <f>IF(HR_Data[[#This Row],[Attrition]]="No",1,0)</f>
        <v>0</v>
      </c>
      <c r="AL1224" t="str">
        <f>IF(HR_Data[[#This Row],[Age]]&lt;25,"Under 25",IF(HR_Data[[#This Row],[Age]]&lt;=34,"25-34",IF(HR_Data[[#This Row],[Age]]&lt;=44,"35-44",IF(HR_Data[[#This Row],[Age]]&lt;=54,"45-54","55+"))))</f>
        <v>Under 25</v>
      </c>
      <c r="AM1224" s="1" t="str">
        <f>IF(HR_Data[[#This Row],[MonthlyIncome]]&lt;3000,"Low Salary",IF(HR_Data[[#This Row],[MonthlyIncome]]&lt;=7000,"Medium Salary","High Salary"))</f>
        <v>Low Salary</v>
      </c>
      <c r="AN1224" s="1" t="str">
        <f>IF(HR_Data[[#This Row],[YearsAtCompany]]&lt;2,"0-1 Years",IF(HR_Data[[#This Row],[YearsAtCompany]]&lt;=5,"2-5 Years",IF(HR_Data[[#This Row],[YearsAtCompany]]&lt;=10,"6-10 Years","10+ Years")))</f>
        <v>0-1 Years</v>
      </c>
      <c r="AO1224" s="1" t="str">
        <f>IF(HR_Data[[#This Row],[JobSatisfaction]]=1,"Low",IF(HR_Data[[#This Row],[JobSatisfaction]]=2,"Medium",IF(HR_Data[[#This Row],[JobSatisfaction]]=3,"High","Very High")))</f>
        <v>High</v>
      </c>
      <c r="AP1224" s="1" t="str">
        <f>IF(HR_Data[[#This Row],[WorkLifeBalance]]=1,"Bad",IF(HR_Data[[#This Row],[WorkLifeBalance]]=2,"Good",IF(HR_Data[[#This Row],[WorkLifeBalance]]=3,"Better","Best")))</f>
        <v>Better</v>
      </c>
    </row>
    <row r="1225" spans="1:42" x14ac:dyDescent="0.3">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c r="AJ1225">
        <f>IF(HR_Data[[#This Row],[Attrition]]="Yes",1,0)</f>
        <v>1</v>
      </c>
      <c r="AK1225">
        <f>IF(HR_Data[[#This Row],[Attrition]]="No",1,0)</f>
        <v>0</v>
      </c>
      <c r="AL1225" t="str">
        <f>IF(HR_Data[[#This Row],[Age]]&lt;25,"Under 25",IF(HR_Data[[#This Row],[Age]]&lt;=34,"25-34",IF(HR_Data[[#This Row],[Age]]&lt;=44,"35-44",IF(HR_Data[[#This Row],[Age]]&lt;=54,"45-54","55+"))))</f>
        <v>45-54</v>
      </c>
      <c r="AM1225" s="1" t="str">
        <f>IF(HR_Data[[#This Row],[MonthlyIncome]]&lt;3000,"Low Salary",IF(HR_Data[[#This Row],[MonthlyIncome]]&lt;=7000,"Medium Salary","High Salary"))</f>
        <v>High Salary</v>
      </c>
      <c r="AN1225" s="1" t="str">
        <f>IF(HR_Data[[#This Row],[YearsAtCompany]]&lt;2,"0-1 Years",IF(HR_Data[[#This Row],[YearsAtCompany]]&lt;=5,"2-5 Years",IF(HR_Data[[#This Row],[YearsAtCompany]]&lt;=10,"6-10 Years","10+ Years")))</f>
        <v>10+ Years</v>
      </c>
      <c r="AO1225" s="1" t="str">
        <f>IF(HR_Data[[#This Row],[JobSatisfaction]]=1,"Low",IF(HR_Data[[#This Row],[JobSatisfaction]]=2,"Medium",IF(HR_Data[[#This Row],[JobSatisfaction]]=3,"High","Very High")))</f>
        <v>High</v>
      </c>
      <c r="AP1225" s="1" t="str">
        <f>IF(HR_Data[[#This Row],[WorkLifeBalance]]=1,"Bad",IF(HR_Data[[#This Row],[WorkLifeBalance]]=2,"Good",IF(HR_Data[[#This Row],[WorkLifeBalance]]=3,"Better","Best")))</f>
        <v>Bad</v>
      </c>
    </row>
    <row r="1226" spans="1:42" x14ac:dyDescent="0.3">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c r="AJ1226">
        <f>IF(HR_Data[[#This Row],[Attrition]]="Yes",1,0)</f>
        <v>0</v>
      </c>
      <c r="AK1226">
        <f>IF(HR_Data[[#This Row],[Attrition]]="No",1,0)</f>
        <v>1</v>
      </c>
      <c r="AL1226" t="str">
        <f>IF(HR_Data[[#This Row],[Age]]&lt;25,"Under 25",IF(HR_Data[[#This Row],[Age]]&lt;=34,"25-34",IF(HR_Data[[#This Row],[Age]]&lt;=44,"35-44",IF(HR_Data[[#This Row],[Age]]&lt;=54,"45-54","55+"))))</f>
        <v>25-34</v>
      </c>
      <c r="AM1226" s="1" t="str">
        <f>IF(HR_Data[[#This Row],[MonthlyIncome]]&lt;3000,"Low Salary",IF(HR_Data[[#This Row],[MonthlyIncome]]&lt;=7000,"Medium Salary","High Salary"))</f>
        <v>Low Salary</v>
      </c>
      <c r="AN1226" s="1" t="str">
        <f>IF(HR_Data[[#This Row],[YearsAtCompany]]&lt;2,"0-1 Years",IF(HR_Data[[#This Row],[YearsAtCompany]]&lt;=5,"2-5 Years",IF(HR_Data[[#This Row],[YearsAtCompany]]&lt;=10,"6-10 Years","10+ Years")))</f>
        <v>2-5 Years</v>
      </c>
      <c r="AO1226" s="1" t="str">
        <f>IF(HR_Data[[#This Row],[JobSatisfaction]]=1,"Low",IF(HR_Data[[#This Row],[JobSatisfaction]]=2,"Medium",IF(HR_Data[[#This Row],[JobSatisfaction]]=3,"High","Very High")))</f>
        <v>High</v>
      </c>
      <c r="AP1226" s="1" t="str">
        <f>IF(HR_Data[[#This Row],[WorkLifeBalance]]=1,"Bad",IF(HR_Data[[#This Row],[WorkLifeBalance]]=2,"Good",IF(HR_Data[[#This Row],[WorkLifeBalance]]=3,"Better","Best")))</f>
        <v>Best</v>
      </c>
    </row>
    <row r="1227" spans="1:42" x14ac:dyDescent="0.3">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c r="AJ1227">
        <f>IF(HR_Data[[#This Row],[Attrition]]="Yes",1,0)</f>
        <v>0</v>
      </c>
      <c r="AK1227">
        <f>IF(HR_Data[[#This Row],[Attrition]]="No",1,0)</f>
        <v>1</v>
      </c>
      <c r="AL1227" t="str">
        <f>IF(HR_Data[[#This Row],[Age]]&lt;25,"Under 25",IF(HR_Data[[#This Row],[Age]]&lt;=34,"25-34",IF(HR_Data[[#This Row],[Age]]&lt;=44,"35-44",IF(HR_Data[[#This Row],[Age]]&lt;=54,"45-54","55+"))))</f>
        <v>45-54</v>
      </c>
      <c r="AM1227" s="1" t="str">
        <f>IF(HR_Data[[#This Row],[MonthlyIncome]]&lt;3000,"Low Salary",IF(HR_Data[[#This Row],[MonthlyIncome]]&lt;=7000,"Medium Salary","High Salary"))</f>
        <v>High Salary</v>
      </c>
      <c r="AN1227" s="1" t="str">
        <f>IF(HR_Data[[#This Row],[YearsAtCompany]]&lt;2,"0-1 Years",IF(HR_Data[[#This Row],[YearsAtCompany]]&lt;=5,"2-5 Years",IF(HR_Data[[#This Row],[YearsAtCompany]]&lt;=10,"6-10 Years","10+ Years")))</f>
        <v>10+ Years</v>
      </c>
      <c r="AO1227" s="1" t="str">
        <f>IF(HR_Data[[#This Row],[JobSatisfaction]]=1,"Low",IF(HR_Data[[#This Row],[JobSatisfaction]]=2,"Medium",IF(HR_Data[[#This Row],[JobSatisfaction]]=3,"High","Very High")))</f>
        <v>Medium</v>
      </c>
      <c r="AP1227" s="1" t="str">
        <f>IF(HR_Data[[#This Row],[WorkLifeBalance]]=1,"Bad",IF(HR_Data[[#This Row],[WorkLifeBalance]]=2,"Good",IF(HR_Data[[#This Row],[WorkLifeBalance]]=3,"Better","Best")))</f>
        <v>Better</v>
      </c>
    </row>
    <row r="1228" spans="1:42" x14ac:dyDescent="0.3">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c r="AJ1228">
        <f>IF(HR_Data[[#This Row],[Attrition]]="Yes",1,0)</f>
        <v>0</v>
      </c>
      <c r="AK1228">
        <f>IF(HR_Data[[#This Row],[Attrition]]="No",1,0)</f>
        <v>1</v>
      </c>
      <c r="AL1228" t="str">
        <f>IF(HR_Data[[#This Row],[Age]]&lt;25,"Under 25",IF(HR_Data[[#This Row],[Age]]&lt;=34,"25-34",IF(HR_Data[[#This Row],[Age]]&lt;=44,"35-44",IF(HR_Data[[#This Row],[Age]]&lt;=54,"45-54","55+"))))</f>
        <v>25-34</v>
      </c>
      <c r="AM1228" s="1" t="str">
        <f>IF(HR_Data[[#This Row],[MonthlyIncome]]&lt;3000,"Low Salary",IF(HR_Data[[#This Row],[MonthlyIncome]]&lt;=7000,"Medium Salary","High Salary"))</f>
        <v>Medium Salary</v>
      </c>
      <c r="AN1228" s="1" t="str">
        <f>IF(HR_Data[[#This Row],[YearsAtCompany]]&lt;2,"0-1 Years",IF(HR_Data[[#This Row],[YearsAtCompany]]&lt;=5,"2-5 Years",IF(HR_Data[[#This Row],[YearsAtCompany]]&lt;=10,"6-10 Years","10+ Years")))</f>
        <v>2-5 Years</v>
      </c>
      <c r="AO1228" s="1" t="str">
        <f>IF(HR_Data[[#This Row],[JobSatisfaction]]=1,"Low",IF(HR_Data[[#This Row],[JobSatisfaction]]=2,"Medium",IF(HR_Data[[#This Row],[JobSatisfaction]]=3,"High","Very High")))</f>
        <v>High</v>
      </c>
      <c r="AP1228" s="1" t="str">
        <f>IF(HR_Data[[#This Row],[WorkLifeBalance]]=1,"Bad",IF(HR_Data[[#This Row],[WorkLifeBalance]]=2,"Good",IF(HR_Data[[#This Row],[WorkLifeBalance]]=3,"Better","Best")))</f>
        <v>Good</v>
      </c>
    </row>
    <row r="1229" spans="1:42" x14ac:dyDescent="0.3">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c r="AJ1229">
        <f>IF(HR_Data[[#This Row],[Attrition]]="Yes",1,0)</f>
        <v>0</v>
      </c>
      <c r="AK1229">
        <f>IF(HR_Data[[#This Row],[Attrition]]="No",1,0)</f>
        <v>1</v>
      </c>
      <c r="AL1229" t="str">
        <f>IF(HR_Data[[#This Row],[Age]]&lt;25,"Under 25",IF(HR_Data[[#This Row],[Age]]&lt;=34,"25-34",IF(HR_Data[[#This Row],[Age]]&lt;=44,"35-44",IF(HR_Data[[#This Row],[Age]]&lt;=54,"45-54","55+"))))</f>
        <v>25-34</v>
      </c>
      <c r="AM1229" s="1" t="str">
        <f>IF(HR_Data[[#This Row],[MonthlyIncome]]&lt;3000,"Low Salary",IF(HR_Data[[#This Row],[MonthlyIncome]]&lt;=7000,"Medium Salary","High Salary"))</f>
        <v>Medium Salary</v>
      </c>
      <c r="AN1229" s="1" t="str">
        <f>IF(HR_Data[[#This Row],[YearsAtCompany]]&lt;2,"0-1 Years",IF(HR_Data[[#This Row],[YearsAtCompany]]&lt;=5,"2-5 Years",IF(HR_Data[[#This Row],[YearsAtCompany]]&lt;=10,"6-10 Years","10+ Years")))</f>
        <v>2-5 Years</v>
      </c>
      <c r="AO1229" s="1" t="str">
        <f>IF(HR_Data[[#This Row],[JobSatisfaction]]=1,"Low",IF(HR_Data[[#This Row],[JobSatisfaction]]=2,"Medium",IF(HR_Data[[#This Row],[JobSatisfaction]]=3,"High","Very High")))</f>
        <v>High</v>
      </c>
      <c r="AP1229" s="1" t="str">
        <f>IF(HR_Data[[#This Row],[WorkLifeBalance]]=1,"Bad",IF(HR_Data[[#This Row],[WorkLifeBalance]]=2,"Good",IF(HR_Data[[#This Row],[WorkLifeBalance]]=3,"Better","Best")))</f>
        <v>Best</v>
      </c>
    </row>
    <row r="1230" spans="1:42" x14ac:dyDescent="0.3">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c r="AJ1230">
        <f>IF(HR_Data[[#This Row],[Attrition]]="Yes",1,0)</f>
        <v>0</v>
      </c>
      <c r="AK1230">
        <f>IF(HR_Data[[#This Row],[Attrition]]="No",1,0)</f>
        <v>1</v>
      </c>
      <c r="AL1230" t="str">
        <f>IF(HR_Data[[#This Row],[Age]]&lt;25,"Under 25",IF(HR_Data[[#This Row],[Age]]&lt;=34,"25-34",IF(HR_Data[[#This Row],[Age]]&lt;=44,"35-44",IF(HR_Data[[#This Row],[Age]]&lt;=54,"45-54","55+"))))</f>
        <v>35-44</v>
      </c>
      <c r="AM1230" s="1" t="str">
        <f>IF(HR_Data[[#This Row],[MonthlyIncome]]&lt;3000,"Low Salary",IF(HR_Data[[#This Row],[MonthlyIncome]]&lt;=7000,"Medium Salary","High Salary"))</f>
        <v>Medium Salary</v>
      </c>
      <c r="AN1230" s="1" t="str">
        <f>IF(HR_Data[[#This Row],[YearsAtCompany]]&lt;2,"0-1 Years",IF(HR_Data[[#This Row],[YearsAtCompany]]&lt;=5,"2-5 Years",IF(HR_Data[[#This Row],[YearsAtCompany]]&lt;=10,"6-10 Years","10+ Years")))</f>
        <v>2-5 Years</v>
      </c>
      <c r="AO1230" s="1" t="str">
        <f>IF(HR_Data[[#This Row],[JobSatisfaction]]=1,"Low",IF(HR_Data[[#This Row],[JobSatisfaction]]=2,"Medium",IF(HR_Data[[#This Row],[JobSatisfaction]]=3,"High","Very High")))</f>
        <v>Medium</v>
      </c>
      <c r="AP1230" s="1" t="str">
        <f>IF(HR_Data[[#This Row],[WorkLifeBalance]]=1,"Bad",IF(HR_Data[[#This Row],[WorkLifeBalance]]=2,"Good",IF(HR_Data[[#This Row],[WorkLifeBalance]]=3,"Better","Best")))</f>
        <v>Better</v>
      </c>
    </row>
    <row r="1231" spans="1:42" x14ac:dyDescent="0.3">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c r="AJ1231">
        <f>IF(HR_Data[[#This Row],[Attrition]]="Yes",1,0)</f>
        <v>0</v>
      </c>
      <c r="AK1231">
        <f>IF(HR_Data[[#This Row],[Attrition]]="No",1,0)</f>
        <v>1</v>
      </c>
      <c r="AL1231" t="str">
        <f>IF(HR_Data[[#This Row],[Age]]&lt;25,"Under 25",IF(HR_Data[[#This Row],[Age]]&lt;=34,"25-34",IF(HR_Data[[#This Row],[Age]]&lt;=44,"35-44",IF(HR_Data[[#This Row],[Age]]&lt;=54,"45-54","55+"))))</f>
        <v>35-44</v>
      </c>
      <c r="AM1231" s="1" t="str">
        <f>IF(HR_Data[[#This Row],[MonthlyIncome]]&lt;3000,"Low Salary",IF(HR_Data[[#This Row],[MonthlyIncome]]&lt;=7000,"Medium Salary","High Salary"))</f>
        <v>Medium Salary</v>
      </c>
      <c r="AN1231" s="1" t="str">
        <f>IF(HR_Data[[#This Row],[YearsAtCompany]]&lt;2,"0-1 Years",IF(HR_Data[[#This Row],[YearsAtCompany]]&lt;=5,"2-5 Years",IF(HR_Data[[#This Row],[YearsAtCompany]]&lt;=10,"6-10 Years","10+ Years")))</f>
        <v>0-1 Years</v>
      </c>
      <c r="AO1231" s="1" t="str">
        <f>IF(HR_Data[[#This Row],[JobSatisfaction]]=1,"Low",IF(HR_Data[[#This Row],[JobSatisfaction]]=2,"Medium",IF(HR_Data[[#This Row],[JobSatisfaction]]=3,"High","Very High")))</f>
        <v>Low</v>
      </c>
      <c r="AP1231" s="1" t="str">
        <f>IF(HR_Data[[#This Row],[WorkLifeBalance]]=1,"Bad",IF(HR_Data[[#This Row],[WorkLifeBalance]]=2,"Good",IF(HR_Data[[#This Row],[WorkLifeBalance]]=3,"Better","Best")))</f>
        <v>Better</v>
      </c>
    </row>
    <row r="1232" spans="1:42" x14ac:dyDescent="0.3">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c r="AJ1232">
        <f>IF(HR_Data[[#This Row],[Attrition]]="Yes",1,0)</f>
        <v>0</v>
      </c>
      <c r="AK1232">
        <f>IF(HR_Data[[#This Row],[Attrition]]="No",1,0)</f>
        <v>1</v>
      </c>
      <c r="AL1232" t="str">
        <f>IF(HR_Data[[#This Row],[Age]]&lt;25,"Under 25",IF(HR_Data[[#This Row],[Age]]&lt;=34,"25-34",IF(HR_Data[[#This Row],[Age]]&lt;=44,"35-44",IF(HR_Data[[#This Row],[Age]]&lt;=54,"45-54","55+"))))</f>
        <v>Under 25</v>
      </c>
      <c r="AM1232" s="1" t="str">
        <f>IF(HR_Data[[#This Row],[MonthlyIncome]]&lt;3000,"Low Salary",IF(HR_Data[[#This Row],[MonthlyIncome]]&lt;=7000,"Medium Salary","High Salary"))</f>
        <v>Medium Salary</v>
      </c>
      <c r="AN1232" s="1" t="str">
        <f>IF(HR_Data[[#This Row],[YearsAtCompany]]&lt;2,"0-1 Years",IF(HR_Data[[#This Row],[YearsAtCompany]]&lt;=5,"2-5 Years",IF(HR_Data[[#This Row],[YearsAtCompany]]&lt;=10,"6-10 Years","10+ Years")))</f>
        <v>6-10 Years</v>
      </c>
      <c r="AO1232" s="1" t="str">
        <f>IF(HR_Data[[#This Row],[JobSatisfaction]]=1,"Low",IF(HR_Data[[#This Row],[JobSatisfaction]]=2,"Medium",IF(HR_Data[[#This Row],[JobSatisfaction]]=3,"High","Very High")))</f>
        <v>Low</v>
      </c>
      <c r="AP1232" s="1" t="str">
        <f>IF(HR_Data[[#This Row],[WorkLifeBalance]]=1,"Bad",IF(HR_Data[[#This Row],[WorkLifeBalance]]=2,"Good",IF(HR_Data[[#This Row],[WorkLifeBalance]]=3,"Better","Best")))</f>
        <v>Best</v>
      </c>
    </row>
    <row r="1233" spans="1:42" x14ac:dyDescent="0.3">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c r="AJ1233">
        <f>IF(HR_Data[[#This Row],[Attrition]]="Yes",1,0)</f>
        <v>0</v>
      </c>
      <c r="AK1233">
        <f>IF(HR_Data[[#This Row],[Attrition]]="No",1,0)</f>
        <v>1</v>
      </c>
      <c r="AL1233" t="str">
        <f>IF(HR_Data[[#This Row],[Age]]&lt;25,"Under 25",IF(HR_Data[[#This Row],[Age]]&lt;=34,"25-34",IF(HR_Data[[#This Row],[Age]]&lt;=44,"35-44",IF(HR_Data[[#This Row],[Age]]&lt;=54,"45-54","55+"))))</f>
        <v>45-54</v>
      </c>
      <c r="AM1233" s="1" t="str">
        <f>IF(HR_Data[[#This Row],[MonthlyIncome]]&lt;3000,"Low Salary",IF(HR_Data[[#This Row],[MonthlyIncome]]&lt;=7000,"Medium Salary","High Salary"))</f>
        <v>Medium Salary</v>
      </c>
      <c r="AN1233" s="1" t="str">
        <f>IF(HR_Data[[#This Row],[YearsAtCompany]]&lt;2,"0-1 Years",IF(HR_Data[[#This Row],[YearsAtCompany]]&lt;=5,"2-5 Years",IF(HR_Data[[#This Row],[YearsAtCompany]]&lt;=10,"6-10 Years","10+ Years")))</f>
        <v>6-10 Years</v>
      </c>
      <c r="AO1233" s="1" t="str">
        <f>IF(HR_Data[[#This Row],[JobSatisfaction]]=1,"Low",IF(HR_Data[[#This Row],[JobSatisfaction]]=2,"Medium",IF(HR_Data[[#This Row],[JobSatisfaction]]=3,"High","Very High")))</f>
        <v>Medium</v>
      </c>
      <c r="AP1233" s="1" t="str">
        <f>IF(HR_Data[[#This Row],[WorkLifeBalance]]=1,"Bad",IF(HR_Data[[#This Row],[WorkLifeBalance]]=2,"Good",IF(HR_Data[[#This Row],[WorkLifeBalance]]=3,"Better","Best")))</f>
        <v>Better</v>
      </c>
    </row>
    <row r="1234" spans="1:42" x14ac:dyDescent="0.3">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c r="AJ1234">
        <f>IF(HR_Data[[#This Row],[Attrition]]="Yes",1,0)</f>
        <v>0</v>
      </c>
      <c r="AK1234">
        <f>IF(HR_Data[[#This Row],[Attrition]]="No",1,0)</f>
        <v>1</v>
      </c>
      <c r="AL1234" t="str">
        <f>IF(HR_Data[[#This Row],[Age]]&lt;25,"Under 25",IF(HR_Data[[#This Row],[Age]]&lt;=34,"25-34",IF(HR_Data[[#This Row],[Age]]&lt;=44,"35-44",IF(HR_Data[[#This Row],[Age]]&lt;=54,"45-54","55+"))))</f>
        <v>35-44</v>
      </c>
      <c r="AM1234" s="1" t="str">
        <f>IF(HR_Data[[#This Row],[MonthlyIncome]]&lt;3000,"Low Salary",IF(HR_Data[[#This Row],[MonthlyIncome]]&lt;=7000,"Medium Salary","High Salary"))</f>
        <v>Medium Salary</v>
      </c>
      <c r="AN1234" s="1" t="str">
        <f>IF(HR_Data[[#This Row],[YearsAtCompany]]&lt;2,"0-1 Years",IF(HR_Data[[#This Row],[YearsAtCompany]]&lt;=5,"2-5 Years",IF(HR_Data[[#This Row],[YearsAtCompany]]&lt;=10,"6-10 Years","10+ Years")))</f>
        <v>6-10 Years</v>
      </c>
      <c r="AO1234" s="1" t="str">
        <f>IF(HR_Data[[#This Row],[JobSatisfaction]]=1,"Low",IF(HR_Data[[#This Row],[JobSatisfaction]]=2,"Medium",IF(HR_Data[[#This Row],[JobSatisfaction]]=3,"High","Very High")))</f>
        <v>High</v>
      </c>
      <c r="AP1234" s="1" t="str">
        <f>IF(HR_Data[[#This Row],[WorkLifeBalance]]=1,"Bad",IF(HR_Data[[#This Row],[WorkLifeBalance]]=2,"Good",IF(HR_Data[[#This Row],[WorkLifeBalance]]=3,"Better","Best")))</f>
        <v>Better</v>
      </c>
    </row>
    <row r="1235" spans="1:42" x14ac:dyDescent="0.3">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c r="AJ1235">
        <f>IF(HR_Data[[#This Row],[Attrition]]="Yes",1,0)</f>
        <v>0</v>
      </c>
      <c r="AK1235">
        <f>IF(HR_Data[[#This Row],[Attrition]]="No",1,0)</f>
        <v>1</v>
      </c>
      <c r="AL1235" t="str">
        <f>IF(HR_Data[[#This Row],[Age]]&lt;25,"Under 25",IF(HR_Data[[#This Row],[Age]]&lt;=34,"25-34",IF(HR_Data[[#This Row],[Age]]&lt;=44,"35-44",IF(HR_Data[[#This Row],[Age]]&lt;=54,"45-54","55+"))))</f>
        <v>25-34</v>
      </c>
      <c r="AM1235" s="1" t="str">
        <f>IF(HR_Data[[#This Row],[MonthlyIncome]]&lt;3000,"Low Salary",IF(HR_Data[[#This Row],[MonthlyIncome]]&lt;=7000,"Medium Salary","High Salary"))</f>
        <v>Low Salary</v>
      </c>
      <c r="AN1235" s="1" t="str">
        <f>IF(HR_Data[[#This Row],[YearsAtCompany]]&lt;2,"0-1 Years",IF(HR_Data[[#This Row],[YearsAtCompany]]&lt;=5,"2-5 Years",IF(HR_Data[[#This Row],[YearsAtCompany]]&lt;=10,"6-10 Years","10+ Years")))</f>
        <v>6-10 Years</v>
      </c>
      <c r="AO1235" s="1" t="str">
        <f>IF(HR_Data[[#This Row],[JobSatisfaction]]=1,"Low",IF(HR_Data[[#This Row],[JobSatisfaction]]=2,"Medium",IF(HR_Data[[#This Row],[JobSatisfaction]]=3,"High","Very High")))</f>
        <v>Very High</v>
      </c>
      <c r="AP1235" s="1" t="str">
        <f>IF(HR_Data[[#This Row],[WorkLifeBalance]]=1,"Bad",IF(HR_Data[[#This Row],[WorkLifeBalance]]=2,"Good",IF(HR_Data[[#This Row],[WorkLifeBalance]]=3,"Better","Best")))</f>
        <v>Good</v>
      </c>
    </row>
    <row r="1236" spans="1:42" x14ac:dyDescent="0.3">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c r="AJ1236">
        <f>IF(HR_Data[[#This Row],[Attrition]]="Yes",1,0)</f>
        <v>0</v>
      </c>
      <c r="AK1236">
        <f>IF(HR_Data[[#This Row],[Attrition]]="No",1,0)</f>
        <v>1</v>
      </c>
      <c r="AL1236" t="str">
        <f>IF(HR_Data[[#This Row],[Age]]&lt;25,"Under 25",IF(HR_Data[[#This Row],[Age]]&lt;=34,"25-34",IF(HR_Data[[#This Row],[Age]]&lt;=44,"35-44",IF(HR_Data[[#This Row],[Age]]&lt;=54,"45-54","55+"))))</f>
        <v>45-54</v>
      </c>
      <c r="AM1236" s="1" t="str">
        <f>IF(HR_Data[[#This Row],[MonthlyIncome]]&lt;3000,"Low Salary",IF(HR_Data[[#This Row],[MonthlyIncome]]&lt;=7000,"Medium Salary","High Salary"))</f>
        <v>Medium Salary</v>
      </c>
      <c r="AN1236" s="1" t="str">
        <f>IF(HR_Data[[#This Row],[YearsAtCompany]]&lt;2,"0-1 Years",IF(HR_Data[[#This Row],[YearsAtCompany]]&lt;=5,"2-5 Years",IF(HR_Data[[#This Row],[YearsAtCompany]]&lt;=10,"6-10 Years","10+ Years")))</f>
        <v>0-1 Years</v>
      </c>
      <c r="AO1236" s="1" t="str">
        <f>IF(HR_Data[[#This Row],[JobSatisfaction]]=1,"Low",IF(HR_Data[[#This Row],[JobSatisfaction]]=2,"Medium",IF(HR_Data[[#This Row],[JobSatisfaction]]=3,"High","Very High")))</f>
        <v>Medium</v>
      </c>
      <c r="AP1236" s="1" t="str">
        <f>IF(HR_Data[[#This Row],[WorkLifeBalance]]=1,"Bad",IF(HR_Data[[#This Row],[WorkLifeBalance]]=2,"Good",IF(HR_Data[[#This Row],[WorkLifeBalance]]=3,"Better","Best")))</f>
        <v>Bad</v>
      </c>
    </row>
    <row r="1237" spans="1:42" x14ac:dyDescent="0.3">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c r="AJ1237">
        <f>IF(HR_Data[[#This Row],[Attrition]]="Yes",1,0)</f>
        <v>0</v>
      </c>
      <c r="AK1237">
        <f>IF(HR_Data[[#This Row],[Attrition]]="No",1,0)</f>
        <v>1</v>
      </c>
      <c r="AL1237" t="str">
        <f>IF(HR_Data[[#This Row],[Age]]&lt;25,"Under 25",IF(HR_Data[[#This Row],[Age]]&lt;=34,"25-34",IF(HR_Data[[#This Row],[Age]]&lt;=44,"35-44",IF(HR_Data[[#This Row],[Age]]&lt;=54,"45-54","55+"))))</f>
        <v>45-54</v>
      </c>
      <c r="AM1237" s="1" t="str">
        <f>IF(HR_Data[[#This Row],[MonthlyIncome]]&lt;3000,"Low Salary",IF(HR_Data[[#This Row],[MonthlyIncome]]&lt;=7000,"Medium Salary","High Salary"))</f>
        <v>High Salary</v>
      </c>
      <c r="AN1237" s="1" t="str">
        <f>IF(HR_Data[[#This Row],[YearsAtCompany]]&lt;2,"0-1 Years",IF(HR_Data[[#This Row],[YearsAtCompany]]&lt;=5,"2-5 Years",IF(HR_Data[[#This Row],[YearsAtCompany]]&lt;=10,"6-10 Years","10+ Years")))</f>
        <v>6-10 Years</v>
      </c>
      <c r="AO1237" s="1" t="str">
        <f>IF(HR_Data[[#This Row],[JobSatisfaction]]=1,"Low",IF(HR_Data[[#This Row],[JobSatisfaction]]=2,"Medium",IF(HR_Data[[#This Row],[JobSatisfaction]]=3,"High","Very High")))</f>
        <v>Very High</v>
      </c>
      <c r="AP1237" s="1" t="str">
        <f>IF(HR_Data[[#This Row],[WorkLifeBalance]]=1,"Bad",IF(HR_Data[[#This Row],[WorkLifeBalance]]=2,"Good",IF(HR_Data[[#This Row],[WorkLifeBalance]]=3,"Better","Best")))</f>
        <v>Good</v>
      </c>
    </row>
    <row r="1238" spans="1:42" x14ac:dyDescent="0.3">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c r="AJ1238">
        <f>IF(HR_Data[[#This Row],[Attrition]]="Yes",1,0)</f>
        <v>1</v>
      </c>
      <c r="AK1238">
        <f>IF(HR_Data[[#This Row],[Attrition]]="No",1,0)</f>
        <v>0</v>
      </c>
      <c r="AL1238" t="str">
        <f>IF(HR_Data[[#This Row],[Age]]&lt;25,"Under 25",IF(HR_Data[[#This Row],[Age]]&lt;=34,"25-34",IF(HR_Data[[#This Row],[Age]]&lt;=44,"35-44",IF(HR_Data[[#This Row],[Age]]&lt;=54,"45-54","55+"))))</f>
        <v>35-44</v>
      </c>
      <c r="AM1238" s="1" t="str">
        <f>IF(HR_Data[[#This Row],[MonthlyIncome]]&lt;3000,"Low Salary",IF(HR_Data[[#This Row],[MonthlyIncome]]&lt;=7000,"Medium Salary","High Salary"))</f>
        <v>Medium Salary</v>
      </c>
      <c r="AN1238" s="1" t="str">
        <f>IF(HR_Data[[#This Row],[YearsAtCompany]]&lt;2,"0-1 Years",IF(HR_Data[[#This Row],[YearsAtCompany]]&lt;=5,"2-5 Years",IF(HR_Data[[#This Row],[YearsAtCompany]]&lt;=10,"6-10 Years","10+ Years")))</f>
        <v>2-5 Years</v>
      </c>
      <c r="AO1238" s="1" t="str">
        <f>IF(HR_Data[[#This Row],[JobSatisfaction]]=1,"Low",IF(HR_Data[[#This Row],[JobSatisfaction]]=2,"Medium",IF(HR_Data[[#This Row],[JobSatisfaction]]=3,"High","Very High")))</f>
        <v>Low</v>
      </c>
      <c r="AP1238" s="1" t="str">
        <f>IF(HR_Data[[#This Row],[WorkLifeBalance]]=1,"Bad",IF(HR_Data[[#This Row],[WorkLifeBalance]]=2,"Good",IF(HR_Data[[#This Row],[WorkLifeBalance]]=3,"Better","Best")))</f>
        <v>Better</v>
      </c>
    </row>
    <row r="1239" spans="1:42" x14ac:dyDescent="0.3">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c r="AJ1239">
        <f>IF(HR_Data[[#This Row],[Attrition]]="Yes",1,0)</f>
        <v>1</v>
      </c>
      <c r="AK1239">
        <f>IF(HR_Data[[#This Row],[Attrition]]="No",1,0)</f>
        <v>0</v>
      </c>
      <c r="AL1239" t="str">
        <f>IF(HR_Data[[#This Row],[Age]]&lt;25,"Under 25",IF(HR_Data[[#This Row],[Age]]&lt;=34,"25-34",IF(HR_Data[[#This Row],[Age]]&lt;=44,"35-44",IF(HR_Data[[#This Row],[Age]]&lt;=54,"45-54","55+"))))</f>
        <v>25-34</v>
      </c>
      <c r="AM1239" s="1" t="str">
        <f>IF(HR_Data[[#This Row],[MonthlyIncome]]&lt;3000,"Low Salary",IF(HR_Data[[#This Row],[MonthlyIncome]]&lt;=7000,"Medium Salary","High Salary"))</f>
        <v>Medium Salary</v>
      </c>
      <c r="AN1239" s="1" t="str">
        <f>IF(HR_Data[[#This Row],[YearsAtCompany]]&lt;2,"0-1 Years",IF(HR_Data[[#This Row],[YearsAtCompany]]&lt;=5,"2-5 Years",IF(HR_Data[[#This Row],[YearsAtCompany]]&lt;=10,"6-10 Years","10+ Years")))</f>
        <v>0-1 Years</v>
      </c>
      <c r="AO1239" s="1" t="str">
        <f>IF(HR_Data[[#This Row],[JobSatisfaction]]=1,"Low",IF(HR_Data[[#This Row],[JobSatisfaction]]=2,"Medium",IF(HR_Data[[#This Row],[JobSatisfaction]]=3,"High","Very High")))</f>
        <v>Medium</v>
      </c>
      <c r="AP1239" s="1" t="str">
        <f>IF(HR_Data[[#This Row],[WorkLifeBalance]]=1,"Bad",IF(HR_Data[[#This Row],[WorkLifeBalance]]=2,"Good",IF(HR_Data[[#This Row],[WorkLifeBalance]]=3,"Better","Best")))</f>
        <v>Better</v>
      </c>
    </row>
    <row r="1240" spans="1:42" x14ac:dyDescent="0.3">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c r="AJ1240">
        <f>IF(HR_Data[[#This Row],[Attrition]]="Yes",1,0)</f>
        <v>0</v>
      </c>
      <c r="AK1240">
        <f>IF(HR_Data[[#This Row],[Attrition]]="No",1,0)</f>
        <v>1</v>
      </c>
      <c r="AL1240" t="str">
        <f>IF(HR_Data[[#This Row],[Age]]&lt;25,"Under 25",IF(HR_Data[[#This Row],[Age]]&lt;=34,"25-34",IF(HR_Data[[#This Row],[Age]]&lt;=44,"35-44",IF(HR_Data[[#This Row],[Age]]&lt;=54,"45-54","55+"))))</f>
        <v>Under 25</v>
      </c>
      <c r="AM1240" s="1" t="str">
        <f>IF(HR_Data[[#This Row],[MonthlyIncome]]&lt;3000,"Low Salary",IF(HR_Data[[#This Row],[MonthlyIncome]]&lt;=7000,"Medium Salary","High Salary"))</f>
        <v>Medium Salary</v>
      </c>
      <c r="AN1240" s="1" t="str">
        <f>IF(HR_Data[[#This Row],[YearsAtCompany]]&lt;2,"0-1 Years",IF(HR_Data[[#This Row],[YearsAtCompany]]&lt;=5,"2-5 Years",IF(HR_Data[[#This Row],[YearsAtCompany]]&lt;=10,"6-10 Years","10+ Years")))</f>
        <v>2-5 Years</v>
      </c>
      <c r="AO1240" s="1" t="str">
        <f>IF(HR_Data[[#This Row],[JobSatisfaction]]=1,"Low",IF(HR_Data[[#This Row],[JobSatisfaction]]=2,"Medium",IF(HR_Data[[#This Row],[JobSatisfaction]]=3,"High","Very High")))</f>
        <v>Medium</v>
      </c>
      <c r="AP1240" s="1" t="str">
        <f>IF(HR_Data[[#This Row],[WorkLifeBalance]]=1,"Bad",IF(HR_Data[[#This Row],[WorkLifeBalance]]=2,"Good",IF(HR_Data[[#This Row],[WorkLifeBalance]]=3,"Better","Best")))</f>
        <v>Bad</v>
      </c>
    </row>
    <row r="1241" spans="1:42" x14ac:dyDescent="0.3">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c r="AJ1241">
        <f>IF(HR_Data[[#This Row],[Attrition]]="Yes",1,0)</f>
        <v>0</v>
      </c>
      <c r="AK1241">
        <f>IF(HR_Data[[#This Row],[Attrition]]="No",1,0)</f>
        <v>1</v>
      </c>
      <c r="AL1241" t="str">
        <f>IF(HR_Data[[#This Row],[Age]]&lt;25,"Under 25",IF(HR_Data[[#This Row],[Age]]&lt;=34,"25-34",IF(HR_Data[[#This Row],[Age]]&lt;=44,"35-44",IF(HR_Data[[#This Row],[Age]]&lt;=54,"45-54","55+"))))</f>
        <v>25-34</v>
      </c>
      <c r="AM1241" s="1" t="str">
        <f>IF(HR_Data[[#This Row],[MonthlyIncome]]&lt;3000,"Low Salary",IF(HR_Data[[#This Row],[MonthlyIncome]]&lt;=7000,"Medium Salary","High Salary"))</f>
        <v>Medium Salary</v>
      </c>
      <c r="AN1241" s="1" t="str">
        <f>IF(HR_Data[[#This Row],[YearsAtCompany]]&lt;2,"0-1 Years",IF(HR_Data[[#This Row],[YearsAtCompany]]&lt;=5,"2-5 Years",IF(HR_Data[[#This Row],[YearsAtCompany]]&lt;=10,"6-10 Years","10+ Years")))</f>
        <v>2-5 Years</v>
      </c>
      <c r="AO1241" s="1" t="str">
        <f>IF(HR_Data[[#This Row],[JobSatisfaction]]=1,"Low",IF(HR_Data[[#This Row],[JobSatisfaction]]=2,"Medium",IF(HR_Data[[#This Row],[JobSatisfaction]]=3,"High","Very High")))</f>
        <v>Very High</v>
      </c>
      <c r="AP1241" s="1" t="str">
        <f>IF(HR_Data[[#This Row],[WorkLifeBalance]]=1,"Bad",IF(HR_Data[[#This Row],[WorkLifeBalance]]=2,"Good",IF(HR_Data[[#This Row],[WorkLifeBalance]]=3,"Better","Best")))</f>
        <v>Good</v>
      </c>
    </row>
    <row r="1242" spans="1:42" x14ac:dyDescent="0.3">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c r="AJ1242">
        <f>IF(HR_Data[[#This Row],[Attrition]]="Yes",1,0)</f>
        <v>0</v>
      </c>
      <c r="AK1242">
        <f>IF(HR_Data[[#This Row],[Attrition]]="No",1,0)</f>
        <v>1</v>
      </c>
      <c r="AL1242" t="str">
        <f>IF(HR_Data[[#This Row],[Age]]&lt;25,"Under 25",IF(HR_Data[[#This Row],[Age]]&lt;=34,"25-34",IF(HR_Data[[#This Row],[Age]]&lt;=44,"35-44",IF(HR_Data[[#This Row],[Age]]&lt;=54,"45-54","55+"))))</f>
        <v>35-44</v>
      </c>
      <c r="AM1242" s="1" t="str">
        <f>IF(HR_Data[[#This Row],[MonthlyIncome]]&lt;3000,"Low Salary",IF(HR_Data[[#This Row],[MonthlyIncome]]&lt;=7000,"Medium Salary","High Salary"))</f>
        <v>Medium Salary</v>
      </c>
      <c r="AN1242" s="1" t="str">
        <f>IF(HR_Data[[#This Row],[YearsAtCompany]]&lt;2,"0-1 Years",IF(HR_Data[[#This Row],[YearsAtCompany]]&lt;=5,"2-5 Years",IF(HR_Data[[#This Row],[YearsAtCompany]]&lt;=10,"6-10 Years","10+ Years")))</f>
        <v>6-10 Years</v>
      </c>
      <c r="AO1242" s="1" t="str">
        <f>IF(HR_Data[[#This Row],[JobSatisfaction]]=1,"Low",IF(HR_Data[[#This Row],[JobSatisfaction]]=2,"Medium",IF(HR_Data[[#This Row],[JobSatisfaction]]=3,"High","Very High")))</f>
        <v>Very High</v>
      </c>
      <c r="AP1242" s="1" t="str">
        <f>IF(HR_Data[[#This Row],[WorkLifeBalance]]=1,"Bad",IF(HR_Data[[#This Row],[WorkLifeBalance]]=2,"Good",IF(HR_Data[[#This Row],[WorkLifeBalance]]=3,"Better","Best")))</f>
        <v>Better</v>
      </c>
    </row>
    <row r="1243" spans="1:42" x14ac:dyDescent="0.3">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c r="AJ1243">
        <f>IF(HR_Data[[#This Row],[Attrition]]="Yes",1,0)</f>
        <v>0</v>
      </c>
      <c r="AK1243">
        <f>IF(HR_Data[[#This Row],[Attrition]]="No",1,0)</f>
        <v>1</v>
      </c>
      <c r="AL1243" t="str">
        <f>IF(HR_Data[[#This Row],[Age]]&lt;25,"Under 25",IF(HR_Data[[#This Row],[Age]]&lt;=34,"25-34",IF(HR_Data[[#This Row],[Age]]&lt;=44,"35-44",IF(HR_Data[[#This Row],[Age]]&lt;=54,"45-54","55+"))))</f>
        <v>25-34</v>
      </c>
      <c r="AM1243" s="1" t="str">
        <f>IF(HR_Data[[#This Row],[MonthlyIncome]]&lt;3000,"Low Salary",IF(HR_Data[[#This Row],[MonthlyIncome]]&lt;=7000,"Medium Salary","High Salary"))</f>
        <v>High Salary</v>
      </c>
      <c r="AN1243" s="1" t="str">
        <f>IF(HR_Data[[#This Row],[YearsAtCompany]]&lt;2,"0-1 Years",IF(HR_Data[[#This Row],[YearsAtCompany]]&lt;=5,"2-5 Years",IF(HR_Data[[#This Row],[YearsAtCompany]]&lt;=10,"6-10 Years","10+ Years")))</f>
        <v>2-5 Years</v>
      </c>
      <c r="AO1243" s="1" t="str">
        <f>IF(HR_Data[[#This Row],[JobSatisfaction]]=1,"Low",IF(HR_Data[[#This Row],[JobSatisfaction]]=2,"Medium",IF(HR_Data[[#This Row],[JobSatisfaction]]=3,"High","Very High")))</f>
        <v>High</v>
      </c>
      <c r="AP1243" s="1" t="str">
        <f>IF(HR_Data[[#This Row],[WorkLifeBalance]]=1,"Bad",IF(HR_Data[[#This Row],[WorkLifeBalance]]=2,"Good",IF(HR_Data[[#This Row],[WorkLifeBalance]]=3,"Better","Best")))</f>
        <v>Bad</v>
      </c>
    </row>
    <row r="1244" spans="1:42" x14ac:dyDescent="0.3">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c r="AJ1244">
        <f>IF(HR_Data[[#This Row],[Attrition]]="Yes",1,0)</f>
        <v>0</v>
      </c>
      <c r="AK1244">
        <f>IF(HR_Data[[#This Row],[Attrition]]="No",1,0)</f>
        <v>1</v>
      </c>
      <c r="AL1244" t="str">
        <f>IF(HR_Data[[#This Row],[Age]]&lt;25,"Under 25",IF(HR_Data[[#This Row],[Age]]&lt;=34,"25-34",IF(HR_Data[[#This Row],[Age]]&lt;=44,"35-44",IF(HR_Data[[#This Row],[Age]]&lt;=54,"45-54","55+"))))</f>
        <v>35-44</v>
      </c>
      <c r="AM1244" s="1" t="str">
        <f>IF(HR_Data[[#This Row],[MonthlyIncome]]&lt;3000,"Low Salary",IF(HR_Data[[#This Row],[MonthlyIncome]]&lt;=7000,"Medium Salary","High Salary"))</f>
        <v>High Salary</v>
      </c>
      <c r="AN1244" s="1" t="str">
        <f>IF(HR_Data[[#This Row],[YearsAtCompany]]&lt;2,"0-1 Years",IF(HR_Data[[#This Row],[YearsAtCompany]]&lt;=5,"2-5 Years",IF(HR_Data[[#This Row],[YearsAtCompany]]&lt;=10,"6-10 Years","10+ Years")))</f>
        <v>10+ Years</v>
      </c>
      <c r="AO1244" s="1" t="str">
        <f>IF(HR_Data[[#This Row],[JobSatisfaction]]=1,"Low",IF(HR_Data[[#This Row],[JobSatisfaction]]=2,"Medium",IF(HR_Data[[#This Row],[JobSatisfaction]]=3,"High","Very High")))</f>
        <v>Medium</v>
      </c>
      <c r="AP1244" s="1" t="str">
        <f>IF(HR_Data[[#This Row],[WorkLifeBalance]]=1,"Bad",IF(HR_Data[[#This Row],[WorkLifeBalance]]=2,"Good",IF(HR_Data[[#This Row],[WorkLifeBalance]]=3,"Better","Best")))</f>
        <v>Good</v>
      </c>
    </row>
    <row r="1245" spans="1:42" x14ac:dyDescent="0.3">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c r="AJ1245">
        <f>IF(HR_Data[[#This Row],[Attrition]]="Yes",1,0)</f>
        <v>0</v>
      </c>
      <c r="AK1245">
        <f>IF(HR_Data[[#This Row],[Attrition]]="No",1,0)</f>
        <v>1</v>
      </c>
      <c r="AL1245" t="str">
        <f>IF(HR_Data[[#This Row],[Age]]&lt;25,"Under 25",IF(HR_Data[[#This Row],[Age]]&lt;=34,"25-34",IF(HR_Data[[#This Row],[Age]]&lt;=44,"35-44",IF(HR_Data[[#This Row],[Age]]&lt;=54,"45-54","55+"))))</f>
        <v>45-54</v>
      </c>
      <c r="AM1245" s="1" t="str">
        <f>IF(HR_Data[[#This Row],[MonthlyIncome]]&lt;3000,"Low Salary",IF(HR_Data[[#This Row],[MonthlyIncome]]&lt;=7000,"Medium Salary","High Salary"))</f>
        <v>High Salary</v>
      </c>
      <c r="AN1245" s="1" t="str">
        <f>IF(HR_Data[[#This Row],[YearsAtCompany]]&lt;2,"0-1 Years",IF(HR_Data[[#This Row],[YearsAtCompany]]&lt;=5,"2-5 Years",IF(HR_Data[[#This Row],[YearsAtCompany]]&lt;=10,"6-10 Years","10+ Years")))</f>
        <v>2-5 Years</v>
      </c>
      <c r="AO1245" s="1" t="str">
        <f>IF(HR_Data[[#This Row],[JobSatisfaction]]=1,"Low",IF(HR_Data[[#This Row],[JobSatisfaction]]=2,"Medium",IF(HR_Data[[#This Row],[JobSatisfaction]]=3,"High","Very High")))</f>
        <v>High</v>
      </c>
      <c r="AP1245" s="1" t="str">
        <f>IF(HR_Data[[#This Row],[WorkLifeBalance]]=1,"Bad",IF(HR_Data[[#This Row],[WorkLifeBalance]]=2,"Good",IF(HR_Data[[#This Row],[WorkLifeBalance]]=3,"Better","Best")))</f>
        <v>Best</v>
      </c>
    </row>
    <row r="1246" spans="1:42" x14ac:dyDescent="0.3">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c r="AJ1246">
        <f>IF(HR_Data[[#This Row],[Attrition]]="Yes",1,0)</f>
        <v>0</v>
      </c>
      <c r="AK1246">
        <f>IF(HR_Data[[#This Row],[Attrition]]="No",1,0)</f>
        <v>1</v>
      </c>
      <c r="AL1246" t="str">
        <f>IF(HR_Data[[#This Row],[Age]]&lt;25,"Under 25",IF(HR_Data[[#This Row],[Age]]&lt;=34,"25-34",IF(HR_Data[[#This Row],[Age]]&lt;=44,"35-44",IF(HR_Data[[#This Row],[Age]]&lt;=54,"45-54","55+"))))</f>
        <v>25-34</v>
      </c>
      <c r="AM1246" s="1" t="str">
        <f>IF(HR_Data[[#This Row],[MonthlyIncome]]&lt;3000,"Low Salary",IF(HR_Data[[#This Row],[MonthlyIncome]]&lt;=7000,"Medium Salary","High Salary"))</f>
        <v>Medium Salary</v>
      </c>
      <c r="AN1246" s="1" t="str">
        <f>IF(HR_Data[[#This Row],[YearsAtCompany]]&lt;2,"0-1 Years",IF(HR_Data[[#This Row],[YearsAtCompany]]&lt;=5,"2-5 Years",IF(HR_Data[[#This Row],[YearsAtCompany]]&lt;=10,"6-10 Years","10+ Years")))</f>
        <v>6-10 Years</v>
      </c>
      <c r="AO1246" s="1" t="str">
        <f>IF(HR_Data[[#This Row],[JobSatisfaction]]=1,"Low",IF(HR_Data[[#This Row],[JobSatisfaction]]=2,"Medium",IF(HR_Data[[#This Row],[JobSatisfaction]]=3,"High","Very High")))</f>
        <v>Low</v>
      </c>
      <c r="AP1246" s="1" t="str">
        <f>IF(HR_Data[[#This Row],[WorkLifeBalance]]=1,"Bad",IF(HR_Data[[#This Row],[WorkLifeBalance]]=2,"Good",IF(HR_Data[[#This Row],[WorkLifeBalance]]=3,"Better","Best")))</f>
        <v>Better</v>
      </c>
    </row>
    <row r="1247" spans="1:42" x14ac:dyDescent="0.3">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c r="AJ1247">
        <f>IF(HR_Data[[#This Row],[Attrition]]="Yes",1,0)</f>
        <v>0</v>
      </c>
      <c r="AK1247">
        <f>IF(HR_Data[[#This Row],[Attrition]]="No",1,0)</f>
        <v>1</v>
      </c>
      <c r="AL1247" t="str">
        <f>IF(HR_Data[[#This Row],[Age]]&lt;25,"Under 25",IF(HR_Data[[#This Row],[Age]]&lt;=34,"25-34",IF(HR_Data[[#This Row],[Age]]&lt;=44,"35-44",IF(HR_Data[[#This Row],[Age]]&lt;=54,"45-54","55+"))))</f>
        <v>Under 25</v>
      </c>
      <c r="AM1247" s="1" t="str">
        <f>IF(HR_Data[[#This Row],[MonthlyIncome]]&lt;3000,"Low Salary",IF(HR_Data[[#This Row],[MonthlyIncome]]&lt;=7000,"Medium Salary","High Salary"))</f>
        <v>Low Salary</v>
      </c>
      <c r="AN1247" s="1" t="str">
        <f>IF(HR_Data[[#This Row],[YearsAtCompany]]&lt;2,"0-1 Years",IF(HR_Data[[#This Row],[YearsAtCompany]]&lt;=5,"2-5 Years",IF(HR_Data[[#This Row],[YearsAtCompany]]&lt;=10,"6-10 Years","10+ Years")))</f>
        <v>2-5 Years</v>
      </c>
      <c r="AO1247" s="1" t="str">
        <f>IF(HR_Data[[#This Row],[JobSatisfaction]]=1,"Low",IF(HR_Data[[#This Row],[JobSatisfaction]]=2,"Medium",IF(HR_Data[[#This Row],[JobSatisfaction]]=3,"High","Very High")))</f>
        <v>Very High</v>
      </c>
      <c r="AP1247" s="1" t="str">
        <f>IF(HR_Data[[#This Row],[WorkLifeBalance]]=1,"Bad",IF(HR_Data[[#This Row],[WorkLifeBalance]]=2,"Good",IF(HR_Data[[#This Row],[WorkLifeBalance]]=3,"Better","Best")))</f>
        <v>Better</v>
      </c>
    </row>
    <row r="1248" spans="1:42" x14ac:dyDescent="0.3">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c r="AJ1248">
        <f>IF(HR_Data[[#This Row],[Attrition]]="Yes",1,0)</f>
        <v>1</v>
      </c>
      <c r="AK1248">
        <f>IF(HR_Data[[#This Row],[Attrition]]="No",1,0)</f>
        <v>0</v>
      </c>
      <c r="AL1248" t="str">
        <f>IF(HR_Data[[#This Row],[Age]]&lt;25,"Under 25",IF(HR_Data[[#This Row],[Age]]&lt;=34,"25-34",IF(HR_Data[[#This Row],[Age]]&lt;=44,"35-44",IF(HR_Data[[#This Row],[Age]]&lt;=54,"45-54","55+"))))</f>
        <v>25-34</v>
      </c>
      <c r="AM1248" s="1" t="str">
        <f>IF(HR_Data[[#This Row],[MonthlyIncome]]&lt;3000,"Low Salary",IF(HR_Data[[#This Row],[MonthlyIncome]]&lt;=7000,"Medium Salary","High Salary"))</f>
        <v>Low Salary</v>
      </c>
      <c r="AN1248" s="1" t="str">
        <f>IF(HR_Data[[#This Row],[YearsAtCompany]]&lt;2,"0-1 Years",IF(HR_Data[[#This Row],[YearsAtCompany]]&lt;=5,"2-5 Years",IF(HR_Data[[#This Row],[YearsAtCompany]]&lt;=10,"6-10 Years","10+ Years")))</f>
        <v>2-5 Years</v>
      </c>
      <c r="AO1248" s="1" t="str">
        <f>IF(HR_Data[[#This Row],[JobSatisfaction]]=1,"Low",IF(HR_Data[[#This Row],[JobSatisfaction]]=2,"Medium",IF(HR_Data[[#This Row],[JobSatisfaction]]=3,"High","Very High")))</f>
        <v>Very High</v>
      </c>
      <c r="AP1248" s="1" t="str">
        <f>IF(HR_Data[[#This Row],[WorkLifeBalance]]=1,"Bad",IF(HR_Data[[#This Row],[WorkLifeBalance]]=2,"Good",IF(HR_Data[[#This Row],[WorkLifeBalance]]=3,"Better","Best")))</f>
        <v>Good</v>
      </c>
    </row>
    <row r="1249" spans="1:42" x14ac:dyDescent="0.3">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c r="AJ1249">
        <f>IF(HR_Data[[#This Row],[Attrition]]="Yes",1,0)</f>
        <v>0</v>
      </c>
      <c r="AK1249">
        <f>IF(HR_Data[[#This Row],[Attrition]]="No",1,0)</f>
        <v>1</v>
      </c>
      <c r="AL1249" t="str">
        <f>IF(HR_Data[[#This Row],[Age]]&lt;25,"Under 25",IF(HR_Data[[#This Row],[Age]]&lt;=34,"25-34",IF(HR_Data[[#This Row],[Age]]&lt;=44,"35-44",IF(HR_Data[[#This Row],[Age]]&lt;=54,"45-54","55+"))))</f>
        <v>25-34</v>
      </c>
      <c r="AM1249" s="1" t="str">
        <f>IF(HR_Data[[#This Row],[MonthlyIncome]]&lt;3000,"Low Salary",IF(HR_Data[[#This Row],[MonthlyIncome]]&lt;=7000,"Medium Salary","High Salary"))</f>
        <v>High Salary</v>
      </c>
      <c r="AN1249" s="1" t="str">
        <f>IF(HR_Data[[#This Row],[YearsAtCompany]]&lt;2,"0-1 Years",IF(HR_Data[[#This Row],[YearsAtCompany]]&lt;=5,"2-5 Years",IF(HR_Data[[#This Row],[YearsAtCompany]]&lt;=10,"6-10 Years","10+ Years")))</f>
        <v>2-5 Years</v>
      </c>
      <c r="AO1249" s="1" t="str">
        <f>IF(HR_Data[[#This Row],[JobSatisfaction]]=1,"Low",IF(HR_Data[[#This Row],[JobSatisfaction]]=2,"Medium",IF(HR_Data[[#This Row],[JobSatisfaction]]=3,"High","Very High")))</f>
        <v>High</v>
      </c>
      <c r="AP1249" s="1" t="str">
        <f>IF(HR_Data[[#This Row],[WorkLifeBalance]]=1,"Bad",IF(HR_Data[[#This Row],[WorkLifeBalance]]=2,"Good",IF(HR_Data[[#This Row],[WorkLifeBalance]]=3,"Better","Best")))</f>
        <v>Better</v>
      </c>
    </row>
    <row r="1250" spans="1:42" x14ac:dyDescent="0.3">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c r="AJ1250">
        <f>IF(HR_Data[[#This Row],[Attrition]]="Yes",1,0)</f>
        <v>0</v>
      </c>
      <c r="AK1250">
        <f>IF(HR_Data[[#This Row],[Attrition]]="No",1,0)</f>
        <v>1</v>
      </c>
      <c r="AL1250" t="str">
        <f>IF(HR_Data[[#This Row],[Age]]&lt;25,"Under 25",IF(HR_Data[[#This Row],[Age]]&lt;=34,"25-34",IF(HR_Data[[#This Row],[Age]]&lt;=44,"35-44",IF(HR_Data[[#This Row],[Age]]&lt;=54,"45-54","55+"))))</f>
        <v>25-34</v>
      </c>
      <c r="AM1250" s="1" t="str">
        <f>IF(HR_Data[[#This Row],[MonthlyIncome]]&lt;3000,"Low Salary",IF(HR_Data[[#This Row],[MonthlyIncome]]&lt;=7000,"Medium Salary","High Salary"))</f>
        <v>Medium Salary</v>
      </c>
      <c r="AN1250" s="1" t="str">
        <f>IF(HR_Data[[#This Row],[YearsAtCompany]]&lt;2,"0-1 Years",IF(HR_Data[[#This Row],[YearsAtCompany]]&lt;=5,"2-5 Years",IF(HR_Data[[#This Row],[YearsAtCompany]]&lt;=10,"6-10 Years","10+ Years")))</f>
        <v>6-10 Years</v>
      </c>
      <c r="AO1250" s="1" t="str">
        <f>IF(HR_Data[[#This Row],[JobSatisfaction]]=1,"Low",IF(HR_Data[[#This Row],[JobSatisfaction]]=2,"Medium",IF(HR_Data[[#This Row],[JobSatisfaction]]=3,"High","Very High")))</f>
        <v>Very High</v>
      </c>
      <c r="AP1250" s="1" t="str">
        <f>IF(HR_Data[[#This Row],[WorkLifeBalance]]=1,"Bad",IF(HR_Data[[#This Row],[WorkLifeBalance]]=2,"Good",IF(HR_Data[[#This Row],[WorkLifeBalance]]=3,"Better","Best")))</f>
        <v>Good</v>
      </c>
    </row>
    <row r="1251" spans="1:42" x14ac:dyDescent="0.3">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c r="AJ1251">
        <f>IF(HR_Data[[#This Row],[Attrition]]="Yes",1,0)</f>
        <v>1</v>
      </c>
      <c r="AK1251">
        <f>IF(HR_Data[[#This Row],[Attrition]]="No",1,0)</f>
        <v>0</v>
      </c>
      <c r="AL1251" t="str">
        <f>IF(HR_Data[[#This Row],[Age]]&lt;25,"Under 25",IF(HR_Data[[#This Row],[Age]]&lt;=34,"25-34",IF(HR_Data[[#This Row],[Age]]&lt;=44,"35-44",IF(HR_Data[[#This Row],[Age]]&lt;=54,"45-54","55+"))))</f>
        <v>25-34</v>
      </c>
      <c r="AM1251" s="1" t="str">
        <f>IF(HR_Data[[#This Row],[MonthlyIncome]]&lt;3000,"Low Salary",IF(HR_Data[[#This Row],[MonthlyIncome]]&lt;=7000,"Medium Salary","High Salary"))</f>
        <v>Low Salary</v>
      </c>
      <c r="AN1251" s="1" t="str">
        <f>IF(HR_Data[[#This Row],[YearsAtCompany]]&lt;2,"0-1 Years",IF(HR_Data[[#This Row],[YearsAtCompany]]&lt;=5,"2-5 Years",IF(HR_Data[[#This Row],[YearsAtCompany]]&lt;=10,"6-10 Years","10+ Years")))</f>
        <v>2-5 Years</v>
      </c>
      <c r="AO1251" s="1" t="str">
        <f>IF(HR_Data[[#This Row],[JobSatisfaction]]=1,"Low",IF(HR_Data[[#This Row],[JobSatisfaction]]=2,"Medium",IF(HR_Data[[#This Row],[JobSatisfaction]]=3,"High","Very High")))</f>
        <v>Medium</v>
      </c>
      <c r="AP1251" s="1" t="str">
        <f>IF(HR_Data[[#This Row],[WorkLifeBalance]]=1,"Bad",IF(HR_Data[[#This Row],[WorkLifeBalance]]=2,"Good",IF(HR_Data[[#This Row],[WorkLifeBalance]]=3,"Better","Best")))</f>
        <v>Better</v>
      </c>
    </row>
    <row r="1252" spans="1:42" x14ac:dyDescent="0.3">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c r="AJ1252">
        <f>IF(HR_Data[[#This Row],[Attrition]]="Yes",1,0)</f>
        <v>0</v>
      </c>
      <c r="AK1252">
        <f>IF(HR_Data[[#This Row],[Attrition]]="No",1,0)</f>
        <v>1</v>
      </c>
      <c r="AL1252" t="str">
        <f>IF(HR_Data[[#This Row],[Age]]&lt;25,"Under 25",IF(HR_Data[[#This Row],[Age]]&lt;=34,"25-34",IF(HR_Data[[#This Row],[Age]]&lt;=44,"35-44",IF(HR_Data[[#This Row],[Age]]&lt;=54,"45-54","55+"))))</f>
        <v>25-34</v>
      </c>
      <c r="AM1252" s="1" t="str">
        <f>IF(HR_Data[[#This Row],[MonthlyIncome]]&lt;3000,"Low Salary",IF(HR_Data[[#This Row],[MonthlyIncome]]&lt;=7000,"Medium Salary","High Salary"))</f>
        <v>Medium Salary</v>
      </c>
      <c r="AN1252" s="1" t="str">
        <f>IF(HR_Data[[#This Row],[YearsAtCompany]]&lt;2,"0-1 Years",IF(HR_Data[[#This Row],[YearsAtCompany]]&lt;=5,"2-5 Years",IF(HR_Data[[#This Row],[YearsAtCompany]]&lt;=10,"6-10 Years","10+ Years")))</f>
        <v>2-5 Years</v>
      </c>
      <c r="AO1252" s="1" t="str">
        <f>IF(HR_Data[[#This Row],[JobSatisfaction]]=1,"Low",IF(HR_Data[[#This Row],[JobSatisfaction]]=2,"Medium",IF(HR_Data[[#This Row],[JobSatisfaction]]=3,"High","Very High")))</f>
        <v>High</v>
      </c>
      <c r="AP1252" s="1" t="str">
        <f>IF(HR_Data[[#This Row],[WorkLifeBalance]]=1,"Bad",IF(HR_Data[[#This Row],[WorkLifeBalance]]=2,"Good",IF(HR_Data[[#This Row],[WorkLifeBalance]]=3,"Better","Best")))</f>
        <v>Best</v>
      </c>
    </row>
    <row r="1253" spans="1:42" x14ac:dyDescent="0.3">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c r="AJ1253">
        <f>IF(HR_Data[[#This Row],[Attrition]]="Yes",1,0)</f>
        <v>0</v>
      </c>
      <c r="AK1253">
        <f>IF(HR_Data[[#This Row],[Attrition]]="No",1,0)</f>
        <v>1</v>
      </c>
      <c r="AL1253" t="str">
        <f>IF(HR_Data[[#This Row],[Age]]&lt;25,"Under 25",IF(HR_Data[[#This Row],[Age]]&lt;=34,"25-34",IF(HR_Data[[#This Row],[Age]]&lt;=44,"35-44",IF(HR_Data[[#This Row],[Age]]&lt;=54,"45-54","55+"))))</f>
        <v>25-34</v>
      </c>
      <c r="AM1253" s="1" t="str">
        <f>IF(HR_Data[[#This Row],[MonthlyIncome]]&lt;3000,"Low Salary",IF(HR_Data[[#This Row],[MonthlyIncome]]&lt;=7000,"Medium Salary","High Salary"))</f>
        <v>High Salary</v>
      </c>
      <c r="AN1253" s="1" t="str">
        <f>IF(HR_Data[[#This Row],[YearsAtCompany]]&lt;2,"0-1 Years",IF(HR_Data[[#This Row],[YearsAtCompany]]&lt;=5,"2-5 Years",IF(HR_Data[[#This Row],[YearsAtCompany]]&lt;=10,"6-10 Years","10+ Years")))</f>
        <v>6-10 Years</v>
      </c>
      <c r="AO1253" s="1" t="str">
        <f>IF(HR_Data[[#This Row],[JobSatisfaction]]=1,"Low",IF(HR_Data[[#This Row],[JobSatisfaction]]=2,"Medium",IF(HR_Data[[#This Row],[JobSatisfaction]]=3,"High","Very High")))</f>
        <v>Low</v>
      </c>
      <c r="AP1253" s="1" t="str">
        <f>IF(HR_Data[[#This Row],[WorkLifeBalance]]=1,"Bad",IF(HR_Data[[#This Row],[WorkLifeBalance]]=2,"Good",IF(HR_Data[[#This Row],[WorkLifeBalance]]=3,"Better","Best")))</f>
        <v>Better</v>
      </c>
    </row>
    <row r="1254" spans="1:42" x14ac:dyDescent="0.3">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c r="AJ1254">
        <f>IF(HR_Data[[#This Row],[Attrition]]="Yes",1,0)</f>
        <v>0</v>
      </c>
      <c r="AK1254">
        <f>IF(HR_Data[[#This Row],[Attrition]]="No",1,0)</f>
        <v>1</v>
      </c>
      <c r="AL1254" t="str">
        <f>IF(HR_Data[[#This Row],[Age]]&lt;25,"Under 25",IF(HR_Data[[#This Row],[Age]]&lt;=34,"25-34",IF(HR_Data[[#This Row],[Age]]&lt;=44,"35-44",IF(HR_Data[[#This Row],[Age]]&lt;=54,"45-54","55+"))))</f>
        <v>25-34</v>
      </c>
      <c r="AM1254" s="1" t="str">
        <f>IF(HR_Data[[#This Row],[MonthlyIncome]]&lt;3000,"Low Salary",IF(HR_Data[[#This Row],[MonthlyIncome]]&lt;=7000,"Medium Salary","High Salary"))</f>
        <v>Low Salary</v>
      </c>
      <c r="AN1254" s="1" t="str">
        <f>IF(HR_Data[[#This Row],[YearsAtCompany]]&lt;2,"0-1 Years",IF(HR_Data[[#This Row],[YearsAtCompany]]&lt;=5,"2-5 Years",IF(HR_Data[[#This Row],[YearsAtCompany]]&lt;=10,"6-10 Years","10+ Years")))</f>
        <v>2-5 Years</v>
      </c>
      <c r="AO1254" s="1" t="str">
        <f>IF(HR_Data[[#This Row],[JobSatisfaction]]=1,"Low",IF(HR_Data[[#This Row],[JobSatisfaction]]=2,"Medium",IF(HR_Data[[#This Row],[JobSatisfaction]]=3,"High","Very High")))</f>
        <v>Very High</v>
      </c>
      <c r="AP1254" s="1" t="str">
        <f>IF(HR_Data[[#This Row],[WorkLifeBalance]]=1,"Bad",IF(HR_Data[[#This Row],[WorkLifeBalance]]=2,"Good",IF(HR_Data[[#This Row],[WorkLifeBalance]]=3,"Better","Best")))</f>
        <v>Better</v>
      </c>
    </row>
    <row r="1255" spans="1:42" x14ac:dyDescent="0.3">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c r="AJ1255">
        <f>IF(HR_Data[[#This Row],[Attrition]]="Yes",1,0)</f>
        <v>0</v>
      </c>
      <c r="AK1255">
        <f>IF(HR_Data[[#This Row],[Attrition]]="No",1,0)</f>
        <v>1</v>
      </c>
      <c r="AL1255" t="str">
        <f>IF(HR_Data[[#This Row],[Age]]&lt;25,"Under 25",IF(HR_Data[[#This Row],[Age]]&lt;=34,"25-34",IF(HR_Data[[#This Row],[Age]]&lt;=44,"35-44",IF(HR_Data[[#This Row],[Age]]&lt;=54,"45-54","55+"))))</f>
        <v>25-34</v>
      </c>
      <c r="AM1255" s="1" t="str">
        <f>IF(HR_Data[[#This Row],[MonthlyIncome]]&lt;3000,"Low Salary",IF(HR_Data[[#This Row],[MonthlyIncome]]&lt;=7000,"Medium Salary","High Salary"))</f>
        <v>Medium Salary</v>
      </c>
      <c r="AN1255" s="1" t="str">
        <f>IF(HR_Data[[#This Row],[YearsAtCompany]]&lt;2,"0-1 Years",IF(HR_Data[[#This Row],[YearsAtCompany]]&lt;=5,"2-5 Years",IF(HR_Data[[#This Row],[YearsAtCompany]]&lt;=10,"6-10 Years","10+ Years")))</f>
        <v>10+ Years</v>
      </c>
      <c r="AO1255" s="1" t="str">
        <f>IF(HR_Data[[#This Row],[JobSatisfaction]]=1,"Low",IF(HR_Data[[#This Row],[JobSatisfaction]]=2,"Medium",IF(HR_Data[[#This Row],[JobSatisfaction]]=3,"High","Very High")))</f>
        <v>Medium</v>
      </c>
      <c r="AP1255" s="1" t="str">
        <f>IF(HR_Data[[#This Row],[WorkLifeBalance]]=1,"Bad",IF(HR_Data[[#This Row],[WorkLifeBalance]]=2,"Good",IF(HR_Data[[#This Row],[WorkLifeBalance]]=3,"Better","Best")))</f>
        <v>Good</v>
      </c>
    </row>
    <row r="1256" spans="1:42" x14ac:dyDescent="0.3">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c r="AJ1256">
        <f>IF(HR_Data[[#This Row],[Attrition]]="Yes",1,0)</f>
        <v>0</v>
      </c>
      <c r="AK1256">
        <f>IF(HR_Data[[#This Row],[Attrition]]="No",1,0)</f>
        <v>1</v>
      </c>
      <c r="AL1256" t="str">
        <f>IF(HR_Data[[#This Row],[Age]]&lt;25,"Under 25",IF(HR_Data[[#This Row],[Age]]&lt;=34,"25-34",IF(HR_Data[[#This Row],[Age]]&lt;=44,"35-44",IF(HR_Data[[#This Row],[Age]]&lt;=54,"45-54","55+"))))</f>
        <v>45-54</v>
      </c>
      <c r="AM1256" s="1" t="str">
        <f>IF(HR_Data[[#This Row],[MonthlyIncome]]&lt;3000,"Low Salary",IF(HR_Data[[#This Row],[MonthlyIncome]]&lt;=7000,"Medium Salary","High Salary"))</f>
        <v>Medium Salary</v>
      </c>
      <c r="AN1256" s="1" t="str">
        <f>IF(HR_Data[[#This Row],[YearsAtCompany]]&lt;2,"0-1 Years",IF(HR_Data[[#This Row],[YearsAtCompany]]&lt;=5,"2-5 Years",IF(HR_Data[[#This Row],[YearsAtCompany]]&lt;=10,"6-10 Years","10+ Years")))</f>
        <v>2-5 Years</v>
      </c>
      <c r="AO1256" s="1" t="str">
        <f>IF(HR_Data[[#This Row],[JobSatisfaction]]=1,"Low",IF(HR_Data[[#This Row],[JobSatisfaction]]=2,"Medium",IF(HR_Data[[#This Row],[JobSatisfaction]]=3,"High","Very High")))</f>
        <v>Very High</v>
      </c>
      <c r="AP1256" s="1" t="str">
        <f>IF(HR_Data[[#This Row],[WorkLifeBalance]]=1,"Bad",IF(HR_Data[[#This Row],[WorkLifeBalance]]=2,"Good",IF(HR_Data[[#This Row],[WorkLifeBalance]]=3,"Better","Best")))</f>
        <v>Best</v>
      </c>
    </row>
    <row r="1257" spans="1:42" x14ac:dyDescent="0.3">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c r="AJ1257">
        <f>IF(HR_Data[[#This Row],[Attrition]]="Yes",1,0)</f>
        <v>1</v>
      </c>
      <c r="AK1257">
        <f>IF(HR_Data[[#This Row],[Attrition]]="No",1,0)</f>
        <v>0</v>
      </c>
      <c r="AL1257" t="str">
        <f>IF(HR_Data[[#This Row],[Age]]&lt;25,"Under 25",IF(HR_Data[[#This Row],[Age]]&lt;=34,"25-34",IF(HR_Data[[#This Row],[Age]]&lt;=44,"35-44",IF(HR_Data[[#This Row],[Age]]&lt;=54,"45-54","55+"))))</f>
        <v>25-34</v>
      </c>
      <c r="AM1257" s="1" t="str">
        <f>IF(HR_Data[[#This Row],[MonthlyIncome]]&lt;3000,"Low Salary",IF(HR_Data[[#This Row],[MonthlyIncome]]&lt;=7000,"Medium Salary","High Salary"))</f>
        <v>High Salary</v>
      </c>
      <c r="AN1257" s="1" t="str">
        <f>IF(HR_Data[[#This Row],[YearsAtCompany]]&lt;2,"0-1 Years",IF(HR_Data[[#This Row],[YearsAtCompany]]&lt;=5,"2-5 Years",IF(HR_Data[[#This Row],[YearsAtCompany]]&lt;=10,"6-10 Years","10+ Years")))</f>
        <v>0-1 Years</v>
      </c>
      <c r="AO1257" s="1" t="str">
        <f>IF(HR_Data[[#This Row],[JobSatisfaction]]=1,"Low",IF(HR_Data[[#This Row],[JobSatisfaction]]=2,"Medium",IF(HR_Data[[#This Row],[JobSatisfaction]]=3,"High","Very High")))</f>
        <v>Low</v>
      </c>
      <c r="AP1257" s="1" t="str">
        <f>IF(HR_Data[[#This Row],[WorkLifeBalance]]=1,"Bad",IF(HR_Data[[#This Row],[WorkLifeBalance]]=2,"Good",IF(HR_Data[[#This Row],[WorkLifeBalance]]=3,"Better","Best")))</f>
        <v>Good</v>
      </c>
    </row>
    <row r="1258" spans="1:42" x14ac:dyDescent="0.3">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c r="AJ1258">
        <f>IF(HR_Data[[#This Row],[Attrition]]="Yes",1,0)</f>
        <v>0</v>
      </c>
      <c r="AK1258">
        <f>IF(HR_Data[[#This Row],[Attrition]]="No",1,0)</f>
        <v>1</v>
      </c>
      <c r="AL1258" t="str">
        <f>IF(HR_Data[[#This Row],[Age]]&lt;25,"Under 25",IF(HR_Data[[#This Row],[Age]]&lt;=34,"25-34",IF(HR_Data[[#This Row],[Age]]&lt;=44,"35-44",IF(HR_Data[[#This Row],[Age]]&lt;=54,"45-54","55+"))))</f>
        <v>35-44</v>
      </c>
      <c r="AM1258" s="1" t="str">
        <f>IF(HR_Data[[#This Row],[MonthlyIncome]]&lt;3000,"Low Salary",IF(HR_Data[[#This Row],[MonthlyIncome]]&lt;=7000,"Medium Salary","High Salary"))</f>
        <v>Low Salary</v>
      </c>
      <c r="AN1258" s="1" t="str">
        <f>IF(HR_Data[[#This Row],[YearsAtCompany]]&lt;2,"0-1 Years",IF(HR_Data[[#This Row],[YearsAtCompany]]&lt;=5,"2-5 Years",IF(HR_Data[[#This Row],[YearsAtCompany]]&lt;=10,"6-10 Years","10+ Years")))</f>
        <v>6-10 Years</v>
      </c>
      <c r="AO1258" s="1" t="str">
        <f>IF(HR_Data[[#This Row],[JobSatisfaction]]=1,"Low",IF(HR_Data[[#This Row],[JobSatisfaction]]=2,"Medium",IF(HR_Data[[#This Row],[JobSatisfaction]]=3,"High","Very High")))</f>
        <v>Medium</v>
      </c>
      <c r="AP1258" s="1" t="str">
        <f>IF(HR_Data[[#This Row],[WorkLifeBalance]]=1,"Bad",IF(HR_Data[[#This Row],[WorkLifeBalance]]=2,"Good",IF(HR_Data[[#This Row],[WorkLifeBalance]]=3,"Better","Best")))</f>
        <v>Good</v>
      </c>
    </row>
    <row r="1259" spans="1:42" x14ac:dyDescent="0.3">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c r="AJ1259">
        <f>IF(HR_Data[[#This Row],[Attrition]]="Yes",1,0)</f>
        <v>1</v>
      </c>
      <c r="AK1259">
        <f>IF(HR_Data[[#This Row],[Attrition]]="No",1,0)</f>
        <v>0</v>
      </c>
      <c r="AL1259" t="str">
        <f>IF(HR_Data[[#This Row],[Age]]&lt;25,"Under 25",IF(HR_Data[[#This Row],[Age]]&lt;=34,"25-34",IF(HR_Data[[#This Row],[Age]]&lt;=44,"35-44",IF(HR_Data[[#This Row],[Age]]&lt;=54,"45-54","55+"))))</f>
        <v>25-34</v>
      </c>
      <c r="AM1259" s="1" t="str">
        <f>IF(HR_Data[[#This Row],[MonthlyIncome]]&lt;3000,"Low Salary",IF(HR_Data[[#This Row],[MonthlyIncome]]&lt;=7000,"Medium Salary","High Salary"))</f>
        <v>High Salary</v>
      </c>
      <c r="AN1259" s="1" t="str">
        <f>IF(HR_Data[[#This Row],[YearsAtCompany]]&lt;2,"0-1 Years",IF(HR_Data[[#This Row],[YearsAtCompany]]&lt;=5,"2-5 Years",IF(HR_Data[[#This Row],[YearsAtCompany]]&lt;=10,"6-10 Years","10+ Years")))</f>
        <v>0-1 Years</v>
      </c>
      <c r="AO1259" s="1" t="str">
        <f>IF(HR_Data[[#This Row],[JobSatisfaction]]=1,"Low",IF(HR_Data[[#This Row],[JobSatisfaction]]=2,"Medium",IF(HR_Data[[#This Row],[JobSatisfaction]]=3,"High","Very High")))</f>
        <v>High</v>
      </c>
      <c r="AP1259" s="1" t="str">
        <f>IF(HR_Data[[#This Row],[WorkLifeBalance]]=1,"Bad",IF(HR_Data[[#This Row],[WorkLifeBalance]]=2,"Good",IF(HR_Data[[#This Row],[WorkLifeBalance]]=3,"Better","Best")))</f>
        <v>Better</v>
      </c>
    </row>
    <row r="1260" spans="1:42" x14ac:dyDescent="0.3">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c r="AJ1260">
        <f>IF(HR_Data[[#This Row],[Attrition]]="Yes",1,0)</f>
        <v>0</v>
      </c>
      <c r="AK1260">
        <f>IF(HR_Data[[#This Row],[Attrition]]="No",1,0)</f>
        <v>1</v>
      </c>
      <c r="AL1260" t="str">
        <f>IF(HR_Data[[#This Row],[Age]]&lt;25,"Under 25",IF(HR_Data[[#This Row],[Age]]&lt;=34,"25-34",IF(HR_Data[[#This Row],[Age]]&lt;=44,"35-44",IF(HR_Data[[#This Row],[Age]]&lt;=54,"45-54","55+"))))</f>
        <v>25-34</v>
      </c>
      <c r="AM1260" s="1" t="str">
        <f>IF(HR_Data[[#This Row],[MonthlyIncome]]&lt;3000,"Low Salary",IF(HR_Data[[#This Row],[MonthlyIncome]]&lt;=7000,"Medium Salary","High Salary"))</f>
        <v>Low Salary</v>
      </c>
      <c r="AN1260" s="1" t="str">
        <f>IF(HR_Data[[#This Row],[YearsAtCompany]]&lt;2,"0-1 Years",IF(HR_Data[[#This Row],[YearsAtCompany]]&lt;=5,"2-5 Years",IF(HR_Data[[#This Row],[YearsAtCompany]]&lt;=10,"6-10 Years","10+ Years")))</f>
        <v>0-1 Years</v>
      </c>
      <c r="AO1260" s="1" t="str">
        <f>IF(HR_Data[[#This Row],[JobSatisfaction]]=1,"Low",IF(HR_Data[[#This Row],[JobSatisfaction]]=2,"Medium",IF(HR_Data[[#This Row],[JobSatisfaction]]=3,"High","Very High")))</f>
        <v>Low</v>
      </c>
      <c r="AP1260" s="1" t="str">
        <f>IF(HR_Data[[#This Row],[WorkLifeBalance]]=1,"Bad",IF(HR_Data[[#This Row],[WorkLifeBalance]]=2,"Good",IF(HR_Data[[#This Row],[WorkLifeBalance]]=3,"Better","Best")))</f>
        <v>Better</v>
      </c>
    </row>
    <row r="1261" spans="1:42" x14ac:dyDescent="0.3">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c r="AJ1261">
        <f>IF(HR_Data[[#This Row],[Attrition]]="Yes",1,0)</f>
        <v>0</v>
      </c>
      <c r="AK1261">
        <f>IF(HR_Data[[#This Row],[Attrition]]="No",1,0)</f>
        <v>1</v>
      </c>
      <c r="AL1261" t="str">
        <f>IF(HR_Data[[#This Row],[Age]]&lt;25,"Under 25",IF(HR_Data[[#This Row],[Age]]&lt;=34,"25-34",IF(HR_Data[[#This Row],[Age]]&lt;=44,"35-44",IF(HR_Data[[#This Row],[Age]]&lt;=54,"45-54","55+"))))</f>
        <v>25-34</v>
      </c>
      <c r="AM1261" s="1" t="str">
        <f>IF(HR_Data[[#This Row],[MonthlyIncome]]&lt;3000,"Low Salary",IF(HR_Data[[#This Row],[MonthlyIncome]]&lt;=7000,"Medium Salary","High Salary"))</f>
        <v>Medium Salary</v>
      </c>
      <c r="AN1261" s="1" t="str">
        <f>IF(HR_Data[[#This Row],[YearsAtCompany]]&lt;2,"0-1 Years",IF(HR_Data[[#This Row],[YearsAtCompany]]&lt;=5,"2-5 Years",IF(HR_Data[[#This Row],[YearsAtCompany]]&lt;=10,"6-10 Years","10+ Years")))</f>
        <v>6-10 Years</v>
      </c>
      <c r="AO1261" s="1" t="str">
        <f>IF(HR_Data[[#This Row],[JobSatisfaction]]=1,"Low",IF(HR_Data[[#This Row],[JobSatisfaction]]=2,"Medium",IF(HR_Data[[#This Row],[JobSatisfaction]]=3,"High","Very High")))</f>
        <v>High</v>
      </c>
      <c r="AP1261" s="1" t="str">
        <f>IF(HR_Data[[#This Row],[WorkLifeBalance]]=1,"Bad",IF(HR_Data[[#This Row],[WorkLifeBalance]]=2,"Good",IF(HR_Data[[#This Row],[WorkLifeBalance]]=3,"Better","Best")))</f>
        <v>Better</v>
      </c>
    </row>
    <row r="1262" spans="1:42" x14ac:dyDescent="0.3">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c r="AJ1262">
        <f>IF(HR_Data[[#This Row],[Attrition]]="Yes",1,0)</f>
        <v>0</v>
      </c>
      <c r="AK1262">
        <f>IF(HR_Data[[#This Row],[Attrition]]="No",1,0)</f>
        <v>1</v>
      </c>
      <c r="AL1262" t="str">
        <f>IF(HR_Data[[#This Row],[Age]]&lt;25,"Under 25",IF(HR_Data[[#This Row],[Age]]&lt;=34,"25-34",IF(HR_Data[[#This Row],[Age]]&lt;=44,"35-44",IF(HR_Data[[#This Row],[Age]]&lt;=54,"45-54","55+"))))</f>
        <v>25-34</v>
      </c>
      <c r="AM1262" s="1" t="str">
        <f>IF(HR_Data[[#This Row],[MonthlyIncome]]&lt;3000,"Low Salary",IF(HR_Data[[#This Row],[MonthlyIncome]]&lt;=7000,"Medium Salary","High Salary"))</f>
        <v>Low Salary</v>
      </c>
      <c r="AN1262" s="1" t="str">
        <f>IF(HR_Data[[#This Row],[YearsAtCompany]]&lt;2,"0-1 Years",IF(HR_Data[[#This Row],[YearsAtCompany]]&lt;=5,"2-5 Years",IF(HR_Data[[#This Row],[YearsAtCompany]]&lt;=10,"6-10 Years","10+ Years")))</f>
        <v>6-10 Years</v>
      </c>
      <c r="AO1262" s="1" t="str">
        <f>IF(HR_Data[[#This Row],[JobSatisfaction]]=1,"Low",IF(HR_Data[[#This Row],[JobSatisfaction]]=2,"Medium",IF(HR_Data[[#This Row],[JobSatisfaction]]=3,"High","Very High")))</f>
        <v>Medium</v>
      </c>
      <c r="AP1262" s="1" t="str">
        <f>IF(HR_Data[[#This Row],[WorkLifeBalance]]=1,"Bad",IF(HR_Data[[#This Row],[WorkLifeBalance]]=2,"Good",IF(HR_Data[[#This Row],[WorkLifeBalance]]=3,"Better","Best")))</f>
        <v>Better</v>
      </c>
    </row>
    <row r="1263" spans="1:42" x14ac:dyDescent="0.3">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c r="AJ1263">
        <f>IF(HR_Data[[#This Row],[Attrition]]="Yes",1,0)</f>
        <v>0</v>
      </c>
      <c r="AK1263">
        <f>IF(HR_Data[[#This Row],[Attrition]]="No",1,0)</f>
        <v>1</v>
      </c>
      <c r="AL1263" t="str">
        <f>IF(HR_Data[[#This Row],[Age]]&lt;25,"Under 25",IF(HR_Data[[#This Row],[Age]]&lt;=34,"25-34",IF(HR_Data[[#This Row],[Age]]&lt;=44,"35-44",IF(HR_Data[[#This Row],[Age]]&lt;=54,"45-54","55+"))))</f>
        <v>35-44</v>
      </c>
      <c r="AM1263" s="1" t="str">
        <f>IF(HR_Data[[#This Row],[MonthlyIncome]]&lt;3000,"Low Salary",IF(HR_Data[[#This Row],[MonthlyIncome]]&lt;=7000,"Medium Salary","High Salary"))</f>
        <v>Medium Salary</v>
      </c>
      <c r="AN1263" s="1" t="str">
        <f>IF(HR_Data[[#This Row],[YearsAtCompany]]&lt;2,"0-1 Years",IF(HR_Data[[#This Row],[YearsAtCompany]]&lt;=5,"2-5 Years",IF(HR_Data[[#This Row],[YearsAtCompany]]&lt;=10,"6-10 Years","10+ Years")))</f>
        <v>0-1 Years</v>
      </c>
      <c r="AO1263" s="1" t="str">
        <f>IF(HR_Data[[#This Row],[JobSatisfaction]]=1,"Low",IF(HR_Data[[#This Row],[JobSatisfaction]]=2,"Medium",IF(HR_Data[[#This Row],[JobSatisfaction]]=3,"High","Very High")))</f>
        <v>Very High</v>
      </c>
      <c r="AP1263" s="1" t="str">
        <f>IF(HR_Data[[#This Row],[WorkLifeBalance]]=1,"Bad",IF(HR_Data[[#This Row],[WorkLifeBalance]]=2,"Good",IF(HR_Data[[#This Row],[WorkLifeBalance]]=3,"Better","Best")))</f>
        <v>Better</v>
      </c>
    </row>
    <row r="1264" spans="1:42" x14ac:dyDescent="0.3">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c r="AJ1264">
        <f>IF(HR_Data[[#This Row],[Attrition]]="Yes",1,0)</f>
        <v>1</v>
      </c>
      <c r="AK1264">
        <f>IF(HR_Data[[#This Row],[Attrition]]="No",1,0)</f>
        <v>0</v>
      </c>
      <c r="AL1264" t="str">
        <f>IF(HR_Data[[#This Row],[Age]]&lt;25,"Under 25",IF(HR_Data[[#This Row],[Age]]&lt;=34,"25-34",IF(HR_Data[[#This Row],[Age]]&lt;=44,"35-44",IF(HR_Data[[#This Row],[Age]]&lt;=54,"45-54","55+"))))</f>
        <v>35-44</v>
      </c>
      <c r="AM1264" s="1" t="str">
        <f>IF(HR_Data[[#This Row],[MonthlyIncome]]&lt;3000,"Low Salary",IF(HR_Data[[#This Row],[MonthlyIncome]]&lt;=7000,"Medium Salary","High Salary"))</f>
        <v>Low Salary</v>
      </c>
      <c r="AN1264" s="1" t="str">
        <f>IF(HR_Data[[#This Row],[YearsAtCompany]]&lt;2,"0-1 Years",IF(HR_Data[[#This Row],[YearsAtCompany]]&lt;=5,"2-5 Years",IF(HR_Data[[#This Row],[YearsAtCompany]]&lt;=10,"6-10 Years","10+ Years")))</f>
        <v>0-1 Years</v>
      </c>
      <c r="AO1264" s="1" t="str">
        <f>IF(HR_Data[[#This Row],[JobSatisfaction]]=1,"Low",IF(HR_Data[[#This Row],[JobSatisfaction]]=2,"Medium",IF(HR_Data[[#This Row],[JobSatisfaction]]=3,"High","Very High")))</f>
        <v>High</v>
      </c>
      <c r="AP1264" s="1" t="str">
        <f>IF(HR_Data[[#This Row],[WorkLifeBalance]]=1,"Bad",IF(HR_Data[[#This Row],[WorkLifeBalance]]=2,"Good",IF(HR_Data[[#This Row],[WorkLifeBalance]]=3,"Better","Best")))</f>
        <v>Better</v>
      </c>
    </row>
    <row r="1265" spans="1:42" x14ac:dyDescent="0.3">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c r="AJ1265">
        <f>IF(HR_Data[[#This Row],[Attrition]]="Yes",1,0)</f>
        <v>0</v>
      </c>
      <c r="AK1265">
        <f>IF(HR_Data[[#This Row],[Attrition]]="No",1,0)</f>
        <v>1</v>
      </c>
      <c r="AL1265" t="str">
        <f>IF(HR_Data[[#This Row],[Age]]&lt;25,"Under 25",IF(HR_Data[[#This Row],[Age]]&lt;=34,"25-34",IF(HR_Data[[#This Row],[Age]]&lt;=44,"35-44",IF(HR_Data[[#This Row],[Age]]&lt;=54,"45-54","55+"))))</f>
        <v>35-44</v>
      </c>
      <c r="AM1265" s="1" t="str">
        <f>IF(HR_Data[[#This Row],[MonthlyIncome]]&lt;3000,"Low Salary",IF(HR_Data[[#This Row],[MonthlyIncome]]&lt;=7000,"Medium Salary","High Salary"))</f>
        <v>Low Salary</v>
      </c>
      <c r="AN1265" s="1" t="str">
        <f>IF(HR_Data[[#This Row],[YearsAtCompany]]&lt;2,"0-1 Years",IF(HR_Data[[#This Row],[YearsAtCompany]]&lt;=5,"2-5 Years",IF(HR_Data[[#This Row],[YearsAtCompany]]&lt;=10,"6-10 Years","10+ Years")))</f>
        <v>2-5 Years</v>
      </c>
      <c r="AO1265" s="1" t="str">
        <f>IF(HR_Data[[#This Row],[JobSatisfaction]]=1,"Low",IF(HR_Data[[#This Row],[JobSatisfaction]]=2,"Medium",IF(HR_Data[[#This Row],[JobSatisfaction]]=3,"High","Very High")))</f>
        <v>Medium</v>
      </c>
      <c r="AP1265" s="1" t="str">
        <f>IF(HR_Data[[#This Row],[WorkLifeBalance]]=1,"Bad",IF(HR_Data[[#This Row],[WorkLifeBalance]]=2,"Good",IF(HR_Data[[#This Row],[WorkLifeBalance]]=3,"Better","Best")))</f>
        <v>Good</v>
      </c>
    </row>
    <row r="1266" spans="1:42" x14ac:dyDescent="0.3">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c r="AJ1266">
        <f>IF(HR_Data[[#This Row],[Attrition]]="Yes",1,0)</f>
        <v>0</v>
      </c>
      <c r="AK1266">
        <f>IF(HR_Data[[#This Row],[Attrition]]="No",1,0)</f>
        <v>1</v>
      </c>
      <c r="AL1266" t="str">
        <f>IF(HR_Data[[#This Row],[Age]]&lt;25,"Under 25",IF(HR_Data[[#This Row],[Age]]&lt;=34,"25-34",IF(HR_Data[[#This Row],[Age]]&lt;=44,"35-44",IF(HR_Data[[#This Row],[Age]]&lt;=54,"45-54","55+"))))</f>
        <v>55+</v>
      </c>
      <c r="AM1266" s="1" t="str">
        <f>IF(HR_Data[[#This Row],[MonthlyIncome]]&lt;3000,"Low Salary",IF(HR_Data[[#This Row],[MonthlyIncome]]&lt;=7000,"Medium Salary","High Salary"))</f>
        <v>High Salary</v>
      </c>
      <c r="AN1266" s="1" t="str">
        <f>IF(HR_Data[[#This Row],[YearsAtCompany]]&lt;2,"0-1 Years",IF(HR_Data[[#This Row],[YearsAtCompany]]&lt;=5,"2-5 Years",IF(HR_Data[[#This Row],[YearsAtCompany]]&lt;=10,"6-10 Years","10+ Years")))</f>
        <v>0-1 Years</v>
      </c>
      <c r="AO1266" s="1" t="str">
        <f>IF(HR_Data[[#This Row],[JobSatisfaction]]=1,"Low",IF(HR_Data[[#This Row],[JobSatisfaction]]=2,"Medium",IF(HR_Data[[#This Row],[JobSatisfaction]]=3,"High","Very High")))</f>
        <v>Low</v>
      </c>
      <c r="AP1266" s="1" t="str">
        <f>IF(HR_Data[[#This Row],[WorkLifeBalance]]=1,"Bad",IF(HR_Data[[#This Row],[WorkLifeBalance]]=2,"Good",IF(HR_Data[[#This Row],[WorkLifeBalance]]=3,"Better","Best")))</f>
        <v>Better</v>
      </c>
    </row>
    <row r="1267" spans="1:42" x14ac:dyDescent="0.3">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c r="AJ1267">
        <f>IF(HR_Data[[#This Row],[Attrition]]="Yes",1,0)</f>
        <v>0</v>
      </c>
      <c r="AK1267">
        <f>IF(HR_Data[[#This Row],[Attrition]]="No",1,0)</f>
        <v>1</v>
      </c>
      <c r="AL1267" t="str">
        <f>IF(HR_Data[[#This Row],[Age]]&lt;25,"Under 25",IF(HR_Data[[#This Row],[Age]]&lt;=34,"25-34",IF(HR_Data[[#This Row],[Age]]&lt;=44,"35-44",IF(HR_Data[[#This Row],[Age]]&lt;=54,"45-54","55+"))))</f>
        <v>25-34</v>
      </c>
      <c r="AM1267" s="1" t="str">
        <f>IF(HR_Data[[#This Row],[MonthlyIncome]]&lt;3000,"Low Salary",IF(HR_Data[[#This Row],[MonthlyIncome]]&lt;=7000,"Medium Salary","High Salary"))</f>
        <v>Medium Salary</v>
      </c>
      <c r="AN1267" s="1" t="str">
        <f>IF(HR_Data[[#This Row],[YearsAtCompany]]&lt;2,"0-1 Years",IF(HR_Data[[#This Row],[YearsAtCompany]]&lt;=5,"2-5 Years",IF(HR_Data[[#This Row],[YearsAtCompany]]&lt;=10,"6-10 Years","10+ Years")))</f>
        <v>6-10 Years</v>
      </c>
      <c r="AO1267" s="1" t="str">
        <f>IF(HR_Data[[#This Row],[JobSatisfaction]]=1,"Low",IF(HR_Data[[#This Row],[JobSatisfaction]]=2,"Medium",IF(HR_Data[[#This Row],[JobSatisfaction]]=3,"High","Very High")))</f>
        <v>Medium</v>
      </c>
      <c r="AP1267" s="1" t="str">
        <f>IF(HR_Data[[#This Row],[WorkLifeBalance]]=1,"Bad",IF(HR_Data[[#This Row],[WorkLifeBalance]]=2,"Good",IF(HR_Data[[#This Row],[WorkLifeBalance]]=3,"Better","Best")))</f>
        <v>Good</v>
      </c>
    </row>
    <row r="1268" spans="1:42" x14ac:dyDescent="0.3">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c r="AJ1268">
        <f>IF(HR_Data[[#This Row],[Attrition]]="Yes",1,0)</f>
        <v>0</v>
      </c>
      <c r="AK1268">
        <f>IF(HR_Data[[#This Row],[Attrition]]="No",1,0)</f>
        <v>1</v>
      </c>
      <c r="AL1268" t="str">
        <f>IF(HR_Data[[#This Row],[Age]]&lt;25,"Under 25",IF(HR_Data[[#This Row],[Age]]&lt;=34,"25-34",IF(HR_Data[[#This Row],[Age]]&lt;=44,"35-44",IF(HR_Data[[#This Row],[Age]]&lt;=54,"45-54","55+"))))</f>
        <v>35-44</v>
      </c>
      <c r="AM1268" s="1" t="str">
        <f>IF(HR_Data[[#This Row],[MonthlyIncome]]&lt;3000,"Low Salary",IF(HR_Data[[#This Row],[MonthlyIncome]]&lt;=7000,"Medium Salary","High Salary"))</f>
        <v>Low Salary</v>
      </c>
      <c r="AN1268" s="1" t="str">
        <f>IF(HR_Data[[#This Row],[YearsAtCompany]]&lt;2,"0-1 Years",IF(HR_Data[[#This Row],[YearsAtCompany]]&lt;=5,"2-5 Years",IF(HR_Data[[#This Row],[YearsAtCompany]]&lt;=10,"6-10 Years","10+ Years")))</f>
        <v>2-5 Years</v>
      </c>
      <c r="AO1268" s="1" t="str">
        <f>IF(HR_Data[[#This Row],[JobSatisfaction]]=1,"Low",IF(HR_Data[[#This Row],[JobSatisfaction]]=2,"Medium",IF(HR_Data[[#This Row],[JobSatisfaction]]=3,"High","Very High")))</f>
        <v>Low</v>
      </c>
      <c r="AP1268" s="1" t="str">
        <f>IF(HR_Data[[#This Row],[WorkLifeBalance]]=1,"Bad",IF(HR_Data[[#This Row],[WorkLifeBalance]]=2,"Good",IF(HR_Data[[#This Row],[WorkLifeBalance]]=3,"Better","Best")))</f>
        <v>Better</v>
      </c>
    </row>
    <row r="1269" spans="1:42" x14ac:dyDescent="0.3">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c r="AJ1269">
        <f>IF(HR_Data[[#This Row],[Attrition]]="Yes",1,0)</f>
        <v>0</v>
      </c>
      <c r="AK1269">
        <f>IF(HR_Data[[#This Row],[Attrition]]="No",1,0)</f>
        <v>1</v>
      </c>
      <c r="AL1269" t="str">
        <f>IF(HR_Data[[#This Row],[Age]]&lt;25,"Under 25",IF(HR_Data[[#This Row],[Age]]&lt;=34,"25-34",IF(HR_Data[[#This Row],[Age]]&lt;=44,"35-44",IF(HR_Data[[#This Row],[Age]]&lt;=54,"45-54","55+"))))</f>
        <v>25-34</v>
      </c>
      <c r="AM1269" s="1" t="str">
        <f>IF(HR_Data[[#This Row],[MonthlyIncome]]&lt;3000,"Low Salary",IF(HR_Data[[#This Row],[MonthlyIncome]]&lt;=7000,"Medium Salary","High Salary"))</f>
        <v>Medium Salary</v>
      </c>
      <c r="AN1269" s="1" t="str">
        <f>IF(HR_Data[[#This Row],[YearsAtCompany]]&lt;2,"0-1 Years",IF(HR_Data[[#This Row],[YearsAtCompany]]&lt;=5,"2-5 Years",IF(HR_Data[[#This Row],[YearsAtCompany]]&lt;=10,"6-10 Years","10+ Years")))</f>
        <v>10+ Years</v>
      </c>
      <c r="AO1269" s="1" t="str">
        <f>IF(HR_Data[[#This Row],[JobSatisfaction]]=1,"Low",IF(HR_Data[[#This Row],[JobSatisfaction]]=2,"Medium",IF(HR_Data[[#This Row],[JobSatisfaction]]=3,"High","Very High")))</f>
        <v>High</v>
      </c>
      <c r="AP1269" s="1" t="str">
        <f>IF(HR_Data[[#This Row],[WorkLifeBalance]]=1,"Bad",IF(HR_Data[[#This Row],[WorkLifeBalance]]=2,"Good",IF(HR_Data[[#This Row],[WorkLifeBalance]]=3,"Better","Best")))</f>
        <v>Better</v>
      </c>
    </row>
    <row r="1270" spans="1:42" x14ac:dyDescent="0.3">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c r="AJ1270">
        <f>IF(HR_Data[[#This Row],[Attrition]]="Yes",1,0)</f>
        <v>0</v>
      </c>
      <c r="AK1270">
        <f>IF(HR_Data[[#This Row],[Attrition]]="No",1,0)</f>
        <v>1</v>
      </c>
      <c r="AL1270" t="str">
        <f>IF(HR_Data[[#This Row],[Age]]&lt;25,"Under 25",IF(HR_Data[[#This Row],[Age]]&lt;=34,"25-34",IF(HR_Data[[#This Row],[Age]]&lt;=44,"35-44",IF(HR_Data[[#This Row],[Age]]&lt;=54,"45-54","55+"))))</f>
        <v>45-54</v>
      </c>
      <c r="AM1270" s="1" t="str">
        <f>IF(HR_Data[[#This Row],[MonthlyIncome]]&lt;3000,"Low Salary",IF(HR_Data[[#This Row],[MonthlyIncome]]&lt;=7000,"Medium Salary","High Salary"))</f>
        <v>High Salary</v>
      </c>
      <c r="AN1270" s="1" t="str">
        <f>IF(HR_Data[[#This Row],[YearsAtCompany]]&lt;2,"0-1 Years",IF(HR_Data[[#This Row],[YearsAtCompany]]&lt;=5,"2-5 Years",IF(HR_Data[[#This Row],[YearsAtCompany]]&lt;=10,"6-10 Years","10+ Years")))</f>
        <v>2-5 Years</v>
      </c>
      <c r="AO1270" s="1" t="str">
        <f>IF(HR_Data[[#This Row],[JobSatisfaction]]=1,"Low",IF(HR_Data[[#This Row],[JobSatisfaction]]=2,"Medium",IF(HR_Data[[#This Row],[JobSatisfaction]]=3,"High","Very High")))</f>
        <v>High</v>
      </c>
      <c r="AP1270" s="1" t="str">
        <f>IF(HR_Data[[#This Row],[WorkLifeBalance]]=1,"Bad",IF(HR_Data[[#This Row],[WorkLifeBalance]]=2,"Good",IF(HR_Data[[#This Row],[WorkLifeBalance]]=3,"Better","Best")))</f>
        <v>Good</v>
      </c>
    </row>
    <row r="1271" spans="1:42" x14ac:dyDescent="0.3">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c r="AJ1271">
        <f>IF(HR_Data[[#This Row],[Attrition]]="Yes",1,0)</f>
        <v>0</v>
      </c>
      <c r="AK1271">
        <f>IF(HR_Data[[#This Row],[Attrition]]="No",1,0)</f>
        <v>1</v>
      </c>
      <c r="AL1271" t="str">
        <f>IF(HR_Data[[#This Row],[Age]]&lt;25,"Under 25",IF(HR_Data[[#This Row],[Age]]&lt;=34,"25-34",IF(HR_Data[[#This Row],[Age]]&lt;=44,"35-44",IF(HR_Data[[#This Row],[Age]]&lt;=54,"45-54","55+"))))</f>
        <v>35-44</v>
      </c>
      <c r="AM1271" s="1" t="str">
        <f>IF(HR_Data[[#This Row],[MonthlyIncome]]&lt;3000,"Low Salary",IF(HR_Data[[#This Row],[MonthlyIncome]]&lt;=7000,"Medium Salary","High Salary"))</f>
        <v>Medium Salary</v>
      </c>
      <c r="AN1271" s="1" t="str">
        <f>IF(HR_Data[[#This Row],[YearsAtCompany]]&lt;2,"0-1 Years",IF(HR_Data[[#This Row],[YearsAtCompany]]&lt;=5,"2-5 Years",IF(HR_Data[[#This Row],[YearsAtCompany]]&lt;=10,"6-10 Years","10+ Years")))</f>
        <v>6-10 Years</v>
      </c>
      <c r="AO1271" s="1" t="str">
        <f>IF(HR_Data[[#This Row],[JobSatisfaction]]=1,"Low",IF(HR_Data[[#This Row],[JobSatisfaction]]=2,"Medium",IF(HR_Data[[#This Row],[JobSatisfaction]]=3,"High","Very High")))</f>
        <v>Very High</v>
      </c>
      <c r="AP1271" s="1" t="str">
        <f>IF(HR_Data[[#This Row],[WorkLifeBalance]]=1,"Bad",IF(HR_Data[[#This Row],[WorkLifeBalance]]=2,"Good",IF(HR_Data[[#This Row],[WorkLifeBalance]]=3,"Better","Best")))</f>
        <v>Better</v>
      </c>
    </row>
    <row r="1272" spans="1:42" x14ac:dyDescent="0.3">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c r="AJ1272">
        <f>IF(HR_Data[[#This Row],[Attrition]]="Yes",1,0)</f>
        <v>0</v>
      </c>
      <c r="AK1272">
        <f>IF(HR_Data[[#This Row],[Attrition]]="No",1,0)</f>
        <v>1</v>
      </c>
      <c r="AL1272" t="str">
        <f>IF(HR_Data[[#This Row],[Age]]&lt;25,"Under 25",IF(HR_Data[[#This Row],[Age]]&lt;=34,"25-34",IF(HR_Data[[#This Row],[Age]]&lt;=44,"35-44",IF(HR_Data[[#This Row],[Age]]&lt;=54,"45-54","55+"))))</f>
        <v>25-34</v>
      </c>
      <c r="AM1272" s="1" t="str">
        <f>IF(HR_Data[[#This Row],[MonthlyIncome]]&lt;3000,"Low Salary",IF(HR_Data[[#This Row],[MonthlyIncome]]&lt;=7000,"Medium Salary","High Salary"))</f>
        <v>Medium Salary</v>
      </c>
      <c r="AN1272" s="1" t="str">
        <f>IF(HR_Data[[#This Row],[YearsAtCompany]]&lt;2,"0-1 Years",IF(HR_Data[[#This Row],[YearsAtCompany]]&lt;=5,"2-5 Years",IF(HR_Data[[#This Row],[YearsAtCompany]]&lt;=10,"6-10 Years","10+ Years")))</f>
        <v>2-5 Years</v>
      </c>
      <c r="AO1272" s="1" t="str">
        <f>IF(HR_Data[[#This Row],[JobSatisfaction]]=1,"Low",IF(HR_Data[[#This Row],[JobSatisfaction]]=2,"Medium",IF(HR_Data[[#This Row],[JobSatisfaction]]=3,"High","Very High")))</f>
        <v>Very High</v>
      </c>
      <c r="AP1272" s="1" t="str">
        <f>IF(HR_Data[[#This Row],[WorkLifeBalance]]=1,"Bad",IF(HR_Data[[#This Row],[WorkLifeBalance]]=2,"Good",IF(HR_Data[[#This Row],[WorkLifeBalance]]=3,"Better","Best")))</f>
        <v>Better</v>
      </c>
    </row>
    <row r="1273" spans="1:42" x14ac:dyDescent="0.3">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c r="AJ1273">
        <f>IF(HR_Data[[#This Row],[Attrition]]="Yes",1,0)</f>
        <v>1</v>
      </c>
      <c r="AK1273">
        <f>IF(HR_Data[[#This Row],[Attrition]]="No",1,0)</f>
        <v>0</v>
      </c>
      <c r="AL1273" t="str">
        <f>IF(HR_Data[[#This Row],[Age]]&lt;25,"Under 25",IF(HR_Data[[#This Row],[Age]]&lt;=34,"25-34",IF(HR_Data[[#This Row],[Age]]&lt;=44,"35-44",IF(HR_Data[[#This Row],[Age]]&lt;=54,"45-54","55+"))))</f>
        <v>Under 25</v>
      </c>
      <c r="AM1273" s="1" t="str">
        <f>IF(HR_Data[[#This Row],[MonthlyIncome]]&lt;3000,"Low Salary",IF(HR_Data[[#This Row],[MonthlyIncome]]&lt;=7000,"Medium Salary","High Salary"))</f>
        <v>Low Salary</v>
      </c>
      <c r="AN1273" s="1" t="str">
        <f>IF(HR_Data[[#This Row],[YearsAtCompany]]&lt;2,"0-1 Years",IF(HR_Data[[#This Row],[YearsAtCompany]]&lt;=5,"2-5 Years",IF(HR_Data[[#This Row],[YearsAtCompany]]&lt;=10,"6-10 Years","10+ Years")))</f>
        <v>0-1 Years</v>
      </c>
      <c r="AO1273" s="1" t="str">
        <f>IF(HR_Data[[#This Row],[JobSatisfaction]]=1,"Low",IF(HR_Data[[#This Row],[JobSatisfaction]]=2,"Medium",IF(HR_Data[[#This Row],[JobSatisfaction]]=3,"High","Very High")))</f>
        <v>Medium</v>
      </c>
      <c r="AP1273" s="1" t="str">
        <f>IF(HR_Data[[#This Row],[WorkLifeBalance]]=1,"Bad",IF(HR_Data[[#This Row],[WorkLifeBalance]]=2,"Good",IF(HR_Data[[#This Row],[WorkLifeBalance]]=3,"Better","Best")))</f>
        <v>Better</v>
      </c>
    </row>
    <row r="1274" spans="1:42" x14ac:dyDescent="0.3">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c r="AJ1274">
        <f>IF(HR_Data[[#This Row],[Attrition]]="Yes",1,0)</f>
        <v>0</v>
      </c>
      <c r="AK1274">
        <f>IF(HR_Data[[#This Row],[Attrition]]="No",1,0)</f>
        <v>1</v>
      </c>
      <c r="AL1274" t="str">
        <f>IF(HR_Data[[#This Row],[Age]]&lt;25,"Under 25",IF(HR_Data[[#This Row],[Age]]&lt;=34,"25-34",IF(HR_Data[[#This Row],[Age]]&lt;=44,"35-44",IF(HR_Data[[#This Row],[Age]]&lt;=54,"45-54","55+"))))</f>
        <v>35-44</v>
      </c>
      <c r="AM1274" s="1" t="str">
        <f>IF(HR_Data[[#This Row],[MonthlyIncome]]&lt;3000,"Low Salary",IF(HR_Data[[#This Row],[MonthlyIncome]]&lt;=7000,"Medium Salary","High Salary"))</f>
        <v>Medium Salary</v>
      </c>
      <c r="AN1274" s="1" t="str">
        <f>IF(HR_Data[[#This Row],[YearsAtCompany]]&lt;2,"0-1 Years",IF(HR_Data[[#This Row],[YearsAtCompany]]&lt;=5,"2-5 Years",IF(HR_Data[[#This Row],[YearsAtCompany]]&lt;=10,"6-10 Years","10+ Years")))</f>
        <v>2-5 Years</v>
      </c>
      <c r="AO1274" s="1" t="str">
        <f>IF(HR_Data[[#This Row],[JobSatisfaction]]=1,"Low",IF(HR_Data[[#This Row],[JobSatisfaction]]=2,"Medium",IF(HR_Data[[#This Row],[JobSatisfaction]]=3,"High","Very High")))</f>
        <v>High</v>
      </c>
      <c r="AP1274" s="1" t="str">
        <f>IF(HR_Data[[#This Row],[WorkLifeBalance]]=1,"Bad",IF(HR_Data[[#This Row],[WorkLifeBalance]]=2,"Good",IF(HR_Data[[#This Row],[WorkLifeBalance]]=3,"Better","Best")))</f>
        <v>Better</v>
      </c>
    </row>
    <row r="1275" spans="1:42" x14ac:dyDescent="0.3">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c r="AJ1275">
        <f>IF(HR_Data[[#This Row],[Attrition]]="Yes",1,0)</f>
        <v>1</v>
      </c>
      <c r="AK1275">
        <f>IF(HR_Data[[#This Row],[Attrition]]="No",1,0)</f>
        <v>0</v>
      </c>
      <c r="AL1275" t="str">
        <f>IF(HR_Data[[#This Row],[Age]]&lt;25,"Under 25",IF(HR_Data[[#This Row],[Age]]&lt;=34,"25-34",IF(HR_Data[[#This Row],[Age]]&lt;=44,"35-44",IF(HR_Data[[#This Row],[Age]]&lt;=54,"45-54","55+"))))</f>
        <v>Under 25</v>
      </c>
      <c r="AM1275" s="1" t="str">
        <f>IF(HR_Data[[#This Row],[MonthlyIncome]]&lt;3000,"Low Salary",IF(HR_Data[[#This Row],[MonthlyIncome]]&lt;=7000,"Medium Salary","High Salary"))</f>
        <v>Low Salary</v>
      </c>
      <c r="AN1275" s="1" t="str">
        <f>IF(HR_Data[[#This Row],[YearsAtCompany]]&lt;2,"0-1 Years",IF(HR_Data[[#This Row],[YearsAtCompany]]&lt;=5,"2-5 Years",IF(HR_Data[[#This Row],[YearsAtCompany]]&lt;=10,"6-10 Years","10+ Years")))</f>
        <v>0-1 Years</v>
      </c>
      <c r="AO1275" s="1" t="str">
        <f>IF(HR_Data[[#This Row],[JobSatisfaction]]=1,"Low",IF(HR_Data[[#This Row],[JobSatisfaction]]=2,"Medium",IF(HR_Data[[#This Row],[JobSatisfaction]]=3,"High","Very High")))</f>
        <v>Low</v>
      </c>
      <c r="AP1275" s="1" t="str">
        <f>IF(HR_Data[[#This Row],[WorkLifeBalance]]=1,"Bad",IF(HR_Data[[#This Row],[WorkLifeBalance]]=2,"Good",IF(HR_Data[[#This Row],[WorkLifeBalance]]=3,"Better","Best")))</f>
        <v>Better</v>
      </c>
    </row>
    <row r="1276" spans="1:42" x14ac:dyDescent="0.3">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c r="AJ1276">
        <f>IF(HR_Data[[#This Row],[Attrition]]="Yes",1,0)</f>
        <v>0</v>
      </c>
      <c r="AK1276">
        <f>IF(HR_Data[[#This Row],[Attrition]]="No",1,0)</f>
        <v>1</v>
      </c>
      <c r="AL1276" t="str">
        <f>IF(HR_Data[[#This Row],[Age]]&lt;25,"Under 25",IF(HR_Data[[#This Row],[Age]]&lt;=34,"25-34",IF(HR_Data[[#This Row],[Age]]&lt;=44,"35-44",IF(HR_Data[[#This Row],[Age]]&lt;=54,"45-54","55+"))))</f>
        <v>25-34</v>
      </c>
      <c r="AM1276" s="1" t="str">
        <f>IF(HR_Data[[#This Row],[MonthlyIncome]]&lt;3000,"Low Salary",IF(HR_Data[[#This Row],[MonthlyIncome]]&lt;=7000,"Medium Salary","High Salary"))</f>
        <v>Medium Salary</v>
      </c>
      <c r="AN1276" s="1" t="str">
        <f>IF(HR_Data[[#This Row],[YearsAtCompany]]&lt;2,"0-1 Years",IF(HR_Data[[#This Row],[YearsAtCompany]]&lt;=5,"2-5 Years",IF(HR_Data[[#This Row],[YearsAtCompany]]&lt;=10,"6-10 Years","10+ Years")))</f>
        <v>10+ Years</v>
      </c>
      <c r="AO1276" s="1" t="str">
        <f>IF(HR_Data[[#This Row],[JobSatisfaction]]=1,"Low",IF(HR_Data[[#This Row],[JobSatisfaction]]=2,"Medium",IF(HR_Data[[#This Row],[JobSatisfaction]]=3,"High","Very High")))</f>
        <v>Very High</v>
      </c>
      <c r="AP1276" s="1" t="str">
        <f>IF(HR_Data[[#This Row],[WorkLifeBalance]]=1,"Bad",IF(HR_Data[[#This Row],[WorkLifeBalance]]=2,"Good",IF(HR_Data[[#This Row],[WorkLifeBalance]]=3,"Better","Best")))</f>
        <v>Better</v>
      </c>
    </row>
    <row r="1277" spans="1:42" x14ac:dyDescent="0.3">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c r="AJ1277">
        <f>IF(HR_Data[[#This Row],[Attrition]]="Yes",1,0)</f>
        <v>0</v>
      </c>
      <c r="AK1277">
        <f>IF(HR_Data[[#This Row],[Attrition]]="No",1,0)</f>
        <v>1</v>
      </c>
      <c r="AL1277" t="str">
        <f>IF(HR_Data[[#This Row],[Age]]&lt;25,"Under 25",IF(HR_Data[[#This Row],[Age]]&lt;=34,"25-34",IF(HR_Data[[#This Row],[Age]]&lt;=44,"35-44",IF(HR_Data[[#This Row],[Age]]&lt;=54,"45-54","55+"))))</f>
        <v>45-54</v>
      </c>
      <c r="AM1277" s="1" t="str">
        <f>IF(HR_Data[[#This Row],[MonthlyIncome]]&lt;3000,"Low Salary",IF(HR_Data[[#This Row],[MonthlyIncome]]&lt;=7000,"Medium Salary","High Salary"))</f>
        <v>High Salary</v>
      </c>
      <c r="AN1277" s="1" t="str">
        <f>IF(HR_Data[[#This Row],[YearsAtCompany]]&lt;2,"0-1 Years",IF(HR_Data[[#This Row],[YearsAtCompany]]&lt;=5,"2-5 Years",IF(HR_Data[[#This Row],[YearsAtCompany]]&lt;=10,"6-10 Years","10+ Years")))</f>
        <v>2-5 Years</v>
      </c>
      <c r="AO1277" s="1" t="str">
        <f>IF(HR_Data[[#This Row],[JobSatisfaction]]=1,"Low",IF(HR_Data[[#This Row],[JobSatisfaction]]=2,"Medium",IF(HR_Data[[#This Row],[JobSatisfaction]]=3,"High","Very High")))</f>
        <v>High</v>
      </c>
      <c r="AP1277" s="1" t="str">
        <f>IF(HR_Data[[#This Row],[WorkLifeBalance]]=1,"Bad",IF(HR_Data[[#This Row],[WorkLifeBalance]]=2,"Good",IF(HR_Data[[#This Row],[WorkLifeBalance]]=3,"Better","Best")))</f>
        <v>Better</v>
      </c>
    </row>
    <row r="1278" spans="1:42" x14ac:dyDescent="0.3">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c r="AJ1278">
        <f>IF(HR_Data[[#This Row],[Attrition]]="Yes",1,0)</f>
        <v>0</v>
      </c>
      <c r="AK1278">
        <f>IF(HR_Data[[#This Row],[Attrition]]="No",1,0)</f>
        <v>1</v>
      </c>
      <c r="AL1278" t="str">
        <f>IF(HR_Data[[#This Row],[Age]]&lt;25,"Under 25",IF(HR_Data[[#This Row],[Age]]&lt;=34,"25-34",IF(HR_Data[[#This Row],[Age]]&lt;=44,"35-44",IF(HR_Data[[#This Row],[Age]]&lt;=54,"45-54","55+"))))</f>
        <v>35-44</v>
      </c>
      <c r="AM1278" s="1" t="str">
        <f>IF(HR_Data[[#This Row],[MonthlyIncome]]&lt;3000,"Low Salary",IF(HR_Data[[#This Row],[MonthlyIncome]]&lt;=7000,"Medium Salary","High Salary"))</f>
        <v>Medium Salary</v>
      </c>
      <c r="AN1278" s="1" t="str">
        <f>IF(HR_Data[[#This Row],[YearsAtCompany]]&lt;2,"0-1 Years",IF(HR_Data[[#This Row],[YearsAtCompany]]&lt;=5,"2-5 Years",IF(HR_Data[[#This Row],[YearsAtCompany]]&lt;=10,"6-10 Years","10+ Years")))</f>
        <v>2-5 Years</v>
      </c>
      <c r="AO1278" s="1" t="str">
        <f>IF(HR_Data[[#This Row],[JobSatisfaction]]=1,"Low",IF(HR_Data[[#This Row],[JobSatisfaction]]=2,"Medium",IF(HR_Data[[#This Row],[JobSatisfaction]]=3,"High","Very High")))</f>
        <v>Medium</v>
      </c>
      <c r="AP1278" s="1" t="str">
        <f>IF(HR_Data[[#This Row],[WorkLifeBalance]]=1,"Bad",IF(HR_Data[[#This Row],[WorkLifeBalance]]=2,"Good",IF(HR_Data[[#This Row],[WorkLifeBalance]]=3,"Better","Best")))</f>
        <v>Better</v>
      </c>
    </row>
    <row r="1279" spans="1:42" x14ac:dyDescent="0.3">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c r="AJ1279">
        <f>IF(HR_Data[[#This Row],[Attrition]]="Yes",1,0)</f>
        <v>0</v>
      </c>
      <c r="AK1279">
        <f>IF(HR_Data[[#This Row],[Attrition]]="No",1,0)</f>
        <v>1</v>
      </c>
      <c r="AL1279" t="str">
        <f>IF(HR_Data[[#This Row],[Age]]&lt;25,"Under 25",IF(HR_Data[[#This Row],[Age]]&lt;=34,"25-34",IF(HR_Data[[#This Row],[Age]]&lt;=44,"35-44",IF(HR_Data[[#This Row],[Age]]&lt;=54,"45-54","55+"))))</f>
        <v>45-54</v>
      </c>
      <c r="AM1279" s="1" t="str">
        <f>IF(HR_Data[[#This Row],[MonthlyIncome]]&lt;3000,"Low Salary",IF(HR_Data[[#This Row],[MonthlyIncome]]&lt;=7000,"Medium Salary","High Salary"))</f>
        <v>High Salary</v>
      </c>
      <c r="AN1279" s="1" t="str">
        <f>IF(HR_Data[[#This Row],[YearsAtCompany]]&lt;2,"0-1 Years",IF(HR_Data[[#This Row],[YearsAtCompany]]&lt;=5,"2-5 Years",IF(HR_Data[[#This Row],[YearsAtCompany]]&lt;=10,"6-10 Years","10+ Years")))</f>
        <v>2-5 Years</v>
      </c>
      <c r="AO1279" s="1" t="str">
        <f>IF(HR_Data[[#This Row],[JobSatisfaction]]=1,"Low",IF(HR_Data[[#This Row],[JobSatisfaction]]=2,"Medium",IF(HR_Data[[#This Row],[JobSatisfaction]]=3,"High","Very High")))</f>
        <v>Very High</v>
      </c>
      <c r="AP1279" s="1" t="str">
        <f>IF(HR_Data[[#This Row],[WorkLifeBalance]]=1,"Bad",IF(HR_Data[[#This Row],[WorkLifeBalance]]=2,"Good",IF(HR_Data[[#This Row],[WorkLifeBalance]]=3,"Better","Best")))</f>
        <v>Better</v>
      </c>
    </row>
    <row r="1280" spans="1:42" x14ac:dyDescent="0.3">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c r="AJ1280">
        <f>IF(HR_Data[[#This Row],[Attrition]]="Yes",1,0)</f>
        <v>0</v>
      </c>
      <c r="AK1280">
        <f>IF(HR_Data[[#This Row],[Attrition]]="No",1,0)</f>
        <v>1</v>
      </c>
      <c r="AL1280" t="str">
        <f>IF(HR_Data[[#This Row],[Age]]&lt;25,"Under 25",IF(HR_Data[[#This Row],[Age]]&lt;=34,"25-34",IF(HR_Data[[#This Row],[Age]]&lt;=44,"35-44",IF(HR_Data[[#This Row],[Age]]&lt;=54,"45-54","55+"))))</f>
        <v>35-44</v>
      </c>
      <c r="AM1280" s="1" t="str">
        <f>IF(HR_Data[[#This Row],[MonthlyIncome]]&lt;3000,"Low Salary",IF(HR_Data[[#This Row],[MonthlyIncome]]&lt;=7000,"Medium Salary","High Salary"))</f>
        <v>High Salary</v>
      </c>
      <c r="AN1280" s="1" t="str">
        <f>IF(HR_Data[[#This Row],[YearsAtCompany]]&lt;2,"0-1 Years",IF(HR_Data[[#This Row],[YearsAtCompany]]&lt;=5,"2-5 Years",IF(HR_Data[[#This Row],[YearsAtCompany]]&lt;=10,"6-10 Years","10+ Years")))</f>
        <v>10+ Years</v>
      </c>
      <c r="AO1280" s="1" t="str">
        <f>IF(HR_Data[[#This Row],[JobSatisfaction]]=1,"Low",IF(HR_Data[[#This Row],[JobSatisfaction]]=2,"Medium",IF(HR_Data[[#This Row],[JobSatisfaction]]=3,"High","Very High")))</f>
        <v>Low</v>
      </c>
      <c r="AP1280" s="1" t="str">
        <f>IF(HR_Data[[#This Row],[WorkLifeBalance]]=1,"Bad",IF(HR_Data[[#This Row],[WorkLifeBalance]]=2,"Good",IF(HR_Data[[#This Row],[WorkLifeBalance]]=3,"Better","Best")))</f>
        <v>Better</v>
      </c>
    </row>
    <row r="1281" spans="1:42" x14ac:dyDescent="0.3">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c r="AJ1281">
        <f>IF(HR_Data[[#This Row],[Attrition]]="Yes",1,0)</f>
        <v>1</v>
      </c>
      <c r="AK1281">
        <f>IF(HR_Data[[#This Row],[Attrition]]="No",1,0)</f>
        <v>0</v>
      </c>
      <c r="AL1281" t="str">
        <f>IF(HR_Data[[#This Row],[Age]]&lt;25,"Under 25",IF(HR_Data[[#This Row],[Age]]&lt;=34,"25-34",IF(HR_Data[[#This Row],[Age]]&lt;=44,"35-44",IF(HR_Data[[#This Row],[Age]]&lt;=54,"45-54","55+"))))</f>
        <v>35-44</v>
      </c>
      <c r="AM1281" s="1" t="str">
        <f>IF(HR_Data[[#This Row],[MonthlyIncome]]&lt;3000,"Low Salary",IF(HR_Data[[#This Row],[MonthlyIncome]]&lt;=7000,"Medium Salary","High Salary"))</f>
        <v>Low Salary</v>
      </c>
      <c r="AN1281" s="1" t="str">
        <f>IF(HR_Data[[#This Row],[YearsAtCompany]]&lt;2,"0-1 Years",IF(HR_Data[[#This Row],[YearsAtCompany]]&lt;=5,"2-5 Years",IF(HR_Data[[#This Row],[YearsAtCompany]]&lt;=10,"6-10 Years","10+ Years")))</f>
        <v>2-5 Years</v>
      </c>
      <c r="AO1281" s="1" t="str">
        <f>IF(HR_Data[[#This Row],[JobSatisfaction]]=1,"Low",IF(HR_Data[[#This Row],[JobSatisfaction]]=2,"Medium",IF(HR_Data[[#This Row],[JobSatisfaction]]=3,"High","Very High")))</f>
        <v>Medium</v>
      </c>
      <c r="AP1281" s="1" t="str">
        <f>IF(HR_Data[[#This Row],[WorkLifeBalance]]=1,"Bad",IF(HR_Data[[#This Row],[WorkLifeBalance]]=2,"Good",IF(HR_Data[[#This Row],[WorkLifeBalance]]=3,"Better","Best")))</f>
        <v>Good</v>
      </c>
    </row>
    <row r="1282" spans="1:42" x14ac:dyDescent="0.3">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c r="AJ1282">
        <f>IF(HR_Data[[#This Row],[Attrition]]="Yes",1,0)</f>
        <v>0</v>
      </c>
      <c r="AK1282">
        <f>IF(HR_Data[[#This Row],[Attrition]]="No",1,0)</f>
        <v>1</v>
      </c>
      <c r="AL1282" t="str">
        <f>IF(HR_Data[[#This Row],[Age]]&lt;25,"Under 25",IF(HR_Data[[#This Row],[Age]]&lt;=34,"25-34",IF(HR_Data[[#This Row],[Age]]&lt;=44,"35-44",IF(HR_Data[[#This Row],[Age]]&lt;=54,"45-54","55+"))))</f>
        <v>35-44</v>
      </c>
      <c r="AM1282" s="1" t="str">
        <f>IF(HR_Data[[#This Row],[MonthlyIncome]]&lt;3000,"Low Salary",IF(HR_Data[[#This Row],[MonthlyIncome]]&lt;=7000,"Medium Salary","High Salary"))</f>
        <v>Medium Salary</v>
      </c>
      <c r="AN1282" s="1" t="str">
        <f>IF(HR_Data[[#This Row],[YearsAtCompany]]&lt;2,"0-1 Years",IF(HR_Data[[#This Row],[YearsAtCompany]]&lt;=5,"2-5 Years",IF(HR_Data[[#This Row],[YearsAtCompany]]&lt;=10,"6-10 Years","10+ Years")))</f>
        <v>6-10 Years</v>
      </c>
      <c r="AO1282" s="1" t="str">
        <f>IF(HR_Data[[#This Row],[JobSatisfaction]]=1,"Low",IF(HR_Data[[#This Row],[JobSatisfaction]]=2,"Medium",IF(HR_Data[[#This Row],[JobSatisfaction]]=3,"High","Very High")))</f>
        <v>Medium</v>
      </c>
      <c r="AP1282" s="1" t="str">
        <f>IF(HR_Data[[#This Row],[WorkLifeBalance]]=1,"Bad",IF(HR_Data[[#This Row],[WorkLifeBalance]]=2,"Good",IF(HR_Data[[#This Row],[WorkLifeBalance]]=3,"Better","Best")))</f>
        <v>Good</v>
      </c>
    </row>
    <row r="1283" spans="1:42" x14ac:dyDescent="0.3">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c r="AJ1283">
        <f>IF(HR_Data[[#This Row],[Attrition]]="Yes",1,0)</f>
        <v>1</v>
      </c>
      <c r="AK1283">
        <f>IF(HR_Data[[#This Row],[Attrition]]="No",1,0)</f>
        <v>0</v>
      </c>
      <c r="AL1283" t="str">
        <f>IF(HR_Data[[#This Row],[Age]]&lt;25,"Under 25",IF(HR_Data[[#This Row],[Age]]&lt;=34,"25-34",IF(HR_Data[[#This Row],[Age]]&lt;=44,"35-44",IF(HR_Data[[#This Row],[Age]]&lt;=54,"45-54","55+"))))</f>
        <v>35-44</v>
      </c>
      <c r="AM1283" s="1" t="str">
        <f>IF(HR_Data[[#This Row],[MonthlyIncome]]&lt;3000,"Low Salary",IF(HR_Data[[#This Row],[MonthlyIncome]]&lt;=7000,"Medium Salary","High Salary"))</f>
        <v>Medium Salary</v>
      </c>
      <c r="AN1283" s="1" t="str">
        <f>IF(HR_Data[[#This Row],[YearsAtCompany]]&lt;2,"0-1 Years",IF(HR_Data[[#This Row],[YearsAtCompany]]&lt;=5,"2-5 Years",IF(HR_Data[[#This Row],[YearsAtCompany]]&lt;=10,"6-10 Years","10+ Years")))</f>
        <v>6-10 Years</v>
      </c>
      <c r="AO1283" s="1" t="str">
        <f>IF(HR_Data[[#This Row],[JobSatisfaction]]=1,"Low",IF(HR_Data[[#This Row],[JobSatisfaction]]=2,"Medium",IF(HR_Data[[#This Row],[JobSatisfaction]]=3,"High","Very High")))</f>
        <v>Very High</v>
      </c>
      <c r="AP1283" s="1" t="str">
        <f>IF(HR_Data[[#This Row],[WorkLifeBalance]]=1,"Bad",IF(HR_Data[[#This Row],[WorkLifeBalance]]=2,"Good",IF(HR_Data[[#This Row],[WorkLifeBalance]]=3,"Better","Best")))</f>
        <v>Better</v>
      </c>
    </row>
    <row r="1284" spans="1:42" x14ac:dyDescent="0.3">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c r="AJ1284">
        <f>IF(HR_Data[[#This Row],[Attrition]]="Yes",1,0)</f>
        <v>0</v>
      </c>
      <c r="AK1284">
        <f>IF(HR_Data[[#This Row],[Attrition]]="No",1,0)</f>
        <v>1</v>
      </c>
      <c r="AL1284" t="str">
        <f>IF(HR_Data[[#This Row],[Age]]&lt;25,"Under 25",IF(HR_Data[[#This Row],[Age]]&lt;=34,"25-34",IF(HR_Data[[#This Row],[Age]]&lt;=44,"35-44",IF(HR_Data[[#This Row],[Age]]&lt;=54,"45-54","55+"))))</f>
        <v>25-34</v>
      </c>
      <c r="AM1284" s="1" t="str">
        <f>IF(HR_Data[[#This Row],[MonthlyIncome]]&lt;3000,"Low Salary",IF(HR_Data[[#This Row],[MonthlyIncome]]&lt;=7000,"Medium Salary","High Salary"))</f>
        <v>Medium Salary</v>
      </c>
      <c r="AN1284" s="1" t="str">
        <f>IF(HR_Data[[#This Row],[YearsAtCompany]]&lt;2,"0-1 Years",IF(HR_Data[[#This Row],[YearsAtCompany]]&lt;=5,"2-5 Years",IF(HR_Data[[#This Row],[YearsAtCompany]]&lt;=10,"6-10 Years","10+ Years")))</f>
        <v>6-10 Years</v>
      </c>
      <c r="AO1284" s="1" t="str">
        <f>IF(HR_Data[[#This Row],[JobSatisfaction]]=1,"Low",IF(HR_Data[[#This Row],[JobSatisfaction]]=2,"Medium",IF(HR_Data[[#This Row],[JobSatisfaction]]=3,"High","Very High")))</f>
        <v>Low</v>
      </c>
      <c r="AP1284" s="1" t="str">
        <f>IF(HR_Data[[#This Row],[WorkLifeBalance]]=1,"Bad",IF(HR_Data[[#This Row],[WorkLifeBalance]]=2,"Good",IF(HR_Data[[#This Row],[WorkLifeBalance]]=3,"Better","Best")))</f>
        <v>Better</v>
      </c>
    </row>
    <row r="1285" spans="1:42" x14ac:dyDescent="0.3">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c r="AJ1285">
        <f>IF(HR_Data[[#This Row],[Attrition]]="Yes",1,0)</f>
        <v>0</v>
      </c>
      <c r="AK1285">
        <f>IF(HR_Data[[#This Row],[Attrition]]="No",1,0)</f>
        <v>1</v>
      </c>
      <c r="AL1285" t="str">
        <f>IF(HR_Data[[#This Row],[Age]]&lt;25,"Under 25",IF(HR_Data[[#This Row],[Age]]&lt;=34,"25-34",IF(HR_Data[[#This Row],[Age]]&lt;=44,"35-44",IF(HR_Data[[#This Row],[Age]]&lt;=54,"45-54","55+"))))</f>
        <v>25-34</v>
      </c>
      <c r="AM1285" s="1" t="str">
        <f>IF(HR_Data[[#This Row],[MonthlyIncome]]&lt;3000,"Low Salary",IF(HR_Data[[#This Row],[MonthlyIncome]]&lt;=7000,"Medium Salary","High Salary"))</f>
        <v>Low Salary</v>
      </c>
      <c r="AN1285" s="1" t="str">
        <f>IF(HR_Data[[#This Row],[YearsAtCompany]]&lt;2,"0-1 Years",IF(HR_Data[[#This Row],[YearsAtCompany]]&lt;=5,"2-5 Years",IF(HR_Data[[#This Row],[YearsAtCompany]]&lt;=10,"6-10 Years","10+ Years")))</f>
        <v>2-5 Years</v>
      </c>
      <c r="AO1285" s="1" t="str">
        <f>IF(HR_Data[[#This Row],[JobSatisfaction]]=1,"Low",IF(HR_Data[[#This Row],[JobSatisfaction]]=2,"Medium",IF(HR_Data[[#This Row],[JobSatisfaction]]=3,"High","Very High")))</f>
        <v>Very High</v>
      </c>
      <c r="AP1285" s="1" t="str">
        <f>IF(HR_Data[[#This Row],[WorkLifeBalance]]=1,"Bad",IF(HR_Data[[#This Row],[WorkLifeBalance]]=2,"Good",IF(HR_Data[[#This Row],[WorkLifeBalance]]=3,"Better","Best")))</f>
        <v>Best</v>
      </c>
    </row>
    <row r="1286" spans="1:42" x14ac:dyDescent="0.3">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c r="AJ1286">
        <f>IF(HR_Data[[#This Row],[Attrition]]="Yes",1,0)</f>
        <v>0</v>
      </c>
      <c r="AK1286">
        <f>IF(HR_Data[[#This Row],[Attrition]]="No",1,0)</f>
        <v>1</v>
      </c>
      <c r="AL1286" t="str">
        <f>IF(HR_Data[[#This Row],[Age]]&lt;25,"Under 25",IF(HR_Data[[#This Row],[Age]]&lt;=34,"25-34",IF(HR_Data[[#This Row],[Age]]&lt;=44,"35-44",IF(HR_Data[[#This Row],[Age]]&lt;=54,"45-54","55+"))))</f>
        <v>35-44</v>
      </c>
      <c r="AM1286" s="1" t="str">
        <f>IF(HR_Data[[#This Row],[MonthlyIncome]]&lt;3000,"Low Salary",IF(HR_Data[[#This Row],[MonthlyIncome]]&lt;=7000,"Medium Salary","High Salary"))</f>
        <v>High Salary</v>
      </c>
      <c r="AN1286" s="1" t="str">
        <f>IF(HR_Data[[#This Row],[YearsAtCompany]]&lt;2,"0-1 Years",IF(HR_Data[[#This Row],[YearsAtCompany]]&lt;=5,"2-5 Years",IF(HR_Data[[#This Row],[YearsAtCompany]]&lt;=10,"6-10 Years","10+ Years")))</f>
        <v>2-5 Years</v>
      </c>
      <c r="AO1286" s="1" t="str">
        <f>IF(HR_Data[[#This Row],[JobSatisfaction]]=1,"Low",IF(HR_Data[[#This Row],[JobSatisfaction]]=2,"Medium",IF(HR_Data[[#This Row],[JobSatisfaction]]=3,"High","Very High")))</f>
        <v>High</v>
      </c>
      <c r="AP1286" s="1" t="str">
        <f>IF(HR_Data[[#This Row],[WorkLifeBalance]]=1,"Bad",IF(HR_Data[[#This Row],[WorkLifeBalance]]=2,"Good",IF(HR_Data[[#This Row],[WorkLifeBalance]]=3,"Better","Best")))</f>
        <v>Better</v>
      </c>
    </row>
    <row r="1287" spans="1:42" x14ac:dyDescent="0.3">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c r="AJ1287">
        <f>IF(HR_Data[[#This Row],[Attrition]]="Yes",1,0)</f>
        <v>0</v>
      </c>
      <c r="AK1287">
        <f>IF(HR_Data[[#This Row],[Attrition]]="No",1,0)</f>
        <v>1</v>
      </c>
      <c r="AL1287" t="str">
        <f>IF(HR_Data[[#This Row],[Age]]&lt;25,"Under 25",IF(HR_Data[[#This Row],[Age]]&lt;=34,"25-34",IF(HR_Data[[#This Row],[Age]]&lt;=44,"35-44",IF(HR_Data[[#This Row],[Age]]&lt;=54,"45-54","55+"))))</f>
        <v>45-54</v>
      </c>
      <c r="AM1287" s="1" t="str">
        <f>IF(HR_Data[[#This Row],[MonthlyIncome]]&lt;3000,"Low Salary",IF(HR_Data[[#This Row],[MonthlyIncome]]&lt;=7000,"Medium Salary","High Salary"))</f>
        <v>High Salary</v>
      </c>
      <c r="AN1287" s="1" t="str">
        <f>IF(HR_Data[[#This Row],[YearsAtCompany]]&lt;2,"0-1 Years",IF(HR_Data[[#This Row],[YearsAtCompany]]&lt;=5,"2-5 Years",IF(HR_Data[[#This Row],[YearsAtCompany]]&lt;=10,"6-10 Years","10+ Years")))</f>
        <v>2-5 Years</v>
      </c>
      <c r="AO1287" s="1" t="str">
        <f>IF(HR_Data[[#This Row],[JobSatisfaction]]=1,"Low",IF(HR_Data[[#This Row],[JobSatisfaction]]=2,"Medium",IF(HR_Data[[#This Row],[JobSatisfaction]]=3,"High","Very High")))</f>
        <v>Medium</v>
      </c>
      <c r="AP1287" s="1" t="str">
        <f>IF(HR_Data[[#This Row],[WorkLifeBalance]]=1,"Bad",IF(HR_Data[[#This Row],[WorkLifeBalance]]=2,"Good",IF(HR_Data[[#This Row],[WorkLifeBalance]]=3,"Better","Best")))</f>
        <v>Better</v>
      </c>
    </row>
    <row r="1288" spans="1:42" x14ac:dyDescent="0.3">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c r="AJ1288">
        <f>IF(HR_Data[[#This Row],[Attrition]]="Yes",1,0)</f>
        <v>0</v>
      </c>
      <c r="AK1288">
        <f>IF(HR_Data[[#This Row],[Attrition]]="No",1,0)</f>
        <v>1</v>
      </c>
      <c r="AL1288" t="str">
        <f>IF(HR_Data[[#This Row],[Age]]&lt;25,"Under 25",IF(HR_Data[[#This Row],[Age]]&lt;=34,"25-34",IF(HR_Data[[#This Row],[Age]]&lt;=44,"35-44",IF(HR_Data[[#This Row],[Age]]&lt;=54,"45-54","55+"))))</f>
        <v>35-44</v>
      </c>
      <c r="AM1288" s="1" t="str">
        <f>IF(HR_Data[[#This Row],[MonthlyIncome]]&lt;3000,"Low Salary",IF(HR_Data[[#This Row],[MonthlyIncome]]&lt;=7000,"Medium Salary","High Salary"))</f>
        <v>Medium Salary</v>
      </c>
      <c r="AN1288" s="1" t="str">
        <f>IF(HR_Data[[#This Row],[YearsAtCompany]]&lt;2,"0-1 Years",IF(HR_Data[[#This Row],[YearsAtCompany]]&lt;=5,"2-5 Years",IF(HR_Data[[#This Row],[YearsAtCompany]]&lt;=10,"6-10 Years","10+ Years")))</f>
        <v>2-5 Years</v>
      </c>
      <c r="AO1288" s="1" t="str">
        <f>IF(HR_Data[[#This Row],[JobSatisfaction]]=1,"Low",IF(HR_Data[[#This Row],[JobSatisfaction]]=2,"Medium",IF(HR_Data[[#This Row],[JobSatisfaction]]=3,"High","Very High")))</f>
        <v>Low</v>
      </c>
      <c r="AP1288" s="1" t="str">
        <f>IF(HR_Data[[#This Row],[WorkLifeBalance]]=1,"Bad",IF(HR_Data[[#This Row],[WorkLifeBalance]]=2,"Good",IF(HR_Data[[#This Row],[WorkLifeBalance]]=3,"Better","Best")))</f>
        <v>Good</v>
      </c>
    </row>
    <row r="1289" spans="1:42" x14ac:dyDescent="0.3">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c r="AJ1289">
        <f>IF(HR_Data[[#This Row],[Attrition]]="Yes",1,0)</f>
        <v>0</v>
      </c>
      <c r="AK1289">
        <f>IF(HR_Data[[#This Row],[Attrition]]="No",1,0)</f>
        <v>1</v>
      </c>
      <c r="AL1289" t="str">
        <f>IF(HR_Data[[#This Row],[Age]]&lt;25,"Under 25",IF(HR_Data[[#This Row],[Age]]&lt;=34,"25-34",IF(HR_Data[[#This Row],[Age]]&lt;=44,"35-44",IF(HR_Data[[#This Row],[Age]]&lt;=54,"45-54","55+"))))</f>
        <v>35-44</v>
      </c>
      <c r="AM1289" s="1" t="str">
        <f>IF(HR_Data[[#This Row],[MonthlyIncome]]&lt;3000,"Low Salary",IF(HR_Data[[#This Row],[MonthlyIncome]]&lt;=7000,"Medium Salary","High Salary"))</f>
        <v>Medium Salary</v>
      </c>
      <c r="AN1289" s="1" t="str">
        <f>IF(HR_Data[[#This Row],[YearsAtCompany]]&lt;2,"0-1 Years",IF(HR_Data[[#This Row],[YearsAtCompany]]&lt;=5,"2-5 Years",IF(HR_Data[[#This Row],[YearsAtCompany]]&lt;=10,"6-10 Years","10+ Years")))</f>
        <v>0-1 Years</v>
      </c>
      <c r="AO1289" s="1" t="str">
        <f>IF(HR_Data[[#This Row],[JobSatisfaction]]=1,"Low",IF(HR_Data[[#This Row],[JobSatisfaction]]=2,"Medium",IF(HR_Data[[#This Row],[JobSatisfaction]]=3,"High","Very High")))</f>
        <v>Low</v>
      </c>
      <c r="AP1289" s="1" t="str">
        <f>IF(HR_Data[[#This Row],[WorkLifeBalance]]=1,"Bad",IF(HR_Data[[#This Row],[WorkLifeBalance]]=2,"Good",IF(HR_Data[[#This Row],[WorkLifeBalance]]=3,"Better","Best")))</f>
        <v>Good</v>
      </c>
    </row>
    <row r="1290" spans="1:42" x14ac:dyDescent="0.3">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c r="AJ1290">
        <f>IF(HR_Data[[#This Row],[Attrition]]="Yes",1,0)</f>
        <v>0</v>
      </c>
      <c r="AK1290">
        <f>IF(HR_Data[[#This Row],[Attrition]]="No",1,0)</f>
        <v>1</v>
      </c>
      <c r="AL1290" t="str">
        <f>IF(HR_Data[[#This Row],[Age]]&lt;25,"Under 25",IF(HR_Data[[#This Row],[Age]]&lt;=34,"25-34",IF(HR_Data[[#This Row],[Age]]&lt;=44,"35-44",IF(HR_Data[[#This Row],[Age]]&lt;=54,"45-54","55+"))))</f>
        <v>35-44</v>
      </c>
      <c r="AM1290" s="1" t="str">
        <f>IF(HR_Data[[#This Row],[MonthlyIncome]]&lt;3000,"Low Salary",IF(HR_Data[[#This Row],[MonthlyIncome]]&lt;=7000,"Medium Salary","High Salary"))</f>
        <v>Medium Salary</v>
      </c>
      <c r="AN1290" s="1" t="str">
        <f>IF(HR_Data[[#This Row],[YearsAtCompany]]&lt;2,"0-1 Years",IF(HR_Data[[#This Row],[YearsAtCompany]]&lt;=5,"2-5 Years",IF(HR_Data[[#This Row],[YearsAtCompany]]&lt;=10,"6-10 Years","10+ Years")))</f>
        <v>6-10 Years</v>
      </c>
      <c r="AO1290" s="1" t="str">
        <f>IF(HR_Data[[#This Row],[JobSatisfaction]]=1,"Low",IF(HR_Data[[#This Row],[JobSatisfaction]]=2,"Medium",IF(HR_Data[[#This Row],[JobSatisfaction]]=3,"High","Very High")))</f>
        <v>Very High</v>
      </c>
      <c r="AP1290" s="1" t="str">
        <f>IF(HR_Data[[#This Row],[WorkLifeBalance]]=1,"Bad",IF(HR_Data[[#This Row],[WorkLifeBalance]]=2,"Good",IF(HR_Data[[#This Row],[WorkLifeBalance]]=3,"Better","Best")))</f>
        <v>Better</v>
      </c>
    </row>
    <row r="1291" spans="1:42" x14ac:dyDescent="0.3">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c r="AJ1291">
        <f>IF(HR_Data[[#This Row],[Attrition]]="Yes",1,0)</f>
        <v>0</v>
      </c>
      <c r="AK1291">
        <f>IF(HR_Data[[#This Row],[Attrition]]="No",1,0)</f>
        <v>1</v>
      </c>
      <c r="AL1291" t="str">
        <f>IF(HR_Data[[#This Row],[Age]]&lt;25,"Under 25",IF(HR_Data[[#This Row],[Age]]&lt;=34,"25-34",IF(HR_Data[[#This Row],[Age]]&lt;=44,"35-44",IF(HR_Data[[#This Row],[Age]]&lt;=54,"45-54","55+"))))</f>
        <v>35-44</v>
      </c>
      <c r="AM1291" s="1" t="str">
        <f>IF(HR_Data[[#This Row],[MonthlyIncome]]&lt;3000,"Low Salary",IF(HR_Data[[#This Row],[MonthlyIncome]]&lt;=7000,"Medium Salary","High Salary"))</f>
        <v>Low Salary</v>
      </c>
      <c r="AN1291" s="1" t="str">
        <f>IF(HR_Data[[#This Row],[YearsAtCompany]]&lt;2,"0-1 Years",IF(HR_Data[[#This Row],[YearsAtCompany]]&lt;=5,"2-5 Years",IF(HR_Data[[#This Row],[YearsAtCompany]]&lt;=10,"6-10 Years","10+ Years")))</f>
        <v>10+ Years</v>
      </c>
      <c r="AO1291" s="1" t="str">
        <f>IF(HR_Data[[#This Row],[JobSatisfaction]]=1,"Low",IF(HR_Data[[#This Row],[JobSatisfaction]]=2,"Medium",IF(HR_Data[[#This Row],[JobSatisfaction]]=3,"High","Very High")))</f>
        <v>Medium</v>
      </c>
      <c r="AP1291" s="1" t="str">
        <f>IF(HR_Data[[#This Row],[WorkLifeBalance]]=1,"Bad",IF(HR_Data[[#This Row],[WorkLifeBalance]]=2,"Good",IF(HR_Data[[#This Row],[WorkLifeBalance]]=3,"Better","Best")))</f>
        <v>Better</v>
      </c>
    </row>
    <row r="1292" spans="1:42" x14ac:dyDescent="0.3">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c r="AJ1292">
        <f>IF(HR_Data[[#This Row],[Attrition]]="Yes",1,0)</f>
        <v>1</v>
      </c>
      <c r="AK1292">
        <f>IF(HR_Data[[#This Row],[Attrition]]="No",1,0)</f>
        <v>0</v>
      </c>
      <c r="AL1292" t="str">
        <f>IF(HR_Data[[#This Row],[Age]]&lt;25,"Under 25",IF(HR_Data[[#This Row],[Age]]&lt;=34,"25-34",IF(HR_Data[[#This Row],[Age]]&lt;=44,"35-44",IF(HR_Data[[#This Row],[Age]]&lt;=54,"45-54","55+"))))</f>
        <v>25-34</v>
      </c>
      <c r="AM1292" s="1" t="str">
        <f>IF(HR_Data[[#This Row],[MonthlyIncome]]&lt;3000,"Low Salary",IF(HR_Data[[#This Row],[MonthlyIncome]]&lt;=7000,"Medium Salary","High Salary"))</f>
        <v>Medium Salary</v>
      </c>
      <c r="AN1292" s="1" t="str">
        <f>IF(HR_Data[[#This Row],[YearsAtCompany]]&lt;2,"0-1 Years",IF(HR_Data[[#This Row],[YearsAtCompany]]&lt;=5,"2-5 Years",IF(HR_Data[[#This Row],[YearsAtCompany]]&lt;=10,"6-10 Years","10+ Years")))</f>
        <v>6-10 Years</v>
      </c>
      <c r="AO1292" s="1" t="str">
        <f>IF(HR_Data[[#This Row],[JobSatisfaction]]=1,"Low",IF(HR_Data[[#This Row],[JobSatisfaction]]=2,"Medium",IF(HR_Data[[#This Row],[JobSatisfaction]]=3,"High","Very High")))</f>
        <v>Low</v>
      </c>
      <c r="AP1292" s="1" t="str">
        <f>IF(HR_Data[[#This Row],[WorkLifeBalance]]=1,"Bad",IF(HR_Data[[#This Row],[WorkLifeBalance]]=2,"Good",IF(HR_Data[[#This Row],[WorkLifeBalance]]=3,"Better","Best")))</f>
        <v>Good</v>
      </c>
    </row>
    <row r="1293" spans="1:42" x14ac:dyDescent="0.3">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c r="AJ1293">
        <f>IF(HR_Data[[#This Row],[Attrition]]="Yes",1,0)</f>
        <v>1</v>
      </c>
      <c r="AK1293">
        <f>IF(HR_Data[[#This Row],[Attrition]]="No",1,0)</f>
        <v>0</v>
      </c>
      <c r="AL1293" t="str">
        <f>IF(HR_Data[[#This Row],[Age]]&lt;25,"Under 25",IF(HR_Data[[#This Row],[Age]]&lt;=34,"25-34",IF(HR_Data[[#This Row],[Age]]&lt;=44,"35-44",IF(HR_Data[[#This Row],[Age]]&lt;=54,"45-54","55+"))))</f>
        <v>35-44</v>
      </c>
      <c r="AM1293" s="1" t="str">
        <f>IF(HR_Data[[#This Row],[MonthlyIncome]]&lt;3000,"Low Salary",IF(HR_Data[[#This Row],[MonthlyIncome]]&lt;=7000,"Medium Salary","High Salary"))</f>
        <v>Medium Salary</v>
      </c>
      <c r="AN1293" s="1" t="str">
        <f>IF(HR_Data[[#This Row],[YearsAtCompany]]&lt;2,"0-1 Years",IF(HR_Data[[#This Row],[YearsAtCompany]]&lt;=5,"2-5 Years",IF(HR_Data[[#This Row],[YearsAtCompany]]&lt;=10,"6-10 Years","10+ Years")))</f>
        <v>6-10 Years</v>
      </c>
      <c r="AO1293" s="1" t="str">
        <f>IF(HR_Data[[#This Row],[JobSatisfaction]]=1,"Low",IF(HR_Data[[#This Row],[JobSatisfaction]]=2,"Medium",IF(HR_Data[[#This Row],[JobSatisfaction]]=3,"High","Very High")))</f>
        <v>Low</v>
      </c>
      <c r="AP1293" s="1" t="str">
        <f>IF(HR_Data[[#This Row],[WorkLifeBalance]]=1,"Bad",IF(HR_Data[[#This Row],[WorkLifeBalance]]=2,"Good",IF(HR_Data[[#This Row],[WorkLifeBalance]]=3,"Better","Best")))</f>
        <v>Bad</v>
      </c>
    </row>
    <row r="1294" spans="1:42" x14ac:dyDescent="0.3">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c r="AJ1294">
        <f>IF(HR_Data[[#This Row],[Attrition]]="Yes",1,0)</f>
        <v>0</v>
      </c>
      <c r="AK1294">
        <f>IF(HR_Data[[#This Row],[Attrition]]="No",1,0)</f>
        <v>1</v>
      </c>
      <c r="AL1294" t="str">
        <f>IF(HR_Data[[#This Row],[Age]]&lt;25,"Under 25",IF(HR_Data[[#This Row],[Age]]&lt;=34,"25-34",IF(HR_Data[[#This Row],[Age]]&lt;=44,"35-44",IF(HR_Data[[#This Row],[Age]]&lt;=54,"45-54","55+"))))</f>
        <v>35-44</v>
      </c>
      <c r="AM1294" s="1" t="str">
        <f>IF(HR_Data[[#This Row],[MonthlyIncome]]&lt;3000,"Low Salary",IF(HR_Data[[#This Row],[MonthlyIncome]]&lt;=7000,"Medium Salary","High Salary"))</f>
        <v>Medium Salary</v>
      </c>
      <c r="AN1294" s="1" t="str">
        <f>IF(HR_Data[[#This Row],[YearsAtCompany]]&lt;2,"0-1 Years",IF(HR_Data[[#This Row],[YearsAtCompany]]&lt;=5,"2-5 Years",IF(HR_Data[[#This Row],[YearsAtCompany]]&lt;=10,"6-10 Years","10+ Years")))</f>
        <v>2-5 Years</v>
      </c>
      <c r="AO1294" s="1" t="str">
        <f>IF(HR_Data[[#This Row],[JobSatisfaction]]=1,"Low",IF(HR_Data[[#This Row],[JobSatisfaction]]=2,"Medium",IF(HR_Data[[#This Row],[JobSatisfaction]]=3,"High","Very High")))</f>
        <v>Very High</v>
      </c>
      <c r="AP1294" s="1" t="str">
        <f>IF(HR_Data[[#This Row],[WorkLifeBalance]]=1,"Bad",IF(HR_Data[[#This Row],[WorkLifeBalance]]=2,"Good",IF(HR_Data[[#This Row],[WorkLifeBalance]]=3,"Better","Best")))</f>
        <v>Better</v>
      </c>
    </row>
    <row r="1295" spans="1:42" x14ac:dyDescent="0.3">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c r="AJ1295">
        <f>IF(HR_Data[[#This Row],[Attrition]]="Yes",1,0)</f>
        <v>0</v>
      </c>
      <c r="AK1295">
        <f>IF(HR_Data[[#This Row],[Attrition]]="No",1,0)</f>
        <v>1</v>
      </c>
      <c r="AL1295" t="str">
        <f>IF(HR_Data[[#This Row],[Age]]&lt;25,"Under 25",IF(HR_Data[[#This Row],[Age]]&lt;=34,"25-34",IF(HR_Data[[#This Row],[Age]]&lt;=44,"35-44",IF(HR_Data[[#This Row],[Age]]&lt;=54,"45-54","55+"))))</f>
        <v>35-44</v>
      </c>
      <c r="AM1295" s="1" t="str">
        <f>IF(HR_Data[[#This Row],[MonthlyIncome]]&lt;3000,"Low Salary",IF(HR_Data[[#This Row],[MonthlyIncome]]&lt;=7000,"Medium Salary","High Salary"))</f>
        <v>Low Salary</v>
      </c>
      <c r="AN1295" s="1" t="str">
        <f>IF(HR_Data[[#This Row],[YearsAtCompany]]&lt;2,"0-1 Years",IF(HR_Data[[#This Row],[YearsAtCompany]]&lt;=5,"2-5 Years",IF(HR_Data[[#This Row],[YearsAtCompany]]&lt;=10,"6-10 Years","10+ Years")))</f>
        <v>2-5 Years</v>
      </c>
      <c r="AO1295" s="1" t="str">
        <f>IF(HR_Data[[#This Row],[JobSatisfaction]]=1,"Low",IF(HR_Data[[#This Row],[JobSatisfaction]]=2,"Medium",IF(HR_Data[[#This Row],[JobSatisfaction]]=3,"High","Very High")))</f>
        <v>High</v>
      </c>
      <c r="AP1295" s="1" t="str">
        <f>IF(HR_Data[[#This Row],[WorkLifeBalance]]=1,"Bad",IF(HR_Data[[#This Row],[WorkLifeBalance]]=2,"Good",IF(HR_Data[[#This Row],[WorkLifeBalance]]=3,"Better","Best")))</f>
        <v>Good</v>
      </c>
    </row>
    <row r="1296" spans="1:42" x14ac:dyDescent="0.3">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c r="AJ1296">
        <f>IF(HR_Data[[#This Row],[Attrition]]="Yes",1,0)</f>
        <v>0</v>
      </c>
      <c r="AK1296">
        <f>IF(HR_Data[[#This Row],[Attrition]]="No",1,0)</f>
        <v>1</v>
      </c>
      <c r="AL1296" t="str">
        <f>IF(HR_Data[[#This Row],[Age]]&lt;25,"Under 25",IF(HR_Data[[#This Row],[Age]]&lt;=34,"25-34",IF(HR_Data[[#This Row],[Age]]&lt;=44,"35-44",IF(HR_Data[[#This Row],[Age]]&lt;=54,"45-54","55+"))))</f>
        <v>35-44</v>
      </c>
      <c r="AM1296" s="1" t="str">
        <f>IF(HR_Data[[#This Row],[MonthlyIncome]]&lt;3000,"Low Salary",IF(HR_Data[[#This Row],[MonthlyIncome]]&lt;=7000,"Medium Salary","High Salary"))</f>
        <v>Medium Salary</v>
      </c>
      <c r="AN1296" s="1" t="str">
        <f>IF(HR_Data[[#This Row],[YearsAtCompany]]&lt;2,"0-1 Years",IF(HR_Data[[#This Row],[YearsAtCompany]]&lt;=5,"2-5 Years",IF(HR_Data[[#This Row],[YearsAtCompany]]&lt;=10,"6-10 Years","10+ Years")))</f>
        <v>2-5 Years</v>
      </c>
      <c r="AO1296" s="1" t="str">
        <f>IF(HR_Data[[#This Row],[JobSatisfaction]]=1,"Low",IF(HR_Data[[#This Row],[JobSatisfaction]]=2,"Medium",IF(HR_Data[[#This Row],[JobSatisfaction]]=3,"High","Very High")))</f>
        <v>Medium</v>
      </c>
      <c r="AP1296" s="1" t="str">
        <f>IF(HR_Data[[#This Row],[WorkLifeBalance]]=1,"Bad",IF(HR_Data[[#This Row],[WorkLifeBalance]]=2,"Good",IF(HR_Data[[#This Row],[WorkLifeBalance]]=3,"Better","Best")))</f>
        <v>Bad</v>
      </c>
    </row>
    <row r="1297" spans="1:42" x14ac:dyDescent="0.3">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c r="AJ1297">
        <f>IF(HR_Data[[#This Row],[Attrition]]="Yes",1,0)</f>
        <v>0</v>
      </c>
      <c r="AK1297">
        <f>IF(HR_Data[[#This Row],[Attrition]]="No",1,0)</f>
        <v>1</v>
      </c>
      <c r="AL1297" t="str">
        <f>IF(HR_Data[[#This Row],[Age]]&lt;25,"Under 25",IF(HR_Data[[#This Row],[Age]]&lt;=34,"25-34",IF(HR_Data[[#This Row],[Age]]&lt;=44,"35-44",IF(HR_Data[[#This Row],[Age]]&lt;=54,"45-54","55+"))))</f>
        <v>35-44</v>
      </c>
      <c r="AM1297" s="1" t="str">
        <f>IF(HR_Data[[#This Row],[MonthlyIncome]]&lt;3000,"Low Salary",IF(HR_Data[[#This Row],[MonthlyIncome]]&lt;=7000,"Medium Salary","High Salary"))</f>
        <v>High Salary</v>
      </c>
      <c r="AN1297" s="1" t="str">
        <f>IF(HR_Data[[#This Row],[YearsAtCompany]]&lt;2,"0-1 Years",IF(HR_Data[[#This Row],[YearsAtCompany]]&lt;=5,"2-5 Years",IF(HR_Data[[#This Row],[YearsAtCompany]]&lt;=10,"6-10 Years","10+ Years")))</f>
        <v>10+ Years</v>
      </c>
      <c r="AO1297" s="1" t="str">
        <f>IF(HR_Data[[#This Row],[JobSatisfaction]]=1,"Low",IF(HR_Data[[#This Row],[JobSatisfaction]]=2,"Medium",IF(HR_Data[[#This Row],[JobSatisfaction]]=3,"High","Very High")))</f>
        <v>High</v>
      </c>
      <c r="AP1297" s="1" t="str">
        <f>IF(HR_Data[[#This Row],[WorkLifeBalance]]=1,"Bad",IF(HR_Data[[#This Row],[WorkLifeBalance]]=2,"Good",IF(HR_Data[[#This Row],[WorkLifeBalance]]=3,"Better","Best")))</f>
        <v>Best</v>
      </c>
    </row>
    <row r="1298" spans="1:42" x14ac:dyDescent="0.3">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c r="AJ1298">
        <f>IF(HR_Data[[#This Row],[Attrition]]="Yes",1,0)</f>
        <v>0</v>
      </c>
      <c r="AK1298">
        <f>IF(HR_Data[[#This Row],[Attrition]]="No",1,0)</f>
        <v>1</v>
      </c>
      <c r="AL1298" t="str">
        <f>IF(HR_Data[[#This Row],[Age]]&lt;25,"Under 25",IF(HR_Data[[#This Row],[Age]]&lt;=34,"25-34",IF(HR_Data[[#This Row],[Age]]&lt;=44,"35-44",IF(HR_Data[[#This Row],[Age]]&lt;=54,"45-54","55+"))))</f>
        <v>25-34</v>
      </c>
      <c r="AM1298" s="1" t="str">
        <f>IF(HR_Data[[#This Row],[MonthlyIncome]]&lt;3000,"Low Salary",IF(HR_Data[[#This Row],[MonthlyIncome]]&lt;=7000,"Medium Salary","High Salary"))</f>
        <v>High Salary</v>
      </c>
      <c r="AN1298" s="1" t="str">
        <f>IF(HR_Data[[#This Row],[YearsAtCompany]]&lt;2,"0-1 Years",IF(HR_Data[[#This Row],[YearsAtCompany]]&lt;=5,"2-5 Years",IF(HR_Data[[#This Row],[YearsAtCompany]]&lt;=10,"6-10 Years","10+ Years")))</f>
        <v>6-10 Years</v>
      </c>
      <c r="AO1298" s="1" t="str">
        <f>IF(HR_Data[[#This Row],[JobSatisfaction]]=1,"Low",IF(HR_Data[[#This Row],[JobSatisfaction]]=2,"Medium",IF(HR_Data[[#This Row],[JobSatisfaction]]=3,"High","Very High")))</f>
        <v>High</v>
      </c>
      <c r="AP1298" s="1" t="str">
        <f>IF(HR_Data[[#This Row],[WorkLifeBalance]]=1,"Bad",IF(HR_Data[[#This Row],[WorkLifeBalance]]=2,"Good",IF(HR_Data[[#This Row],[WorkLifeBalance]]=3,"Better","Best")))</f>
        <v>Better</v>
      </c>
    </row>
    <row r="1299" spans="1:42" x14ac:dyDescent="0.3">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c r="AJ1299">
        <f>IF(HR_Data[[#This Row],[Attrition]]="Yes",1,0)</f>
        <v>1</v>
      </c>
      <c r="AK1299">
        <f>IF(HR_Data[[#This Row],[Attrition]]="No",1,0)</f>
        <v>0</v>
      </c>
      <c r="AL1299" t="str">
        <f>IF(HR_Data[[#This Row],[Age]]&lt;25,"Under 25",IF(HR_Data[[#This Row],[Age]]&lt;=34,"25-34",IF(HR_Data[[#This Row],[Age]]&lt;=44,"35-44",IF(HR_Data[[#This Row],[Age]]&lt;=54,"45-54","55+"))))</f>
        <v>25-34</v>
      </c>
      <c r="AM1299" s="1" t="str">
        <f>IF(HR_Data[[#This Row],[MonthlyIncome]]&lt;3000,"Low Salary",IF(HR_Data[[#This Row],[MonthlyIncome]]&lt;=7000,"Medium Salary","High Salary"))</f>
        <v>Low Salary</v>
      </c>
      <c r="AN1299" s="1" t="str">
        <f>IF(HR_Data[[#This Row],[YearsAtCompany]]&lt;2,"0-1 Years",IF(HR_Data[[#This Row],[YearsAtCompany]]&lt;=5,"2-5 Years",IF(HR_Data[[#This Row],[YearsAtCompany]]&lt;=10,"6-10 Years","10+ Years")))</f>
        <v>2-5 Years</v>
      </c>
      <c r="AO1299" s="1" t="str">
        <f>IF(HR_Data[[#This Row],[JobSatisfaction]]=1,"Low",IF(HR_Data[[#This Row],[JobSatisfaction]]=2,"Medium",IF(HR_Data[[#This Row],[JobSatisfaction]]=3,"High","Very High")))</f>
        <v>Medium</v>
      </c>
      <c r="AP1299" s="1" t="str">
        <f>IF(HR_Data[[#This Row],[WorkLifeBalance]]=1,"Bad",IF(HR_Data[[#This Row],[WorkLifeBalance]]=2,"Good",IF(HR_Data[[#This Row],[WorkLifeBalance]]=3,"Better","Best")))</f>
        <v>Better</v>
      </c>
    </row>
    <row r="1300" spans="1:42" x14ac:dyDescent="0.3">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c r="AJ1300">
        <f>IF(HR_Data[[#This Row],[Attrition]]="Yes",1,0)</f>
        <v>1</v>
      </c>
      <c r="AK1300">
        <f>IF(HR_Data[[#This Row],[Attrition]]="No",1,0)</f>
        <v>0</v>
      </c>
      <c r="AL1300" t="str">
        <f>IF(HR_Data[[#This Row],[Age]]&lt;25,"Under 25",IF(HR_Data[[#This Row],[Age]]&lt;=34,"25-34",IF(HR_Data[[#This Row],[Age]]&lt;=44,"35-44",IF(HR_Data[[#This Row],[Age]]&lt;=54,"45-54","55+"))))</f>
        <v>45-54</v>
      </c>
      <c r="AM1300" s="1" t="str">
        <f>IF(HR_Data[[#This Row],[MonthlyIncome]]&lt;3000,"Low Salary",IF(HR_Data[[#This Row],[MonthlyIncome]]&lt;=7000,"Medium Salary","High Salary"))</f>
        <v>High Salary</v>
      </c>
      <c r="AN1300" s="1" t="str">
        <f>IF(HR_Data[[#This Row],[YearsAtCompany]]&lt;2,"0-1 Years",IF(HR_Data[[#This Row],[YearsAtCompany]]&lt;=5,"2-5 Years",IF(HR_Data[[#This Row],[YearsAtCompany]]&lt;=10,"6-10 Years","10+ Years")))</f>
        <v>6-10 Years</v>
      </c>
      <c r="AO1300" s="1" t="str">
        <f>IF(HR_Data[[#This Row],[JobSatisfaction]]=1,"Low",IF(HR_Data[[#This Row],[JobSatisfaction]]=2,"Medium",IF(HR_Data[[#This Row],[JobSatisfaction]]=3,"High","Very High")))</f>
        <v>Medium</v>
      </c>
      <c r="AP1300" s="1" t="str">
        <f>IF(HR_Data[[#This Row],[WorkLifeBalance]]=1,"Bad",IF(HR_Data[[#This Row],[WorkLifeBalance]]=2,"Good",IF(HR_Data[[#This Row],[WorkLifeBalance]]=3,"Better","Best")))</f>
        <v>Best</v>
      </c>
    </row>
    <row r="1301" spans="1:42" x14ac:dyDescent="0.3">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c r="AJ1301">
        <f>IF(HR_Data[[#This Row],[Attrition]]="Yes",1,0)</f>
        <v>0</v>
      </c>
      <c r="AK1301">
        <f>IF(HR_Data[[#This Row],[Attrition]]="No",1,0)</f>
        <v>1</v>
      </c>
      <c r="AL1301" t="str">
        <f>IF(HR_Data[[#This Row],[Age]]&lt;25,"Under 25",IF(HR_Data[[#This Row],[Age]]&lt;=34,"25-34",IF(HR_Data[[#This Row],[Age]]&lt;=44,"35-44",IF(HR_Data[[#This Row],[Age]]&lt;=54,"45-54","55+"))))</f>
        <v>35-44</v>
      </c>
      <c r="AM1301" s="1" t="str">
        <f>IF(HR_Data[[#This Row],[MonthlyIncome]]&lt;3000,"Low Salary",IF(HR_Data[[#This Row],[MonthlyIncome]]&lt;=7000,"Medium Salary","High Salary"))</f>
        <v>Medium Salary</v>
      </c>
      <c r="AN1301" s="1" t="str">
        <f>IF(HR_Data[[#This Row],[YearsAtCompany]]&lt;2,"0-1 Years",IF(HR_Data[[#This Row],[YearsAtCompany]]&lt;=5,"2-5 Years",IF(HR_Data[[#This Row],[YearsAtCompany]]&lt;=10,"6-10 Years","10+ Years")))</f>
        <v>2-5 Years</v>
      </c>
      <c r="AO1301" s="1" t="str">
        <f>IF(HR_Data[[#This Row],[JobSatisfaction]]=1,"Low",IF(HR_Data[[#This Row],[JobSatisfaction]]=2,"Medium",IF(HR_Data[[#This Row],[JobSatisfaction]]=3,"High","Very High")))</f>
        <v>Very High</v>
      </c>
      <c r="AP1301" s="1" t="str">
        <f>IF(HR_Data[[#This Row],[WorkLifeBalance]]=1,"Bad",IF(HR_Data[[#This Row],[WorkLifeBalance]]=2,"Good",IF(HR_Data[[#This Row],[WorkLifeBalance]]=3,"Better","Best")))</f>
        <v>Better</v>
      </c>
    </row>
    <row r="1302" spans="1:42" x14ac:dyDescent="0.3">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c r="AJ1302">
        <f>IF(HR_Data[[#This Row],[Attrition]]="Yes",1,0)</f>
        <v>0</v>
      </c>
      <c r="AK1302">
        <f>IF(HR_Data[[#This Row],[Attrition]]="No",1,0)</f>
        <v>1</v>
      </c>
      <c r="AL1302" t="str">
        <f>IF(HR_Data[[#This Row],[Age]]&lt;25,"Under 25",IF(HR_Data[[#This Row],[Age]]&lt;=34,"25-34",IF(HR_Data[[#This Row],[Age]]&lt;=44,"35-44",IF(HR_Data[[#This Row],[Age]]&lt;=54,"45-54","55+"))))</f>
        <v>25-34</v>
      </c>
      <c r="AM1302" s="1" t="str">
        <f>IF(HR_Data[[#This Row],[MonthlyIncome]]&lt;3000,"Low Salary",IF(HR_Data[[#This Row],[MonthlyIncome]]&lt;=7000,"Medium Salary","High Salary"))</f>
        <v>Medium Salary</v>
      </c>
      <c r="AN1302" s="1" t="str">
        <f>IF(HR_Data[[#This Row],[YearsAtCompany]]&lt;2,"0-1 Years",IF(HR_Data[[#This Row],[YearsAtCompany]]&lt;=5,"2-5 Years",IF(HR_Data[[#This Row],[YearsAtCompany]]&lt;=10,"6-10 Years","10+ Years")))</f>
        <v>6-10 Years</v>
      </c>
      <c r="AO1302" s="1" t="str">
        <f>IF(HR_Data[[#This Row],[JobSatisfaction]]=1,"Low",IF(HR_Data[[#This Row],[JobSatisfaction]]=2,"Medium",IF(HR_Data[[#This Row],[JobSatisfaction]]=3,"High","Very High")))</f>
        <v>High</v>
      </c>
      <c r="AP1302" s="1" t="str">
        <f>IF(HR_Data[[#This Row],[WorkLifeBalance]]=1,"Bad",IF(HR_Data[[#This Row],[WorkLifeBalance]]=2,"Good",IF(HR_Data[[#This Row],[WorkLifeBalance]]=3,"Better","Best")))</f>
        <v>Better</v>
      </c>
    </row>
    <row r="1303" spans="1:42" x14ac:dyDescent="0.3">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c r="AJ1303">
        <f>IF(HR_Data[[#This Row],[Attrition]]="Yes",1,0)</f>
        <v>0</v>
      </c>
      <c r="AK1303">
        <f>IF(HR_Data[[#This Row],[Attrition]]="No",1,0)</f>
        <v>1</v>
      </c>
      <c r="AL1303" t="str">
        <f>IF(HR_Data[[#This Row],[Age]]&lt;25,"Under 25",IF(HR_Data[[#This Row],[Age]]&lt;=34,"25-34",IF(HR_Data[[#This Row],[Age]]&lt;=44,"35-44",IF(HR_Data[[#This Row],[Age]]&lt;=54,"45-54","55+"))))</f>
        <v>55+</v>
      </c>
      <c r="AM1303" s="1" t="str">
        <f>IF(HR_Data[[#This Row],[MonthlyIncome]]&lt;3000,"Low Salary",IF(HR_Data[[#This Row],[MonthlyIncome]]&lt;=7000,"Medium Salary","High Salary"))</f>
        <v>High Salary</v>
      </c>
      <c r="AN1303" s="1" t="str">
        <f>IF(HR_Data[[#This Row],[YearsAtCompany]]&lt;2,"0-1 Years",IF(HR_Data[[#This Row],[YearsAtCompany]]&lt;=5,"2-5 Years",IF(HR_Data[[#This Row],[YearsAtCompany]]&lt;=10,"6-10 Years","10+ Years")))</f>
        <v>10+ Years</v>
      </c>
      <c r="AO1303" s="1" t="str">
        <f>IF(HR_Data[[#This Row],[JobSatisfaction]]=1,"Low",IF(HR_Data[[#This Row],[JobSatisfaction]]=2,"Medium",IF(HR_Data[[#This Row],[JobSatisfaction]]=3,"High","Very High")))</f>
        <v>Medium</v>
      </c>
      <c r="AP1303" s="1" t="str">
        <f>IF(HR_Data[[#This Row],[WorkLifeBalance]]=1,"Bad",IF(HR_Data[[#This Row],[WorkLifeBalance]]=2,"Good",IF(HR_Data[[#This Row],[WorkLifeBalance]]=3,"Better","Best")))</f>
        <v>Good</v>
      </c>
    </row>
    <row r="1304" spans="1:42" x14ac:dyDescent="0.3">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c r="AJ1304">
        <f>IF(HR_Data[[#This Row],[Attrition]]="Yes",1,0)</f>
        <v>0</v>
      </c>
      <c r="AK1304">
        <f>IF(HR_Data[[#This Row],[Attrition]]="No",1,0)</f>
        <v>1</v>
      </c>
      <c r="AL1304" t="str">
        <f>IF(HR_Data[[#This Row],[Age]]&lt;25,"Under 25",IF(HR_Data[[#This Row],[Age]]&lt;=34,"25-34",IF(HR_Data[[#This Row],[Age]]&lt;=44,"35-44",IF(HR_Data[[#This Row],[Age]]&lt;=54,"45-54","55+"))))</f>
        <v>35-44</v>
      </c>
      <c r="AM1304" s="1" t="str">
        <f>IF(HR_Data[[#This Row],[MonthlyIncome]]&lt;3000,"Low Salary",IF(HR_Data[[#This Row],[MonthlyIncome]]&lt;=7000,"Medium Salary","High Salary"))</f>
        <v>Low Salary</v>
      </c>
      <c r="AN1304" s="1" t="str">
        <f>IF(HR_Data[[#This Row],[YearsAtCompany]]&lt;2,"0-1 Years",IF(HR_Data[[#This Row],[YearsAtCompany]]&lt;=5,"2-5 Years",IF(HR_Data[[#This Row],[YearsAtCompany]]&lt;=10,"6-10 Years","10+ Years")))</f>
        <v>2-5 Years</v>
      </c>
      <c r="AO1304" s="1" t="str">
        <f>IF(HR_Data[[#This Row],[JobSatisfaction]]=1,"Low",IF(HR_Data[[#This Row],[JobSatisfaction]]=2,"Medium",IF(HR_Data[[#This Row],[JobSatisfaction]]=3,"High","Very High")))</f>
        <v>High</v>
      </c>
      <c r="AP1304" s="1" t="str">
        <f>IF(HR_Data[[#This Row],[WorkLifeBalance]]=1,"Bad",IF(HR_Data[[#This Row],[WorkLifeBalance]]=2,"Good",IF(HR_Data[[#This Row],[WorkLifeBalance]]=3,"Better","Best")))</f>
        <v>Best</v>
      </c>
    </row>
    <row r="1305" spans="1:42" x14ac:dyDescent="0.3">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c r="AJ1305">
        <f>IF(HR_Data[[#This Row],[Attrition]]="Yes",1,0)</f>
        <v>0</v>
      </c>
      <c r="AK1305">
        <f>IF(HR_Data[[#This Row],[Attrition]]="No",1,0)</f>
        <v>1</v>
      </c>
      <c r="AL1305" t="str">
        <f>IF(HR_Data[[#This Row],[Age]]&lt;25,"Under 25",IF(HR_Data[[#This Row],[Age]]&lt;=34,"25-34",IF(HR_Data[[#This Row],[Age]]&lt;=44,"35-44",IF(HR_Data[[#This Row],[Age]]&lt;=54,"45-54","55+"))))</f>
        <v>45-54</v>
      </c>
      <c r="AM1305" s="1" t="str">
        <f>IF(HR_Data[[#This Row],[MonthlyIncome]]&lt;3000,"Low Salary",IF(HR_Data[[#This Row],[MonthlyIncome]]&lt;=7000,"Medium Salary","High Salary"))</f>
        <v>High Salary</v>
      </c>
      <c r="AN1305" s="1" t="str">
        <f>IF(HR_Data[[#This Row],[YearsAtCompany]]&lt;2,"0-1 Years",IF(HR_Data[[#This Row],[YearsAtCompany]]&lt;=5,"2-5 Years",IF(HR_Data[[#This Row],[YearsAtCompany]]&lt;=10,"6-10 Years","10+ Years")))</f>
        <v>10+ Years</v>
      </c>
      <c r="AO1305" s="1" t="str">
        <f>IF(HR_Data[[#This Row],[JobSatisfaction]]=1,"Low",IF(HR_Data[[#This Row],[JobSatisfaction]]=2,"Medium",IF(HR_Data[[#This Row],[JobSatisfaction]]=3,"High","Very High")))</f>
        <v>Medium</v>
      </c>
      <c r="AP1305" s="1" t="str">
        <f>IF(HR_Data[[#This Row],[WorkLifeBalance]]=1,"Bad",IF(HR_Data[[#This Row],[WorkLifeBalance]]=2,"Good",IF(HR_Data[[#This Row],[WorkLifeBalance]]=3,"Better","Best")))</f>
        <v>Better</v>
      </c>
    </row>
    <row r="1306" spans="1:42" x14ac:dyDescent="0.3">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c r="AJ1306">
        <f>IF(HR_Data[[#This Row],[Attrition]]="Yes",1,0)</f>
        <v>0</v>
      </c>
      <c r="AK1306">
        <f>IF(HR_Data[[#This Row],[Attrition]]="No",1,0)</f>
        <v>1</v>
      </c>
      <c r="AL1306" t="str">
        <f>IF(HR_Data[[#This Row],[Age]]&lt;25,"Under 25",IF(HR_Data[[#This Row],[Age]]&lt;=34,"25-34",IF(HR_Data[[#This Row],[Age]]&lt;=44,"35-44",IF(HR_Data[[#This Row],[Age]]&lt;=54,"45-54","55+"))))</f>
        <v>35-44</v>
      </c>
      <c r="AM1306" s="1" t="str">
        <f>IF(HR_Data[[#This Row],[MonthlyIncome]]&lt;3000,"Low Salary",IF(HR_Data[[#This Row],[MonthlyIncome]]&lt;=7000,"Medium Salary","High Salary"))</f>
        <v>Medium Salary</v>
      </c>
      <c r="AN1306" s="1" t="str">
        <f>IF(HR_Data[[#This Row],[YearsAtCompany]]&lt;2,"0-1 Years",IF(HR_Data[[#This Row],[YearsAtCompany]]&lt;=5,"2-5 Years",IF(HR_Data[[#This Row],[YearsAtCompany]]&lt;=10,"6-10 Years","10+ Years")))</f>
        <v>6-10 Years</v>
      </c>
      <c r="AO1306" s="1" t="str">
        <f>IF(HR_Data[[#This Row],[JobSatisfaction]]=1,"Low",IF(HR_Data[[#This Row],[JobSatisfaction]]=2,"Medium",IF(HR_Data[[#This Row],[JobSatisfaction]]=3,"High","Very High")))</f>
        <v>Low</v>
      </c>
      <c r="AP1306" s="1" t="str">
        <f>IF(HR_Data[[#This Row],[WorkLifeBalance]]=1,"Bad",IF(HR_Data[[#This Row],[WorkLifeBalance]]=2,"Good",IF(HR_Data[[#This Row],[WorkLifeBalance]]=3,"Better","Best")))</f>
        <v>Better</v>
      </c>
    </row>
    <row r="1307" spans="1:42" x14ac:dyDescent="0.3">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c r="AJ1307">
        <f>IF(HR_Data[[#This Row],[Attrition]]="Yes",1,0)</f>
        <v>0</v>
      </c>
      <c r="AK1307">
        <f>IF(HR_Data[[#This Row],[Attrition]]="No",1,0)</f>
        <v>1</v>
      </c>
      <c r="AL1307" t="str">
        <f>IF(HR_Data[[#This Row],[Age]]&lt;25,"Under 25",IF(HR_Data[[#This Row],[Age]]&lt;=34,"25-34",IF(HR_Data[[#This Row],[Age]]&lt;=44,"35-44",IF(HR_Data[[#This Row],[Age]]&lt;=54,"45-54","55+"))))</f>
        <v>45-54</v>
      </c>
      <c r="AM1307" s="1" t="str">
        <f>IF(HR_Data[[#This Row],[MonthlyIncome]]&lt;3000,"Low Salary",IF(HR_Data[[#This Row],[MonthlyIncome]]&lt;=7000,"Medium Salary","High Salary"))</f>
        <v>Medium Salary</v>
      </c>
      <c r="AN1307" s="1" t="str">
        <f>IF(HR_Data[[#This Row],[YearsAtCompany]]&lt;2,"0-1 Years",IF(HR_Data[[#This Row],[YearsAtCompany]]&lt;=5,"2-5 Years",IF(HR_Data[[#This Row],[YearsAtCompany]]&lt;=10,"6-10 Years","10+ Years")))</f>
        <v>6-10 Years</v>
      </c>
      <c r="AO1307" s="1" t="str">
        <f>IF(HR_Data[[#This Row],[JobSatisfaction]]=1,"Low",IF(HR_Data[[#This Row],[JobSatisfaction]]=2,"Medium",IF(HR_Data[[#This Row],[JobSatisfaction]]=3,"High","Very High")))</f>
        <v>Very High</v>
      </c>
      <c r="AP1307" s="1" t="str">
        <f>IF(HR_Data[[#This Row],[WorkLifeBalance]]=1,"Bad",IF(HR_Data[[#This Row],[WorkLifeBalance]]=2,"Good",IF(HR_Data[[#This Row],[WorkLifeBalance]]=3,"Better","Best")))</f>
        <v>Good</v>
      </c>
    </row>
    <row r="1308" spans="1:42" x14ac:dyDescent="0.3">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c r="AJ1308">
        <f>IF(HR_Data[[#This Row],[Attrition]]="Yes",1,0)</f>
        <v>0</v>
      </c>
      <c r="AK1308">
        <f>IF(HR_Data[[#This Row],[Attrition]]="No",1,0)</f>
        <v>1</v>
      </c>
      <c r="AL1308" t="str">
        <f>IF(HR_Data[[#This Row],[Age]]&lt;25,"Under 25",IF(HR_Data[[#This Row],[Age]]&lt;=34,"25-34",IF(HR_Data[[#This Row],[Age]]&lt;=44,"35-44",IF(HR_Data[[#This Row],[Age]]&lt;=54,"45-54","55+"))))</f>
        <v>25-34</v>
      </c>
      <c r="AM1308" s="1" t="str">
        <f>IF(HR_Data[[#This Row],[MonthlyIncome]]&lt;3000,"Low Salary",IF(HR_Data[[#This Row],[MonthlyIncome]]&lt;=7000,"Medium Salary","High Salary"))</f>
        <v>High Salary</v>
      </c>
      <c r="AN1308" s="1" t="str">
        <f>IF(HR_Data[[#This Row],[YearsAtCompany]]&lt;2,"0-1 Years",IF(HR_Data[[#This Row],[YearsAtCompany]]&lt;=5,"2-5 Years",IF(HR_Data[[#This Row],[YearsAtCompany]]&lt;=10,"6-10 Years","10+ Years")))</f>
        <v>2-5 Years</v>
      </c>
      <c r="AO1308" s="1" t="str">
        <f>IF(HR_Data[[#This Row],[JobSatisfaction]]=1,"Low",IF(HR_Data[[#This Row],[JobSatisfaction]]=2,"Medium",IF(HR_Data[[#This Row],[JobSatisfaction]]=3,"High","Very High")))</f>
        <v>Low</v>
      </c>
      <c r="AP1308" s="1" t="str">
        <f>IF(HR_Data[[#This Row],[WorkLifeBalance]]=1,"Bad",IF(HR_Data[[#This Row],[WorkLifeBalance]]=2,"Good",IF(HR_Data[[#This Row],[WorkLifeBalance]]=3,"Better","Best")))</f>
        <v>Better</v>
      </c>
    </row>
    <row r="1309" spans="1:42" x14ac:dyDescent="0.3">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c r="AJ1309">
        <f>IF(HR_Data[[#This Row],[Attrition]]="Yes",1,0)</f>
        <v>0</v>
      </c>
      <c r="AK1309">
        <f>IF(HR_Data[[#This Row],[Attrition]]="No",1,0)</f>
        <v>1</v>
      </c>
      <c r="AL1309" t="str">
        <f>IF(HR_Data[[#This Row],[Age]]&lt;25,"Under 25",IF(HR_Data[[#This Row],[Age]]&lt;=34,"25-34",IF(HR_Data[[#This Row],[Age]]&lt;=44,"35-44",IF(HR_Data[[#This Row],[Age]]&lt;=54,"45-54","55+"))))</f>
        <v>25-34</v>
      </c>
      <c r="AM1309" s="1" t="str">
        <f>IF(HR_Data[[#This Row],[MonthlyIncome]]&lt;3000,"Low Salary",IF(HR_Data[[#This Row],[MonthlyIncome]]&lt;=7000,"Medium Salary","High Salary"))</f>
        <v>Medium Salary</v>
      </c>
      <c r="AN1309" s="1" t="str">
        <f>IF(HR_Data[[#This Row],[YearsAtCompany]]&lt;2,"0-1 Years",IF(HR_Data[[#This Row],[YearsAtCompany]]&lt;=5,"2-5 Years",IF(HR_Data[[#This Row],[YearsAtCompany]]&lt;=10,"6-10 Years","10+ Years")))</f>
        <v>2-5 Years</v>
      </c>
      <c r="AO1309" s="1" t="str">
        <f>IF(HR_Data[[#This Row],[JobSatisfaction]]=1,"Low",IF(HR_Data[[#This Row],[JobSatisfaction]]=2,"Medium",IF(HR_Data[[#This Row],[JobSatisfaction]]=3,"High","Very High")))</f>
        <v>Low</v>
      </c>
      <c r="AP1309" s="1" t="str">
        <f>IF(HR_Data[[#This Row],[WorkLifeBalance]]=1,"Bad",IF(HR_Data[[#This Row],[WorkLifeBalance]]=2,"Good",IF(HR_Data[[#This Row],[WorkLifeBalance]]=3,"Better","Best")))</f>
        <v>Better</v>
      </c>
    </row>
    <row r="1310" spans="1:42" x14ac:dyDescent="0.3">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c r="AJ1310">
        <f>IF(HR_Data[[#This Row],[Attrition]]="Yes",1,0)</f>
        <v>0</v>
      </c>
      <c r="AK1310">
        <f>IF(HR_Data[[#This Row],[Attrition]]="No",1,0)</f>
        <v>1</v>
      </c>
      <c r="AL1310" t="str">
        <f>IF(HR_Data[[#This Row],[Age]]&lt;25,"Under 25",IF(HR_Data[[#This Row],[Age]]&lt;=34,"25-34",IF(HR_Data[[#This Row],[Age]]&lt;=44,"35-44",IF(HR_Data[[#This Row],[Age]]&lt;=54,"45-54","55+"))))</f>
        <v>35-44</v>
      </c>
      <c r="AM1310" s="1" t="str">
        <f>IF(HR_Data[[#This Row],[MonthlyIncome]]&lt;3000,"Low Salary",IF(HR_Data[[#This Row],[MonthlyIncome]]&lt;=7000,"Medium Salary","High Salary"))</f>
        <v>Medium Salary</v>
      </c>
      <c r="AN1310" s="1" t="str">
        <f>IF(HR_Data[[#This Row],[YearsAtCompany]]&lt;2,"0-1 Years",IF(HR_Data[[#This Row],[YearsAtCompany]]&lt;=5,"2-5 Years",IF(HR_Data[[#This Row],[YearsAtCompany]]&lt;=10,"6-10 Years","10+ Years")))</f>
        <v>2-5 Years</v>
      </c>
      <c r="AO1310" s="1" t="str">
        <f>IF(HR_Data[[#This Row],[JobSatisfaction]]=1,"Low",IF(HR_Data[[#This Row],[JobSatisfaction]]=2,"Medium",IF(HR_Data[[#This Row],[JobSatisfaction]]=3,"High","Very High")))</f>
        <v>Very High</v>
      </c>
      <c r="AP1310" s="1" t="str">
        <f>IF(HR_Data[[#This Row],[WorkLifeBalance]]=1,"Bad",IF(HR_Data[[#This Row],[WorkLifeBalance]]=2,"Good",IF(HR_Data[[#This Row],[WorkLifeBalance]]=3,"Better","Best")))</f>
        <v>Good</v>
      </c>
    </row>
    <row r="1311" spans="1:42" x14ac:dyDescent="0.3">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c r="AJ1311">
        <f>IF(HR_Data[[#This Row],[Attrition]]="Yes",1,0)</f>
        <v>0</v>
      </c>
      <c r="AK1311">
        <f>IF(HR_Data[[#This Row],[Attrition]]="No",1,0)</f>
        <v>1</v>
      </c>
      <c r="AL1311" t="str">
        <f>IF(HR_Data[[#This Row],[Age]]&lt;25,"Under 25",IF(HR_Data[[#This Row],[Age]]&lt;=34,"25-34",IF(HR_Data[[#This Row],[Age]]&lt;=44,"35-44",IF(HR_Data[[#This Row],[Age]]&lt;=54,"45-54","55+"))))</f>
        <v>25-34</v>
      </c>
      <c r="AM1311" s="1" t="str">
        <f>IF(HR_Data[[#This Row],[MonthlyIncome]]&lt;3000,"Low Salary",IF(HR_Data[[#This Row],[MonthlyIncome]]&lt;=7000,"Medium Salary","High Salary"))</f>
        <v>Medium Salary</v>
      </c>
      <c r="AN1311" s="1" t="str">
        <f>IF(HR_Data[[#This Row],[YearsAtCompany]]&lt;2,"0-1 Years",IF(HR_Data[[#This Row],[YearsAtCompany]]&lt;=5,"2-5 Years",IF(HR_Data[[#This Row],[YearsAtCompany]]&lt;=10,"6-10 Years","10+ Years")))</f>
        <v>2-5 Years</v>
      </c>
      <c r="AO1311" s="1" t="str">
        <f>IF(HR_Data[[#This Row],[JobSatisfaction]]=1,"Low",IF(HR_Data[[#This Row],[JobSatisfaction]]=2,"Medium",IF(HR_Data[[#This Row],[JobSatisfaction]]=3,"High","Very High")))</f>
        <v>Very High</v>
      </c>
      <c r="AP1311" s="1" t="str">
        <f>IF(HR_Data[[#This Row],[WorkLifeBalance]]=1,"Bad",IF(HR_Data[[#This Row],[WorkLifeBalance]]=2,"Good",IF(HR_Data[[#This Row],[WorkLifeBalance]]=3,"Better","Best")))</f>
        <v>Better</v>
      </c>
    </row>
    <row r="1312" spans="1:42" x14ac:dyDescent="0.3">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c r="AJ1312">
        <f>IF(HR_Data[[#This Row],[Attrition]]="Yes",1,0)</f>
        <v>0</v>
      </c>
      <c r="AK1312">
        <f>IF(HR_Data[[#This Row],[Attrition]]="No",1,0)</f>
        <v>1</v>
      </c>
      <c r="AL1312" t="str">
        <f>IF(HR_Data[[#This Row],[Age]]&lt;25,"Under 25",IF(HR_Data[[#This Row],[Age]]&lt;=34,"25-34",IF(HR_Data[[#This Row],[Age]]&lt;=44,"35-44",IF(HR_Data[[#This Row],[Age]]&lt;=54,"45-54","55+"))))</f>
        <v>55+</v>
      </c>
      <c r="AM1312" s="1" t="str">
        <f>IF(HR_Data[[#This Row],[MonthlyIncome]]&lt;3000,"Low Salary",IF(HR_Data[[#This Row],[MonthlyIncome]]&lt;=7000,"Medium Salary","High Salary"))</f>
        <v>High Salary</v>
      </c>
      <c r="AN1312" s="1" t="str">
        <f>IF(HR_Data[[#This Row],[YearsAtCompany]]&lt;2,"0-1 Years",IF(HR_Data[[#This Row],[YearsAtCompany]]&lt;=5,"2-5 Years",IF(HR_Data[[#This Row],[YearsAtCompany]]&lt;=10,"6-10 Years","10+ Years")))</f>
        <v>2-5 Years</v>
      </c>
      <c r="AO1312" s="1" t="str">
        <f>IF(HR_Data[[#This Row],[JobSatisfaction]]=1,"Low",IF(HR_Data[[#This Row],[JobSatisfaction]]=2,"Medium",IF(HR_Data[[#This Row],[JobSatisfaction]]=3,"High","Very High")))</f>
        <v>High</v>
      </c>
      <c r="AP1312" s="1" t="str">
        <f>IF(HR_Data[[#This Row],[WorkLifeBalance]]=1,"Bad",IF(HR_Data[[#This Row],[WorkLifeBalance]]=2,"Good",IF(HR_Data[[#This Row],[WorkLifeBalance]]=3,"Better","Best")))</f>
        <v>Better</v>
      </c>
    </row>
    <row r="1313" spans="1:42" x14ac:dyDescent="0.3">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c r="AJ1313">
        <f>IF(HR_Data[[#This Row],[Attrition]]="Yes",1,0)</f>
        <v>0</v>
      </c>
      <c r="AK1313">
        <f>IF(HR_Data[[#This Row],[Attrition]]="No",1,0)</f>
        <v>1</v>
      </c>
      <c r="AL1313" t="str">
        <f>IF(HR_Data[[#This Row],[Age]]&lt;25,"Under 25",IF(HR_Data[[#This Row],[Age]]&lt;=34,"25-34",IF(HR_Data[[#This Row],[Age]]&lt;=44,"35-44",IF(HR_Data[[#This Row],[Age]]&lt;=54,"45-54","55+"))))</f>
        <v>Under 25</v>
      </c>
      <c r="AM1313" s="1" t="str">
        <f>IF(HR_Data[[#This Row],[MonthlyIncome]]&lt;3000,"Low Salary",IF(HR_Data[[#This Row],[MonthlyIncome]]&lt;=7000,"Medium Salary","High Salary"))</f>
        <v>Low Salary</v>
      </c>
      <c r="AN1313" s="1" t="str">
        <f>IF(HR_Data[[#This Row],[YearsAtCompany]]&lt;2,"0-1 Years",IF(HR_Data[[#This Row],[YearsAtCompany]]&lt;=5,"2-5 Years",IF(HR_Data[[#This Row],[YearsAtCompany]]&lt;=10,"6-10 Years","10+ Years")))</f>
        <v>0-1 Years</v>
      </c>
      <c r="AO1313" s="1" t="str">
        <f>IF(HR_Data[[#This Row],[JobSatisfaction]]=1,"Low",IF(HR_Data[[#This Row],[JobSatisfaction]]=2,"Medium",IF(HR_Data[[#This Row],[JobSatisfaction]]=3,"High","Very High")))</f>
        <v>High</v>
      </c>
      <c r="AP1313" s="1" t="str">
        <f>IF(HR_Data[[#This Row],[WorkLifeBalance]]=1,"Bad",IF(HR_Data[[#This Row],[WorkLifeBalance]]=2,"Good",IF(HR_Data[[#This Row],[WorkLifeBalance]]=3,"Better","Best")))</f>
        <v>Bad</v>
      </c>
    </row>
    <row r="1314" spans="1:42" x14ac:dyDescent="0.3">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c r="AJ1314">
        <f>IF(HR_Data[[#This Row],[Attrition]]="Yes",1,0)</f>
        <v>1</v>
      </c>
      <c r="AK1314">
        <f>IF(HR_Data[[#This Row],[Attrition]]="No",1,0)</f>
        <v>0</v>
      </c>
      <c r="AL1314" t="str">
        <f>IF(HR_Data[[#This Row],[Age]]&lt;25,"Under 25",IF(HR_Data[[#This Row],[Age]]&lt;=34,"25-34",IF(HR_Data[[#This Row],[Age]]&lt;=44,"35-44",IF(HR_Data[[#This Row],[Age]]&lt;=54,"45-54","55+"))))</f>
        <v>25-34</v>
      </c>
      <c r="AM1314" s="1" t="str">
        <f>IF(HR_Data[[#This Row],[MonthlyIncome]]&lt;3000,"Low Salary",IF(HR_Data[[#This Row],[MonthlyIncome]]&lt;=7000,"Medium Salary","High Salary"))</f>
        <v>Low Salary</v>
      </c>
      <c r="AN1314" s="1" t="str">
        <f>IF(HR_Data[[#This Row],[YearsAtCompany]]&lt;2,"0-1 Years",IF(HR_Data[[#This Row],[YearsAtCompany]]&lt;=5,"2-5 Years",IF(HR_Data[[#This Row],[YearsAtCompany]]&lt;=10,"6-10 Years","10+ Years")))</f>
        <v>0-1 Years</v>
      </c>
      <c r="AO1314" s="1" t="str">
        <f>IF(HR_Data[[#This Row],[JobSatisfaction]]=1,"Low",IF(HR_Data[[#This Row],[JobSatisfaction]]=2,"Medium",IF(HR_Data[[#This Row],[JobSatisfaction]]=3,"High","Very High")))</f>
        <v>Low</v>
      </c>
      <c r="AP1314" s="1" t="str">
        <f>IF(HR_Data[[#This Row],[WorkLifeBalance]]=1,"Bad",IF(HR_Data[[#This Row],[WorkLifeBalance]]=2,"Good",IF(HR_Data[[#This Row],[WorkLifeBalance]]=3,"Better","Best")))</f>
        <v>Better</v>
      </c>
    </row>
    <row r="1315" spans="1:42" x14ac:dyDescent="0.3">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c r="AJ1315">
        <f>IF(HR_Data[[#This Row],[Attrition]]="Yes",1,0)</f>
        <v>1</v>
      </c>
      <c r="AK1315">
        <f>IF(HR_Data[[#This Row],[Attrition]]="No",1,0)</f>
        <v>0</v>
      </c>
      <c r="AL1315" t="str">
        <f>IF(HR_Data[[#This Row],[Age]]&lt;25,"Under 25",IF(HR_Data[[#This Row],[Age]]&lt;=34,"25-34",IF(HR_Data[[#This Row],[Age]]&lt;=44,"35-44",IF(HR_Data[[#This Row],[Age]]&lt;=54,"45-54","55+"))))</f>
        <v>25-34</v>
      </c>
      <c r="AM1315" s="1" t="str">
        <f>IF(HR_Data[[#This Row],[MonthlyIncome]]&lt;3000,"Low Salary",IF(HR_Data[[#This Row],[MonthlyIncome]]&lt;=7000,"Medium Salary","High Salary"))</f>
        <v>Low Salary</v>
      </c>
      <c r="AN1315" s="1" t="str">
        <f>IF(HR_Data[[#This Row],[YearsAtCompany]]&lt;2,"0-1 Years",IF(HR_Data[[#This Row],[YearsAtCompany]]&lt;=5,"2-5 Years",IF(HR_Data[[#This Row],[YearsAtCompany]]&lt;=10,"6-10 Years","10+ Years")))</f>
        <v>2-5 Years</v>
      </c>
      <c r="AO1315" s="1" t="str">
        <f>IF(HR_Data[[#This Row],[JobSatisfaction]]=1,"Low",IF(HR_Data[[#This Row],[JobSatisfaction]]=2,"Medium",IF(HR_Data[[#This Row],[JobSatisfaction]]=3,"High","Very High")))</f>
        <v>Low</v>
      </c>
      <c r="AP1315" s="1" t="str">
        <f>IF(HR_Data[[#This Row],[WorkLifeBalance]]=1,"Bad",IF(HR_Data[[#This Row],[WorkLifeBalance]]=2,"Good",IF(HR_Data[[#This Row],[WorkLifeBalance]]=3,"Better","Best")))</f>
        <v>Better</v>
      </c>
    </row>
    <row r="1316" spans="1:42" x14ac:dyDescent="0.3">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c r="AJ1316">
        <f>IF(HR_Data[[#This Row],[Attrition]]="Yes",1,0)</f>
        <v>0</v>
      </c>
      <c r="AK1316">
        <f>IF(HR_Data[[#This Row],[Attrition]]="No",1,0)</f>
        <v>1</v>
      </c>
      <c r="AL1316" t="str">
        <f>IF(HR_Data[[#This Row],[Age]]&lt;25,"Under 25",IF(HR_Data[[#This Row],[Age]]&lt;=34,"25-34",IF(HR_Data[[#This Row],[Age]]&lt;=44,"35-44",IF(HR_Data[[#This Row],[Age]]&lt;=54,"45-54","55+"))))</f>
        <v>45-54</v>
      </c>
      <c r="AM1316" s="1" t="str">
        <f>IF(HR_Data[[#This Row],[MonthlyIncome]]&lt;3000,"Low Salary",IF(HR_Data[[#This Row],[MonthlyIncome]]&lt;=7000,"Medium Salary","High Salary"))</f>
        <v>Medium Salary</v>
      </c>
      <c r="AN1316" s="1" t="str">
        <f>IF(HR_Data[[#This Row],[YearsAtCompany]]&lt;2,"0-1 Years",IF(HR_Data[[#This Row],[YearsAtCompany]]&lt;=5,"2-5 Years",IF(HR_Data[[#This Row],[YearsAtCompany]]&lt;=10,"6-10 Years","10+ Years")))</f>
        <v>6-10 Years</v>
      </c>
      <c r="AO1316" s="1" t="str">
        <f>IF(HR_Data[[#This Row],[JobSatisfaction]]=1,"Low",IF(HR_Data[[#This Row],[JobSatisfaction]]=2,"Medium",IF(HR_Data[[#This Row],[JobSatisfaction]]=3,"High","Very High")))</f>
        <v>High</v>
      </c>
      <c r="AP1316" s="1" t="str">
        <f>IF(HR_Data[[#This Row],[WorkLifeBalance]]=1,"Bad",IF(HR_Data[[#This Row],[WorkLifeBalance]]=2,"Good",IF(HR_Data[[#This Row],[WorkLifeBalance]]=3,"Better","Best")))</f>
        <v>Best</v>
      </c>
    </row>
    <row r="1317" spans="1:42" x14ac:dyDescent="0.3">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c r="AJ1317">
        <f>IF(HR_Data[[#This Row],[Attrition]]="Yes",1,0)</f>
        <v>0</v>
      </c>
      <c r="AK1317">
        <f>IF(HR_Data[[#This Row],[Attrition]]="No",1,0)</f>
        <v>1</v>
      </c>
      <c r="AL1317" t="str">
        <f>IF(HR_Data[[#This Row],[Age]]&lt;25,"Under 25",IF(HR_Data[[#This Row],[Age]]&lt;=34,"25-34",IF(HR_Data[[#This Row],[Age]]&lt;=44,"35-44",IF(HR_Data[[#This Row],[Age]]&lt;=54,"45-54","55+"))))</f>
        <v>35-44</v>
      </c>
      <c r="AM1317" s="1" t="str">
        <f>IF(HR_Data[[#This Row],[MonthlyIncome]]&lt;3000,"Low Salary",IF(HR_Data[[#This Row],[MonthlyIncome]]&lt;=7000,"Medium Salary","High Salary"))</f>
        <v>Medium Salary</v>
      </c>
      <c r="AN1317" s="1" t="str">
        <f>IF(HR_Data[[#This Row],[YearsAtCompany]]&lt;2,"0-1 Years",IF(HR_Data[[#This Row],[YearsAtCompany]]&lt;=5,"2-5 Years",IF(HR_Data[[#This Row],[YearsAtCompany]]&lt;=10,"6-10 Years","10+ Years")))</f>
        <v>0-1 Years</v>
      </c>
      <c r="AO1317" s="1" t="str">
        <f>IF(HR_Data[[#This Row],[JobSatisfaction]]=1,"Low",IF(HR_Data[[#This Row],[JobSatisfaction]]=2,"Medium",IF(HR_Data[[#This Row],[JobSatisfaction]]=3,"High","Very High")))</f>
        <v>Medium</v>
      </c>
      <c r="AP1317" s="1" t="str">
        <f>IF(HR_Data[[#This Row],[WorkLifeBalance]]=1,"Bad",IF(HR_Data[[#This Row],[WorkLifeBalance]]=2,"Good",IF(HR_Data[[#This Row],[WorkLifeBalance]]=3,"Better","Best")))</f>
        <v>Better</v>
      </c>
    </row>
    <row r="1318" spans="1:42" x14ac:dyDescent="0.3">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c r="AJ1318">
        <f>IF(HR_Data[[#This Row],[Attrition]]="Yes",1,0)</f>
        <v>0</v>
      </c>
      <c r="AK1318">
        <f>IF(HR_Data[[#This Row],[Attrition]]="No",1,0)</f>
        <v>1</v>
      </c>
      <c r="AL1318" t="str">
        <f>IF(HR_Data[[#This Row],[Age]]&lt;25,"Under 25",IF(HR_Data[[#This Row],[Age]]&lt;=34,"25-34",IF(HR_Data[[#This Row],[Age]]&lt;=44,"35-44",IF(HR_Data[[#This Row],[Age]]&lt;=54,"45-54","55+"))))</f>
        <v>35-44</v>
      </c>
      <c r="AM1318" s="1" t="str">
        <f>IF(HR_Data[[#This Row],[MonthlyIncome]]&lt;3000,"Low Salary",IF(HR_Data[[#This Row],[MonthlyIncome]]&lt;=7000,"Medium Salary","High Salary"))</f>
        <v>Medium Salary</v>
      </c>
      <c r="AN1318" s="1" t="str">
        <f>IF(HR_Data[[#This Row],[YearsAtCompany]]&lt;2,"0-1 Years",IF(HR_Data[[#This Row],[YearsAtCompany]]&lt;=5,"2-5 Years",IF(HR_Data[[#This Row],[YearsAtCompany]]&lt;=10,"6-10 Years","10+ Years")))</f>
        <v>6-10 Years</v>
      </c>
      <c r="AO1318" s="1" t="str">
        <f>IF(HR_Data[[#This Row],[JobSatisfaction]]=1,"Low",IF(HR_Data[[#This Row],[JobSatisfaction]]=2,"Medium",IF(HR_Data[[#This Row],[JobSatisfaction]]=3,"High","Very High")))</f>
        <v>Very High</v>
      </c>
      <c r="AP1318" s="1" t="str">
        <f>IF(HR_Data[[#This Row],[WorkLifeBalance]]=1,"Bad",IF(HR_Data[[#This Row],[WorkLifeBalance]]=2,"Good",IF(HR_Data[[#This Row],[WorkLifeBalance]]=3,"Better","Best")))</f>
        <v>Better</v>
      </c>
    </row>
    <row r="1319" spans="1:42" x14ac:dyDescent="0.3">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c r="AJ1319">
        <f>IF(HR_Data[[#This Row],[Attrition]]="Yes",1,0)</f>
        <v>0</v>
      </c>
      <c r="AK1319">
        <f>IF(HR_Data[[#This Row],[Attrition]]="No",1,0)</f>
        <v>1</v>
      </c>
      <c r="AL1319" t="str">
        <f>IF(HR_Data[[#This Row],[Age]]&lt;25,"Under 25",IF(HR_Data[[#This Row],[Age]]&lt;=34,"25-34",IF(HR_Data[[#This Row],[Age]]&lt;=44,"35-44",IF(HR_Data[[#This Row],[Age]]&lt;=54,"45-54","55+"))))</f>
        <v>25-34</v>
      </c>
      <c r="AM1319" s="1" t="str">
        <f>IF(HR_Data[[#This Row],[MonthlyIncome]]&lt;3000,"Low Salary",IF(HR_Data[[#This Row],[MonthlyIncome]]&lt;=7000,"Medium Salary","High Salary"))</f>
        <v>Low Salary</v>
      </c>
      <c r="AN1319" s="1" t="str">
        <f>IF(HR_Data[[#This Row],[YearsAtCompany]]&lt;2,"0-1 Years",IF(HR_Data[[#This Row],[YearsAtCompany]]&lt;=5,"2-5 Years",IF(HR_Data[[#This Row],[YearsAtCompany]]&lt;=10,"6-10 Years","10+ Years")))</f>
        <v>2-5 Years</v>
      </c>
      <c r="AO1319" s="1" t="str">
        <f>IF(HR_Data[[#This Row],[JobSatisfaction]]=1,"Low",IF(HR_Data[[#This Row],[JobSatisfaction]]=2,"Medium",IF(HR_Data[[#This Row],[JobSatisfaction]]=3,"High","Very High")))</f>
        <v>Very High</v>
      </c>
      <c r="AP1319" s="1" t="str">
        <f>IF(HR_Data[[#This Row],[WorkLifeBalance]]=1,"Bad",IF(HR_Data[[#This Row],[WorkLifeBalance]]=2,"Good",IF(HR_Data[[#This Row],[WorkLifeBalance]]=3,"Better","Best")))</f>
        <v>Good</v>
      </c>
    </row>
    <row r="1320" spans="1:42" x14ac:dyDescent="0.3">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c r="AJ1320">
        <f>IF(HR_Data[[#This Row],[Attrition]]="Yes",1,0)</f>
        <v>0</v>
      </c>
      <c r="AK1320">
        <f>IF(HR_Data[[#This Row],[Attrition]]="No",1,0)</f>
        <v>1</v>
      </c>
      <c r="AL1320" t="str">
        <f>IF(HR_Data[[#This Row],[Age]]&lt;25,"Under 25",IF(HR_Data[[#This Row],[Age]]&lt;=34,"25-34",IF(HR_Data[[#This Row],[Age]]&lt;=44,"35-44",IF(HR_Data[[#This Row],[Age]]&lt;=54,"45-54","55+"))))</f>
        <v>25-34</v>
      </c>
      <c r="AM1320" s="1" t="str">
        <f>IF(HR_Data[[#This Row],[MonthlyIncome]]&lt;3000,"Low Salary",IF(HR_Data[[#This Row],[MonthlyIncome]]&lt;=7000,"Medium Salary","High Salary"))</f>
        <v>Medium Salary</v>
      </c>
      <c r="AN1320" s="1" t="str">
        <f>IF(HR_Data[[#This Row],[YearsAtCompany]]&lt;2,"0-1 Years",IF(HR_Data[[#This Row],[YearsAtCompany]]&lt;=5,"2-5 Years",IF(HR_Data[[#This Row],[YearsAtCompany]]&lt;=10,"6-10 Years","10+ Years")))</f>
        <v>10+ Years</v>
      </c>
      <c r="AO1320" s="1" t="str">
        <f>IF(HR_Data[[#This Row],[JobSatisfaction]]=1,"Low",IF(HR_Data[[#This Row],[JobSatisfaction]]=2,"Medium",IF(HR_Data[[#This Row],[JobSatisfaction]]=3,"High","Very High")))</f>
        <v>Very High</v>
      </c>
      <c r="AP1320" s="1" t="str">
        <f>IF(HR_Data[[#This Row],[WorkLifeBalance]]=1,"Bad",IF(HR_Data[[#This Row],[WorkLifeBalance]]=2,"Good",IF(HR_Data[[#This Row],[WorkLifeBalance]]=3,"Better","Best")))</f>
        <v>Best</v>
      </c>
    </row>
    <row r="1321" spans="1:42" x14ac:dyDescent="0.3">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c r="AJ1321">
        <f>IF(HR_Data[[#This Row],[Attrition]]="Yes",1,0)</f>
        <v>0</v>
      </c>
      <c r="AK1321">
        <f>IF(HR_Data[[#This Row],[Attrition]]="No",1,0)</f>
        <v>1</v>
      </c>
      <c r="AL1321" t="str">
        <f>IF(HR_Data[[#This Row],[Age]]&lt;25,"Under 25",IF(HR_Data[[#This Row],[Age]]&lt;=34,"25-34",IF(HR_Data[[#This Row],[Age]]&lt;=44,"35-44",IF(HR_Data[[#This Row],[Age]]&lt;=54,"45-54","55+"))))</f>
        <v>25-34</v>
      </c>
      <c r="AM1321" s="1" t="str">
        <f>IF(HR_Data[[#This Row],[MonthlyIncome]]&lt;3000,"Low Salary",IF(HR_Data[[#This Row],[MonthlyIncome]]&lt;=7000,"Medium Salary","High Salary"))</f>
        <v>Medium Salary</v>
      </c>
      <c r="AN1321" s="1" t="str">
        <f>IF(HR_Data[[#This Row],[YearsAtCompany]]&lt;2,"0-1 Years",IF(HR_Data[[#This Row],[YearsAtCompany]]&lt;=5,"2-5 Years",IF(HR_Data[[#This Row],[YearsAtCompany]]&lt;=10,"6-10 Years","10+ Years")))</f>
        <v>0-1 Years</v>
      </c>
      <c r="AO1321" s="1" t="str">
        <f>IF(HR_Data[[#This Row],[JobSatisfaction]]=1,"Low",IF(HR_Data[[#This Row],[JobSatisfaction]]=2,"Medium",IF(HR_Data[[#This Row],[JobSatisfaction]]=3,"High","Very High")))</f>
        <v>Very High</v>
      </c>
      <c r="AP1321" s="1" t="str">
        <f>IF(HR_Data[[#This Row],[WorkLifeBalance]]=1,"Bad",IF(HR_Data[[#This Row],[WorkLifeBalance]]=2,"Good",IF(HR_Data[[#This Row],[WorkLifeBalance]]=3,"Better","Best")))</f>
        <v>Best</v>
      </c>
    </row>
    <row r="1322" spans="1:42" x14ac:dyDescent="0.3">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c r="AJ1322">
        <f>IF(HR_Data[[#This Row],[Attrition]]="Yes",1,0)</f>
        <v>0</v>
      </c>
      <c r="AK1322">
        <f>IF(HR_Data[[#This Row],[Attrition]]="No",1,0)</f>
        <v>1</v>
      </c>
      <c r="AL1322" t="str">
        <f>IF(HR_Data[[#This Row],[Age]]&lt;25,"Under 25",IF(HR_Data[[#This Row],[Age]]&lt;=34,"25-34",IF(HR_Data[[#This Row],[Age]]&lt;=44,"35-44",IF(HR_Data[[#This Row],[Age]]&lt;=54,"45-54","55+"))))</f>
        <v>35-44</v>
      </c>
      <c r="AM1322" s="1" t="str">
        <f>IF(HR_Data[[#This Row],[MonthlyIncome]]&lt;3000,"Low Salary",IF(HR_Data[[#This Row],[MonthlyIncome]]&lt;=7000,"Medium Salary","High Salary"))</f>
        <v>Low Salary</v>
      </c>
      <c r="AN1322" s="1" t="str">
        <f>IF(HR_Data[[#This Row],[YearsAtCompany]]&lt;2,"0-1 Years",IF(HR_Data[[#This Row],[YearsAtCompany]]&lt;=5,"2-5 Years",IF(HR_Data[[#This Row],[YearsAtCompany]]&lt;=10,"6-10 Years","10+ Years")))</f>
        <v>6-10 Years</v>
      </c>
      <c r="AO1322" s="1" t="str">
        <f>IF(HR_Data[[#This Row],[JobSatisfaction]]=1,"Low",IF(HR_Data[[#This Row],[JobSatisfaction]]=2,"Medium",IF(HR_Data[[#This Row],[JobSatisfaction]]=3,"High","Very High")))</f>
        <v>High</v>
      </c>
      <c r="AP1322" s="1" t="str">
        <f>IF(HR_Data[[#This Row],[WorkLifeBalance]]=1,"Bad",IF(HR_Data[[#This Row],[WorkLifeBalance]]=2,"Good",IF(HR_Data[[#This Row],[WorkLifeBalance]]=3,"Better","Best")))</f>
        <v>Good</v>
      </c>
    </row>
    <row r="1323" spans="1:42" x14ac:dyDescent="0.3">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c r="AJ1323">
        <f>IF(HR_Data[[#This Row],[Attrition]]="Yes",1,0)</f>
        <v>0</v>
      </c>
      <c r="AK1323">
        <f>IF(HR_Data[[#This Row],[Attrition]]="No",1,0)</f>
        <v>1</v>
      </c>
      <c r="AL1323" t="str">
        <f>IF(HR_Data[[#This Row],[Age]]&lt;25,"Under 25",IF(HR_Data[[#This Row],[Age]]&lt;=34,"25-34",IF(HR_Data[[#This Row],[Age]]&lt;=44,"35-44",IF(HR_Data[[#This Row],[Age]]&lt;=54,"45-54","55+"))))</f>
        <v>45-54</v>
      </c>
      <c r="AM1323" s="1" t="str">
        <f>IF(HR_Data[[#This Row],[MonthlyIncome]]&lt;3000,"Low Salary",IF(HR_Data[[#This Row],[MonthlyIncome]]&lt;=7000,"Medium Salary","High Salary"))</f>
        <v>Low Salary</v>
      </c>
      <c r="AN1323" s="1" t="str">
        <f>IF(HR_Data[[#This Row],[YearsAtCompany]]&lt;2,"0-1 Years",IF(HR_Data[[#This Row],[YearsAtCompany]]&lt;=5,"2-5 Years",IF(HR_Data[[#This Row],[YearsAtCompany]]&lt;=10,"6-10 Years","10+ Years")))</f>
        <v>2-5 Years</v>
      </c>
      <c r="AO1323" s="1" t="str">
        <f>IF(HR_Data[[#This Row],[JobSatisfaction]]=1,"Low",IF(HR_Data[[#This Row],[JobSatisfaction]]=2,"Medium",IF(HR_Data[[#This Row],[JobSatisfaction]]=3,"High","Very High")))</f>
        <v>High</v>
      </c>
      <c r="AP1323" s="1" t="str">
        <f>IF(HR_Data[[#This Row],[WorkLifeBalance]]=1,"Bad",IF(HR_Data[[#This Row],[WorkLifeBalance]]=2,"Good",IF(HR_Data[[#This Row],[WorkLifeBalance]]=3,"Better","Best")))</f>
        <v>Better</v>
      </c>
    </row>
    <row r="1324" spans="1:42" x14ac:dyDescent="0.3">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c r="AJ1324">
        <f>IF(HR_Data[[#This Row],[Attrition]]="Yes",1,0)</f>
        <v>0</v>
      </c>
      <c r="AK1324">
        <f>IF(HR_Data[[#This Row],[Attrition]]="No",1,0)</f>
        <v>1</v>
      </c>
      <c r="AL1324" t="str">
        <f>IF(HR_Data[[#This Row],[Age]]&lt;25,"Under 25",IF(HR_Data[[#This Row],[Age]]&lt;=34,"25-34",IF(HR_Data[[#This Row],[Age]]&lt;=44,"35-44",IF(HR_Data[[#This Row],[Age]]&lt;=54,"45-54","55+"))))</f>
        <v>45-54</v>
      </c>
      <c r="AM1324" s="1" t="str">
        <f>IF(HR_Data[[#This Row],[MonthlyIncome]]&lt;3000,"Low Salary",IF(HR_Data[[#This Row],[MonthlyIncome]]&lt;=7000,"Medium Salary","High Salary"))</f>
        <v>High Salary</v>
      </c>
      <c r="AN1324" s="1" t="str">
        <f>IF(HR_Data[[#This Row],[YearsAtCompany]]&lt;2,"0-1 Years",IF(HR_Data[[#This Row],[YearsAtCompany]]&lt;=5,"2-5 Years",IF(HR_Data[[#This Row],[YearsAtCompany]]&lt;=10,"6-10 Years","10+ Years")))</f>
        <v>6-10 Years</v>
      </c>
      <c r="AO1324" s="1" t="str">
        <f>IF(HR_Data[[#This Row],[JobSatisfaction]]=1,"Low",IF(HR_Data[[#This Row],[JobSatisfaction]]=2,"Medium",IF(HR_Data[[#This Row],[JobSatisfaction]]=3,"High","Very High")))</f>
        <v>Very High</v>
      </c>
      <c r="AP1324" s="1" t="str">
        <f>IF(HR_Data[[#This Row],[WorkLifeBalance]]=1,"Bad",IF(HR_Data[[#This Row],[WorkLifeBalance]]=2,"Good",IF(HR_Data[[#This Row],[WorkLifeBalance]]=3,"Better","Best")))</f>
        <v>Good</v>
      </c>
    </row>
    <row r="1325" spans="1:42" x14ac:dyDescent="0.3">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c r="AJ1325">
        <f>IF(HR_Data[[#This Row],[Attrition]]="Yes",1,0)</f>
        <v>0</v>
      </c>
      <c r="AK1325">
        <f>IF(HR_Data[[#This Row],[Attrition]]="No",1,0)</f>
        <v>1</v>
      </c>
      <c r="AL1325" t="str">
        <f>IF(HR_Data[[#This Row],[Age]]&lt;25,"Under 25",IF(HR_Data[[#This Row],[Age]]&lt;=34,"25-34",IF(HR_Data[[#This Row],[Age]]&lt;=44,"35-44",IF(HR_Data[[#This Row],[Age]]&lt;=54,"45-54","55+"))))</f>
        <v>25-34</v>
      </c>
      <c r="AM1325" s="1" t="str">
        <f>IF(HR_Data[[#This Row],[MonthlyIncome]]&lt;3000,"Low Salary",IF(HR_Data[[#This Row],[MonthlyIncome]]&lt;=7000,"Medium Salary","High Salary"))</f>
        <v>Low Salary</v>
      </c>
      <c r="AN1325" s="1" t="str">
        <f>IF(HR_Data[[#This Row],[YearsAtCompany]]&lt;2,"0-1 Years",IF(HR_Data[[#This Row],[YearsAtCompany]]&lt;=5,"2-5 Years",IF(HR_Data[[#This Row],[YearsAtCompany]]&lt;=10,"6-10 Years","10+ Years")))</f>
        <v>2-5 Years</v>
      </c>
      <c r="AO1325" s="1" t="str">
        <f>IF(HR_Data[[#This Row],[JobSatisfaction]]=1,"Low",IF(HR_Data[[#This Row],[JobSatisfaction]]=2,"Medium",IF(HR_Data[[#This Row],[JobSatisfaction]]=3,"High","Very High")))</f>
        <v>Very High</v>
      </c>
      <c r="AP1325" s="1" t="str">
        <f>IF(HR_Data[[#This Row],[WorkLifeBalance]]=1,"Bad",IF(HR_Data[[#This Row],[WorkLifeBalance]]=2,"Good",IF(HR_Data[[#This Row],[WorkLifeBalance]]=3,"Better","Best")))</f>
        <v>Better</v>
      </c>
    </row>
    <row r="1326" spans="1:42" x14ac:dyDescent="0.3">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c r="AJ1326">
        <f>IF(HR_Data[[#This Row],[Attrition]]="Yes",1,0)</f>
        <v>0</v>
      </c>
      <c r="AK1326">
        <f>IF(HR_Data[[#This Row],[Attrition]]="No",1,0)</f>
        <v>1</v>
      </c>
      <c r="AL1326" t="str">
        <f>IF(HR_Data[[#This Row],[Age]]&lt;25,"Under 25",IF(HR_Data[[#This Row],[Age]]&lt;=34,"25-34",IF(HR_Data[[#This Row],[Age]]&lt;=44,"35-44",IF(HR_Data[[#This Row],[Age]]&lt;=54,"45-54","55+"))))</f>
        <v>25-34</v>
      </c>
      <c r="AM1326" s="1" t="str">
        <f>IF(HR_Data[[#This Row],[MonthlyIncome]]&lt;3000,"Low Salary",IF(HR_Data[[#This Row],[MonthlyIncome]]&lt;=7000,"Medium Salary","High Salary"))</f>
        <v>Medium Salary</v>
      </c>
      <c r="AN1326" s="1" t="str">
        <f>IF(HR_Data[[#This Row],[YearsAtCompany]]&lt;2,"0-1 Years",IF(HR_Data[[#This Row],[YearsAtCompany]]&lt;=5,"2-5 Years",IF(HR_Data[[#This Row],[YearsAtCompany]]&lt;=10,"6-10 Years","10+ Years")))</f>
        <v>6-10 Years</v>
      </c>
      <c r="AO1326" s="1" t="str">
        <f>IF(HR_Data[[#This Row],[JobSatisfaction]]=1,"Low",IF(HR_Data[[#This Row],[JobSatisfaction]]=2,"Medium",IF(HR_Data[[#This Row],[JobSatisfaction]]=3,"High","Very High")))</f>
        <v>High</v>
      </c>
      <c r="AP1326" s="1" t="str">
        <f>IF(HR_Data[[#This Row],[WorkLifeBalance]]=1,"Bad",IF(HR_Data[[#This Row],[WorkLifeBalance]]=2,"Good",IF(HR_Data[[#This Row],[WorkLifeBalance]]=3,"Better","Best")))</f>
        <v>Better</v>
      </c>
    </row>
    <row r="1327" spans="1:42" x14ac:dyDescent="0.3">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c r="AJ1327">
        <f>IF(HR_Data[[#This Row],[Attrition]]="Yes",1,0)</f>
        <v>0</v>
      </c>
      <c r="AK1327">
        <f>IF(HR_Data[[#This Row],[Attrition]]="No",1,0)</f>
        <v>1</v>
      </c>
      <c r="AL1327" t="str">
        <f>IF(HR_Data[[#This Row],[Age]]&lt;25,"Under 25",IF(HR_Data[[#This Row],[Age]]&lt;=34,"25-34",IF(HR_Data[[#This Row],[Age]]&lt;=44,"35-44",IF(HR_Data[[#This Row],[Age]]&lt;=54,"45-54","55+"))))</f>
        <v>35-44</v>
      </c>
      <c r="AM1327" s="1" t="str">
        <f>IF(HR_Data[[#This Row],[MonthlyIncome]]&lt;3000,"Low Salary",IF(HR_Data[[#This Row],[MonthlyIncome]]&lt;=7000,"Medium Salary","High Salary"))</f>
        <v>Medium Salary</v>
      </c>
      <c r="AN1327" s="1" t="str">
        <f>IF(HR_Data[[#This Row],[YearsAtCompany]]&lt;2,"0-1 Years",IF(HR_Data[[#This Row],[YearsAtCompany]]&lt;=5,"2-5 Years",IF(HR_Data[[#This Row],[YearsAtCompany]]&lt;=10,"6-10 Years","10+ Years")))</f>
        <v>0-1 Years</v>
      </c>
      <c r="AO1327" s="1" t="str">
        <f>IF(HR_Data[[#This Row],[JobSatisfaction]]=1,"Low",IF(HR_Data[[#This Row],[JobSatisfaction]]=2,"Medium",IF(HR_Data[[#This Row],[JobSatisfaction]]=3,"High","Very High")))</f>
        <v>High</v>
      </c>
      <c r="AP1327" s="1" t="str">
        <f>IF(HR_Data[[#This Row],[WorkLifeBalance]]=1,"Bad",IF(HR_Data[[#This Row],[WorkLifeBalance]]=2,"Good",IF(HR_Data[[#This Row],[WorkLifeBalance]]=3,"Better","Best")))</f>
        <v>Better</v>
      </c>
    </row>
    <row r="1328" spans="1:42" x14ac:dyDescent="0.3">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c r="AJ1328">
        <f>IF(HR_Data[[#This Row],[Attrition]]="Yes",1,0)</f>
        <v>1</v>
      </c>
      <c r="AK1328">
        <f>IF(HR_Data[[#This Row],[Attrition]]="No",1,0)</f>
        <v>0</v>
      </c>
      <c r="AL1328" t="str">
        <f>IF(HR_Data[[#This Row],[Age]]&lt;25,"Under 25",IF(HR_Data[[#This Row],[Age]]&lt;=34,"25-34",IF(HR_Data[[#This Row],[Age]]&lt;=44,"35-44",IF(HR_Data[[#This Row],[Age]]&lt;=54,"45-54","55+"))))</f>
        <v>25-34</v>
      </c>
      <c r="AM1328" s="1" t="str">
        <f>IF(HR_Data[[#This Row],[MonthlyIncome]]&lt;3000,"Low Salary",IF(HR_Data[[#This Row],[MonthlyIncome]]&lt;=7000,"Medium Salary","High Salary"))</f>
        <v>High Salary</v>
      </c>
      <c r="AN1328" s="1" t="str">
        <f>IF(HR_Data[[#This Row],[YearsAtCompany]]&lt;2,"0-1 Years",IF(HR_Data[[#This Row],[YearsAtCompany]]&lt;=5,"2-5 Years",IF(HR_Data[[#This Row],[YearsAtCompany]]&lt;=10,"6-10 Years","10+ Years")))</f>
        <v>2-5 Years</v>
      </c>
      <c r="AO1328" s="1" t="str">
        <f>IF(HR_Data[[#This Row],[JobSatisfaction]]=1,"Low",IF(HR_Data[[#This Row],[JobSatisfaction]]=2,"Medium",IF(HR_Data[[#This Row],[JobSatisfaction]]=3,"High","Very High")))</f>
        <v>Medium</v>
      </c>
      <c r="AP1328" s="1" t="str">
        <f>IF(HR_Data[[#This Row],[WorkLifeBalance]]=1,"Bad",IF(HR_Data[[#This Row],[WorkLifeBalance]]=2,"Good",IF(HR_Data[[#This Row],[WorkLifeBalance]]=3,"Better","Best")))</f>
        <v>Good</v>
      </c>
    </row>
    <row r="1329" spans="1:42" x14ac:dyDescent="0.3">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c r="AJ1329">
        <f>IF(HR_Data[[#This Row],[Attrition]]="Yes",1,0)</f>
        <v>0</v>
      </c>
      <c r="AK1329">
        <f>IF(HR_Data[[#This Row],[Attrition]]="No",1,0)</f>
        <v>1</v>
      </c>
      <c r="AL1329" t="str">
        <f>IF(HR_Data[[#This Row],[Age]]&lt;25,"Under 25",IF(HR_Data[[#This Row],[Age]]&lt;=34,"25-34",IF(HR_Data[[#This Row],[Age]]&lt;=44,"35-44",IF(HR_Data[[#This Row],[Age]]&lt;=54,"45-54","55+"))))</f>
        <v>45-54</v>
      </c>
      <c r="AM1329" s="1" t="str">
        <f>IF(HR_Data[[#This Row],[MonthlyIncome]]&lt;3000,"Low Salary",IF(HR_Data[[#This Row],[MonthlyIncome]]&lt;=7000,"Medium Salary","High Salary"))</f>
        <v>High Salary</v>
      </c>
      <c r="AN1329" s="1" t="str">
        <f>IF(HR_Data[[#This Row],[YearsAtCompany]]&lt;2,"0-1 Years",IF(HR_Data[[#This Row],[YearsAtCompany]]&lt;=5,"2-5 Years",IF(HR_Data[[#This Row],[YearsAtCompany]]&lt;=10,"6-10 Years","10+ Years")))</f>
        <v>10+ Years</v>
      </c>
      <c r="AO1329" s="1" t="str">
        <f>IF(HR_Data[[#This Row],[JobSatisfaction]]=1,"Low",IF(HR_Data[[#This Row],[JobSatisfaction]]=2,"Medium",IF(HR_Data[[#This Row],[JobSatisfaction]]=3,"High","Very High")))</f>
        <v>Low</v>
      </c>
      <c r="AP1329" s="1" t="str">
        <f>IF(HR_Data[[#This Row],[WorkLifeBalance]]=1,"Bad",IF(HR_Data[[#This Row],[WorkLifeBalance]]=2,"Good",IF(HR_Data[[#This Row],[WorkLifeBalance]]=3,"Better","Best")))</f>
        <v>Better</v>
      </c>
    </row>
    <row r="1330" spans="1:42" x14ac:dyDescent="0.3">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c r="AJ1330">
        <f>IF(HR_Data[[#This Row],[Attrition]]="Yes",1,0)</f>
        <v>0</v>
      </c>
      <c r="AK1330">
        <f>IF(HR_Data[[#This Row],[Attrition]]="No",1,0)</f>
        <v>1</v>
      </c>
      <c r="AL1330" t="str">
        <f>IF(HR_Data[[#This Row],[Age]]&lt;25,"Under 25",IF(HR_Data[[#This Row],[Age]]&lt;=34,"25-34",IF(HR_Data[[#This Row],[Age]]&lt;=44,"35-44",IF(HR_Data[[#This Row],[Age]]&lt;=54,"45-54","55+"))))</f>
        <v>25-34</v>
      </c>
      <c r="AM1330" s="1" t="str">
        <f>IF(HR_Data[[#This Row],[MonthlyIncome]]&lt;3000,"Low Salary",IF(HR_Data[[#This Row],[MonthlyIncome]]&lt;=7000,"Medium Salary","High Salary"))</f>
        <v>Medium Salary</v>
      </c>
      <c r="AN1330" s="1" t="str">
        <f>IF(HR_Data[[#This Row],[YearsAtCompany]]&lt;2,"0-1 Years",IF(HR_Data[[#This Row],[YearsAtCompany]]&lt;=5,"2-5 Years",IF(HR_Data[[#This Row],[YearsAtCompany]]&lt;=10,"6-10 Years","10+ Years")))</f>
        <v>6-10 Years</v>
      </c>
      <c r="AO1330" s="1" t="str">
        <f>IF(HR_Data[[#This Row],[JobSatisfaction]]=1,"Low",IF(HR_Data[[#This Row],[JobSatisfaction]]=2,"Medium",IF(HR_Data[[#This Row],[JobSatisfaction]]=3,"High","Very High")))</f>
        <v>High</v>
      </c>
      <c r="AP1330" s="1" t="str">
        <f>IF(HR_Data[[#This Row],[WorkLifeBalance]]=1,"Bad",IF(HR_Data[[#This Row],[WorkLifeBalance]]=2,"Good",IF(HR_Data[[#This Row],[WorkLifeBalance]]=3,"Better","Best")))</f>
        <v>Better</v>
      </c>
    </row>
    <row r="1331" spans="1:42" x14ac:dyDescent="0.3">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c r="AJ1331">
        <f>IF(HR_Data[[#This Row],[Attrition]]="Yes",1,0)</f>
        <v>0</v>
      </c>
      <c r="AK1331">
        <f>IF(HR_Data[[#This Row],[Attrition]]="No",1,0)</f>
        <v>1</v>
      </c>
      <c r="AL1331" t="str">
        <f>IF(HR_Data[[#This Row],[Age]]&lt;25,"Under 25",IF(HR_Data[[#This Row],[Age]]&lt;=34,"25-34",IF(HR_Data[[#This Row],[Age]]&lt;=44,"35-44",IF(HR_Data[[#This Row],[Age]]&lt;=54,"45-54","55+"))))</f>
        <v>25-34</v>
      </c>
      <c r="AM1331" s="1" t="str">
        <f>IF(HR_Data[[#This Row],[MonthlyIncome]]&lt;3000,"Low Salary",IF(HR_Data[[#This Row],[MonthlyIncome]]&lt;=7000,"Medium Salary","High Salary"))</f>
        <v>Low Salary</v>
      </c>
      <c r="AN1331" s="1" t="str">
        <f>IF(HR_Data[[#This Row],[YearsAtCompany]]&lt;2,"0-1 Years",IF(HR_Data[[#This Row],[YearsAtCompany]]&lt;=5,"2-5 Years",IF(HR_Data[[#This Row],[YearsAtCompany]]&lt;=10,"6-10 Years","10+ Years")))</f>
        <v>0-1 Years</v>
      </c>
      <c r="AO1331" s="1" t="str">
        <f>IF(HR_Data[[#This Row],[JobSatisfaction]]=1,"Low",IF(HR_Data[[#This Row],[JobSatisfaction]]=2,"Medium",IF(HR_Data[[#This Row],[JobSatisfaction]]=3,"High","Very High")))</f>
        <v>Medium</v>
      </c>
      <c r="AP1331" s="1" t="str">
        <f>IF(HR_Data[[#This Row],[WorkLifeBalance]]=1,"Bad",IF(HR_Data[[#This Row],[WorkLifeBalance]]=2,"Good",IF(HR_Data[[#This Row],[WorkLifeBalance]]=3,"Better","Best")))</f>
        <v>Better</v>
      </c>
    </row>
    <row r="1332" spans="1:42" x14ac:dyDescent="0.3">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c r="AJ1332">
        <f>IF(HR_Data[[#This Row],[Attrition]]="Yes",1,0)</f>
        <v>0</v>
      </c>
      <c r="AK1332">
        <f>IF(HR_Data[[#This Row],[Attrition]]="No",1,0)</f>
        <v>1</v>
      </c>
      <c r="AL1332" t="str">
        <f>IF(HR_Data[[#This Row],[Age]]&lt;25,"Under 25",IF(HR_Data[[#This Row],[Age]]&lt;=34,"25-34",IF(HR_Data[[#This Row],[Age]]&lt;=44,"35-44",IF(HR_Data[[#This Row],[Age]]&lt;=54,"45-54","55+"))))</f>
        <v>35-44</v>
      </c>
      <c r="AM1332" s="1" t="str">
        <f>IF(HR_Data[[#This Row],[MonthlyIncome]]&lt;3000,"Low Salary",IF(HR_Data[[#This Row],[MonthlyIncome]]&lt;=7000,"Medium Salary","High Salary"))</f>
        <v>High Salary</v>
      </c>
      <c r="AN1332" s="1" t="str">
        <f>IF(HR_Data[[#This Row],[YearsAtCompany]]&lt;2,"0-1 Years",IF(HR_Data[[#This Row],[YearsAtCompany]]&lt;=5,"2-5 Years",IF(HR_Data[[#This Row],[YearsAtCompany]]&lt;=10,"6-10 Years","10+ Years")))</f>
        <v>10+ Years</v>
      </c>
      <c r="AO1332" s="1" t="str">
        <f>IF(HR_Data[[#This Row],[JobSatisfaction]]=1,"Low",IF(HR_Data[[#This Row],[JobSatisfaction]]=2,"Medium",IF(HR_Data[[#This Row],[JobSatisfaction]]=3,"High","Very High")))</f>
        <v>High</v>
      </c>
      <c r="AP1332" s="1" t="str">
        <f>IF(HR_Data[[#This Row],[WorkLifeBalance]]=1,"Bad",IF(HR_Data[[#This Row],[WorkLifeBalance]]=2,"Good",IF(HR_Data[[#This Row],[WorkLifeBalance]]=3,"Better","Best")))</f>
        <v>Better</v>
      </c>
    </row>
    <row r="1333" spans="1:42" x14ac:dyDescent="0.3">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c r="AJ1333">
        <f>IF(HR_Data[[#This Row],[Attrition]]="Yes",1,0)</f>
        <v>0</v>
      </c>
      <c r="AK1333">
        <f>IF(HR_Data[[#This Row],[Attrition]]="No",1,0)</f>
        <v>1</v>
      </c>
      <c r="AL1333" t="str">
        <f>IF(HR_Data[[#This Row],[Age]]&lt;25,"Under 25",IF(HR_Data[[#This Row],[Age]]&lt;=34,"25-34",IF(HR_Data[[#This Row],[Age]]&lt;=44,"35-44",IF(HR_Data[[#This Row],[Age]]&lt;=54,"45-54","55+"))))</f>
        <v>45-54</v>
      </c>
      <c r="AM1333" s="1" t="str">
        <f>IF(HR_Data[[#This Row],[MonthlyIncome]]&lt;3000,"Low Salary",IF(HR_Data[[#This Row],[MonthlyIncome]]&lt;=7000,"Medium Salary","High Salary"))</f>
        <v>High Salary</v>
      </c>
      <c r="AN1333" s="1" t="str">
        <f>IF(HR_Data[[#This Row],[YearsAtCompany]]&lt;2,"0-1 Years",IF(HR_Data[[#This Row],[YearsAtCompany]]&lt;=5,"2-5 Years",IF(HR_Data[[#This Row],[YearsAtCompany]]&lt;=10,"6-10 Years","10+ Years")))</f>
        <v>10+ Years</v>
      </c>
      <c r="AO1333" s="1" t="str">
        <f>IF(HR_Data[[#This Row],[JobSatisfaction]]=1,"Low",IF(HR_Data[[#This Row],[JobSatisfaction]]=2,"Medium",IF(HR_Data[[#This Row],[JobSatisfaction]]=3,"High","Very High")))</f>
        <v>Medium</v>
      </c>
      <c r="AP1333" s="1" t="str">
        <f>IF(HR_Data[[#This Row],[WorkLifeBalance]]=1,"Bad",IF(HR_Data[[#This Row],[WorkLifeBalance]]=2,"Good",IF(HR_Data[[#This Row],[WorkLifeBalance]]=3,"Better","Best")))</f>
        <v>Better</v>
      </c>
    </row>
    <row r="1334" spans="1:42" x14ac:dyDescent="0.3">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c r="AJ1334">
        <f>IF(HR_Data[[#This Row],[Attrition]]="Yes",1,0)</f>
        <v>1</v>
      </c>
      <c r="AK1334">
        <f>IF(HR_Data[[#This Row],[Attrition]]="No",1,0)</f>
        <v>0</v>
      </c>
      <c r="AL1334" t="str">
        <f>IF(HR_Data[[#This Row],[Age]]&lt;25,"Under 25",IF(HR_Data[[#This Row],[Age]]&lt;=34,"25-34",IF(HR_Data[[#This Row],[Age]]&lt;=44,"35-44",IF(HR_Data[[#This Row],[Age]]&lt;=54,"45-54","55+"))))</f>
        <v>25-34</v>
      </c>
      <c r="AM1334" s="1" t="str">
        <f>IF(HR_Data[[#This Row],[MonthlyIncome]]&lt;3000,"Low Salary",IF(HR_Data[[#This Row],[MonthlyIncome]]&lt;=7000,"Medium Salary","High Salary"))</f>
        <v>Low Salary</v>
      </c>
      <c r="AN1334" s="1" t="str">
        <f>IF(HR_Data[[#This Row],[YearsAtCompany]]&lt;2,"0-1 Years",IF(HR_Data[[#This Row],[YearsAtCompany]]&lt;=5,"2-5 Years",IF(HR_Data[[#This Row],[YearsAtCompany]]&lt;=10,"6-10 Years","10+ Years")))</f>
        <v>0-1 Years</v>
      </c>
      <c r="AO1334" s="1" t="str">
        <f>IF(HR_Data[[#This Row],[JobSatisfaction]]=1,"Low",IF(HR_Data[[#This Row],[JobSatisfaction]]=2,"Medium",IF(HR_Data[[#This Row],[JobSatisfaction]]=3,"High","Very High")))</f>
        <v>Very High</v>
      </c>
      <c r="AP1334" s="1" t="str">
        <f>IF(HR_Data[[#This Row],[WorkLifeBalance]]=1,"Bad",IF(HR_Data[[#This Row],[WorkLifeBalance]]=2,"Good",IF(HR_Data[[#This Row],[WorkLifeBalance]]=3,"Better","Best")))</f>
        <v>Good</v>
      </c>
    </row>
    <row r="1335" spans="1:42" x14ac:dyDescent="0.3">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c r="AJ1335">
        <f>IF(HR_Data[[#This Row],[Attrition]]="Yes",1,0)</f>
        <v>1</v>
      </c>
      <c r="AK1335">
        <f>IF(HR_Data[[#This Row],[Attrition]]="No",1,0)</f>
        <v>0</v>
      </c>
      <c r="AL1335" t="str">
        <f>IF(HR_Data[[#This Row],[Age]]&lt;25,"Under 25",IF(HR_Data[[#This Row],[Age]]&lt;=34,"25-34",IF(HR_Data[[#This Row],[Age]]&lt;=44,"35-44",IF(HR_Data[[#This Row],[Age]]&lt;=54,"45-54","55+"))))</f>
        <v>45-54</v>
      </c>
      <c r="AM1335" s="1" t="str">
        <f>IF(HR_Data[[#This Row],[MonthlyIncome]]&lt;3000,"Low Salary",IF(HR_Data[[#This Row],[MonthlyIncome]]&lt;=7000,"Medium Salary","High Salary"))</f>
        <v>High Salary</v>
      </c>
      <c r="AN1335" s="1" t="str">
        <f>IF(HR_Data[[#This Row],[YearsAtCompany]]&lt;2,"0-1 Years",IF(HR_Data[[#This Row],[YearsAtCompany]]&lt;=5,"2-5 Years",IF(HR_Data[[#This Row],[YearsAtCompany]]&lt;=10,"6-10 Years","10+ Years")))</f>
        <v>6-10 Years</v>
      </c>
      <c r="AO1335" s="1" t="str">
        <f>IF(HR_Data[[#This Row],[JobSatisfaction]]=1,"Low",IF(HR_Data[[#This Row],[JobSatisfaction]]=2,"Medium",IF(HR_Data[[#This Row],[JobSatisfaction]]=3,"High","Very High")))</f>
        <v>Medium</v>
      </c>
      <c r="AP1335" s="1" t="str">
        <f>IF(HR_Data[[#This Row],[WorkLifeBalance]]=1,"Bad",IF(HR_Data[[#This Row],[WorkLifeBalance]]=2,"Good",IF(HR_Data[[#This Row],[WorkLifeBalance]]=3,"Better","Best")))</f>
        <v>Better</v>
      </c>
    </row>
    <row r="1336" spans="1:42" x14ac:dyDescent="0.3">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c r="AJ1336">
        <f>IF(HR_Data[[#This Row],[Attrition]]="Yes",1,0)</f>
        <v>0</v>
      </c>
      <c r="AK1336">
        <f>IF(HR_Data[[#This Row],[Attrition]]="No",1,0)</f>
        <v>1</v>
      </c>
      <c r="AL1336" t="str">
        <f>IF(HR_Data[[#This Row],[Age]]&lt;25,"Under 25",IF(HR_Data[[#This Row],[Age]]&lt;=34,"25-34",IF(HR_Data[[#This Row],[Age]]&lt;=44,"35-44",IF(HR_Data[[#This Row],[Age]]&lt;=54,"45-54","55+"))))</f>
        <v>25-34</v>
      </c>
      <c r="AM1336" s="1" t="str">
        <f>IF(HR_Data[[#This Row],[MonthlyIncome]]&lt;3000,"Low Salary",IF(HR_Data[[#This Row],[MonthlyIncome]]&lt;=7000,"Medium Salary","High Salary"))</f>
        <v>Medium Salary</v>
      </c>
      <c r="AN1336" s="1" t="str">
        <f>IF(HR_Data[[#This Row],[YearsAtCompany]]&lt;2,"0-1 Years",IF(HR_Data[[#This Row],[YearsAtCompany]]&lt;=5,"2-5 Years",IF(HR_Data[[#This Row],[YearsAtCompany]]&lt;=10,"6-10 Years","10+ Years")))</f>
        <v>6-10 Years</v>
      </c>
      <c r="AO1336" s="1" t="str">
        <f>IF(HR_Data[[#This Row],[JobSatisfaction]]=1,"Low",IF(HR_Data[[#This Row],[JobSatisfaction]]=2,"Medium",IF(HR_Data[[#This Row],[JobSatisfaction]]=3,"High","Very High")))</f>
        <v>Low</v>
      </c>
      <c r="AP1336" s="1" t="str">
        <f>IF(HR_Data[[#This Row],[WorkLifeBalance]]=1,"Bad",IF(HR_Data[[#This Row],[WorkLifeBalance]]=2,"Good",IF(HR_Data[[#This Row],[WorkLifeBalance]]=3,"Better","Best")))</f>
        <v>Good</v>
      </c>
    </row>
    <row r="1337" spans="1:42" x14ac:dyDescent="0.3">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c r="AJ1337">
        <f>IF(HR_Data[[#This Row],[Attrition]]="Yes",1,0)</f>
        <v>0</v>
      </c>
      <c r="AK1337">
        <f>IF(HR_Data[[#This Row],[Attrition]]="No",1,0)</f>
        <v>1</v>
      </c>
      <c r="AL1337" t="str">
        <f>IF(HR_Data[[#This Row],[Age]]&lt;25,"Under 25",IF(HR_Data[[#This Row],[Age]]&lt;=34,"25-34",IF(HR_Data[[#This Row],[Age]]&lt;=44,"35-44",IF(HR_Data[[#This Row],[Age]]&lt;=54,"45-54","55+"))))</f>
        <v>35-44</v>
      </c>
      <c r="AM1337" s="1" t="str">
        <f>IF(HR_Data[[#This Row],[MonthlyIncome]]&lt;3000,"Low Salary",IF(HR_Data[[#This Row],[MonthlyIncome]]&lt;=7000,"Medium Salary","High Salary"))</f>
        <v>Medium Salary</v>
      </c>
      <c r="AN1337" s="1" t="str">
        <f>IF(HR_Data[[#This Row],[YearsAtCompany]]&lt;2,"0-1 Years",IF(HR_Data[[#This Row],[YearsAtCompany]]&lt;=5,"2-5 Years",IF(HR_Data[[#This Row],[YearsAtCompany]]&lt;=10,"6-10 Years","10+ Years")))</f>
        <v>2-5 Years</v>
      </c>
      <c r="AO1337" s="1" t="str">
        <f>IF(HR_Data[[#This Row],[JobSatisfaction]]=1,"Low",IF(HR_Data[[#This Row],[JobSatisfaction]]=2,"Medium",IF(HR_Data[[#This Row],[JobSatisfaction]]=3,"High","Very High")))</f>
        <v>Very High</v>
      </c>
      <c r="AP1337" s="1" t="str">
        <f>IF(HR_Data[[#This Row],[WorkLifeBalance]]=1,"Bad",IF(HR_Data[[#This Row],[WorkLifeBalance]]=2,"Good",IF(HR_Data[[#This Row],[WorkLifeBalance]]=3,"Better","Best")))</f>
        <v>Better</v>
      </c>
    </row>
    <row r="1338" spans="1:42" x14ac:dyDescent="0.3">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c r="AJ1338">
        <f>IF(HR_Data[[#This Row],[Attrition]]="Yes",1,0)</f>
        <v>0</v>
      </c>
      <c r="AK1338">
        <f>IF(HR_Data[[#This Row],[Attrition]]="No",1,0)</f>
        <v>1</v>
      </c>
      <c r="AL1338" t="str">
        <f>IF(HR_Data[[#This Row],[Age]]&lt;25,"Under 25",IF(HR_Data[[#This Row],[Age]]&lt;=34,"25-34",IF(HR_Data[[#This Row],[Age]]&lt;=44,"35-44",IF(HR_Data[[#This Row],[Age]]&lt;=54,"45-54","55+"))))</f>
        <v>55+</v>
      </c>
      <c r="AM1338" s="1" t="str">
        <f>IF(HR_Data[[#This Row],[MonthlyIncome]]&lt;3000,"Low Salary",IF(HR_Data[[#This Row],[MonthlyIncome]]&lt;=7000,"Medium Salary","High Salary"))</f>
        <v>Low Salary</v>
      </c>
      <c r="AN1338" s="1" t="str">
        <f>IF(HR_Data[[#This Row],[YearsAtCompany]]&lt;2,"0-1 Years",IF(HR_Data[[#This Row],[YearsAtCompany]]&lt;=5,"2-5 Years",IF(HR_Data[[#This Row],[YearsAtCompany]]&lt;=10,"6-10 Years","10+ Years")))</f>
        <v>2-5 Years</v>
      </c>
      <c r="AO1338" s="1" t="str">
        <f>IF(HR_Data[[#This Row],[JobSatisfaction]]=1,"Low",IF(HR_Data[[#This Row],[JobSatisfaction]]=2,"Medium",IF(HR_Data[[#This Row],[JobSatisfaction]]=3,"High","Very High")))</f>
        <v>Very High</v>
      </c>
      <c r="AP1338" s="1" t="str">
        <f>IF(HR_Data[[#This Row],[WorkLifeBalance]]=1,"Bad",IF(HR_Data[[#This Row],[WorkLifeBalance]]=2,"Good",IF(HR_Data[[#This Row],[WorkLifeBalance]]=3,"Better","Best")))</f>
        <v>Best</v>
      </c>
    </row>
    <row r="1339" spans="1:42" x14ac:dyDescent="0.3">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c r="AJ1339">
        <f>IF(HR_Data[[#This Row],[Attrition]]="Yes",1,0)</f>
        <v>0</v>
      </c>
      <c r="AK1339">
        <f>IF(HR_Data[[#This Row],[Attrition]]="No",1,0)</f>
        <v>1</v>
      </c>
      <c r="AL1339" t="str">
        <f>IF(HR_Data[[#This Row],[Age]]&lt;25,"Under 25",IF(HR_Data[[#This Row],[Age]]&lt;=34,"25-34",IF(HR_Data[[#This Row],[Age]]&lt;=44,"35-44",IF(HR_Data[[#This Row],[Age]]&lt;=54,"45-54","55+"))))</f>
        <v>25-34</v>
      </c>
      <c r="AM1339" s="1" t="str">
        <f>IF(HR_Data[[#This Row],[MonthlyIncome]]&lt;3000,"Low Salary",IF(HR_Data[[#This Row],[MonthlyIncome]]&lt;=7000,"Medium Salary","High Salary"))</f>
        <v>Low Salary</v>
      </c>
      <c r="AN1339" s="1" t="str">
        <f>IF(HR_Data[[#This Row],[YearsAtCompany]]&lt;2,"0-1 Years",IF(HR_Data[[#This Row],[YearsAtCompany]]&lt;=5,"2-5 Years",IF(HR_Data[[#This Row],[YearsAtCompany]]&lt;=10,"6-10 Years","10+ Years")))</f>
        <v>0-1 Years</v>
      </c>
      <c r="AO1339" s="1" t="str">
        <f>IF(HR_Data[[#This Row],[JobSatisfaction]]=1,"Low",IF(HR_Data[[#This Row],[JobSatisfaction]]=2,"Medium",IF(HR_Data[[#This Row],[JobSatisfaction]]=3,"High","Very High")))</f>
        <v>Medium</v>
      </c>
      <c r="AP1339" s="1" t="str">
        <f>IF(HR_Data[[#This Row],[WorkLifeBalance]]=1,"Bad",IF(HR_Data[[#This Row],[WorkLifeBalance]]=2,"Good",IF(HR_Data[[#This Row],[WorkLifeBalance]]=3,"Better","Best")))</f>
        <v>Better</v>
      </c>
    </row>
    <row r="1340" spans="1:42" x14ac:dyDescent="0.3">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c r="AJ1340">
        <f>IF(HR_Data[[#This Row],[Attrition]]="Yes",1,0)</f>
        <v>1</v>
      </c>
      <c r="AK1340">
        <f>IF(HR_Data[[#This Row],[Attrition]]="No",1,0)</f>
        <v>0</v>
      </c>
      <c r="AL1340" t="str">
        <f>IF(HR_Data[[#This Row],[Age]]&lt;25,"Under 25",IF(HR_Data[[#This Row],[Age]]&lt;=34,"25-34",IF(HR_Data[[#This Row],[Age]]&lt;=44,"35-44",IF(HR_Data[[#This Row],[Age]]&lt;=54,"45-54","55+"))))</f>
        <v>25-34</v>
      </c>
      <c r="AM1340" s="1" t="str">
        <f>IF(HR_Data[[#This Row],[MonthlyIncome]]&lt;3000,"Low Salary",IF(HR_Data[[#This Row],[MonthlyIncome]]&lt;=7000,"Medium Salary","High Salary"))</f>
        <v>Low Salary</v>
      </c>
      <c r="AN1340" s="1" t="str">
        <f>IF(HR_Data[[#This Row],[YearsAtCompany]]&lt;2,"0-1 Years",IF(HR_Data[[#This Row],[YearsAtCompany]]&lt;=5,"2-5 Years",IF(HR_Data[[#This Row],[YearsAtCompany]]&lt;=10,"6-10 Years","10+ Years")))</f>
        <v>0-1 Years</v>
      </c>
      <c r="AO1340" s="1" t="str">
        <f>IF(HR_Data[[#This Row],[JobSatisfaction]]=1,"Low",IF(HR_Data[[#This Row],[JobSatisfaction]]=2,"Medium",IF(HR_Data[[#This Row],[JobSatisfaction]]=3,"High","Very High")))</f>
        <v>Very High</v>
      </c>
      <c r="AP1340" s="1" t="str">
        <f>IF(HR_Data[[#This Row],[WorkLifeBalance]]=1,"Bad",IF(HR_Data[[#This Row],[WorkLifeBalance]]=2,"Good",IF(HR_Data[[#This Row],[WorkLifeBalance]]=3,"Better","Best")))</f>
        <v>Good</v>
      </c>
    </row>
    <row r="1341" spans="1:42" x14ac:dyDescent="0.3">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c r="AJ1341">
        <f>IF(HR_Data[[#This Row],[Attrition]]="Yes",1,0)</f>
        <v>1</v>
      </c>
      <c r="AK1341">
        <f>IF(HR_Data[[#This Row],[Attrition]]="No",1,0)</f>
        <v>0</v>
      </c>
      <c r="AL1341" t="str">
        <f>IF(HR_Data[[#This Row],[Age]]&lt;25,"Under 25",IF(HR_Data[[#This Row],[Age]]&lt;=34,"25-34",IF(HR_Data[[#This Row],[Age]]&lt;=44,"35-44",IF(HR_Data[[#This Row],[Age]]&lt;=54,"45-54","55+"))))</f>
        <v>Under 25</v>
      </c>
      <c r="AM1341" s="1" t="str">
        <f>IF(HR_Data[[#This Row],[MonthlyIncome]]&lt;3000,"Low Salary",IF(HR_Data[[#This Row],[MonthlyIncome]]&lt;=7000,"Medium Salary","High Salary"))</f>
        <v>Low Salary</v>
      </c>
      <c r="AN1341" s="1" t="str">
        <f>IF(HR_Data[[#This Row],[YearsAtCompany]]&lt;2,"0-1 Years",IF(HR_Data[[#This Row],[YearsAtCompany]]&lt;=5,"2-5 Years",IF(HR_Data[[#This Row],[YearsAtCompany]]&lt;=10,"6-10 Years","10+ Years")))</f>
        <v>0-1 Years</v>
      </c>
      <c r="AO1341" s="1" t="str">
        <f>IF(HR_Data[[#This Row],[JobSatisfaction]]=1,"Low",IF(HR_Data[[#This Row],[JobSatisfaction]]=2,"Medium",IF(HR_Data[[#This Row],[JobSatisfaction]]=3,"High","Very High")))</f>
        <v>Medium</v>
      </c>
      <c r="AP1341" s="1" t="str">
        <f>IF(HR_Data[[#This Row],[WorkLifeBalance]]=1,"Bad",IF(HR_Data[[#This Row],[WorkLifeBalance]]=2,"Good",IF(HR_Data[[#This Row],[WorkLifeBalance]]=3,"Better","Best")))</f>
        <v>Better</v>
      </c>
    </row>
    <row r="1342" spans="1:42" x14ac:dyDescent="0.3">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c r="AJ1342">
        <f>IF(HR_Data[[#This Row],[Attrition]]="Yes",1,0)</f>
        <v>0</v>
      </c>
      <c r="AK1342">
        <f>IF(HR_Data[[#This Row],[Attrition]]="No",1,0)</f>
        <v>1</v>
      </c>
      <c r="AL1342" t="str">
        <f>IF(HR_Data[[#This Row],[Age]]&lt;25,"Under 25",IF(HR_Data[[#This Row],[Age]]&lt;=34,"25-34",IF(HR_Data[[#This Row],[Age]]&lt;=44,"35-44",IF(HR_Data[[#This Row],[Age]]&lt;=54,"45-54","55+"))))</f>
        <v>35-44</v>
      </c>
      <c r="AM1342" s="1" t="str">
        <f>IF(HR_Data[[#This Row],[MonthlyIncome]]&lt;3000,"Low Salary",IF(HR_Data[[#This Row],[MonthlyIncome]]&lt;=7000,"Medium Salary","High Salary"))</f>
        <v>Medium Salary</v>
      </c>
      <c r="AN1342" s="1" t="str">
        <f>IF(HR_Data[[#This Row],[YearsAtCompany]]&lt;2,"0-1 Years",IF(HR_Data[[#This Row],[YearsAtCompany]]&lt;=5,"2-5 Years",IF(HR_Data[[#This Row],[YearsAtCompany]]&lt;=10,"6-10 Years","10+ Years")))</f>
        <v>6-10 Years</v>
      </c>
      <c r="AO1342" s="1" t="str">
        <f>IF(HR_Data[[#This Row],[JobSatisfaction]]=1,"Low",IF(HR_Data[[#This Row],[JobSatisfaction]]=2,"Medium",IF(HR_Data[[#This Row],[JobSatisfaction]]=3,"High","Very High")))</f>
        <v>High</v>
      </c>
      <c r="AP1342" s="1" t="str">
        <f>IF(HR_Data[[#This Row],[WorkLifeBalance]]=1,"Bad",IF(HR_Data[[#This Row],[WorkLifeBalance]]=2,"Good",IF(HR_Data[[#This Row],[WorkLifeBalance]]=3,"Better","Best")))</f>
        <v>Better</v>
      </c>
    </row>
    <row r="1343" spans="1:42" x14ac:dyDescent="0.3">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c r="AJ1343">
        <f>IF(HR_Data[[#This Row],[Attrition]]="Yes",1,0)</f>
        <v>0</v>
      </c>
      <c r="AK1343">
        <f>IF(HR_Data[[#This Row],[Attrition]]="No",1,0)</f>
        <v>1</v>
      </c>
      <c r="AL1343" t="str">
        <f>IF(HR_Data[[#This Row],[Age]]&lt;25,"Under 25",IF(HR_Data[[#This Row],[Age]]&lt;=34,"25-34",IF(HR_Data[[#This Row],[Age]]&lt;=44,"35-44",IF(HR_Data[[#This Row],[Age]]&lt;=54,"45-54","55+"))))</f>
        <v>25-34</v>
      </c>
      <c r="AM1343" s="1" t="str">
        <f>IF(HR_Data[[#This Row],[MonthlyIncome]]&lt;3000,"Low Salary",IF(HR_Data[[#This Row],[MonthlyIncome]]&lt;=7000,"Medium Salary","High Salary"))</f>
        <v>Medium Salary</v>
      </c>
      <c r="AN1343" s="1" t="str">
        <f>IF(HR_Data[[#This Row],[YearsAtCompany]]&lt;2,"0-1 Years",IF(HR_Data[[#This Row],[YearsAtCompany]]&lt;=5,"2-5 Years",IF(HR_Data[[#This Row],[YearsAtCompany]]&lt;=10,"6-10 Years","10+ Years")))</f>
        <v>6-10 Years</v>
      </c>
      <c r="AO1343" s="1" t="str">
        <f>IF(HR_Data[[#This Row],[JobSatisfaction]]=1,"Low",IF(HR_Data[[#This Row],[JobSatisfaction]]=2,"Medium",IF(HR_Data[[#This Row],[JobSatisfaction]]=3,"High","Very High")))</f>
        <v>High</v>
      </c>
      <c r="AP1343" s="1" t="str">
        <f>IF(HR_Data[[#This Row],[WorkLifeBalance]]=1,"Bad",IF(HR_Data[[#This Row],[WorkLifeBalance]]=2,"Good",IF(HR_Data[[#This Row],[WorkLifeBalance]]=3,"Better","Best")))</f>
        <v>Better</v>
      </c>
    </row>
    <row r="1344" spans="1:42" x14ac:dyDescent="0.3">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c r="AJ1344">
        <f>IF(HR_Data[[#This Row],[Attrition]]="Yes",1,0)</f>
        <v>0</v>
      </c>
      <c r="AK1344">
        <f>IF(HR_Data[[#This Row],[Attrition]]="No",1,0)</f>
        <v>1</v>
      </c>
      <c r="AL1344" t="str">
        <f>IF(HR_Data[[#This Row],[Age]]&lt;25,"Under 25",IF(HR_Data[[#This Row],[Age]]&lt;=34,"25-34",IF(HR_Data[[#This Row],[Age]]&lt;=44,"35-44",IF(HR_Data[[#This Row],[Age]]&lt;=54,"45-54","55+"))))</f>
        <v>25-34</v>
      </c>
      <c r="AM1344" s="1" t="str">
        <f>IF(HR_Data[[#This Row],[MonthlyIncome]]&lt;3000,"Low Salary",IF(HR_Data[[#This Row],[MonthlyIncome]]&lt;=7000,"Medium Salary","High Salary"))</f>
        <v>High Salary</v>
      </c>
      <c r="AN1344" s="1" t="str">
        <f>IF(HR_Data[[#This Row],[YearsAtCompany]]&lt;2,"0-1 Years",IF(HR_Data[[#This Row],[YearsAtCompany]]&lt;=5,"2-5 Years",IF(HR_Data[[#This Row],[YearsAtCompany]]&lt;=10,"6-10 Years","10+ Years")))</f>
        <v>2-5 Years</v>
      </c>
      <c r="AO1344" s="1" t="str">
        <f>IF(HR_Data[[#This Row],[JobSatisfaction]]=1,"Low",IF(HR_Data[[#This Row],[JobSatisfaction]]=2,"Medium",IF(HR_Data[[#This Row],[JobSatisfaction]]=3,"High","Very High")))</f>
        <v>Very High</v>
      </c>
      <c r="AP1344" s="1" t="str">
        <f>IF(HR_Data[[#This Row],[WorkLifeBalance]]=1,"Bad",IF(HR_Data[[#This Row],[WorkLifeBalance]]=2,"Good",IF(HR_Data[[#This Row],[WorkLifeBalance]]=3,"Better","Best")))</f>
        <v>Better</v>
      </c>
    </row>
    <row r="1345" spans="1:42" x14ac:dyDescent="0.3">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c r="AJ1345">
        <f>IF(HR_Data[[#This Row],[Attrition]]="Yes",1,0)</f>
        <v>0</v>
      </c>
      <c r="AK1345">
        <f>IF(HR_Data[[#This Row],[Attrition]]="No",1,0)</f>
        <v>1</v>
      </c>
      <c r="AL1345" t="str">
        <f>IF(HR_Data[[#This Row],[Age]]&lt;25,"Under 25",IF(HR_Data[[#This Row],[Age]]&lt;=34,"25-34",IF(HR_Data[[#This Row],[Age]]&lt;=44,"35-44",IF(HR_Data[[#This Row],[Age]]&lt;=54,"45-54","55+"))))</f>
        <v>25-34</v>
      </c>
      <c r="AM1345" s="1" t="str">
        <f>IF(HR_Data[[#This Row],[MonthlyIncome]]&lt;3000,"Low Salary",IF(HR_Data[[#This Row],[MonthlyIncome]]&lt;=7000,"Medium Salary","High Salary"))</f>
        <v>Low Salary</v>
      </c>
      <c r="AN1345" s="1" t="str">
        <f>IF(HR_Data[[#This Row],[YearsAtCompany]]&lt;2,"0-1 Years",IF(HR_Data[[#This Row],[YearsAtCompany]]&lt;=5,"2-5 Years",IF(HR_Data[[#This Row],[YearsAtCompany]]&lt;=10,"6-10 Years","10+ Years")))</f>
        <v>2-5 Years</v>
      </c>
      <c r="AO1345" s="1" t="str">
        <f>IF(HR_Data[[#This Row],[JobSatisfaction]]=1,"Low",IF(HR_Data[[#This Row],[JobSatisfaction]]=2,"Medium",IF(HR_Data[[#This Row],[JobSatisfaction]]=3,"High","Very High")))</f>
        <v>Low</v>
      </c>
      <c r="AP1345" s="1" t="str">
        <f>IF(HR_Data[[#This Row],[WorkLifeBalance]]=1,"Bad",IF(HR_Data[[#This Row],[WorkLifeBalance]]=2,"Good",IF(HR_Data[[#This Row],[WorkLifeBalance]]=3,"Better","Best")))</f>
        <v>Better</v>
      </c>
    </row>
    <row r="1346" spans="1:42" x14ac:dyDescent="0.3">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c r="AJ1346">
        <f>IF(HR_Data[[#This Row],[Attrition]]="Yes",1,0)</f>
        <v>0</v>
      </c>
      <c r="AK1346">
        <f>IF(HR_Data[[#This Row],[Attrition]]="No",1,0)</f>
        <v>1</v>
      </c>
      <c r="AL1346" t="str">
        <f>IF(HR_Data[[#This Row],[Age]]&lt;25,"Under 25",IF(HR_Data[[#This Row],[Age]]&lt;=34,"25-34",IF(HR_Data[[#This Row],[Age]]&lt;=44,"35-44",IF(HR_Data[[#This Row],[Age]]&lt;=54,"45-54","55+"))))</f>
        <v>35-44</v>
      </c>
      <c r="AM1346" s="1" t="str">
        <f>IF(HR_Data[[#This Row],[MonthlyIncome]]&lt;3000,"Low Salary",IF(HR_Data[[#This Row],[MonthlyIncome]]&lt;=7000,"Medium Salary","High Salary"))</f>
        <v>Medium Salary</v>
      </c>
      <c r="AN1346" s="1" t="str">
        <f>IF(HR_Data[[#This Row],[YearsAtCompany]]&lt;2,"0-1 Years",IF(HR_Data[[#This Row],[YearsAtCompany]]&lt;=5,"2-5 Years",IF(HR_Data[[#This Row],[YearsAtCompany]]&lt;=10,"6-10 Years","10+ Years")))</f>
        <v>2-5 Years</v>
      </c>
      <c r="AO1346" s="1" t="str">
        <f>IF(HR_Data[[#This Row],[JobSatisfaction]]=1,"Low",IF(HR_Data[[#This Row],[JobSatisfaction]]=2,"Medium",IF(HR_Data[[#This Row],[JobSatisfaction]]=3,"High","Very High")))</f>
        <v>Low</v>
      </c>
      <c r="AP1346" s="1" t="str">
        <f>IF(HR_Data[[#This Row],[WorkLifeBalance]]=1,"Bad",IF(HR_Data[[#This Row],[WorkLifeBalance]]=2,"Good",IF(HR_Data[[#This Row],[WorkLifeBalance]]=3,"Better","Best")))</f>
        <v>Better</v>
      </c>
    </row>
    <row r="1347" spans="1:42" x14ac:dyDescent="0.3">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c r="AJ1347">
        <f>IF(HR_Data[[#This Row],[Attrition]]="Yes",1,0)</f>
        <v>0</v>
      </c>
      <c r="AK1347">
        <f>IF(HR_Data[[#This Row],[Attrition]]="No",1,0)</f>
        <v>1</v>
      </c>
      <c r="AL1347" t="str">
        <f>IF(HR_Data[[#This Row],[Age]]&lt;25,"Under 25",IF(HR_Data[[#This Row],[Age]]&lt;=34,"25-34",IF(HR_Data[[#This Row],[Age]]&lt;=44,"35-44",IF(HR_Data[[#This Row],[Age]]&lt;=54,"45-54","55+"))))</f>
        <v>35-44</v>
      </c>
      <c r="AM1347" s="1" t="str">
        <f>IF(HR_Data[[#This Row],[MonthlyIncome]]&lt;3000,"Low Salary",IF(HR_Data[[#This Row],[MonthlyIncome]]&lt;=7000,"Medium Salary","High Salary"))</f>
        <v>Medium Salary</v>
      </c>
      <c r="AN1347" s="1" t="str">
        <f>IF(HR_Data[[#This Row],[YearsAtCompany]]&lt;2,"0-1 Years",IF(HR_Data[[#This Row],[YearsAtCompany]]&lt;=5,"2-5 Years",IF(HR_Data[[#This Row],[YearsAtCompany]]&lt;=10,"6-10 Years","10+ Years")))</f>
        <v>2-5 Years</v>
      </c>
      <c r="AO1347" s="1" t="str">
        <f>IF(HR_Data[[#This Row],[JobSatisfaction]]=1,"Low",IF(HR_Data[[#This Row],[JobSatisfaction]]=2,"Medium",IF(HR_Data[[#This Row],[JobSatisfaction]]=3,"High","Very High")))</f>
        <v>Medium</v>
      </c>
      <c r="AP1347" s="1" t="str">
        <f>IF(HR_Data[[#This Row],[WorkLifeBalance]]=1,"Bad",IF(HR_Data[[#This Row],[WorkLifeBalance]]=2,"Good",IF(HR_Data[[#This Row],[WorkLifeBalance]]=3,"Better","Best")))</f>
        <v>Better</v>
      </c>
    </row>
    <row r="1348" spans="1:42" x14ac:dyDescent="0.3">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c r="AJ1348">
        <f>IF(HR_Data[[#This Row],[Attrition]]="Yes",1,0)</f>
        <v>0</v>
      </c>
      <c r="AK1348">
        <f>IF(HR_Data[[#This Row],[Attrition]]="No",1,0)</f>
        <v>1</v>
      </c>
      <c r="AL1348" t="str">
        <f>IF(HR_Data[[#This Row],[Age]]&lt;25,"Under 25",IF(HR_Data[[#This Row],[Age]]&lt;=34,"25-34",IF(HR_Data[[#This Row],[Age]]&lt;=44,"35-44",IF(HR_Data[[#This Row],[Age]]&lt;=54,"45-54","55+"))))</f>
        <v>45-54</v>
      </c>
      <c r="AM1348" s="1" t="str">
        <f>IF(HR_Data[[#This Row],[MonthlyIncome]]&lt;3000,"Low Salary",IF(HR_Data[[#This Row],[MonthlyIncome]]&lt;=7000,"Medium Salary","High Salary"))</f>
        <v>Medium Salary</v>
      </c>
      <c r="AN1348" s="1" t="str">
        <f>IF(HR_Data[[#This Row],[YearsAtCompany]]&lt;2,"0-1 Years",IF(HR_Data[[#This Row],[YearsAtCompany]]&lt;=5,"2-5 Years",IF(HR_Data[[#This Row],[YearsAtCompany]]&lt;=10,"6-10 Years","10+ Years")))</f>
        <v>6-10 Years</v>
      </c>
      <c r="AO1348" s="1" t="str">
        <f>IF(HR_Data[[#This Row],[JobSatisfaction]]=1,"Low",IF(HR_Data[[#This Row],[JobSatisfaction]]=2,"Medium",IF(HR_Data[[#This Row],[JobSatisfaction]]=3,"High","Very High")))</f>
        <v>Very High</v>
      </c>
      <c r="AP1348" s="1" t="str">
        <f>IF(HR_Data[[#This Row],[WorkLifeBalance]]=1,"Bad",IF(HR_Data[[#This Row],[WorkLifeBalance]]=2,"Good",IF(HR_Data[[#This Row],[WorkLifeBalance]]=3,"Better","Best")))</f>
        <v>Good</v>
      </c>
    </row>
    <row r="1349" spans="1:42" x14ac:dyDescent="0.3">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c r="AJ1349">
        <f>IF(HR_Data[[#This Row],[Attrition]]="Yes",1,0)</f>
        <v>0</v>
      </c>
      <c r="AK1349">
        <f>IF(HR_Data[[#This Row],[Attrition]]="No",1,0)</f>
        <v>1</v>
      </c>
      <c r="AL1349" t="str">
        <f>IF(HR_Data[[#This Row],[Age]]&lt;25,"Under 25",IF(HR_Data[[#This Row],[Age]]&lt;=34,"25-34",IF(HR_Data[[#This Row],[Age]]&lt;=44,"35-44",IF(HR_Data[[#This Row],[Age]]&lt;=54,"45-54","55+"))))</f>
        <v>35-44</v>
      </c>
      <c r="AM1349" s="1" t="str">
        <f>IF(HR_Data[[#This Row],[MonthlyIncome]]&lt;3000,"Low Salary",IF(HR_Data[[#This Row],[MonthlyIncome]]&lt;=7000,"Medium Salary","High Salary"))</f>
        <v>Medium Salary</v>
      </c>
      <c r="AN1349" s="1" t="str">
        <f>IF(HR_Data[[#This Row],[YearsAtCompany]]&lt;2,"0-1 Years",IF(HR_Data[[#This Row],[YearsAtCompany]]&lt;=5,"2-5 Years",IF(HR_Data[[#This Row],[YearsAtCompany]]&lt;=10,"6-10 Years","10+ Years")))</f>
        <v>6-10 Years</v>
      </c>
      <c r="AO1349" s="1" t="str">
        <f>IF(HR_Data[[#This Row],[JobSatisfaction]]=1,"Low",IF(HR_Data[[#This Row],[JobSatisfaction]]=2,"Medium",IF(HR_Data[[#This Row],[JobSatisfaction]]=3,"High","Very High")))</f>
        <v>Very High</v>
      </c>
      <c r="AP1349" s="1" t="str">
        <f>IF(HR_Data[[#This Row],[WorkLifeBalance]]=1,"Bad",IF(HR_Data[[#This Row],[WorkLifeBalance]]=2,"Good",IF(HR_Data[[#This Row],[WorkLifeBalance]]=3,"Better","Best")))</f>
        <v>Good</v>
      </c>
    </row>
    <row r="1350" spans="1:42" x14ac:dyDescent="0.3">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c r="AJ1350">
        <f>IF(HR_Data[[#This Row],[Attrition]]="Yes",1,0)</f>
        <v>0</v>
      </c>
      <c r="AK1350">
        <f>IF(HR_Data[[#This Row],[Attrition]]="No",1,0)</f>
        <v>1</v>
      </c>
      <c r="AL1350" t="str">
        <f>IF(HR_Data[[#This Row],[Age]]&lt;25,"Under 25",IF(HR_Data[[#This Row],[Age]]&lt;=34,"25-34",IF(HR_Data[[#This Row],[Age]]&lt;=44,"35-44",IF(HR_Data[[#This Row],[Age]]&lt;=54,"45-54","55+"))))</f>
        <v>35-44</v>
      </c>
      <c r="AM1350" s="1" t="str">
        <f>IF(HR_Data[[#This Row],[MonthlyIncome]]&lt;3000,"Low Salary",IF(HR_Data[[#This Row],[MonthlyIncome]]&lt;=7000,"Medium Salary","High Salary"))</f>
        <v>High Salary</v>
      </c>
      <c r="AN1350" s="1" t="str">
        <f>IF(HR_Data[[#This Row],[YearsAtCompany]]&lt;2,"0-1 Years",IF(HR_Data[[#This Row],[YearsAtCompany]]&lt;=5,"2-5 Years",IF(HR_Data[[#This Row],[YearsAtCompany]]&lt;=10,"6-10 Years","10+ Years")))</f>
        <v>10+ Years</v>
      </c>
      <c r="AO1350" s="1" t="str">
        <f>IF(HR_Data[[#This Row],[JobSatisfaction]]=1,"Low",IF(HR_Data[[#This Row],[JobSatisfaction]]=2,"Medium",IF(HR_Data[[#This Row],[JobSatisfaction]]=3,"High","Very High")))</f>
        <v>Low</v>
      </c>
      <c r="AP1350" s="1" t="str">
        <f>IF(HR_Data[[#This Row],[WorkLifeBalance]]=1,"Bad",IF(HR_Data[[#This Row],[WorkLifeBalance]]=2,"Good",IF(HR_Data[[#This Row],[WorkLifeBalance]]=3,"Better","Best")))</f>
        <v>Better</v>
      </c>
    </row>
    <row r="1351" spans="1:42" x14ac:dyDescent="0.3">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c r="AJ1351">
        <f>IF(HR_Data[[#This Row],[Attrition]]="Yes",1,0)</f>
        <v>0</v>
      </c>
      <c r="AK1351">
        <f>IF(HR_Data[[#This Row],[Attrition]]="No",1,0)</f>
        <v>1</v>
      </c>
      <c r="AL1351" t="str">
        <f>IF(HR_Data[[#This Row],[Age]]&lt;25,"Under 25",IF(HR_Data[[#This Row],[Age]]&lt;=34,"25-34",IF(HR_Data[[#This Row],[Age]]&lt;=44,"35-44",IF(HR_Data[[#This Row],[Age]]&lt;=54,"45-54","55+"))))</f>
        <v>25-34</v>
      </c>
      <c r="AM1351" s="1" t="str">
        <f>IF(HR_Data[[#This Row],[MonthlyIncome]]&lt;3000,"Low Salary",IF(HR_Data[[#This Row],[MonthlyIncome]]&lt;=7000,"Medium Salary","High Salary"))</f>
        <v>Low Salary</v>
      </c>
      <c r="AN1351" s="1" t="str">
        <f>IF(HR_Data[[#This Row],[YearsAtCompany]]&lt;2,"0-1 Years",IF(HR_Data[[#This Row],[YearsAtCompany]]&lt;=5,"2-5 Years",IF(HR_Data[[#This Row],[YearsAtCompany]]&lt;=10,"6-10 Years","10+ Years")))</f>
        <v>0-1 Years</v>
      </c>
      <c r="AO1351" s="1" t="str">
        <f>IF(HR_Data[[#This Row],[JobSatisfaction]]=1,"Low",IF(HR_Data[[#This Row],[JobSatisfaction]]=2,"Medium",IF(HR_Data[[#This Row],[JobSatisfaction]]=3,"High","Very High")))</f>
        <v>High</v>
      </c>
      <c r="AP1351" s="1" t="str">
        <f>IF(HR_Data[[#This Row],[WorkLifeBalance]]=1,"Bad",IF(HR_Data[[#This Row],[WorkLifeBalance]]=2,"Good",IF(HR_Data[[#This Row],[WorkLifeBalance]]=3,"Better","Best")))</f>
        <v>Good</v>
      </c>
    </row>
    <row r="1352" spans="1:42" x14ac:dyDescent="0.3">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c r="AJ1352">
        <f>IF(HR_Data[[#This Row],[Attrition]]="Yes",1,0)</f>
        <v>0</v>
      </c>
      <c r="AK1352">
        <f>IF(HR_Data[[#This Row],[Attrition]]="No",1,0)</f>
        <v>1</v>
      </c>
      <c r="AL1352" t="str">
        <f>IF(HR_Data[[#This Row],[Age]]&lt;25,"Under 25",IF(HR_Data[[#This Row],[Age]]&lt;=34,"25-34",IF(HR_Data[[#This Row],[Age]]&lt;=44,"35-44",IF(HR_Data[[#This Row],[Age]]&lt;=54,"45-54","55+"))))</f>
        <v>25-34</v>
      </c>
      <c r="AM1352" s="1" t="str">
        <f>IF(HR_Data[[#This Row],[MonthlyIncome]]&lt;3000,"Low Salary",IF(HR_Data[[#This Row],[MonthlyIncome]]&lt;=7000,"Medium Salary","High Salary"))</f>
        <v>Medium Salary</v>
      </c>
      <c r="AN1352" s="1" t="str">
        <f>IF(HR_Data[[#This Row],[YearsAtCompany]]&lt;2,"0-1 Years",IF(HR_Data[[#This Row],[YearsAtCompany]]&lt;=5,"2-5 Years",IF(HR_Data[[#This Row],[YearsAtCompany]]&lt;=10,"6-10 Years","10+ Years")))</f>
        <v>6-10 Years</v>
      </c>
      <c r="AO1352" s="1" t="str">
        <f>IF(HR_Data[[#This Row],[JobSatisfaction]]=1,"Low",IF(HR_Data[[#This Row],[JobSatisfaction]]=2,"Medium",IF(HR_Data[[#This Row],[JobSatisfaction]]=3,"High","Very High")))</f>
        <v>High</v>
      </c>
      <c r="AP1352" s="1" t="str">
        <f>IF(HR_Data[[#This Row],[WorkLifeBalance]]=1,"Bad",IF(HR_Data[[#This Row],[WorkLifeBalance]]=2,"Good",IF(HR_Data[[#This Row],[WorkLifeBalance]]=3,"Better","Best")))</f>
        <v>Good</v>
      </c>
    </row>
    <row r="1353" spans="1:42" x14ac:dyDescent="0.3">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c r="AJ1353">
        <f>IF(HR_Data[[#This Row],[Attrition]]="Yes",1,0)</f>
        <v>0</v>
      </c>
      <c r="AK1353">
        <f>IF(HR_Data[[#This Row],[Attrition]]="No",1,0)</f>
        <v>1</v>
      </c>
      <c r="AL1353" t="str">
        <f>IF(HR_Data[[#This Row],[Age]]&lt;25,"Under 25",IF(HR_Data[[#This Row],[Age]]&lt;=34,"25-34",IF(HR_Data[[#This Row],[Age]]&lt;=44,"35-44",IF(HR_Data[[#This Row],[Age]]&lt;=54,"45-54","55+"))))</f>
        <v>45-54</v>
      </c>
      <c r="AM1353" s="1" t="str">
        <f>IF(HR_Data[[#This Row],[MonthlyIncome]]&lt;3000,"Low Salary",IF(HR_Data[[#This Row],[MonthlyIncome]]&lt;=7000,"Medium Salary","High Salary"))</f>
        <v>High Salary</v>
      </c>
      <c r="AN1353" s="1" t="str">
        <f>IF(HR_Data[[#This Row],[YearsAtCompany]]&lt;2,"0-1 Years",IF(HR_Data[[#This Row],[YearsAtCompany]]&lt;=5,"2-5 Years",IF(HR_Data[[#This Row],[YearsAtCompany]]&lt;=10,"6-10 Years","10+ Years")))</f>
        <v>10+ Years</v>
      </c>
      <c r="AO1353" s="1" t="str">
        <f>IF(HR_Data[[#This Row],[JobSatisfaction]]=1,"Low",IF(HR_Data[[#This Row],[JobSatisfaction]]=2,"Medium",IF(HR_Data[[#This Row],[JobSatisfaction]]=3,"High","Very High")))</f>
        <v>Very High</v>
      </c>
      <c r="AP1353" s="1" t="str">
        <f>IF(HR_Data[[#This Row],[WorkLifeBalance]]=1,"Bad",IF(HR_Data[[#This Row],[WorkLifeBalance]]=2,"Good",IF(HR_Data[[#This Row],[WorkLifeBalance]]=3,"Better","Best")))</f>
        <v>Better</v>
      </c>
    </row>
    <row r="1354" spans="1:42" x14ac:dyDescent="0.3">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c r="AJ1354">
        <f>IF(HR_Data[[#This Row],[Attrition]]="Yes",1,0)</f>
        <v>0</v>
      </c>
      <c r="AK1354">
        <f>IF(HR_Data[[#This Row],[Attrition]]="No",1,0)</f>
        <v>1</v>
      </c>
      <c r="AL1354" t="str">
        <f>IF(HR_Data[[#This Row],[Age]]&lt;25,"Under 25",IF(HR_Data[[#This Row],[Age]]&lt;=34,"25-34",IF(HR_Data[[#This Row],[Age]]&lt;=44,"35-44",IF(HR_Data[[#This Row],[Age]]&lt;=54,"45-54","55+"))))</f>
        <v>35-44</v>
      </c>
      <c r="AM1354" s="1" t="str">
        <f>IF(HR_Data[[#This Row],[MonthlyIncome]]&lt;3000,"Low Salary",IF(HR_Data[[#This Row],[MonthlyIncome]]&lt;=7000,"Medium Salary","High Salary"))</f>
        <v>Medium Salary</v>
      </c>
      <c r="AN1354" s="1" t="str">
        <f>IF(HR_Data[[#This Row],[YearsAtCompany]]&lt;2,"0-1 Years",IF(HR_Data[[#This Row],[YearsAtCompany]]&lt;=5,"2-5 Years",IF(HR_Data[[#This Row],[YearsAtCompany]]&lt;=10,"6-10 Years","10+ Years")))</f>
        <v>2-5 Years</v>
      </c>
      <c r="AO1354" s="1" t="str">
        <f>IF(HR_Data[[#This Row],[JobSatisfaction]]=1,"Low",IF(HR_Data[[#This Row],[JobSatisfaction]]=2,"Medium",IF(HR_Data[[#This Row],[JobSatisfaction]]=3,"High","Very High")))</f>
        <v>Low</v>
      </c>
      <c r="AP1354" s="1" t="str">
        <f>IF(HR_Data[[#This Row],[WorkLifeBalance]]=1,"Bad",IF(HR_Data[[#This Row],[WorkLifeBalance]]=2,"Good",IF(HR_Data[[#This Row],[WorkLifeBalance]]=3,"Better","Best")))</f>
        <v>Better</v>
      </c>
    </row>
    <row r="1355" spans="1:42" x14ac:dyDescent="0.3">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c r="AJ1355">
        <f>IF(HR_Data[[#This Row],[Attrition]]="Yes",1,0)</f>
        <v>1</v>
      </c>
      <c r="AK1355">
        <f>IF(HR_Data[[#This Row],[Attrition]]="No",1,0)</f>
        <v>0</v>
      </c>
      <c r="AL1355" t="str">
        <f>IF(HR_Data[[#This Row],[Age]]&lt;25,"Under 25",IF(HR_Data[[#This Row],[Age]]&lt;=34,"25-34",IF(HR_Data[[#This Row],[Age]]&lt;=44,"35-44",IF(HR_Data[[#This Row],[Age]]&lt;=54,"45-54","55+"))))</f>
        <v>25-34</v>
      </c>
      <c r="AM1355" s="1" t="str">
        <f>IF(HR_Data[[#This Row],[MonthlyIncome]]&lt;3000,"Low Salary",IF(HR_Data[[#This Row],[MonthlyIncome]]&lt;=7000,"Medium Salary","High Salary"))</f>
        <v>Low Salary</v>
      </c>
      <c r="AN1355" s="1" t="str">
        <f>IF(HR_Data[[#This Row],[YearsAtCompany]]&lt;2,"0-1 Years",IF(HR_Data[[#This Row],[YearsAtCompany]]&lt;=5,"2-5 Years",IF(HR_Data[[#This Row],[YearsAtCompany]]&lt;=10,"6-10 Years","10+ Years")))</f>
        <v>2-5 Years</v>
      </c>
      <c r="AO1355" s="1" t="str">
        <f>IF(HR_Data[[#This Row],[JobSatisfaction]]=1,"Low",IF(HR_Data[[#This Row],[JobSatisfaction]]=2,"Medium",IF(HR_Data[[#This Row],[JobSatisfaction]]=3,"High","Very High")))</f>
        <v>Low</v>
      </c>
      <c r="AP1355" s="1" t="str">
        <f>IF(HR_Data[[#This Row],[WorkLifeBalance]]=1,"Bad",IF(HR_Data[[#This Row],[WorkLifeBalance]]=2,"Good",IF(HR_Data[[#This Row],[WorkLifeBalance]]=3,"Better","Best")))</f>
        <v>Better</v>
      </c>
    </row>
    <row r="1356" spans="1:42" x14ac:dyDescent="0.3">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c r="AJ1356">
        <f>IF(HR_Data[[#This Row],[Attrition]]="Yes",1,0)</f>
        <v>1</v>
      </c>
      <c r="AK1356">
        <f>IF(HR_Data[[#This Row],[Attrition]]="No",1,0)</f>
        <v>0</v>
      </c>
      <c r="AL1356" t="str">
        <f>IF(HR_Data[[#This Row],[Age]]&lt;25,"Under 25",IF(HR_Data[[#This Row],[Age]]&lt;=34,"25-34",IF(HR_Data[[#This Row],[Age]]&lt;=44,"35-44",IF(HR_Data[[#This Row],[Age]]&lt;=54,"45-54","55+"))))</f>
        <v>55+</v>
      </c>
      <c r="AM1356" s="1" t="str">
        <f>IF(HR_Data[[#This Row],[MonthlyIncome]]&lt;3000,"Low Salary",IF(HR_Data[[#This Row],[MonthlyIncome]]&lt;=7000,"Medium Salary","High Salary"))</f>
        <v>Low Salary</v>
      </c>
      <c r="AN1356" s="1" t="str">
        <f>IF(HR_Data[[#This Row],[YearsAtCompany]]&lt;2,"0-1 Years",IF(HR_Data[[#This Row],[YearsAtCompany]]&lt;=5,"2-5 Years",IF(HR_Data[[#This Row],[YearsAtCompany]]&lt;=10,"6-10 Years","10+ Years")))</f>
        <v>2-5 Years</v>
      </c>
      <c r="AO1356" s="1" t="str">
        <f>IF(HR_Data[[#This Row],[JobSatisfaction]]=1,"Low",IF(HR_Data[[#This Row],[JobSatisfaction]]=2,"Medium",IF(HR_Data[[#This Row],[JobSatisfaction]]=3,"High","Very High")))</f>
        <v>Very High</v>
      </c>
      <c r="AP1356" s="1" t="str">
        <f>IF(HR_Data[[#This Row],[WorkLifeBalance]]=1,"Bad",IF(HR_Data[[#This Row],[WorkLifeBalance]]=2,"Good",IF(HR_Data[[#This Row],[WorkLifeBalance]]=3,"Better","Best")))</f>
        <v>Better</v>
      </c>
    </row>
    <row r="1357" spans="1:42" x14ac:dyDescent="0.3">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c r="AJ1357">
        <f>IF(HR_Data[[#This Row],[Attrition]]="Yes",1,0)</f>
        <v>0</v>
      </c>
      <c r="AK1357">
        <f>IF(HR_Data[[#This Row],[Attrition]]="No",1,0)</f>
        <v>1</v>
      </c>
      <c r="AL1357" t="str">
        <f>IF(HR_Data[[#This Row],[Age]]&lt;25,"Under 25",IF(HR_Data[[#This Row],[Age]]&lt;=34,"25-34",IF(HR_Data[[#This Row],[Age]]&lt;=44,"35-44",IF(HR_Data[[#This Row],[Age]]&lt;=54,"45-54","55+"))))</f>
        <v>35-44</v>
      </c>
      <c r="AM1357" s="1" t="str">
        <f>IF(HR_Data[[#This Row],[MonthlyIncome]]&lt;3000,"Low Salary",IF(HR_Data[[#This Row],[MonthlyIncome]]&lt;=7000,"Medium Salary","High Salary"))</f>
        <v>Medium Salary</v>
      </c>
      <c r="AN1357" s="1" t="str">
        <f>IF(HR_Data[[#This Row],[YearsAtCompany]]&lt;2,"0-1 Years",IF(HR_Data[[#This Row],[YearsAtCompany]]&lt;=5,"2-5 Years",IF(HR_Data[[#This Row],[YearsAtCompany]]&lt;=10,"6-10 Years","10+ Years")))</f>
        <v>2-5 Years</v>
      </c>
      <c r="AO1357" s="1" t="str">
        <f>IF(HR_Data[[#This Row],[JobSatisfaction]]=1,"Low",IF(HR_Data[[#This Row],[JobSatisfaction]]=2,"Medium",IF(HR_Data[[#This Row],[JobSatisfaction]]=3,"High","Very High")))</f>
        <v>Medium</v>
      </c>
      <c r="AP1357" s="1" t="str">
        <f>IF(HR_Data[[#This Row],[WorkLifeBalance]]=1,"Bad",IF(HR_Data[[#This Row],[WorkLifeBalance]]=2,"Good",IF(HR_Data[[#This Row],[WorkLifeBalance]]=3,"Better","Best")))</f>
        <v>Bad</v>
      </c>
    </row>
    <row r="1358" spans="1:42" x14ac:dyDescent="0.3">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c r="AJ1358">
        <f>IF(HR_Data[[#This Row],[Attrition]]="Yes",1,0)</f>
        <v>0</v>
      </c>
      <c r="AK1358">
        <f>IF(HR_Data[[#This Row],[Attrition]]="No",1,0)</f>
        <v>1</v>
      </c>
      <c r="AL1358" t="str">
        <f>IF(HR_Data[[#This Row],[Age]]&lt;25,"Under 25",IF(HR_Data[[#This Row],[Age]]&lt;=34,"25-34",IF(HR_Data[[#This Row],[Age]]&lt;=44,"35-44",IF(HR_Data[[#This Row],[Age]]&lt;=54,"45-54","55+"))))</f>
        <v>35-44</v>
      </c>
      <c r="AM1358" s="1" t="str">
        <f>IF(HR_Data[[#This Row],[MonthlyIncome]]&lt;3000,"Low Salary",IF(HR_Data[[#This Row],[MonthlyIncome]]&lt;=7000,"Medium Salary","High Salary"))</f>
        <v>Medium Salary</v>
      </c>
      <c r="AN1358" s="1" t="str">
        <f>IF(HR_Data[[#This Row],[YearsAtCompany]]&lt;2,"0-1 Years",IF(HR_Data[[#This Row],[YearsAtCompany]]&lt;=5,"2-5 Years",IF(HR_Data[[#This Row],[YearsAtCompany]]&lt;=10,"6-10 Years","10+ Years")))</f>
        <v>2-5 Years</v>
      </c>
      <c r="AO1358" s="1" t="str">
        <f>IF(HR_Data[[#This Row],[JobSatisfaction]]=1,"Low",IF(HR_Data[[#This Row],[JobSatisfaction]]=2,"Medium",IF(HR_Data[[#This Row],[JobSatisfaction]]=3,"High","Very High")))</f>
        <v>Medium</v>
      </c>
      <c r="AP1358" s="1" t="str">
        <f>IF(HR_Data[[#This Row],[WorkLifeBalance]]=1,"Bad",IF(HR_Data[[#This Row],[WorkLifeBalance]]=2,"Good",IF(HR_Data[[#This Row],[WorkLifeBalance]]=3,"Better","Best")))</f>
        <v>Better</v>
      </c>
    </row>
    <row r="1359" spans="1:42" x14ac:dyDescent="0.3">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c r="AJ1359">
        <f>IF(HR_Data[[#This Row],[Attrition]]="Yes",1,0)</f>
        <v>0</v>
      </c>
      <c r="AK1359">
        <f>IF(HR_Data[[#This Row],[Attrition]]="No",1,0)</f>
        <v>1</v>
      </c>
      <c r="AL1359" t="str">
        <f>IF(HR_Data[[#This Row],[Age]]&lt;25,"Under 25",IF(HR_Data[[#This Row],[Age]]&lt;=34,"25-34",IF(HR_Data[[#This Row],[Age]]&lt;=44,"35-44",IF(HR_Data[[#This Row],[Age]]&lt;=54,"45-54","55+"))))</f>
        <v>35-44</v>
      </c>
      <c r="AM1359" s="1" t="str">
        <f>IF(HR_Data[[#This Row],[MonthlyIncome]]&lt;3000,"Low Salary",IF(HR_Data[[#This Row],[MonthlyIncome]]&lt;=7000,"Medium Salary","High Salary"))</f>
        <v>High Salary</v>
      </c>
      <c r="AN1359" s="1" t="str">
        <f>IF(HR_Data[[#This Row],[YearsAtCompany]]&lt;2,"0-1 Years",IF(HR_Data[[#This Row],[YearsAtCompany]]&lt;=5,"2-5 Years",IF(HR_Data[[#This Row],[YearsAtCompany]]&lt;=10,"6-10 Years","10+ Years")))</f>
        <v>10+ Years</v>
      </c>
      <c r="AO1359" s="1" t="str">
        <f>IF(HR_Data[[#This Row],[JobSatisfaction]]=1,"Low",IF(HR_Data[[#This Row],[JobSatisfaction]]=2,"Medium",IF(HR_Data[[#This Row],[JobSatisfaction]]=3,"High","Very High")))</f>
        <v>Low</v>
      </c>
      <c r="AP1359" s="1" t="str">
        <f>IF(HR_Data[[#This Row],[WorkLifeBalance]]=1,"Bad",IF(HR_Data[[#This Row],[WorkLifeBalance]]=2,"Good",IF(HR_Data[[#This Row],[WorkLifeBalance]]=3,"Better","Best")))</f>
        <v>Best</v>
      </c>
    </row>
    <row r="1360" spans="1:42" x14ac:dyDescent="0.3">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c r="AJ1360">
        <f>IF(HR_Data[[#This Row],[Attrition]]="Yes",1,0)</f>
        <v>0</v>
      </c>
      <c r="AK1360">
        <f>IF(HR_Data[[#This Row],[Attrition]]="No",1,0)</f>
        <v>1</v>
      </c>
      <c r="AL1360" t="str">
        <f>IF(HR_Data[[#This Row],[Age]]&lt;25,"Under 25",IF(HR_Data[[#This Row],[Age]]&lt;=34,"25-34",IF(HR_Data[[#This Row],[Age]]&lt;=44,"35-44",IF(HR_Data[[#This Row],[Age]]&lt;=54,"45-54","55+"))))</f>
        <v>25-34</v>
      </c>
      <c r="AM1360" s="1" t="str">
        <f>IF(HR_Data[[#This Row],[MonthlyIncome]]&lt;3000,"Low Salary",IF(HR_Data[[#This Row],[MonthlyIncome]]&lt;=7000,"Medium Salary","High Salary"))</f>
        <v>Medium Salary</v>
      </c>
      <c r="AN1360" s="1" t="str">
        <f>IF(HR_Data[[#This Row],[YearsAtCompany]]&lt;2,"0-1 Years",IF(HR_Data[[#This Row],[YearsAtCompany]]&lt;=5,"2-5 Years",IF(HR_Data[[#This Row],[YearsAtCompany]]&lt;=10,"6-10 Years","10+ Years")))</f>
        <v>2-5 Years</v>
      </c>
      <c r="AO1360" s="1" t="str">
        <f>IF(HR_Data[[#This Row],[JobSatisfaction]]=1,"Low",IF(HR_Data[[#This Row],[JobSatisfaction]]=2,"Medium",IF(HR_Data[[#This Row],[JobSatisfaction]]=3,"High","Very High")))</f>
        <v>Very High</v>
      </c>
      <c r="AP1360" s="1" t="str">
        <f>IF(HR_Data[[#This Row],[WorkLifeBalance]]=1,"Bad",IF(HR_Data[[#This Row],[WorkLifeBalance]]=2,"Good",IF(HR_Data[[#This Row],[WorkLifeBalance]]=3,"Better","Best")))</f>
        <v>Better</v>
      </c>
    </row>
    <row r="1361" spans="1:42" x14ac:dyDescent="0.3">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c r="AJ1361">
        <f>IF(HR_Data[[#This Row],[Attrition]]="Yes",1,0)</f>
        <v>0</v>
      </c>
      <c r="AK1361">
        <f>IF(HR_Data[[#This Row],[Attrition]]="No",1,0)</f>
        <v>1</v>
      </c>
      <c r="AL1361" t="str">
        <f>IF(HR_Data[[#This Row],[Age]]&lt;25,"Under 25",IF(HR_Data[[#This Row],[Age]]&lt;=34,"25-34",IF(HR_Data[[#This Row],[Age]]&lt;=44,"35-44",IF(HR_Data[[#This Row],[Age]]&lt;=54,"45-54","55+"))))</f>
        <v>25-34</v>
      </c>
      <c r="AM1361" s="1" t="str">
        <f>IF(HR_Data[[#This Row],[MonthlyIncome]]&lt;3000,"Low Salary",IF(HR_Data[[#This Row],[MonthlyIncome]]&lt;=7000,"Medium Salary","High Salary"))</f>
        <v>High Salary</v>
      </c>
      <c r="AN1361" s="1" t="str">
        <f>IF(HR_Data[[#This Row],[YearsAtCompany]]&lt;2,"0-1 Years",IF(HR_Data[[#This Row],[YearsAtCompany]]&lt;=5,"2-5 Years",IF(HR_Data[[#This Row],[YearsAtCompany]]&lt;=10,"6-10 Years","10+ Years")))</f>
        <v>2-5 Years</v>
      </c>
      <c r="AO1361" s="1" t="str">
        <f>IF(HR_Data[[#This Row],[JobSatisfaction]]=1,"Low",IF(HR_Data[[#This Row],[JobSatisfaction]]=2,"Medium",IF(HR_Data[[#This Row],[JobSatisfaction]]=3,"High","Very High")))</f>
        <v>Very High</v>
      </c>
      <c r="AP1361" s="1" t="str">
        <f>IF(HR_Data[[#This Row],[WorkLifeBalance]]=1,"Bad",IF(HR_Data[[#This Row],[WorkLifeBalance]]=2,"Good",IF(HR_Data[[#This Row],[WorkLifeBalance]]=3,"Better","Best")))</f>
        <v>Good</v>
      </c>
    </row>
    <row r="1362" spans="1:42" x14ac:dyDescent="0.3">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c r="AJ1362">
        <f>IF(HR_Data[[#This Row],[Attrition]]="Yes",1,0)</f>
        <v>0</v>
      </c>
      <c r="AK1362">
        <f>IF(HR_Data[[#This Row],[Attrition]]="No",1,0)</f>
        <v>1</v>
      </c>
      <c r="AL1362" t="str">
        <f>IF(HR_Data[[#This Row],[Age]]&lt;25,"Under 25",IF(HR_Data[[#This Row],[Age]]&lt;=34,"25-34",IF(HR_Data[[#This Row],[Age]]&lt;=44,"35-44",IF(HR_Data[[#This Row],[Age]]&lt;=54,"45-54","55+"))))</f>
        <v>25-34</v>
      </c>
      <c r="AM1362" s="1" t="str">
        <f>IF(HR_Data[[#This Row],[MonthlyIncome]]&lt;3000,"Low Salary",IF(HR_Data[[#This Row],[MonthlyIncome]]&lt;=7000,"Medium Salary","High Salary"))</f>
        <v>Medium Salary</v>
      </c>
      <c r="AN1362" s="1" t="str">
        <f>IF(HR_Data[[#This Row],[YearsAtCompany]]&lt;2,"0-1 Years",IF(HR_Data[[#This Row],[YearsAtCompany]]&lt;=5,"2-5 Years",IF(HR_Data[[#This Row],[YearsAtCompany]]&lt;=10,"6-10 Years","10+ Years")))</f>
        <v>2-5 Years</v>
      </c>
      <c r="AO1362" s="1" t="str">
        <f>IF(HR_Data[[#This Row],[JobSatisfaction]]=1,"Low",IF(HR_Data[[#This Row],[JobSatisfaction]]=2,"Medium",IF(HR_Data[[#This Row],[JobSatisfaction]]=3,"High","Very High")))</f>
        <v>High</v>
      </c>
      <c r="AP1362" s="1" t="str">
        <f>IF(HR_Data[[#This Row],[WorkLifeBalance]]=1,"Bad",IF(HR_Data[[#This Row],[WorkLifeBalance]]=2,"Good",IF(HR_Data[[#This Row],[WorkLifeBalance]]=3,"Better","Best")))</f>
        <v>Good</v>
      </c>
    </row>
    <row r="1363" spans="1:42" x14ac:dyDescent="0.3">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c r="AJ1363">
        <f>IF(HR_Data[[#This Row],[Attrition]]="Yes",1,0)</f>
        <v>0</v>
      </c>
      <c r="AK1363">
        <f>IF(HR_Data[[#This Row],[Attrition]]="No",1,0)</f>
        <v>1</v>
      </c>
      <c r="AL1363" t="str">
        <f>IF(HR_Data[[#This Row],[Age]]&lt;25,"Under 25",IF(HR_Data[[#This Row],[Age]]&lt;=34,"25-34",IF(HR_Data[[#This Row],[Age]]&lt;=44,"35-44",IF(HR_Data[[#This Row],[Age]]&lt;=54,"45-54","55+"))))</f>
        <v>25-34</v>
      </c>
      <c r="AM1363" s="1" t="str">
        <f>IF(HR_Data[[#This Row],[MonthlyIncome]]&lt;3000,"Low Salary",IF(HR_Data[[#This Row],[MonthlyIncome]]&lt;=7000,"Medium Salary","High Salary"))</f>
        <v>Low Salary</v>
      </c>
      <c r="AN1363" s="1" t="str">
        <f>IF(HR_Data[[#This Row],[YearsAtCompany]]&lt;2,"0-1 Years",IF(HR_Data[[#This Row],[YearsAtCompany]]&lt;=5,"2-5 Years",IF(HR_Data[[#This Row],[YearsAtCompany]]&lt;=10,"6-10 Years","10+ Years")))</f>
        <v>6-10 Years</v>
      </c>
      <c r="AO1363" s="1" t="str">
        <f>IF(HR_Data[[#This Row],[JobSatisfaction]]=1,"Low",IF(HR_Data[[#This Row],[JobSatisfaction]]=2,"Medium",IF(HR_Data[[#This Row],[JobSatisfaction]]=3,"High","Very High")))</f>
        <v>Very High</v>
      </c>
      <c r="AP1363" s="1" t="str">
        <f>IF(HR_Data[[#This Row],[WorkLifeBalance]]=1,"Bad",IF(HR_Data[[#This Row],[WorkLifeBalance]]=2,"Good",IF(HR_Data[[#This Row],[WorkLifeBalance]]=3,"Better","Best")))</f>
        <v>Better</v>
      </c>
    </row>
    <row r="1364" spans="1:42" x14ac:dyDescent="0.3">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c r="AJ1364">
        <f>IF(HR_Data[[#This Row],[Attrition]]="Yes",1,0)</f>
        <v>0</v>
      </c>
      <c r="AK1364">
        <f>IF(HR_Data[[#This Row],[Attrition]]="No",1,0)</f>
        <v>1</v>
      </c>
      <c r="AL1364" t="str">
        <f>IF(HR_Data[[#This Row],[Age]]&lt;25,"Under 25",IF(HR_Data[[#This Row],[Age]]&lt;=34,"25-34",IF(HR_Data[[#This Row],[Age]]&lt;=44,"35-44",IF(HR_Data[[#This Row],[Age]]&lt;=54,"45-54","55+"))))</f>
        <v>45-54</v>
      </c>
      <c r="AM1364" s="1" t="str">
        <f>IF(HR_Data[[#This Row],[MonthlyIncome]]&lt;3000,"Low Salary",IF(HR_Data[[#This Row],[MonthlyIncome]]&lt;=7000,"Medium Salary","High Salary"))</f>
        <v>Medium Salary</v>
      </c>
      <c r="AN1364" s="1" t="str">
        <f>IF(HR_Data[[#This Row],[YearsAtCompany]]&lt;2,"0-1 Years",IF(HR_Data[[#This Row],[YearsAtCompany]]&lt;=5,"2-5 Years",IF(HR_Data[[#This Row],[YearsAtCompany]]&lt;=10,"6-10 Years","10+ Years")))</f>
        <v>2-5 Years</v>
      </c>
      <c r="AO1364" s="1" t="str">
        <f>IF(HR_Data[[#This Row],[JobSatisfaction]]=1,"Low",IF(HR_Data[[#This Row],[JobSatisfaction]]=2,"Medium",IF(HR_Data[[#This Row],[JobSatisfaction]]=3,"High","Very High")))</f>
        <v>High</v>
      </c>
      <c r="AP1364" s="1" t="str">
        <f>IF(HR_Data[[#This Row],[WorkLifeBalance]]=1,"Bad",IF(HR_Data[[#This Row],[WorkLifeBalance]]=2,"Good",IF(HR_Data[[#This Row],[WorkLifeBalance]]=3,"Better","Best")))</f>
        <v>Better</v>
      </c>
    </row>
    <row r="1365" spans="1:42" x14ac:dyDescent="0.3">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c r="AJ1365">
        <f>IF(HR_Data[[#This Row],[Attrition]]="Yes",1,0)</f>
        <v>0</v>
      </c>
      <c r="AK1365">
        <f>IF(HR_Data[[#This Row],[Attrition]]="No",1,0)</f>
        <v>1</v>
      </c>
      <c r="AL1365" t="str">
        <f>IF(HR_Data[[#This Row],[Age]]&lt;25,"Under 25",IF(HR_Data[[#This Row],[Age]]&lt;=34,"25-34",IF(HR_Data[[#This Row],[Age]]&lt;=44,"35-44",IF(HR_Data[[#This Row],[Age]]&lt;=54,"45-54","55+"))))</f>
        <v>25-34</v>
      </c>
      <c r="AM1365" s="1" t="str">
        <f>IF(HR_Data[[#This Row],[MonthlyIncome]]&lt;3000,"Low Salary",IF(HR_Data[[#This Row],[MonthlyIncome]]&lt;=7000,"Medium Salary","High Salary"))</f>
        <v>Medium Salary</v>
      </c>
      <c r="AN1365" s="1" t="str">
        <f>IF(HR_Data[[#This Row],[YearsAtCompany]]&lt;2,"0-1 Years",IF(HR_Data[[#This Row],[YearsAtCompany]]&lt;=5,"2-5 Years",IF(HR_Data[[#This Row],[YearsAtCompany]]&lt;=10,"6-10 Years","10+ Years")))</f>
        <v>6-10 Years</v>
      </c>
      <c r="AO1365" s="1" t="str">
        <f>IF(HR_Data[[#This Row],[JobSatisfaction]]=1,"Low",IF(HR_Data[[#This Row],[JobSatisfaction]]=2,"Medium",IF(HR_Data[[#This Row],[JobSatisfaction]]=3,"High","Very High")))</f>
        <v>High</v>
      </c>
      <c r="AP1365" s="1" t="str">
        <f>IF(HR_Data[[#This Row],[WorkLifeBalance]]=1,"Bad",IF(HR_Data[[#This Row],[WorkLifeBalance]]=2,"Good",IF(HR_Data[[#This Row],[WorkLifeBalance]]=3,"Better","Best")))</f>
        <v>Good</v>
      </c>
    </row>
    <row r="1366" spans="1:42" x14ac:dyDescent="0.3">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c r="AJ1366">
        <f>IF(HR_Data[[#This Row],[Attrition]]="Yes",1,0)</f>
        <v>0</v>
      </c>
      <c r="AK1366">
        <f>IF(HR_Data[[#This Row],[Attrition]]="No",1,0)</f>
        <v>1</v>
      </c>
      <c r="AL1366" t="str">
        <f>IF(HR_Data[[#This Row],[Age]]&lt;25,"Under 25",IF(HR_Data[[#This Row],[Age]]&lt;=34,"25-34",IF(HR_Data[[#This Row],[Age]]&lt;=44,"35-44",IF(HR_Data[[#This Row],[Age]]&lt;=54,"45-54","55+"))))</f>
        <v>25-34</v>
      </c>
      <c r="AM1366" s="1" t="str">
        <f>IF(HR_Data[[#This Row],[MonthlyIncome]]&lt;3000,"Low Salary",IF(HR_Data[[#This Row],[MonthlyIncome]]&lt;=7000,"Medium Salary","High Salary"))</f>
        <v>Medium Salary</v>
      </c>
      <c r="AN1366" s="1" t="str">
        <f>IF(HR_Data[[#This Row],[YearsAtCompany]]&lt;2,"0-1 Years",IF(HR_Data[[#This Row],[YearsAtCompany]]&lt;=5,"2-5 Years",IF(HR_Data[[#This Row],[YearsAtCompany]]&lt;=10,"6-10 Years","10+ Years")))</f>
        <v>6-10 Years</v>
      </c>
      <c r="AO1366" s="1" t="str">
        <f>IF(HR_Data[[#This Row],[JobSatisfaction]]=1,"Low",IF(HR_Data[[#This Row],[JobSatisfaction]]=2,"Medium",IF(HR_Data[[#This Row],[JobSatisfaction]]=3,"High","Very High")))</f>
        <v>Very High</v>
      </c>
      <c r="AP1366" s="1" t="str">
        <f>IF(HR_Data[[#This Row],[WorkLifeBalance]]=1,"Bad",IF(HR_Data[[#This Row],[WorkLifeBalance]]=2,"Good",IF(HR_Data[[#This Row],[WorkLifeBalance]]=3,"Better","Best")))</f>
        <v>Better</v>
      </c>
    </row>
    <row r="1367" spans="1:42" x14ac:dyDescent="0.3">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c r="AJ1367">
        <f>IF(HR_Data[[#This Row],[Attrition]]="Yes",1,0)</f>
        <v>1</v>
      </c>
      <c r="AK1367">
        <f>IF(HR_Data[[#This Row],[Attrition]]="No",1,0)</f>
        <v>0</v>
      </c>
      <c r="AL1367" t="str">
        <f>IF(HR_Data[[#This Row],[Age]]&lt;25,"Under 25",IF(HR_Data[[#This Row],[Age]]&lt;=34,"25-34",IF(HR_Data[[#This Row],[Age]]&lt;=44,"35-44",IF(HR_Data[[#This Row],[Age]]&lt;=54,"45-54","55+"))))</f>
        <v>25-34</v>
      </c>
      <c r="AM1367" s="1" t="str">
        <f>IF(HR_Data[[#This Row],[MonthlyIncome]]&lt;3000,"Low Salary",IF(HR_Data[[#This Row],[MonthlyIncome]]&lt;=7000,"Medium Salary","High Salary"))</f>
        <v>Low Salary</v>
      </c>
      <c r="AN1367" s="1" t="str">
        <f>IF(HR_Data[[#This Row],[YearsAtCompany]]&lt;2,"0-1 Years",IF(HR_Data[[#This Row],[YearsAtCompany]]&lt;=5,"2-5 Years",IF(HR_Data[[#This Row],[YearsAtCompany]]&lt;=10,"6-10 Years","10+ Years")))</f>
        <v>0-1 Years</v>
      </c>
      <c r="AO1367" s="1" t="str">
        <f>IF(HR_Data[[#This Row],[JobSatisfaction]]=1,"Low",IF(HR_Data[[#This Row],[JobSatisfaction]]=2,"Medium",IF(HR_Data[[#This Row],[JobSatisfaction]]=3,"High","Very High")))</f>
        <v>Low</v>
      </c>
      <c r="AP1367" s="1" t="str">
        <f>IF(HR_Data[[#This Row],[WorkLifeBalance]]=1,"Bad",IF(HR_Data[[#This Row],[WorkLifeBalance]]=2,"Good",IF(HR_Data[[#This Row],[WorkLifeBalance]]=3,"Better","Best")))</f>
        <v>Better</v>
      </c>
    </row>
    <row r="1368" spans="1:42" x14ac:dyDescent="0.3">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c r="AJ1368">
        <f>IF(HR_Data[[#This Row],[Attrition]]="Yes",1,0)</f>
        <v>0</v>
      </c>
      <c r="AK1368">
        <f>IF(HR_Data[[#This Row],[Attrition]]="No",1,0)</f>
        <v>1</v>
      </c>
      <c r="AL1368" t="str">
        <f>IF(HR_Data[[#This Row],[Age]]&lt;25,"Under 25",IF(HR_Data[[#This Row],[Age]]&lt;=34,"25-34",IF(HR_Data[[#This Row],[Age]]&lt;=44,"35-44",IF(HR_Data[[#This Row],[Age]]&lt;=54,"45-54","55+"))))</f>
        <v>35-44</v>
      </c>
      <c r="AM1368" s="1" t="str">
        <f>IF(HR_Data[[#This Row],[MonthlyIncome]]&lt;3000,"Low Salary",IF(HR_Data[[#This Row],[MonthlyIncome]]&lt;=7000,"Medium Salary","High Salary"))</f>
        <v>Medium Salary</v>
      </c>
      <c r="AN1368" s="1" t="str">
        <f>IF(HR_Data[[#This Row],[YearsAtCompany]]&lt;2,"0-1 Years",IF(HR_Data[[#This Row],[YearsAtCompany]]&lt;=5,"2-5 Years",IF(HR_Data[[#This Row],[YearsAtCompany]]&lt;=10,"6-10 Years","10+ Years")))</f>
        <v>2-5 Years</v>
      </c>
      <c r="AO1368" s="1" t="str">
        <f>IF(HR_Data[[#This Row],[JobSatisfaction]]=1,"Low",IF(HR_Data[[#This Row],[JobSatisfaction]]=2,"Medium",IF(HR_Data[[#This Row],[JobSatisfaction]]=3,"High","Very High")))</f>
        <v>High</v>
      </c>
      <c r="AP1368" s="1" t="str">
        <f>IF(HR_Data[[#This Row],[WorkLifeBalance]]=1,"Bad",IF(HR_Data[[#This Row],[WorkLifeBalance]]=2,"Good",IF(HR_Data[[#This Row],[WorkLifeBalance]]=3,"Better","Best")))</f>
        <v>Better</v>
      </c>
    </row>
    <row r="1369" spans="1:42" x14ac:dyDescent="0.3">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c r="AJ1369">
        <f>IF(HR_Data[[#This Row],[Attrition]]="Yes",1,0)</f>
        <v>0</v>
      </c>
      <c r="AK1369">
        <f>IF(HR_Data[[#This Row],[Attrition]]="No",1,0)</f>
        <v>1</v>
      </c>
      <c r="AL1369" t="str">
        <f>IF(HR_Data[[#This Row],[Age]]&lt;25,"Under 25",IF(HR_Data[[#This Row],[Age]]&lt;=34,"25-34",IF(HR_Data[[#This Row],[Age]]&lt;=44,"35-44",IF(HR_Data[[#This Row],[Age]]&lt;=54,"45-54","55+"))))</f>
        <v>25-34</v>
      </c>
      <c r="AM1369" s="1" t="str">
        <f>IF(HR_Data[[#This Row],[MonthlyIncome]]&lt;3000,"Low Salary",IF(HR_Data[[#This Row],[MonthlyIncome]]&lt;=7000,"Medium Salary","High Salary"))</f>
        <v>Low Salary</v>
      </c>
      <c r="AN1369" s="1" t="str">
        <f>IF(HR_Data[[#This Row],[YearsAtCompany]]&lt;2,"0-1 Years",IF(HR_Data[[#This Row],[YearsAtCompany]]&lt;=5,"2-5 Years",IF(HR_Data[[#This Row],[YearsAtCompany]]&lt;=10,"6-10 Years","10+ Years")))</f>
        <v>2-5 Years</v>
      </c>
      <c r="AO1369" s="1" t="str">
        <f>IF(HR_Data[[#This Row],[JobSatisfaction]]=1,"Low",IF(HR_Data[[#This Row],[JobSatisfaction]]=2,"Medium",IF(HR_Data[[#This Row],[JobSatisfaction]]=3,"High","Very High")))</f>
        <v>Medium</v>
      </c>
      <c r="AP1369" s="1" t="str">
        <f>IF(HR_Data[[#This Row],[WorkLifeBalance]]=1,"Bad",IF(HR_Data[[#This Row],[WorkLifeBalance]]=2,"Good",IF(HR_Data[[#This Row],[WorkLifeBalance]]=3,"Better","Best")))</f>
        <v>Good</v>
      </c>
    </row>
    <row r="1370" spans="1:42" x14ac:dyDescent="0.3">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c r="AJ1370">
        <f>IF(HR_Data[[#This Row],[Attrition]]="Yes",1,0)</f>
        <v>0</v>
      </c>
      <c r="AK1370">
        <f>IF(HR_Data[[#This Row],[Attrition]]="No",1,0)</f>
        <v>1</v>
      </c>
      <c r="AL1370" t="str">
        <f>IF(HR_Data[[#This Row],[Age]]&lt;25,"Under 25",IF(HR_Data[[#This Row],[Age]]&lt;=34,"25-34",IF(HR_Data[[#This Row],[Age]]&lt;=44,"35-44",IF(HR_Data[[#This Row],[Age]]&lt;=54,"45-54","55+"))))</f>
        <v>25-34</v>
      </c>
      <c r="AM1370" s="1" t="str">
        <f>IF(HR_Data[[#This Row],[MonthlyIncome]]&lt;3000,"Low Salary",IF(HR_Data[[#This Row],[MonthlyIncome]]&lt;=7000,"Medium Salary","High Salary"))</f>
        <v>Medium Salary</v>
      </c>
      <c r="AN1370" s="1" t="str">
        <f>IF(HR_Data[[#This Row],[YearsAtCompany]]&lt;2,"0-1 Years",IF(HR_Data[[#This Row],[YearsAtCompany]]&lt;=5,"2-5 Years",IF(HR_Data[[#This Row],[YearsAtCompany]]&lt;=10,"6-10 Years","10+ Years")))</f>
        <v>10+ Years</v>
      </c>
      <c r="AO1370" s="1" t="str">
        <f>IF(HR_Data[[#This Row],[JobSatisfaction]]=1,"Low",IF(HR_Data[[#This Row],[JobSatisfaction]]=2,"Medium",IF(HR_Data[[#This Row],[JobSatisfaction]]=3,"High","Very High")))</f>
        <v>Very High</v>
      </c>
      <c r="AP1370" s="1" t="str">
        <f>IF(HR_Data[[#This Row],[WorkLifeBalance]]=1,"Bad",IF(HR_Data[[#This Row],[WorkLifeBalance]]=2,"Good",IF(HR_Data[[#This Row],[WorkLifeBalance]]=3,"Better","Best")))</f>
        <v>Better</v>
      </c>
    </row>
    <row r="1371" spans="1:42" x14ac:dyDescent="0.3">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c r="AJ1371">
        <f>IF(HR_Data[[#This Row],[Attrition]]="Yes",1,0)</f>
        <v>1</v>
      </c>
      <c r="AK1371">
        <f>IF(HR_Data[[#This Row],[Attrition]]="No",1,0)</f>
        <v>0</v>
      </c>
      <c r="AL1371" t="str">
        <f>IF(HR_Data[[#This Row],[Age]]&lt;25,"Under 25",IF(HR_Data[[#This Row],[Age]]&lt;=34,"25-34",IF(HR_Data[[#This Row],[Age]]&lt;=44,"35-44",IF(HR_Data[[#This Row],[Age]]&lt;=54,"45-54","55+"))))</f>
        <v>25-34</v>
      </c>
      <c r="AM1371" s="1" t="str">
        <f>IF(HR_Data[[#This Row],[MonthlyIncome]]&lt;3000,"Low Salary",IF(HR_Data[[#This Row],[MonthlyIncome]]&lt;=7000,"Medium Salary","High Salary"))</f>
        <v>High Salary</v>
      </c>
      <c r="AN1371" s="1" t="str">
        <f>IF(HR_Data[[#This Row],[YearsAtCompany]]&lt;2,"0-1 Years",IF(HR_Data[[#This Row],[YearsAtCompany]]&lt;=5,"2-5 Years",IF(HR_Data[[#This Row],[YearsAtCompany]]&lt;=10,"6-10 Years","10+ Years")))</f>
        <v>2-5 Years</v>
      </c>
      <c r="AO1371" s="1" t="str">
        <f>IF(HR_Data[[#This Row],[JobSatisfaction]]=1,"Low",IF(HR_Data[[#This Row],[JobSatisfaction]]=2,"Medium",IF(HR_Data[[#This Row],[JobSatisfaction]]=3,"High","Very High")))</f>
        <v>High</v>
      </c>
      <c r="AP1371" s="1" t="str">
        <f>IF(HR_Data[[#This Row],[WorkLifeBalance]]=1,"Bad",IF(HR_Data[[#This Row],[WorkLifeBalance]]=2,"Good",IF(HR_Data[[#This Row],[WorkLifeBalance]]=3,"Better","Best")))</f>
        <v>Better</v>
      </c>
    </row>
    <row r="1372" spans="1:42" x14ac:dyDescent="0.3">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c r="AJ1372">
        <f>IF(HR_Data[[#This Row],[Attrition]]="Yes",1,0)</f>
        <v>0</v>
      </c>
      <c r="AK1372">
        <f>IF(HR_Data[[#This Row],[Attrition]]="No",1,0)</f>
        <v>1</v>
      </c>
      <c r="AL1372" t="str">
        <f>IF(HR_Data[[#This Row],[Age]]&lt;25,"Under 25",IF(HR_Data[[#This Row],[Age]]&lt;=34,"25-34",IF(HR_Data[[#This Row],[Age]]&lt;=44,"35-44",IF(HR_Data[[#This Row],[Age]]&lt;=54,"45-54","55+"))))</f>
        <v>45-54</v>
      </c>
      <c r="AM1372" s="1" t="str">
        <f>IF(HR_Data[[#This Row],[MonthlyIncome]]&lt;3000,"Low Salary",IF(HR_Data[[#This Row],[MonthlyIncome]]&lt;=7000,"Medium Salary","High Salary"))</f>
        <v>Medium Salary</v>
      </c>
      <c r="AN1372" s="1" t="str">
        <f>IF(HR_Data[[#This Row],[YearsAtCompany]]&lt;2,"0-1 Years",IF(HR_Data[[#This Row],[YearsAtCompany]]&lt;=5,"2-5 Years",IF(HR_Data[[#This Row],[YearsAtCompany]]&lt;=10,"6-10 Years","10+ Years")))</f>
        <v>6-10 Years</v>
      </c>
      <c r="AO1372" s="1" t="str">
        <f>IF(HR_Data[[#This Row],[JobSatisfaction]]=1,"Low",IF(HR_Data[[#This Row],[JobSatisfaction]]=2,"Medium",IF(HR_Data[[#This Row],[JobSatisfaction]]=3,"High","Very High")))</f>
        <v>Medium</v>
      </c>
      <c r="AP1372" s="1" t="str">
        <f>IF(HR_Data[[#This Row],[WorkLifeBalance]]=1,"Bad",IF(HR_Data[[#This Row],[WorkLifeBalance]]=2,"Good",IF(HR_Data[[#This Row],[WorkLifeBalance]]=3,"Better","Best")))</f>
        <v>Best</v>
      </c>
    </row>
    <row r="1373" spans="1:42" x14ac:dyDescent="0.3">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c r="AJ1373">
        <f>IF(HR_Data[[#This Row],[Attrition]]="Yes",1,0)</f>
        <v>0</v>
      </c>
      <c r="AK1373">
        <f>IF(HR_Data[[#This Row],[Attrition]]="No",1,0)</f>
        <v>1</v>
      </c>
      <c r="AL1373" t="str">
        <f>IF(HR_Data[[#This Row],[Age]]&lt;25,"Under 25",IF(HR_Data[[#This Row],[Age]]&lt;=34,"25-34",IF(HR_Data[[#This Row],[Age]]&lt;=44,"35-44",IF(HR_Data[[#This Row],[Age]]&lt;=54,"45-54","55+"))))</f>
        <v>55+</v>
      </c>
      <c r="AM1373" s="1" t="str">
        <f>IF(HR_Data[[#This Row],[MonthlyIncome]]&lt;3000,"Low Salary",IF(HR_Data[[#This Row],[MonthlyIncome]]&lt;=7000,"Medium Salary","High Salary"))</f>
        <v>Medium Salary</v>
      </c>
      <c r="AN1373" s="1" t="str">
        <f>IF(HR_Data[[#This Row],[YearsAtCompany]]&lt;2,"0-1 Years",IF(HR_Data[[#This Row],[YearsAtCompany]]&lt;=5,"2-5 Years",IF(HR_Data[[#This Row],[YearsAtCompany]]&lt;=10,"6-10 Years","10+ Years")))</f>
        <v>0-1 Years</v>
      </c>
      <c r="AO1373" s="1" t="str">
        <f>IF(HR_Data[[#This Row],[JobSatisfaction]]=1,"Low",IF(HR_Data[[#This Row],[JobSatisfaction]]=2,"Medium",IF(HR_Data[[#This Row],[JobSatisfaction]]=3,"High","Very High")))</f>
        <v>Low</v>
      </c>
      <c r="AP1373" s="1" t="str">
        <f>IF(HR_Data[[#This Row],[WorkLifeBalance]]=1,"Bad",IF(HR_Data[[#This Row],[WorkLifeBalance]]=2,"Good",IF(HR_Data[[#This Row],[WorkLifeBalance]]=3,"Better","Best")))</f>
        <v>Better</v>
      </c>
    </row>
    <row r="1374" spans="1:42" x14ac:dyDescent="0.3">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c r="AJ1374">
        <f>IF(HR_Data[[#This Row],[Attrition]]="Yes",1,0)</f>
        <v>0</v>
      </c>
      <c r="AK1374">
        <f>IF(HR_Data[[#This Row],[Attrition]]="No",1,0)</f>
        <v>1</v>
      </c>
      <c r="AL1374" t="str">
        <f>IF(HR_Data[[#This Row],[Age]]&lt;25,"Under 25",IF(HR_Data[[#This Row],[Age]]&lt;=34,"25-34",IF(HR_Data[[#This Row],[Age]]&lt;=44,"35-44",IF(HR_Data[[#This Row],[Age]]&lt;=54,"45-54","55+"))))</f>
        <v>35-44</v>
      </c>
      <c r="AM1374" s="1" t="str">
        <f>IF(HR_Data[[#This Row],[MonthlyIncome]]&lt;3000,"Low Salary",IF(HR_Data[[#This Row],[MonthlyIncome]]&lt;=7000,"Medium Salary","High Salary"))</f>
        <v>Medium Salary</v>
      </c>
      <c r="AN1374" s="1" t="str">
        <f>IF(HR_Data[[#This Row],[YearsAtCompany]]&lt;2,"0-1 Years",IF(HR_Data[[#This Row],[YearsAtCompany]]&lt;=5,"2-5 Years",IF(HR_Data[[#This Row],[YearsAtCompany]]&lt;=10,"6-10 Years","10+ Years")))</f>
        <v>6-10 Years</v>
      </c>
      <c r="AO1374" s="1" t="str">
        <f>IF(HR_Data[[#This Row],[JobSatisfaction]]=1,"Low",IF(HR_Data[[#This Row],[JobSatisfaction]]=2,"Medium",IF(HR_Data[[#This Row],[JobSatisfaction]]=3,"High","Very High")))</f>
        <v>Low</v>
      </c>
      <c r="AP1374" s="1" t="str">
        <f>IF(HR_Data[[#This Row],[WorkLifeBalance]]=1,"Bad",IF(HR_Data[[#This Row],[WorkLifeBalance]]=2,"Good",IF(HR_Data[[#This Row],[WorkLifeBalance]]=3,"Better","Best")))</f>
        <v>Better</v>
      </c>
    </row>
    <row r="1375" spans="1:42" x14ac:dyDescent="0.3">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c r="AJ1375">
        <f>IF(HR_Data[[#This Row],[Attrition]]="Yes",1,0)</f>
        <v>0</v>
      </c>
      <c r="AK1375">
        <f>IF(HR_Data[[#This Row],[Attrition]]="No",1,0)</f>
        <v>1</v>
      </c>
      <c r="AL1375" t="str">
        <f>IF(HR_Data[[#This Row],[Age]]&lt;25,"Under 25",IF(HR_Data[[#This Row],[Age]]&lt;=34,"25-34",IF(HR_Data[[#This Row],[Age]]&lt;=44,"35-44",IF(HR_Data[[#This Row],[Age]]&lt;=54,"45-54","55+"))))</f>
        <v>35-44</v>
      </c>
      <c r="AM1375" s="1" t="str">
        <f>IF(HR_Data[[#This Row],[MonthlyIncome]]&lt;3000,"Low Salary",IF(HR_Data[[#This Row],[MonthlyIncome]]&lt;=7000,"Medium Salary","High Salary"))</f>
        <v>Low Salary</v>
      </c>
      <c r="AN1375" s="1" t="str">
        <f>IF(HR_Data[[#This Row],[YearsAtCompany]]&lt;2,"0-1 Years",IF(HR_Data[[#This Row],[YearsAtCompany]]&lt;=5,"2-5 Years",IF(HR_Data[[#This Row],[YearsAtCompany]]&lt;=10,"6-10 Years","10+ Years")))</f>
        <v>10+ Years</v>
      </c>
      <c r="AO1375" s="1" t="str">
        <f>IF(HR_Data[[#This Row],[JobSatisfaction]]=1,"Low",IF(HR_Data[[#This Row],[JobSatisfaction]]=2,"Medium",IF(HR_Data[[#This Row],[JobSatisfaction]]=3,"High","Very High")))</f>
        <v>Medium</v>
      </c>
      <c r="AP1375" s="1" t="str">
        <f>IF(HR_Data[[#This Row],[WorkLifeBalance]]=1,"Bad",IF(HR_Data[[#This Row],[WorkLifeBalance]]=2,"Good",IF(HR_Data[[#This Row],[WorkLifeBalance]]=3,"Better","Best")))</f>
        <v>Better</v>
      </c>
    </row>
    <row r="1376" spans="1:42" x14ac:dyDescent="0.3">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c r="AJ1376">
        <f>IF(HR_Data[[#This Row],[Attrition]]="Yes",1,0)</f>
        <v>0</v>
      </c>
      <c r="AK1376">
        <f>IF(HR_Data[[#This Row],[Attrition]]="No",1,0)</f>
        <v>1</v>
      </c>
      <c r="AL1376" t="str">
        <f>IF(HR_Data[[#This Row],[Age]]&lt;25,"Under 25",IF(HR_Data[[#This Row],[Age]]&lt;=34,"25-34",IF(HR_Data[[#This Row],[Age]]&lt;=44,"35-44",IF(HR_Data[[#This Row],[Age]]&lt;=54,"45-54","55+"))))</f>
        <v>55+</v>
      </c>
      <c r="AM1376" s="1" t="str">
        <f>IF(HR_Data[[#This Row],[MonthlyIncome]]&lt;3000,"Low Salary",IF(HR_Data[[#This Row],[MonthlyIncome]]&lt;=7000,"Medium Salary","High Salary"))</f>
        <v>High Salary</v>
      </c>
      <c r="AN1376" s="1" t="str">
        <f>IF(HR_Data[[#This Row],[YearsAtCompany]]&lt;2,"0-1 Years",IF(HR_Data[[#This Row],[YearsAtCompany]]&lt;=5,"2-5 Years",IF(HR_Data[[#This Row],[YearsAtCompany]]&lt;=10,"6-10 Years","10+ Years")))</f>
        <v>0-1 Years</v>
      </c>
      <c r="AO1376" s="1" t="str">
        <f>IF(HR_Data[[#This Row],[JobSatisfaction]]=1,"Low",IF(HR_Data[[#This Row],[JobSatisfaction]]=2,"Medium",IF(HR_Data[[#This Row],[JobSatisfaction]]=3,"High","Very High")))</f>
        <v>Very High</v>
      </c>
      <c r="AP1376" s="1" t="str">
        <f>IF(HR_Data[[#This Row],[WorkLifeBalance]]=1,"Bad",IF(HR_Data[[#This Row],[WorkLifeBalance]]=2,"Good",IF(HR_Data[[#This Row],[WorkLifeBalance]]=3,"Better","Best")))</f>
        <v>Good</v>
      </c>
    </row>
    <row r="1377" spans="1:42" x14ac:dyDescent="0.3">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c r="AJ1377">
        <f>IF(HR_Data[[#This Row],[Attrition]]="Yes",1,0)</f>
        <v>1</v>
      </c>
      <c r="AK1377">
        <f>IF(HR_Data[[#This Row],[Attrition]]="No",1,0)</f>
        <v>0</v>
      </c>
      <c r="AL1377" t="str">
        <f>IF(HR_Data[[#This Row],[Age]]&lt;25,"Under 25",IF(HR_Data[[#This Row],[Age]]&lt;=34,"25-34",IF(HR_Data[[#This Row],[Age]]&lt;=44,"35-44",IF(HR_Data[[#This Row],[Age]]&lt;=54,"45-54","55+"))))</f>
        <v>25-34</v>
      </c>
      <c r="AM1377" s="1" t="str">
        <f>IF(HR_Data[[#This Row],[MonthlyIncome]]&lt;3000,"Low Salary",IF(HR_Data[[#This Row],[MonthlyIncome]]&lt;=7000,"Medium Salary","High Salary"))</f>
        <v>Low Salary</v>
      </c>
      <c r="AN1377" s="1" t="str">
        <f>IF(HR_Data[[#This Row],[YearsAtCompany]]&lt;2,"0-1 Years",IF(HR_Data[[#This Row],[YearsAtCompany]]&lt;=5,"2-5 Years",IF(HR_Data[[#This Row],[YearsAtCompany]]&lt;=10,"6-10 Years","10+ Years")))</f>
        <v>2-5 Years</v>
      </c>
      <c r="AO1377" s="1" t="str">
        <f>IF(HR_Data[[#This Row],[JobSatisfaction]]=1,"Low",IF(HR_Data[[#This Row],[JobSatisfaction]]=2,"Medium",IF(HR_Data[[#This Row],[JobSatisfaction]]=3,"High","Very High")))</f>
        <v>High</v>
      </c>
      <c r="AP1377" s="1" t="str">
        <f>IF(HR_Data[[#This Row],[WorkLifeBalance]]=1,"Bad",IF(HR_Data[[#This Row],[WorkLifeBalance]]=2,"Good",IF(HR_Data[[#This Row],[WorkLifeBalance]]=3,"Better","Best")))</f>
        <v>Better</v>
      </c>
    </row>
    <row r="1378" spans="1:42" x14ac:dyDescent="0.3">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c r="AJ1378">
        <f>IF(HR_Data[[#This Row],[Attrition]]="Yes",1,0)</f>
        <v>0</v>
      </c>
      <c r="AK1378">
        <f>IF(HR_Data[[#This Row],[Attrition]]="No",1,0)</f>
        <v>1</v>
      </c>
      <c r="AL1378" t="str">
        <f>IF(HR_Data[[#This Row],[Age]]&lt;25,"Under 25",IF(HR_Data[[#This Row],[Age]]&lt;=34,"25-34",IF(HR_Data[[#This Row],[Age]]&lt;=44,"35-44",IF(HR_Data[[#This Row],[Age]]&lt;=54,"45-54","55+"))))</f>
        <v>35-44</v>
      </c>
      <c r="AM1378" s="1" t="str">
        <f>IF(HR_Data[[#This Row],[MonthlyIncome]]&lt;3000,"Low Salary",IF(HR_Data[[#This Row],[MonthlyIncome]]&lt;=7000,"Medium Salary","High Salary"))</f>
        <v>Medium Salary</v>
      </c>
      <c r="AN1378" s="1" t="str">
        <f>IF(HR_Data[[#This Row],[YearsAtCompany]]&lt;2,"0-1 Years",IF(HR_Data[[#This Row],[YearsAtCompany]]&lt;=5,"2-5 Years",IF(HR_Data[[#This Row],[YearsAtCompany]]&lt;=10,"6-10 Years","10+ Years")))</f>
        <v>2-5 Years</v>
      </c>
      <c r="AO1378" s="1" t="str">
        <f>IF(HR_Data[[#This Row],[JobSatisfaction]]=1,"Low",IF(HR_Data[[#This Row],[JobSatisfaction]]=2,"Medium",IF(HR_Data[[#This Row],[JobSatisfaction]]=3,"High","Very High")))</f>
        <v>Very High</v>
      </c>
      <c r="AP1378" s="1" t="str">
        <f>IF(HR_Data[[#This Row],[WorkLifeBalance]]=1,"Bad",IF(HR_Data[[#This Row],[WorkLifeBalance]]=2,"Good",IF(HR_Data[[#This Row],[WorkLifeBalance]]=3,"Better","Best")))</f>
        <v>Best</v>
      </c>
    </row>
    <row r="1379" spans="1:42" x14ac:dyDescent="0.3">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c r="AJ1379">
        <f>IF(HR_Data[[#This Row],[Attrition]]="Yes",1,0)</f>
        <v>0</v>
      </c>
      <c r="AK1379">
        <f>IF(HR_Data[[#This Row],[Attrition]]="No",1,0)</f>
        <v>1</v>
      </c>
      <c r="AL1379" t="str">
        <f>IF(HR_Data[[#This Row],[Age]]&lt;25,"Under 25",IF(HR_Data[[#This Row],[Age]]&lt;=34,"25-34",IF(HR_Data[[#This Row],[Age]]&lt;=44,"35-44",IF(HR_Data[[#This Row],[Age]]&lt;=54,"45-54","55+"))))</f>
        <v>45-54</v>
      </c>
      <c r="AM1379" s="1" t="str">
        <f>IF(HR_Data[[#This Row],[MonthlyIncome]]&lt;3000,"Low Salary",IF(HR_Data[[#This Row],[MonthlyIncome]]&lt;=7000,"Medium Salary","High Salary"))</f>
        <v>High Salary</v>
      </c>
      <c r="AN1379" s="1" t="str">
        <f>IF(HR_Data[[#This Row],[YearsAtCompany]]&lt;2,"0-1 Years",IF(HR_Data[[#This Row],[YearsAtCompany]]&lt;=5,"2-5 Years",IF(HR_Data[[#This Row],[YearsAtCompany]]&lt;=10,"6-10 Years","10+ Years")))</f>
        <v>2-5 Years</v>
      </c>
      <c r="AO1379" s="1" t="str">
        <f>IF(HR_Data[[#This Row],[JobSatisfaction]]=1,"Low",IF(HR_Data[[#This Row],[JobSatisfaction]]=2,"Medium",IF(HR_Data[[#This Row],[JobSatisfaction]]=3,"High","Very High")))</f>
        <v>Very High</v>
      </c>
      <c r="AP1379" s="1" t="str">
        <f>IF(HR_Data[[#This Row],[WorkLifeBalance]]=1,"Bad",IF(HR_Data[[#This Row],[WorkLifeBalance]]=2,"Good",IF(HR_Data[[#This Row],[WorkLifeBalance]]=3,"Better","Best")))</f>
        <v>Better</v>
      </c>
    </row>
    <row r="1380" spans="1:42" x14ac:dyDescent="0.3">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c r="AJ1380">
        <f>IF(HR_Data[[#This Row],[Attrition]]="Yes",1,0)</f>
        <v>0</v>
      </c>
      <c r="AK1380">
        <f>IF(HR_Data[[#This Row],[Attrition]]="No",1,0)</f>
        <v>1</v>
      </c>
      <c r="AL1380" t="str">
        <f>IF(HR_Data[[#This Row],[Age]]&lt;25,"Under 25",IF(HR_Data[[#This Row],[Age]]&lt;=34,"25-34",IF(HR_Data[[#This Row],[Age]]&lt;=44,"35-44",IF(HR_Data[[#This Row],[Age]]&lt;=54,"45-54","55+"))))</f>
        <v>35-44</v>
      </c>
      <c r="AM1380" s="1" t="str">
        <f>IF(HR_Data[[#This Row],[MonthlyIncome]]&lt;3000,"Low Salary",IF(HR_Data[[#This Row],[MonthlyIncome]]&lt;=7000,"Medium Salary","High Salary"))</f>
        <v>Medium Salary</v>
      </c>
      <c r="AN1380" s="1" t="str">
        <f>IF(HR_Data[[#This Row],[YearsAtCompany]]&lt;2,"0-1 Years",IF(HR_Data[[#This Row],[YearsAtCompany]]&lt;=5,"2-5 Years",IF(HR_Data[[#This Row],[YearsAtCompany]]&lt;=10,"6-10 Years","10+ Years")))</f>
        <v>0-1 Years</v>
      </c>
      <c r="AO1380" s="1" t="str">
        <f>IF(HR_Data[[#This Row],[JobSatisfaction]]=1,"Low",IF(HR_Data[[#This Row],[JobSatisfaction]]=2,"Medium",IF(HR_Data[[#This Row],[JobSatisfaction]]=3,"High","Very High")))</f>
        <v>Very High</v>
      </c>
      <c r="AP1380" s="1" t="str">
        <f>IF(HR_Data[[#This Row],[WorkLifeBalance]]=1,"Bad",IF(HR_Data[[#This Row],[WorkLifeBalance]]=2,"Good",IF(HR_Data[[#This Row],[WorkLifeBalance]]=3,"Better","Best")))</f>
        <v>Better</v>
      </c>
    </row>
    <row r="1381" spans="1:42" x14ac:dyDescent="0.3">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c r="AJ1381">
        <f>IF(HR_Data[[#This Row],[Attrition]]="Yes",1,0)</f>
        <v>1</v>
      </c>
      <c r="AK1381">
        <f>IF(HR_Data[[#This Row],[Attrition]]="No",1,0)</f>
        <v>0</v>
      </c>
      <c r="AL1381" t="str">
        <f>IF(HR_Data[[#This Row],[Age]]&lt;25,"Under 25",IF(HR_Data[[#This Row],[Age]]&lt;=34,"25-34",IF(HR_Data[[#This Row],[Age]]&lt;=44,"35-44",IF(HR_Data[[#This Row],[Age]]&lt;=54,"45-54","55+"))))</f>
        <v>25-34</v>
      </c>
      <c r="AM1381" s="1" t="str">
        <f>IF(HR_Data[[#This Row],[MonthlyIncome]]&lt;3000,"Low Salary",IF(HR_Data[[#This Row],[MonthlyIncome]]&lt;=7000,"Medium Salary","High Salary"))</f>
        <v>Low Salary</v>
      </c>
      <c r="AN1381" s="1" t="str">
        <f>IF(HR_Data[[#This Row],[YearsAtCompany]]&lt;2,"0-1 Years",IF(HR_Data[[#This Row],[YearsAtCompany]]&lt;=5,"2-5 Years",IF(HR_Data[[#This Row],[YearsAtCompany]]&lt;=10,"6-10 Years","10+ Years")))</f>
        <v>0-1 Years</v>
      </c>
      <c r="AO1381" s="1" t="str">
        <f>IF(HR_Data[[#This Row],[JobSatisfaction]]=1,"Low",IF(HR_Data[[#This Row],[JobSatisfaction]]=2,"Medium",IF(HR_Data[[#This Row],[JobSatisfaction]]=3,"High","Very High")))</f>
        <v>Medium</v>
      </c>
      <c r="AP1381" s="1" t="str">
        <f>IF(HR_Data[[#This Row],[WorkLifeBalance]]=1,"Bad",IF(HR_Data[[#This Row],[WorkLifeBalance]]=2,"Good",IF(HR_Data[[#This Row],[WorkLifeBalance]]=3,"Better","Best")))</f>
        <v>Better</v>
      </c>
    </row>
    <row r="1382" spans="1:42" x14ac:dyDescent="0.3">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c r="AJ1382">
        <f>IF(HR_Data[[#This Row],[Attrition]]="Yes",1,0)</f>
        <v>0</v>
      </c>
      <c r="AK1382">
        <f>IF(HR_Data[[#This Row],[Attrition]]="No",1,0)</f>
        <v>1</v>
      </c>
      <c r="AL1382" t="str">
        <f>IF(HR_Data[[#This Row],[Age]]&lt;25,"Under 25",IF(HR_Data[[#This Row],[Age]]&lt;=34,"25-34",IF(HR_Data[[#This Row],[Age]]&lt;=44,"35-44",IF(HR_Data[[#This Row],[Age]]&lt;=54,"45-54","55+"))))</f>
        <v>35-44</v>
      </c>
      <c r="AM1382" s="1" t="str">
        <f>IF(HR_Data[[#This Row],[MonthlyIncome]]&lt;3000,"Low Salary",IF(HR_Data[[#This Row],[MonthlyIncome]]&lt;=7000,"Medium Salary","High Salary"))</f>
        <v>Medium Salary</v>
      </c>
      <c r="AN1382" s="1" t="str">
        <f>IF(HR_Data[[#This Row],[YearsAtCompany]]&lt;2,"0-1 Years",IF(HR_Data[[#This Row],[YearsAtCompany]]&lt;=5,"2-5 Years",IF(HR_Data[[#This Row],[YearsAtCompany]]&lt;=10,"6-10 Years","10+ Years")))</f>
        <v>2-5 Years</v>
      </c>
      <c r="AO1382" s="1" t="str">
        <f>IF(HR_Data[[#This Row],[JobSatisfaction]]=1,"Low",IF(HR_Data[[#This Row],[JobSatisfaction]]=2,"Medium",IF(HR_Data[[#This Row],[JobSatisfaction]]=3,"High","Very High")))</f>
        <v>Low</v>
      </c>
      <c r="AP1382" s="1" t="str">
        <f>IF(HR_Data[[#This Row],[WorkLifeBalance]]=1,"Bad",IF(HR_Data[[#This Row],[WorkLifeBalance]]=2,"Good",IF(HR_Data[[#This Row],[WorkLifeBalance]]=3,"Better","Best")))</f>
        <v>Bad</v>
      </c>
    </row>
    <row r="1383" spans="1:42" x14ac:dyDescent="0.3">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c r="AJ1383">
        <f>IF(HR_Data[[#This Row],[Attrition]]="Yes",1,0)</f>
        <v>0</v>
      </c>
      <c r="AK1383">
        <f>IF(HR_Data[[#This Row],[Attrition]]="No",1,0)</f>
        <v>1</v>
      </c>
      <c r="AL1383" t="str">
        <f>IF(HR_Data[[#This Row],[Age]]&lt;25,"Under 25",IF(HR_Data[[#This Row],[Age]]&lt;=34,"25-34",IF(HR_Data[[#This Row],[Age]]&lt;=44,"35-44",IF(HR_Data[[#This Row],[Age]]&lt;=54,"45-54","55+"))))</f>
        <v>25-34</v>
      </c>
      <c r="AM1383" s="1" t="str">
        <f>IF(HR_Data[[#This Row],[MonthlyIncome]]&lt;3000,"Low Salary",IF(HR_Data[[#This Row],[MonthlyIncome]]&lt;=7000,"Medium Salary","High Salary"))</f>
        <v>Low Salary</v>
      </c>
      <c r="AN1383" s="1" t="str">
        <f>IF(HR_Data[[#This Row],[YearsAtCompany]]&lt;2,"0-1 Years",IF(HR_Data[[#This Row],[YearsAtCompany]]&lt;=5,"2-5 Years",IF(HR_Data[[#This Row],[YearsAtCompany]]&lt;=10,"6-10 Years","10+ Years")))</f>
        <v>2-5 Years</v>
      </c>
      <c r="AO1383" s="1" t="str">
        <f>IF(HR_Data[[#This Row],[JobSatisfaction]]=1,"Low",IF(HR_Data[[#This Row],[JobSatisfaction]]=2,"Medium",IF(HR_Data[[#This Row],[JobSatisfaction]]=3,"High","Very High")))</f>
        <v>High</v>
      </c>
      <c r="AP1383" s="1" t="str">
        <f>IF(HR_Data[[#This Row],[WorkLifeBalance]]=1,"Bad",IF(HR_Data[[#This Row],[WorkLifeBalance]]=2,"Good",IF(HR_Data[[#This Row],[WorkLifeBalance]]=3,"Better","Best")))</f>
        <v>Good</v>
      </c>
    </row>
    <row r="1384" spans="1:42" x14ac:dyDescent="0.3">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c r="AJ1384">
        <f>IF(HR_Data[[#This Row],[Attrition]]="Yes",1,0)</f>
        <v>0</v>
      </c>
      <c r="AK1384">
        <f>IF(HR_Data[[#This Row],[Attrition]]="No",1,0)</f>
        <v>1</v>
      </c>
      <c r="AL1384" t="str">
        <f>IF(HR_Data[[#This Row],[Age]]&lt;25,"Under 25",IF(HR_Data[[#This Row],[Age]]&lt;=34,"25-34",IF(HR_Data[[#This Row],[Age]]&lt;=44,"35-44",IF(HR_Data[[#This Row],[Age]]&lt;=54,"45-54","55+"))))</f>
        <v>25-34</v>
      </c>
      <c r="AM1384" s="1" t="str">
        <f>IF(HR_Data[[#This Row],[MonthlyIncome]]&lt;3000,"Low Salary",IF(HR_Data[[#This Row],[MonthlyIncome]]&lt;=7000,"Medium Salary","High Salary"))</f>
        <v>Medium Salary</v>
      </c>
      <c r="AN1384" s="1" t="str">
        <f>IF(HR_Data[[#This Row],[YearsAtCompany]]&lt;2,"0-1 Years",IF(HR_Data[[#This Row],[YearsAtCompany]]&lt;=5,"2-5 Years",IF(HR_Data[[#This Row],[YearsAtCompany]]&lt;=10,"6-10 Years","10+ Years")))</f>
        <v>2-5 Years</v>
      </c>
      <c r="AO1384" s="1" t="str">
        <f>IF(HR_Data[[#This Row],[JobSatisfaction]]=1,"Low",IF(HR_Data[[#This Row],[JobSatisfaction]]=2,"Medium",IF(HR_Data[[#This Row],[JobSatisfaction]]=3,"High","Very High")))</f>
        <v>Low</v>
      </c>
      <c r="AP1384" s="1" t="str">
        <f>IF(HR_Data[[#This Row],[WorkLifeBalance]]=1,"Bad",IF(HR_Data[[#This Row],[WorkLifeBalance]]=2,"Good",IF(HR_Data[[#This Row],[WorkLifeBalance]]=3,"Better","Best")))</f>
        <v>Best</v>
      </c>
    </row>
    <row r="1385" spans="1:42" x14ac:dyDescent="0.3">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c r="AJ1385">
        <f>IF(HR_Data[[#This Row],[Attrition]]="Yes",1,0)</f>
        <v>0</v>
      </c>
      <c r="AK1385">
        <f>IF(HR_Data[[#This Row],[Attrition]]="No",1,0)</f>
        <v>1</v>
      </c>
      <c r="AL1385" t="str">
        <f>IF(HR_Data[[#This Row],[Age]]&lt;25,"Under 25",IF(HR_Data[[#This Row],[Age]]&lt;=34,"25-34",IF(HR_Data[[#This Row],[Age]]&lt;=44,"35-44",IF(HR_Data[[#This Row],[Age]]&lt;=54,"45-54","55+"))))</f>
        <v>35-44</v>
      </c>
      <c r="AM1385" s="1" t="str">
        <f>IF(HR_Data[[#This Row],[MonthlyIncome]]&lt;3000,"Low Salary",IF(HR_Data[[#This Row],[MonthlyIncome]]&lt;=7000,"Medium Salary","High Salary"))</f>
        <v>Low Salary</v>
      </c>
      <c r="AN1385" s="1" t="str">
        <f>IF(HR_Data[[#This Row],[YearsAtCompany]]&lt;2,"0-1 Years",IF(HR_Data[[#This Row],[YearsAtCompany]]&lt;=5,"2-5 Years",IF(HR_Data[[#This Row],[YearsAtCompany]]&lt;=10,"6-10 Years","10+ Years")))</f>
        <v>2-5 Years</v>
      </c>
      <c r="AO1385" s="1" t="str">
        <f>IF(HR_Data[[#This Row],[JobSatisfaction]]=1,"Low",IF(HR_Data[[#This Row],[JobSatisfaction]]=2,"Medium",IF(HR_Data[[#This Row],[JobSatisfaction]]=3,"High","Very High")))</f>
        <v>Medium</v>
      </c>
      <c r="AP1385" s="1" t="str">
        <f>IF(HR_Data[[#This Row],[WorkLifeBalance]]=1,"Bad",IF(HR_Data[[#This Row],[WorkLifeBalance]]=2,"Good",IF(HR_Data[[#This Row],[WorkLifeBalance]]=3,"Better","Best")))</f>
        <v>Better</v>
      </c>
    </row>
    <row r="1386" spans="1:42" x14ac:dyDescent="0.3">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c r="AJ1386">
        <f>IF(HR_Data[[#This Row],[Attrition]]="Yes",1,0)</f>
        <v>0</v>
      </c>
      <c r="AK1386">
        <f>IF(HR_Data[[#This Row],[Attrition]]="No",1,0)</f>
        <v>1</v>
      </c>
      <c r="AL1386" t="str">
        <f>IF(HR_Data[[#This Row],[Age]]&lt;25,"Under 25",IF(HR_Data[[#This Row],[Age]]&lt;=34,"25-34",IF(HR_Data[[#This Row],[Age]]&lt;=44,"35-44",IF(HR_Data[[#This Row],[Age]]&lt;=54,"45-54","55+"))))</f>
        <v>25-34</v>
      </c>
      <c r="AM1386" s="1" t="str">
        <f>IF(HR_Data[[#This Row],[MonthlyIncome]]&lt;3000,"Low Salary",IF(HR_Data[[#This Row],[MonthlyIncome]]&lt;=7000,"Medium Salary","High Salary"))</f>
        <v>High Salary</v>
      </c>
      <c r="AN1386" s="1" t="str">
        <f>IF(HR_Data[[#This Row],[YearsAtCompany]]&lt;2,"0-1 Years",IF(HR_Data[[#This Row],[YearsAtCompany]]&lt;=5,"2-5 Years",IF(HR_Data[[#This Row],[YearsAtCompany]]&lt;=10,"6-10 Years","10+ Years")))</f>
        <v>10+ Years</v>
      </c>
      <c r="AO1386" s="1" t="str">
        <f>IF(HR_Data[[#This Row],[JobSatisfaction]]=1,"Low",IF(HR_Data[[#This Row],[JobSatisfaction]]=2,"Medium",IF(HR_Data[[#This Row],[JobSatisfaction]]=3,"High","Very High")))</f>
        <v>Very High</v>
      </c>
      <c r="AP1386" s="1" t="str">
        <f>IF(HR_Data[[#This Row],[WorkLifeBalance]]=1,"Bad",IF(HR_Data[[#This Row],[WorkLifeBalance]]=2,"Good",IF(HR_Data[[#This Row],[WorkLifeBalance]]=3,"Better","Best")))</f>
        <v>Good</v>
      </c>
    </row>
    <row r="1387" spans="1:42" x14ac:dyDescent="0.3">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c r="AJ1387">
        <f>IF(HR_Data[[#This Row],[Attrition]]="Yes",1,0)</f>
        <v>0</v>
      </c>
      <c r="AK1387">
        <f>IF(HR_Data[[#This Row],[Attrition]]="No",1,0)</f>
        <v>1</v>
      </c>
      <c r="AL1387" t="str">
        <f>IF(HR_Data[[#This Row],[Age]]&lt;25,"Under 25",IF(HR_Data[[#This Row],[Age]]&lt;=34,"25-34",IF(HR_Data[[#This Row],[Age]]&lt;=44,"35-44",IF(HR_Data[[#This Row],[Age]]&lt;=54,"45-54","55+"))))</f>
        <v>25-34</v>
      </c>
      <c r="AM1387" s="1" t="str">
        <f>IF(HR_Data[[#This Row],[MonthlyIncome]]&lt;3000,"Low Salary",IF(HR_Data[[#This Row],[MonthlyIncome]]&lt;=7000,"Medium Salary","High Salary"))</f>
        <v>High Salary</v>
      </c>
      <c r="AN1387" s="1" t="str">
        <f>IF(HR_Data[[#This Row],[YearsAtCompany]]&lt;2,"0-1 Years",IF(HR_Data[[#This Row],[YearsAtCompany]]&lt;=5,"2-5 Years",IF(HR_Data[[#This Row],[YearsAtCompany]]&lt;=10,"6-10 Years","10+ Years")))</f>
        <v>6-10 Years</v>
      </c>
      <c r="AO1387" s="1" t="str">
        <f>IF(HR_Data[[#This Row],[JobSatisfaction]]=1,"Low",IF(HR_Data[[#This Row],[JobSatisfaction]]=2,"Medium",IF(HR_Data[[#This Row],[JobSatisfaction]]=3,"High","Very High")))</f>
        <v>High</v>
      </c>
      <c r="AP1387" s="1" t="str">
        <f>IF(HR_Data[[#This Row],[WorkLifeBalance]]=1,"Bad",IF(HR_Data[[#This Row],[WorkLifeBalance]]=2,"Good",IF(HR_Data[[#This Row],[WorkLifeBalance]]=3,"Better","Best")))</f>
        <v>Good</v>
      </c>
    </row>
    <row r="1388" spans="1:42" x14ac:dyDescent="0.3">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c r="AJ1388">
        <f>IF(HR_Data[[#This Row],[Attrition]]="Yes",1,0)</f>
        <v>0</v>
      </c>
      <c r="AK1388">
        <f>IF(HR_Data[[#This Row],[Attrition]]="No",1,0)</f>
        <v>1</v>
      </c>
      <c r="AL1388" t="str">
        <f>IF(HR_Data[[#This Row],[Age]]&lt;25,"Under 25",IF(HR_Data[[#This Row],[Age]]&lt;=34,"25-34",IF(HR_Data[[#This Row],[Age]]&lt;=44,"35-44",IF(HR_Data[[#This Row],[Age]]&lt;=54,"45-54","55+"))))</f>
        <v>25-34</v>
      </c>
      <c r="AM1388" s="1" t="str">
        <f>IF(HR_Data[[#This Row],[MonthlyIncome]]&lt;3000,"Low Salary",IF(HR_Data[[#This Row],[MonthlyIncome]]&lt;=7000,"Medium Salary","High Salary"))</f>
        <v>Low Salary</v>
      </c>
      <c r="AN1388" s="1" t="str">
        <f>IF(HR_Data[[#This Row],[YearsAtCompany]]&lt;2,"0-1 Years",IF(HR_Data[[#This Row],[YearsAtCompany]]&lt;=5,"2-5 Years",IF(HR_Data[[#This Row],[YearsAtCompany]]&lt;=10,"6-10 Years","10+ Years")))</f>
        <v>6-10 Years</v>
      </c>
      <c r="AO1388" s="1" t="str">
        <f>IF(HR_Data[[#This Row],[JobSatisfaction]]=1,"Low",IF(HR_Data[[#This Row],[JobSatisfaction]]=2,"Medium",IF(HR_Data[[#This Row],[JobSatisfaction]]=3,"High","Very High")))</f>
        <v>Low</v>
      </c>
      <c r="AP1388" s="1" t="str">
        <f>IF(HR_Data[[#This Row],[WorkLifeBalance]]=1,"Bad",IF(HR_Data[[#This Row],[WorkLifeBalance]]=2,"Good",IF(HR_Data[[#This Row],[WorkLifeBalance]]=3,"Better","Best")))</f>
        <v>Good</v>
      </c>
    </row>
    <row r="1389" spans="1:42" x14ac:dyDescent="0.3">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c r="AJ1389">
        <f>IF(HR_Data[[#This Row],[Attrition]]="Yes",1,0)</f>
        <v>0</v>
      </c>
      <c r="AK1389">
        <f>IF(HR_Data[[#This Row],[Attrition]]="No",1,0)</f>
        <v>1</v>
      </c>
      <c r="AL1389" t="str">
        <f>IF(HR_Data[[#This Row],[Age]]&lt;25,"Under 25",IF(HR_Data[[#This Row],[Age]]&lt;=34,"25-34",IF(HR_Data[[#This Row],[Age]]&lt;=44,"35-44",IF(HR_Data[[#This Row],[Age]]&lt;=54,"45-54","55+"))))</f>
        <v>25-34</v>
      </c>
      <c r="AM1389" s="1" t="str">
        <f>IF(HR_Data[[#This Row],[MonthlyIncome]]&lt;3000,"Low Salary",IF(HR_Data[[#This Row],[MonthlyIncome]]&lt;=7000,"Medium Salary","High Salary"))</f>
        <v>Medium Salary</v>
      </c>
      <c r="AN1389" s="1" t="str">
        <f>IF(HR_Data[[#This Row],[YearsAtCompany]]&lt;2,"0-1 Years",IF(HR_Data[[#This Row],[YearsAtCompany]]&lt;=5,"2-5 Years",IF(HR_Data[[#This Row],[YearsAtCompany]]&lt;=10,"6-10 Years","10+ Years")))</f>
        <v>2-5 Years</v>
      </c>
      <c r="AO1389" s="1" t="str">
        <f>IF(HR_Data[[#This Row],[JobSatisfaction]]=1,"Low",IF(HR_Data[[#This Row],[JobSatisfaction]]=2,"Medium",IF(HR_Data[[#This Row],[JobSatisfaction]]=3,"High","Very High")))</f>
        <v>Low</v>
      </c>
      <c r="AP1389" s="1" t="str">
        <f>IF(HR_Data[[#This Row],[WorkLifeBalance]]=1,"Bad",IF(HR_Data[[#This Row],[WorkLifeBalance]]=2,"Good",IF(HR_Data[[#This Row],[WorkLifeBalance]]=3,"Better","Best")))</f>
        <v>Good</v>
      </c>
    </row>
    <row r="1390" spans="1:42" x14ac:dyDescent="0.3">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c r="AJ1390">
        <f>IF(HR_Data[[#This Row],[Attrition]]="Yes",1,0)</f>
        <v>0</v>
      </c>
      <c r="AK1390">
        <f>IF(HR_Data[[#This Row],[Attrition]]="No",1,0)</f>
        <v>1</v>
      </c>
      <c r="AL1390" t="str">
        <f>IF(HR_Data[[#This Row],[Age]]&lt;25,"Under 25",IF(HR_Data[[#This Row],[Age]]&lt;=34,"25-34",IF(HR_Data[[#This Row],[Age]]&lt;=44,"35-44",IF(HR_Data[[#This Row],[Age]]&lt;=54,"45-54","55+"))))</f>
        <v>25-34</v>
      </c>
      <c r="AM1390" s="1" t="str">
        <f>IF(HR_Data[[#This Row],[MonthlyIncome]]&lt;3000,"Low Salary",IF(HR_Data[[#This Row],[MonthlyIncome]]&lt;=7000,"Medium Salary","High Salary"))</f>
        <v>Medium Salary</v>
      </c>
      <c r="AN1390" s="1" t="str">
        <f>IF(HR_Data[[#This Row],[YearsAtCompany]]&lt;2,"0-1 Years",IF(HR_Data[[#This Row],[YearsAtCompany]]&lt;=5,"2-5 Years",IF(HR_Data[[#This Row],[YearsAtCompany]]&lt;=10,"6-10 Years","10+ Years")))</f>
        <v>2-5 Years</v>
      </c>
      <c r="AO1390" s="1" t="str">
        <f>IF(HR_Data[[#This Row],[JobSatisfaction]]=1,"Low",IF(HR_Data[[#This Row],[JobSatisfaction]]=2,"Medium",IF(HR_Data[[#This Row],[JobSatisfaction]]=3,"High","Very High")))</f>
        <v>Very High</v>
      </c>
      <c r="AP1390" s="1" t="str">
        <f>IF(HR_Data[[#This Row],[WorkLifeBalance]]=1,"Bad",IF(HR_Data[[#This Row],[WorkLifeBalance]]=2,"Good",IF(HR_Data[[#This Row],[WorkLifeBalance]]=3,"Better","Best")))</f>
        <v>Better</v>
      </c>
    </row>
    <row r="1391" spans="1:42" x14ac:dyDescent="0.3">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c r="AJ1391">
        <f>IF(HR_Data[[#This Row],[Attrition]]="Yes",1,0)</f>
        <v>0</v>
      </c>
      <c r="AK1391">
        <f>IF(HR_Data[[#This Row],[Attrition]]="No",1,0)</f>
        <v>1</v>
      </c>
      <c r="AL1391" t="str">
        <f>IF(HR_Data[[#This Row],[Age]]&lt;25,"Under 25",IF(HR_Data[[#This Row],[Age]]&lt;=34,"25-34",IF(HR_Data[[#This Row],[Age]]&lt;=44,"35-44",IF(HR_Data[[#This Row],[Age]]&lt;=54,"45-54","55+"))))</f>
        <v>25-34</v>
      </c>
      <c r="AM1391" s="1" t="str">
        <f>IF(HR_Data[[#This Row],[MonthlyIncome]]&lt;3000,"Low Salary",IF(HR_Data[[#This Row],[MonthlyIncome]]&lt;=7000,"Medium Salary","High Salary"))</f>
        <v>Medium Salary</v>
      </c>
      <c r="AN1391" s="1" t="str">
        <f>IF(HR_Data[[#This Row],[YearsAtCompany]]&lt;2,"0-1 Years",IF(HR_Data[[#This Row],[YearsAtCompany]]&lt;=5,"2-5 Years",IF(HR_Data[[#This Row],[YearsAtCompany]]&lt;=10,"6-10 Years","10+ Years")))</f>
        <v>6-10 Years</v>
      </c>
      <c r="AO1391" s="1" t="str">
        <f>IF(HR_Data[[#This Row],[JobSatisfaction]]=1,"Low",IF(HR_Data[[#This Row],[JobSatisfaction]]=2,"Medium",IF(HR_Data[[#This Row],[JobSatisfaction]]=3,"High","Very High")))</f>
        <v>Low</v>
      </c>
      <c r="AP1391" s="1" t="str">
        <f>IF(HR_Data[[#This Row],[WorkLifeBalance]]=1,"Bad",IF(HR_Data[[#This Row],[WorkLifeBalance]]=2,"Good",IF(HR_Data[[#This Row],[WorkLifeBalance]]=3,"Better","Best")))</f>
        <v>Better</v>
      </c>
    </row>
    <row r="1392" spans="1:42" x14ac:dyDescent="0.3">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c r="AJ1392">
        <f>IF(HR_Data[[#This Row],[Attrition]]="Yes",1,0)</f>
        <v>1</v>
      </c>
      <c r="AK1392">
        <f>IF(HR_Data[[#This Row],[Attrition]]="No",1,0)</f>
        <v>0</v>
      </c>
      <c r="AL1392" t="str">
        <f>IF(HR_Data[[#This Row],[Age]]&lt;25,"Under 25",IF(HR_Data[[#This Row],[Age]]&lt;=34,"25-34",IF(HR_Data[[#This Row],[Age]]&lt;=44,"35-44",IF(HR_Data[[#This Row],[Age]]&lt;=54,"45-54","55+"))))</f>
        <v>25-34</v>
      </c>
      <c r="AM1392" s="1" t="str">
        <f>IF(HR_Data[[#This Row],[MonthlyIncome]]&lt;3000,"Low Salary",IF(HR_Data[[#This Row],[MonthlyIncome]]&lt;=7000,"Medium Salary","High Salary"))</f>
        <v>Low Salary</v>
      </c>
      <c r="AN1392" s="1" t="str">
        <f>IF(HR_Data[[#This Row],[YearsAtCompany]]&lt;2,"0-1 Years",IF(HR_Data[[#This Row],[YearsAtCompany]]&lt;=5,"2-5 Years",IF(HR_Data[[#This Row],[YearsAtCompany]]&lt;=10,"6-10 Years","10+ Years")))</f>
        <v>2-5 Years</v>
      </c>
      <c r="AO1392" s="1" t="str">
        <f>IF(HR_Data[[#This Row],[JobSatisfaction]]=1,"Low",IF(HR_Data[[#This Row],[JobSatisfaction]]=2,"Medium",IF(HR_Data[[#This Row],[JobSatisfaction]]=3,"High","Very High")))</f>
        <v>Very High</v>
      </c>
      <c r="AP1392" s="1" t="str">
        <f>IF(HR_Data[[#This Row],[WorkLifeBalance]]=1,"Bad",IF(HR_Data[[#This Row],[WorkLifeBalance]]=2,"Good",IF(HR_Data[[#This Row],[WorkLifeBalance]]=3,"Better","Best")))</f>
        <v>Good</v>
      </c>
    </row>
    <row r="1393" spans="1:42" x14ac:dyDescent="0.3">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c r="AJ1393">
        <f>IF(HR_Data[[#This Row],[Attrition]]="Yes",1,0)</f>
        <v>0</v>
      </c>
      <c r="AK1393">
        <f>IF(HR_Data[[#This Row],[Attrition]]="No",1,0)</f>
        <v>1</v>
      </c>
      <c r="AL1393" t="str">
        <f>IF(HR_Data[[#This Row],[Age]]&lt;25,"Under 25",IF(HR_Data[[#This Row],[Age]]&lt;=34,"25-34",IF(HR_Data[[#This Row],[Age]]&lt;=44,"35-44",IF(HR_Data[[#This Row],[Age]]&lt;=54,"45-54","55+"))))</f>
        <v>35-44</v>
      </c>
      <c r="AM1393" s="1" t="str">
        <f>IF(HR_Data[[#This Row],[MonthlyIncome]]&lt;3000,"Low Salary",IF(HR_Data[[#This Row],[MonthlyIncome]]&lt;=7000,"Medium Salary","High Salary"))</f>
        <v>Low Salary</v>
      </c>
      <c r="AN1393" s="1" t="str">
        <f>IF(HR_Data[[#This Row],[YearsAtCompany]]&lt;2,"0-1 Years",IF(HR_Data[[#This Row],[YearsAtCompany]]&lt;=5,"2-5 Years",IF(HR_Data[[#This Row],[YearsAtCompany]]&lt;=10,"6-10 Years","10+ Years")))</f>
        <v>0-1 Years</v>
      </c>
      <c r="AO1393" s="1" t="str">
        <f>IF(HR_Data[[#This Row],[JobSatisfaction]]=1,"Low",IF(HR_Data[[#This Row],[JobSatisfaction]]=2,"Medium",IF(HR_Data[[#This Row],[JobSatisfaction]]=3,"High","Very High")))</f>
        <v>Low</v>
      </c>
      <c r="AP1393" s="1" t="str">
        <f>IF(HR_Data[[#This Row],[WorkLifeBalance]]=1,"Bad",IF(HR_Data[[#This Row],[WorkLifeBalance]]=2,"Good",IF(HR_Data[[#This Row],[WorkLifeBalance]]=3,"Better","Best")))</f>
        <v>Good</v>
      </c>
    </row>
    <row r="1394" spans="1:42" x14ac:dyDescent="0.3">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c r="AJ1394">
        <f>IF(HR_Data[[#This Row],[Attrition]]="Yes",1,0)</f>
        <v>0</v>
      </c>
      <c r="AK1394">
        <f>IF(HR_Data[[#This Row],[Attrition]]="No",1,0)</f>
        <v>1</v>
      </c>
      <c r="AL1394" t="str">
        <f>IF(HR_Data[[#This Row],[Age]]&lt;25,"Under 25",IF(HR_Data[[#This Row],[Age]]&lt;=34,"25-34",IF(HR_Data[[#This Row],[Age]]&lt;=44,"35-44",IF(HR_Data[[#This Row],[Age]]&lt;=54,"45-54","55+"))))</f>
        <v>35-44</v>
      </c>
      <c r="AM1394" s="1" t="str">
        <f>IF(HR_Data[[#This Row],[MonthlyIncome]]&lt;3000,"Low Salary",IF(HR_Data[[#This Row],[MonthlyIncome]]&lt;=7000,"Medium Salary","High Salary"))</f>
        <v>Medium Salary</v>
      </c>
      <c r="AN1394" s="1" t="str">
        <f>IF(HR_Data[[#This Row],[YearsAtCompany]]&lt;2,"0-1 Years",IF(HR_Data[[#This Row],[YearsAtCompany]]&lt;=5,"2-5 Years",IF(HR_Data[[#This Row],[YearsAtCompany]]&lt;=10,"6-10 Years","10+ Years")))</f>
        <v>6-10 Years</v>
      </c>
      <c r="AO1394" s="1" t="str">
        <f>IF(HR_Data[[#This Row],[JobSatisfaction]]=1,"Low",IF(HR_Data[[#This Row],[JobSatisfaction]]=2,"Medium",IF(HR_Data[[#This Row],[JobSatisfaction]]=3,"High","Very High")))</f>
        <v>Very High</v>
      </c>
      <c r="AP1394" s="1" t="str">
        <f>IF(HR_Data[[#This Row],[WorkLifeBalance]]=1,"Bad",IF(HR_Data[[#This Row],[WorkLifeBalance]]=2,"Good",IF(HR_Data[[#This Row],[WorkLifeBalance]]=3,"Better","Best")))</f>
        <v>Better</v>
      </c>
    </row>
    <row r="1395" spans="1:42" x14ac:dyDescent="0.3">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c r="AJ1395">
        <f>IF(HR_Data[[#This Row],[Attrition]]="Yes",1,0)</f>
        <v>0</v>
      </c>
      <c r="AK1395">
        <f>IF(HR_Data[[#This Row],[Attrition]]="No",1,0)</f>
        <v>1</v>
      </c>
      <c r="AL1395" t="str">
        <f>IF(HR_Data[[#This Row],[Age]]&lt;25,"Under 25",IF(HR_Data[[#This Row],[Age]]&lt;=34,"25-34",IF(HR_Data[[#This Row],[Age]]&lt;=44,"35-44",IF(HR_Data[[#This Row],[Age]]&lt;=54,"45-54","55+"))))</f>
        <v>25-34</v>
      </c>
      <c r="AM1395" s="1" t="str">
        <f>IF(HR_Data[[#This Row],[MonthlyIncome]]&lt;3000,"Low Salary",IF(HR_Data[[#This Row],[MonthlyIncome]]&lt;=7000,"Medium Salary","High Salary"))</f>
        <v>Medium Salary</v>
      </c>
      <c r="AN1395" s="1" t="str">
        <f>IF(HR_Data[[#This Row],[YearsAtCompany]]&lt;2,"0-1 Years",IF(HR_Data[[#This Row],[YearsAtCompany]]&lt;=5,"2-5 Years",IF(HR_Data[[#This Row],[YearsAtCompany]]&lt;=10,"6-10 Years","10+ Years")))</f>
        <v>6-10 Years</v>
      </c>
      <c r="AO1395" s="1" t="str">
        <f>IF(HR_Data[[#This Row],[JobSatisfaction]]=1,"Low",IF(HR_Data[[#This Row],[JobSatisfaction]]=2,"Medium",IF(HR_Data[[#This Row],[JobSatisfaction]]=3,"High","Very High")))</f>
        <v>Very High</v>
      </c>
      <c r="AP1395" s="1" t="str">
        <f>IF(HR_Data[[#This Row],[WorkLifeBalance]]=1,"Bad",IF(HR_Data[[#This Row],[WorkLifeBalance]]=2,"Good",IF(HR_Data[[#This Row],[WorkLifeBalance]]=3,"Better","Best")))</f>
        <v>Better</v>
      </c>
    </row>
    <row r="1396" spans="1:42" x14ac:dyDescent="0.3">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c r="AJ1396">
        <f>IF(HR_Data[[#This Row],[Attrition]]="Yes",1,0)</f>
        <v>0</v>
      </c>
      <c r="AK1396">
        <f>IF(HR_Data[[#This Row],[Attrition]]="No",1,0)</f>
        <v>1</v>
      </c>
      <c r="AL1396" t="str">
        <f>IF(HR_Data[[#This Row],[Age]]&lt;25,"Under 25",IF(HR_Data[[#This Row],[Age]]&lt;=34,"25-34",IF(HR_Data[[#This Row],[Age]]&lt;=44,"35-44",IF(HR_Data[[#This Row],[Age]]&lt;=54,"45-54","55+"))))</f>
        <v>25-34</v>
      </c>
      <c r="AM1396" s="1" t="str">
        <f>IF(HR_Data[[#This Row],[MonthlyIncome]]&lt;3000,"Low Salary",IF(HR_Data[[#This Row],[MonthlyIncome]]&lt;=7000,"Medium Salary","High Salary"))</f>
        <v>High Salary</v>
      </c>
      <c r="AN1396" s="1" t="str">
        <f>IF(HR_Data[[#This Row],[YearsAtCompany]]&lt;2,"0-1 Years",IF(HR_Data[[#This Row],[YearsAtCompany]]&lt;=5,"2-5 Years",IF(HR_Data[[#This Row],[YearsAtCompany]]&lt;=10,"6-10 Years","10+ Years")))</f>
        <v>0-1 Years</v>
      </c>
      <c r="AO1396" s="1" t="str">
        <f>IF(HR_Data[[#This Row],[JobSatisfaction]]=1,"Low",IF(HR_Data[[#This Row],[JobSatisfaction]]=2,"Medium",IF(HR_Data[[#This Row],[JobSatisfaction]]=3,"High","Very High")))</f>
        <v>Very High</v>
      </c>
      <c r="AP1396" s="1" t="str">
        <f>IF(HR_Data[[#This Row],[WorkLifeBalance]]=1,"Bad",IF(HR_Data[[#This Row],[WorkLifeBalance]]=2,"Good",IF(HR_Data[[#This Row],[WorkLifeBalance]]=3,"Better","Best")))</f>
        <v>Better</v>
      </c>
    </row>
    <row r="1397" spans="1:42" x14ac:dyDescent="0.3">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c r="AJ1397">
        <f>IF(HR_Data[[#This Row],[Attrition]]="Yes",1,0)</f>
        <v>1</v>
      </c>
      <c r="AK1397">
        <f>IF(HR_Data[[#This Row],[Attrition]]="No",1,0)</f>
        <v>0</v>
      </c>
      <c r="AL1397" t="str">
        <f>IF(HR_Data[[#This Row],[Age]]&lt;25,"Under 25",IF(HR_Data[[#This Row],[Age]]&lt;=34,"25-34",IF(HR_Data[[#This Row],[Age]]&lt;=44,"35-44",IF(HR_Data[[#This Row],[Age]]&lt;=54,"45-54","55+"))))</f>
        <v>25-34</v>
      </c>
      <c r="AM1397" s="1" t="str">
        <f>IF(HR_Data[[#This Row],[MonthlyIncome]]&lt;3000,"Low Salary",IF(HR_Data[[#This Row],[MonthlyIncome]]&lt;=7000,"Medium Salary","High Salary"))</f>
        <v>Medium Salary</v>
      </c>
      <c r="AN1397" s="1" t="str">
        <f>IF(HR_Data[[#This Row],[YearsAtCompany]]&lt;2,"0-1 Years",IF(HR_Data[[#This Row],[YearsAtCompany]]&lt;=5,"2-5 Years",IF(HR_Data[[#This Row],[YearsAtCompany]]&lt;=10,"6-10 Years","10+ Years")))</f>
        <v>6-10 Years</v>
      </c>
      <c r="AO1397" s="1" t="str">
        <f>IF(HR_Data[[#This Row],[JobSatisfaction]]=1,"Low",IF(HR_Data[[#This Row],[JobSatisfaction]]=2,"Medium",IF(HR_Data[[#This Row],[JobSatisfaction]]=3,"High","Very High")))</f>
        <v>Very High</v>
      </c>
      <c r="AP1397" s="1" t="str">
        <f>IF(HR_Data[[#This Row],[WorkLifeBalance]]=1,"Bad",IF(HR_Data[[#This Row],[WorkLifeBalance]]=2,"Good",IF(HR_Data[[#This Row],[WorkLifeBalance]]=3,"Better","Best")))</f>
        <v>Better</v>
      </c>
    </row>
    <row r="1398" spans="1:42" x14ac:dyDescent="0.3">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c r="AJ1398">
        <f>IF(HR_Data[[#This Row],[Attrition]]="Yes",1,0)</f>
        <v>1</v>
      </c>
      <c r="AK1398">
        <f>IF(HR_Data[[#This Row],[Attrition]]="No",1,0)</f>
        <v>0</v>
      </c>
      <c r="AL1398" t="str">
        <f>IF(HR_Data[[#This Row],[Age]]&lt;25,"Under 25",IF(HR_Data[[#This Row],[Age]]&lt;=34,"25-34",IF(HR_Data[[#This Row],[Age]]&lt;=44,"35-44",IF(HR_Data[[#This Row],[Age]]&lt;=54,"45-54","55+"))))</f>
        <v>45-54</v>
      </c>
      <c r="AM1398" s="1" t="str">
        <f>IF(HR_Data[[#This Row],[MonthlyIncome]]&lt;3000,"Low Salary",IF(HR_Data[[#This Row],[MonthlyIncome]]&lt;=7000,"Medium Salary","High Salary"))</f>
        <v>High Salary</v>
      </c>
      <c r="AN1398" s="1" t="str">
        <f>IF(HR_Data[[#This Row],[YearsAtCompany]]&lt;2,"0-1 Years",IF(HR_Data[[#This Row],[YearsAtCompany]]&lt;=5,"2-5 Years",IF(HR_Data[[#This Row],[YearsAtCompany]]&lt;=10,"6-10 Years","10+ Years")))</f>
        <v>2-5 Years</v>
      </c>
      <c r="AO1398" s="1" t="str">
        <f>IF(HR_Data[[#This Row],[JobSatisfaction]]=1,"Low",IF(HR_Data[[#This Row],[JobSatisfaction]]=2,"Medium",IF(HR_Data[[#This Row],[JobSatisfaction]]=3,"High","Very High")))</f>
        <v>Low</v>
      </c>
      <c r="AP1398" s="1" t="str">
        <f>IF(HR_Data[[#This Row],[WorkLifeBalance]]=1,"Bad",IF(HR_Data[[#This Row],[WorkLifeBalance]]=2,"Good",IF(HR_Data[[#This Row],[WorkLifeBalance]]=3,"Better","Best")))</f>
        <v>Good</v>
      </c>
    </row>
    <row r="1399" spans="1:42" x14ac:dyDescent="0.3">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c r="AJ1399">
        <f>IF(HR_Data[[#This Row],[Attrition]]="Yes",1,0)</f>
        <v>0</v>
      </c>
      <c r="AK1399">
        <f>IF(HR_Data[[#This Row],[Attrition]]="No",1,0)</f>
        <v>1</v>
      </c>
      <c r="AL1399" t="str">
        <f>IF(HR_Data[[#This Row],[Age]]&lt;25,"Under 25",IF(HR_Data[[#This Row],[Age]]&lt;=34,"25-34",IF(HR_Data[[#This Row],[Age]]&lt;=44,"35-44",IF(HR_Data[[#This Row],[Age]]&lt;=54,"45-54","55+"))))</f>
        <v>45-54</v>
      </c>
      <c r="AM1399" s="1" t="str">
        <f>IF(HR_Data[[#This Row],[MonthlyIncome]]&lt;3000,"Low Salary",IF(HR_Data[[#This Row],[MonthlyIncome]]&lt;=7000,"Medium Salary","High Salary"))</f>
        <v>Low Salary</v>
      </c>
      <c r="AN1399" s="1" t="str">
        <f>IF(HR_Data[[#This Row],[YearsAtCompany]]&lt;2,"0-1 Years",IF(HR_Data[[#This Row],[YearsAtCompany]]&lt;=5,"2-5 Years",IF(HR_Data[[#This Row],[YearsAtCompany]]&lt;=10,"6-10 Years","10+ Years")))</f>
        <v>2-5 Years</v>
      </c>
      <c r="AO1399" s="1" t="str">
        <f>IF(HR_Data[[#This Row],[JobSatisfaction]]=1,"Low",IF(HR_Data[[#This Row],[JobSatisfaction]]=2,"Medium",IF(HR_Data[[#This Row],[JobSatisfaction]]=3,"High","Very High")))</f>
        <v>High</v>
      </c>
      <c r="AP1399" s="1" t="str">
        <f>IF(HR_Data[[#This Row],[WorkLifeBalance]]=1,"Bad",IF(HR_Data[[#This Row],[WorkLifeBalance]]=2,"Good",IF(HR_Data[[#This Row],[WorkLifeBalance]]=3,"Better","Best")))</f>
        <v>Good</v>
      </c>
    </row>
    <row r="1400" spans="1:42" x14ac:dyDescent="0.3">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c r="AJ1400">
        <f>IF(HR_Data[[#This Row],[Attrition]]="Yes",1,0)</f>
        <v>0</v>
      </c>
      <c r="AK1400">
        <f>IF(HR_Data[[#This Row],[Attrition]]="No",1,0)</f>
        <v>1</v>
      </c>
      <c r="AL1400" t="str">
        <f>IF(HR_Data[[#This Row],[Age]]&lt;25,"Under 25",IF(HR_Data[[#This Row],[Age]]&lt;=34,"25-34",IF(HR_Data[[#This Row],[Age]]&lt;=44,"35-44",IF(HR_Data[[#This Row],[Age]]&lt;=54,"45-54","55+"))))</f>
        <v>25-34</v>
      </c>
      <c r="AM1400" s="1" t="str">
        <f>IF(HR_Data[[#This Row],[MonthlyIncome]]&lt;3000,"Low Salary",IF(HR_Data[[#This Row],[MonthlyIncome]]&lt;=7000,"Medium Salary","High Salary"))</f>
        <v>Medium Salary</v>
      </c>
      <c r="AN1400" s="1" t="str">
        <f>IF(HR_Data[[#This Row],[YearsAtCompany]]&lt;2,"0-1 Years",IF(HR_Data[[#This Row],[YearsAtCompany]]&lt;=5,"2-5 Years",IF(HR_Data[[#This Row],[YearsAtCompany]]&lt;=10,"6-10 Years","10+ Years")))</f>
        <v>6-10 Years</v>
      </c>
      <c r="AO1400" s="1" t="str">
        <f>IF(HR_Data[[#This Row],[JobSatisfaction]]=1,"Low",IF(HR_Data[[#This Row],[JobSatisfaction]]=2,"Medium",IF(HR_Data[[#This Row],[JobSatisfaction]]=3,"High","Very High")))</f>
        <v>High</v>
      </c>
      <c r="AP1400" s="1" t="str">
        <f>IF(HR_Data[[#This Row],[WorkLifeBalance]]=1,"Bad",IF(HR_Data[[#This Row],[WorkLifeBalance]]=2,"Good",IF(HR_Data[[#This Row],[WorkLifeBalance]]=3,"Better","Best")))</f>
        <v>Better</v>
      </c>
    </row>
    <row r="1401" spans="1:42" x14ac:dyDescent="0.3">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c r="AJ1401">
        <f>IF(HR_Data[[#This Row],[Attrition]]="Yes",1,0)</f>
        <v>0</v>
      </c>
      <c r="AK1401">
        <f>IF(HR_Data[[#This Row],[Attrition]]="No",1,0)</f>
        <v>1</v>
      </c>
      <c r="AL1401" t="str">
        <f>IF(HR_Data[[#This Row],[Age]]&lt;25,"Under 25",IF(HR_Data[[#This Row],[Age]]&lt;=34,"25-34",IF(HR_Data[[#This Row],[Age]]&lt;=44,"35-44",IF(HR_Data[[#This Row],[Age]]&lt;=54,"45-54","55+"))))</f>
        <v>35-44</v>
      </c>
      <c r="AM1401" s="1" t="str">
        <f>IF(HR_Data[[#This Row],[MonthlyIncome]]&lt;3000,"Low Salary",IF(HR_Data[[#This Row],[MonthlyIncome]]&lt;=7000,"Medium Salary","High Salary"))</f>
        <v>High Salary</v>
      </c>
      <c r="AN1401" s="1" t="str">
        <f>IF(HR_Data[[#This Row],[YearsAtCompany]]&lt;2,"0-1 Years",IF(HR_Data[[#This Row],[YearsAtCompany]]&lt;=5,"2-5 Years",IF(HR_Data[[#This Row],[YearsAtCompany]]&lt;=10,"6-10 Years","10+ Years")))</f>
        <v>6-10 Years</v>
      </c>
      <c r="AO1401" s="1" t="str">
        <f>IF(HR_Data[[#This Row],[JobSatisfaction]]=1,"Low",IF(HR_Data[[#This Row],[JobSatisfaction]]=2,"Medium",IF(HR_Data[[#This Row],[JobSatisfaction]]=3,"High","Very High")))</f>
        <v>High</v>
      </c>
      <c r="AP1401" s="1" t="str">
        <f>IF(HR_Data[[#This Row],[WorkLifeBalance]]=1,"Bad",IF(HR_Data[[#This Row],[WorkLifeBalance]]=2,"Good",IF(HR_Data[[#This Row],[WorkLifeBalance]]=3,"Better","Best")))</f>
        <v>Better</v>
      </c>
    </row>
    <row r="1402" spans="1:42" x14ac:dyDescent="0.3">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c r="AJ1402">
        <f>IF(HR_Data[[#This Row],[Attrition]]="Yes",1,0)</f>
        <v>0</v>
      </c>
      <c r="AK1402">
        <f>IF(HR_Data[[#This Row],[Attrition]]="No",1,0)</f>
        <v>1</v>
      </c>
      <c r="AL1402" t="str">
        <f>IF(HR_Data[[#This Row],[Age]]&lt;25,"Under 25",IF(HR_Data[[#This Row],[Age]]&lt;=34,"25-34",IF(HR_Data[[#This Row],[Age]]&lt;=44,"35-44",IF(HR_Data[[#This Row],[Age]]&lt;=54,"45-54","55+"))))</f>
        <v>35-44</v>
      </c>
      <c r="AM1402" s="1" t="str">
        <f>IF(HR_Data[[#This Row],[MonthlyIncome]]&lt;3000,"Low Salary",IF(HR_Data[[#This Row],[MonthlyIncome]]&lt;=7000,"Medium Salary","High Salary"))</f>
        <v>Low Salary</v>
      </c>
      <c r="AN1402" s="1" t="str">
        <f>IF(HR_Data[[#This Row],[YearsAtCompany]]&lt;2,"0-1 Years",IF(HR_Data[[#This Row],[YearsAtCompany]]&lt;=5,"2-5 Years",IF(HR_Data[[#This Row],[YearsAtCompany]]&lt;=10,"6-10 Years","10+ Years")))</f>
        <v>6-10 Years</v>
      </c>
      <c r="AO1402" s="1" t="str">
        <f>IF(HR_Data[[#This Row],[JobSatisfaction]]=1,"Low",IF(HR_Data[[#This Row],[JobSatisfaction]]=2,"Medium",IF(HR_Data[[#This Row],[JobSatisfaction]]=3,"High","Very High")))</f>
        <v>Medium</v>
      </c>
      <c r="AP1402" s="1" t="str">
        <f>IF(HR_Data[[#This Row],[WorkLifeBalance]]=1,"Bad",IF(HR_Data[[#This Row],[WorkLifeBalance]]=2,"Good",IF(HR_Data[[#This Row],[WorkLifeBalance]]=3,"Better","Best")))</f>
        <v>Better</v>
      </c>
    </row>
    <row r="1403" spans="1:42" x14ac:dyDescent="0.3">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c r="AJ1403">
        <f>IF(HR_Data[[#This Row],[Attrition]]="Yes",1,0)</f>
        <v>0</v>
      </c>
      <c r="AK1403">
        <f>IF(HR_Data[[#This Row],[Attrition]]="No",1,0)</f>
        <v>1</v>
      </c>
      <c r="AL1403" t="str">
        <f>IF(HR_Data[[#This Row],[Age]]&lt;25,"Under 25",IF(HR_Data[[#This Row],[Age]]&lt;=34,"25-34",IF(HR_Data[[#This Row],[Age]]&lt;=44,"35-44",IF(HR_Data[[#This Row],[Age]]&lt;=54,"45-54","55+"))))</f>
        <v>55+</v>
      </c>
      <c r="AM1403" s="1" t="str">
        <f>IF(HR_Data[[#This Row],[MonthlyIncome]]&lt;3000,"Low Salary",IF(HR_Data[[#This Row],[MonthlyIncome]]&lt;=7000,"Medium Salary","High Salary"))</f>
        <v>High Salary</v>
      </c>
      <c r="AN1403" s="1" t="str">
        <f>IF(HR_Data[[#This Row],[YearsAtCompany]]&lt;2,"0-1 Years",IF(HR_Data[[#This Row],[YearsAtCompany]]&lt;=5,"2-5 Years",IF(HR_Data[[#This Row],[YearsAtCompany]]&lt;=10,"6-10 Years","10+ Years")))</f>
        <v>6-10 Years</v>
      </c>
      <c r="AO1403" s="1" t="str">
        <f>IF(HR_Data[[#This Row],[JobSatisfaction]]=1,"Low",IF(HR_Data[[#This Row],[JobSatisfaction]]=2,"Medium",IF(HR_Data[[#This Row],[JobSatisfaction]]=3,"High","Very High")))</f>
        <v>Medium</v>
      </c>
      <c r="AP1403" s="1" t="str">
        <f>IF(HR_Data[[#This Row],[WorkLifeBalance]]=1,"Bad",IF(HR_Data[[#This Row],[WorkLifeBalance]]=2,"Good",IF(HR_Data[[#This Row],[WorkLifeBalance]]=3,"Better","Best")))</f>
        <v>Better</v>
      </c>
    </row>
    <row r="1404" spans="1:42" x14ac:dyDescent="0.3">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c r="AJ1404">
        <f>IF(HR_Data[[#This Row],[Attrition]]="Yes",1,0)</f>
        <v>0</v>
      </c>
      <c r="AK1404">
        <f>IF(HR_Data[[#This Row],[Attrition]]="No",1,0)</f>
        <v>1</v>
      </c>
      <c r="AL1404" t="str">
        <f>IF(HR_Data[[#This Row],[Age]]&lt;25,"Under 25",IF(HR_Data[[#This Row],[Age]]&lt;=34,"25-34",IF(HR_Data[[#This Row],[Age]]&lt;=44,"35-44",IF(HR_Data[[#This Row],[Age]]&lt;=54,"45-54","55+"))))</f>
        <v>25-34</v>
      </c>
      <c r="AM1404" s="1" t="str">
        <f>IF(HR_Data[[#This Row],[MonthlyIncome]]&lt;3000,"Low Salary",IF(HR_Data[[#This Row],[MonthlyIncome]]&lt;=7000,"Medium Salary","High Salary"))</f>
        <v>Low Salary</v>
      </c>
      <c r="AN1404" s="1" t="str">
        <f>IF(HR_Data[[#This Row],[YearsAtCompany]]&lt;2,"0-1 Years",IF(HR_Data[[#This Row],[YearsAtCompany]]&lt;=5,"2-5 Years",IF(HR_Data[[#This Row],[YearsAtCompany]]&lt;=10,"6-10 Years","10+ Years")))</f>
        <v>0-1 Years</v>
      </c>
      <c r="AO1404" s="1" t="str">
        <f>IF(HR_Data[[#This Row],[JobSatisfaction]]=1,"Low",IF(HR_Data[[#This Row],[JobSatisfaction]]=2,"Medium",IF(HR_Data[[#This Row],[JobSatisfaction]]=3,"High","Very High")))</f>
        <v>Very High</v>
      </c>
      <c r="AP1404" s="1" t="str">
        <f>IF(HR_Data[[#This Row],[WorkLifeBalance]]=1,"Bad",IF(HR_Data[[#This Row],[WorkLifeBalance]]=2,"Good",IF(HR_Data[[#This Row],[WorkLifeBalance]]=3,"Better","Best")))</f>
        <v>Better</v>
      </c>
    </row>
    <row r="1405" spans="1:42" x14ac:dyDescent="0.3">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c r="AJ1405">
        <f>IF(HR_Data[[#This Row],[Attrition]]="Yes",1,0)</f>
        <v>0</v>
      </c>
      <c r="AK1405">
        <f>IF(HR_Data[[#This Row],[Attrition]]="No",1,0)</f>
        <v>1</v>
      </c>
      <c r="AL1405" t="str">
        <f>IF(HR_Data[[#This Row],[Age]]&lt;25,"Under 25",IF(HR_Data[[#This Row],[Age]]&lt;=34,"25-34",IF(HR_Data[[#This Row],[Age]]&lt;=44,"35-44",IF(HR_Data[[#This Row],[Age]]&lt;=54,"45-54","55+"))))</f>
        <v>35-44</v>
      </c>
      <c r="AM1405" s="1" t="str">
        <f>IF(HR_Data[[#This Row],[MonthlyIncome]]&lt;3000,"Low Salary",IF(HR_Data[[#This Row],[MonthlyIncome]]&lt;=7000,"Medium Salary","High Salary"))</f>
        <v>High Salary</v>
      </c>
      <c r="AN1405" s="1" t="str">
        <f>IF(HR_Data[[#This Row],[YearsAtCompany]]&lt;2,"0-1 Years",IF(HR_Data[[#This Row],[YearsAtCompany]]&lt;=5,"2-5 Years",IF(HR_Data[[#This Row],[YearsAtCompany]]&lt;=10,"6-10 Years","10+ Years")))</f>
        <v>10+ Years</v>
      </c>
      <c r="AO1405" s="1" t="str">
        <f>IF(HR_Data[[#This Row],[JobSatisfaction]]=1,"Low",IF(HR_Data[[#This Row],[JobSatisfaction]]=2,"Medium",IF(HR_Data[[#This Row],[JobSatisfaction]]=3,"High","Very High")))</f>
        <v>Low</v>
      </c>
      <c r="AP1405" s="1" t="str">
        <f>IF(HR_Data[[#This Row],[WorkLifeBalance]]=1,"Bad",IF(HR_Data[[#This Row],[WorkLifeBalance]]=2,"Good",IF(HR_Data[[#This Row],[WorkLifeBalance]]=3,"Better","Best")))</f>
        <v>Better</v>
      </c>
    </row>
    <row r="1406" spans="1:42" x14ac:dyDescent="0.3">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c r="AJ1406">
        <f>IF(HR_Data[[#This Row],[Attrition]]="Yes",1,0)</f>
        <v>0</v>
      </c>
      <c r="AK1406">
        <f>IF(HR_Data[[#This Row],[Attrition]]="No",1,0)</f>
        <v>1</v>
      </c>
      <c r="AL1406" t="str">
        <f>IF(HR_Data[[#This Row],[Age]]&lt;25,"Under 25",IF(HR_Data[[#This Row],[Age]]&lt;=34,"25-34",IF(HR_Data[[#This Row],[Age]]&lt;=44,"35-44",IF(HR_Data[[#This Row],[Age]]&lt;=54,"45-54","55+"))))</f>
        <v>35-44</v>
      </c>
      <c r="AM1406" s="1" t="str">
        <f>IF(HR_Data[[#This Row],[MonthlyIncome]]&lt;3000,"Low Salary",IF(HR_Data[[#This Row],[MonthlyIncome]]&lt;=7000,"Medium Salary","High Salary"))</f>
        <v>Medium Salary</v>
      </c>
      <c r="AN1406" s="1" t="str">
        <f>IF(HR_Data[[#This Row],[YearsAtCompany]]&lt;2,"0-1 Years",IF(HR_Data[[#This Row],[YearsAtCompany]]&lt;=5,"2-5 Years",IF(HR_Data[[#This Row],[YearsAtCompany]]&lt;=10,"6-10 Years","10+ Years")))</f>
        <v>10+ Years</v>
      </c>
      <c r="AO1406" s="1" t="str">
        <f>IF(HR_Data[[#This Row],[JobSatisfaction]]=1,"Low",IF(HR_Data[[#This Row],[JobSatisfaction]]=2,"Medium",IF(HR_Data[[#This Row],[JobSatisfaction]]=3,"High","Very High")))</f>
        <v>High</v>
      </c>
      <c r="AP1406" s="1" t="str">
        <f>IF(HR_Data[[#This Row],[WorkLifeBalance]]=1,"Bad",IF(HR_Data[[#This Row],[WorkLifeBalance]]=2,"Good",IF(HR_Data[[#This Row],[WorkLifeBalance]]=3,"Better","Best")))</f>
        <v>Better</v>
      </c>
    </row>
    <row r="1407" spans="1:42" x14ac:dyDescent="0.3">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c r="AJ1407">
        <f>IF(HR_Data[[#This Row],[Attrition]]="Yes",1,0)</f>
        <v>0</v>
      </c>
      <c r="AK1407">
        <f>IF(HR_Data[[#This Row],[Attrition]]="No",1,0)</f>
        <v>1</v>
      </c>
      <c r="AL1407" t="str">
        <f>IF(HR_Data[[#This Row],[Age]]&lt;25,"Under 25",IF(HR_Data[[#This Row],[Age]]&lt;=34,"25-34",IF(HR_Data[[#This Row],[Age]]&lt;=44,"35-44",IF(HR_Data[[#This Row],[Age]]&lt;=54,"45-54","55+"))))</f>
        <v>25-34</v>
      </c>
      <c r="AM1407" s="1" t="str">
        <f>IF(HR_Data[[#This Row],[MonthlyIncome]]&lt;3000,"Low Salary",IF(HR_Data[[#This Row],[MonthlyIncome]]&lt;=7000,"Medium Salary","High Salary"))</f>
        <v>High Salary</v>
      </c>
      <c r="AN1407" s="1" t="str">
        <f>IF(HR_Data[[#This Row],[YearsAtCompany]]&lt;2,"0-1 Years",IF(HR_Data[[#This Row],[YearsAtCompany]]&lt;=5,"2-5 Years",IF(HR_Data[[#This Row],[YearsAtCompany]]&lt;=10,"6-10 Years","10+ Years")))</f>
        <v>10+ Years</v>
      </c>
      <c r="AO1407" s="1" t="str">
        <f>IF(HR_Data[[#This Row],[JobSatisfaction]]=1,"Low",IF(HR_Data[[#This Row],[JobSatisfaction]]=2,"Medium",IF(HR_Data[[#This Row],[JobSatisfaction]]=3,"High","Very High")))</f>
        <v>High</v>
      </c>
      <c r="AP1407" s="1" t="str">
        <f>IF(HR_Data[[#This Row],[WorkLifeBalance]]=1,"Bad",IF(HR_Data[[#This Row],[WorkLifeBalance]]=2,"Good",IF(HR_Data[[#This Row],[WorkLifeBalance]]=3,"Better","Best")))</f>
        <v>Best</v>
      </c>
    </row>
    <row r="1408" spans="1:42" x14ac:dyDescent="0.3">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c r="AJ1408">
        <f>IF(HR_Data[[#This Row],[Attrition]]="Yes",1,0)</f>
        <v>0</v>
      </c>
      <c r="AK1408">
        <f>IF(HR_Data[[#This Row],[Attrition]]="No",1,0)</f>
        <v>1</v>
      </c>
      <c r="AL1408" t="str">
        <f>IF(HR_Data[[#This Row],[Age]]&lt;25,"Under 25",IF(HR_Data[[#This Row],[Age]]&lt;=34,"25-34",IF(HR_Data[[#This Row],[Age]]&lt;=44,"35-44",IF(HR_Data[[#This Row],[Age]]&lt;=54,"45-54","55+"))))</f>
        <v>45-54</v>
      </c>
      <c r="AM1408" s="1" t="str">
        <f>IF(HR_Data[[#This Row],[MonthlyIncome]]&lt;3000,"Low Salary",IF(HR_Data[[#This Row],[MonthlyIncome]]&lt;=7000,"Medium Salary","High Salary"))</f>
        <v>Medium Salary</v>
      </c>
      <c r="AN1408" s="1" t="str">
        <f>IF(HR_Data[[#This Row],[YearsAtCompany]]&lt;2,"0-1 Years",IF(HR_Data[[#This Row],[YearsAtCompany]]&lt;=5,"2-5 Years",IF(HR_Data[[#This Row],[YearsAtCompany]]&lt;=10,"6-10 Years","10+ Years")))</f>
        <v>2-5 Years</v>
      </c>
      <c r="AO1408" s="1" t="str">
        <f>IF(HR_Data[[#This Row],[JobSatisfaction]]=1,"Low",IF(HR_Data[[#This Row],[JobSatisfaction]]=2,"Medium",IF(HR_Data[[#This Row],[JobSatisfaction]]=3,"High","Very High")))</f>
        <v>Low</v>
      </c>
      <c r="AP1408" s="1" t="str">
        <f>IF(HR_Data[[#This Row],[WorkLifeBalance]]=1,"Bad",IF(HR_Data[[#This Row],[WorkLifeBalance]]=2,"Good",IF(HR_Data[[#This Row],[WorkLifeBalance]]=3,"Better","Best")))</f>
        <v>Better</v>
      </c>
    </row>
    <row r="1409" spans="1:42" x14ac:dyDescent="0.3">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c r="AJ1409">
        <f>IF(HR_Data[[#This Row],[Attrition]]="Yes",1,0)</f>
        <v>0</v>
      </c>
      <c r="AK1409">
        <f>IF(HR_Data[[#This Row],[Attrition]]="No",1,0)</f>
        <v>1</v>
      </c>
      <c r="AL1409" t="str">
        <f>IF(HR_Data[[#This Row],[Age]]&lt;25,"Under 25",IF(HR_Data[[#This Row],[Age]]&lt;=34,"25-34",IF(HR_Data[[#This Row],[Age]]&lt;=44,"35-44",IF(HR_Data[[#This Row],[Age]]&lt;=54,"45-54","55+"))))</f>
        <v>Under 25</v>
      </c>
      <c r="AM1409" s="1" t="str">
        <f>IF(HR_Data[[#This Row],[MonthlyIncome]]&lt;3000,"Low Salary",IF(HR_Data[[#This Row],[MonthlyIncome]]&lt;=7000,"Medium Salary","High Salary"))</f>
        <v>Medium Salary</v>
      </c>
      <c r="AN1409" s="1" t="str">
        <f>IF(HR_Data[[#This Row],[YearsAtCompany]]&lt;2,"0-1 Years",IF(HR_Data[[#This Row],[YearsAtCompany]]&lt;=5,"2-5 Years",IF(HR_Data[[#This Row],[YearsAtCompany]]&lt;=10,"6-10 Years","10+ Years")))</f>
        <v>2-5 Years</v>
      </c>
      <c r="AO1409" s="1" t="str">
        <f>IF(HR_Data[[#This Row],[JobSatisfaction]]=1,"Low",IF(HR_Data[[#This Row],[JobSatisfaction]]=2,"Medium",IF(HR_Data[[#This Row],[JobSatisfaction]]=3,"High","Very High")))</f>
        <v>High</v>
      </c>
      <c r="AP1409" s="1" t="str">
        <f>IF(HR_Data[[#This Row],[WorkLifeBalance]]=1,"Bad",IF(HR_Data[[#This Row],[WorkLifeBalance]]=2,"Good",IF(HR_Data[[#This Row],[WorkLifeBalance]]=3,"Better","Best")))</f>
        <v>Good</v>
      </c>
    </row>
    <row r="1410" spans="1:42" x14ac:dyDescent="0.3">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c r="AJ1410">
        <f>IF(HR_Data[[#This Row],[Attrition]]="Yes",1,0)</f>
        <v>0</v>
      </c>
      <c r="AK1410">
        <f>IF(HR_Data[[#This Row],[Attrition]]="No",1,0)</f>
        <v>1</v>
      </c>
      <c r="AL1410" t="str">
        <f>IF(HR_Data[[#This Row],[Age]]&lt;25,"Under 25",IF(HR_Data[[#This Row],[Age]]&lt;=34,"25-34",IF(HR_Data[[#This Row],[Age]]&lt;=44,"35-44",IF(HR_Data[[#This Row],[Age]]&lt;=54,"45-54","55+"))))</f>
        <v>Under 25</v>
      </c>
      <c r="AM1410" s="1" t="str">
        <f>IF(HR_Data[[#This Row],[MonthlyIncome]]&lt;3000,"Low Salary",IF(HR_Data[[#This Row],[MonthlyIncome]]&lt;=7000,"Medium Salary","High Salary"))</f>
        <v>Low Salary</v>
      </c>
      <c r="AN1410" s="1" t="str">
        <f>IF(HR_Data[[#This Row],[YearsAtCompany]]&lt;2,"0-1 Years",IF(HR_Data[[#This Row],[YearsAtCompany]]&lt;=5,"2-5 Years",IF(HR_Data[[#This Row],[YearsAtCompany]]&lt;=10,"6-10 Years","10+ Years")))</f>
        <v>2-5 Years</v>
      </c>
      <c r="AO1410" s="1" t="str">
        <f>IF(HR_Data[[#This Row],[JobSatisfaction]]=1,"Low",IF(HR_Data[[#This Row],[JobSatisfaction]]=2,"Medium",IF(HR_Data[[#This Row],[JobSatisfaction]]=3,"High","Very High")))</f>
        <v>Very High</v>
      </c>
      <c r="AP1410" s="1" t="str">
        <f>IF(HR_Data[[#This Row],[WorkLifeBalance]]=1,"Bad",IF(HR_Data[[#This Row],[WorkLifeBalance]]=2,"Good",IF(HR_Data[[#This Row],[WorkLifeBalance]]=3,"Better","Best")))</f>
        <v>Best</v>
      </c>
    </row>
    <row r="1411" spans="1:42" x14ac:dyDescent="0.3">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c r="AJ1411">
        <f>IF(HR_Data[[#This Row],[Attrition]]="Yes",1,0)</f>
        <v>0</v>
      </c>
      <c r="AK1411">
        <f>IF(HR_Data[[#This Row],[Attrition]]="No",1,0)</f>
        <v>1</v>
      </c>
      <c r="AL1411" t="str">
        <f>IF(HR_Data[[#This Row],[Age]]&lt;25,"Under 25",IF(HR_Data[[#This Row],[Age]]&lt;=34,"25-34",IF(HR_Data[[#This Row],[Age]]&lt;=44,"35-44",IF(HR_Data[[#This Row],[Age]]&lt;=54,"45-54","55+"))))</f>
        <v>35-44</v>
      </c>
      <c r="AM1411" s="1" t="str">
        <f>IF(HR_Data[[#This Row],[MonthlyIncome]]&lt;3000,"Low Salary",IF(HR_Data[[#This Row],[MonthlyIncome]]&lt;=7000,"Medium Salary","High Salary"))</f>
        <v>Medium Salary</v>
      </c>
      <c r="AN1411" s="1" t="str">
        <f>IF(HR_Data[[#This Row],[YearsAtCompany]]&lt;2,"0-1 Years",IF(HR_Data[[#This Row],[YearsAtCompany]]&lt;=5,"2-5 Years",IF(HR_Data[[#This Row],[YearsAtCompany]]&lt;=10,"6-10 Years","10+ Years")))</f>
        <v>6-10 Years</v>
      </c>
      <c r="AO1411" s="1" t="str">
        <f>IF(HR_Data[[#This Row],[JobSatisfaction]]=1,"Low",IF(HR_Data[[#This Row],[JobSatisfaction]]=2,"Medium",IF(HR_Data[[#This Row],[JobSatisfaction]]=3,"High","Very High")))</f>
        <v>High</v>
      </c>
      <c r="AP1411" s="1" t="str">
        <f>IF(HR_Data[[#This Row],[WorkLifeBalance]]=1,"Bad",IF(HR_Data[[#This Row],[WorkLifeBalance]]=2,"Good",IF(HR_Data[[#This Row],[WorkLifeBalance]]=3,"Better","Best")))</f>
        <v>Best</v>
      </c>
    </row>
    <row r="1412" spans="1:42" x14ac:dyDescent="0.3">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c r="AJ1412">
        <f>IF(HR_Data[[#This Row],[Attrition]]="Yes",1,0)</f>
        <v>0</v>
      </c>
      <c r="AK1412">
        <f>IF(HR_Data[[#This Row],[Attrition]]="No",1,0)</f>
        <v>1</v>
      </c>
      <c r="AL1412" t="str">
        <f>IF(HR_Data[[#This Row],[Age]]&lt;25,"Under 25",IF(HR_Data[[#This Row],[Age]]&lt;=34,"25-34",IF(HR_Data[[#This Row],[Age]]&lt;=44,"35-44",IF(HR_Data[[#This Row],[Age]]&lt;=54,"45-54","55+"))))</f>
        <v>35-44</v>
      </c>
      <c r="AM1412" s="1" t="str">
        <f>IF(HR_Data[[#This Row],[MonthlyIncome]]&lt;3000,"Low Salary",IF(HR_Data[[#This Row],[MonthlyIncome]]&lt;=7000,"Medium Salary","High Salary"))</f>
        <v>Medium Salary</v>
      </c>
      <c r="AN1412" s="1" t="str">
        <f>IF(HR_Data[[#This Row],[YearsAtCompany]]&lt;2,"0-1 Years",IF(HR_Data[[#This Row],[YearsAtCompany]]&lt;=5,"2-5 Years",IF(HR_Data[[#This Row],[YearsAtCompany]]&lt;=10,"6-10 Years","10+ Years")))</f>
        <v>10+ Years</v>
      </c>
      <c r="AO1412" s="1" t="str">
        <f>IF(HR_Data[[#This Row],[JobSatisfaction]]=1,"Low",IF(HR_Data[[#This Row],[JobSatisfaction]]=2,"Medium",IF(HR_Data[[#This Row],[JobSatisfaction]]=3,"High","Very High")))</f>
        <v>Medium</v>
      </c>
      <c r="AP1412" s="1" t="str">
        <f>IF(HR_Data[[#This Row],[WorkLifeBalance]]=1,"Bad",IF(HR_Data[[#This Row],[WorkLifeBalance]]=2,"Good",IF(HR_Data[[#This Row],[WorkLifeBalance]]=3,"Better","Best")))</f>
        <v>Better</v>
      </c>
    </row>
    <row r="1413" spans="1:42" x14ac:dyDescent="0.3">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c r="AJ1413">
        <f>IF(HR_Data[[#This Row],[Attrition]]="Yes",1,0)</f>
        <v>0</v>
      </c>
      <c r="AK1413">
        <f>IF(HR_Data[[#This Row],[Attrition]]="No",1,0)</f>
        <v>1</v>
      </c>
      <c r="AL1413" t="str">
        <f>IF(HR_Data[[#This Row],[Age]]&lt;25,"Under 25",IF(HR_Data[[#This Row],[Age]]&lt;=34,"25-34",IF(HR_Data[[#This Row],[Age]]&lt;=44,"35-44",IF(HR_Data[[#This Row],[Age]]&lt;=54,"45-54","55+"))))</f>
        <v>25-34</v>
      </c>
      <c r="AM1413" s="1" t="str">
        <f>IF(HR_Data[[#This Row],[MonthlyIncome]]&lt;3000,"Low Salary",IF(HR_Data[[#This Row],[MonthlyIncome]]&lt;=7000,"Medium Salary","High Salary"))</f>
        <v>Low Salary</v>
      </c>
      <c r="AN1413" s="1" t="str">
        <f>IF(HR_Data[[#This Row],[YearsAtCompany]]&lt;2,"0-1 Years",IF(HR_Data[[#This Row],[YearsAtCompany]]&lt;=5,"2-5 Years",IF(HR_Data[[#This Row],[YearsAtCompany]]&lt;=10,"6-10 Years","10+ Years")))</f>
        <v>2-5 Years</v>
      </c>
      <c r="AO1413" s="1" t="str">
        <f>IF(HR_Data[[#This Row],[JobSatisfaction]]=1,"Low",IF(HR_Data[[#This Row],[JobSatisfaction]]=2,"Medium",IF(HR_Data[[#This Row],[JobSatisfaction]]=3,"High","Very High")))</f>
        <v>Medium</v>
      </c>
      <c r="AP1413" s="1" t="str">
        <f>IF(HR_Data[[#This Row],[WorkLifeBalance]]=1,"Bad",IF(HR_Data[[#This Row],[WorkLifeBalance]]=2,"Good",IF(HR_Data[[#This Row],[WorkLifeBalance]]=3,"Better","Best")))</f>
        <v>Better</v>
      </c>
    </row>
    <row r="1414" spans="1:42" x14ac:dyDescent="0.3">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c r="AJ1414">
        <f>IF(HR_Data[[#This Row],[Attrition]]="Yes",1,0)</f>
        <v>0</v>
      </c>
      <c r="AK1414">
        <f>IF(HR_Data[[#This Row],[Attrition]]="No",1,0)</f>
        <v>1</v>
      </c>
      <c r="AL1414" t="str">
        <f>IF(HR_Data[[#This Row],[Age]]&lt;25,"Under 25",IF(HR_Data[[#This Row],[Age]]&lt;=34,"25-34",IF(HR_Data[[#This Row],[Age]]&lt;=44,"35-44",IF(HR_Data[[#This Row],[Age]]&lt;=54,"45-54","55+"))))</f>
        <v>25-34</v>
      </c>
      <c r="AM1414" s="1" t="str">
        <f>IF(HR_Data[[#This Row],[MonthlyIncome]]&lt;3000,"Low Salary",IF(HR_Data[[#This Row],[MonthlyIncome]]&lt;=7000,"Medium Salary","High Salary"))</f>
        <v>Medium Salary</v>
      </c>
      <c r="AN1414" s="1" t="str">
        <f>IF(HR_Data[[#This Row],[YearsAtCompany]]&lt;2,"0-1 Years",IF(HR_Data[[#This Row],[YearsAtCompany]]&lt;=5,"2-5 Years",IF(HR_Data[[#This Row],[YearsAtCompany]]&lt;=10,"6-10 Years","10+ Years")))</f>
        <v>10+ Years</v>
      </c>
      <c r="AO1414" s="1" t="str">
        <f>IF(HR_Data[[#This Row],[JobSatisfaction]]=1,"Low",IF(HR_Data[[#This Row],[JobSatisfaction]]=2,"Medium",IF(HR_Data[[#This Row],[JobSatisfaction]]=3,"High","Very High")))</f>
        <v>Medium</v>
      </c>
      <c r="AP1414" s="1" t="str">
        <f>IF(HR_Data[[#This Row],[WorkLifeBalance]]=1,"Bad",IF(HR_Data[[#This Row],[WorkLifeBalance]]=2,"Good",IF(HR_Data[[#This Row],[WorkLifeBalance]]=3,"Better","Best")))</f>
        <v>Good</v>
      </c>
    </row>
    <row r="1415" spans="1:42" x14ac:dyDescent="0.3">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c r="AJ1415">
        <f>IF(HR_Data[[#This Row],[Attrition]]="Yes",1,0)</f>
        <v>0</v>
      </c>
      <c r="AK1415">
        <f>IF(HR_Data[[#This Row],[Attrition]]="No",1,0)</f>
        <v>1</v>
      </c>
      <c r="AL1415" t="str">
        <f>IF(HR_Data[[#This Row],[Age]]&lt;25,"Under 25",IF(HR_Data[[#This Row],[Age]]&lt;=34,"25-34",IF(HR_Data[[#This Row],[Age]]&lt;=44,"35-44",IF(HR_Data[[#This Row],[Age]]&lt;=54,"45-54","55+"))))</f>
        <v>25-34</v>
      </c>
      <c r="AM1415" s="1" t="str">
        <f>IF(HR_Data[[#This Row],[MonthlyIncome]]&lt;3000,"Low Salary",IF(HR_Data[[#This Row],[MonthlyIncome]]&lt;=7000,"Medium Salary","High Salary"))</f>
        <v>Medium Salary</v>
      </c>
      <c r="AN1415" s="1" t="str">
        <f>IF(HR_Data[[#This Row],[YearsAtCompany]]&lt;2,"0-1 Years",IF(HR_Data[[#This Row],[YearsAtCompany]]&lt;=5,"2-5 Years",IF(HR_Data[[#This Row],[YearsAtCompany]]&lt;=10,"6-10 Years","10+ Years")))</f>
        <v>2-5 Years</v>
      </c>
      <c r="AO1415" s="1" t="str">
        <f>IF(HR_Data[[#This Row],[JobSatisfaction]]=1,"Low",IF(HR_Data[[#This Row],[JobSatisfaction]]=2,"Medium",IF(HR_Data[[#This Row],[JobSatisfaction]]=3,"High","Very High")))</f>
        <v>High</v>
      </c>
      <c r="AP1415" s="1" t="str">
        <f>IF(HR_Data[[#This Row],[WorkLifeBalance]]=1,"Bad",IF(HR_Data[[#This Row],[WorkLifeBalance]]=2,"Good",IF(HR_Data[[#This Row],[WorkLifeBalance]]=3,"Better","Best")))</f>
        <v>Good</v>
      </c>
    </row>
    <row r="1416" spans="1:42" x14ac:dyDescent="0.3">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c r="AJ1416">
        <f>IF(HR_Data[[#This Row],[Attrition]]="Yes",1,0)</f>
        <v>0</v>
      </c>
      <c r="AK1416">
        <f>IF(HR_Data[[#This Row],[Attrition]]="No",1,0)</f>
        <v>1</v>
      </c>
      <c r="AL1416" t="str">
        <f>IF(HR_Data[[#This Row],[Age]]&lt;25,"Under 25",IF(HR_Data[[#This Row],[Age]]&lt;=34,"25-34",IF(HR_Data[[#This Row],[Age]]&lt;=44,"35-44",IF(HR_Data[[#This Row],[Age]]&lt;=54,"45-54","55+"))))</f>
        <v>45-54</v>
      </c>
      <c r="AM1416" s="1" t="str">
        <f>IF(HR_Data[[#This Row],[MonthlyIncome]]&lt;3000,"Low Salary",IF(HR_Data[[#This Row],[MonthlyIncome]]&lt;=7000,"Medium Salary","High Salary"))</f>
        <v>High Salary</v>
      </c>
      <c r="AN1416" s="1" t="str">
        <f>IF(HR_Data[[#This Row],[YearsAtCompany]]&lt;2,"0-1 Years",IF(HR_Data[[#This Row],[YearsAtCompany]]&lt;=5,"2-5 Years",IF(HR_Data[[#This Row],[YearsAtCompany]]&lt;=10,"6-10 Years","10+ Years")))</f>
        <v>10+ Years</v>
      </c>
      <c r="AO1416" s="1" t="str">
        <f>IF(HR_Data[[#This Row],[JobSatisfaction]]=1,"Low",IF(HR_Data[[#This Row],[JobSatisfaction]]=2,"Medium",IF(HR_Data[[#This Row],[JobSatisfaction]]=3,"High","Very High")))</f>
        <v>High</v>
      </c>
      <c r="AP1416" s="1" t="str">
        <f>IF(HR_Data[[#This Row],[WorkLifeBalance]]=1,"Bad",IF(HR_Data[[#This Row],[WorkLifeBalance]]=2,"Good",IF(HR_Data[[#This Row],[WorkLifeBalance]]=3,"Better","Best")))</f>
        <v>Better</v>
      </c>
    </row>
    <row r="1417" spans="1:42" x14ac:dyDescent="0.3">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c r="AJ1417">
        <f>IF(HR_Data[[#This Row],[Attrition]]="Yes",1,0)</f>
        <v>0</v>
      </c>
      <c r="AK1417">
        <f>IF(HR_Data[[#This Row],[Attrition]]="No",1,0)</f>
        <v>1</v>
      </c>
      <c r="AL1417" t="str">
        <f>IF(HR_Data[[#This Row],[Age]]&lt;25,"Under 25",IF(HR_Data[[#This Row],[Age]]&lt;=34,"25-34",IF(HR_Data[[#This Row],[Age]]&lt;=44,"35-44",IF(HR_Data[[#This Row],[Age]]&lt;=54,"45-54","55+"))))</f>
        <v>25-34</v>
      </c>
      <c r="AM1417" s="1" t="str">
        <f>IF(HR_Data[[#This Row],[MonthlyIncome]]&lt;3000,"Low Salary",IF(HR_Data[[#This Row],[MonthlyIncome]]&lt;=7000,"Medium Salary","High Salary"))</f>
        <v>Low Salary</v>
      </c>
      <c r="AN1417" s="1" t="str">
        <f>IF(HR_Data[[#This Row],[YearsAtCompany]]&lt;2,"0-1 Years",IF(HR_Data[[#This Row],[YearsAtCompany]]&lt;=5,"2-5 Years",IF(HR_Data[[#This Row],[YearsAtCompany]]&lt;=10,"6-10 Years","10+ Years")))</f>
        <v>0-1 Years</v>
      </c>
      <c r="AO1417" s="1" t="str">
        <f>IF(HR_Data[[#This Row],[JobSatisfaction]]=1,"Low",IF(HR_Data[[#This Row],[JobSatisfaction]]=2,"Medium",IF(HR_Data[[#This Row],[JobSatisfaction]]=3,"High","Very High")))</f>
        <v>High</v>
      </c>
      <c r="AP1417" s="1" t="str">
        <f>IF(HR_Data[[#This Row],[WorkLifeBalance]]=1,"Bad",IF(HR_Data[[#This Row],[WorkLifeBalance]]=2,"Good",IF(HR_Data[[#This Row],[WorkLifeBalance]]=3,"Better","Best")))</f>
        <v>Good</v>
      </c>
    </row>
    <row r="1418" spans="1:42" x14ac:dyDescent="0.3">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c r="AJ1418">
        <f>IF(HR_Data[[#This Row],[Attrition]]="Yes",1,0)</f>
        <v>0</v>
      </c>
      <c r="AK1418">
        <f>IF(HR_Data[[#This Row],[Attrition]]="No",1,0)</f>
        <v>1</v>
      </c>
      <c r="AL1418" t="str">
        <f>IF(HR_Data[[#This Row],[Age]]&lt;25,"Under 25",IF(HR_Data[[#This Row],[Age]]&lt;=34,"25-34",IF(HR_Data[[#This Row],[Age]]&lt;=44,"35-44",IF(HR_Data[[#This Row],[Age]]&lt;=54,"45-54","55+"))))</f>
        <v>35-44</v>
      </c>
      <c r="AM1418" s="1" t="str">
        <f>IF(HR_Data[[#This Row],[MonthlyIncome]]&lt;3000,"Low Salary",IF(HR_Data[[#This Row],[MonthlyIncome]]&lt;=7000,"Medium Salary","High Salary"))</f>
        <v>Medium Salary</v>
      </c>
      <c r="AN1418" s="1" t="str">
        <f>IF(HR_Data[[#This Row],[YearsAtCompany]]&lt;2,"0-1 Years",IF(HR_Data[[#This Row],[YearsAtCompany]]&lt;=5,"2-5 Years",IF(HR_Data[[#This Row],[YearsAtCompany]]&lt;=10,"6-10 Years","10+ Years")))</f>
        <v>10+ Years</v>
      </c>
      <c r="AO1418" s="1" t="str">
        <f>IF(HR_Data[[#This Row],[JobSatisfaction]]=1,"Low",IF(HR_Data[[#This Row],[JobSatisfaction]]=2,"Medium",IF(HR_Data[[#This Row],[JobSatisfaction]]=3,"High","Very High")))</f>
        <v>Medium</v>
      </c>
      <c r="AP1418" s="1" t="str">
        <f>IF(HR_Data[[#This Row],[WorkLifeBalance]]=1,"Bad",IF(HR_Data[[#This Row],[WorkLifeBalance]]=2,"Good",IF(HR_Data[[#This Row],[WorkLifeBalance]]=3,"Better","Best")))</f>
        <v>Better</v>
      </c>
    </row>
    <row r="1419" spans="1:42" x14ac:dyDescent="0.3">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c r="AJ1419">
        <f>IF(HR_Data[[#This Row],[Attrition]]="Yes",1,0)</f>
        <v>0</v>
      </c>
      <c r="AK1419">
        <f>IF(HR_Data[[#This Row],[Attrition]]="No",1,0)</f>
        <v>1</v>
      </c>
      <c r="AL1419" t="str">
        <f>IF(HR_Data[[#This Row],[Age]]&lt;25,"Under 25",IF(HR_Data[[#This Row],[Age]]&lt;=34,"25-34",IF(HR_Data[[#This Row],[Age]]&lt;=44,"35-44",IF(HR_Data[[#This Row],[Age]]&lt;=54,"45-54","55+"))))</f>
        <v>25-34</v>
      </c>
      <c r="AM1419" s="1" t="str">
        <f>IF(HR_Data[[#This Row],[MonthlyIncome]]&lt;3000,"Low Salary",IF(HR_Data[[#This Row],[MonthlyIncome]]&lt;=7000,"Medium Salary","High Salary"))</f>
        <v>Medium Salary</v>
      </c>
      <c r="AN1419" s="1" t="str">
        <f>IF(HR_Data[[#This Row],[YearsAtCompany]]&lt;2,"0-1 Years",IF(HR_Data[[#This Row],[YearsAtCompany]]&lt;=5,"2-5 Years",IF(HR_Data[[#This Row],[YearsAtCompany]]&lt;=10,"6-10 Years","10+ Years")))</f>
        <v>2-5 Years</v>
      </c>
      <c r="AO1419" s="1" t="str">
        <f>IF(HR_Data[[#This Row],[JobSatisfaction]]=1,"Low",IF(HR_Data[[#This Row],[JobSatisfaction]]=2,"Medium",IF(HR_Data[[#This Row],[JobSatisfaction]]=3,"High","Very High")))</f>
        <v>High</v>
      </c>
      <c r="AP1419" s="1" t="str">
        <f>IF(HR_Data[[#This Row],[WorkLifeBalance]]=1,"Bad",IF(HR_Data[[#This Row],[WorkLifeBalance]]=2,"Good",IF(HR_Data[[#This Row],[WorkLifeBalance]]=3,"Better","Best")))</f>
        <v>Better</v>
      </c>
    </row>
    <row r="1420" spans="1:42" x14ac:dyDescent="0.3">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c r="AJ1420">
        <f>IF(HR_Data[[#This Row],[Attrition]]="Yes",1,0)</f>
        <v>0</v>
      </c>
      <c r="AK1420">
        <f>IF(HR_Data[[#This Row],[Attrition]]="No",1,0)</f>
        <v>1</v>
      </c>
      <c r="AL1420" t="str">
        <f>IF(HR_Data[[#This Row],[Age]]&lt;25,"Under 25",IF(HR_Data[[#This Row],[Age]]&lt;=34,"25-34",IF(HR_Data[[#This Row],[Age]]&lt;=44,"35-44",IF(HR_Data[[#This Row],[Age]]&lt;=54,"45-54","55+"))))</f>
        <v>35-44</v>
      </c>
      <c r="AM1420" s="1" t="str">
        <f>IF(HR_Data[[#This Row],[MonthlyIncome]]&lt;3000,"Low Salary",IF(HR_Data[[#This Row],[MonthlyIncome]]&lt;=7000,"Medium Salary","High Salary"))</f>
        <v>Medium Salary</v>
      </c>
      <c r="AN1420" s="1" t="str">
        <f>IF(HR_Data[[#This Row],[YearsAtCompany]]&lt;2,"0-1 Years",IF(HR_Data[[#This Row],[YearsAtCompany]]&lt;=5,"2-5 Years",IF(HR_Data[[#This Row],[YearsAtCompany]]&lt;=10,"6-10 Years","10+ Years")))</f>
        <v>6-10 Years</v>
      </c>
      <c r="AO1420" s="1" t="str">
        <f>IF(HR_Data[[#This Row],[JobSatisfaction]]=1,"Low",IF(HR_Data[[#This Row],[JobSatisfaction]]=2,"Medium",IF(HR_Data[[#This Row],[JobSatisfaction]]=3,"High","Very High")))</f>
        <v>High</v>
      </c>
      <c r="AP1420" s="1" t="str">
        <f>IF(HR_Data[[#This Row],[WorkLifeBalance]]=1,"Bad",IF(HR_Data[[#This Row],[WorkLifeBalance]]=2,"Good",IF(HR_Data[[#This Row],[WorkLifeBalance]]=3,"Better","Best")))</f>
        <v>Better</v>
      </c>
    </row>
    <row r="1421" spans="1:42" x14ac:dyDescent="0.3">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c r="AJ1421">
        <f>IF(HR_Data[[#This Row],[Attrition]]="Yes",1,0)</f>
        <v>0</v>
      </c>
      <c r="AK1421">
        <f>IF(HR_Data[[#This Row],[Attrition]]="No",1,0)</f>
        <v>1</v>
      </c>
      <c r="AL1421" t="str">
        <f>IF(HR_Data[[#This Row],[Age]]&lt;25,"Under 25",IF(HR_Data[[#This Row],[Age]]&lt;=34,"25-34",IF(HR_Data[[#This Row],[Age]]&lt;=44,"35-44",IF(HR_Data[[#This Row],[Age]]&lt;=54,"45-54","55+"))))</f>
        <v>35-44</v>
      </c>
      <c r="AM1421" s="1" t="str">
        <f>IF(HR_Data[[#This Row],[MonthlyIncome]]&lt;3000,"Low Salary",IF(HR_Data[[#This Row],[MonthlyIncome]]&lt;=7000,"Medium Salary","High Salary"))</f>
        <v>Medium Salary</v>
      </c>
      <c r="AN1421" s="1" t="str">
        <f>IF(HR_Data[[#This Row],[YearsAtCompany]]&lt;2,"0-1 Years",IF(HR_Data[[#This Row],[YearsAtCompany]]&lt;=5,"2-5 Years",IF(HR_Data[[#This Row],[YearsAtCompany]]&lt;=10,"6-10 Years","10+ Years")))</f>
        <v>2-5 Years</v>
      </c>
      <c r="AO1421" s="1" t="str">
        <f>IF(HR_Data[[#This Row],[JobSatisfaction]]=1,"Low",IF(HR_Data[[#This Row],[JobSatisfaction]]=2,"Medium",IF(HR_Data[[#This Row],[JobSatisfaction]]=3,"High","Very High")))</f>
        <v>Low</v>
      </c>
      <c r="AP1421" s="1" t="str">
        <f>IF(HR_Data[[#This Row],[WorkLifeBalance]]=1,"Bad",IF(HR_Data[[#This Row],[WorkLifeBalance]]=2,"Good",IF(HR_Data[[#This Row],[WorkLifeBalance]]=3,"Better","Best")))</f>
        <v>Good</v>
      </c>
    </row>
    <row r="1422" spans="1:42" x14ac:dyDescent="0.3">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c r="AJ1422">
        <f>IF(HR_Data[[#This Row],[Attrition]]="Yes",1,0)</f>
        <v>0</v>
      </c>
      <c r="AK1422">
        <f>IF(HR_Data[[#This Row],[Attrition]]="No",1,0)</f>
        <v>1</v>
      </c>
      <c r="AL1422" t="str">
        <f>IF(HR_Data[[#This Row],[Age]]&lt;25,"Under 25",IF(HR_Data[[#This Row],[Age]]&lt;=34,"25-34",IF(HR_Data[[#This Row],[Age]]&lt;=44,"35-44",IF(HR_Data[[#This Row],[Age]]&lt;=54,"45-54","55+"))))</f>
        <v>35-44</v>
      </c>
      <c r="AM1422" s="1" t="str">
        <f>IF(HR_Data[[#This Row],[MonthlyIncome]]&lt;3000,"Low Salary",IF(HR_Data[[#This Row],[MonthlyIncome]]&lt;=7000,"Medium Salary","High Salary"))</f>
        <v>Low Salary</v>
      </c>
      <c r="AN1422" s="1" t="str">
        <f>IF(HR_Data[[#This Row],[YearsAtCompany]]&lt;2,"0-1 Years",IF(HR_Data[[#This Row],[YearsAtCompany]]&lt;=5,"2-5 Years",IF(HR_Data[[#This Row],[YearsAtCompany]]&lt;=10,"6-10 Years","10+ Years")))</f>
        <v>2-5 Years</v>
      </c>
      <c r="AO1422" s="1" t="str">
        <f>IF(HR_Data[[#This Row],[JobSatisfaction]]=1,"Low",IF(HR_Data[[#This Row],[JobSatisfaction]]=2,"Medium",IF(HR_Data[[#This Row],[JobSatisfaction]]=3,"High","Very High")))</f>
        <v>Very High</v>
      </c>
      <c r="AP1422" s="1" t="str">
        <f>IF(HR_Data[[#This Row],[WorkLifeBalance]]=1,"Bad",IF(HR_Data[[#This Row],[WorkLifeBalance]]=2,"Good",IF(HR_Data[[#This Row],[WorkLifeBalance]]=3,"Better","Best")))</f>
        <v>Better</v>
      </c>
    </row>
    <row r="1423" spans="1:42" x14ac:dyDescent="0.3">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c r="AJ1423">
        <f>IF(HR_Data[[#This Row],[Attrition]]="Yes",1,0)</f>
        <v>0</v>
      </c>
      <c r="AK1423">
        <f>IF(HR_Data[[#This Row],[Attrition]]="No",1,0)</f>
        <v>1</v>
      </c>
      <c r="AL1423" t="str">
        <f>IF(HR_Data[[#This Row],[Age]]&lt;25,"Under 25",IF(HR_Data[[#This Row],[Age]]&lt;=34,"25-34",IF(HR_Data[[#This Row],[Age]]&lt;=44,"35-44",IF(HR_Data[[#This Row],[Age]]&lt;=54,"45-54","55+"))))</f>
        <v>45-54</v>
      </c>
      <c r="AM1423" s="1" t="str">
        <f>IF(HR_Data[[#This Row],[MonthlyIncome]]&lt;3000,"Low Salary",IF(HR_Data[[#This Row],[MonthlyIncome]]&lt;=7000,"Medium Salary","High Salary"))</f>
        <v>High Salary</v>
      </c>
      <c r="AN1423" s="1" t="str">
        <f>IF(HR_Data[[#This Row],[YearsAtCompany]]&lt;2,"0-1 Years",IF(HR_Data[[#This Row],[YearsAtCompany]]&lt;=5,"2-5 Years",IF(HR_Data[[#This Row],[YearsAtCompany]]&lt;=10,"6-10 Years","10+ Years")))</f>
        <v>10+ Years</v>
      </c>
      <c r="AO1423" s="1" t="str">
        <f>IF(HR_Data[[#This Row],[JobSatisfaction]]=1,"Low",IF(HR_Data[[#This Row],[JobSatisfaction]]=2,"Medium",IF(HR_Data[[#This Row],[JobSatisfaction]]=3,"High","Very High")))</f>
        <v>Medium</v>
      </c>
      <c r="AP1423" s="1" t="str">
        <f>IF(HR_Data[[#This Row],[WorkLifeBalance]]=1,"Bad",IF(HR_Data[[#This Row],[WorkLifeBalance]]=2,"Good",IF(HR_Data[[#This Row],[WorkLifeBalance]]=3,"Better","Best")))</f>
        <v>Bad</v>
      </c>
    </row>
    <row r="1424" spans="1:42" x14ac:dyDescent="0.3">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c r="AJ1424">
        <f>IF(HR_Data[[#This Row],[Attrition]]="Yes",1,0)</f>
        <v>0</v>
      </c>
      <c r="AK1424">
        <f>IF(HR_Data[[#This Row],[Attrition]]="No",1,0)</f>
        <v>1</v>
      </c>
      <c r="AL1424" t="str">
        <f>IF(HR_Data[[#This Row],[Age]]&lt;25,"Under 25",IF(HR_Data[[#This Row],[Age]]&lt;=34,"25-34",IF(HR_Data[[#This Row],[Age]]&lt;=44,"35-44",IF(HR_Data[[#This Row],[Age]]&lt;=54,"45-54","55+"))))</f>
        <v>35-44</v>
      </c>
      <c r="AM1424" s="1" t="str">
        <f>IF(HR_Data[[#This Row],[MonthlyIncome]]&lt;3000,"Low Salary",IF(HR_Data[[#This Row],[MonthlyIncome]]&lt;=7000,"Medium Salary","High Salary"))</f>
        <v>Low Salary</v>
      </c>
      <c r="AN1424" s="1" t="str">
        <f>IF(HR_Data[[#This Row],[YearsAtCompany]]&lt;2,"0-1 Years",IF(HR_Data[[#This Row],[YearsAtCompany]]&lt;=5,"2-5 Years",IF(HR_Data[[#This Row],[YearsAtCompany]]&lt;=10,"6-10 Years","10+ Years")))</f>
        <v>2-5 Years</v>
      </c>
      <c r="AO1424" s="1" t="str">
        <f>IF(HR_Data[[#This Row],[JobSatisfaction]]=1,"Low",IF(HR_Data[[#This Row],[JobSatisfaction]]=2,"Medium",IF(HR_Data[[#This Row],[JobSatisfaction]]=3,"High","Very High")))</f>
        <v>High</v>
      </c>
      <c r="AP1424" s="1" t="str">
        <f>IF(HR_Data[[#This Row],[WorkLifeBalance]]=1,"Bad",IF(HR_Data[[#This Row],[WorkLifeBalance]]=2,"Good",IF(HR_Data[[#This Row],[WorkLifeBalance]]=3,"Better","Best")))</f>
        <v>Better</v>
      </c>
    </row>
    <row r="1425" spans="1:42" x14ac:dyDescent="0.3">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c r="AJ1425">
        <f>IF(HR_Data[[#This Row],[Attrition]]="Yes",1,0)</f>
        <v>0</v>
      </c>
      <c r="AK1425">
        <f>IF(HR_Data[[#This Row],[Attrition]]="No",1,0)</f>
        <v>1</v>
      </c>
      <c r="AL1425" t="str">
        <f>IF(HR_Data[[#This Row],[Age]]&lt;25,"Under 25",IF(HR_Data[[#This Row],[Age]]&lt;=34,"25-34",IF(HR_Data[[#This Row],[Age]]&lt;=44,"35-44",IF(HR_Data[[#This Row],[Age]]&lt;=54,"45-54","55+"))))</f>
        <v>Under 25</v>
      </c>
      <c r="AM1425" s="1" t="str">
        <f>IF(HR_Data[[#This Row],[MonthlyIncome]]&lt;3000,"Low Salary",IF(HR_Data[[#This Row],[MonthlyIncome]]&lt;=7000,"Medium Salary","High Salary"))</f>
        <v>Medium Salary</v>
      </c>
      <c r="AN1425" s="1" t="str">
        <f>IF(HR_Data[[#This Row],[YearsAtCompany]]&lt;2,"0-1 Years",IF(HR_Data[[#This Row],[YearsAtCompany]]&lt;=5,"2-5 Years",IF(HR_Data[[#This Row],[YearsAtCompany]]&lt;=10,"6-10 Years","10+ Years")))</f>
        <v>2-5 Years</v>
      </c>
      <c r="AO1425" s="1" t="str">
        <f>IF(HR_Data[[#This Row],[JobSatisfaction]]=1,"Low",IF(HR_Data[[#This Row],[JobSatisfaction]]=2,"Medium",IF(HR_Data[[#This Row],[JobSatisfaction]]=3,"High","Very High")))</f>
        <v>High</v>
      </c>
      <c r="AP1425" s="1" t="str">
        <f>IF(HR_Data[[#This Row],[WorkLifeBalance]]=1,"Bad",IF(HR_Data[[#This Row],[WorkLifeBalance]]=2,"Good",IF(HR_Data[[#This Row],[WorkLifeBalance]]=3,"Better","Best")))</f>
        <v>Best</v>
      </c>
    </row>
    <row r="1426" spans="1:42" x14ac:dyDescent="0.3">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c r="AJ1426">
        <f>IF(HR_Data[[#This Row],[Attrition]]="Yes",1,0)</f>
        <v>0</v>
      </c>
      <c r="AK1426">
        <f>IF(HR_Data[[#This Row],[Attrition]]="No",1,0)</f>
        <v>1</v>
      </c>
      <c r="AL1426" t="str">
        <f>IF(HR_Data[[#This Row],[Age]]&lt;25,"Under 25",IF(HR_Data[[#This Row],[Age]]&lt;=34,"25-34",IF(HR_Data[[#This Row],[Age]]&lt;=44,"35-44",IF(HR_Data[[#This Row],[Age]]&lt;=54,"45-54","55+"))))</f>
        <v>35-44</v>
      </c>
      <c r="AM1426" s="1" t="str">
        <f>IF(HR_Data[[#This Row],[MonthlyIncome]]&lt;3000,"Low Salary",IF(HR_Data[[#This Row],[MonthlyIncome]]&lt;=7000,"Medium Salary","High Salary"))</f>
        <v>Medium Salary</v>
      </c>
      <c r="AN1426" s="1" t="str">
        <f>IF(HR_Data[[#This Row],[YearsAtCompany]]&lt;2,"0-1 Years",IF(HR_Data[[#This Row],[YearsAtCompany]]&lt;=5,"2-5 Years",IF(HR_Data[[#This Row],[YearsAtCompany]]&lt;=10,"6-10 Years","10+ Years")))</f>
        <v>6-10 Years</v>
      </c>
      <c r="AO1426" s="1" t="str">
        <f>IF(HR_Data[[#This Row],[JobSatisfaction]]=1,"Low",IF(HR_Data[[#This Row],[JobSatisfaction]]=2,"Medium",IF(HR_Data[[#This Row],[JobSatisfaction]]=3,"High","Very High")))</f>
        <v>High</v>
      </c>
      <c r="AP1426" s="1" t="str">
        <f>IF(HR_Data[[#This Row],[WorkLifeBalance]]=1,"Bad",IF(HR_Data[[#This Row],[WorkLifeBalance]]=2,"Good",IF(HR_Data[[#This Row],[WorkLifeBalance]]=3,"Better","Best")))</f>
        <v>Better</v>
      </c>
    </row>
    <row r="1427" spans="1:42" x14ac:dyDescent="0.3">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c r="AJ1427">
        <f>IF(HR_Data[[#This Row],[Attrition]]="Yes",1,0)</f>
        <v>0</v>
      </c>
      <c r="AK1427">
        <f>IF(HR_Data[[#This Row],[Attrition]]="No",1,0)</f>
        <v>1</v>
      </c>
      <c r="AL1427" t="str">
        <f>IF(HR_Data[[#This Row],[Age]]&lt;25,"Under 25",IF(HR_Data[[#This Row],[Age]]&lt;=34,"25-34",IF(HR_Data[[#This Row],[Age]]&lt;=44,"35-44",IF(HR_Data[[#This Row],[Age]]&lt;=54,"45-54","55+"))))</f>
        <v>25-34</v>
      </c>
      <c r="AM1427" s="1" t="str">
        <f>IF(HR_Data[[#This Row],[MonthlyIncome]]&lt;3000,"Low Salary",IF(HR_Data[[#This Row],[MonthlyIncome]]&lt;=7000,"Medium Salary","High Salary"))</f>
        <v>Medium Salary</v>
      </c>
      <c r="AN1427" s="1" t="str">
        <f>IF(HR_Data[[#This Row],[YearsAtCompany]]&lt;2,"0-1 Years",IF(HR_Data[[#This Row],[YearsAtCompany]]&lt;=5,"2-5 Years",IF(HR_Data[[#This Row],[YearsAtCompany]]&lt;=10,"6-10 Years","10+ Years")))</f>
        <v>6-10 Years</v>
      </c>
      <c r="AO1427" s="1" t="str">
        <f>IF(HR_Data[[#This Row],[JobSatisfaction]]=1,"Low",IF(HR_Data[[#This Row],[JobSatisfaction]]=2,"Medium",IF(HR_Data[[#This Row],[JobSatisfaction]]=3,"High","Very High")))</f>
        <v>Very High</v>
      </c>
      <c r="AP1427" s="1" t="str">
        <f>IF(HR_Data[[#This Row],[WorkLifeBalance]]=1,"Bad",IF(HR_Data[[#This Row],[WorkLifeBalance]]=2,"Good",IF(HR_Data[[#This Row],[WorkLifeBalance]]=3,"Better","Best")))</f>
        <v>Better</v>
      </c>
    </row>
    <row r="1428" spans="1:42" x14ac:dyDescent="0.3">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c r="AJ1428">
        <f>IF(HR_Data[[#This Row],[Attrition]]="Yes",1,0)</f>
        <v>0</v>
      </c>
      <c r="AK1428">
        <f>IF(HR_Data[[#This Row],[Attrition]]="No",1,0)</f>
        <v>1</v>
      </c>
      <c r="AL1428" t="str">
        <f>IF(HR_Data[[#This Row],[Age]]&lt;25,"Under 25",IF(HR_Data[[#This Row],[Age]]&lt;=34,"25-34",IF(HR_Data[[#This Row],[Age]]&lt;=44,"35-44",IF(HR_Data[[#This Row],[Age]]&lt;=54,"45-54","55+"))))</f>
        <v>25-34</v>
      </c>
      <c r="AM1428" s="1" t="str">
        <f>IF(HR_Data[[#This Row],[MonthlyIncome]]&lt;3000,"Low Salary",IF(HR_Data[[#This Row],[MonthlyIncome]]&lt;=7000,"Medium Salary","High Salary"))</f>
        <v>Low Salary</v>
      </c>
      <c r="AN1428" s="1" t="str">
        <f>IF(HR_Data[[#This Row],[YearsAtCompany]]&lt;2,"0-1 Years",IF(HR_Data[[#This Row],[YearsAtCompany]]&lt;=5,"2-5 Years",IF(HR_Data[[#This Row],[YearsAtCompany]]&lt;=10,"6-10 Years","10+ Years")))</f>
        <v>6-10 Years</v>
      </c>
      <c r="AO1428" s="1" t="str">
        <f>IF(HR_Data[[#This Row],[JobSatisfaction]]=1,"Low",IF(HR_Data[[#This Row],[JobSatisfaction]]=2,"Medium",IF(HR_Data[[#This Row],[JobSatisfaction]]=3,"High","Very High")))</f>
        <v>Medium</v>
      </c>
      <c r="AP1428" s="1" t="str">
        <f>IF(HR_Data[[#This Row],[WorkLifeBalance]]=1,"Bad",IF(HR_Data[[#This Row],[WorkLifeBalance]]=2,"Good",IF(HR_Data[[#This Row],[WorkLifeBalance]]=3,"Better","Best")))</f>
        <v>Better</v>
      </c>
    </row>
    <row r="1429" spans="1:42" x14ac:dyDescent="0.3">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c r="AJ1429">
        <f>IF(HR_Data[[#This Row],[Attrition]]="Yes",1,0)</f>
        <v>0</v>
      </c>
      <c r="AK1429">
        <f>IF(HR_Data[[#This Row],[Attrition]]="No",1,0)</f>
        <v>1</v>
      </c>
      <c r="AL1429" t="str">
        <f>IF(HR_Data[[#This Row],[Age]]&lt;25,"Under 25",IF(HR_Data[[#This Row],[Age]]&lt;=34,"25-34",IF(HR_Data[[#This Row],[Age]]&lt;=44,"35-44",IF(HR_Data[[#This Row],[Age]]&lt;=54,"45-54","55+"))))</f>
        <v>35-44</v>
      </c>
      <c r="AM1429" s="1" t="str">
        <f>IF(HR_Data[[#This Row],[MonthlyIncome]]&lt;3000,"Low Salary",IF(HR_Data[[#This Row],[MonthlyIncome]]&lt;=7000,"Medium Salary","High Salary"))</f>
        <v>Low Salary</v>
      </c>
      <c r="AN1429" s="1" t="str">
        <f>IF(HR_Data[[#This Row],[YearsAtCompany]]&lt;2,"0-1 Years",IF(HR_Data[[#This Row],[YearsAtCompany]]&lt;=5,"2-5 Years",IF(HR_Data[[#This Row],[YearsAtCompany]]&lt;=10,"6-10 Years","10+ Years")))</f>
        <v>0-1 Years</v>
      </c>
      <c r="AO1429" s="1" t="str">
        <f>IF(HR_Data[[#This Row],[JobSatisfaction]]=1,"Low",IF(HR_Data[[#This Row],[JobSatisfaction]]=2,"Medium",IF(HR_Data[[#This Row],[JobSatisfaction]]=3,"High","Very High")))</f>
        <v>Very High</v>
      </c>
      <c r="AP1429" s="1" t="str">
        <f>IF(HR_Data[[#This Row],[WorkLifeBalance]]=1,"Bad",IF(HR_Data[[#This Row],[WorkLifeBalance]]=2,"Good",IF(HR_Data[[#This Row],[WorkLifeBalance]]=3,"Better","Best")))</f>
        <v>Good</v>
      </c>
    </row>
    <row r="1430" spans="1:42" x14ac:dyDescent="0.3">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c r="AJ1430">
        <f>IF(HR_Data[[#This Row],[Attrition]]="Yes",1,0)</f>
        <v>0</v>
      </c>
      <c r="AK1430">
        <f>IF(HR_Data[[#This Row],[Attrition]]="No",1,0)</f>
        <v>1</v>
      </c>
      <c r="AL1430" t="str">
        <f>IF(HR_Data[[#This Row],[Age]]&lt;25,"Under 25",IF(HR_Data[[#This Row],[Age]]&lt;=34,"25-34",IF(HR_Data[[#This Row],[Age]]&lt;=44,"35-44",IF(HR_Data[[#This Row],[Age]]&lt;=54,"45-54","55+"))))</f>
        <v>25-34</v>
      </c>
      <c r="AM1430" s="1" t="str">
        <f>IF(HR_Data[[#This Row],[MonthlyIncome]]&lt;3000,"Low Salary",IF(HR_Data[[#This Row],[MonthlyIncome]]&lt;=7000,"Medium Salary","High Salary"))</f>
        <v>Low Salary</v>
      </c>
      <c r="AN1430" s="1" t="str">
        <f>IF(HR_Data[[#This Row],[YearsAtCompany]]&lt;2,"0-1 Years",IF(HR_Data[[#This Row],[YearsAtCompany]]&lt;=5,"2-5 Years",IF(HR_Data[[#This Row],[YearsAtCompany]]&lt;=10,"6-10 Years","10+ Years")))</f>
        <v>2-5 Years</v>
      </c>
      <c r="AO1430" s="1" t="str">
        <f>IF(HR_Data[[#This Row],[JobSatisfaction]]=1,"Low",IF(HR_Data[[#This Row],[JobSatisfaction]]=2,"Medium",IF(HR_Data[[#This Row],[JobSatisfaction]]=3,"High","Very High")))</f>
        <v>Medium</v>
      </c>
      <c r="AP1430" s="1" t="str">
        <f>IF(HR_Data[[#This Row],[WorkLifeBalance]]=1,"Bad",IF(HR_Data[[#This Row],[WorkLifeBalance]]=2,"Good",IF(HR_Data[[#This Row],[WorkLifeBalance]]=3,"Better","Best")))</f>
        <v>Better</v>
      </c>
    </row>
    <row r="1431" spans="1:42" x14ac:dyDescent="0.3">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c r="AJ1431">
        <f>IF(HR_Data[[#This Row],[Attrition]]="Yes",1,0)</f>
        <v>0</v>
      </c>
      <c r="AK1431">
        <f>IF(HR_Data[[#This Row],[Attrition]]="No",1,0)</f>
        <v>1</v>
      </c>
      <c r="AL1431" t="str">
        <f>IF(HR_Data[[#This Row],[Age]]&lt;25,"Under 25",IF(HR_Data[[#This Row],[Age]]&lt;=34,"25-34",IF(HR_Data[[#This Row],[Age]]&lt;=44,"35-44",IF(HR_Data[[#This Row],[Age]]&lt;=54,"45-54","55+"))))</f>
        <v>35-44</v>
      </c>
      <c r="AM1431" s="1" t="str">
        <f>IF(HR_Data[[#This Row],[MonthlyIncome]]&lt;3000,"Low Salary",IF(HR_Data[[#This Row],[MonthlyIncome]]&lt;=7000,"Medium Salary","High Salary"))</f>
        <v>Medium Salary</v>
      </c>
      <c r="AN1431" s="1" t="str">
        <f>IF(HR_Data[[#This Row],[YearsAtCompany]]&lt;2,"0-1 Years",IF(HR_Data[[#This Row],[YearsAtCompany]]&lt;=5,"2-5 Years",IF(HR_Data[[#This Row],[YearsAtCompany]]&lt;=10,"6-10 Years","10+ Years")))</f>
        <v>6-10 Years</v>
      </c>
      <c r="AO1431" s="1" t="str">
        <f>IF(HR_Data[[#This Row],[JobSatisfaction]]=1,"Low",IF(HR_Data[[#This Row],[JobSatisfaction]]=2,"Medium",IF(HR_Data[[#This Row],[JobSatisfaction]]=3,"High","Very High")))</f>
        <v>Very High</v>
      </c>
      <c r="AP1431" s="1" t="str">
        <f>IF(HR_Data[[#This Row],[WorkLifeBalance]]=1,"Bad",IF(HR_Data[[#This Row],[WorkLifeBalance]]=2,"Good",IF(HR_Data[[#This Row],[WorkLifeBalance]]=3,"Better","Best")))</f>
        <v>Better</v>
      </c>
    </row>
    <row r="1432" spans="1:42" x14ac:dyDescent="0.3">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c r="AJ1432">
        <f>IF(HR_Data[[#This Row],[Attrition]]="Yes",1,0)</f>
        <v>0</v>
      </c>
      <c r="AK1432">
        <f>IF(HR_Data[[#This Row],[Attrition]]="No",1,0)</f>
        <v>1</v>
      </c>
      <c r="AL1432" t="str">
        <f>IF(HR_Data[[#This Row],[Age]]&lt;25,"Under 25",IF(HR_Data[[#This Row],[Age]]&lt;=34,"25-34",IF(HR_Data[[#This Row],[Age]]&lt;=44,"35-44",IF(HR_Data[[#This Row],[Age]]&lt;=54,"45-54","55+"))))</f>
        <v>35-44</v>
      </c>
      <c r="AM1432" s="1" t="str">
        <f>IF(HR_Data[[#This Row],[MonthlyIncome]]&lt;3000,"Low Salary",IF(HR_Data[[#This Row],[MonthlyIncome]]&lt;=7000,"Medium Salary","High Salary"))</f>
        <v>High Salary</v>
      </c>
      <c r="AN1432" s="1" t="str">
        <f>IF(HR_Data[[#This Row],[YearsAtCompany]]&lt;2,"0-1 Years",IF(HR_Data[[#This Row],[YearsAtCompany]]&lt;=5,"2-5 Years",IF(HR_Data[[#This Row],[YearsAtCompany]]&lt;=10,"6-10 Years","10+ Years")))</f>
        <v>10+ Years</v>
      </c>
      <c r="AO1432" s="1" t="str">
        <f>IF(HR_Data[[#This Row],[JobSatisfaction]]=1,"Low",IF(HR_Data[[#This Row],[JobSatisfaction]]=2,"Medium",IF(HR_Data[[#This Row],[JobSatisfaction]]=3,"High","Very High")))</f>
        <v>High</v>
      </c>
      <c r="AP1432" s="1" t="str">
        <f>IF(HR_Data[[#This Row],[WorkLifeBalance]]=1,"Bad",IF(HR_Data[[#This Row],[WorkLifeBalance]]=2,"Good",IF(HR_Data[[#This Row],[WorkLifeBalance]]=3,"Better","Best")))</f>
        <v>Better</v>
      </c>
    </row>
    <row r="1433" spans="1:42" x14ac:dyDescent="0.3">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c r="AJ1433">
        <f>IF(HR_Data[[#This Row],[Attrition]]="Yes",1,0)</f>
        <v>0</v>
      </c>
      <c r="AK1433">
        <f>IF(HR_Data[[#This Row],[Attrition]]="No",1,0)</f>
        <v>1</v>
      </c>
      <c r="AL1433" t="str">
        <f>IF(HR_Data[[#This Row],[Age]]&lt;25,"Under 25",IF(HR_Data[[#This Row],[Age]]&lt;=34,"25-34",IF(HR_Data[[#This Row],[Age]]&lt;=44,"35-44",IF(HR_Data[[#This Row],[Age]]&lt;=54,"45-54","55+"))))</f>
        <v>25-34</v>
      </c>
      <c r="AM1433" s="1" t="str">
        <f>IF(HR_Data[[#This Row],[MonthlyIncome]]&lt;3000,"Low Salary",IF(HR_Data[[#This Row],[MonthlyIncome]]&lt;=7000,"Medium Salary","High Salary"))</f>
        <v>High Salary</v>
      </c>
      <c r="AN1433" s="1" t="str">
        <f>IF(HR_Data[[#This Row],[YearsAtCompany]]&lt;2,"0-1 Years",IF(HR_Data[[#This Row],[YearsAtCompany]]&lt;=5,"2-5 Years",IF(HR_Data[[#This Row],[YearsAtCompany]]&lt;=10,"6-10 Years","10+ Years")))</f>
        <v>10+ Years</v>
      </c>
      <c r="AO1433" s="1" t="str">
        <f>IF(HR_Data[[#This Row],[JobSatisfaction]]=1,"Low",IF(HR_Data[[#This Row],[JobSatisfaction]]=2,"Medium",IF(HR_Data[[#This Row],[JobSatisfaction]]=3,"High","Very High")))</f>
        <v>Very High</v>
      </c>
      <c r="AP1433" s="1" t="str">
        <f>IF(HR_Data[[#This Row],[WorkLifeBalance]]=1,"Bad",IF(HR_Data[[#This Row],[WorkLifeBalance]]=2,"Good",IF(HR_Data[[#This Row],[WorkLifeBalance]]=3,"Better","Best")))</f>
        <v>Better</v>
      </c>
    </row>
    <row r="1434" spans="1:42" x14ac:dyDescent="0.3">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c r="AJ1434">
        <f>IF(HR_Data[[#This Row],[Attrition]]="Yes",1,0)</f>
        <v>0</v>
      </c>
      <c r="AK1434">
        <f>IF(HR_Data[[#This Row],[Attrition]]="No",1,0)</f>
        <v>1</v>
      </c>
      <c r="AL1434" t="str">
        <f>IF(HR_Data[[#This Row],[Age]]&lt;25,"Under 25",IF(HR_Data[[#This Row],[Age]]&lt;=34,"25-34",IF(HR_Data[[#This Row],[Age]]&lt;=44,"35-44",IF(HR_Data[[#This Row],[Age]]&lt;=54,"45-54","55+"))))</f>
        <v>35-44</v>
      </c>
      <c r="AM1434" s="1" t="str">
        <f>IF(HR_Data[[#This Row],[MonthlyIncome]]&lt;3000,"Low Salary",IF(HR_Data[[#This Row],[MonthlyIncome]]&lt;=7000,"Medium Salary","High Salary"))</f>
        <v>High Salary</v>
      </c>
      <c r="AN1434" s="1" t="str">
        <f>IF(HR_Data[[#This Row],[YearsAtCompany]]&lt;2,"0-1 Years",IF(HR_Data[[#This Row],[YearsAtCompany]]&lt;=5,"2-5 Years",IF(HR_Data[[#This Row],[YearsAtCompany]]&lt;=10,"6-10 Years","10+ Years")))</f>
        <v>10+ Years</v>
      </c>
      <c r="AO1434" s="1" t="str">
        <f>IF(HR_Data[[#This Row],[JobSatisfaction]]=1,"Low",IF(HR_Data[[#This Row],[JobSatisfaction]]=2,"Medium",IF(HR_Data[[#This Row],[JobSatisfaction]]=3,"High","Very High")))</f>
        <v>Very High</v>
      </c>
      <c r="AP1434" s="1" t="str">
        <f>IF(HR_Data[[#This Row],[WorkLifeBalance]]=1,"Bad",IF(HR_Data[[#This Row],[WorkLifeBalance]]=2,"Good",IF(HR_Data[[#This Row],[WorkLifeBalance]]=3,"Better","Best")))</f>
        <v>Better</v>
      </c>
    </row>
    <row r="1435" spans="1:42" x14ac:dyDescent="0.3">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c r="AJ1435">
        <f>IF(HR_Data[[#This Row],[Attrition]]="Yes",1,0)</f>
        <v>0</v>
      </c>
      <c r="AK1435">
        <f>IF(HR_Data[[#This Row],[Attrition]]="No",1,0)</f>
        <v>1</v>
      </c>
      <c r="AL1435" t="str">
        <f>IF(HR_Data[[#This Row],[Age]]&lt;25,"Under 25",IF(HR_Data[[#This Row],[Age]]&lt;=34,"25-34",IF(HR_Data[[#This Row],[Age]]&lt;=44,"35-44",IF(HR_Data[[#This Row],[Age]]&lt;=54,"45-54","55+"))))</f>
        <v>25-34</v>
      </c>
      <c r="AM1435" s="1" t="str">
        <f>IF(HR_Data[[#This Row],[MonthlyIncome]]&lt;3000,"Low Salary",IF(HR_Data[[#This Row],[MonthlyIncome]]&lt;=7000,"Medium Salary","High Salary"))</f>
        <v>Medium Salary</v>
      </c>
      <c r="AN1435" s="1" t="str">
        <f>IF(HR_Data[[#This Row],[YearsAtCompany]]&lt;2,"0-1 Years",IF(HR_Data[[#This Row],[YearsAtCompany]]&lt;=5,"2-5 Years",IF(HR_Data[[#This Row],[YearsAtCompany]]&lt;=10,"6-10 Years","10+ Years")))</f>
        <v>2-5 Years</v>
      </c>
      <c r="AO1435" s="1" t="str">
        <f>IF(HR_Data[[#This Row],[JobSatisfaction]]=1,"Low",IF(HR_Data[[#This Row],[JobSatisfaction]]=2,"Medium",IF(HR_Data[[#This Row],[JobSatisfaction]]=3,"High","Very High")))</f>
        <v>High</v>
      </c>
      <c r="AP1435" s="1" t="str">
        <f>IF(HR_Data[[#This Row],[WorkLifeBalance]]=1,"Bad",IF(HR_Data[[#This Row],[WorkLifeBalance]]=2,"Good",IF(HR_Data[[#This Row],[WorkLifeBalance]]=3,"Better","Best")))</f>
        <v>Good</v>
      </c>
    </row>
    <row r="1436" spans="1:42" x14ac:dyDescent="0.3">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c r="AJ1436">
        <f>IF(HR_Data[[#This Row],[Attrition]]="Yes",1,0)</f>
        <v>0</v>
      </c>
      <c r="AK1436">
        <f>IF(HR_Data[[#This Row],[Attrition]]="No",1,0)</f>
        <v>1</v>
      </c>
      <c r="AL1436" t="str">
        <f>IF(HR_Data[[#This Row],[Age]]&lt;25,"Under 25",IF(HR_Data[[#This Row],[Age]]&lt;=34,"25-34",IF(HR_Data[[#This Row],[Age]]&lt;=44,"35-44",IF(HR_Data[[#This Row],[Age]]&lt;=54,"45-54","55+"))))</f>
        <v>45-54</v>
      </c>
      <c r="AM1436" s="1" t="str">
        <f>IF(HR_Data[[#This Row],[MonthlyIncome]]&lt;3000,"Low Salary",IF(HR_Data[[#This Row],[MonthlyIncome]]&lt;=7000,"Medium Salary","High Salary"))</f>
        <v>Medium Salary</v>
      </c>
      <c r="AN1436" s="1" t="str">
        <f>IF(HR_Data[[#This Row],[YearsAtCompany]]&lt;2,"0-1 Years",IF(HR_Data[[#This Row],[YearsAtCompany]]&lt;=5,"2-5 Years",IF(HR_Data[[#This Row],[YearsAtCompany]]&lt;=10,"6-10 Years","10+ Years")))</f>
        <v>6-10 Years</v>
      </c>
      <c r="AO1436" s="1" t="str">
        <f>IF(HR_Data[[#This Row],[JobSatisfaction]]=1,"Low",IF(HR_Data[[#This Row],[JobSatisfaction]]=2,"Medium",IF(HR_Data[[#This Row],[JobSatisfaction]]=3,"High","Very High")))</f>
        <v>Very High</v>
      </c>
      <c r="AP1436" s="1" t="str">
        <f>IF(HR_Data[[#This Row],[WorkLifeBalance]]=1,"Bad",IF(HR_Data[[#This Row],[WorkLifeBalance]]=2,"Good",IF(HR_Data[[#This Row],[WorkLifeBalance]]=3,"Better","Best")))</f>
        <v>Good</v>
      </c>
    </row>
    <row r="1437" spans="1:42" x14ac:dyDescent="0.3">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c r="AJ1437">
        <f>IF(HR_Data[[#This Row],[Attrition]]="Yes",1,0)</f>
        <v>0</v>
      </c>
      <c r="AK1437">
        <f>IF(HR_Data[[#This Row],[Attrition]]="No",1,0)</f>
        <v>1</v>
      </c>
      <c r="AL1437" t="str">
        <f>IF(HR_Data[[#This Row],[Age]]&lt;25,"Under 25",IF(HR_Data[[#This Row],[Age]]&lt;=34,"25-34",IF(HR_Data[[#This Row],[Age]]&lt;=44,"35-44",IF(HR_Data[[#This Row],[Age]]&lt;=54,"45-54","55+"))))</f>
        <v>35-44</v>
      </c>
      <c r="AM1437" s="1" t="str">
        <f>IF(HR_Data[[#This Row],[MonthlyIncome]]&lt;3000,"Low Salary",IF(HR_Data[[#This Row],[MonthlyIncome]]&lt;=7000,"Medium Salary","High Salary"))</f>
        <v>Low Salary</v>
      </c>
      <c r="AN1437" s="1" t="str">
        <f>IF(HR_Data[[#This Row],[YearsAtCompany]]&lt;2,"0-1 Years",IF(HR_Data[[#This Row],[YearsAtCompany]]&lt;=5,"2-5 Years",IF(HR_Data[[#This Row],[YearsAtCompany]]&lt;=10,"6-10 Years","10+ Years")))</f>
        <v>2-5 Years</v>
      </c>
      <c r="AO1437" s="1" t="str">
        <f>IF(HR_Data[[#This Row],[JobSatisfaction]]=1,"Low",IF(HR_Data[[#This Row],[JobSatisfaction]]=2,"Medium",IF(HR_Data[[#This Row],[JobSatisfaction]]=3,"High","Very High")))</f>
        <v>Very High</v>
      </c>
      <c r="AP1437" s="1" t="str">
        <f>IF(HR_Data[[#This Row],[WorkLifeBalance]]=1,"Bad",IF(HR_Data[[#This Row],[WorkLifeBalance]]=2,"Good",IF(HR_Data[[#This Row],[WorkLifeBalance]]=3,"Better","Best")))</f>
        <v>Better</v>
      </c>
    </row>
    <row r="1438" spans="1:42" x14ac:dyDescent="0.3">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c r="AJ1438">
        <f>IF(HR_Data[[#This Row],[Attrition]]="Yes",1,0)</f>
        <v>0</v>
      </c>
      <c r="AK1438">
        <f>IF(HR_Data[[#This Row],[Attrition]]="No",1,0)</f>
        <v>1</v>
      </c>
      <c r="AL1438" t="str">
        <f>IF(HR_Data[[#This Row],[Age]]&lt;25,"Under 25",IF(HR_Data[[#This Row],[Age]]&lt;=34,"25-34",IF(HR_Data[[#This Row],[Age]]&lt;=44,"35-44",IF(HR_Data[[#This Row],[Age]]&lt;=54,"45-54","55+"))))</f>
        <v>Under 25</v>
      </c>
      <c r="AM1438" s="1" t="str">
        <f>IF(HR_Data[[#This Row],[MonthlyIncome]]&lt;3000,"Low Salary",IF(HR_Data[[#This Row],[MonthlyIncome]]&lt;=7000,"Medium Salary","High Salary"))</f>
        <v>Low Salary</v>
      </c>
      <c r="AN1438" s="1" t="str">
        <f>IF(HR_Data[[#This Row],[YearsAtCompany]]&lt;2,"0-1 Years",IF(HR_Data[[#This Row],[YearsAtCompany]]&lt;=5,"2-5 Years",IF(HR_Data[[#This Row],[YearsAtCompany]]&lt;=10,"6-10 Years","10+ Years")))</f>
        <v>2-5 Years</v>
      </c>
      <c r="AO1438" s="1" t="str">
        <f>IF(HR_Data[[#This Row],[JobSatisfaction]]=1,"Low",IF(HR_Data[[#This Row],[JobSatisfaction]]=2,"Medium",IF(HR_Data[[#This Row],[JobSatisfaction]]=3,"High","Very High")))</f>
        <v>Low</v>
      </c>
      <c r="AP1438" s="1" t="str">
        <f>IF(HR_Data[[#This Row],[WorkLifeBalance]]=1,"Bad",IF(HR_Data[[#This Row],[WorkLifeBalance]]=2,"Good",IF(HR_Data[[#This Row],[WorkLifeBalance]]=3,"Better","Best")))</f>
        <v>Better</v>
      </c>
    </row>
    <row r="1439" spans="1:42" x14ac:dyDescent="0.3">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c r="AJ1439">
        <f>IF(HR_Data[[#This Row],[Attrition]]="Yes",1,0)</f>
        <v>0</v>
      </c>
      <c r="AK1439">
        <f>IF(HR_Data[[#This Row],[Attrition]]="No",1,0)</f>
        <v>1</v>
      </c>
      <c r="AL1439" t="str">
        <f>IF(HR_Data[[#This Row],[Age]]&lt;25,"Under 25",IF(HR_Data[[#This Row],[Age]]&lt;=34,"25-34",IF(HR_Data[[#This Row],[Age]]&lt;=44,"35-44",IF(HR_Data[[#This Row],[Age]]&lt;=54,"45-54","55+"))))</f>
        <v>35-44</v>
      </c>
      <c r="AM1439" s="1" t="str">
        <f>IF(HR_Data[[#This Row],[MonthlyIncome]]&lt;3000,"Low Salary",IF(HR_Data[[#This Row],[MonthlyIncome]]&lt;=7000,"Medium Salary","High Salary"))</f>
        <v>High Salary</v>
      </c>
      <c r="AN1439" s="1" t="str">
        <f>IF(HR_Data[[#This Row],[YearsAtCompany]]&lt;2,"0-1 Years",IF(HR_Data[[#This Row],[YearsAtCompany]]&lt;=5,"2-5 Years",IF(HR_Data[[#This Row],[YearsAtCompany]]&lt;=10,"6-10 Years","10+ Years")))</f>
        <v>6-10 Years</v>
      </c>
      <c r="AO1439" s="1" t="str">
        <f>IF(HR_Data[[#This Row],[JobSatisfaction]]=1,"Low",IF(HR_Data[[#This Row],[JobSatisfaction]]=2,"Medium",IF(HR_Data[[#This Row],[JobSatisfaction]]=3,"High","Very High")))</f>
        <v>Very High</v>
      </c>
      <c r="AP1439" s="1" t="str">
        <f>IF(HR_Data[[#This Row],[WorkLifeBalance]]=1,"Bad",IF(HR_Data[[#This Row],[WorkLifeBalance]]=2,"Good",IF(HR_Data[[#This Row],[WorkLifeBalance]]=3,"Better","Best")))</f>
        <v>Good</v>
      </c>
    </row>
    <row r="1440" spans="1:42" x14ac:dyDescent="0.3">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c r="AJ1440">
        <f>IF(HR_Data[[#This Row],[Attrition]]="Yes",1,0)</f>
        <v>1</v>
      </c>
      <c r="AK1440">
        <f>IF(HR_Data[[#This Row],[Attrition]]="No",1,0)</f>
        <v>0</v>
      </c>
      <c r="AL1440" t="str">
        <f>IF(HR_Data[[#This Row],[Age]]&lt;25,"Under 25",IF(HR_Data[[#This Row],[Age]]&lt;=34,"25-34",IF(HR_Data[[#This Row],[Age]]&lt;=44,"35-44",IF(HR_Data[[#This Row],[Age]]&lt;=54,"45-54","55+"))))</f>
        <v>Under 25</v>
      </c>
      <c r="AM1440" s="1" t="str">
        <f>IF(HR_Data[[#This Row],[MonthlyIncome]]&lt;3000,"Low Salary",IF(HR_Data[[#This Row],[MonthlyIncome]]&lt;=7000,"Medium Salary","High Salary"))</f>
        <v>Low Salary</v>
      </c>
      <c r="AN1440" s="1" t="str">
        <f>IF(HR_Data[[#This Row],[YearsAtCompany]]&lt;2,"0-1 Years",IF(HR_Data[[#This Row],[YearsAtCompany]]&lt;=5,"2-5 Years",IF(HR_Data[[#This Row],[YearsAtCompany]]&lt;=10,"6-10 Years","10+ Years")))</f>
        <v>0-1 Years</v>
      </c>
      <c r="AO1440" s="1" t="str">
        <f>IF(HR_Data[[#This Row],[JobSatisfaction]]=1,"Low",IF(HR_Data[[#This Row],[JobSatisfaction]]=2,"Medium",IF(HR_Data[[#This Row],[JobSatisfaction]]=3,"High","Very High")))</f>
        <v>Low</v>
      </c>
      <c r="AP1440" s="1" t="str">
        <f>IF(HR_Data[[#This Row],[WorkLifeBalance]]=1,"Bad",IF(HR_Data[[#This Row],[WorkLifeBalance]]=2,"Good",IF(HR_Data[[#This Row],[WorkLifeBalance]]=3,"Better","Best")))</f>
        <v>Good</v>
      </c>
    </row>
    <row r="1441" spans="1:42" x14ac:dyDescent="0.3">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c r="AJ1441">
        <f>IF(HR_Data[[#This Row],[Attrition]]="Yes",1,0)</f>
        <v>0</v>
      </c>
      <c r="AK1441">
        <f>IF(HR_Data[[#This Row],[Attrition]]="No",1,0)</f>
        <v>1</v>
      </c>
      <c r="AL1441" t="str">
        <f>IF(HR_Data[[#This Row],[Age]]&lt;25,"Under 25",IF(HR_Data[[#This Row],[Age]]&lt;=34,"25-34",IF(HR_Data[[#This Row],[Age]]&lt;=44,"35-44",IF(HR_Data[[#This Row],[Age]]&lt;=54,"45-54","55+"))))</f>
        <v>35-44</v>
      </c>
      <c r="AM1441" s="1" t="str">
        <f>IF(HR_Data[[#This Row],[MonthlyIncome]]&lt;3000,"Low Salary",IF(HR_Data[[#This Row],[MonthlyIncome]]&lt;=7000,"Medium Salary","High Salary"))</f>
        <v>High Salary</v>
      </c>
      <c r="AN1441" s="1" t="str">
        <f>IF(HR_Data[[#This Row],[YearsAtCompany]]&lt;2,"0-1 Years",IF(HR_Data[[#This Row],[YearsAtCompany]]&lt;=5,"2-5 Years",IF(HR_Data[[#This Row],[YearsAtCompany]]&lt;=10,"6-10 Years","10+ Years")))</f>
        <v>6-10 Years</v>
      </c>
      <c r="AO1441" s="1" t="str">
        <f>IF(HR_Data[[#This Row],[JobSatisfaction]]=1,"Low",IF(HR_Data[[#This Row],[JobSatisfaction]]=2,"Medium",IF(HR_Data[[#This Row],[JobSatisfaction]]=3,"High","Very High")))</f>
        <v>Very High</v>
      </c>
      <c r="AP1441" s="1" t="str">
        <f>IF(HR_Data[[#This Row],[WorkLifeBalance]]=1,"Bad",IF(HR_Data[[#This Row],[WorkLifeBalance]]=2,"Good",IF(HR_Data[[#This Row],[WorkLifeBalance]]=3,"Better","Best")))</f>
        <v>Better</v>
      </c>
    </row>
    <row r="1442" spans="1:42" x14ac:dyDescent="0.3">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c r="AJ1442">
        <f>IF(HR_Data[[#This Row],[Attrition]]="Yes",1,0)</f>
        <v>0</v>
      </c>
      <c r="AK1442">
        <f>IF(HR_Data[[#This Row],[Attrition]]="No",1,0)</f>
        <v>1</v>
      </c>
      <c r="AL1442" t="str">
        <f>IF(HR_Data[[#This Row],[Age]]&lt;25,"Under 25",IF(HR_Data[[#This Row],[Age]]&lt;=34,"25-34",IF(HR_Data[[#This Row],[Age]]&lt;=44,"35-44",IF(HR_Data[[#This Row],[Age]]&lt;=54,"45-54","55+"))))</f>
        <v>35-44</v>
      </c>
      <c r="AM1442" s="1" t="str">
        <f>IF(HR_Data[[#This Row],[MonthlyIncome]]&lt;3000,"Low Salary",IF(HR_Data[[#This Row],[MonthlyIncome]]&lt;=7000,"Medium Salary","High Salary"))</f>
        <v>Medium Salary</v>
      </c>
      <c r="AN1442" s="1" t="str">
        <f>IF(HR_Data[[#This Row],[YearsAtCompany]]&lt;2,"0-1 Years",IF(HR_Data[[#This Row],[YearsAtCompany]]&lt;=5,"2-5 Years",IF(HR_Data[[#This Row],[YearsAtCompany]]&lt;=10,"6-10 Years","10+ Years")))</f>
        <v>2-5 Years</v>
      </c>
      <c r="AO1442" s="1" t="str">
        <f>IF(HR_Data[[#This Row],[JobSatisfaction]]=1,"Low",IF(HR_Data[[#This Row],[JobSatisfaction]]=2,"Medium",IF(HR_Data[[#This Row],[JobSatisfaction]]=3,"High","Very High")))</f>
        <v>Medium</v>
      </c>
      <c r="AP1442" s="1" t="str">
        <f>IF(HR_Data[[#This Row],[WorkLifeBalance]]=1,"Bad",IF(HR_Data[[#This Row],[WorkLifeBalance]]=2,"Good",IF(HR_Data[[#This Row],[WorkLifeBalance]]=3,"Better","Best")))</f>
        <v>Better</v>
      </c>
    </row>
    <row r="1443" spans="1:42" x14ac:dyDescent="0.3">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c r="AJ1443">
        <f>IF(HR_Data[[#This Row],[Attrition]]="Yes",1,0)</f>
        <v>0</v>
      </c>
      <c r="AK1443">
        <f>IF(HR_Data[[#This Row],[Attrition]]="No",1,0)</f>
        <v>1</v>
      </c>
      <c r="AL1443" t="str">
        <f>IF(HR_Data[[#This Row],[Age]]&lt;25,"Under 25",IF(HR_Data[[#This Row],[Age]]&lt;=34,"25-34",IF(HR_Data[[#This Row],[Age]]&lt;=44,"35-44",IF(HR_Data[[#This Row],[Age]]&lt;=54,"45-54","55+"))))</f>
        <v>55+</v>
      </c>
      <c r="AM1443" s="1" t="str">
        <f>IF(HR_Data[[#This Row],[MonthlyIncome]]&lt;3000,"Low Salary",IF(HR_Data[[#This Row],[MonthlyIncome]]&lt;=7000,"Medium Salary","High Salary"))</f>
        <v>Medium Salary</v>
      </c>
      <c r="AN1443" s="1" t="str">
        <f>IF(HR_Data[[#This Row],[YearsAtCompany]]&lt;2,"0-1 Years",IF(HR_Data[[#This Row],[YearsAtCompany]]&lt;=5,"2-5 Years",IF(HR_Data[[#This Row],[YearsAtCompany]]&lt;=10,"6-10 Years","10+ Years")))</f>
        <v>10+ Years</v>
      </c>
      <c r="AO1443" s="1" t="str">
        <f>IF(HR_Data[[#This Row],[JobSatisfaction]]=1,"Low",IF(HR_Data[[#This Row],[JobSatisfaction]]=2,"Medium",IF(HR_Data[[#This Row],[JobSatisfaction]]=3,"High","Very High")))</f>
        <v>High</v>
      </c>
      <c r="AP1443" s="1" t="str">
        <f>IF(HR_Data[[#This Row],[WorkLifeBalance]]=1,"Bad",IF(HR_Data[[#This Row],[WorkLifeBalance]]=2,"Good",IF(HR_Data[[#This Row],[WorkLifeBalance]]=3,"Better","Best")))</f>
        <v>Good</v>
      </c>
    </row>
    <row r="1444" spans="1:42" x14ac:dyDescent="0.3">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c r="AJ1444">
        <f>IF(HR_Data[[#This Row],[Attrition]]="Yes",1,0)</f>
        <v>1</v>
      </c>
      <c r="AK1444">
        <f>IF(HR_Data[[#This Row],[Attrition]]="No",1,0)</f>
        <v>0</v>
      </c>
      <c r="AL1444" t="str">
        <f>IF(HR_Data[[#This Row],[Age]]&lt;25,"Under 25",IF(HR_Data[[#This Row],[Age]]&lt;=34,"25-34",IF(HR_Data[[#This Row],[Age]]&lt;=44,"35-44",IF(HR_Data[[#This Row],[Age]]&lt;=54,"45-54","55+"))))</f>
        <v>25-34</v>
      </c>
      <c r="AM1444" s="1" t="str">
        <f>IF(HR_Data[[#This Row],[MonthlyIncome]]&lt;3000,"Low Salary",IF(HR_Data[[#This Row],[MonthlyIncome]]&lt;=7000,"Medium Salary","High Salary"))</f>
        <v>Medium Salary</v>
      </c>
      <c r="AN1444" s="1" t="str">
        <f>IF(HR_Data[[#This Row],[YearsAtCompany]]&lt;2,"0-1 Years",IF(HR_Data[[#This Row],[YearsAtCompany]]&lt;=5,"2-5 Years",IF(HR_Data[[#This Row],[YearsAtCompany]]&lt;=10,"6-10 Years","10+ Years")))</f>
        <v>2-5 Years</v>
      </c>
      <c r="AO1444" s="1" t="str">
        <f>IF(HR_Data[[#This Row],[JobSatisfaction]]=1,"Low",IF(HR_Data[[#This Row],[JobSatisfaction]]=2,"Medium",IF(HR_Data[[#This Row],[JobSatisfaction]]=3,"High","Very High")))</f>
        <v>Very High</v>
      </c>
      <c r="AP1444" s="1" t="str">
        <f>IF(HR_Data[[#This Row],[WorkLifeBalance]]=1,"Bad",IF(HR_Data[[#This Row],[WorkLifeBalance]]=2,"Good",IF(HR_Data[[#This Row],[WorkLifeBalance]]=3,"Better","Best")))</f>
        <v>Best</v>
      </c>
    </row>
    <row r="1445" spans="1:42" x14ac:dyDescent="0.3">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c r="AJ1445">
        <f>IF(HR_Data[[#This Row],[Attrition]]="Yes",1,0)</f>
        <v>0</v>
      </c>
      <c r="AK1445">
        <f>IF(HR_Data[[#This Row],[Attrition]]="No",1,0)</f>
        <v>1</v>
      </c>
      <c r="AL1445" t="str">
        <f>IF(HR_Data[[#This Row],[Age]]&lt;25,"Under 25",IF(HR_Data[[#This Row],[Age]]&lt;=34,"25-34",IF(HR_Data[[#This Row],[Age]]&lt;=44,"35-44",IF(HR_Data[[#This Row],[Age]]&lt;=54,"45-54","55+"))))</f>
        <v>35-44</v>
      </c>
      <c r="AM1445" s="1" t="str">
        <f>IF(HR_Data[[#This Row],[MonthlyIncome]]&lt;3000,"Low Salary",IF(HR_Data[[#This Row],[MonthlyIncome]]&lt;=7000,"Medium Salary","High Salary"))</f>
        <v>High Salary</v>
      </c>
      <c r="AN1445" s="1" t="str">
        <f>IF(HR_Data[[#This Row],[YearsAtCompany]]&lt;2,"0-1 Years",IF(HR_Data[[#This Row],[YearsAtCompany]]&lt;=5,"2-5 Years",IF(HR_Data[[#This Row],[YearsAtCompany]]&lt;=10,"6-10 Years","10+ Years")))</f>
        <v>10+ Years</v>
      </c>
      <c r="AO1445" s="1" t="str">
        <f>IF(HR_Data[[#This Row],[JobSatisfaction]]=1,"Low",IF(HR_Data[[#This Row],[JobSatisfaction]]=2,"Medium",IF(HR_Data[[#This Row],[JobSatisfaction]]=3,"High","Very High")))</f>
        <v>High</v>
      </c>
      <c r="AP1445" s="1" t="str">
        <f>IF(HR_Data[[#This Row],[WorkLifeBalance]]=1,"Bad",IF(HR_Data[[#This Row],[WorkLifeBalance]]=2,"Good",IF(HR_Data[[#This Row],[WorkLifeBalance]]=3,"Better","Best")))</f>
        <v>Good</v>
      </c>
    </row>
    <row r="1446" spans="1:42" x14ac:dyDescent="0.3">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c r="AJ1446">
        <f>IF(HR_Data[[#This Row],[Attrition]]="Yes",1,0)</f>
        <v>1</v>
      </c>
      <c r="AK1446">
        <f>IF(HR_Data[[#This Row],[Attrition]]="No",1,0)</f>
        <v>0</v>
      </c>
      <c r="AL1446" t="str">
        <f>IF(HR_Data[[#This Row],[Age]]&lt;25,"Under 25",IF(HR_Data[[#This Row],[Age]]&lt;=34,"25-34",IF(HR_Data[[#This Row],[Age]]&lt;=44,"35-44",IF(HR_Data[[#This Row],[Age]]&lt;=54,"45-54","55+"))))</f>
        <v>55+</v>
      </c>
      <c r="AM1446" s="1" t="str">
        <f>IF(HR_Data[[#This Row],[MonthlyIncome]]&lt;3000,"Low Salary",IF(HR_Data[[#This Row],[MonthlyIncome]]&lt;=7000,"Medium Salary","High Salary"))</f>
        <v>Low Salary</v>
      </c>
      <c r="AN1446" s="1" t="str">
        <f>IF(HR_Data[[#This Row],[YearsAtCompany]]&lt;2,"0-1 Years",IF(HR_Data[[#This Row],[YearsAtCompany]]&lt;=5,"2-5 Years",IF(HR_Data[[#This Row],[YearsAtCompany]]&lt;=10,"6-10 Years","10+ Years")))</f>
        <v>6-10 Years</v>
      </c>
      <c r="AO1446" s="1" t="str">
        <f>IF(HR_Data[[#This Row],[JobSatisfaction]]=1,"Low",IF(HR_Data[[#This Row],[JobSatisfaction]]=2,"Medium",IF(HR_Data[[#This Row],[JobSatisfaction]]=3,"High","Very High")))</f>
        <v>High</v>
      </c>
      <c r="AP1446" s="1" t="str">
        <f>IF(HR_Data[[#This Row],[WorkLifeBalance]]=1,"Bad",IF(HR_Data[[#This Row],[WorkLifeBalance]]=2,"Good",IF(HR_Data[[#This Row],[WorkLifeBalance]]=3,"Better","Best")))</f>
        <v>Bad</v>
      </c>
    </row>
    <row r="1447" spans="1:42" x14ac:dyDescent="0.3">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c r="AJ1447">
        <f>IF(HR_Data[[#This Row],[Attrition]]="Yes",1,0)</f>
        <v>0</v>
      </c>
      <c r="AK1447">
        <f>IF(HR_Data[[#This Row],[Attrition]]="No",1,0)</f>
        <v>1</v>
      </c>
      <c r="AL1447" t="str">
        <f>IF(HR_Data[[#This Row],[Age]]&lt;25,"Under 25",IF(HR_Data[[#This Row],[Age]]&lt;=34,"25-34",IF(HR_Data[[#This Row],[Age]]&lt;=44,"35-44",IF(HR_Data[[#This Row],[Age]]&lt;=54,"45-54","55+"))))</f>
        <v>35-44</v>
      </c>
      <c r="AM1447" s="1" t="str">
        <f>IF(HR_Data[[#This Row],[MonthlyIncome]]&lt;3000,"Low Salary",IF(HR_Data[[#This Row],[MonthlyIncome]]&lt;=7000,"Medium Salary","High Salary"))</f>
        <v>High Salary</v>
      </c>
      <c r="AN1447" s="1" t="str">
        <f>IF(HR_Data[[#This Row],[YearsAtCompany]]&lt;2,"0-1 Years",IF(HR_Data[[#This Row],[YearsAtCompany]]&lt;=5,"2-5 Years",IF(HR_Data[[#This Row],[YearsAtCompany]]&lt;=10,"6-10 Years","10+ Years")))</f>
        <v>10+ Years</v>
      </c>
      <c r="AO1447" s="1" t="str">
        <f>IF(HR_Data[[#This Row],[JobSatisfaction]]=1,"Low",IF(HR_Data[[#This Row],[JobSatisfaction]]=2,"Medium",IF(HR_Data[[#This Row],[JobSatisfaction]]=3,"High","Very High")))</f>
        <v>Medium</v>
      </c>
      <c r="AP1447" s="1" t="str">
        <f>IF(HR_Data[[#This Row],[WorkLifeBalance]]=1,"Bad",IF(HR_Data[[#This Row],[WorkLifeBalance]]=2,"Good",IF(HR_Data[[#This Row],[WorkLifeBalance]]=3,"Better","Best")))</f>
        <v>Better</v>
      </c>
    </row>
    <row r="1448" spans="1:42" x14ac:dyDescent="0.3">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c r="AJ1448">
        <f>IF(HR_Data[[#This Row],[Attrition]]="Yes",1,0)</f>
        <v>0</v>
      </c>
      <c r="AK1448">
        <f>IF(HR_Data[[#This Row],[Attrition]]="No",1,0)</f>
        <v>1</v>
      </c>
      <c r="AL1448" t="str">
        <f>IF(HR_Data[[#This Row],[Age]]&lt;25,"Under 25",IF(HR_Data[[#This Row],[Age]]&lt;=34,"25-34",IF(HR_Data[[#This Row],[Age]]&lt;=44,"35-44",IF(HR_Data[[#This Row],[Age]]&lt;=54,"45-54","55+"))))</f>
        <v>25-34</v>
      </c>
      <c r="AM1448" s="1" t="str">
        <f>IF(HR_Data[[#This Row],[MonthlyIncome]]&lt;3000,"Low Salary",IF(HR_Data[[#This Row],[MonthlyIncome]]&lt;=7000,"Medium Salary","High Salary"))</f>
        <v>Medium Salary</v>
      </c>
      <c r="AN1448" s="1" t="str">
        <f>IF(HR_Data[[#This Row],[YearsAtCompany]]&lt;2,"0-1 Years",IF(HR_Data[[#This Row],[YearsAtCompany]]&lt;=5,"2-5 Years",IF(HR_Data[[#This Row],[YearsAtCompany]]&lt;=10,"6-10 Years","10+ Years")))</f>
        <v>6-10 Years</v>
      </c>
      <c r="AO1448" s="1" t="str">
        <f>IF(HR_Data[[#This Row],[JobSatisfaction]]=1,"Low",IF(HR_Data[[#This Row],[JobSatisfaction]]=2,"Medium",IF(HR_Data[[#This Row],[JobSatisfaction]]=3,"High","Very High")))</f>
        <v>High</v>
      </c>
      <c r="AP1448" s="1" t="str">
        <f>IF(HR_Data[[#This Row],[WorkLifeBalance]]=1,"Bad",IF(HR_Data[[#This Row],[WorkLifeBalance]]=2,"Good",IF(HR_Data[[#This Row],[WorkLifeBalance]]=3,"Better","Best")))</f>
        <v>Better</v>
      </c>
    </row>
    <row r="1449" spans="1:42" x14ac:dyDescent="0.3">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c r="AJ1449">
        <f>IF(HR_Data[[#This Row],[Attrition]]="Yes",1,0)</f>
        <v>0</v>
      </c>
      <c r="AK1449">
        <f>IF(HR_Data[[#This Row],[Attrition]]="No",1,0)</f>
        <v>1</v>
      </c>
      <c r="AL1449" t="str">
        <f>IF(HR_Data[[#This Row],[Age]]&lt;25,"Under 25",IF(HR_Data[[#This Row],[Age]]&lt;=34,"25-34",IF(HR_Data[[#This Row],[Age]]&lt;=44,"35-44",IF(HR_Data[[#This Row],[Age]]&lt;=54,"45-54","55+"))))</f>
        <v>35-44</v>
      </c>
      <c r="AM1449" s="1" t="str">
        <f>IF(HR_Data[[#This Row],[MonthlyIncome]]&lt;3000,"Low Salary",IF(HR_Data[[#This Row],[MonthlyIncome]]&lt;=7000,"Medium Salary","High Salary"))</f>
        <v>Medium Salary</v>
      </c>
      <c r="AN1449" s="1" t="str">
        <f>IF(HR_Data[[#This Row],[YearsAtCompany]]&lt;2,"0-1 Years",IF(HR_Data[[#This Row],[YearsAtCompany]]&lt;=5,"2-5 Years",IF(HR_Data[[#This Row],[YearsAtCompany]]&lt;=10,"6-10 Years","10+ Years")))</f>
        <v>10+ Years</v>
      </c>
      <c r="AO1449" s="1" t="str">
        <f>IF(HR_Data[[#This Row],[JobSatisfaction]]=1,"Low",IF(HR_Data[[#This Row],[JobSatisfaction]]=2,"Medium",IF(HR_Data[[#This Row],[JobSatisfaction]]=3,"High","Very High")))</f>
        <v>Very High</v>
      </c>
      <c r="AP1449" s="1" t="str">
        <f>IF(HR_Data[[#This Row],[WorkLifeBalance]]=1,"Bad",IF(HR_Data[[#This Row],[WorkLifeBalance]]=2,"Good",IF(HR_Data[[#This Row],[WorkLifeBalance]]=3,"Better","Best")))</f>
        <v>Good</v>
      </c>
    </row>
    <row r="1450" spans="1:42" x14ac:dyDescent="0.3">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c r="AJ1450">
        <f>IF(HR_Data[[#This Row],[Attrition]]="Yes",1,0)</f>
        <v>0</v>
      </c>
      <c r="AK1450">
        <f>IF(HR_Data[[#This Row],[Attrition]]="No",1,0)</f>
        <v>1</v>
      </c>
      <c r="AL1450" t="str">
        <f>IF(HR_Data[[#This Row],[Age]]&lt;25,"Under 25",IF(HR_Data[[#This Row],[Age]]&lt;=34,"25-34",IF(HR_Data[[#This Row],[Age]]&lt;=44,"35-44",IF(HR_Data[[#This Row],[Age]]&lt;=54,"45-54","55+"))))</f>
        <v>35-44</v>
      </c>
      <c r="AM1450" s="1" t="str">
        <f>IF(HR_Data[[#This Row],[MonthlyIncome]]&lt;3000,"Low Salary",IF(HR_Data[[#This Row],[MonthlyIncome]]&lt;=7000,"Medium Salary","High Salary"))</f>
        <v>High Salary</v>
      </c>
      <c r="AN1450" s="1" t="str">
        <f>IF(HR_Data[[#This Row],[YearsAtCompany]]&lt;2,"0-1 Years",IF(HR_Data[[#This Row],[YearsAtCompany]]&lt;=5,"2-5 Years",IF(HR_Data[[#This Row],[YearsAtCompany]]&lt;=10,"6-10 Years","10+ Years")))</f>
        <v>2-5 Years</v>
      </c>
      <c r="AO1450" s="1" t="str">
        <f>IF(HR_Data[[#This Row],[JobSatisfaction]]=1,"Low",IF(HR_Data[[#This Row],[JobSatisfaction]]=2,"Medium",IF(HR_Data[[#This Row],[JobSatisfaction]]=3,"High","Very High")))</f>
        <v>Medium</v>
      </c>
      <c r="AP1450" s="1" t="str">
        <f>IF(HR_Data[[#This Row],[WorkLifeBalance]]=1,"Bad",IF(HR_Data[[#This Row],[WorkLifeBalance]]=2,"Good",IF(HR_Data[[#This Row],[WorkLifeBalance]]=3,"Better","Best")))</f>
        <v>Better</v>
      </c>
    </row>
    <row r="1451" spans="1:42" x14ac:dyDescent="0.3">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c r="AJ1451">
        <f>IF(HR_Data[[#This Row],[Attrition]]="Yes",1,0)</f>
        <v>0</v>
      </c>
      <c r="AK1451">
        <f>IF(HR_Data[[#This Row],[Attrition]]="No",1,0)</f>
        <v>1</v>
      </c>
      <c r="AL1451" t="str">
        <f>IF(HR_Data[[#This Row],[Age]]&lt;25,"Under 25",IF(HR_Data[[#This Row],[Age]]&lt;=34,"25-34",IF(HR_Data[[#This Row],[Age]]&lt;=44,"35-44",IF(HR_Data[[#This Row],[Age]]&lt;=54,"45-54","55+"))))</f>
        <v>25-34</v>
      </c>
      <c r="AM1451" s="1" t="str">
        <f>IF(HR_Data[[#This Row],[MonthlyIncome]]&lt;3000,"Low Salary",IF(HR_Data[[#This Row],[MonthlyIncome]]&lt;=7000,"Medium Salary","High Salary"))</f>
        <v>Low Salary</v>
      </c>
      <c r="AN1451" s="1" t="str">
        <f>IF(HR_Data[[#This Row],[YearsAtCompany]]&lt;2,"0-1 Years",IF(HR_Data[[#This Row],[YearsAtCompany]]&lt;=5,"2-5 Years",IF(HR_Data[[#This Row],[YearsAtCompany]]&lt;=10,"6-10 Years","10+ Years")))</f>
        <v>2-5 Years</v>
      </c>
      <c r="AO1451" s="1" t="str">
        <f>IF(HR_Data[[#This Row],[JobSatisfaction]]=1,"Low",IF(HR_Data[[#This Row],[JobSatisfaction]]=2,"Medium",IF(HR_Data[[#This Row],[JobSatisfaction]]=3,"High","Very High")))</f>
        <v>Low</v>
      </c>
      <c r="AP1451" s="1" t="str">
        <f>IF(HR_Data[[#This Row],[WorkLifeBalance]]=1,"Bad",IF(HR_Data[[#This Row],[WorkLifeBalance]]=2,"Good",IF(HR_Data[[#This Row],[WorkLifeBalance]]=3,"Better","Best")))</f>
        <v>Better</v>
      </c>
    </row>
    <row r="1452" spans="1:42" x14ac:dyDescent="0.3">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c r="AJ1452">
        <f>IF(HR_Data[[#This Row],[Attrition]]="Yes",1,0)</f>
        <v>0</v>
      </c>
      <c r="AK1452">
        <f>IF(HR_Data[[#This Row],[Attrition]]="No",1,0)</f>
        <v>1</v>
      </c>
      <c r="AL1452" t="str">
        <f>IF(HR_Data[[#This Row],[Age]]&lt;25,"Under 25",IF(HR_Data[[#This Row],[Age]]&lt;=34,"25-34",IF(HR_Data[[#This Row],[Age]]&lt;=44,"35-44",IF(HR_Data[[#This Row],[Age]]&lt;=54,"45-54","55+"))))</f>
        <v>35-44</v>
      </c>
      <c r="AM1452" s="1" t="str">
        <f>IF(HR_Data[[#This Row],[MonthlyIncome]]&lt;3000,"Low Salary",IF(HR_Data[[#This Row],[MonthlyIncome]]&lt;=7000,"Medium Salary","High Salary"))</f>
        <v>High Salary</v>
      </c>
      <c r="AN1452" s="1" t="str">
        <f>IF(HR_Data[[#This Row],[YearsAtCompany]]&lt;2,"0-1 Years",IF(HR_Data[[#This Row],[YearsAtCompany]]&lt;=5,"2-5 Years",IF(HR_Data[[#This Row],[YearsAtCompany]]&lt;=10,"6-10 Years","10+ Years")))</f>
        <v>6-10 Years</v>
      </c>
      <c r="AO1452" s="1" t="str">
        <f>IF(HR_Data[[#This Row],[JobSatisfaction]]=1,"Low",IF(HR_Data[[#This Row],[JobSatisfaction]]=2,"Medium",IF(HR_Data[[#This Row],[JobSatisfaction]]=3,"High","Very High")))</f>
        <v>Very High</v>
      </c>
      <c r="AP1452" s="1" t="str">
        <f>IF(HR_Data[[#This Row],[WorkLifeBalance]]=1,"Bad",IF(HR_Data[[#This Row],[WorkLifeBalance]]=2,"Good",IF(HR_Data[[#This Row],[WorkLifeBalance]]=3,"Better","Best")))</f>
        <v>Better</v>
      </c>
    </row>
    <row r="1453" spans="1:42" x14ac:dyDescent="0.3">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c r="AJ1453">
        <f>IF(HR_Data[[#This Row],[Attrition]]="Yes",1,0)</f>
        <v>0</v>
      </c>
      <c r="AK1453">
        <f>IF(HR_Data[[#This Row],[Attrition]]="No",1,0)</f>
        <v>1</v>
      </c>
      <c r="AL1453" t="str">
        <f>IF(HR_Data[[#This Row],[Age]]&lt;25,"Under 25",IF(HR_Data[[#This Row],[Age]]&lt;=34,"25-34",IF(HR_Data[[#This Row],[Age]]&lt;=44,"35-44",IF(HR_Data[[#This Row],[Age]]&lt;=54,"45-54","55+"))))</f>
        <v>35-44</v>
      </c>
      <c r="AM1453" s="1" t="str">
        <f>IF(HR_Data[[#This Row],[MonthlyIncome]]&lt;3000,"Low Salary",IF(HR_Data[[#This Row],[MonthlyIncome]]&lt;=7000,"Medium Salary","High Salary"))</f>
        <v>Medium Salary</v>
      </c>
      <c r="AN1453" s="1" t="str">
        <f>IF(HR_Data[[#This Row],[YearsAtCompany]]&lt;2,"0-1 Years",IF(HR_Data[[#This Row],[YearsAtCompany]]&lt;=5,"2-5 Years",IF(HR_Data[[#This Row],[YearsAtCompany]]&lt;=10,"6-10 Years","10+ Years")))</f>
        <v>6-10 Years</v>
      </c>
      <c r="AO1453" s="1" t="str">
        <f>IF(HR_Data[[#This Row],[JobSatisfaction]]=1,"Low",IF(HR_Data[[#This Row],[JobSatisfaction]]=2,"Medium",IF(HR_Data[[#This Row],[JobSatisfaction]]=3,"High","Very High")))</f>
        <v>Very High</v>
      </c>
      <c r="AP1453" s="1" t="str">
        <f>IF(HR_Data[[#This Row],[WorkLifeBalance]]=1,"Bad",IF(HR_Data[[#This Row],[WorkLifeBalance]]=2,"Good",IF(HR_Data[[#This Row],[WorkLifeBalance]]=3,"Better","Best")))</f>
        <v>Better</v>
      </c>
    </row>
    <row r="1454" spans="1:42" x14ac:dyDescent="0.3">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c r="AJ1454">
        <f>IF(HR_Data[[#This Row],[Attrition]]="Yes",1,0)</f>
        <v>1</v>
      </c>
      <c r="AK1454">
        <f>IF(HR_Data[[#This Row],[Attrition]]="No",1,0)</f>
        <v>0</v>
      </c>
      <c r="AL1454" t="str">
        <f>IF(HR_Data[[#This Row],[Age]]&lt;25,"Under 25",IF(HR_Data[[#This Row],[Age]]&lt;=34,"25-34",IF(HR_Data[[#This Row],[Age]]&lt;=44,"35-44",IF(HR_Data[[#This Row],[Age]]&lt;=54,"45-54","55+"))))</f>
        <v>45-54</v>
      </c>
      <c r="AM1454" s="1" t="str">
        <f>IF(HR_Data[[#This Row],[MonthlyIncome]]&lt;3000,"Low Salary",IF(HR_Data[[#This Row],[MonthlyIncome]]&lt;=7000,"Medium Salary","High Salary"))</f>
        <v>Medium Salary</v>
      </c>
      <c r="AN1454" s="1" t="str">
        <f>IF(HR_Data[[#This Row],[YearsAtCompany]]&lt;2,"0-1 Years",IF(HR_Data[[#This Row],[YearsAtCompany]]&lt;=5,"2-5 Years",IF(HR_Data[[#This Row],[YearsAtCompany]]&lt;=10,"6-10 Years","10+ Years")))</f>
        <v>6-10 Years</v>
      </c>
      <c r="AO1454" s="1" t="str">
        <f>IF(HR_Data[[#This Row],[JobSatisfaction]]=1,"Low",IF(HR_Data[[#This Row],[JobSatisfaction]]=2,"Medium",IF(HR_Data[[#This Row],[JobSatisfaction]]=3,"High","Very High")))</f>
        <v>High</v>
      </c>
      <c r="AP1454" s="1" t="str">
        <f>IF(HR_Data[[#This Row],[WorkLifeBalance]]=1,"Bad",IF(HR_Data[[#This Row],[WorkLifeBalance]]=2,"Good",IF(HR_Data[[#This Row],[WorkLifeBalance]]=3,"Better","Best")))</f>
        <v>Better</v>
      </c>
    </row>
    <row r="1455" spans="1:42" x14ac:dyDescent="0.3">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c r="AJ1455">
        <f>IF(HR_Data[[#This Row],[Attrition]]="Yes",1,0)</f>
        <v>0</v>
      </c>
      <c r="AK1455">
        <f>IF(HR_Data[[#This Row],[Attrition]]="No",1,0)</f>
        <v>1</v>
      </c>
      <c r="AL1455" t="str">
        <f>IF(HR_Data[[#This Row],[Age]]&lt;25,"Under 25",IF(HR_Data[[#This Row],[Age]]&lt;=34,"25-34",IF(HR_Data[[#This Row],[Age]]&lt;=44,"35-44",IF(HR_Data[[#This Row],[Age]]&lt;=54,"45-54","55+"))))</f>
        <v>35-44</v>
      </c>
      <c r="AM1455" s="1" t="str">
        <f>IF(HR_Data[[#This Row],[MonthlyIncome]]&lt;3000,"Low Salary",IF(HR_Data[[#This Row],[MonthlyIncome]]&lt;=7000,"Medium Salary","High Salary"))</f>
        <v>Medium Salary</v>
      </c>
      <c r="AN1455" s="1" t="str">
        <f>IF(HR_Data[[#This Row],[YearsAtCompany]]&lt;2,"0-1 Years",IF(HR_Data[[#This Row],[YearsAtCompany]]&lt;=5,"2-5 Years",IF(HR_Data[[#This Row],[YearsAtCompany]]&lt;=10,"6-10 Years","10+ Years")))</f>
        <v>6-10 Years</v>
      </c>
      <c r="AO1455" s="1" t="str">
        <f>IF(HR_Data[[#This Row],[JobSatisfaction]]=1,"Low",IF(HR_Data[[#This Row],[JobSatisfaction]]=2,"Medium",IF(HR_Data[[#This Row],[JobSatisfaction]]=3,"High","Very High")))</f>
        <v>Very High</v>
      </c>
      <c r="AP1455" s="1" t="str">
        <f>IF(HR_Data[[#This Row],[WorkLifeBalance]]=1,"Bad",IF(HR_Data[[#This Row],[WorkLifeBalance]]=2,"Good",IF(HR_Data[[#This Row],[WorkLifeBalance]]=3,"Better","Best")))</f>
        <v>Good</v>
      </c>
    </row>
    <row r="1456" spans="1:42" x14ac:dyDescent="0.3">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c r="AJ1456">
        <f>IF(HR_Data[[#This Row],[Attrition]]="Yes",1,0)</f>
        <v>0</v>
      </c>
      <c r="AK1456">
        <f>IF(HR_Data[[#This Row],[Attrition]]="No",1,0)</f>
        <v>1</v>
      </c>
      <c r="AL1456" t="str">
        <f>IF(HR_Data[[#This Row],[Age]]&lt;25,"Under 25",IF(HR_Data[[#This Row],[Age]]&lt;=34,"25-34",IF(HR_Data[[#This Row],[Age]]&lt;=44,"35-44",IF(HR_Data[[#This Row],[Age]]&lt;=54,"45-54","55+"))))</f>
        <v>45-54</v>
      </c>
      <c r="AM1456" s="1" t="str">
        <f>IF(HR_Data[[#This Row],[MonthlyIncome]]&lt;3000,"Low Salary",IF(HR_Data[[#This Row],[MonthlyIncome]]&lt;=7000,"Medium Salary","High Salary"))</f>
        <v>Medium Salary</v>
      </c>
      <c r="AN1456" s="1" t="str">
        <f>IF(HR_Data[[#This Row],[YearsAtCompany]]&lt;2,"0-1 Years",IF(HR_Data[[#This Row],[YearsAtCompany]]&lt;=5,"2-5 Years",IF(HR_Data[[#This Row],[YearsAtCompany]]&lt;=10,"6-10 Years","10+ Years")))</f>
        <v>2-5 Years</v>
      </c>
      <c r="AO1456" s="1" t="str">
        <f>IF(HR_Data[[#This Row],[JobSatisfaction]]=1,"Low",IF(HR_Data[[#This Row],[JobSatisfaction]]=2,"Medium",IF(HR_Data[[#This Row],[JobSatisfaction]]=3,"High","Very High")))</f>
        <v>High</v>
      </c>
      <c r="AP1456" s="1" t="str">
        <f>IF(HR_Data[[#This Row],[WorkLifeBalance]]=1,"Bad",IF(HR_Data[[#This Row],[WorkLifeBalance]]=2,"Good",IF(HR_Data[[#This Row],[WorkLifeBalance]]=3,"Better","Best")))</f>
        <v>Better</v>
      </c>
    </row>
    <row r="1457" spans="1:42" x14ac:dyDescent="0.3">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c r="AJ1457">
        <f>IF(HR_Data[[#This Row],[Attrition]]="Yes",1,0)</f>
        <v>0</v>
      </c>
      <c r="AK1457">
        <f>IF(HR_Data[[#This Row],[Attrition]]="No",1,0)</f>
        <v>1</v>
      </c>
      <c r="AL1457" t="str">
        <f>IF(HR_Data[[#This Row],[Age]]&lt;25,"Under 25",IF(HR_Data[[#This Row],[Age]]&lt;=34,"25-34",IF(HR_Data[[#This Row],[Age]]&lt;=44,"35-44",IF(HR_Data[[#This Row],[Age]]&lt;=54,"45-54","55+"))))</f>
        <v>35-44</v>
      </c>
      <c r="AM1457" s="1" t="str">
        <f>IF(HR_Data[[#This Row],[MonthlyIncome]]&lt;3000,"Low Salary",IF(HR_Data[[#This Row],[MonthlyIncome]]&lt;=7000,"Medium Salary","High Salary"))</f>
        <v>Low Salary</v>
      </c>
      <c r="AN1457" s="1" t="str">
        <f>IF(HR_Data[[#This Row],[YearsAtCompany]]&lt;2,"0-1 Years",IF(HR_Data[[#This Row],[YearsAtCompany]]&lt;=5,"2-5 Years",IF(HR_Data[[#This Row],[YearsAtCompany]]&lt;=10,"6-10 Years","10+ Years")))</f>
        <v>2-5 Years</v>
      </c>
      <c r="AO1457" s="1" t="str">
        <f>IF(HR_Data[[#This Row],[JobSatisfaction]]=1,"Low",IF(HR_Data[[#This Row],[JobSatisfaction]]=2,"Medium",IF(HR_Data[[#This Row],[JobSatisfaction]]=3,"High","Very High")))</f>
        <v>High</v>
      </c>
      <c r="AP1457" s="1" t="str">
        <f>IF(HR_Data[[#This Row],[WorkLifeBalance]]=1,"Bad",IF(HR_Data[[#This Row],[WorkLifeBalance]]=2,"Good",IF(HR_Data[[#This Row],[WorkLifeBalance]]=3,"Better","Best")))</f>
        <v>Better</v>
      </c>
    </row>
    <row r="1458" spans="1:42" x14ac:dyDescent="0.3">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c r="AJ1458">
        <f>IF(HR_Data[[#This Row],[Attrition]]="Yes",1,0)</f>
        <v>0</v>
      </c>
      <c r="AK1458">
        <f>IF(HR_Data[[#This Row],[Attrition]]="No",1,0)</f>
        <v>1</v>
      </c>
      <c r="AL1458" t="str">
        <f>IF(HR_Data[[#This Row],[Age]]&lt;25,"Under 25",IF(HR_Data[[#This Row],[Age]]&lt;=34,"25-34",IF(HR_Data[[#This Row],[Age]]&lt;=44,"35-44",IF(HR_Data[[#This Row],[Age]]&lt;=54,"45-54","55+"))))</f>
        <v>35-44</v>
      </c>
      <c r="AM1458" s="1" t="str">
        <f>IF(HR_Data[[#This Row],[MonthlyIncome]]&lt;3000,"Low Salary",IF(HR_Data[[#This Row],[MonthlyIncome]]&lt;=7000,"Medium Salary","High Salary"))</f>
        <v>Medium Salary</v>
      </c>
      <c r="AN1458" s="1" t="str">
        <f>IF(HR_Data[[#This Row],[YearsAtCompany]]&lt;2,"0-1 Years",IF(HR_Data[[#This Row],[YearsAtCompany]]&lt;=5,"2-5 Years",IF(HR_Data[[#This Row],[YearsAtCompany]]&lt;=10,"6-10 Years","10+ Years")))</f>
        <v>6-10 Years</v>
      </c>
      <c r="AO1458" s="1" t="str">
        <f>IF(HR_Data[[#This Row],[JobSatisfaction]]=1,"Low",IF(HR_Data[[#This Row],[JobSatisfaction]]=2,"Medium",IF(HR_Data[[#This Row],[JobSatisfaction]]=3,"High","Very High")))</f>
        <v>High</v>
      </c>
      <c r="AP1458" s="1" t="str">
        <f>IF(HR_Data[[#This Row],[WorkLifeBalance]]=1,"Bad",IF(HR_Data[[#This Row],[WorkLifeBalance]]=2,"Good",IF(HR_Data[[#This Row],[WorkLifeBalance]]=3,"Better","Best")))</f>
        <v>Best</v>
      </c>
    </row>
    <row r="1459" spans="1:42" x14ac:dyDescent="0.3">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c r="AJ1459">
        <f>IF(HR_Data[[#This Row],[Attrition]]="Yes",1,0)</f>
        <v>0</v>
      </c>
      <c r="AK1459">
        <f>IF(HR_Data[[#This Row],[Attrition]]="No",1,0)</f>
        <v>1</v>
      </c>
      <c r="AL1459" t="str">
        <f>IF(HR_Data[[#This Row],[Age]]&lt;25,"Under 25",IF(HR_Data[[#This Row],[Age]]&lt;=34,"25-34",IF(HR_Data[[#This Row],[Age]]&lt;=44,"35-44",IF(HR_Data[[#This Row],[Age]]&lt;=54,"45-54","55+"))))</f>
        <v>35-44</v>
      </c>
      <c r="AM1459" s="1" t="str">
        <f>IF(HR_Data[[#This Row],[MonthlyIncome]]&lt;3000,"Low Salary",IF(HR_Data[[#This Row],[MonthlyIncome]]&lt;=7000,"Medium Salary","High Salary"))</f>
        <v>Low Salary</v>
      </c>
      <c r="AN1459" s="1" t="str">
        <f>IF(HR_Data[[#This Row],[YearsAtCompany]]&lt;2,"0-1 Years",IF(HR_Data[[#This Row],[YearsAtCompany]]&lt;=5,"2-5 Years",IF(HR_Data[[#This Row],[YearsAtCompany]]&lt;=10,"6-10 Years","10+ Years")))</f>
        <v>2-5 Years</v>
      </c>
      <c r="AO1459" s="1" t="str">
        <f>IF(HR_Data[[#This Row],[JobSatisfaction]]=1,"Low",IF(HR_Data[[#This Row],[JobSatisfaction]]=2,"Medium",IF(HR_Data[[#This Row],[JobSatisfaction]]=3,"High","Very High")))</f>
        <v>High</v>
      </c>
      <c r="AP1459" s="1" t="str">
        <f>IF(HR_Data[[#This Row],[WorkLifeBalance]]=1,"Bad",IF(HR_Data[[#This Row],[WorkLifeBalance]]=2,"Good",IF(HR_Data[[#This Row],[WorkLifeBalance]]=3,"Better","Best")))</f>
        <v>Better</v>
      </c>
    </row>
    <row r="1460" spans="1:42" x14ac:dyDescent="0.3">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c r="AJ1460">
        <f>IF(HR_Data[[#This Row],[Attrition]]="Yes",1,0)</f>
        <v>0</v>
      </c>
      <c r="AK1460">
        <f>IF(HR_Data[[#This Row],[Attrition]]="No",1,0)</f>
        <v>1</v>
      </c>
      <c r="AL1460" t="str">
        <f>IF(HR_Data[[#This Row],[Age]]&lt;25,"Under 25",IF(HR_Data[[#This Row],[Age]]&lt;=34,"25-34",IF(HR_Data[[#This Row],[Age]]&lt;=44,"35-44",IF(HR_Data[[#This Row],[Age]]&lt;=54,"45-54","55+"))))</f>
        <v>35-44</v>
      </c>
      <c r="AM1460" s="1" t="str">
        <f>IF(HR_Data[[#This Row],[MonthlyIncome]]&lt;3000,"Low Salary",IF(HR_Data[[#This Row],[MonthlyIncome]]&lt;=7000,"Medium Salary","High Salary"))</f>
        <v>Low Salary</v>
      </c>
      <c r="AN1460" s="1" t="str">
        <f>IF(HR_Data[[#This Row],[YearsAtCompany]]&lt;2,"0-1 Years",IF(HR_Data[[#This Row],[YearsAtCompany]]&lt;=5,"2-5 Years",IF(HR_Data[[#This Row],[YearsAtCompany]]&lt;=10,"6-10 Years","10+ Years")))</f>
        <v>2-5 Years</v>
      </c>
      <c r="AO1460" s="1" t="str">
        <f>IF(HR_Data[[#This Row],[JobSatisfaction]]=1,"Low",IF(HR_Data[[#This Row],[JobSatisfaction]]=2,"Medium",IF(HR_Data[[#This Row],[JobSatisfaction]]=3,"High","Very High")))</f>
        <v>Very High</v>
      </c>
      <c r="AP1460" s="1" t="str">
        <f>IF(HR_Data[[#This Row],[WorkLifeBalance]]=1,"Bad",IF(HR_Data[[#This Row],[WorkLifeBalance]]=2,"Good",IF(HR_Data[[#This Row],[WorkLifeBalance]]=3,"Better","Best")))</f>
        <v>Better</v>
      </c>
    </row>
    <row r="1461" spans="1:42" x14ac:dyDescent="0.3">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c r="AJ1461">
        <f>IF(HR_Data[[#This Row],[Attrition]]="Yes",1,0)</f>
        <v>0</v>
      </c>
      <c r="AK1461">
        <f>IF(HR_Data[[#This Row],[Attrition]]="No",1,0)</f>
        <v>1</v>
      </c>
      <c r="AL1461" t="str">
        <f>IF(HR_Data[[#This Row],[Age]]&lt;25,"Under 25",IF(HR_Data[[#This Row],[Age]]&lt;=34,"25-34",IF(HR_Data[[#This Row],[Age]]&lt;=44,"35-44",IF(HR_Data[[#This Row],[Age]]&lt;=54,"45-54","55+"))))</f>
        <v>25-34</v>
      </c>
      <c r="AM1461" s="1" t="str">
        <f>IF(HR_Data[[#This Row],[MonthlyIncome]]&lt;3000,"Low Salary",IF(HR_Data[[#This Row],[MonthlyIncome]]&lt;=7000,"Medium Salary","High Salary"))</f>
        <v>Medium Salary</v>
      </c>
      <c r="AN1461" s="1" t="str">
        <f>IF(HR_Data[[#This Row],[YearsAtCompany]]&lt;2,"0-1 Years",IF(HR_Data[[#This Row],[YearsAtCompany]]&lt;=5,"2-5 Years",IF(HR_Data[[#This Row],[YearsAtCompany]]&lt;=10,"6-10 Years","10+ Years")))</f>
        <v>2-5 Years</v>
      </c>
      <c r="AO1461" s="1" t="str">
        <f>IF(HR_Data[[#This Row],[JobSatisfaction]]=1,"Low",IF(HR_Data[[#This Row],[JobSatisfaction]]=2,"Medium",IF(HR_Data[[#This Row],[JobSatisfaction]]=3,"High","Very High")))</f>
        <v>Medium</v>
      </c>
      <c r="AP1461" s="1" t="str">
        <f>IF(HR_Data[[#This Row],[WorkLifeBalance]]=1,"Bad",IF(HR_Data[[#This Row],[WorkLifeBalance]]=2,"Good",IF(HR_Data[[#This Row],[WorkLifeBalance]]=3,"Better","Best")))</f>
        <v>Better</v>
      </c>
    </row>
    <row r="1462" spans="1:42" x14ac:dyDescent="0.3">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c r="AJ1462">
        <f>IF(HR_Data[[#This Row],[Attrition]]="Yes",1,0)</f>
        <v>0</v>
      </c>
      <c r="AK1462">
        <f>IF(HR_Data[[#This Row],[Attrition]]="No",1,0)</f>
        <v>1</v>
      </c>
      <c r="AL1462" t="str">
        <f>IF(HR_Data[[#This Row],[Age]]&lt;25,"Under 25",IF(HR_Data[[#This Row],[Age]]&lt;=34,"25-34",IF(HR_Data[[#This Row],[Age]]&lt;=44,"35-44",IF(HR_Data[[#This Row],[Age]]&lt;=54,"45-54","55+"))))</f>
        <v>25-34</v>
      </c>
      <c r="AM1462" s="1" t="str">
        <f>IF(HR_Data[[#This Row],[MonthlyIncome]]&lt;3000,"Low Salary",IF(HR_Data[[#This Row],[MonthlyIncome]]&lt;=7000,"Medium Salary","High Salary"))</f>
        <v>Medium Salary</v>
      </c>
      <c r="AN1462" s="1" t="str">
        <f>IF(HR_Data[[#This Row],[YearsAtCompany]]&lt;2,"0-1 Years",IF(HR_Data[[#This Row],[YearsAtCompany]]&lt;=5,"2-5 Years",IF(HR_Data[[#This Row],[YearsAtCompany]]&lt;=10,"6-10 Years","10+ Years")))</f>
        <v>2-5 Years</v>
      </c>
      <c r="AO1462" s="1" t="str">
        <f>IF(HR_Data[[#This Row],[JobSatisfaction]]=1,"Low",IF(HR_Data[[#This Row],[JobSatisfaction]]=2,"Medium",IF(HR_Data[[#This Row],[JobSatisfaction]]=3,"High","Very High")))</f>
        <v>Low</v>
      </c>
      <c r="AP1462" s="1" t="str">
        <f>IF(HR_Data[[#This Row],[WorkLifeBalance]]=1,"Bad",IF(HR_Data[[#This Row],[WorkLifeBalance]]=2,"Good",IF(HR_Data[[#This Row],[WorkLifeBalance]]=3,"Better","Best")))</f>
        <v>Bad</v>
      </c>
    </row>
    <row r="1463" spans="1:42" x14ac:dyDescent="0.3">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c r="AJ1463">
        <f>IF(HR_Data[[#This Row],[Attrition]]="Yes",1,0)</f>
        <v>1</v>
      </c>
      <c r="AK1463">
        <f>IF(HR_Data[[#This Row],[Attrition]]="No",1,0)</f>
        <v>0</v>
      </c>
      <c r="AL1463" t="str">
        <f>IF(HR_Data[[#This Row],[Age]]&lt;25,"Under 25",IF(HR_Data[[#This Row],[Age]]&lt;=34,"25-34",IF(HR_Data[[#This Row],[Age]]&lt;=44,"35-44",IF(HR_Data[[#This Row],[Age]]&lt;=54,"45-54","55+"))))</f>
        <v>45-54</v>
      </c>
      <c r="AM1463" s="1" t="str">
        <f>IF(HR_Data[[#This Row],[MonthlyIncome]]&lt;3000,"Low Salary",IF(HR_Data[[#This Row],[MonthlyIncome]]&lt;=7000,"Medium Salary","High Salary"))</f>
        <v>High Salary</v>
      </c>
      <c r="AN1463" s="1" t="str">
        <f>IF(HR_Data[[#This Row],[YearsAtCompany]]&lt;2,"0-1 Years",IF(HR_Data[[#This Row],[YearsAtCompany]]&lt;=5,"2-5 Years",IF(HR_Data[[#This Row],[YearsAtCompany]]&lt;=10,"6-10 Years","10+ Years")))</f>
        <v>2-5 Years</v>
      </c>
      <c r="AO1463" s="1" t="str">
        <f>IF(HR_Data[[#This Row],[JobSatisfaction]]=1,"Low",IF(HR_Data[[#This Row],[JobSatisfaction]]=2,"Medium",IF(HR_Data[[#This Row],[JobSatisfaction]]=3,"High","Very High")))</f>
        <v>Low</v>
      </c>
      <c r="AP1463" s="1" t="str">
        <f>IF(HR_Data[[#This Row],[WorkLifeBalance]]=1,"Bad",IF(HR_Data[[#This Row],[WorkLifeBalance]]=2,"Good",IF(HR_Data[[#This Row],[WorkLifeBalance]]=3,"Better","Best")))</f>
        <v>Better</v>
      </c>
    </row>
    <row r="1464" spans="1:42" x14ac:dyDescent="0.3">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c r="AJ1464">
        <f>IF(HR_Data[[#This Row],[Attrition]]="Yes",1,0)</f>
        <v>0</v>
      </c>
      <c r="AK1464">
        <f>IF(HR_Data[[#This Row],[Attrition]]="No",1,0)</f>
        <v>1</v>
      </c>
      <c r="AL1464" t="str">
        <f>IF(HR_Data[[#This Row],[Age]]&lt;25,"Under 25",IF(HR_Data[[#This Row],[Age]]&lt;=34,"25-34",IF(HR_Data[[#This Row],[Age]]&lt;=44,"35-44",IF(HR_Data[[#This Row],[Age]]&lt;=54,"45-54","55+"))))</f>
        <v>35-44</v>
      </c>
      <c r="AM1464" s="1" t="str">
        <f>IF(HR_Data[[#This Row],[MonthlyIncome]]&lt;3000,"Low Salary",IF(HR_Data[[#This Row],[MonthlyIncome]]&lt;=7000,"Medium Salary","High Salary"))</f>
        <v>High Salary</v>
      </c>
      <c r="AN1464" s="1" t="str">
        <f>IF(HR_Data[[#This Row],[YearsAtCompany]]&lt;2,"0-1 Years",IF(HR_Data[[#This Row],[YearsAtCompany]]&lt;=5,"2-5 Years",IF(HR_Data[[#This Row],[YearsAtCompany]]&lt;=10,"6-10 Years","10+ Years")))</f>
        <v>10+ Years</v>
      </c>
      <c r="AO1464" s="1" t="str">
        <f>IF(HR_Data[[#This Row],[JobSatisfaction]]=1,"Low",IF(HR_Data[[#This Row],[JobSatisfaction]]=2,"Medium",IF(HR_Data[[#This Row],[JobSatisfaction]]=3,"High","Very High")))</f>
        <v>Very High</v>
      </c>
      <c r="AP1464" s="1" t="str">
        <f>IF(HR_Data[[#This Row],[WorkLifeBalance]]=1,"Bad",IF(HR_Data[[#This Row],[WorkLifeBalance]]=2,"Good",IF(HR_Data[[#This Row],[WorkLifeBalance]]=3,"Better","Best")))</f>
        <v>Good</v>
      </c>
    </row>
    <row r="1465" spans="1:42" x14ac:dyDescent="0.3">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c r="AJ1465">
        <f>IF(HR_Data[[#This Row],[Attrition]]="Yes",1,0)</f>
        <v>0</v>
      </c>
      <c r="AK1465">
        <f>IF(HR_Data[[#This Row],[Attrition]]="No",1,0)</f>
        <v>1</v>
      </c>
      <c r="AL1465" t="str">
        <f>IF(HR_Data[[#This Row],[Age]]&lt;25,"Under 25",IF(HR_Data[[#This Row],[Age]]&lt;=34,"25-34",IF(HR_Data[[#This Row],[Age]]&lt;=44,"35-44",IF(HR_Data[[#This Row],[Age]]&lt;=54,"45-54","55+"))))</f>
        <v>25-34</v>
      </c>
      <c r="AM1465" s="1" t="str">
        <f>IF(HR_Data[[#This Row],[MonthlyIncome]]&lt;3000,"Low Salary",IF(HR_Data[[#This Row],[MonthlyIncome]]&lt;=7000,"Medium Salary","High Salary"))</f>
        <v>High Salary</v>
      </c>
      <c r="AN1465" s="1" t="str">
        <f>IF(HR_Data[[#This Row],[YearsAtCompany]]&lt;2,"0-1 Years",IF(HR_Data[[#This Row],[YearsAtCompany]]&lt;=5,"2-5 Years",IF(HR_Data[[#This Row],[YearsAtCompany]]&lt;=10,"6-10 Years","10+ Years")))</f>
        <v>6-10 Years</v>
      </c>
      <c r="AO1465" s="1" t="str">
        <f>IF(HR_Data[[#This Row],[JobSatisfaction]]=1,"Low",IF(HR_Data[[#This Row],[JobSatisfaction]]=2,"Medium",IF(HR_Data[[#This Row],[JobSatisfaction]]=3,"High","Very High")))</f>
        <v>Low</v>
      </c>
      <c r="AP1465" s="1" t="str">
        <f>IF(HR_Data[[#This Row],[WorkLifeBalance]]=1,"Bad",IF(HR_Data[[#This Row],[WorkLifeBalance]]=2,"Good",IF(HR_Data[[#This Row],[WorkLifeBalance]]=3,"Better","Best")))</f>
        <v>Better</v>
      </c>
    </row>
    <row r="1466" spans="1:42" x14ac:dyDescent="0.3">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c r="AJ1466">
        <f>IF(HR_Data[[#This Row],[Attrition]]="Yes",1,0)</f>
        <v>0</v>
      </c>
      <c r="AK1466">
        <f>IF(HR_Data[[#This Row],[Attrition]]="No",1,0)</f>
        <v>1</v>
      </c>
      <c r="AL1466" t="str">
        <f>IF(HR_Data[[#This Row],[Age]]&lt;25,"Under 25",IF(HR_Data[[#This Row],[Age]]&lt;=34,"25-34",IF(HR_Data[[#This Row],[Age]]&lt;=44,"35-44",IF(HR_Data[[#This Row],[Age]]&lt;=54,"45-54","55+"))))</f>
        <v>25-34</v>
      </c>
      <c r="AM1466" s="1" t="str">
        <f>IF(HR_Data[[#This Row],[MonthlyIncome]]&lt;3000,"Low Salary",IF(HR_Data[[#This Row],[MonthlyIncome]]&lt;=7000,"Medium Salary","High Salary"))</f>
        <v>Low Salary</v>
      </c>
      <c r="AN1466" s="1" t="str">
        <f>IF(HR_Data[[#This Row],[YearsAtCompany]]&lt;2,"0-1 Years",IF(HR_Data[[#This Row],[YearsAtCompany]]&lt;=5,"2-5 Years",IF(HR_Data[[#This Row],[YearsAtCompany]]&lt;=10,"6-10 Years","10+ Years")))</f>
        <v>2-5 Years</v>
      </c>
      <c r="AO1466" s="1" t="str">
        <f>IF(HR_Data[[#This Row],[JobSatisfaction]]=1,"Low",IF(HR_Data[[#This Row],[JobSatisfaction]]=2,"Medium",IF(HR_Data[[#This Row],[JobSatisfaction]]=3,"High","Very High")))</f>
        <v>High</v>
      </c>
      <c r="AP1466" s="1" t="str">
        <f>IF(HR_Data[[#This Row],[WorkLifeBalance]]=1,"Bad",IF(HR_Data[[#This Row],[WorkLifeBalance]]=2,"Good",IF(HR_Data[[#This Row],[WorkLifeBalance]]=3,"Better","Best")))</f>
        <v>Better</v>
      </c>
    </row>
    <row r="1467" spans="1:42" x14ac:dyDescent="0.3">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c r="AJ1467">
        <f>IF(HR_Data[[#This Row],[Attrition]]="Yes",1,0)</f>
        <v>0</v>
      </c>
      <c r="AK1467">
        <f>IF(HR_Data[[#This Row],[Attrition]]="No",1,0)</f>
        <v>1</v>
      </c>
      <c r="AL1467" t="str">
        <f>IF(HR_Data[[#This Row],[Age]]&lt;25,"Under 25",IF(HR_Data[[#This Row],[Age]]&lt;=34,"25-34",IF(HR_Data[[#This Row],[Age]]&lt;=44,"35-44",IF(HR_Data[[#This Row],[Age]]&lt;=54,"45-54","55+"))))</f>
        <v>35-44</v>
      </c>
      <c r="AM1467" s="1" t="str">
        <f>IF(HR_Data[[#This Row],[MonthlyIncome]]&lt;3000,"Low Salary",IF(HR_Data[[#This Row],[MonthlyIncome]]&lt;=7000,"Medium Salary","High Salary"))</f>
        <v>Low Salary</v>
      </c>
      <c r="AN1467" s="1" t="str">
        <f>IF(HR_Data[[#This Row],[YearsAtCompany]]&lt;2,"0-1 Years",IF(HR_Data[[#This Row],[YearsAtCompany]]&lt;=5,"2-5 Years",IF(HR_Data[[#This Row],[YearsAtCompany]]&lt;=10,"6-10 Years","10+ Years")))</f>
        <v>2-5 Years</v>
      </c>
      <c r="AO1467" s="1" t="str">
        <f>IF(HR_Data[[#This Row],[JobSatisfaction]]=1,"Low",IF(HR_Data[[#This Row],[JobSatisfaction]]=2,"Medium",IF(HR_Data[[#This Row],[JobSatisfaction]]=3,"High","Very High")))</f>
        <v>Very High</v>
      </c>
      <c r="AP1467" s="1" t="str">
        <f>IF(HR_Data[[#This Row],[WorkLifeBalance]]=1,"Bad",IF(HR_Data[[#This Row],[WorkLifeBalance]]=2,"Good",IF(HR_Data[[#This Row],[WorkLifeBalance]]=3,"Better","Best")))</f>
        <v>Better</v>
      </c>
    </row>
    <row r="1468" spans="1:42" x14ac:dyDescent="0.3">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c r="AJ1468">
        <f>IF(HR_Data[[#This Row],[Attrition]]="Yes",1,0)</f>
        <v>0</v>
      </c>
      <c r="AK1468">
        <f>IF(HR_Data[[#This Row],[Attrition]]="No",1,0)</f>
        <v>1</v>
      </c>
      <c r="AL1468" t="str">
        <f>IF(HR_Data[[#This Row],[Age]]&lt;25,"Under 25",IF(HR_Data[[#This Row],[Age]]&lt;=34,"25-34",IF(HR_Data[[#This Row],[Age]]&lt;=44,"35-44",IF(HR_Data[[#This Row],[Age]]&lt;=54,"45-54","55+"))))</f>
        <v>35-44</v>
      </c>
      <c r="AM1468" s="1" t="str">
        <f>IF(HR_Data[[#This Row],[MonthlyIncome]]&lt;3000,"Low Salary",IF(HR_Data[[#This Row],[MonthlyIncome]]&lt;=7000,"Medium Salary","High Salary"))</f>
        <v>High Salary</v>
      </c>
      <c r="AN1468" s="1" t="str">
        <f>IF(HR_Data[[#This Row],[YearsAtCompany]]&lt;2,"0-1 Years",IF(HR_Data[[#This Row],[YearsAtCompany]]&lt;=5,"2-5 Years",IF(HR_Data[[#This Row],[YearsAtCompany]]&lt;=10,"6-10 Years","10+ Years")))</f>
        <v>6-10 Years</v>
      </c>
      <c r="AO1468" s="1" t="str">
        <f>IF(HR_Data[[#This Row],[JobSatisfaction]]=1,"Low",IF(HR_Data[[#This Row],[JobSatisfaction]]=2,"Medium",IF(HR_Data[[#This Row],[JobSatisfaction]]=3,"High","Very High")))</f>
        <v>Low</v>
      </c>
      <c r="AP1468" s="1" t="str">
        <f>IF(HR_Data[[#This Row],[WorkLifeBalance]]=1,"Bad",IF(HR_Data[[#This Row],[WorkLifeBalance]]=2,"Good",IF(HR_Data[[#This Row],[WorkLifeBalance]]=3,"Better","Best")))</f>
        <v>Better</v>
      </c>
    </row>
    <row r="1469" spans="1:42" x14ac:dyDescent="0.3">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c r="AJ1469">
        <f>IF(HR_Data[[#This Row],[Attrition]]="Yes",1,0)</f>
        <v>0</v>
      </c>
      <c r="AK1469">
        <f>IF(HR_Data[[#This Row],[Attrition]]="No",1,0)</f>
        <v>1</v>
      </c>
      <c r="AL1469" t="str">
        <f>IF(HR_Data[[#This Row],[Age]]&lt;25,"Under 25",IF(HR_Data[[#This Row],[Age]]&lt;=34,"25-34",IF(HR_Data[[#This Row],[Age]]&lt;=44,"35-44",IF(HR_Data[[#This Row],[Age]]&lt;=54,"45-54","55+"))))</f>
        <v>25-34</v>
      </c>
      <c r="AM1469" s="1" t="str">
        <f>IF(HR_Data[[#This Row],[MonthlyIncome]]&lt;3000,"Low Salary",IF(HR_Data[[#This Row],[MonthlyIncome]]&lt;=7000,"Medium Salary","High Salary"))</f>
        <v>Medium Salary</v>
      </c>
      <c r="AN1469" s="1" t="str">
        <f>IF(HR_Data[[#This Row],[YearsAtCompany]]&lt;2,"0-1 Years",IF(HR_Data[[#This Row],[YearsAtCompany]]&lt;=5,"2-5 Years",IF(HR_Data[[#This Row],[YearsAtCompany]]&lt;=10,"6-10 Years","10+ Years")))</f>
        <v>6-10 Years</v>
      </c>
      <c r="AO1469" s="1" t="str">
        <f>IF(HR_Data[[#This Row],[JobSatisfaction]]=1,"Low",IF(HR_Data[[#This Row],[JobSatisfaction]]=2,"Medium",IF(HR_Data[[#This Row],[JobSatisfaction]]=3,"High","Very High")))</f>
        <v>Medium</v>
      </c>
      <c r="AP1469" s="1" t="str">
        <f>IF(HR_Data[[#This Row],[WorkLifeBalance]]=1,"Bad",IF(HR_Data[[#This Row],[WorkLifeBalance]]=2,"Good",IF(HR_Data[[#This Row],[WorkLifeBalance]]=3,"Better","Best")))</f>
        <v>Better</v>
      </c>
    </row>
    <row r="1470" spans="1:42" x14ac:dyDescent="0.3">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c r="AJ1470">
        <f>IF(HR_Data[[#This Row],[Attrition]]="Yes",1,0)</f>
        <v>0</v>
      </c>
      <c r="AK1470">
        <f>IF(HR_Data[[#This Row],[Attrition]]="No",1,0)</f>
        <v>1</v>
      </c>
      <c r="AL1470" t="str">
        <f>IF(HR_Data[[#This Row],[Age]]&lt;25,"Under 25",IF(HR_Data[[#This Row],[Age]]&lt;=34,"25-34",IF(HR_Data[[#This Row],[Age]]&lt;=44,"35-44",IF(HR_Data[[#This Row],[Age]]&lt;=54,"45-54","55+"))))</f>
        <v>45-54</v>
      </c>
      <c r="AM1470" s="1" t="str">
        <f>IF(HR_Data[[#This Row],[MonthlyIncome]]&lt;3000,"Low Salary",IF(HR_Data[[#This Row],[MonthlyIncome]]&lt;=7000,"Medium Salary","High Salary"))</f>
        <v>Medium Salary</v>
      </c>
      <c r="AN1470" s="1" t="str">
        <f>IF(HR_Data[[#This Row],[YearsAtCompany]]&lt;2,"0-1 Years",IF(HR_Data[[#This Row],[YearsAtCompany]]&lt;=5,"2-5 Years",IF(HR_Data[[#This Row],[YearsAtCompany]]&lt;=10,"6-10 Years","10+ Years")))</f>
        <v>6-10 Years</v>
      </c>
      <c r="AO1470" s="1" t="str">
        <f>IF(HR_Data[[#This Row],[JobSatisfaction]]=1,"Low",IF(HR_Data[[#This Row],[JobSatisfaction]]=2,"Medium",IF(HR_Data[[#This Row],[JobSatisfaction]]=3,"High","Very High")))</f>
        <v>Medium</v>
      </c>
      <c r="AP1470" s="1" t="str">
        <f>IF(HR_Data[[#This Row],[WorkLifeBalance]]=1,"Bad",IF(HR_Data[[#This Row],[WorkLifeBalance]]=2,"Good",IF(HR_Data[[#This Row],[WorkLifeBalance]]=3,"Better","Best")))</f>
        <v>Good</v>
      </c>
    </row>
    <row r="1471" spans="1:42" x14ac:dyDescent="0.3">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c r="AJ1471">
        <f>IF(HR_Data[[#This Row],[Attrition]]="Yes",1,0)</f>
        <v>0</v>
      </c>
      <c r="AK1471">
        <f>IF(HR_Data[[#This Row],[Attrition]]="No",1,0)</f>
        <v>1</v>
      </c>
      <c r="AL1471" t="str">
        <f>IF(HR_Data[[#This Row],[Age]]&lt;25,"Under 25",IF(HR_Data[[#This Row],[Age]]&lt;=34,"25-34",IF(HR_Data[[#This Row],[Age]]&lt;=44,"35-44",IF(HR_Data[[#This Row],[Age]]&lt;=54,"45-54","55+"))))</f>
        <v>25-34</v>
      </c>
      <c r="AM1471" s="1" t="str">
        <f>IF(HR_Data[[#This Row],[MonthlyIncome]]&lt;3000,"Low Salary",IF(HR_Data[[#This Row],[MonthlyIncome]]&lt;=7000,"Medium Salary","High Salary"))</f>
        <v>Medium Salary</v>
      </c>
      <c r="AN1471" s="1" t="str">
        <f>IF(HR_Data[[#This Row],[YearsAtCompany]]&lt;2,"0-1 Years",IF(HR_Data[[#This Row],[YearsAtCompany]]&lt;=5,"2-5 Years",IF(HR_Data[[#This Row],[YearsAtCompany]]&lt;=10,"6-10 Years","10+ Years")))</f>
        <v>2-5 Years</v>
      </c>
      <c r="AO1471" s="1" t="str">
        <f>IF(HR_Data[[#This Row],[JobSatisfaction]]=1,"Low",IF(HR_Data[[#This Row],[JobSatisfaction]]=2,"Medium",IF(HR_Data[[#This Row],[JobSatisfaction]]=3,"High","Very High")))</f>
        <v>High</v>
      </c>
      <c r="AP1471" s="1" t="str">
        <f>IF(HR_Data[[#This Row],[WorkLifeBalance]]=1,"Bad",IF(HR_Data[[#This Row],[WorkLifeBalance]]=2,"Good",IF(HR_Data[[#This Row],[WorkLifeBalance]]=3,"Better","Best")))</f>
        <v>Best</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BDD41-27A6-4026-9968-0DB81BB45013}">
  <dimension ref="A3:M18"/>
  <sheetViews>
    <sheetView topLeftCell="A2" zoomScale="77" workbookViewId="0">
      <selection activeCell="A9" sqref="A9"/>
    </sheetView>
  </sheetViews>
  <sheetFormatPr defaultRowHeight="14.4" x14ac:dyDescent="0.3"/>
  <cols>
    <col min="1" max="1" width="15.109375" bestFit="1" customWidth="1"/>
    <col min="2" max="2" width="14" bestFit="1" customWidth="1"/>
    <col min="4" max="4" width="23.33203125" bestFit="1" customWidth="1"/>
    <col min="5" max="5" width="14" bestFit="1" customWidth="1"/>
    <col min="7" max="7" width="16" bestFit="1" customWidth="1"/>
    <col min="8" max="8" width="13.33203125" bestFit="1" customWidth="1"/>
    <col min="9" max="9" width="14" bestFit="1" customWidth="1"/>
    <col min="10" max="10" width="19" bestFit="1" customWidth="1"/>
    <col min="11" max="11" width="13.33203125" bestFit="1" customWidth="1"/>
    <col min="12" max="12" width="14" bestFit="1" customWidth="1"/>
    <col min="13" max="13" width="12" bestFit="1" customWidth="1"/>
  </cols>
  <sheetData>
    <row r="3" spans="1:13" x14ac:dyDescent="0.3">
      <c r="A3" t="s">
        <v>69</v>
      </c>
      <c r="D3" t="s">
        <v>70</v>
      </c>
      <c r="G3" t="s">
        <v>71</v>
      </c>
      <c r="J3" t="s">
        <v>72</v>
      </c>
      <c r="M3" s="2" t="s">
        <v>73</v>
      </c>
    </row>
    <row r="4" spans="1:13" x14ac:dyDescent="0.3">
      <c r="A4" s="1">
        <v>1470</v>
      </c>
      <c r="D4" s="1">
        <v>237</v>
      </c>
      <c r="G4" s="1">
        <v>1233</v>
      </c>
      <c r="J4" s="1">
        <v>6502.931292517007</v>
      </c>
      <c r="M4" s="3">
        <f>D4/A4</f>
        <v>0.16122448979591836</v>
      </c>
    </row>
    <row r="8" spans="1:13" x14ac:dyDescent="0.3">
      <c r="A8" s="4" t="s">
        <v>74</v>
      </c>
      <c r="B8" t="s">
        <v>70</v>
      </c>
      <c r="D8" s="4" t="s">
        <v>74</v>
      </c>
      <c r="E8" t="s">
        <v>70</v>
      </c>
      <c r="H8" s="4" t="s">
        <v>74</v>
      </c>
      <c r="I8" t="s">
        <v>70</v>
      </c>
      <c r="K8" s="4" t="s">
        <v>74</v>
      </c>
      <c r="L8" t="s">
        <v>70</v>
      </c>
    </row>
    <row r="9" spans="1:13" x14ac:dyDescent="0.3">
      <c r="A9" s="5" t="s">
        <v>61</v>
      </c>
      <c r="B9" s="1">
        <v>12</v>
      </c>
      <c r="D9" s="5" t="s">
        <v>50</v>
      </c>
      <c r="E9" s="1">
        <v>62</v>
      </c>
      <c r="H9" s="5" t="s">
        <v>76</v>
      </c>
      <c r="I9" s="1">
        <v>112</v>
      </c>
      <c r="K9" s="5" t="s">
        <v>81</v>
      </c>
      <c r="L9" s="1">
        <v>47</v>
      </c>
    </row>
    <row r="10" spans="1:13" x14ac:dyDescent="0.3">
      <c r="A10" s="5" t="s">
        <v>45</v>
      </c>
      <c r="B10" s="1">
        <v>133</v>
      </c>
      <c r="D10" s="5" t="s">
        <v>40</v>
      </c>
      <c r="E10" s="1">
        <v>57</v>
      </c>
      <c r="H10" s="5" t="s">
        <v>77</v>
      </c>
      <c r="I10" s="1">
        <v>51</v>
      </c>
      <c r="K10" s="5" t="s">
        <v>82</v>
      </c>
      <c r="L10" s="1">
        <v>113</v>
      </c>
    </row>
    <row r="11" spans="1:13" x14ac:dyDescent="0.3">
      <c r="A11" s="5" t="s">
        <v>37</v>
      </c>
      <c r="B11" s="1">
        <v>92</v>
      </c>
      <c r="D11" s="5" t="s">
        <v>47</v>
      </c>
      <c r="E11" s="1">
        <v>47</v>
      </c>
      <c r="H11" s="5" t="s">
        <v>78</v>
      </c>
      <c r="I11" s="1">
        <v>25</v>
      </c>
      <c r="K11" s="5" t="s">
        <v>83</v>
      </c>
      <c r="L11" s="1">
        <v>77</v>
      </c>
    </row>
    <row r="12" spans="1:13" x14ac:dyDescent="0.3">
      <c r="A12" s="5" t="s">
        <v>75</v>
      </c>
      <c r="B12" s="1">
        <v>237</v>
      </c>
      <c r="D12" s="5" t="s">
        <v>57</v>
      </c>
      <c r="E12" s="1">
        <v>33</v>
      </c>
      <c r="H12" s="5" t="s">
        <v>79</v>
      </c>
      <c r="I12" s="1">
        <v>11</v>
      </c>
      <c r="K12" s="5" t="s">
        <v>75</v>
      </c>
      <c r="L12" s="1">
        <v>237</v>
      </c>
    </row>
    <row r="13" spans="1:13" x14ac:dyDescent="0.3">
      <c r="D13" s="5" t="s">
        <v>61</v>
      </c>
      <c r="E13" s="1">
        <v>12</v>
      </c>
      <c r="H13" s="5" t="s">
        <v>80</v>
      </c>
      <c r="I13" s="1">
        <v>38</v>
      </c>
    </row>
    <row r="14" spans="1:13" x14ac:dyDescent="0.3">
      <c r="D14" s="5" t="s">
        <v>53</v>
      </c>
      <c r="E14" s="1">
        <v>10</v>
      </c>
      <c r="H14" s="5" t="s">
        <v>75</v>
      </c>
      <c r="I14" s="1">
        <v>237</v>
      </c>
    </row>
    <row r="15" spans="1:13" x14ac:dyDescent="0.3">
      <c r="D15" s="5" t="s">
        <v>54</v>
      </c>
      <c r="E15" s="1">
        <v>9</v>
      </c>
    </row>
    <row r="16" spans="1:13" x14ac:dyDescent="0.3">
      <c r="D16" s="5" t="s">
        <v>56</v>
      </c>
      <c r="E16" s="1">
        <v>5</v>
      </c>
    </row>
    <row r="17" spans="4:5" x14ac:dyDescent="0.3">
      <c r="D17" s="5" t="s">
        <v>58</v>
      </c>
      <c r="E17" s="1">
        <v>2</v>
      </c>
    </row>
    <row r="18" spans="4:5" x14ac:dyDescent="0.3">
      <c r="D18" s="5" t="s">
        <v>75</v>
      </c>
      <c r="E18" s="1">
        <v>237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Business_Insights</vt:lpstr>
      <vt:lpstr>Raw_Data</vt:lpstr>
      <vt:lpstr>Cleaned_Data</vt:lpstr>
      <vt:lpstr>Pivot_Analysis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Aakash</dc:creator>
  <cp:lastModifiedBy>Aakash K</cp:lastModifiedBy>
  <dcterms:created xsi:type="dcterms:W3CDTF">2026-06-27T22:03:01Z</dcterms:created>
  <dcterms:modified xsi:type="dcterms:W3CDTF">2026-06-28T06:09:39Z</dcterms:modified>
</cp:coreProperties>
</file>