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New folder\Hands on Projects\HR Employee Attrition Analysis\"/>
    </mc:Choice>
  </mc:AlternateContent>
  <xr:revisionPtr revIDLastSave="0" documentId="13_ncr:1_{5257CA3F-76B2-4016-8DB3-3CC36E49A946}" xr6:coauthVersionLast="47" xr6:coauthVersionMax="47" xr10:uidLastSave="{00000000-0000-0000-0000-000000000000}"/>
  <bookViews>
    <workbookView xWindow="-120" yWindow="-120" windowWidth="20730" windowHeight="11040" xr2:uid="{6A563A50-5424-49EB-9DBC-8C094825B2A0}"/>
  </bookViews>
  <sheets>
    <sheet name="Dashboard" sheetId="4" r:id="rId1"/>
    <sheet name="Business_Insights" sheetId="5" r:id="rId2"/>
    <sheet name="Raw_Data" sheetId="2" r:id="rId3"/>
    <sheet name="Cleaned_Data" sheetId="1" r:id="rId4"/>
    <sheet name="Pivot_Analysis" sheetId="3" r:id="rId5"/>
  </sheets>
  <definedNames>
    <definedName name="Slicer_Department">#N/A</definedName>
    <definedName name="Slicer_Gender">#N/A</definedName>
    <definedName name="Slicer_OverTime">#N/A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J4" i="4"/>
  <c r="G4" i="4"/>
  <c r="D4" i="4"/>
  <c r="M4" i="3"/>
  <c r="M4" i="4" s="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O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<sst xmlns="http://schemas.openxmlformats.org/spreadsheetml/2006/main" count="26671" uniqueCount="122">
  <si>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</si>
  <si>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</si>
  <si>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</si>
  <si>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</si>
  <si>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</si>
  <si>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</si>
  <si>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</si>
  <si>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</si>
  <si>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</si>
  <si>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</si>
  <si>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</si>
  <si>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</si>
  <si>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</si>
  <si>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</si>
  <si>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</si>
  <si>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</si>
  <si>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</si>
  <si>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</si>
  <si>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</si>
  <si>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</si>
  <si>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</si>
  <si>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</si>
  <si>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</si>
  <si>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</si>
  <si>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</si>
  <si>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</si>
  <si>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</si>
  <si>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</si>
  <si>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</si>
  <si>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</si>
  <si>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</si>
  <si>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</si>
  <si>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</si>
  <si>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</si>
  <si>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</si>
  <si>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</si>
  <si>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</si>
  <si>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</si>
  <si>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</si>
  <si>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</si>
  <si>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</si>
  <si>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</si>
  <si>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</si>
  <si>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</si>
  <si>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</si>
  <si>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</si>
  <si>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</si>
  <si>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</si>
  <si>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</si>
  <si>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</si>
  <si>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</si>
  <si>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</si>
  <si>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</si>
  <si>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</si>
  <si>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</si>
  <si>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</si>
  <si>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</si>
  <si>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</si>
  <si>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</si>
  <si>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</si>
  <si>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</si>
  <si>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</si>
  <si>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</si>
  <si>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Active_Flag</t>
  </si>
  <si>
    <t>Age_Group</t>
  </si>
  <si>
    <t>Salary_Band</t>
  </si>
  <si>
    <t>Experience_Band</t>
  </si>
  <si>
    <t>JobSatisfaction_Label</t>
  </si>
  <si>
    <t>WorkLifeBalance_Label</t>
  </si>
  <si>
    <t>Total Employees</t>
  </si>
  <si>
    <t>Employees Left</t>
  </si>
  <si>
    <t>Active Employees</t>
  </si>
  <si>
    <t>Avg Monthly Income</t>
  </si>
  <si>
    <t>Attrition Rate</t>
  </si>
  <si>
    <t>Grand Total</t>
  </si>
  <si>
    <t>25-34</t>
  </si>
  <si>
    <t>35-44</t>
  </si>
  <si>
    <t>45-54</t>
  </si>
  <si>
    <t>55+</t>
  </si>
  <si>
    <t>Under 25</t>
  </si>
  <si>
    <t>High Salary</t>
  </si>
  <si>
    <t>Low Salary</t>
  </si>
  <si>
    <t>Medium Salary</t>
  </si>
  <si>
    <t>HR Employee Attrition Analysis Dashboard</t>
  </si>
  <si>
    <t>HR Employee Attrition Analysis</t>
  </si>
  <si>
    <t>Insight Area</t>
  </si>
  <si>
    <t>Observation</t>
  </si>
  <si>
    <t>Business Meaning</t>
  </si>
  <si>
    <t>Overall Attrition</t>
  </si>
  <si>
    <t>237 employees left out of 1470 employees, giving an attrition rate of 16.12%.</t>
  </si>
  <si>
    <t>The company has a noticeable employee turnover issue.</t>
  </si>
  <si>
    <t>R&amp;D needs deeper review because it contributes the largest attrition count.</t>
  </si>
  <si>
    <t>Job Role</t>
  </si>
  <si>
    <t>These roles may need better retention plans, salary review, or workload analysis.</t>
  </si>
  <si>
    <t>Age Group</t>
  </si>
  <si>
    <t>Salary Band</t>
  </si>
  <si>
    <t>Overtime</t>
  </si>
  <si>
    <t>Early-career employees may be leaving for better growth or compensation.</t>
  </si>
  <si>
    <t>Compensation may be one major reason for employee exits.</t>
  </si>
  <si>
    <t>If attrition increases for overtime employees, workload balance is a major concern.</t>
  </si>
  <si>
    <t>Recommendation</t>
  </si>
  <si>
    <t>Reason</t>
  </si>
  <si>
    <t>Review compensation for low salary employees.</t>
  </si>
  <si>
    <t>Low salary band has higher attrition.</t>
  </si>
  <si>
    <t>Improve career growth programs for employees aged 25–34.</t>
  </si>
  <si>
    <t>Monitor overtime workload.</t>
  </si>
  <si>
    <t>Create department-level retention plans for R&amp;D and Sales.</t>
  </si>
  <si>
    <t>This group shows the highest leaving trend.</t>
  </si>
  <si>
    <t>Employees working overtime may be at higher risk of leaving.</t>
  </si>
  <si>
    <t>These departments contribute more attrition cases.</t>
  </si>
  <si>
    <t>Conclusion:</t>
  </si>
  <si>
    <r>
      <t xml:space="preserve">Research &amp; Development recorded the largest number of departures (133), but Sales had the highest departmental attrition rate at </t>
    </r>
    <r>
      <rPr>
        <b/>
        <sz val="11"/>
        <color theme="1"/>
        <rFont val="Calibri"/>
        <family val="2"/>
        <scheme val="minor"/>
      </rPr>
      <t>20.63%</t>
    </r>
    <r>
      <rPr>
        <sz val="11"/>
        <color theme="1"/>
        <rFont val="Calibri"/>
        <family val="2"/>
        <scheme val="minor"/>
      </rPr>
      <t xml:space="preserve">, compared with </t>
    </r>
    <r>
      <rPr>
        <b/>
        <sz val="11"/>
        <color theme="1"/>
        <rFont val="Calibri"/>
        <family val="2"/>
        <scheme val="minor"/>
      </rPr>
      <t>13.84%</t>
    </r>
    <r>
      <rPr>
        <sz val="11"/>
        <color theme="1"/>
        <rFont val="Calibri"/>
        <family val="2"/>
        <scheme val="minor"/>
      </rPr>
      <t xml:space="preserve"> in R&amp;D.</t>
    </r>
  </si>
  <si>
    <r>
      <t xml:space="preserve">Laboratory Technicians recorded the most departures (62), while Sales Representatives showed the highest attrition rate at </t>
    </r>
    <r>
      <rPr>
        <b/>
        <sz val="11"/>
        <color theme="1"/>
        <rFont val="Calibri"/>
        <family val="2"/>
        <scheme val="minor"/>
      </rPr>
      <t>39.76%</t>
    </r>
    <r>
      <rPr>
        <sz val="11"/>
        <color theme="1"/>
        <rFont val="Calibri"/>
        <family val="2"/>
        <scheme val="minor"/>
      </rPr>
      <t>, indicating a substantially higher retention risk within that role.</t>
    </r>
  </si>
  <si>
    <t>Investigate compensation, workload, career progression, and management factors affecting Sales Representatives and other high-attrition roles.</t>
  </si>
  <si>
    <t>Sales Representatives have the highest job-role attrition rate at 39.76%, indicating the need for deeper root-cause analysis.</t>
  </si>
  <si>
    <r>
      <t xml:space="preserve">Objective : </t>
    </r>
    <r>
      <rPr>
        <sz val="11"/>
        <color theme="1"/>
        <rFont val="Calibri"/>
        <family val="2"/>
        <scheme val="minor"/>
      </rPr>
      <t>Analyze employee attrition patterns by department, job role, age group, salary band, gender, and overtime status to identify key turnover drivers.</t>
    </r>
  </si>
  <si>
    <t>Conduct role-specific retention analysis for Sales Representatives, Laboratory Technicians, and Human Resources.</t>
  </si>
  <si>
    <t>These roles have the highest attrition rates at 39.76%, 23.94%, and 23.08%, respectively.</t>
  </si>
  <si>
    <r>
      <t xml:space="preserve">Employees aged 25–34 recorded the most departures (112), while employees under 25 had the highest attrition rate at </t>
    </r>
    <r>
      <rPr>
        <b/>
        <sz val="11"/>
        <color theme="1"/>
        <rFont val="Calibri"/>
        <family val="2"/>
        <scheme val="minor"/>
      </rPr>
      <t>39.18%</t>
    </r>
    <r>
      <rPr>
        <sz val="11"/>
        <color theme="1"/>
        <rFont val="Calibri"/>
        <family val="2"/>
        <scheme val="minor"/>
      </rPr>
      <t>.</t>
    </r>
  </si>
  <si>
    <r>
      <t xml:space="preserve">Low-salary employees had the highest attrition rate at </t>
    </r>
    <r>
      <rPr>
        <b/>
        <sz val="11"/>
        <color theme="1"/>
        <rFont val="Calibri"/>
        <family val="2"/>
        <scheme val="minor"/>
      </rPr>
      <t>28.61%</t>
    </r>
    <r>
      <rPr>
        <sz val="11"/>
        <color theme="1"/>
        <rFont val="Calibri"/>
        <family val="2"/>
        <scheme val="minor"/>
      </rPr>
      <t>, compared with 12.03% for medium-salary and 10.80% for high-salary employees.</t>
    </r>
  </si>
  <si>
    <r>
      <t xml:space="preserve">Employees working overtime had an attrition rate of </t>
    </r>
    <r>
      <rPr>
        <b/>
        <sz val="11"/>
        <color theme="1"/>
        <rFont val="Calibri"/>
        <family val="2"/>
        <scheme val="minor"/>
      </rPr>
      <t>30.53%</t>
    </r>
    <r>
      <rPr>
        <sz val="11"/>
        <color theme="1"/>
        <rFont val="Calibri"/>
        <family val="2"/>
        <scheme val="minor"/>
      </rPr>
      <t xml:space="preserve">, compared with </t>
    </r>
    <r>
      <rPr>
        <b/>
        <sz val="11"/>
        <color theme="1"/>
        <rFont val="Calibri"/>
        <family val="2"/>
        <scheme val="minor"/>
      </rPr>
      <t>10.44%</t>
    </r>
    <r>
      <rPr>
        <sz val="11"/>
        <color theme="1"/>
        <rFont val="Calibri"/>
        <family val="2"/>
        <scheme val="minor"/>
      </rPr>
      <t xml:space="preserve"> among employees not working overtime, indicating a strong association between overtime and attrition.</t>
    </r>
  </si>
  <si>
    <t>The analysis identified an overall employee attrition rate of 16.12%, with higher attrition concentrated among specific employee groups. Employees under 25 had the highest age-group attrition rate at 39.18%, Sales Representatives recorded the highest job-role attrition rate at 39.76%, and low-salary employees experienced a 28.61% attrition rate. Employees working overtime also showed substantially higher attrition at 30.53%, compared with 10.44% among employees not working overtime. At the department level, Sales had the highest attrition rate at 20.63%. These findings suggest that retention efforts should prioritize younger employees, low-salary groups, high-risk job roles, and employees working overtime while further investigating the underlying factors contributing to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</si>
</sst>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4"/>
      <color theme="1"/>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0" fontId="16" fillId="0" borderId="0" xfId="0" applyFont="1"/>
    <xf numFmtId="10" fontId="0" fillId="0" borderId="0" xfId="42" applyNumberFormat="1"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18" fillId="0" borderId="0" xfId="0" applyFont="1"/>
    <xf numFmtId="0" fontId="18" fillId="33" borderId="10" xfId="0" applyFont="1" applyFill="1" applyBorder="1" applyAlignment="1">
      <alignment horizontal="center" vertical="center"/>
    </xf>
    <xf numFmtId="0" fontId="20" fillId="33" borderId="11" xfId="0" applyFont="1" applyFill="1" applyBorder="1" applyAlignment="1">
      <alignment horizontal="center" vertical="center"/>
    </xf>
    <xf numFmtId="0" fontId="18" fillId="33" borderId="10" xfId="0" applyFont="1" applyFill="1" applyBorder="1" applyAlignment="1">
      <alignment horizontal="center"/>
    </xf>
    <xf numFmtId="0" fontId="20" fillId="33" borderId="11" xfId="0" applyFont="1" applyFill="1" applyBorder="1" applyAlignment="1">
      <alignment horizontal="center"/>
    </xf>
    <xf numFmtId="10" fontId="20" fillId="33" borderId="11" xfId="0" applyNumberFormat="1" applyFont="1" applyFill="1" applyBorder="1" applyAlignment="1">
      <alignment horizontal="center"/>
    </xf>
    <xf numFmtId="0" fontId="0" fillId="0" borderId="15" xfId="0" applyBorder="1"/>
    <xf numFmtId="0" fontId="0" fillId="0" borderId="17" xfId="0" applyBorder="1"/>
    <xf numFmtId="0" fontId="0" fillId="0" borderId="18" xfId="0" applyBorder="1"/>
    <xf numFmtId="0" fontId="0" fillId="0" borderId="14" xfId="0" applyBorder="1" applyAlignment="1">
      <alignment horizontal="center"/>
    </xf>
    <xf numFmtId="0" fontId="0" fillId="0" borderId="0" xfId="0" applyAlignment="1">
      <alignment wrapText="1"/>
    </xf>
    <xf numFmtId="0" fontId="20" fillId="0" borderId="0" xfId="0" applyFont="1" applyAlignment="1">
      <alignment wrapText="1"/>
    </xf>
    <xf numFmtId="0" fontId="0" fillId="0" borderId="14" xfId="0" applyBorder="1" applyAlignment="1">
      <alignment horizontal="center" wrapText="1"/>
    </xf>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xf>
    <xf numFmtId="0" fontId="19" fillId="0" borderId="0" xfId="0" applyFont="1" applyAlignment="1">
      <alignment horizontal="center"/>
    </xf>
    <xf numFmtId="164" fontId="20" fillId="33" borderId="11" xfId="0" applyNumberFormat="1" applyFont="1" applyFill="1" applyBorder="1" applyAlignment="1">
      <alignment horizontal="center"/>
    </xf>
    <xf numFmtId="0" fontId="0" fillId="0" borderId="0" xfId="0" applyNumberFormat="1"/>
    <xf numFmtId="10" fontId="0" fillId="0" borderId="0" xfId="0" applyNumberFormat="1"/>
    <xf numFmtId="0" fontId="16" fillId="33" borderId="20" xfId="0" applyFont="1" applyFill="1" applyBorder="1" applyAlignment="1">
      <alignment horizontal="center"/>
    </xf>
    <xf numFmtId="0" fontId="0" fillId="0" borderId="21" xfId="0" applyBorder="1"/>
    <xf numFmtId="0" fontId="16" fillId="33" borderId="23" xfId="0" applyFont="1" applyFill="1" applyBorder="1" applyAlignment="1">
      <alignment horizontal="left" vertical="center" wrapText="1" indent="1"/>
    </xf>
    <xf numFmtId="0" fontId="0" fillId="0" borderId="18" xfId="0" applyBorder="1" applyAlignment="1">
      <alignment horizontal="left" indent="1"/>
    </xf>
    <xf numFmtId="0" fontId="0" fillId="0" borderId="24" xfId="0" applyBorder="1" applyAlignment="1">
      <alignment horizontal="left" indent="1"/>
    </xf>
    <xf numFmtId="0" fontId="0" fillId="0" borderId="21" xfId="0" applyBorder="1" applyAlignment="1">
      <alignment horizontal="left" indent="1"/>
    </xf>
    <xf numFmtId="0" fontId="0" fillId="0" borderId="22" xfId="0" applyBorder="1" applyAlignment="1">
      <alignment horizontal="left" indent="1"/>
    </xf>
    <xf numFmtId="0" fontId="0" fillId="0" borderId="16" xfId="0" applyBorder="1" applyAlignment="1">
      <alignment horizontal="left" indent="1"/>
    </xf>
    <xf numFmtId="0" fontId="0" fillId="0" borderId="19" xfId="0" applyBorder="1" applyAlignment="1">
      <alignment horizontal="left" indent="1"/>
    </xf>
    <xf numFmtId="0" fontId="16" fillId="33" borderId="25" xfId="0" applyFont="1" applyFill="1" applyBorder="1" applyAlignment="1">
      <alignment horizontal="center" vertical="center" wrapText="1"/>
    </xf>
    <xf numFmtId="0" fontId="0" fillId="0" borderId="23" xfId="0" applyBorder="1"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3">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Pivot_Analysis!$A$9:$A$12</c:f>
              <c:strCache>
                <c:ptCount val="3"/>
                <c:pt idx="0">
                  <c:v>Human Resources</c:v>
                </c:pt>
                <c:pt idx="1">
                  <c:v>Research &amp; Development</c:v>
                </c:pt>
                <c:pt idx="2">
                  <c:v>Sales</c:v>
                </c:pt>
              </c:strCache>
            </c:strRef>
          </c:cat>
          <c:val>
            <c:numRef>
              <c:f>Pivot_Analysis!$B$9:$B$12</c:f>
              <c:numCache>
                <c:formatCode>General</c:formatCode>
                <c:ptCount val="3"/>
                <c:pt idx="0">
                  <c:v>12</c:v>
                </c:pt>
                <c:pt idx="1">
                  <c:v>133</c:v>
                </c:pt>
                <c:pt idx="2">
                  <c:v>92</c:v>
                </c:pt>
              </c:numCache>
            </c:numRef>
          </c:val>
          <c:extLst>
            <c:ext xmlns:c16="http://schemas.microsoft.com/office/drawing/2014/chart" uri="{C3380CC4-5D6E-409C-BE32-E72D297353CC}">
              <c16:uniqueId val="{00000000-C8BE-47E6-96A6-0145836E816E}"/>
            </c:ext>
          </c:extLst>
        </c:ser>
        <c:dLbls>
          <c:dLblPos val="outEnd"/>
          <c:showLegendKey val="0"/>
          <c:showVal val="1"/>
          <c:showCatName val="0"/>
          <c:showSerName val="0"/>
          <c:showPercent val="0"/>
          <c:showBubbleSize val="0"/>
        </c:dLbls>
        <c:gapWidth val="219"/>
        <c:overlap val="-27"/>
        <c:axId val="1098459903"/>
        <c:axId val="1098460383"/>
      </c:barChart>
      <c:catAx>
        <c:axId val="10984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60383"/>
        <c:crosses val="autoZero"/>
        <c:auto val="1"/>
        <c:lblAlgn val="ctr"/>
        <c:lblOffset val="100"/>
        <c:noMultiLvlLbl val="0"/>
      </c:catAx>
      <c:valAx>
        <c:axId val="109846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Pivot_Analysis!$D$9:$D$18</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Pivot_Analysis!$E$9:$E$18</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8124-420F-AC01-1E628D9E0536}"/>
            </c:ext>
          </c:extLst>
        </c:ser>
        <c:dLbls>
          <c:dLblPos val="outEnd"/>
          <c:showLegendKey val="0"/>
          <c:showVal val="1"/>
          <c:showCatName val="0"/>
          <c:showSerName val="0"/>
          <c:showPercent val="0"/>
          <c:showBubbleSize val="0"/>
        </c:dLbls>
        <c:gapWidth val="182"/>
        <c:axId val="1098458943"/>
        <c:axId val="1098463743"/>
      </c:barChart>
      <c:catAx>
        <c:axId val="109845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63743"/>
        <c:crosses val="autoZero"/>
        <c:auto val="1"/>
        <c:lblAlgn val="ctr"/>
        <c:lblOffset val="100"/>
        <c:noMultiLvlLbl val="0"/>
      </c:catAx>
      <c:valAx>
        <c:axId val="1098463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Pivot_Analysis!$I$8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Pivot_Analysis!$H$9:$H$14</c:f>
              <c:strCache>
                <c:ptCount val="5"/>
                <c:pt idx="0">
                  <c:v>25-34</c:v>
                </c:pt>
                <c:pt idx="1">
                  <c:v>35-44</c:v>
                </c:pt>
                <c:pt idx="2">
                  <c:v>45-54</c:v>
                </c:pt>
                <c:pt idx="3">
                  <c:v>55+</c:v>
                </c:pt>
                <c:pt idx="4">
                  <c:v>Under 25</c:v>
                </c:pt>
              </c:strCache>
            </c:strRef>
          </c:cat>
          <c:val>
            <c:numRef>
              <c:f>Pivot_Analysis!$I$9:$I$14</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5CB-4F29-9044-998F2061CF78}"/>
            </c:ext>
          </c:extLst>
        </c:ser>
        <c:dLbls>
          <c:dLblPos val="outEnd"/>
          <c:showLegendKey val="0"/>
          <c:showVal val="1"/>
          <c:showCatName val="0"/>
          <c:showSerName val="0"/>
          <c:showPercent val="0"/>
          <c:showBubbleSize val="0"/>
        </c:dLbls>
        <c:gapWidth val="219"/>
        <c:overlap val="-27"/>
        <c:axId val="1098427743"/>
        <c:axId val="1098428223"/>
      </c:barChart>
      <c:catAx>
        <c:axId val="10984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28223"/>
        <c:crosses val="autoZero"/>
        <c:auto val="1"/>
        <c:lblAlgn val="ctr"/>
        <c:lblOffset val="100"/>
        <c:noMultiLvlLbl val="0"/>
      </c:catAx>
      <c:valAx>
        <c:axId val="109842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2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Salary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Pivot_Analysis!$L$8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Pivot_Analysis!$K$9:$K$12</c:f>
              <c:strCache>
                <c:ptCount val="3"/>
                <c:pt idx="0">
                  <c:v>High Salary</c:v>
                </c:pt>
                <c:pt idx="1">
                  <c:v>Low Salary</c:v>
                </c:pt>
                <c:pt idx="2">
                  <c:v>Medium Salary</c:v>
                </c:pt>
              </c:strCache>
            </c:strRef>
          </c:cat>
          <c:val>
            <c:numRef>
              <c:f>Pivot_Analysis!$L$9:$L$12</c:f>
              <c:numCache>
                <c:formatCode>General</c:formatCode>
                <c:ptCount val="3"/>
                <c:pt idx="0">
                  <c:v>47</c:v>
                </c:pt>
                <c:pt idx="1">
                  <c:v>113</c:v>
                </c:pt>
                <c:pt idx="2">
                  <c:v>77</c:v>
                </c:pt>
              </c:numCache>
            </c:numRef>
          </c:val>
          <c:extLst>
            <c:ext xmlns:c16="http://schemas.microsoft.com/office/drawing/2014/chart" uri="{C3380CC4-5D6E-409C-BE32-E72D297353CC}">
              <c16:uniqueId val="{00000000-1D9E-4D43-8CEB-8D53DFE63C21}"/>
            </c:ext>
          </c:extLst>
        </c:ser>
        <c:dLbls>
          <c:dLblPos val="outEnd"/>
          <c:showLegendKey val="0"/>
          <c:showVal val="1"/>
          <c:showCatName val="0"/>
          <c:showSerName val="0"/>
          <c:showPercent val="0"/>
          <c:showBubbleSize val="0"/>
        </c:dLbls>
        <c:gapWidth val="219"/>
        <c:overlap val="-27"/>
        <c:axId val="942195647"/>
        <c:axId val="942184607"/>
      </c:barChart>
      <c:catAx>
        <c:axId val="9421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84607"/>
        <c:crosses val="autoZero"/>
        <c:auto val="1"/>
        <c:lblAlgn val="ctr"/>
        <c:lblOffset val="100"/>
        <c:noMultiLvlLbl val="0"/>
      </c:catAx>
      <c:valAx>
        <c:axId val="94218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Left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Pivot_Analysis!$A$9:$A$12</c:f>
              <c:strCache>
                <c:ptCount val="3"/>
                <c:pt idx="0">
                  <c:v>Human Resources</c:v>
                </c:pt>
                <c:pt idx="1">
                  <c:v>Research &amp; Development</c:v>
                </c:pt>
                <c:pt idx="2">
                  <c:v>Sales</c:v>
                </c:pt>
              </c:strCache>
            </c:strRef>
          </c:cat>
          <c:val>
            <c:numRef>
              <c:f>Pivot_Analysis!$B$9:$B$12</c:f>
              <c:numCache>
                <c:formatCode>General</c:formatCode>
                <c:ptCount val="3"/>
                <c:pt idx="0">
                  <c:v>12</c:v>
                </c:pt>
                <c:pt idx="1">
                  <c:v>133</c:v>
                </c:pt>
                <c:pt idx="2">
                  <c:v>92</c:v>
                </c:pt>
              </c:numCache>
            </c:numRef>
          </c:val>
          <c:extLst>
            <c:ext xmlns:c16="http://schemas.microsoft.com/office/drawing/2014/chart" uri="{C3380CC4-5D6E-409C-BE32-E72D297353CC}">
              <c16:uniqueId val="{00000000-96C8-47C7-9843-B5D5FC7B3620}"/>
            </c:ext>
          </c:extLst>
        </c:ser>
        <c:dLbls>
          <c:dLblPos val="outEnd"/>
          <c:showLegendKey val="0"/>
          <c:showVal val="1"/>
          <c:showCatName val="0"/>
          <c:showSerName val="0"/>
          <c:showPercent val="0"/>
          <c:showBubbleSize val="0"/>
        </c:dLbls>
        <c:gapWidth val="219"/>
        <c:overlap val="-27"/>
        <c:axId val="1406123152"/>
        <c:axId val="1081352048"/>
      </c:barChart>
      <c:catAx>
        <c:axId val="140612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52048"/>
        <c:crosses val="autoZero"/>
        <c:auto val="1"/>
        <c:lblAlgn val="ctr"/>
        <c:lblOffset val="100"/>
        <c:noMultiLvlLbl val="0"/>
      </c:catAx>
      <c:valAx>
        <c:axId val="108135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2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[HR_Attrition_Analysis_Project.xlsx]Pivot_Analysis!PivotTable15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Pivot_Analysis!$B$27:$B$29</c:f>
              <c:strCache>
                <c:ptCount val="2"/>
                <c:pt idx="0">
                  <c:v>Yes</c:v>
                </c:pt>
                <c:pt idx="1">
                  <c:v>No</c:v>
                </c:pt>
              </c:strCache>
            </c:strRef>
          </c:cat>
          <c:val>
            <c:numRef>
              <c:f>Pivot_Analysis!$C$27:$C$29</c:f>
              <c:numCache>
                <c:formatCode>0.00%</c:formatCode>
                <c:ptCount val="2"/>
                <c:pt idx="0">
                  <c:v>0.30528846153846156</c:v>
                </c:pt>
                <c:pt idx="1">
                  <c:v>0.10436432637571158</c:v>
                </c:pt>
              </c:numCache>
            </c:numRef>
          </c:val>
          <c:extLst>
            <c:ext xmlns:c16="http://schemas.microsoft.com/office/drawing/2014/chart" uri="{C3380CC4-5D6E-409C-BE32-E72D297353CC}">
              <c16:uniqueId val="{00000000-BED1-42C8-AC3C-74BCA5F8BBB6}"/>
            </c:ext>
          </c:extLst>
        </c:ser>
        <c:dLbls>
          <c:dLblPos val="outEnd"/>
          <c:showLegendKey val="0"/>
          <c:showVal val="1"/>
          <c:showCatName val="0"/>
          <c:showSerName val="0"/>
          <c:showPercent val="0"/>
          <c:showBubbleSize val="0"/>
        </c:dLbls>
        <c:gapWidth val="219"/>
        <c:overlap val="-27"/>
        <c:axId val="1501120144"/>
        <c:axId val="1059136464"/>
      </c:barChart>
      <c:catAx>
        <c:axId val="15011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36464"/>
        <c:crosses val="autoZero"/>
        <c:auto val="1"/>
        <c:lblAlgn val="ctr"/>
        <c:lblOffset val="100"/>
        <c:noMultiLvlLbl val="0"/>
      </c:catAx>
      <c:valAx>
        <c:axId val="105913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2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593795</xdr:colOff>
      <xdr:row>7</xdr:row>
      <xdr:rowOff>38381</xdr:rowOff>
    </xdr:from>
    <xdr:to>
      <xdr:col>6</xdr:col>
      <xdr:colOff>734906</xdr:colOff>
      <xdr:row>22</xdr:row>
      <xdr:rowOff>38382</xdr:rowOff>
    </xdr:to>
    <xdr:graphicFrame macro="">
      <xdr:nvGraphicFramePr>
        <xdr:cNvPr id="2" name="Chart 1">
          <a:extLst>
            <a:ext uri="{FF2B5EF4-FFF2-40B4-BE49-F238E27FC236}">
              <a16:creationId xmlns:a16="http://schemas.microsoft.com/office/drawing/2014/main" id="{C2FEAE22-A5B8-4F9D-9C57-82C1859DB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488527</xdr:colOff>
      <xdr:row>7</xdr:row>
      <xdr:rowOff>115429</xdr:rowOff>
    </xdr:from>
    <xdr:to>
      <xdr:col>12</xdr:col>
      <xdr:colOff>1056358</xdr:colOff>
      <xdr:row>22</xdr:row>
      <xdr:rowOff>115430</xdr:rowOff>
    </xdr:to>
    <xdr:graphicFrame macro="">
      <xdr:nvGraphicFramePr>
        <xdr:cNvPr id="3" name="Chart 2">
          <a:extLst>
            <a:ext uri="{FF2B5EF4-FFF2-40B4-BE49-F238E27FC236}">
              <a16:creationId xmlns:a16="http://schemas.microsoft.com/office/drawing/2014/main" id="{0020336F-41E2-4F1F-9156-C237FB7F8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559646</xdr:colOff>
      <xdr:row>24</xdr:row>
      <xdr:rowOff>50235</xdr:rowOff>
    </xdr:from>
    <xdr:to>
      <xdr:col>6</xdr:col>
      <xdr:colOff>720795</xdr:colOff>
      <xdr:row>39</xdr:row>
      <xdr:rowOff>50235</xdr:rowOff>
    </xdr:to>
    <xdr:graphicFrame macro="">
      <xdr:nvGraphicFramePr>
        <xdr:cNvPr id="4" name="Chart 3">
          <a:extLst>
            <a:ext uri="{FF2B5EF4-FFF2-40B4-BE49-F238E27FC236}">
              <a16:creationId xmlns:a16="http://schemas.microsoft.com/office/drawing/2014/main" id="{BF389921-A1BB-49FB-98C1-54D6937DD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436880</xdr:colOff>
      <xdr:row>25</xdr:row>
      <xdr:rowOff>12417</xdr:rowOff>
    </xdr:from>
    <xdr:to>
      <xdr:col>15</xdr:col>
      <xdr:colOff>132080</xdr:colOff>
      <xdr:row>40</xdr:row>
      <xdr:rowOff>12418</xdr:rowOff>
    </xdr:to>
    <xdr:graphicFrame macro="">
      <xdr:nvGraphicFramePr>
        <xdr:cNvPr id="5" name="Chart 4">
          <a:extLst>
            <a:ext uri="{FF2B5EF4-FFF2-40B4-BE49-F238E27FC236}">
              <a16:creationId xmlns:a16="http://schemas.microsoft.com/office/drawing/2014/main" id="{D8ADF141-6012-41B4-BACC-65FC12A79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43743</xdr:colOff>
      <xdr:row>6</xdr:row>
      <xdr:rowOff>160585</xdr:rowOff>
    </xdr:from>
    <xdr:to>
      <xdr:col>20</xdr:col>
      <xdr:colOff>578556</xdr:colOff>
      <xdr:row>20</xdr:row>
      <xdr:rowOff>59337</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73FC523-1BF4-DF9D-16A0-C081209783C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031632" y="1726918"/>
              <a:ext cx="2355146"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44026</xdr:colOff>
      <xdr:row>21</xdr:row>
      <xdr:rowOff>160867</xdr:rowOff>
    </xdr:from>
    <xdr:to>
      <xdr:col>21</xdr:col>
      <xdr:colOff>42333</xdr:colOff>
      <xdr:row>35</xdr:row>
      <xdr:rowOff>59620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8EF54059-6F4D-F3D3-C76C-778FD0A72C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31915" y="4478867"/>
              <a:ext cx="2425418"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100752</xdr:colOff>
      <xdr:row>37</xdr:row>
      <xdr:rowOff>132926</xdr:rowOff>
    </xdr:from>
    <xdr:to>
      <xdr:col>21</xdr:col>
      <xdr:colOff>14110</xdr:colOff>
      <xdr:row>51</xdr:row>
      <xdr:rowOff>31679</xdr:rowOff>
    </xdr:to>
    <mc:AlternateContent xmlns:mc="http://schemas.openxmlformats.org/markup-compatibility/2006" xmlns:a14="http://schemas.microsoft.com/office/drawing/2010/main">
      <mc:Choice Requires="a14">
        <xdr:graphicFrame macro="">
          <xdr:nvGraphicFramePr>
            <xdr:cNvPr id="8" name="OverTime">
              <a:extLst>
                <a:ext uri="{FF2B5EF4-FFF2-40B4-BE49-F238E27FC236}">
                  <a16:creationId xmlns:a16="http://schemas.microsoft.com/office/drawing/2014/main" id="{E922B946-EB5C-9072-4430-D04D147E793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6088641" y="7386037"/>
              <a:ext cx="234046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539749</xdr:colOff>
      <xdr:row>41</xdr:row>
      <xdr:rowOff>31750</xdr:rowOff>
    </xdr:from>
    <xdr:to>
      <xdr:col>6</xdr:col>
      <xdr:colOff>761999</xdr:colOff>
      <xdr:row>59</xdr:row>
      <xdr:rowOff>31750</xdr:rowOff>
    </xdr:to>
    <xdr:graphicFrame macro="">
      <xdr:nvGraphicFramePr>
        <xdr:cNvPr id="10" name="Chart 9">
          <a:extLst>
            <a:ext uri="{FF2B5EF4-FFF2-40B4-BE49-F238E27FC236}">
              <a16:creationId xmlns:a16="http://schemas.microsoft.com/office/drawing/2014/main" id="{4A330986-674C-4142-8C2E-83FA84BB6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460374</xdr:colOff>
      <xdr:row>41</xdr:row>
      <xdr:rowOff>63499</xdr:rowOff>
    </xdr:from>
    <xdr:to>
      <xdr:col>15</xdr:col>
      <xdr:colOff>158749</xdr:colOff>
      <xdr:row>59</xdr:row>
      <xdr:rowOff>15874</xdr:rowOff>
    </xdr:to>
    <xdr:graphicFrame macro="">
      <xdr:nvGraphicFramePr>
        <xdr:cNvPr id="11" name="Chart 10">
          <a:extLst>
            <a:ext uri="{FF2B5EF4-FFF2-40B4-BE49-F238E27FC236}">
              <a16:creationId xmlns:a16="http://schemas.microsoft.com/office/drawing/2014/main" id="{CF6DE012-614C-481C-885A-0C36CE6EF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200.855797800927" createdVersion="8" refreshedVersion="8" minRefreshableVersion="3" recordCount="1470" xr:uid="{903B6D8D-34A5-4271-BB82-132E6E03FD6C}">
  <cacheSource type="worksheet">
    <worksheetSource name="HR_Data"/>
  </cacheSource>
  <cacheFields count="42">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ount="2">
        <n v="1"/>
        <n v="0"/>
      </sharedItems>
    </cacheField>
    <cacheField name="Active_Flag" numFmtId="0">
      <sharedItems containsSemiMixedTypes="0" containsString="0" containsNumber="1" containsInteger="1" minValue="0" maxValue="1"/>
    </cacheField>
    <cacheField name="Age_Group" numFmtId="0">
      <sharedItems count="5">
        <s v="35-44"/>
        <s v="45-54"/>
        <s v="25-34"/>
        <s v="55+"/>
        <s v="Under 25"/>
      </sharedItems>
    </cacheField>
    <cacheField name="Salary_Band" numFmtId="0">
      <sharedItems count="3">
        <s v="Medium Salary"/>
        <s v="Low Salary"/>
        <s v="High Salary"/>
      </sharedItems>
    </cacheField>
    <cacheField name="Experience_Band" numFmtId="0">
      <sharedItems/>
    </cacheField>
    <cacheField name="JobSatisfaction_Label" numFmtId="0">
      <sharedItems/>
    </cacheField>
    <cacheField name="WorkLifeBalance_Label" numFmtId="0">
      <sharedItems/>
    </cacheField>
  </cacheFields>
  <extLst>
    <ext xmlns:x14="http://schemas.microsoft.com/office/spreadsheetml/2009/9/main" uri="{725AE2AE-9491-48be-B2B4-4EB974FC3084}">
      <x14:pivotCacheDefinition pivotCacheId="703652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x v="0"/>
    <n v="1"/>
    <n v="2"/>
    <s v="Life Sciences"/>
    <n v="1"/>
    <n v="1"/>
    <n v="2"/>
    <x v="0"/>
    <n v="94"/>
    <n v="3"/>
    <n v="2"/>
    <x v="0"/>
    <n v="4"/>
    <s v="Single"/>
    <n v="5993"/>
    <n v="19479"/>
    <n v="8"/>
    <s v="Y"/>
    <x v="0"/>
    <n v="11"/>
    <n v="3"/>
    <n v="1"/>
    <n v="80"/>
    <n v="0"/>
    <n v="8"/>
    <n v="0"/>
    <n v="1"/>
    <n v="6"/>
    <n v="4"/>
    <n v="0"/>
    <n v="5"/>
    <x v="0"/>
    <n v="0"/>
    <x v="0"/>
    <x v="0"/>
    <s v="6-10 Years"/>
    <s v="Very High"/>
    <s v="Bad"/>
  </r>
  <r>
    <x v="1"/>
    <s v="No"/>
    <s v="Travel_Frequently"/>
    <n v="279"/>
    <x v="1"/>
    <n v="8"/>
    <n v="1"/>
    <s v="Life Sciences"/>
    <n v="1"/>
    <n v="2"/>
    <n v="3"/>
    <x v="1"/>
    <n v="61"/>
    <n v="2"/>
    <n v="2"/>
    <x v="1"/>
    <n v="2"/>
    <s v="Married"/>
    <n v="5130"/>
    <n v="24907"/>
    <n v="1"/>
    <s v="Y"/>
    <x v="1"/>
    <n v="23"/>
    <n v="4"/>
    <n v="4"/>
    <n v="80"/>
    <n v="1"/>
    <n v="10"/>
    <n v="3"/>
    <n v="3"/>
    <n v="10"/>
    <n v="7"/>
    <n v="1"/>
    <n v="7"/>
    <x v="1"/>
    <n v="1"/>
    <x v="1"/>
    <x v="0"/>
    <s v="6-10 Years"/>
    <s v="Medium"/>
    <s v="Better"/>
  </r>
  <r>
    <x v="2"/>
    <s v="Yes"/>
    <s v="Travel_Rarely"/>
    <n v="1373"/>
    <x v="1"/>
    <n v="2"/>
    <n v="2"/>
    <s v="Other"/>
    <n v="1"/>
    <n v="4"/>
    <n v="4"/>
    <x v="1"/>
    <n v="92"/>
    <n v="2"/>
    <n v="1"/>
    <x v="2"/>
    <n v="3"/>
    <s v="Single"/>
    <n v="2090"/>
    <n v="2396"/>
    <n v="6"/>
    <s v="Y"/>
    <x v="0"/>
    <n v="15"/>
    <n v="3"/>
    <n v="2"/>
    <n v="80"/>
    <n v="0"/>
    <n v="7"/>
    <n v="3"/>
    <n v="3"/>
    <n v="0"/>
    <n v="0"/>
    <n v="0"/>
    <n v="0"/>
    <x v="0"/>
    <n v="0"/>
    <x v="0"/>
    <x v="1"/>
    <s v="0-1 Years"/>
    <s v="High"/>
    <s v="Better"/>
  </r>
  <r>
    <x v="3"/>
    <s v="No"/>
    <s v="Travel_Frequently"/>
    <n v="1392"/>
    <x v="1"/>
    <n v="3"/>
    <n v="4"/>
    <s v="Life Sciences"/>
    <n v="1"/>
    <n v="5"/>
    <n v="4"/>
    <x v="0"/>
    <n v="56"/>
    <n v="3"/>
    <n v="1"/>
    <x v="1"/>
    <n v="3"/>
    <s v="Married"/>
    <n v="2909"/>
    <n v="23159"/>
    <n v="1"/>
    <s v="Y"/>
    <x v="0"/>
    <n v="11"/>
    <n v="3"/>
    <n v="3"/>
    <n v="80"/>
    <n v="0"/>
    <n v="8"/>
    <n v="3"/>
    <n v="3"/>
    <n v="8"/>
    <n v="7"/>
    <n v="3"/>
    <n v="0"/>
    <x v="1"/>
    <n v="1"/>
    <x v="2"/>
    <x v="1"/>
    <s v="6-10 Years"/>
    <s v="High"/>
    <s v="Better"/>
  </r>
  <r>
    <x v="4"/>
    <s v="No"/>
    <s v="Travel_Rarely"/>
    <n v="591"/>
    <x v="1"/>
    <n v="2"/>
    <n v="1"/>
    <s v="Medical"/>
    <n v="1"/>
    <n v="7"/>
    <n v="1"/>
    <x v="1"/>
    <n v="40"/>
    <n v="3"/>
    <n v="1"/>
    <x v="2"/>
    <n v="2"/>
    <s v="Married"/>
    <n v="3468"/>
    <n v="16632"/>
    <n v="9"/>
    <s v="Y"/>
    <x v="1"/>
    <n v="12"/>
    <n v="3"/>
    <n v="4"/>
    <n v="80"/>
    <n v="1"/>
    <n v="6"/>
    <n v="3"/>
    <n v="3"/>
    <n v="2"/>
    <n v="2"/>
    <n v="2"/>
    <n v="2"/>
    <x v="1"/>
    <n v="1"/>
    <x v="2"/>
    <x v="0"/>
    <s v="2-5 Years"/>
    <s v="Medium"/>
    <s v="Better"/>
  </r>
  <r>
    <x v="5"/>
    <s v="No"/>
    <s v="Travel_Frequently"/>
    <n v="1005"/>
    <x v="1"/>
    <n v="2"/>
    <n v="2"/>
    <s v="Life Sciences"/>
    <n v="1"/>
    <n v="8"/>
    <n v="4"/>
    <x v="1"/>
    <n v="79"/>
    <n v="3"/>
    <n v="1"/>
    <x v="2"/>
    <n v="4"/>
    <s v="Single"/>
    <n v="3068"/>
    <n v="11864"/>
    <n v="0"/>
    <s v="Y"/>
    <x v="1"/>
    <n v="13"/>
    <n v="3"/>
    <n v="3"/>
    <n v="80"/>
    <n v="0"/>
    <n v="8"/>
    <n v="2"/>
    <n v="2"/>
    <n v="7"/>
    <n v="7"/>
    <n v="3"/>
    <n v="6"/>
    <x v="1"/>
    <n v="1"/>
    <x v="2"/>
    <x v="0"/>
    <s v="6-10 Years"/>
    <s v="Very High"/>
    <s v="Good"/>
  </r>
  <r>
    <x v="6"/>
    <s v="No"/>
    <s v="Travel_Rarely"/>
    <n v="1324"/>
    <x v="1"/>
    <n v="3"/>
    <n v="3"/>
    <s v="Medical"/>
    <n v="1"/>
    <n v="10"/>
    <n v="3"/>
    <x v="0"/>
    <n v="81"/>
    <n v="4"/>
    <n v="1"/>
    <x v="2"/>
    <n v="1"/>
    <s v="Married"/>
    <n v="2670"/>
    <n v="9964"/>
    <n v="4"/>
    <s v="Y"/>
    <x v="0"/>
    <n v="20"/>
    <n v="4"/>
    <n v="1"/>
    <n v="80"/>
    <n v="3"/>
    <n v="12"/>
    <n v="3"/>
    <n v="2"/>
    <n v="1"/>
    <n v="0"/>
    <n v="0"/>
    <n v="0"/>
    <x v="1"/>
    <n v="1"/>
    <x v="3"/>
    <x v="1"/>
    <s v="0-1 Years"/>
    <s v="Low"/>
    <s v="Good"/>
  </r>
  <r>
    <x v="7"/>
    <s v="No"/>
    <s v="Travel_Rarely"/>
    <n v="1358"/>
    <x v="1"/>
    <n v="24"/>
    <n v="1"/>
    <s v="Life Sciences"/>
    <n v="1"/>
    <n v="11"/>
    <n v="4"/>
    <x v="1"/>
    <n v="67"/>
    <n v="3"/>
    <n v="1"/>
    <x v="2"/>
    <n v="3"/>
    <s v="Divorced"/>
    <n v="2693"/>
    <n v="13335"/>
    <n v="1"/>
    <s v="Y"/>
    <x v="1"/>
    <n v="22"/>
    <n v="4"/>
    <n v="2"/>
    <n v="80"/>
    <n v="1"/>
    <n v="1"/>
    <n v="2"/>
    <n v="3"/>
    <n v="1"/>
    <n v="0"/>
    <n v="0"/>
    <n v="0"/>
    <x v="1"/>
    <n v="1"/>
    <x v="2"/>
    <x v="1"/>
    <s v="0-1 Years"/>
    <s v="High"/>
    <s v="Better"/>
  </r>
  <r>
    <x v="8"/>
    <s v="No"/>
    <s v="Travel_Frequently"/>
    <n v="216"/>
    <x v="1"/>
    <n v="23"/>
    <n v="3"/>
    <s v="Life Sciences"/>
    <n v="1"/>
    <n v="12"/>
    <n v="4"/>
    <x v="1"/>
    <n v="44"/>
    <n v="2"/>
    <n v="3"/>
    <x v="3"/>
    <n v="3"/>
    <s v="Single"/>
    <n v="9526"/>
    <n v="8787"/>
    <n v="0"/>
    <s v="Y"/>
    <x v="1"/>
    <n v="21"/>
    <n v="4"/>
    <n v="2"/>
    <n v="80"/>
    <n v="0"/>
    <n v="10"/>
    <n v="2"/>
    <n v="3"/>
    <n v="9"/>
    <n v="7"/>
    <n v="1"/>
    <n v="8"/>
    <x v="1"/>
    <n v="1"/>
    <x v="0"/>
    <x v="2"/>
    <s v="6-10 Years"/>
    <s v="High"/>
    <s v="Better"/>
  </r>
  <r>
    <x v="9"/>
    <s v="No"/>
    <s v="Travel_Rarely"/>
    <n v="1299"/>
    <x v="1"/>
    <n v="27"/>
    <n v="3"/>
    <s v="Medical"/>
    <n v="1"/>
    <n v="13"/>
    <n v="3"/>
    <x v="1"/>
    <n v="94"/>
    <n v="3"/>
    <n v="2"/>
    <x v="4"/>
    <n v="3"/>
    <s v="Married"/>
    <n v="5237"/>
    <n v="16577"/>
    <n v="6"/>
    <s v="Y"/>
    <x v="1"/>
    <n v="13"/>
    <n v="3"/>
    <n v="2"/>
    <n v="80"/>
    <n v="2"/>
    <n v="17"/>
    <n v="3"/>
    <n v="2"/>
    <n v="7"/>
    <n v="7"/>
    <n v="7"/>
    <n v="7"/>
    <x v="1"/>
    <n v="1"/>
    <x v="0"/>
    <x v="0"/>
    <s v="6-10 Years"/>
    <s v="High"/>
    <s v="Good"/>
  </r>
  <r>
    <x v="10"/>
    <s v="No"/>
    <s v="Travel_Rarely"/>
    <n v="809"/>
    <x v="1"/>
    <n v="16"/>
    <n v="3"/>
    <s v="Medical"/>
    <n v="1"/>
    <n v="14"/>
    <n v="1"/>
    <x v="1"/>
    <n v="84"/>
    <n v="4"/>
    <n v="1"/>
    <x v="2"/>
    <n v="2"/>
    <s v="Married"/>
    <n v="2426"/>
    <n v="16479"/>
    <n v="0"/>
    <s v="Y"/>
    <x v="1"/>
    <n v="13"/>
    <n v="3"/>
    <n v="3"/>
    <n v="80"/>
    <n v="1"/>
    <n v="6"/>
    <n v="5"/>
    <n v="3"/>
    <n v="5"/>
    <n v="4"/>
    <n v="0"/>
    <n v="3"/>
    <x v="1"/>
    <n v="1"/>
    <x v="0"/>
    <x v="1"/>
    <s v="2-5 Years"/>
    <s v="Medium"/>
    <s v="Better"/>
  </r>
  <r>
    <x v="11"/>
    <s v="No"/>
    <s v="Travel_Rarely"/>
    <n v="153"/>
    <x v="1"/>
    <n v="15"/>
    <n v="2"/>
    <s v="Life Sciences"/>
    <n v="1"/>
    <n v="15"/>
    <n v="4"/>
    <x v="0"/>
    <n v="49"/>
    <n v="2"/>
    <n v="2"/>
    <x v="2"/>
    <n v="3"/>
    <s v="Single"/>
    <n v="4193"/>
    <n v="12682"/>
    <n v="0"/>
    <s v="Y"/>
    <x v="0"/>
    <n v="12"/>
    <n v="3"/>
    <n v="4"/>
    <n v="80"/>
    <n v="0"/>
    <n v="10"/>
    <n v="3"/>
    <n v="3"/>
    <n v="9"/>
    <n v="5"/>
    <n v="0"/>
    <n v="8"/>
    <x v="1"/>
    <n v="1"/>
    <x v="2"/>
    <x v="0"/>
    <s v="6-10 Years"/>
    <s v="High"/>
    <s v="Better"/>
  </r>
  <r>
    <x v="12"/>
    <s v="No"/>
    <s v="Travel_Rarely"/>
    <n v="670"/>
    <x v="1"/>
    <n v="26"/>
    <n v="1"/>
    <s v="Life Sciences"/>
    <n v="1"/>
    <n v="16"/>
    <n v="1"/>
    <x v="1"/>
    <n v="31"/>
    <n v="3"/>
    <n v="1"/>
    <x v="1"/>
    <n v="3"/>
    <s v="Divorced"/>
    <n v="2911"/>
    <n v="15170"/>
    <n v="1"/>
    <s v="Y"/>
    <x v="1"/>
    <n v="17"/>
    <n v="3"/>
    <n v="4"/>
    <n v="80"/>
    <n v="1"/>
    <n v="5"/>
    <n v="1"/>
    <n v="2"/>
    <n v="5"/>
    <n v="2"/>
    <n v="4"/>
    <n v="3"/>
    <x v="1"/>
    <n v="1"/>
    <x v="2"/>
    <x v="1"/>
    <s v="2-5 Years"/>
    <s v="High"/>
    <s v="Good"/>
  </r>
  <r>
    <x v="13"/>
    <s v="No"/>
    <s v="Travel_Rarely"/>
    <n v="1346"/>
    <x v="1"/>
    <n v="19"/>
    <n v="2"/>
    <s v="Medical"/>
    <n v="1"/>
    <n v="18"/>
    <n v="2"/>
    <x v="1"/>
    <n v="93"/>
    <n v="3"/>
    <n v="1"/>
    <x v="2"/>
    <n v="4"/>
    <s v="Divorced"/>
    <n v="2661"/>
    <n v="8758"/>
    <n v="0"/>
    <s v="Y"/>
    <x v="1"/>
    <n v="11"/>
    <n v="3"/>
    <n v="3"/>
    <n v="80"/>
    <n v="1"/>
    <n v="3"/>
    <n v="2"/>
    <n v="3"/>
    <n v="2"/>
    <n v="2"/>
    <n v="1"/>
    <n v="2"/>
    <x v="1"/>
    <n v="1"/>
    <x v="2"/>
    <x v="1"/>
    <s v="2-5 Years"/>
    <s v="Very High"/>
    <s v="Better"/>
  </r>
  <r>
    <x v="14"/>
    <s v="Yes"/>
    <s v="Travel_Rarely"/>
    <n v="103"/>
    <x v="1"/>
    <n v="24"/>
    <n v="3"/>
    <s v="Life Sciences"/>
    <n v="1"/>
    <n v="19"/>
    <n v="3"/>
    <x v="1"/>
    <n v="50"/>
    <n v="2"/>
    <n v="1"/>
    <x v="2"/>
    <n v="3"/>
    <s v="Single"/>
    <n v="2028"/>
    <n v="12947"/>
    <n v="5"/>
    <s v="Y"/>
    <x v="0"/>
    <n v="14"/>
    <n v="3"/>
    <n v="2"/>
    <n v="80"/>
    <n v="0"/>
    <n v="6"/>
    <n v="4"/>
    <n v="3"/>
    <n v="4"/>
    <n v="2"/>
    <n v="0"/>
    <n v="3"/>
    <x v="0"/>
    <n v="0"/>
    <x v="2"/>
    <x v="1"/>
    <s v="2-5 Years"/>
    <s v="High"/>
    <s v="Better"/>
  </r>
  <r>
    <x v="11"/>
    <s v="No"/>
    <s v="Travel_Rarely"/>
    <n v="1389"/>
    <x v="1"/>
    <n v="21"/>
    <n v="4"/>
    <s v="Life Sciences"/>
    <n v="1"/>
    <n v="20"/>
    <n v="2"/>
    <x v="0"/>
    <n v="51"/>
    <n v="4"/>
    <n v="3"/>
    <x v="3"/>
    <n v="1"/>
    <s v="Divorced"/>
    <n v="9980"/>
    <n v="10195"/>
    <n v="1"/>
    <s v="Y"/>
    <x v="1"/>
    <n v="11"/>
    <n v="3"/>
    <n v="3"/>
    <n v="80"/>
    <n v="1"/>
    <n v="10"/>
    <n v="1"/>
    <n v="3"/>
    <n v="10"/>
    <n v="9"/>
    <n v="8"/>
    <n v="8"/>
    <x v="1"/>
    <n v="1"/>
    <x v="2"/>
    <x v="2"/>
    <s v="6-10 Years"/>
    <s v="Low"/>
    <s v="Better"/>
  </r>
  <r>
    <x v="5"/>
    <s v="No"/>
    <s v="Travel_Rarely"/>
    <n v="334"/>
    <x v="1"/>
    <n v="5"/>
    <n v="2"/>
    <s v="Life Sciences"/>
    <n v="1"/>
    <n v="21"/>
    <n v="1"/>
    <x v="1"/>
    <n v="80"/>
    <n v="4"/>
    <n v="1"/>
    <x v="1"/>
    <n v="2"/>
    <s v="Divorced"/>
    <n v="3298"/>
    <n v="15053"/>
    <n v="0"/>
    <s v="Y"/>
    <x v="0"/>
    <n v="12"/>
    <n v="3"/>
    <n v="4"/>
    <n v="80"/>
    <n v="2"/>
    <n v="7"/>
    <n v="5"/>
    <n v="2"/>
    <n v="6"/>
    <n v="2"/>
    <n v="0"/>
    <n v="5"/>
    <x v="1"/>
    <n v="1"/>
    <x v="2"/>
    <x v="0"/>
    <s v="6-10 Years"/>
    <s v="Medium"/>
    <s v="Good"/>
  </r>
  <r>
    <x v="15"/>
    <s v="No"/>
    <s v="Non-Travel"/>
    <n v="1123"/>
    <x v="1"/>
    <n v="16"/>
    <n v="2"/>
    <s v="Medical"/>
    <n v="1"/>
    <n v="22"/>
    <n v="4"/>
    <x v="1"/>
    <n v="96"/>
    <n v="4"/>
    <n v="1"/>
    <x v="2"/>
    <n v="4"/>
    <s v="Divorced"/>
    <n v="2935"/>
    <n v="7324"/>
    <n v="1"/>
    <s v="Y"/>
    <x v="0"/>
    <n v="13"/>
    <n v="3"/>
    <n v="2"/>
    <n v="80"/>
    <n v="2"/>
    <n v="1"/>
    <n v="2"/>
    <n v="2"/>
    <n v="1"/>
    <n v="0"/>
    <n v="0"/>
    <n v="0"/>
    <x v="1"/>
    <n v="1"/>
    <x v="4"/>
    <x v="1"/>
    <s v="0-1 Years"/>
    <s v="Very High"/>
    <s v="Good"/>
  </r>
  <r>
    <x v="16"/>
    <s v="No"/>
    <s v="Travel_Rarely"/>
    <n v="1219"/>
    <x v="0"/>
    <n v="2"/>
    <n v="4"/>
    <s v="Life Sciences"/>
    <n v="1"/>
    <n v="23"/>
    <n v="1"/>
    <x v="0"/>
    <n v="78"/>
    <n v="2"/>
    <n v="4"/>
    <x v="5"/>
    <n v="4"/>
    <s v="Married"/>
    <n v="15427"/>
    <n v="22021"/>
    <n v="2"/>
    <s v="Y"/>
    <x v="1"/>
    <n v="16"/>
    <n v="3"/>
    <n v="3"/>
    <n v="80"/>
    <n v="0"/>
    <n v="31"/>
    <n v="3"/>
    <n v="3"/>
    <n v="25"/>
    <n v="8"/>
    <n v="3"/>
    <n v="7"/>
    <x v="1"/>
    <n v="1"/>
    <x v="1"/>
    <x v="2"/>
    <s v="10+ Years"/>
    <s v="Very High"/>
    <s v="Better"/>
  </r>
  <r>
    <x v="8"/>
    <s v="No"/>
    <s v="Travel_Rarely"/>
    <n v="371"/>
    <x v="1"/>
    <n v="2"/>
    <n v="3"/>
    <s v="Life Sciences"/>
    <n v="1"/>
    <n v="24"/>
    <n v="4"/>
    <x v="1"/>
    <n v="45"/>
    <n v="3"/>
    <n v="1"/>
    <x v="1"/>
    <n v="4"/>
    <s v="Single"/>
    <n v="3944"/>
    <n v="4306"/>
    <n v="5"/>
    <s v="Y"/>
    <x v="0"/>
    <n v="11"/>
    <n v="3"/>
    <n v="3"/>
    <n v="80"/>
    <n v="0"/>
    <n v="6"/>
    <n v="3"/>
    <n v="3"/>
    <n v="3"/>
    <n v="2"/>
    <n v="1"/>
    <n v="2"/>
    <x v="1"/>
    <n v="1"/>
    <x v="0"/>
    <x v="0"/>
    <s v="2-5 Years"/>
    <s v="Very High"/>
    <s v="Better"/>
  </r>
  <r>
    <x v="17"/>
    <s v="No"/>
    <s v="Non-Travel"/>
    <n v="673"/>
    <x v="1"/>
    <n v="11"/>
    <n v="2"/>
    <s v="Other"/>
    <n v="1"/>
    <n v="26"/>
    <n v="1"/>
    <x v="0"/>
    <n v="96"/>
    <n v="4"/>
    <n v="2"/>
    <x v="3"/>
    <n v="3"/>
    <s v="Divorced"/>
    <n v="4011"/>
    <n v="8232"/>
    <n v="0"/>
    <s v="Y"/>
    <x v="1"/>
    <n v="18"/>
    <n v="3"/>
    <n v="4"/>
    <n v="80"/>
    <n v="1"/>
    <n v="5"/>
    <n v="5"/>
    <n v="2"/>
    <n v="4"/>
    <n v="2"/>
    <n v="1"/>
    <n v="3"/>
    <x v="1"/>
    <n v="1"/>
    <x v="4"/>
    <x v="0"/>
    <s v="2-5 Years"/>
    <s v="High"/>
    <s v="Good"/>
  </r>
  <r>
    <x v="9"/>
    <s v="Yes"/>
    <s v="Travel_Rarely"/>
    <n v="1218"/>
    <x v="0"/>
    <n v="9"/>
    <n v="4"/>
    <s v="Life Sciences"/>
    <n v="1"/>
    <n v="27"/>
    <n v="3"/>
    <x v="1"/>
    <n v="82"/>
    <n v="2"/>
    <n v="1"/>
    <x v="6"/>
    <n v="1"/>
    <s v="Single"/>
    <n v="3407"/>
    <n v="6986"/>
    <n v="7"/>
    <s v="Y"/>
    <x v="1"/>
    <n v="23"/>
    <n v="4"/>
    <n v="2"/>
    <n v="80"/>
    <n v="0"/>
    <n v="10"/>
    <n v="4"/>
    <n v="3"/>
    <n v="5"/>
    <n v="3"/>
    <n v="0"/>
    <n v="3"/>
    <x v="0"/>
    <n v="0"/>
    <x v="0"/>
    <x v="0"/>
    <s v="2-5 Years"/>
    <s v="Low"/>
    <s v="Better"/>
  </r>
  <r>
    <x v="13"/>
    <s v="No"/>
    <s v="Travel_Rarely"/>
    <n v="419"/>
    <x v="1"/>
    <n v="7"/>
    <n v="4"/>
    <s v="Life Sciences"/>
    <n v="1"/>
    <n v="28"/>
    <n v="1"/>
    <x v="0"/>
    <n v="53"/>
    <n v="3"/>
    <n v="3"/>
    <x v="7"/>
    <n v="2"/>
    <s v="Single"/>
    <n v="11994"/>
    <n v="21293"/>
    <n v="0"/>
    <s v="Y"/>
    <x v="1"/>
    <n v="11"/>
    <n v="3"/>
    <n v="3"/>
    <n v="80"/>
    <n v="0"/>
    <n v="13"/>
    <n v="4"/>
    <n v="3"/>
    <n v="12"/>
    <n v="6"/>
    <n v="2"/>
    <n v="11"/>
    <x v="1"/>
    <n v="1"/>
    <x v="2"/>
    <x v="2"/>
    <s v="10+ Years"/>
    <s v="Medium"/>
    <s v="Better"/>
  </r>
  <r>
    <x v="18"/>
    <s v="No"/>
    <s v="Travel_Rarely"/>
    <n v="391"/>
    <x v="1"/>
    <n v="15"/>
    <n v="2"/>
    <s v="Life Sciences"/>
    <n v="1"/>
    <n v="30"/>
    <n v="3"/>
    <x v="1"/>
    <n v="96"/>
    <n v="3"/>
    <n v="1"/>
    <x v="1"/>
    <n v="4"/>
    <s v="Single"/>
    <n v="1232"/>
    <n v="19281"/>
    <n v="1"/>
    <s v="Y"/>
    <x v="1"/>
    <n v="14"/>
    <n v="3"/>
    <n v="4"/>
    <n v="80"/>
    <n v="0"/>
    <n v="0"/>
    <n v="6"/>
    <n v="3"/>
    <n v="0"/>
    <n v="0"/>
    <n v="0"/>
    <n v="0"/>
    <x v="1"/>
    <n v="1"/>
    <x v="4"/>
    <x v="1"/>
    <s v="0-1 Years"/>
    <s v="Very High"/>
    <s v="Better"/>
  </r>
  <r>
    <x v="13"/>
    <s v="Yes"/>
    <s v="Travel_Rarely"/>
    <n v="699"/>
    <x v="1"/>
    <n v="6"/>
    <n v="1"/>
    <s v="Medical"/>
    <n v="1"/>
    <n v="31"/>
    <n v="2"/>
    <x v="1"/>
    <n v="83"/>
    <n v="3"/>
    <n v="1"/>
    <x v="1"/>
    <n v="1"/>
    <s v="Single"/>
    <n v="2960"/>
    <n v="17102"/>
    <n v="2"/>
    <s v="Y"/>
    <x v="1"/>
    <n v="11"/>
    <n v="3"/>
    <n v="3"/>
    <n v="80"/>
    <n v="0"/>
    <n v="8"/>
    <n v="2"/>
    <n v="3"/>
    <n v="4"/>
    <n v="2"/>
    <n v="1"/>
    <n v="3"/>
    <x v="0"/>
    <n v="0"/>
    <x v="2"/>
    <x v="1"/>
    <s v="2-5 Years"/>
    <s v="Low"/>
    <s v="Better"/>
  </r>
  <r>
    <x v="16"/>
    <s v="No"/>
    <s v="Travel_Rarely"/>
    <n v="1282"/>
    <x v="1"/>
    <n v="5"/>
    <n v="3"/>
    <s v="Other"/>
    <n v="1"/>
    <n v="32"/>
    <n v="3"/>
    <x v="0"/>
    <n v="58"/>
    <n v="3"/>
    <n v="5"/>
    <x v="5"/>
    <n v="3"/>
    <s v="Divorced"/>
    <n v="19094"/>
    <n v="10735"/>
    <n v="4"/>
    <s v="Y"/>
    <x v="1"/>
    <n v="11"/>
    <n v="3"/>
    <n v="4"/>
    <n v="80"/>
    <n v="1"/>
    <n v="26"/>
    <n v="3"/>
    <n v="2"/>
    <n v="14"/>
    <n v="13"/>
    <n v="4"/>
    <n v="8"/>
    <x v="1"/>
    <n v="1"/>
    <x v="1"/>
    <x v="2"/>
    <s v="10+ Years"/>
    <s v="High"/>
    <s v="Good"/>
  </r>
  <r>
    <x v="5"/>
    <s v="Yes"/>
    <s v="Travel_Frequently"/>
    <n v="1125"/>
    <x v="1"/>
    <n v="16"/>
    <n v="1"/>
    <s v="Life Sciences"/>
    <n v="1"/>
    <n v="33"/>
    <n v="2"/>
    <x v="0"/>
    <n v="72"/>
    <n v="1"/>
    <n v="1"/>
    <x v="1"/>
    <n v="1"/>
    <s v="Single"/>
    <n v="3919"/>
    <n v="4681"/>
    <n v="1"/>
    <s v="Y"/>
    <x v="0"/>
    <n v="22"/>
    <n v="4"/>
    <n v="2"/>
    <n v="80"/>
    <n v="0"/>
    <n v="10"/>
    <n v="5"/>
    <n v="3"/>
    <n v="10"/>
    <n v="2"/>
    <n v="6"/>
    <n v="7"/>
    <x v="0"/>
    <n v="0"/>
    <x v="2"/>
    <x v="0"/>
    <s v="6-10 Years"/>
    <s v="Low"/>
    <s v="Better"/>
  </r>
  <r>
    <x v="19"/>
    <s v="No"/>
    <s v="Travel_Rarely"/>
    <n v="691"/>
    <x v="0"/>
    <n v="8"/>
    <n v="4"/>
    <s v="Marketing"/>
    <n v="1"/>
    <n v="35"/>
    <n v="3"/>
    <x v="1"/>
    <n v="48"/>
    <n v="3"/>
    <n v="2"/>
    <x v="0"/>
    <n v="2"/>
    <s v="Married"/>
    <n v="6825"/>
    <n v="21173"/>
    <n v="0"/>
    <s v="Y"/>
    <x v="1"/>
    <n v="11"/>
    <n v="3"/>
    <n v="4"/>
    <n v="80"/>
    <n v="1"/>
    <n v="10"/>
    <n v="2"/>
    <n v="3"/>
    <n v="9"/>
    <n v="7"/>
    <n v="4"/>
    <n v="2"/>
    <x v="1"/>
    <n v="1"/>
    <x v="0"/>
    <x v="0"/>
    <s v="6-10 Years"/>
    <s v="Medium"/>
    <s v="Better"/>
  </r>
  <r>
    <x v="20"/>
    <s v="No"/>
    <s v="Travel_Rarely"/>
    <n v="477"/>
    <x v="1"/>
    <n v="7"/>
    <n v="4"/>
    <s v="Medical"/>
    <n v="1"/>
    <n v="36"/>
    <n v="1"/>
    <x v="0"/>
    <n v="42"/>
    <n v="2"/>
    <n v="3"/>
    <x v="4"/>
    <n v="4"/>
    <s v="Married"/>
    <n v="10248"/>
    <n v="2094"/>
    <n v="3"/>
    <s v="Y"/>
    <x v="1"/>
    <n v="14"/>
    <n v="3"/>
    <n v="4"/>
    <n v="80"/>
    <n v="1"/>
    <n v="24"/>
    <n v="4"/>
    <n v="3"/>
    <n v="22"/>
    <n v="6"/>
    <n v="5"/>
    <n v="17"/>
    <x v="1"/>
    <n v="1"/>
    <x v="0"/>
    <x v="2"/>
    <s v="10+ Years"/>
    <s v="Very High"/>
    <s v="Better"/>
  </r>
  <r>
    <x v="21"/>
    <s v="No"/>
    <s v="Travel_Rarely"/>
    <n v="705"/>
    <x v="0"/>
    <n v="2"/>
    <n v="4"/>
    <s v="Marketing"/>
    <n v="1"/>
    <n v="38"/>
    <n v="2"/>
    <x v="0"/>
    <n v="83"/>
    <n v="3"/>
    <n v="5"/>
    <x v="5"/>
    <n v="1"/>
    <s v="Single"/>
    <n v="18947"/>
    <n v="22822"/>
    <n v="3"/>
    <s v="Y"/>
    <x v="1"/>
    <n v="12"/>
    <n v="3"/>
    <n v="4"/>
    <n v="80"/>
    <n v="0"/>
    <n v="22"/>
    <n v="2"/>
    <n v="2"/>
    <n v="2"/>
    <n v="2"/>
    <n v="2"/>
    <n v="1"/>
    <x v="1"/>
    <n v="1"/>
    <x v="1"/>
    <x v="2"/>
    <s v="2-5 Years"/>
    <s v="Low"/>
    <s v="Good"/>
  </r>
  <r>
    <x v="3"/>
    <s v="No"/>
    <s v="Travel_Rarely"/>
    <n v="924"/>
    <x v="1"/>
    <n v="2"/>
    <n v="3"/>
    <s v="Medical"/>
    <n v="1"/>
    <n v="39"/>
    <n v="3"/>
    <x v="1"/>
    <n v="78"/>
    <n v="3"/>
    <n v="1"/>
    <x v="2"/>
    <n v="4"/>
    <s v="Single"/>
    <n v="2496"/>
    <n v="6670"/>
    <n v="4"/>
    <s v="Y"/>
    <x v="1"/>
    <n v="11"/>
    <n v="3"/>
    <n v="4"/>
    <n v="80"/>
    <n v="0"/>
    <n v="7"/>
    <n v="3"/>
    <n v="3"/>
    <n v="1"/>
    <n v="1"/>
    <n v="0"/>
    <n v="0"/>
    <x v="1"/>
    <n v="1"/>
    <x v="2"/>
    <x v="1"/>
    <s v="0-1 Years"/>
    <s v="Very High"/>
    <s v="Better"/>
  </r>
  <r>
    <x v="20"/>
    <s v="No"/>
    <s v="Travel_Rarely"/>
    <n v="1459"/>
    <x v="1"/>
    <n v="10"/>
    <n v="4"/>
    <s v="Other"/>
    <n v="1"/>
    <n v="40"/>
    <n v="4"/>
    <x v="1"/>
    <n v="41"/>
    <n v="3"/>
    <n v="2"/>
    <x v="4"/>
    <n v="4"/>
    <s v="Married"/>
    <n v="6465"/>
    <n v="19121"/>
    <n v="2"/>
    <s v="Y"/>
    <x v="0"/>
    <n v="13"/>
    <n v="3"/>
    <n v="4"/>
    <n v="80"/>
    <n v="0"/>
    <n v="9"/>
    <n v="5"/>
    <n v="4"/>
    <n v="4"/>
    <n v="2"/>
    <n v="1"/>
    <n v="3"/>
    <x v="1"/>
    <n v="1"/>
    <x v="0"/>
    <x v="0"/>
    <s v="2-5 Years"/>
    <s v="Very High"/>
    <s v="Best"/>
  </r>
  <r>
    <x v="7"/>
    <s v="No"/>
    <s v="Travel_Rarely"/>
    <n v="125"/>
    <x v="1"/>
    <n v="9"/>
    <n v="2"/>
    <s v="Medical"/>
    <n v="1"/>
    <n v="41"/>
    <n v="4"/>
    <x v="1"/>
    <n v="83"/>
    <n v="2"/>
    <n v="1"/>
    <x v="2"/>
    <n v="3"/>
    <s v="Single"/>
    <n v="2206"/>
    <n v="16117"/>
    <n v="1"/>
    <s v="Y"/>
    <x v="1"/>
    <n v="13"/>
    <n v="3"/>
    <n v="1"/>
    <n v="80"/>
    <n v="0"/>
    <n v="10"/>
    <n v="5"/>
    <n v="3"/>
    <n v="10"/>
    <n v="0"/>
    <n v="1"/>
    <n v="8"/>
    <x v="1"/>
    <n v="1"/>
    <x v="2"/>
    <x v="1"/>
    <s v="6-10 Years"/>
    <s v="High"/>
    <s v="Better"/>
  </r>
  <r>
    <x v="22"/>
    <s v="Yes"/>
    <s v="Travel_Rarely"/>
    <n v="895"/>
    <x v="0"/>
    <n v="5"/>
    <n v="3"/>
    <s v="Technical Degree"/>
    <n v="1"/>
    <n v="42"/>
    <n v="4"/>
    <x v="1"/>
    <n v="56"/>
    <n v="3"/>
    <n v="2"/>
    <x v="6"/>
    <n v="4"/>
    <s v="Married"/>
    <n v="2086"/>
    <n v="3335"/>
    <n v="3"/>
    <s v="Y"/>
    <x v="1"/>
    <n v="14"/>
    <n v="3"/>
    <n v="3"/>
    <n v="80"/>
    <n v="1"/>
    <n v="19"/>
    <n v="6"/>
    <n v="4"/>
    <n v="1"/>
    <n v="0"/>
    <n v="0"/>
    <n v="0"/>
    <x v="0"/>
    <n v="0"/>
    <x v="0"/>
    <x v="1"/>
    <s v="0-1 Years"/>
    <s v="Very High"/>
    <s v="Best"/>
  </r>
  <r>
    <x v="17"/>
    <s v="Yes"/>
    <s v="Travel_Rarely"/>
    <n v="813"/>
    <x v="1"/>
    <n v="1"/>
    <n v="3"/>
    <s v="Medical"/>
    <n v="1"/>
    <n v="45"/>
    <n v="2"/>
    <x v="1"/>
    <n v="61"/>
    <n v="3"/>
    <n v="1"/>
    <x v="1"/>
    <n v="4"/>
    <s v="Married"/>
    <n v="2293"/>
    <n v="3020"/>
    <n v="2"/>
    <s v="Y"/>
    <x v="0"/>
    <n v="16"/>
    <n v="3"/>
    <n v="1"/>
    <n v="80"/>
    <n v="1"/>
    <n v="6"/>
    <n v="2"/>
    <n v="2"/>
    <n v="2"/>
    <n v="0"/>
    <n v="2"/>
    <n v="0"/>
    <x v="0"/>
    <n v="0"/>
    <x v="4"/>
    <x v="1"/>
    <s v="2-5 Years"/>
    <s v="Very High"/>
    <s v="Good"/>
  </r>
  <r>
    <x v="23"/>
    <s v="No"/>
    <s v="Travel_Rarely"/>
    <n v="1273"/>
    <x v="1"/>
    <n v="2"/>
    <n v="2"/>
    <s v="Medical"/>
    <n v="1"/>
    <n v="46"/>
    <n v="4"/>
    <x v="0"/>
    <n v="72"/>
    <n v="4"/>
    <n v="1"/>
    <x v="1"/>
    <n v="3"/>
    <s v="Divorced"/>
    <n v="2645"/>
    <n v="21923"/>
    <n v="1"/>
    <s v="Y"/>
    <x v="1"/>
    <n v="12"/>
    <n v="3"/>
    <n v="4"/>
    <n v="80"/>
    <n v="2"/>
    <n v="6"/>
    <n v="3"/>
    <n v="2"/>
    <n v="5"/>
    <n v="3"/>
    <n v="1"/>
    <n v="4"/>
    <x v="1"/>
    <n v="1"/>
    <x v="0"/>
    <x v="1"/>
    <s v="2-5 Years"/>
    <s v="High"/>
    <s v="Good"/>
  </r>
  <r>
    <x v="24"/>
    <s v="Yes"/>
    <s v="Travel_Rarely"/>
    <n v="869"/>
    <x v="0"/>
    <n v="3"/>
    <n v="2"/>
    <s v="Marketing"/>
    <n v="1"/>
    <n v="47"/>
    <n v="1"/>
    <x v="1"/>
    <n v="86"/>
    <n v="2"/>
    <n v="1"/>
    <x v="6"/>
    <n v="3"/>
    <s v="Married"/>
    <n v="2683"/>
    <n v="3810"/>
    <n v="1"/>
    <s v="Y"/>
    <x v="0"/>
    <n v="14"/>
    <n v="3"/>
    <n v="3"/>
    <n v="80"/>
    <n v="0"/>
    <n v="3"/>
    <n v="2"/>
    <n v="3"/>
    <n v="3"/>
    <n v="2"/>
    <n v="0"/>
    <n v="2"/>
    <x v="0"/>
    <n v="0"/>
    <x v="1"/>
    <x v="1"/>
    <s v="2-5 Years"/>
    <s v="High"/>
    <s v="Better"/>
  </r>
  <r>
    <x v="10"/>
    <s v="No"/>
    <s v="Travel_Rarely"/>
    <n v="890"/>
    <x v="0"/>
    <n v="2"/>
    <n v="3"/>
    <s v="Marketing"/>
    <n v="1"/>
    <n v="49"/>
    <n v="4"/>
    <x v="0"/>
    <n v="97"/>
    <n v="3"/>
    <n v="1"/>
    <x v="6"/>
    <n v="4"/>
    <s v="Married"/>
    <n v="2014"/>
    <n v="9687"/>
    <n v="1"/>
    <s v="Y"/>
    <x v="1"/>
    <n v="13"/>
    <n v="3"/>
    <n v="1"/>
    <n v="80"/>
    <n v="0"/>
    <n v="2"/>
    <n v="3"/>
    <n v="3"/>
    <n v="2"/>
    <n v="2"/>
    <n v="2"/>
    <n v="2"/>
    <x v="1"/>
    <n v="1"/>
    <x v="0"/>
    <x v="1"/>
    <s v="2-5 Years"/>
    <s v="Very High"/>
    <s v="Better"/>
  </r>
  <r>
    <x v="9"/>
    <s v="No"/>
    <s v="Travel_Rarely"/>
    <n v="852"/>
    <x v="1"/>
    <n v="5"/>
    <n v="4"/>
    <s v="Life Sciences"/>
    <n v="1"/>
    <n v="51"/>
    <n v="2"/>
    <x v="0"/>
    <n v="82"/>
    <n v="2"/>
    <n v="1"/>
    <x v="1"/>
    <n v="1"/>
    <s v="Married"/>
    <n v="3419"/>
    <n v="13072"/>
    <n v="9"/>
    <s v="Y"/>
    <x v="0"/>
    <n v="14"/>
    <n v="3"/>
    <n v="4"/>
    <n v="80"/>
    <n v="1"/>
    <n v="6"/>
    <n v="3"/>
    <n v="4"/>
    <n v="1"/>
    <n v="1"/>
    <n v="0"/>
    <n v="0"/>
    <x v="1"/>
    <n v="1"/>
    <x v="0"/>
    <x v="0"/>
    <s v="0-1 Years"/>
    <s v="Low"/>
    <s v="Best"/>
  </r>
  <r>
    <x v="3"/>
    <s v="No"/>
    <s v="Travel_Frequently"/>
    <n v="1141"/>
    <x v="0"/>
    <n v="1"/>
    <n v="3"/>
    <s v="Life Sciences"/>
    <n v="1"/>
    <n v="52"/>
    <n v="3"/>
    <x v="0"/>
    <n v="42"/>
    <n v="4"/>
    <n v="2"/>
    <x v="0"/>
    <n v="1"/>
    <s v="Married"/>
    <n v="5376"/>
    <n v="3193"/>
    <n v="2"/>
    <s v="Y"/>
    <x v="1"/>
    <n v="19"/>
    <n v="3"/>
    <n v="1"/>
    <n v="80"/>
    <n v="2"/>
    <n v="10"/>
    <n v="3"/>
    <n v="3"/>
    <n v="5"/>
    <n v="3"/>
    <n v="1"/>
    <n v="3"/>
    <x v="1"/>
    <n v="1"/>
    <x v="2"/>
    <x v="0"/>
    <s v="2-5 Years"/>
    <s v="Low"/>
    <s v="Better"/>
  </r>
  <r>
    <x v="10"/>
    <s v="No"/>
    <s v="Travel_Rarely"/>
    <n v="464"/>
    <x v="1"/>
    <n v="4"/>
    <n v="2"/>
    <s v="Other"/>
    <n v="1"/>
    <n v="53"/>
    <n v="3"/>
    <x v="1"/>
    <n v="75"/>
    <n v="3"/>
    <n v="1"/>
    <x v="2"/>
    <n v="4"/>
    <s v="Divorced"/>
    <n v="1951"/>
    <n v="10910"/>
    <n v="1"/>
    <s v="Y"/>
    <x v="1"/>
    <n v="12"/>
    <n v="3"/>
    <n v="3"/>
    <n v="80"/>
    <n v="1"/>
    <n v="1"/>
    <n v="3"/>
    <n v="3"/>
    <n v="1"/>
    <n v="0"/>
    <n v="0"/>
    <n v="0"/>
    <x v="1"/>
    <n v="1"/>
    <x v="0"/>
    <x v="1"/>
    <s v="0-1 Years"/>
    <s v="Very High"/>
    <s v="Better"/>
  </r>
  <r>
    <x v="4"/>
    <s v="No"/>
    <s v="Travel_Rarely"/>
    <n v="1240"/>
    <x v="1"/>
    <n v="2"/>
    <n v="4"/>
    <s v="Life Sciences"/>
    <n v="1"/>
    <n v="54"/>
    <n v="4"/>
    <x v="0"/>
    <n v="33"/>
    <n v="3"/>
    <n v="1"/>
    <x v="2"/>
    <n v="1"/>
    <s v="Divorced"/>
    <n v="2341"/>
    <n v="19715"/>
    <n v="1"/>
    <s v="Y"/>
    <x v="1"/>
    <n v="13"/>
    <n v="3"/>
    <n v="4"/>
    <n v="80"/>
    <n v="1"/>
    <n v="1"/>
    <n v="6"/>
    <n v="3"/>
    <n v="1"/>
    <n v="0"/>
    <n v="0"/>
    <n v="0"/>
    <x v="1"/>
    <n v="1"/>
    <x v="2"/>
    <x v="1"/>
    <s v="0-1 Years"/>
    <s v="Low"/>
    <s v="Better"/>
  </r>
  <r>
    <x v="25"/>
    <s v="Yes"/>
    <s v="Travel_Rarely"/>
    <n v="1357"/>
    <x v="1"/>
    <n v="25"/>
    <n v="3"/>
    <s v="Life Sciences"/>
    <n v="1"/>
    <n v="55"/>
    <n v="1"/>
    <x v="1"/>
    <n v="48"/>
    <n v="1"/>
    <n v="1"/>
    <x v="2"/>
    <n v="3"/>
    <s v="Single"/>
    <n v="2293"/>
    <n v="10558"/>
    <n v="1"/>
    <s v="Y"/>
    <x v="1"/>
    <n v="12"/>
    <n v="3"/>
    <n v="3"/>
    <n v="80"/>
    <n v="0"/>
    <n v="1"/>
    <n v="2"/>
    <n v="2"/>
    <n v="1"/>
    <n v="0"/>
    <n v="0"/>
    <n v="1"/>
    <x v="0"/>
    <n v="0"/>
    <x v="2"/>
    <x v="1"/>
    <s v="0-1 Years"/>
    <s v="High"/>
    <s v="Good"/>
  </r>
  <r>
    <x v="4"/>
    <s v="No"/>
    <s v="Travel_Frequently"/>
    <n v="994"/>
    <x v="0"/>
    <n v="8"/>
    <n v="3"/>
    <s v="Life Sciences"/>
    <n v="1"/>
    <n v="56"/>
    <n v="4"/>
    <x v="1"/>
    <n v="37"/>
    <n v="3"/>
    <n v="3"/>
    <x v="0"/>
    <n v="3"/>
    <s v="Single"/>
    <n v="8726"/>
    <n v="2975"/>
    <n v="1"/>
    <s v="Y"/>
    <x v="1"/>
    <n v="15"/>
    <n v="3"/>
    <n v="4"/>
    <n v="80"/>
    <n v="0"/>
    <n v="9"/>
    <n v="0"/>
    <n v="3"/>
    <n v="9"/>
    <n v="8"/>
    <n v="1"/>
    <n v="7"/>
    <x v="1"/>
    <n v="1"/>
    <x v="2"/>
    <x v="2"/>
    <s v="6-10 Years"/>
    <s v="High"/>
    <s v="Better"/>
  </r>
  <r>
    <x v="7"/>
    <s v="No"/>
    <s v="Travel_Frequently"/>
    <n v="721"/>
    <x v="1"/>
    <n v="1"/>
    <n v="2"/>
    <s v="Medical"/>
    <n v="1"/>
    <n v="57"/>
    <n v="3"/>
    <x v="0"/>
    <n v="58"/>
    <n v="3"/>
    <n v="2"/>
    <x v="2"/>
    <n v="4"/>
    <s v="Single"/>
    <n v="4011"/>
    <n v="10781"/>
    <n v="1"/>
    <s v="Y"/>
    <x v="1"/>
    <n v="23"/>
    <n v="4"/>
    <n v="4"/>
    <n v="80"/>
    <n v="0"/>
    <n v="12"/>
    <n v="2"/>
    <n v="3"/>
    <n v="12"/>
    <n v="8"/>
    <n v="3"/>
    <n v="7"/>
    <x v="1"/>
    <n v="1"/>
    <x v="2"/>
    <x v="0"/>
    <s v="10+ Years"/>
    <s v="Very High"/>
    <s v="Better"/>
  </r>
  <r>
    <x v="0"/>
    <s v="Yes"/>
    <s v="Travel_Rarely"/>
    <n v="1360"/>
    <x v="1"/>
    <n v="12"/>
    <n v="3"/>
    <s v="Technical Degree"/>
    <n v="1"/>
    <n v="58"/>
    <n v="2"/>
    <x v="0"/>
    <n v="49"/>
    <n v="3"/>
    <n v="5"/>
    <x v="7"/>
    <n v="3"/>
    <s v="Married"/>
    <n v="19545"/>
    <n v="16280"/>
    <n v="1"/>
    <s v="Y"/>
    <x v="1"/>
    <n v="12"/>
    <n v="3"/>
    <n v="4"/>
    <n v="80"/>
    <n v="0"/>
    <n v="23"/>
    <n v="0"/>
    <n v="3"/>
    <n v="22"/>
    <n v="15"/>
    <n v="15"/>
    <n v="8"/>
    <x v="0"/>
    <n v="0"/>
    <x v="0"/>
    <x v="2"/>
    <s v="10+ Years"/>
    <s v="High"/>
    <s v="Better"/>
  </r>
  <r>
    <x v="13"/>
    <s v="No"/>
    <s v="Non-Travel"/>
    <n v="1065"/>
    <x v="0"/>
    <n v="23"/>
    <n v="4"/>
    <s v="Marketing"/>
    <n v="1"/>
    <n v="60"/>
    <n v="2"/>
    <x v="1"/>
    <n v="72"/>
    <n v="3"/>
    <n v="2"/>
    <x v="0"/>
    <n v="3"/>
    <s v="Single"/>
    <n v="4568"/>
    <n v="10034"/>
    <n v="0"/>
    <s v="Y"/>
    <x v="1"/>
    <n v="20"/>
    <n v="4"/>
    <n v="3"/>
    <n v="80"/>
    <n v="0"/>
    <n v="10"/>
    <n v="2"/>
    <n v="3"/>
    <n v="9"/>
    <n v="5"/>
    <n v="8"/>
    <n v="7"/>
    <x v="1"/>
    <n v="1"/>
    <x v="2"/>
    <x v="0"/>
    <s v="6-10 Years"/>
    <s v="High"/>
    <s v="Better"/>
  </r>
  <r>
    <x v="2"/>
    <s v="No"/>
    <s v="Travel_Rarely"/>
    <n v="408"/>
    <x v="1"/>
    <n v="19"/>
    <n v="2"/>
    <s v="Life Sciences"/>
    <n v="1"/>
    <n v="61"/>
    <n v="2"/>
    <x v="1"/>
    <n v="73"/>
    <n v="3"/>
    <n v="1"/>
    <x v="1"/>
    <n v="2"/>
    <s v="Married"/>
    <n v="3022"/>
    <n v="10227"/>
    <n v="4"/>
    <s v="Y"/>
    <x v="1"/>
    <n v="21"/>
    <n v="4"/>
    <n v="1"/>
    <n v="80"/>
    <n v="0"/>
    <n v="8"/>
    <n v="1"/>
    <n v="3"/>
    <n v="1"/>
    <n v="0"/>
    <n v="0"/>
    <n v="0"/>
    <x v="1"/>
    <n v="1"/>
    <x v="0"/>
    <x v="0"/>
    <s v="0-1 Years"/>
    <s v="Medium"/>
    <s v="Better"/>
  </r>
  <r>
    <x v="21"/>
    <s v="No"/>
    <s v="Travel_Frequently"/>
    <n v="1211"/>
    <x v="0"/>
    <n v="5"/>
    <n v="4"/>
    <s v="Marketing"/>
    <n v="1"/>
    <n v="62"/>
    <n v="1"/>
    <x v="1"/>
    <n v="98"/>
    <n v="3"/>
    <n v="2"/>
    <x v="0"/>
    <n v="4"/>
    <s v="Single"/>
    <n v="5772"/>
    <n v="20445"/>
    <n v="4"/>
    <s v="Y"/>
    <x v="0"/>
    <n v="21"/>
    <n v="4"/>
    <n v="3"/>
    <n v="80"/>
    <n v="0"/>
    <n v="14"/>
    <n v="4"/>
    <n v="3"/>
    <n v="9"/>
    <n v="6"/>
    <n v="0"/>
    <n v="8"/>
    <x v="1"/>
    <n v="1"/>
    <x v="1"/>
    <x v="0"/>
    <s v="6-10 Years"/>
    <s v="Very High"/>
    <s v="Better"/>
  </r>
  <r>
    <x v="10"/>
    <s v="No"/>
    <s v="Travel_Rarely"/>
    <n v="1229"/>
    <x v="1"/>
    <n v="8"/>
    <n v="1"/>
    <s v="Life Sciences"/>
    <n v="1"/>
    <n v="63"/>
    <n v="4"/>
    <x v="1"/>
    <n v="36"/>
    <n v="4"/>
    <n v="1"/>
    <x v="2"/>
    <n v="4"/>
    <s v="Married"/>
    <n v="2269"/>
    <n v="4892"/>
    <n v="1"/>
    <s v="Y"/>
    <x v="1"/>
    <n v="19"/>
    <n v="3"/>
    <n v="4"/>
    <n v="80"/>
    <n v="0"/>
    <n v="1"/>
    <n v="2"/>
    <n v="3"/>
    <n v="1"/>
    <n v="0"/>
    <n v="0"/>
    <n v="1"/>
    <x v="1"/>
    <n v="1"/>
    <x v="0"/>
    <x v="1"/>
    <s v="0-1 Years"/>
    <s v="Very High"/>
    <s v="Better"/>
  </r>
  <r>
    <x v="26"/>
    <s v="Yes"/>
    <s v="Travel_Rarely"/>
    <n v="626"/>
    <x v="1"/>
    <n v="1"/>
    <n v="2"/>
    <s v="Life Sciences"/>
    <n v="1"/>
    <n v="64"/>
    <n v="1"/>
    <x v="1"/>
    <n v="98"/>
    <n v="2"/>
    <n v="3"/>
    <x v="2"/>
    <n v="3"/>
    <s v="Single"/>
    <n v="5381"/>
    <n v="19294"/>
    <n v="9"/>
    <s v="Y"/>
    <x v="0"/>
    <n v="13"/>
    <n v="3"/>
    <n v="4"/>
    <n v="80"/>
    <n v="0"/>
    <n v="23"/>
    <n v="2"/>
    <n v="3"/>
    <n v="1"/>
    <n v="0"/>
    <n v="0"/>
    <n v="0"/>
    <x v="0"/>
    <n v="0"/>
    <x v="1"/>
    <x v="0"/>
    <s v="0-1 Years"/>
    <s v="High"/>
    <s v="Better"/>
  </r>
  <r>
    <x v="14"/>
    <s v="Yes"/>
    <s v="Travel_Rarely"/>
    <n v="1434"/>
    <x v="1"/>
    <n v="5"/>
    <n v="4"/>
    <s v="Technical Degree"/>
    <n v="1"/>
    <n v="65"/>
    <n v="3"/>
    <x v="1"/>
    <n v="50"/>
    <n v="3"/>
    <n v="1"/>
    <x v="2"/>
    <n v="3"/>
    <s v="Single"/>
    <n v="3441"/>
    <n v="11179"/>
    <n v="1"/>
    <s v="Y"/>
    <x v="0"/>
    <n v="13"/>
    <n v="3"/>
    <n v="3"/>
    <n v="80"/>
    <n v="0"/>
    <n v="2"/>
    <n v="3"/>
    <n v="2"/>
    <n v="2"/>
    <n v="2"/>
    <n v="2"/>
    <n v="2"/>
    <x v="0"/>
    <n v="0"/>
    <x v="2"/>
    <x v="0"/>
    <s v="2-5 Years"/>
    <s v="High"/>
    <s v="Good"/>
  </r>
  <r>
    <x v="20"/>
    <s v="No"/>
    <s v="Travel_Rarely"/>
    <n v="1488"/>
    <x v="0"/>
    <n v="1"/>
    <n v="5"/>
    <s v="Marketing"/>
    <n v="1"/>
    <n v="68"/>
    <n v="2"/>
    <x v="0"/>
    <n v="75"/>
    <n v="3"/>
    <n v="2"/>
    <x v="0"/>
    <n v="1"/>
    <s v="Divorced"/>
    <n v="5454"/>
    <n v="4009"/>
    <n v="5"/>
    <s v="Y"/>
    <x v="0"/>
    <n v="21"/>
    <n v="4"/>
    <n v="3"/>
    <n v="80"/>
    <n v="1"/>
    <n v="9"/>
    <n v="2"/>
    <n v="2"/>
    <n v="4"/>
    <n v="3"/>
    <n v="1"/>
    <n v="3"/>
    <x v="1"/>
    <n v="1"/>
    <x v="0"/>
    <x v="0"/>
    <s v="2-5 Years"/>
    <s v="Low"/>
    <s v="Good"/>
  </r>
  <r>
    <x v="10"/>
    <s v="No"/>
    <s v="Non-Travel"/>
    <n v="1097"/>
    <x v="1"/>
    <n v="11"/>
    <n v="2"/>
    <s v="Medical"/>
    <n v="1"/>
    <n v="70"/>
    <n v="3"/>
    <x v="1"/>
    <n v="79"/>
    <n v="2"/>
    <n v="3"/>
    <x v="4"/>
    <n v="1"/>
    <s v="Married"/>
    <n v="9884"/>
    <n v="8302"/>
    <n v="2"/>
    <s v="Y"/>
    <x v="0"/>
    <n v="13"/>
    <n v="3"/>
    <n v="3"/>
    <n v="80"/>
    <n v="1"/>
    <n v="10"/>
    <n v="3"/>
    <n v="3"/>
    <n v="4"/>
    <n v="0"/>
    <n v="2"/>
    <n v="3"/>
    <x v="1"/>
    <n v="1"/>
    <x v="0"/>
    <x v="2"/>
    <s v="2-5 Years"/>
    <s v="Low"/>
    <s v="Better"/>
  </r>
  <r>
    <x v="25"/>
    <s v="No"/>
    <s v="Travel_Rarely"/>
    <n v="1443"/>
    <x v="0"/>
    <n v="23"/>
    <n v="3"/>
    <s v="Marketing"/>
    <n v="1"/>
    <n v="72"/>
    <n v="3"/>
    <x v="0"/>
    <n v="47"/>
    <n v="2"/>
    <n v="2"/>
    <x v="0"/>
    <n v="4"/>
    <s v="Married"/>
    <n v="4157"/>
    <n v="21436"/>
    <n v="7"/>
    <s v="Y"/>
    <x v="0"/>
    <n v="19"/>
    <n v="3"/>
    <n v="3"/>
    <n v="80"/>
    <n v="1"/>
    <n v="5"/>
    <n v="2"/>
    <n v="2"/>
    <n v="2"/>
    <n v="2"/>
    <n v="0"/>
    <n v="0"/>
    <x v="1"/>
    <n v="1"/>
    <x v="2"/>
    <x v="0"/>
    <s v="2-5 Years"/>
    <s v="Very High"/>
    <s v="Good"/>
  </r>
  <r>
    <x v="3"/>
    <s v="No"/>
    <s v="Travel_Frequently"/>
    <n v="515"/>
    <x v="1"/>
    <n v="1"/>
    <n v="2"/>
    <s v="Life Sciences"/>
    <n v="1"/>
    <n v="73"/>
    <n v="1"/>
    <x v="0"/>
    <n v="98"/>
    <n v="3"/>
    <n v="3"/>
    <x v="7"/>
    <n v="4"/>
    <s v="Single"/>
    <n v="13458"/>
    <n v="15146"/>
    <n v="1"/>
    <s v="Y"/>
    <x v="0"/>
    <n v="12"/>
    <n v="3"/>
    <n v="3"/>
    <n v="80"/>
    <n v="0"/>
    <n v="15"/>
    <n v="1"/>
    <n v="3"/>
    <n v="15"/>
    <n v="14"/>
    <n v="8"/>
    <n v="12"/>
    <x v="1"/>
    <n v="1"/>
    <x v="2"/>
    <x v="2"/>
    <s v="10+ Years"/>
    <s v="Very High"/>
    <s v="Better"/>
  </r>
  <r>
    <x v="10"/>
    <s v="No"/>
    <s v="Travel_Frequently"/>
    <n v="853"/>
    <x v="0"/>
    <n v="18"/>
    <n v="5"/>
    <s v="Life Sciences"/>
    <n v="1"/>
    <n v="74"/>
    <n v="2"/>
    <x v="1"/>
    <n v="71"/>
    <n v="3"/>
    <n v="3"/>
    <x v="0"/>
    <n v="1"/>
    <s v="Married"/>
    <n v="9069"/>
    <n v="11031"/>
    <n v="1"/>
    <s v="Y"/>
    <x v="1"/>
    <n v="22"/>
    <n v="4"/>
    <n v="4"/>
    <n v="80"/>
    <n v="1"/>
    <n v="9"/>
    <n v="3"/>
    <n v="2"/>
    <n v="9"/>
    <n v="8"/>
    <n v="1"/>
    <n v="8"/>
    <x v="1"/>
    <n v="1"/>
    <x v="0"/>
    <x v="2"/>
    <s v="6-10 Years"/>
    <s v="Low"/>
    <s v="Good"/>
  </r>
  <r>
    <x v="10"/>
    <s v="No"/>
    <s v="Travel_Rarely"/>
    <n v="1142"/>
    <x v="1"/>
    <n v="23"/>
    <n v="4"/>
    <s v="Medical"/>
    <n v="1"/>
    <n v="75"/>
    <n v="3"/>
    <x v="0"/>
    <n v="30"/>
    <n v="3"/>
    <n v="1"/>
    <x v="2"/>
    <n v="1"/>
    <s v="Married"/>
    <n v="4014"/>
    <n v="16002"/>
    <n v="3"/>
    <s v="Y"/>
    <x v="0"/>
    <n v="15"/>
    <n v="3"/>
    <n v="3"/>
    <n v="80"/>
    <n v="1"/>
    <n v="4"/>
    <n v="3"/>
    <n v="3"/>
    <n v="2"/>
    <n v="2"/>
    <n v="2"/>
    <n v="2"/>
    <x v="1"/>
    <n v="1"/>
    <x v="0"/>
    <x v="0"/>
    <s v="2-5 Years"/>
    <s v="Low"/>
    <s v="Better"/>
  </r>
  <r>
    <x v="12"/>
    <s v="No"/>
    <s v="Travel_Rarely"/>
    <n v="655"/>
    <x v="1"/>
    <n v="7"/>
    <n v="4"/>
    <s v="Life Sciences"/>
    <n v="1"/>
    <n v="76"/>
    <n v="4"/>
    <x v="1"/>
    <n v="48"/>
    <n v="3"/>
    <n v="2"/>
    <x v="2"/>
    <n v="4"/>
    <s v="Divorced"/>
    <n v="5915"/>
    <n v="9528"/>
    <n v="3"/>
    <s v="Y"/>
    <x v="1"/>
    <n v="22"/>
    <n v="4"/>
    <n v="4"/>
    <n v="80"/>
    <n v="1"/>
    <n v="10"/>
    <n v="3"/>
    <n v="2"/>
    <n v="7"/>
    <n v="7"/>
    <n v="1"/>
    <n v="7"/>
    <x v="1"/>
    <n v="1"/>
    <x v="2"/>
    <x v="0"/>
    <s v="6-10 Years"/>
    <s v="Very High"/>
    <s v="Good"/>
  </r>
  <r>
    <x v="2"/>
    <s v="No"/>
    <s v="Travel_Rarely"/>
    <n v="1115"/>
    <x v="1"/>
    <n v="1"/>
    <n v="4"/>
    <s v="Life Sciences"/>
    <n v="1"/>
    <n v="77"/>
    <n v="1"/>
    <x v="1"/>
    <n v="51"/>
    <n v="2"/>
    <n v="2"/>
    <x v="3"/>
    <n v="3"/>
    <s v="Divorced"/>
    <n v="5993"/>
    <n v="2689"/>
    <n v="1"/>
    <s v="Y"/>
    <x v="1"/>
    <n v="18"/>
    <n v="3"/>
    <n v="3"/>
    <n v="80"/>
    <n v="1"/>
    <n v="7"/>
    <n v="2"/>
    <n v="4"/>
    <n v="7"/>
    <n v="5"/>
    <n v="0"/>
    <n v="7"/>
    <x v="1"/>
    <n v="1"/>
    <x v="0"/>
    <x v="0"/>
    <s v="6-10 Years"/>
    <s v="High"/>
    <s v="Best"/>
  </r>
  <r>
    <x v="5"/>
    <s v="No"/>
    <s v="Travel_Rarely"/>
    <n v="427"/>
    <x v="1"/>
    <n v="1"/>
    <n v="3"/>
    <s v="Medical"/>
    <n v="1"/>
    <n v="78"/>
    <n v="1"/>
    <x v="1"/>
    <n v="33"/>
    <n v="3"/>
    <n v="2"/>
    <x v="3"/>
    <n v="4"/>
    <s v="Married"/>
    <n v="6162"/>
    <n v="10877"/>
    <n v="1"/>
    <s v="Y"/>
    <x v="0"/>
    <n v="22"/>
    <n v="4"/>
    <n v="2"/>
    <n v="80"/>
    <n v="1"/>
    <n v="9"/>
    <n v="3"/>
    <n v="3"/>
    <n v="9"/>
    <n v="8"/>
    <n v="7"/>
    <n v="8"/>
    <x v="1"/>
    <n v="1"/>
    <x v="2"/>
    <x v="0"/>
    <s v="6-10 Years"/>
    <s v="Very High"/>
    <s v="Better"/>
  </r>
  <r>
    <x v="8"/>
    <s v="No"/>
    <s v="Travel_Frequently"/>
    <n v="653"/>
    <x v="1"/>
    <n v="29"/>
    <n v="5"/>
    <s v="Life Sciences"/>
    <n v="1"/>
    <n v="79"/>
    <n v="4"/>
    <x v="0"/>
    <n v="50"/>
    <n v="3"/>
    <n v="2"/>
    <x v="2"/>
    <n v="4"/>
    <s v="Single"/>
    <n v="2406"/>
    <n v="5456"/>
    <n v="1"/>
    <s v="Y"/>
    <x v="1"/>
    <n v="11"/>
    <n v="3"/>
    <n v="4"/>
    <n v="80"/>
    <n v="0"/>
    <n v="10"/>
    <n v="2"/>
    <n v="3"/>
    <n v="10"/>
    <n v="3"/>
    <n v="9"/>
    <n v="9"/>
    <x v="1"/>
    <n v="1"/>
    <x v="0"/>
    <x v="1"/>
    <s v="6-10 Years"/>
    <s v="Very High"/>
    <s v="Better"/>
  </r>
  <r>
    <x v="24"/>
    <s v="No"/>
    <s v="Travel_Rarely"/>
    <n v="989"/>
    <x v="1"/>
    <n v="7"/>
    <n v="2"/>
    <s v="Medical"/>
    <n v="1"/>
    <n v="80"/>
    <n v="2"/>
    <x v="0"/>
    <n v="43"/>
    <n v="2"/>
    <n v="5"/>
    <x v="7"/>
    <n v="3"/>
    <s v="Divorced"/>
    <n v="18740"/>
    <n v="16701"/>
    <n v="5"/>
    <s v="Y"/>
    <x v="0"/>
    <n v="12"/>
    <n v="3"/>
    <n v="4"/>
    <n v="80"/>
    <n v="1"/>
    <n v="29"/>
    <n v="2"/>
    <n v="2"/>
    <n v="27"/>
    <n v="3"/>
    <n v="13"/>
    <n v="8"/>
    <x v="1"/>
    <n v="1"/>
    <x v="1"/>
    <x v="2"/>
    <s v="10+ Years"/>
    <s v="High"/>
    <s v="Good"/>
  </r>
  <r>
    <x v="6"/>
    <s v="No"/>
    <s v="Travel_Rarely"/>
    <n v="1435"/>
    <x v="0"/>
    <n v="25"/>
    <n v="3"/>
    <s v="Life Sciences"/>
    <n v="1"/>
    <n v="81"/>
    <n v="1"/>
    <x v="0"/>
    <n v="99"/>
    <n v="3"/>
    <n v="3"/>
    <x v="0"/>
    <n v="1"/>
    <s v="Single"/>
    <n v="7637"/>
    <n v="2354"/>
    <n v="7"/>
    <s v="Y"/>
    <x v="1"/>
    <n v="11"/>
    <n v="3"/>
    <n v="4"/>
    <n v="80"/>
    <n v="0"/>
    <n v="28"/>
    <n v="3"/>
    <n v="2"/>
    <n v="21"/>
    <n v="16"/>
    <n v="7"/>
    <n v="9"/>
    <x v="1"/>
    <n v="1"/>
    <x v="3"/>
    <x v="2"/>
    <s v="10+ Years"/>
    <s v="Low"/>
    <s v="Good"/>
  </r>
  <r>
    <x v="9"/>
    <s v="No"/>
    <s v="Travel_Rarely"/>
    <n v="1223"/>
    <x v="1"/>
    <n v="8"/>
    <n v="3"/>
    <s v="Technical Degree"/>
    <n v="1"/>
    <n v="83"/>
    <n v="3"/>
    <x v="0"/>
    <n v="59"/>
    <n v="3"/>
    <n v="3"/>
    <x v="4"/>
    <n v="3"/>
    <s v="Divorced"/>
    <n v="10096"/>
    <n v="8202"/>
    <n v="1"/>
    <s v="Y"/>
    <x v="1"/>
    <n v="13"/>
    <n v="3"/>
    <n v="2"/>
    <n v="80"/>
    <n v="3"/>
    <n v="17"/>
    <n v="2"/>
    <n v="3"/>
    <n v="17"/>
    <n v="14"/>
    <n v="12"/>
    <n v="8"/>
    <x v="1"/>
    <n v="1"/>
    <x v="0"/>
    <x v="2"/>
    <s v="10+ Years"/>
    <s v="High"/>
    <s v="Better"/>
  </r>
  <r>
    <x v="27"/>
    <s v="No"/>
    <s v="Travel_Rarely"/>
    <n v="836"/>
    <x v="1"/>
    <n v="8"/>
    <n v="3"/>
    <s v="Medical"/>
    <n v="1"/>
    <n v="84"/>
    <n v="4"/>
    <x v="0"/>
    <n v="33"/>
    <n v="3"/>
    <n v="4"/>
    <x v="5"/>
    <n v="3"/>
    <s v="Divorced"/>
    <n v="14756"/>
    <n v="19730"/>
    <n v="2"/>
    <s v="Y"/>
    <x v="0"/>
    <n v="14"/>
    <n v="3"/>
    <n v="3"/>
    <n v="80"/>
    <n v="3"/>
    <n v="21"/>
    <n v="2"/>
    <n v="3"/>
    <n v="5"/>
    <n v="0"/>
    <n v="0"/>
    <n v="2"/>
    <x v="1"/>
    <n v="1"/>
    <x v="3"/>
    <x v="2"/>
    <s v="2-5 Years"/>
    <s v="High"/>
    <s v="Better"/>
  </r>
  <r>
    <x v="9"/>
    <s v="No"/>
    <s v="Travel_Frequently"/>
    <n v="1195"/>
    <x v="1"/>
    <n v="11"/>
    <n v="3"/>
    <s v="Life Sciences"/>
    <n v="1"/>
    <n v="85"/>
    <n v="2"/>
    <x v="1"/>
    <n v="95"/>
    <n v="2"/>
    <n v="2"/>
    <x v="3"/>
    <n v="2"/>
    <s v="Single"/>
    <n v="6499"/>
    <n v="22656"/>
    <n v="1"/>
    <s v="Y"/>
    <x v="1"/>
    <n v="13"/>
    <n v="3"/>
    <n v="3"/>
    <n v="80"/>
    <n v="0"/>
    <n v="6"/>
    <n v="3"/>
    <n v="3"/>
    <n v="6"/>
    <n v="5"/>
    <n v="0"/>
    <n v="3"/>
    <x v="1"/>
    <n v="1"/>
    <x v="0"/>
    <x v="0"/>
    <s v="6-10 Years"/>
    <s v="Medium"/>
    <s v="Better"/>
  </r>
  <r>
    <x v="28"/>
    <s v="No"/>
    <s v="Travel_Rarely"/>
    <n v="1339"/>
    <x v="1"/>
    <n v="7"/>
    <n v="3"/>
    <s v="Life Sciences"/>
    <n v="1"/>
    <n v="86"/>
    <n v="2"/>
    <x v="1"/>
    <n v="59"/>
    <n v="3"/>
    <n v="3"/>
    <x v="1"/>
    <n v="1"/>
    <s v="Divorced"/>
    <n v="9724"/>
    <n v="18787"/>
    <n v="2"/>
    <s v="Y"/>
    <x v="1"/>
    <n v="17"/>
    <n v="3"/>
    <n v="3"/>
    <n v="80"/>
    <n v="1"/>
    <n v="25"/>
    <n v="2"/>
    <n v="3"/>
    <n v="1"/>
    <n v="0"/>
    <n v="0"/>
    <n v="0"/>
    <x v="1"/>
    <n v="1"/>
    <x v="1"/>
    <x v="2"/>
    <s v="0-1 Years"/>
    <s v="Low"/>
    <s v="Better"/>
  </r>
  <r>
    <x v="10"/>
    <s v="No"/>
    <s v="Travel_Frequently"/>
    <n v="664"/>
    <x v="1"/>
    <n v="1"/>
    <n v="3"/>
    <s v="Medical"/>
    <n v="1"/>
    <n v="88"/>
    <n v="2"/>
    <x v="1"/>
    <n v="79"/>
    <n v="3"/>
    <n v="1"/>
    <x v="1"/>
    <n v="1"/>
    <s v="Married"/>
    <n v="2194"/>
    <n v="5868"/>
    <n v="4"/>
    <s v="Y"/>
    <x v="1"/>
    <n v="13"/>
    <n v="3"/>
    <n v="4"/>
    <n v="80"/>
    <n v="1"/>
    <n v="5"/>
    <n v="2"/>
    <n v="2"/>
    <n v="3"/>
    <n v="2"/>
    <n v="1"/>
    <n v="2"/>
    <x v="1"/>
    <n v="1"/>
    <x v="0"/>
    <x v="1"/>
    <s v="2-5 Years"/>
    <s v="Low"/>
    <s v="Good"/>
  </r>
  <r>
    <x v="9"/>
    <s v="Yes"/>
    <s v="Travel_Rarely"/>
    <n v="318"/>
    <x v="1"/>
    <n v="9"/>
    <n v="3"/>
    <s v="Medical"/>
    <n v="1"/>
    <n v="90"/>
    <n v="4"/>
    <x v="1"/>
    <n v="79"/>
    <n v="2"/>
    <n v="1"/>
    <x v="1"/>
    <n v="3"/>
    <s v="Married"/>
    <n v="3388"/>
    <n v="21777"/>
    <n v="0"/>
    <s v="Y"/>
    <x v="0"/>
    <n v="17"/>
    <n v="3"/>
    <n v="1"/>
    <n v="80"/>
    <n v="1"/>
    <n v="2"/>
    <n v="0"/>
    <n v="2"/>
    <n v="1"/>
    <n v="0"/>
    <n v="0"/>
    <n v="0"/>
    <x v="0"/>
    <n v="0"/>
    <x v="0"/>
    <x v="0"/>
    <s v="0-1 Years"/>
    <s v="High"/>
    <s v="Good"/>
  </r>
  <r>
    <x v="6"/>
    <s v="No"/>
    <s v="Travel_Frequently"/>
    <n v="1225"/>
    <x v="0"/>
    <n v="1"/>
    <n v="1"/>
    <s v="Life Sciences"/>
    <n v="1"/>
    <n v="91"/>
    <n v="1"/>
    <x v="0"/>
    <n v="57"/>
    <n v="2"/>
    <n v="2"/>
    <x v="0"/>
    <n v="3"/>
    <s v="Single"/>
    <n v="5473"/>
    <n v="24668"/>
    <n v="7"/>
    <s v="Y"/>
    <x v="1"/>
    <n v="11"/>
    <n v="3"/>
    <n v="4"/>
    <n v="80"/>
    <n v="0"/>
    <n v="20"/>
    <n v="2"/>
    <n v="2"/>
    <n v="4"/>
    <n v="3"/>
    <n v="1"/>
    <n v="3"/>
    <x v="1"/>
    <n v="1"/>
    <x v="3"/>
    <x v="0"/>
    <s v="2-5 Years"/>
    <s v="High"/>
    <s v="Good"/>
  </r>
  <r>
    <x v="11"/>
    <s v="No"/>
    <s v="Travel_Rarely"/>
    <n v="1328"/>
    <x v="1"/>
    <n v="2"/>
    <n v="3"/>
    <s v="Life Sciences"/>
    <n v="1"/>
    <n v="94"/>
    <n v="3"/>
    <x v="1"/>
    <n v="76"/>
    <n v="3"/>
    <n v="1"/>
    <x v="1"/>
    <n v="2"/>
    <s v="Married"/>
    <n v="2703"/>
    <n v="4956"/>
    <n v="0"/>
    <s v="Y"/>
    <x v="1"/>
    <n v="23"/>
    <n v="4"/>
    <n v="4"/>
    <n v="80"/>
    <n v="1"/>
    <n v="6"/>
    <n v="3"/>
    <n v="3"/>
    <n v="5"/>
    <n v="4"/>
    <n v="0"/>
    <n v="4"/>
    <x v="1"/>
    <n v="1"/>
    <x v="2"/>
    <x v="1"/>
    <s v="2-5 Years"/>
    <s v="Medium"/>
    <s v="Better"/>
  </r>
  <r>
    <x v="12"/>
    <s v="No"/>
    <s v="Travel_Rarely"/>
    <n v="1082"/>
    <x v="1"/>
    <n v="1"/>
    <n v="4"/>
    <s v="Medical"/>
    <n v="1"/>
    <n v="95"/>
    <n v="3"/>
    <x v="1"/>
    <n v="87"/>
    <n v="3"/>
    <n v="1"/>
    <x v="1"/>
    <n v="2"/>
    <s v="Single"/>
    <n v="2501"/>
    <n v="18775"/>
    <n v="1"/>
    <s v="Y"/>
    <x v="1"/>
    <n v="17"/>
    <n v="3"/>
    <n v="2"/>
    <n v="80"/>
    <n v="0"/>
    <n v="1"/>
    <n v="4"/>
    <n v="3"/>
    <n v="1"/>
    <n v="1"/>
    <n v="1"/>
    <n v="0"/>
    <x v="1"/>
    <n v="1"/>
    <x v="2"/>
    <x v="1"/>
    <s v="0-1 Years"/>
    <s v="Medium"/>
    <s v="Better"/>
  </r>
  <r>
    <x v="5"/>
    <s v="No"/>
    <s v="Travel_Rarely"/>
    <n v="548"/>
    <x v="1"/>
    <n v="1"/>
    <n v="3"/>
    <s v="Life Sciences"/>
    <n v="1"/>
    <n v="96"/>
    <n v="2"/>
    <x v="1"/>
    <n v="66"/>
    <n v="3"/>
    <n v="2"/>
    <x v="1"/>
    <n v="2"/>
    <s v="Married"/>
    <n v="6220"/>
    <n v="7346"/>
    <n v="1"/>
    <s v="Y"/>
    <x v="1"/>
    <n v="17"/>
    <n v="3"/>
    <n v="2"/>
    <n v="80"/>
    <n v="2"/>
    <n v="10"/>
    <n v="3"/>
    <n v="3"/>
    <n v="10"/>
    <n v="4"/>
    <n v="0"/>
    <n v="9"/>
    <x v="1"/>
    <n v="1"/>
    <x v="2"/>
    <x v="0"/>
    <s v="6-10 Years"/>
    <s v="Medium"/>
    <s v="Better"/>
  </r>
  <r>
    <x v="9"/>
    <s v="No"/>
    <s v="Travel_Rarely"/>
    <n v="132"/>
    <x v="1"/>
    <n v="6"/>
    <n v="3"/>
    <s v="Life Sciences"/>
    <n v="1"/>
    <n v="97"/>
    <n v="2"/>
    <x v="0"/>
    <n v="55"/>
    <n v="4"/>
    <n v="1"/>
    <x v="2"/>
    <n v="4"/>
    <s v="Married"/>
    <n v="3038"/>
    <n v="22002"/>
    <n v="3"/>
    <s v="Y"/>
    <x v="1"/>
    <n v="12"/>
    <n v="3"/>
    <n v="2"/>
    <n v="80"/>
    <n v="0"/>
    <n v="5"/>
    <n v="3"/>
    <n v="3"/>
    <n v="1"/>
    <n v="0"/>
    <n v="0"/>
    <n v="0"/>
    <x v="1"/>
    <n v="1"/>
    <x v="0"/>
    <x v="0"/>
    <s v="0-1 Years"/>
    <s v="Very High"/>
    <s v="Better"/>
  </r>
  <r>
    <x v="12"/>
    <s v="No"/>
    <s v="Travel_Rarely"/>
    <n v="746"/>
    <x v="1"/>
    <n v="8"/>
    <n v="4"/>
    <s v="Life Sciences"/>
    <n v="1"/>
    <n v="98"/>
    <n v="3"/>
    <x v="0"/>
    <n v="61"/>
    <n v="3"/>
    <n v="2"/>
    <x v="3"/>
    <n v="4"/>
    <s v="Single"/>
    <n v="4424"/>
    <n v="20682"/>
    <n v="1"/>
    <s v="Y"/>
    <x v="1"/>
    <n v="23"/>
    <n v="4"/>
    <n v="4"/>
    <n v="80"/>
    <n v="0"/>
    <n v="11"/>
    <n v="2"/>
    <n v="3"/>
    <n v="11"/>
    <n v="7"/>
    <n v="1"/>
    <n v="8"/>
    <x v="1"/>
    <n v="1"/>
    <x v="2"/>
    <x v="0"/>
    <s v="10+ Years"/>
    <s v="Very High"/>
    <s v="Better"/>
  </r>
  <r>
    <x v="10"/>
    <s v="No"/>
    <s v="Travel_Rarely"/>
    <n v="776"/>
    <x v="0"/>
    <n v="1"/>
    <n v="4"/>
    <s v="Marketing"/>
    <n v="1"/>
    <n v="100"/>
    <n v="3"/>
    <x v="1"/>
    <n v="32"/>
    <n v="2"/>
    <n v="2"/>
    <x v="0"/>
    <n v="1"/>
    <s v="Single"/>
    <n v="4312"/>
    <n v="23016"/>
    <n v="0"/>
    <s v="Y"/>
    <x v="1"/>
    <n v="14"/>
    <n v="3"/>
    <n v="2"/>
    <n v="80"/>
    <n v="0"/>
    <n v="16"/>
    <n v="2"/>
    <n v="3"/>
    <n v="15"/>
    <n v="13"/>
    <n v="2"/>
    <n v="8"/>
    <x v="1"/>
    <n v="1"/>
    <x v="0"/>
    <x v="0"/>
    <s v="10+ Years"/>
    <s v="Low"/>
    <s v="Better"/>
  </r>
  <r>
    <x v="28"/>
    <s v="No"/>
    <s v="Travel_Rarely"/>
    <n v="193"/>
    <x v="1"/>
    <n v="6"/>
    <n v="4"/>
    <s v="Other"/>
    <n v="1"/>
    <n v="101"/>
    <n v="4"/>
    <x v="1"/>
    <n v="52"/>
    <n v="3"/>
    <n v="3"/>
    <x v="7"/>
    <n v="1"/>
    <s v="Married"/>
    <n v="13245"/>
    <n v="15067"/>
    <n v="4"/>
    <s v="Y"/>
    <x v="0"/>
    <n v="14"/>
    <n v="3"/>
    <n v="2"/>
    <n v="80"/>
    <n v="0"/>
    <n v="17"/>
    <n v="3"/>
    <n v="4"/>
    <n v="0"/>
    <n v="0"/>
    <n v="0"/>
    <n v="0"/>
    <x v="1"/>
    <n v="1"/>
    <x v="1"/>
    <x v="2"/>
    <s v="0-1 Years"/>
    <s v="Low"/>
    <s v="Best"/>
  </r>
  <r>
    <x v="2"/>
    <s v="No"/>
    <s v="Travel_Rarely"/>
    <n v="397"/>
    <x v="1"/>
    <n v="7"/>
    <n v="4"/>
    <s v="Medical"/>
    <n v="1"/>
    <n v="102"/>
    <n v="1"/>
    <x v="1"/>
    <n v="30"/>
    <n v="3"/>
    <n v="3"/>
    <x v="7"/>
    <n v="3"/>
    <s v="Single"/>
    <n v="13664"/>
    <n v="25258"/>
    <n v="4"/>
    <s v="Y"/>
    <x v="1"/>
    <n v="13"/>
    <n v="3"/>
    <n v="1"/>
    <n v="80"/>
    <n v="0"/>
    <n v="16"/>
    <n v="3"/>
    <n v="4"/>
    <n v="5"/>
    <n v="2"/>
    <n v="0"/>
    <n v="2"/>
    <x v="1"/>
    <n v="1"/>
    <x v="0"/>
    <x v="2"/>
    <s v="2-5 Years"/>
    <s v="High"/>
    <s v="Best"/>
  </r>
  <r>
    <x v="21"/>
    <s v="No"/>
    <s v="Travel_Rarely"/>
    <n v="945"/>
    <x v="2"/>
    <n v="5"/>
    <n v="2"/>
    <s v="Medical"/>
    <n v="1"/>
    <n v="103"/>
    <n v="2"/>
    <x v="1"/>
    <n v="80"/>
    <n v="3"/>
    <n v="2"/>
    <x v="8"/>
    <n v="2"/>
    <s v="Divorced"/>
    <n v="5021"/>
    <n v="10425"/>
    <n v="8"/>
    <s v="Y"/>
    <x v="0"/>
    <n v="22"/>
    <n v="4"/>
    <n v="4"/>
    <n v="80"/>
    <n v="1"/>
    <n v="16"/>
    <n v="2"/>
    <n v="3"/>
    <n v="4"/>
    <n v="2"/>
    <n v="0"/>
    <n v="2"/>
    <x v="1"/>
    <n v="1"/>
    <x v="1"/>
    <x v="0"/>
    <s v="2-5 Years"/>
    <s v="Medium"/>
    <s v="Better"/>
  </r>
  <r>
    <x v="7"/>
    <s v="No"/>
    <s v="Travel_Rarely"/>
    <n v="852"/>
    <x v="1"/>
    <n v="1"/>
    <n v="1"/>
    <s v="Life Sciences"/>
    <n v="1"/>
    <n v="104"/>
    <n v="4"/>
    <x v="1"/>
    <n v="55"/>
    <n v="2"/>
    <n v="2"/>
    <x v="2"/>
    <n v="4"/>
    <s v="Married"/>
    <n v="5126"/>
    <n v="15998"/>
    <n v="1"/>
    <s v="Y"/>
    <x v="0"/>
    <n v="12"/>
    <n v="3"/>
    <n v="3"/>
    <n v="80"/>
    <n v="2"/>
    <n v="10"/>
    <n v="1"/>
    <n v="2"/>
    <n v="10"/>
    <n v="8"/>
    <n v="3"/>
    <n v="0"/>
    <x v="1"/>
    <n v="1"/>
    <x v="2"/>
    <x v="0"/>
    <s v="6-10 Years"/>
    <s v="Very High"/>
    <s v="Good"/>
  </r>
  <r>
    <x v="10"/>
    <s v="No"/>
    <s v="Travel_Rarely"/>
    <n v="1214"/>
    <x v="1"/>
    <n v="1"/>
    <n v="3"/>
    <s v="Medical"/>
    <n v="1"/>
    <n v="105"/>
    <n v="2"/>
    <x v="1"/>
    <n v="30"/>
    <n v="2"/>
    <n v="1"/>
    <x v="1"/>
    <n v="3"/>
    <s v="Single"/>
    <n v="2859"/>
    <n v="26278"/>
    <n v="1"/>
    <s v="Y"/>
    <x v="1"/>
    <n v="18"/>
    <n v="3"/>
    <n v="1"/>
    <n v="80"/>
    <n v="0"/>
    <n v="6"/>
    <n v="3"/>
    <n v="3"/>
    <n v="6"/>
    <n v="4"/>
    <n v="0"/>
    <n v="4"/>
    <x v="1"/>
    <n v="1"/>
    <x v="0"/>
    <x v="1"/>
    <s v="6-10 Years"/>
    <s v="High"/>
    <s v="Better"/>
  </r>
  <r>
    <x v="27"/>
    <s v="No"/>
    <s v="Travel_Rarely"/>
    <n v="111"/>
    <x v="0"/>
    <n v="1"/>
    <n v="2"/>
    <s v="Life Sciences"/>
    <n v="1"/>
    <n v="106"/>
    <n v="1"/>
    <x v="1"/>
    <n v="70"/>
    <n v="3"/>
    <n v="3"/>
    <x v="0"/>
    <n v="4"/>
    <s v="Married"/>
    <n v="10239"/>
    <n v="18092"/>
    <n v="3"/>
    <s v="Y"/>
    <x v="1"/>
    <n v="14"/>
    <n v="3"/>
    <n v="4"/>
    <n v="80"/>
    <n v="1"/>
    <n v="24"/>
    <n v="4"/>
    <n v="3"/>
    <n v="1"/>
    <n v="0"/>
    <n v="1"/>
    <n v="0"/>
    <x v="1"/>
    <n v="1"/>
    <x v="3"/>
    <x v="2"/>
    <s v="0-1 Years"/>
    <s v="Very High"/>
    <s v="Better"/>
  </r>
  <r>
    <x v="8"/>
    <s v="No"/>
    <s v="Non-Travel"/>
    <n v="573"/>
    <x v="1"/>
    <n v="6"/>
    <n v="3"/>
    <s v="Medical"/>
    <n v="1"/>
    <n v="107"/>
    <n v="2"/>
    <x v="0"/>
    <n v="79"/>
    <n v="1"/>
    <n v="2"/>
    <x v="1"/>
    <n v="4"/>
    <s v="Divorced"/>
    <n v="5329"/>
    <n v="15717"/>
    <n v="7"/>
    <s v="Y"/>
    <x v="0"/>
    <n v="12"/>
    <n v="3"/>
    <n v="4"/>
    <n v="80"/>
    <n v="3"/>
    <n v="17"/>
    <n v="3"/>
    <n v="3"/>
    <n v="13"/>
    <n v="11"/>
    <n v="1"/>
    <n v="9"/>
    <x v="1"/>
    <n v="1"/>
    <x v="0"/>
    <x v="0"/>
    <s v="10+ Years"/>
    <s v="Very High"/>
    <s v="Better"/>
  </r>
  <r>
    <x v="13"/>
    <s v="No"/>
    <s v="Travel_Rarely"/>
    <n v="1153"/>
    <x v="1"/>
    <n v="1"/>
    <n v="2"/>
    <s v="Medical"/>
    <n v="1"/>
    <n v="110"/>
    <n v="1"/>
    <x v="1"/>
    <n v="94"/>
    <n v="3"/>
    <n v="2"/>
    <x v="3"/>
    <n v="2"/>
    <s v="Married"/>
    <n v="4325"/>
    <n v="17736"/>
    <n v="1"/>
    <s v="Y"/>
    <x v="1"/>
    <n v="15"/>
    <n v="3"/>
    <n v="3"/>
    <n v="80"/>
    <n v="0"/>
    <n v="5"/>
    <n v="2"/>
    <n v="3"/>
    <n v="5"/>
    <n v="2"/>
    <n v="1"/>
    <n v="3"/>
    <x v="1"/>
    <n v="1"/>
    <x v="2"/>
    <x v="0"/>
    <s v="2-5 Years"/>
    <s v="Medium"/>
    <s v="Better"/>
  </r>
  <r>
    <x v="29"/>
    <s v="No"/>
    <s v="Travel_Rarely"/>
    <n v="1400"/>
    <x v="1"/>
    <n v="7"/>
    <n v="3"/>
    <s v="Life Sciences"/>
    <n v="1"/>
    <n v="112"/>
    <n v="4"/>
    <x v="1"/>
    <n v="49"/>
    <n v="1"/>
    <n v="3"/>
    <x v="3"/>
    <n v="4"/>
    <s v="Single"/>
    <n v="7260"/>
    <n v="21698"/>
    <n v="4"/>
    <s v="Y"/>
    <x v="1"/>
    <n v="11"/>
    <n v="3"/>
    <n v="1"/>
    <n v="80"/>
    <n v="0"/>
    <n v="37"/>
    <n v="3"/>
    <n v="2"/>
    <n v="6"/>
    <n v="4"/>
    <n v="0"/>
    <n v="2"/>
    <x v="1"/>
    <n v="1"/>
    <x v="3"/>
    <x v="2"/>
    <s v="6-10 Years"/>
    <s v="Very High"/>
    <s v="Good"/>
  </r>
  <r>
    <x v="30"/>
    <s v="No"/>
    <s v="Travel_Rarely"/>
    <n v="541"/>
    <x v="0"/>
    <n v="2"/>
    <n v="1"/>
    <s v="Technical Degree"/>
    <n v="1"/>
    <n v="113"/>
    <n v="3"/>
    <x v="1"/>
    <n v="62"/>
    <n v="3"/>
    <n v="1"/>
    <x v="6"/>
    <n v="1"/>
    <s v="Divorced"/>
    <n v="2322"/>
    <n v="9518"/>
    <n v="3"/>
    <s v="Y"/>
    <x v="1"/>
    <n v="13"/>
    <n v="3"/>
    <n v="3"/>
    <n v="80"/>
    <n v="1"/>
    <n v="3"/>
    <n v="3"/>
    <n v="3"/>
    <n v="0"/>
    <n v="0"/>
    <n v="0"/>
    <n v="0"/>
    <x v="1"/>
    <n v="1"/>
    <x v="4"/>
    <x v="1"/>
    <s v="0-1 Years"/>
    <s v="Low"/>
    <s v="Better"/>
  </r>
  <r>
    <x v="31"/>
    <s v="No"/>
    <s v="Travel_Rarely"/>
    <n v="432"/>
    <x v="1"/>
    <n v="9"/>
    <n v="4"/>
    <s v="Life Sciences"/>
    <n v="1"/>
    <n v="116"/>
    <n v="4"/>
    <x v="1"/>
    <n v="96"/>
    <n v="3"/>
    <n v="1"/>
    <x v="2"/>
    <n v="4"/>
    <s v="Married"/>
    <n v="2075"/>
    <n v="18725"/>
    <n v="3"/>
    <s v="Y"/>
    <x v="1"/>
    <n v="23"/>
    <n v="4"/>
    <n v="2"/>
    <n v="80"/>
    <n v="2"/>
    <n v="10"/>
    <n v="4"/>
    <n v="3"/>
    <n v="4"/>
    <n v="2"/>
    <n v="0"/>
    <n v="3"/>
    <x v="1"/>
    <n v="1"/>
    <x v="1"/>
    <x v="1"/>
    <s v="2-5 Years"/>
    <s v="Very High"/>
    <s v="Better"/>
  </r>
  <r>
    <x v="7"/>
    <s v="No"/>
    <s v="Travel_Rarely"/>
    <n v="288"/>
    <x v="1"/>
    <n v="2"/>
    <n v="3"/>
    <s v="Life Sciences"/>
    <n v="1"/>
    <n v="117"/>
    <n v="3"/>
    <x v="1"/>
    <n v="99"/>
    <n v="2"/>
    <n v="2"/>
    <x v="4"/>
    <n v="4"/>
    <s v="Married"/>
    <n v="4152"/>
    <n v="15830"/>
    <n v="1"/>
    <s v="Y"/>
    <x v="1"/>
    <n v="19"/>
    <n v="3"/>
    <n v="1"/>
    <n v="80"/>
    <n v="3"/>
    <n v="11"/>
    <n v="3"/>
    <n v="3"/>
    <n v="11"/>
    <n v="10"/>
    <n v="10"/>
    <n v="8"/>
    <x v="1"/>
    <n v="1"/>
    <x v="2"/>
    <x v="0"/>
    <s v="10+ Years"/>
    <s v="Very High"/>
    <s v="Better"/>
  </r>
  <r>
    <x v="21"/>
    <s v="Yes"/>
    <s v="Travel_Rarely"/>
    <n v="669"/>
    <x v="0"/>
    <n v="9"/>
    <n v="2"/>
    <s v="Medical"/>
    <n v="1"/>
    <n v="118"/>
    <n v="3"/>
    <x v="1"/>
    <n v="64"/>
    <n v="2"/>
    <n v="3"/>
    <x v="0"/>
    <n v="4"/>
    <s v="Single"/>
    <n v="9619"/>
    <n v="13596"/>
    <n v="1"/>
    <s v="Y"/>
    <x v="1"/>
    <n v="16"/>
    <n v="3"/>
    <n v="4"/>
    <n v="80"/>
    <n v="0"/>
    <n v="9"/>
    <n v="3"/>
    <n v="3"/>
    <n v="9"/>
    <n v="8"/>
    <n v="4"/>
    <n v="7"/>
    <x v="0"/>
    <n v="0"/>
    <x v="1"/>
    <x v="2"/>
    <s v="6-10 Years"/>
    <s v="Very High"/>
    <s v="Better"/>
  </r>
  <r>
    <x v="32"/>
    <s v="No"/>
    <s v="Travel_Frequently"/>
    <n v="530"/>
    <x v="1"/>
    <n v="1"/>
    <n v="4"/>
    <s v="Life Sciences"/>
    <n v="1"/>
    <n v="119"/>
    <n v="3"/>
    <x v="1"/>
    <n v="78"/>
    <n v="2"/>
    <n v="4"/>
    <x v="4"/>
    <n v="2"/>
    <s v="Married"/>
    <n v="13503"/>
    <n v="14115"/>
    <n v="1"/>
    <s v="Y"/>
    <x v="1"/>
    <n v="22"/>
    <n v="4"/>
    <n v="4"/>
    <n v="80"/>
    <n v="1"/>
    <n v="22"/>
    <n v="3"/>
    <n v="2"/>
    <n v="22"/>
    <n v="3"/>
    <n v="11"/>
    <n v="11"/>
    <x v="1"/>
    <n v="1"/>
    <x v="0"/>
    <x v="2"/>
    <s v="10+ Years"/>
    <s v="Medium"/>
    <s v="Good"/>
  </r>
  <r>
    <x v="31"/>
    <s v="No"/>
    <s v="Travel_Rarely"/>
    <n v="632"/>
    <x v="0"/>
    <n v="21"/>
    <n v="4"/>
    <s v="Marketing"/>
    <n v="1"/>
    <n v="120"/>
    <n v="3"/>
    <x v="1"/>
    <n v="71"/>
    <n v="3"/>
    <n v="2"/>
    <x v="0"/>
    <n v="4"/>
    <s v="Single"/>
    <n v="5441"/>
    <n v="8423"/>
    <n v="0"/>
    <s v="Y"/>
    <x v="0"/>
    <n v="22"/>
    <n v="4"/>
    <n v="4"/>
    <n v="80"/>
    <n v="0"/>
    <n v="11"/>
    <n v="2"/>
    <n v="1"/>
    <n v="10"/>
    <n v="7"/>
    <n v="1"/>
    <n v="0"/>
    <x v="1"/>
    <n v="1"/>
    <x v="1"/>
    <x v="0"/>
    <s v="6-10 Years"/>
    <s v="Very High"/>
    <s v="Bad"/>
  </r>
  <r>
    <x v="7"/>
    <s v="No"/>
    <s v="Travel_Rarely"/>
    <n v="1334"/>
    <x v="0"/>
    <n v="4"/>
    <n v="2"/>
    <s v="Medical"/>
    <n v="1"/>
    <n v="121"/>
    <n v="3"/>
    <x v="0"/>
    <n v="63"/>
    <n v="2"/>
    <n v="2"/>
    <x v="0"/>
    <n v="2"/>
    <s v="Divorced"/>
    <n v="5209"/>
    <n v="19760"/>
    <n v="1"/>
    <s v="Y"/>
    <x v="0"/>
    <n v="12"/>
    <n v="3"/>
    <n v="2"/>
    <n v="80"/>
    <n v="3"/>
    <n v="11"/>
    <n v="4"/>
    <n v="2"/>
    <n v="11"/>
    <n v="8"/>
    <n v="2"/>
    <n v="7"/>
    <x v="1"/>
    <n v="1"/>
    <x v="2"/>
    <x v="0"/>
    <s v="10+ Years"/>
    <s v="Medium"/>
    <s v="Good"/>
  </r>
  <r>
    <x v="21"/>
    <s v="No"/>
    <s v="Travel_Frequently"/>
    <n v="638"/>
    <x v="1"/>
    <n v="1"/>
    <n v="3"/>
    <s v="Medical"/>
    <n v="1"/>
    <n v="124"/>
    <n v="3"/>
    <x v="1"/>
    <n v="40"/>
    <n v="2"/>
    <n v="3"/>
    <x v="4"/>
    <n v="1"/>
    <s v="Married"/>
    <n v="10673"/>
    <n v="3142"/>
    <n v="2"/>
    <s v="Y"/>
    <x v="0"/>
    <n v="13"/>
    <n v="3"/>
    <n v="3"/>
    <n v="80"/>
    <n v="1"/>
    <n v="21"/>
    <n v="5"/>
    <n v="2"/>
    <n v="10"/>
    <n v="9"/>
    <n v="9"/>
    <n v="5"/>
    <x v="1"/>
    <n v="1"/>
    <x v="1"/>
    <x v="2"/>
    <s v="6-10 Years"/>
    <s v="Low"/>
    <s v="Good"/>
  </r>
  <r>
    <x v="5"/>
    <s v="No"/>
    <s v="Travel_Rarely"/>
    <n v="1093"/>
    <x v="0"/>
    <n v="6"/>
    <n v="4"/>
    <s v="Medical"/>
    <n v="1"/>
    <n v="125"/>
    <n v="2"/>
    <x v="1"/>
    <n v="87"/>
    <n v="3"/>
    <n v="2"/>
    <x v="0"/>
    <n v="3"/>
    <s v="Single"/>
    <n v="5010"/>
    <n v="24301"/>
    <n v="1"/>
    <s v="Y"/>
    <x v="1"/>
    <n v="16"/>
    <n v="3"/>
    <n v="1"/>
    <n v="80"/>
    <n v="0"/>
    <n v="12"/>
    <n v="0"/>
    <n v="3"/>
    <n v="11"/>
    <n v="8"/>
    <n v="5"/>
    <n v="7"/>
    <x v="1"/>
    <n v="1"/>
    <x v="2"/>
    <x v="0"/>
    <s v="10+ Years"/>
    <s v="High"/>
    <s v="Better"/>
  </r>
  <r>
    <x v="33"/>
    <s v="No"/>
    <s v="Travel_Rarely"/>
    <n v="1217"/>
    <x v="1"/>
    <n v="2"/>
    <n v="4"/>
    <s v="Technical Degree"/>
    <n v="1"/>
    <n v="126"/>
    <n v="1"/>
    <x v="0"/>
    <n v="60"/>
    <n v="3"/>
    <n v="3"/>
    <x v="7"/>
    <n v="3"/>
    <s v="Married"/>
    <n v="13549"/>
    <n v="24001"/>
    <n v="9"/>
    <s v="Y"/>
    <x v="1"/>
    <n v="12"/>
    <n v="3"/>
    <n v="1"/>
    <n v="80"/>
    <n v="1"/>
    <n v="16"/>
    <n v="5"/>
    <n v="1"/>
    <n v="4"/>
    <n v="3"/>
    <n v="0"/>
    <n v="3"/>
    <x v="1"/>
    <n v="1"/>
    <x v="1"/>
    <x v="2"/>
    <s v="2-5 Years"/>
    <s v="High"/>
    <s v="Bad"/>
  </r>
  <r>
    <x v="17"/>
    <s v="No"/>
    <s v="Travel_Rarely"/>
    <n v="1353"/>
    <x v="0"/>
    <n v="3"/>
    <n v="2"/>
    <s v="Other"/>
    <n v="1"/>
    <n v="128"/>
    <n v="1"/>
    <x v="0"/>
    <n v="33"/>
    <n v="3"/>
    <n v="2"/>
    <x v="0"/>
    <n v="3"/>
    <s v="Married"/>
    <n v="4999"/>
    <n v="17519"/>
    <n v="0"/>
    <s v="Y"/>
    <x v="1"/>
    <n v="21"/>
    <n v="4"/>
    <n v="1"/>
    <n v="80"/>
    <n v="1"/>
    <n v="4"/>
    <n v="2"/>
    <n v="2"/>
    <n v="3"/>
    <n v="2"/>
    <n v="0"/>
    <n v="2"/>
    <x v="1"/>
    <n v="1"/>
    <x v="4"/>
    <x v="0"/>
    <s v="2-5 Years"/>
    <s v="High"/>
    <s v="Good"/>
  </r>
  <r>
    <x v="14"/>
    <s v="No"/>
    <s v="Non-Travel"/>
    <n v="120"/>
    <x v="0"/>
    <n v="4"/>
    <n v="3"/>
    <s v="Medical"/>
    <n v="1"/>
    <n v="129"/>
    <n v="2"/>
    <x v="1"/>
    <n v="43"/>
    <n v="3"/>
    <n v="2"/>
    <x v="0"/>
    <n v="3"/>
    <s v="Married"/>
    <n v="4221"/>
    <n v="8863"/>
    <n v="1"/>
    <s v="Y"/>
    <x v="1"/>
    <n v="15"/>
    <n v="3"/>
    <n v="2"/>
    <n v="80"/>
    <n v="0"/>
    <n v="5"/>
    <n v="3"/>
    <n v="4"/>
    <n v="5"/>
    <n v="4"/>
    <n v="0"/>
    <n v="4"/>
    <x v="1"/>
    <n v="1"/>
    <x v="2"/>
    <x v="0"/>
    <s v="2-5 Years"/>
    <s v="High"/>
    <s v="Best"/>
  </r>
  <r>
    <x v="34"/>
    <s v="No"/>
    <s v="Travel_Rarely"/>
    <n v="682"/>
    <x v="0"/>
    <n v="10"/>
    <n v="4"/>
    <s v="Medical"/>
    <n v="1"/>
    <n v="131"/>
    <n v="4"/>
    <x v="1"/>
    <n v="37"/>
    <n v="3"/>
    <n v="4"/>
    <x v="0"/>
    <n v="3"/>
    <s v="Single"/>
    <n v="13872"/>
    <n v="24409"/>
    <n v="0"/>
    <s v="Y"/>
    <x v="1"/>
    <n v="13"/>
    <n v="3"/>
    <n v="3"/>
    <n v="80"/>
    <n v="0"/>
    <n v="38"/>
    <n v="1"/>
    <n v="2"/>
    <n v="37"/>
    <n v="10"/>
    <n v="1"/>
    <n v="8"/>
    <x v="1"/>
    <n v="1"/>
    <x v="3"/>
    <x v="2"/>
    <s v="10+ Years"/>
    <s v="High"/>
    <s v="Good"/>
  </r>
  <r>
    <x v="20"/>
    <s v="No"/>
    <s v="Non-Travel"/>
    <n v="489"/>
    <x v="1"/>
    <n v="23"/>
    <n v="3"/>
    <s v="Medical"/>
    <n v="1"/>
    <n v="132"/>
    <n v="2"/>
    <x v="1"/>
    <n v="67"/>
    <n v="3"/>
    <n v="2"/>
    <x v="2"/>
    <n v="2"/>
    <s v="Married"/>
    <n v="2042"/>
    <n v="25043"/>
    <n v="4"/>
    <s v="Y"/>
    <x v="1"/>
    <n v="12"/>
    <n v="3"/>
    <n v="3"/>
    <n v="80"/>
    <n v="1"/>
    <n v="17"/>
    <n v="3"/>
    <n v="4"/>
    <n v="3"/>
    <n v="2"/>
    <n v="1"/>
    <n v="2"/>
    <x v="1"/>
    <n v="1"/>
    <x v="0"/>
    <x v="1"/>
    <s v="2-5 Years"/>
    <s v="Medium"/>
    <s v="Best"/>
  </r>
  <r>
    <x v="2"/>
    <s v="Yes"/>
    <s v="Travel_Rarely"/>
    <n v="807"/>
    <x v="2"/>
    <n v="6"/>
    <n v="4"/>
    <s v="Human Resources"/>
    <n v="1"/>
    <n v="133"/>
    <n v="3"/>
    <x v="1"/>
    <n v="63"/>
    <n v="3"/>
    <n v="1"/>
    <x v="8"/>
    <n v="1"/>
    <s v="Divorced"/>
    <n v="2073"/>
    <n v="23648"/>
    <n v="4"/>
    <s v="Y"/>
    <x v="0"/>
    <n v="22"/>
    <n v="4"/>
    <n v="4"/>
    <n v="80"/>
    <n v="0"/>
    <n v="7"/>
    <n v="3"/>
    <n v="3"/>
    <n v="3"/>
    <n v="2"/>
    <n v="0"/>
    <n v="2"/>
    <x v="0"/>
    <n v="0"/>
    <x v="0"/>
    <x v="1"/>
    <s v="2-5 Years"/>
    <s v="Low"/>
    <s v="Better"/>
  </r>
  <r>
    <x v="5"/>
    <s v="No"/>
    <s v="Travel_Rarely"/>
    <n v="827"/>
    <x v="1"/>
    <n v="1"/>
    <n v="1"/>
    <s v="Life Sciences"/>
    <n v="1"/>
    <n v="134"/>
    <n v="4"/>
    <x v="1"/>
    <n v="71"/>
    <n v="3"/>
    <n v="1"/>
    <x v="1"/>
    <n v="1"/>
    <s v="Single"/>
    <n v="2956"/>
    <n v="15178"/>
    <n v="1"/>
    <s v="Y"/>
    <x v="1"/>
    <n v="13"/>
    <n v="3"/>
    <n v="4"/>
    <n v="80"/>
    <n v="0"/>
    <n v="1"/>
    <n v="2"/>
    <n v="3"/>
    <n v="1"/>
    <n v="0"/>
    <n v="0"/>
    <n v="0"/>
    <x v="1"/>
    <n v="1"/>
    <x v="2"/>
    <x v="1"/>
    <s v="0-1 Years"/>
    <s v="Low"/>
    <s v="Better"/>
  </r>
  <r>
    <x v="35"/>
    <s v="Yes"/>
    <s v="Travel_Frequently"/>
    <n v="871"/>
    <x v="1"/>
    <n v="6"/>
    <n v="3"/>
    <s v="Life Sciences"/>
    <n v="1"/>
    <n v="137"/>
    <n v="4"/>
    <x v="0"/>
    <n v="66"/>
    <n v="2"/>
    <n v="1"/>
    <x v="2"/>
    <n v="4"/>
    <s v="Single"/>
    <n v="2926"/>
    <n v="19783"/>
    <n v="1"/>
    <s v="Y"/>
    <x v="0"/>
    <n v="18"/>
    <n v="3"/>
    <n v="2"/>
    <n v="80"/>
    <n v="0"/>
    <n v="1"/>
    <n v="5"/>
    <n v="3"/>
    <n v="1"/>
    <n v="0"/>
    <n v="1"/>
    <n v="0"/>
    <x v="0"/>
    <n v="0"/>
    <x v="4"/>
    <x v="1"/>
    <s v="0-1 Years"/>
    <s v="Very High"/>
    <s v="Better"/>
  </r>
  <r>
    <x v="13"/>
    <s v="No"/>
    <s v="Travel_Rarely"/>
    <n v="665"/>
    <x v="1"/>
    <n v="6"/>
    <n v="4"/>
    <s v="Other"/>
    <n v="1"/>
    <n v="138"/>
    <n v="1"/>
    <x v="0"/>
    <n v="41"/>
    <n v="3"/>
    <n v="2"/>
    <x v="1"/>
    <n v="3"/>
    <s v="Single"/>
    <n v="4809"/>
    <n v="12482"/>
    <n v="1"/>
    <s v="Y"/>
    <x v="1"/>
    <n v="14"/>
    <n v="3"/>
    <n v="3"/>
    <n v="80"/>
    <n v="0"/>
    <n v="16"/>
    <n v="3"/>
    <n v="3"/>
    <n v="16"/>
    <n v="13"/>
    <n v="2"/>
    <n v="10"/>
    <x v="1"/>
    <n v="1"/>
    <x v="2"/>
    <x v="0"/>
    <s v="10+ Years"/>
    <s v="High"/>
    <s v="Better"/>
  </r>
  <r>
    <x v="2"/>
    <s v="No"/>
    <s v="Non-Travel"/>
    <n v="1040"/>
    <x v="1"/>
    <n v="2"/>
    <n v="2"/>
    <s v="Life Sciences"/>
    <n v="1"/>
    <n v="139"/>
    <n v="3"/>
    <x v="1"/>
    <n v="100"/>
    <n v="2"/>
    <n v="2"/>
    <x v="4"/>
    <n v="4"/>
    <s v="Divorced"/>
    <n v="5163"/>
    <n v="15850"/>
    <n v="5"/>
    <s v="Y"/>
    <x v="1"/>
    <n v="14"/>
    <n v="3"/>
    <n v="4"/>
    <n v="80"/>
    <n v="1"/>
    <n v="17"/>
    <n v="2"/>
    <n v="4"/>
    <n v="1"/>
    <n v="0"/>
    <n v="0"/>
    <n v="0"/>
    <x v="1"/>
    <n v="1"/>
    <x v="0"/>
    <x v="0"/>
    <s v="0-1 Years"/>
    <s v="Very High"/>
    <s v="Best"/>
  </r>
  <r>
    <x v="6"/>
    <s v="No"/>
    <s v="Non-Travel"/>
    <n v="1420"/>
    <x v="2"/>
    <n v="2"/>
    <n v="4"/>
    <s v="Human Resources"/>
    <n v="1"/>
    <n v="140"/>
    <n v="3"/>
    <x v="0"/>
    <n v="32"/>
    <n v="2"/>
    <n v="5"/>
    <x v="5"/>
    <n v="4"/>
    <s v="Married"/>
    <n v="18844"/>
    <n v="21922"/>
    <n v="9"/>
    <s v="Y"/>
    <x v="1"/>
    <n v="21"/>
    <n v="4"/>
    <n v="4"/>
    <n v="80"/>
    <n v="1"/>
    <n v="30"/>
    <n v="3"/>
    <n v="3"/>
    <n v="3"/>
    <n v="2"/>
    <n v="2"/>
    <n v="2"/>
    <x v="1"/>
    <n v="1"/>
    <x v="3"/>
    <x v="2"/>
    <s v="2-5 Years"/>
    <s v="Very High"/>
    <s v="Better"/>
  </r>
  <r>
    <x v="24"/>
    <s v="No"/>
    <s v="Travel_Frequently"/>
    <n v="1115"/>
    <x v="1"/>
    <n v="1"/>
    <n v="3"/>
    <s v="Life Sciences"/>
    <n v="1"/>
    <n v="141"/>
    <n v="1"/>
    <x v="0"/>
    <n v="73"/>
    <n v="3"/>
    <n v="5"/>
    <x v="7"/>
    <n v="2"/>
    <s v="Married"/>
    <n v="18172"/>
    <n v="9755"/>
    <n v="3"/>
    <s v="Y"/>
    <x v="0"/>
    <n v="19"/>
    <n v="3"/>
    <n v="1"/>
    <n v="80"/>
    <n v="0"/>
    <n v="28"/>
    <n v="1"/>
    <n v="2"/>
    <n v="8"/>
    <n v="3"/>
    <n v="0"/>
    <n v="7"/>
    <x v="1"/>
    <n v="1"/>
    <x v="1"/>
    <x v="2"/>
    <s v="6-10 Years"/>
    <s v="Medium"/>
    <s v="Good"/>
  </r>
  <r>
    <x v="36"/>
    <s v="Yes"/>
    <s v="Travel_Rarely"/>
    <n v="240"/>
    <x v="0"/>
    <n v="5"/>
    <n v="3"/>
    <s v="Marketing"/>
    <n v="1"/>
    <n v="142"/>
    <n v="3"/>
    <x v="1"/>
    <n v="46"/>
    <n v="2"/>
    <n v="2"/>
    <x v="0"/>
    <n v="3"/>
    <s v="Single"/>
    <n v="5744"/>
    <n v="26959"/>
    <n v="1"/>
    <s v="Y"/>
    <x v="0"/>
    <n v="11"/>
    <n v="3"/>
    <n v="4"/>
    <n v="80"/>
    <n v="0"/>
    <n v="6"/>
    <n v="1"/>
    <n v="3"/>
    <n v="6"/>
    <n v="4"/>
    <n v="0"/>
    <n v="3"/>
    <x v="0"/>
    <n v="0"/>
    <x v="2"/>
    <x v="0"/>
    <s v="6-10 Years"/>
    <s v="High"/>
    <s v="Better"/>
  </r>
  <r>
    <x v="36"/>
    <s v="No"/>
    <s v="Travel_Rarely"/>
    <n v="1280"/>
    <x v="1"/>
    <n v="7"/>
    <n v="1"/>
    <s v="Medical"/>
    <n v="1"/>
    <n v="143"/>
    <n v="4"/>
    <x v="1"/>
    <n v="64"/>
    <n v="2"/>
    <n v="1"/>
    <x v="1"/>
    <n v="4"/>
    <s v="Married"/>
    <n v="2889"/>
    <n v="26897"/>
    <n v="1"/>
    <s v="Y"/>
    <x v="1"/>
    <n v="11"/>
    <n v="3"/>
    <n v="3"/>
    <n v="80"/>
    <n v="2"/>
    <n v="2"/>
    <n v="2"/>
    <n v="3"/>
    <n v="2"/>
    <n v="2"/>
    <n v="2"/>
    <n v="1"/>
    <x v="1"/>
    <n v="1"/>
    <x v="2"/>
    <x v="1"/>
    <s v="2-5 Years"/>
    <s v="Very High"/>
    <s v="Better"/>
  </r>
  <r>
    <x v="15"/>
    <s v="No"/>
    <s v="Travel_Rarely"/>
    <n v="534"/>
    <x v="1"/>
    <n v="15"/>
    <n v="3"/>
    <s v="Medical"/>
    <n v="1"/>
    <n v="144"/>
    <n v="2"/>
    <x v="0"/>
    <n v="59"/>
    <n v="3"/>
    <n v="1"/>
    <x v="2"/>
    <n v="4"/>
    <s v="Single"/>
    <n v="2871"/>
    <n v="23785"/>
    <n v="1"/>
    <s v="Y"/>
    <x v="1"/>
    <n v="15"/>
    <n v="3"/>
    <n v="3"/>
    <n v="80"/>
    <n v="0"/>
    <n v="1"/>
    <n v="5"/>
    <n v="3"/>
    <n v="0"/>
    <n v="0"/>
    <n v="0"/>
    <n v="0"/>
    <x v="1"/>
    <n v="1"/>
    <x v="4"/>
    <x v="1"/>
    <s v="0-1 Years"/>
    <s v="Very High"/>
    <s v="Better"/>
  </r>
  <r>
    <x v="31"/>
    <s v="No"/>
    <s v="Travel_Frequently"/>
    <n v="1456"/>
    <x v="1"/>
    <n v="1"/>
    <n v="4"/>
    <s v="Medical"/>
    <n v="1"/>
    <n v="145"/>
    <n v="1"/>
    <x v="0"/>
    <n v="30"/>
    <n v="2"/>
    <n v="3"/>
    <x v="4"/>
    <n v="1"/>
    <s v="Single"/>
    <n v="7484"/>
    <n v="25796"/>
    <n v="3"/>
    <s v="Y"/>
    <x v="1"/>
    <n v="20"/>
    <n v="4"/>
    <n v="3"/>
    <n v="80"/>
    <n v="0"/>
    <n v="23"/>
    <n v="1"/>
    <n v="2"/>
    <n v="13"/>
    <n v="12"/>
    <n v="12"/>
    <n v="8"/>
    <x v="1"/>
    <n v="1"/>
    <x v="1"/>
    <x v="2"/>
    <s v="10+ Years"/>
    <s v="Low"/>
    <s v="Good"/>
  </r>
  <r>
    <x v="13"/>
    <s v="Yes"/>
    <s v="Travel_Frequently"/>
    <n v="658"/>
    <x v="1"/>
    <n v="7"/>
    <n v="3"/>
    <s v="Life Sciences"/>
    <n v="1"/>
    <n v="147"/>
    <n v="1"/>
    <x v="1"/>
    <n v="66"/>
    <n v="1"/>
    <n v="2"/>
    <x v="2"/>
    <n v="3"/>
    <s v="Single"/>
    <n v="6074"/>
    <n v="22887"/>
    <n v="1"/>
    <s v="Y"/>
    <x v="0"/>
    <n v="24"/>
    <n v="4"/>
    <n v="4"/>
    <n v="80"/>
    <n v="0"/>
    <n v="9"/>
    <n v="3"/>
    <n v="3"/>
    <n v="9"/>
    <n v="7"/>
    <n v="0"/>
    <n v="6"/>
    <x v="0"/>
    <n v="0"/>
    <x v="2"/>
    <x v="0"/>
    <s v="6-10 Years"/>
    <s v="High"/>
    <s v="Better"/>
  </r>
  <r>
    <x v="33"/>
    <s v="No"/>
    <s v="Non-Travel"/>
    <n v="142"/>
    <x v="2"/>
    <n v="26"/>
    <n v="3"/>
    <s v="Human Resources"/>
    <n v="1"/>
    <n v="148"/>
    <n v="4"/>
    <x v="0"/>
    <n v="30"/>
    <n v="4"/>
    <n v="4"/>
    <x v="5"/>
    <n v="4"/>
    <s v="Single"/>
    <n v="17328"/>
    <n v="13871"/>
    <n v="2"/>
    <s v="Y"/>
    <x v="0"/>
    <n v="12"/>
    <n v="3"/>
    <n v="3"/>
    <n v="80"/>
    <n v="0"/>
    <n v="23"/>
    <n v="3"/>
    <n v="3"/>
    <n v="5"/>
    <n v="3"/>
    <n v="4"/>
    <n v="4"/>
    <x v="1"/>
    <n v="1"/>
    <x v="1"/>
    <x v="2"/>
    <s v="2-5 Years"/>
    <s v="Very High"/>
    <s v="Better"/>
  </r>
  <r>
    <x v="17"/>
    <s v="No"/>
    <s v="Travel_Rarely"/>
    <n v="1127"/>
    <x v="1"/>
    <n v="18"/>
    <n v="1"/>
    <s v="Life Sciences"/>
    <n v="1"/>
    <n v="150"/>
    <n v="2"/>
    <x v="1"/>
    <n v="52"/>
    <n v="3"/>
    <n v="1"/>
    <x v="2"/>
    <n v="3"/>
    <s v="Married"/>
    <n v="2774"/>
    <n v="13257"/>
    <n v="0"/>
    <s v="Y"/>
    <x v="1"/>
    <n v="12"/>
    <n v="3"/>
    <n v="3"/>
    <n v="80"/>
    <n v="1"/>
    <n v="6"/>
    <n v="2"/>
    <n v="3"/>
    <n v="5"/>
    <n v="3"/>
    <n v="1"/>
    <n v="2"/>
    <x v="1"/>
    <n v="1"/>
    <x v="4"/>
    <x v="1"/>
    <s v="2-5 Years"/>
    <s v="High"/>
    <s v="Better"/>
  </r>
  <r>
    <x v="13"/>
    <s v="No"/>
    <s v="Travel_Rarely"/>
    <n v="1031"/>
    <x v="1"/>
    <n v="6"/>
    <n v="4"/>
    <s v="Life Sciences"/>
    <n v="1"/>
    <n v="151"/>
    <n v="3"/>
    <x v="0"/>
    <n v="45"/>
    <n v="2"/>
    <n v="2"/>
    <x v="1"/>
    <n v="2"/>
    <s v="Divorced"/>
    <n v="4505"/>
    <n v="15000"/>
    <n v="6"/>
    <s v="Y"/>
    <x v="1"/>
    <n v="15"/>
    <n v="3"/>
    <n v="3"/>
    <n v="80"/>
    <n v="1"/>
    <n v="12"/>
    <n v="3"/>
    <n v="3"/>
    <n v="1"/>
    <n v="0"/>
    <n v="0"/>
    <n v="0"/>
    <x v="1"/>
    <n v="1"/>
    <x v="2"/>
    <x v="0"/>
    <s v="0-1 Years"/>
    <s v="Medium"/>
    <s v="Better"/>
  </r>
  <r>
    <x v="2"/>
    <s v="No"/>
    <s v="Travel_Rarely"/>
    <n v="1189"/>
    <x v="0"/>
    <n v="3"/>
    <n v="3"/>
    <s v="Life Sciences"/>
    <n v="1"/>
    <n v="152"/>
    <n v="3"/>
    <x v="1"/>
    <n v="87"/>
    <n v="3"/>
    <n v="3"/>
    <x v="0"/>
    <n v="4"/>
    <s v="Single"/>
    <n v="7428"/>
    <n v="14506"/>
    <n v="2"/>
    <s v="Y"/>
    <x v="1"/>
    <n v="12"/>
    <n v="3"/>
    <n v="1"/>
    <n v="80"/>
    <n v="0"/>
    <n v="12"/>
    <n v="3"/>
    <n v="3"/>
    <n v="5"/>
    <n v="3"/>
    <n v="1"/>
    <n v="3"/>
    <x v="1"/>
    <n v="1"/>
    <x v="0"/>
    <x v="2"/>
    <s v="2-5 Years"/>
    <s v="Very High"/>
    <s v="Better"/>
  </r>
  <r>
    <x v="13"/>
    <s v="No"/>
    <s v="Travel_Rarely"/>
    <n v="1354"/>
    <x v="1"/>
    <n v="5"/>
    <n v="3"/>
    <s v="Medical"/>
    <n v="1"/>
    <n v="153"/>
    <n v="3"/>
    <x v="0"/>
    <n v="45"/>
    <n v="2"/>
    <n v="3"/>
    <x v="5"/>
    <n v="1"/>
    <s v="Single"/>
    <n v="11631"/>
    <n v="5615"/>
    <n v="2"/>
    <s v="Y"/>
    <x v="1"/>
    <n v="12"/>
    <n v="3"/>
    <n v="4"/>
    <n v="80"/>
    <n v="0"/>
    <n v="14"/>
    <n v="6"/>
    <n v="3"/>
    <n v="11"/>
    <n v="10"/>
    <n v="5"/>
    <n v="8"/>
    <x v="1"/>
    <n v="1"/>
    <x v="2"/>
    <x v="2"/>
    <s v="10+ Years"/>
    <s v="Low"/>
    <s v="Better"/>
  </r>
  <r>
    <x v="9"/>
    <s v="No"/>
    <s v="Travel_Frequently"/>
    <n v="1467"/>
    <x v="0"/>
    <n v="11"/>
    <n v="2"/>
    <s v="Technical Degree"/>
    <n v="1"/>
    <n v="154"/>
    <n v="2"/>
    <x v="0"/>
    <n v="92"/>
    <n v="3"/>
    <n v="3"/>
    <x v="0"/>
    <n v="4"/>
    <s v="Married"/>
    <n v="9738"/>
    <n v="22952"/>
    <n v="0"/>
    <s v="Y"/>
    <x v="1"/>
    <n v="14"/>
    <n v="3"/>
    <n v="3"/>
    <n v="80"/>
    <n v="1"/>
    <n v="10"/>
    <n v="6"/>
    <n v="3"/>
    <n v="9"/>
    <n v="7"/>
    <n v="2"/>
    <n v="8"/>
    <x v="1"/>
    <n v="1"/>
    <x v="0"/>
    <x v="2"/>
    <s v="6-10 Years"/>
    <s v="Very High"/>
    <s v="Better"/>
  </r>
  <r>
    <x v="9"/>
    <s v="No"/>
    <s v="Travel_Rarely"/>
    <n v="922"/>
    <x v="1"/>
    <n v="3"/>
    <n v="2"/>
    <s v="Life Sciences"/>
    <n v="1"/>
    <n v="155"/>
    <n v="1"/>
    <x v="0"/>
    <n v="39"/>
    <n v="3"/>
    <n v="1"/>
    <x v="2"/>
    <n v="4"/>
    <s v="Divorced"/>
    <n v="2835"/>
    <n v="2561"/>
    <n v="5"/>
    <s v="Y"/>
    <x v="1"/>
    <n v="22"/>
    <n v="4"/>
    <n v="1"/>
    <n v="80"/>
    <n v="1"/>
    <n v="7"/>
    <n v="2"/>
    <n v="3"/>
    <n v="1"/>
    <n v="0"/>
    <n v="0"/>
    <n v="0"/>
    <x v="1"/>
    <n v="1"/>
    <x v="0"/>
    <x v="1"/>
    <s v="0-1 Years"/>
    <s v="Very High"/>
    <s v="Better"/>
  </r>
  <r>
    <x v="23"/>
    <s v="No"/>
    <s v="Travel_Frequently"/>
    <n v="394"/>
    <x v="0"/>
    <n v="26"/>
    <n v="2"/>
    <s v="Life Sciences"/>
    <n v="1"/>
    <n v="158"/>
    <n v="3"/>
    <x v="1"/>
    <n v="92"/>
    <n v="3"/>
    <n v="4"/>
    <x v="5"/>
    <n v="4"/>
    <s v="Married"/>
    <n v="16959"/>
    <n v="19494"/>
    <n v="1"/>
    <s v="Y"/>
    <x v="0"/>
    <n v="12"/>
    <n v="3"/>
    <n v="4"/>
    <n v="80"/>
    <n v="2"/>
    <n v="25"/>
    <n v="3"/>
    <n v="4"/>
    <n v="25"/>
    <n v="12"/>
    <n v="4"/>
    <n v="12"/>
    <x v="1"/>
    <n v="1"/>
    <x v="0"/>
    <x v="2"/>
    <s v="10+ Years"/>
    <s v="Very High"/>
    <s v="Best"/>
  </r>
  <r>
    <x v="7"/>
    <s v="No"/>
    <s v="Travel_Frequently"/>
    <n v="1312"/>
    <x v="1"/>
    <n v="23"/>
    <n v="3"/>
    <s v="Life Sciences"/>
    <n v="1"/>
    <n v="159"/>
    <n v="1"/>
    <x v="1"/>
    <n v="96"/>
    <n v="1"/>
    <n v="1"/>
    <x v="1"/>
    <n v="3"/>
    <s v="Divorced"/>
    <n v="2613"/>
    <n v="22310"/>
    <n v="1"/>
    <s v="Y"/>
    <x v="1"/>
    <n v="25"/>
    <n v="4"/>
    <n v="3"/>
    <n v="80"/>
    <n v="3"/>
    <n v="10"/>
    <n v="2"/>
    <n v="2"/>
    <n v="10"/>
    <n v="7"/>
    <n v="0"/>
    <n v="9"/>
    <x v="1"/>
    <n v="1"/>
    <x v="2"/>
    <x v="1"/>
    <s v="6-10 Years"/>
    <s v="High"/>
    <s v="Good"/>
  </r>
  <r>
    <x v="3"/>
    <s v="No"/>
    <s v="Non-Travel"/>
    <n v="750"/>
    <x v="0"/>
    <n v="22"/>
    <n v="2"/>
    <s v="Marketing"/>
    <n v="1"/>
    <n v="160"/>
    <n v="3"/>
    <x v="1"/>
    <n v="95"/>
    <n v="3"/>
    <n v="2"/>
    <x v="0"/>
    <n v="2"/>
    <s v="Married"/>
    <n v="6146"/>
    <n v="15480"/>
    <n v="0"/>
    <s v="Y"/>
    <x v="1"/>
    <n v="13"/>
    <n v="3"/>
    <n v="1"/>
    <n v="80"/>
    <n v="1"/>
    <n v="8"/>
    <n v="2"/>
    <n v="4"/>
    <n v="7"/>
    <n v="7"/>
    <n v="0"/>
    <n v="7"/>
    <x v="1"/>
    <n v="1"/>
    <x v="2"/>
    <x v="0"/>
    <s v="6-10 Years"/>
    <s v="Medium"/>
    <s v="Best"/>
  </r>
  <r>
    <x v="29"/>
    <s v="Yes"/>
    <s v="Travel_Rarely"/>
    <n v="441"/>
    <x v="1"/>
    <n v="14"/>
    <n v="4"/>
    <s v="Life Sciences"/>
    <n v="1"/>
    <n v="161"/>
    <n v="2"/>
    <x v="0"/>
    <n v="72"/>
    <n v="3"/>
    <n v="1"/>
    <x v="1"/>
    <n v="2"/>
    <s v="Married"/>
    <n v="4963"/>
    <n v="4510"/>
    <n v="9"/>
    <s v="Y"/>
    <x v="0"/>
    <n v="18"/>
    <n v="3"/>
    <n v="1"/>
    <n v="80"/>
    <n v="3"/>
    <n v="7"/>
    <n v="2"/>
    <n v="3"/>
    <n v="5"/>
    <n v="4"/>
    <n v="4"/>
    <n v="3"/>
    <x v="0"/>
    <n v="0"/>
    <x v="3"/>
    <x v="0"/>
    <s v="2-5 Years"/>
    <s v="Medium"/>
    <s v="Better"/>
  </r>
  <r>
    <x v="31"/>
    <s v="No"/>
    <s v="Travel_Rarely"/>
    <n v="684"/>
    <x v="1"/>
    <n v="6"/>
    <n v="3"/>
    <s v="Life Sciences"/>
    <n v="1"/>
    <n v="162"/>
    <n v="1"/>
    <x v="1"/>
    <n v="51"/>
    <n v="3"/>
    <n v="5"/>
    <x v="7"/>
    <n v="3"/>
    <s v="Single"/>
    <n v="19537"/>
    <n v="6462"/>
    <n v="7"/>
    <s v="Y"/>
    <x v="1"/>
    <n v="13"/>
    <n v="3"/>
    <n v="3"/>
    <n v="80"/>
    <n v="0"/>
    <n v="23"/>
    <n v="5"/>
    <n v="3"/>
    <n v="20"/>
    <n v="18"/>
    <n v="15"/>
    <n v="15"/>
    <x v="1"/>
    <n v="1"/>
    <x v="1"/>
    <x v="2"/>
    <s v="10+ Years"/>
    <s v="High"/>
    <s v="Better"/>
  </r>
  <r>
    <x v="12"/>
    <s v="Yes"/>
    <s v="Travel_Rarely"/>
    <n v="249"/>
    <x v="0"/>
    <n v="6"/>
    <n v="4"/>
    <s v="Life Sciences"/>
    <n v="1"/>
    <n v="163"/>
    <n v="2"/>
    <x v="1"/>
    <n v="76"/>
    <n v="1"/>
    <n v="2"/>
    <x v="0"/>
    <n v="3"/>
    <s v="Married"/>
    <n v="6172"/>
    <n v="20739"/>
    <n v="4"/>
    <s v="Y"/>
    <x v="0"/>
    <n v="18"/>
    <n v="3"/>
    <n v="2"/>
    <n v="80"/>
    <n v="0"/>
    <n v="12"/>
    <n v="3"/>
    <n v="2"/>
    <n v="7"/>
    <n v="7"/>
    <n v="7"/>
    <n v="7"/>
    <x v="0"/>
    <n v="0"/>
    <x v="2"/>
    <x v="0"/>
    <s v="6-10 Years"/>
    <s v="High"/>
    <s v="Good"/>
  </r>
  <r>
    <x v="25"/>
    <s v="No"/>
    <s v="Travel_Rarely"/>
    <n v="841"/>
    <x v="1"/>
    <n v="6"/>
    <n v="3"/>
    <s v="Other"/>
    <n v="1"/>
    <n v="164"/>
    <n v="3"/>
    <x v="0"/>
    <n v="46"/>
    <n v="2"/>
    <n v="1"/>
    <x v="1"/>
    <n v="2"/>
    <s v="Married"/>
    <n v="2368"/>
    <n v="23300"/>
    <n v="1"/>
    <s v="Y"/>
    <x v="1"/>
    <n v="19"/>
    <n v="3"/>
    <n v="3"/>
    <n v="80"/>
    <n v="0"/>
    <n v="5"/>
    <n v="3"/>
    <n v="2"/>
    <n v="5"/>
    <n v="4"/>
    <n v="4"/>
    <n v="3"/>
    <x v="1"/>
    <n v="1"/>
    <x v="2"/>
    <x v="1"/>
    <s v="2-5 Years"/>
    <s v="Medium"/>
    <s v="Good"/>
  </r>
  <r>
    <x v="34"/>
    <s v="Yes"/>
    <s v="Travel_Rarely"/>
    <n v="147"/>
    <x v="1"/>
    <n v="23"/>
    <n v="4"/>
    <s v="Medical"/>
    <n v="1"/>
    <n v="165"/>
    <n v="4"/>
    <x v="0"/>
    <n v="94"/>
    <n v="3"/>
    <n v="3"/>
    <x v="4"/>
    <n v="4"/>
    <s v="Married"/>
    <n v="10312"/>
    <n v="3465"/>
    <n v="1"/>
    <s v="Y"/>
    <x v="1"/>
    <n v="12"/>
    <n v="3"/>
    <n v="4"/>
    <n v="80"/>
    <n v="1"/>
    <n v="40"/>
    <n v="3"/>
    <n v="2"/>
    <n v="40"/>
    <n v="10"/>
    <n v="15"/>
    <n v="6"/>
    <x v="0"/>
    <n v="0"/>
    <x v="3"/>
    <x v="2"/>
    <s v="10+ Years"/>
    <s v="Very High"/>
    <s v="Good"/>
  </r>
  <r>
    <x v="37"/>
    <s v="Yes"/>
    <s v="Travel_Rarely"/>
    <n v="528"/>
    <x v="0"/>
    <n v="22"/>
    <n v="1"/>
    <s v="Marketing"/>
    <n v="1"/>
    <n v="167"/>
    <n v="4"/>
    <x v="1"/>
    <n v="50"/>
    <n v="3"/>
    <n v="1"/>
    <x v="6"/>
    <n v="3"/>
    <s v="Single"/>
    <n v="1675"/>
    <n v="26820"/>
    <n v="1"/>
    <s v="Y"/>
    <x v="0"/>
    <n v="19"/>
    <n v="3"/>
    <n v="4"/>
    <n v="80"/>
    <n v="0"/>
    <n v="0"/>
    <n v="2"/>
    <n v="2"/>
    <n v="0"/>
    <n v="0"/>
    <n v="0"/>
    <n v="0"/>
    <x v="0"/>
    <n v="0"/>
    <x v="4"/>
    <x v="1"/>
    <s v="0-1 Years"/>
    <s v="High"/>
    <s v="Good"/>
  </r>
  <r>
    <x v="15"/>
    <s v="No"/>
    <s v="Travel_Rarely"/>
    <n v="594"/>
    <x v="1"/>
    <n v="2"/>
    <n v="1"/>
    <s v="Technical Degree"/>
    <n v="1"/>
    <n v="169"/>
    <n v="3"/>
    <x v="1"/>
    <n v="100"/>
    <n v="3"/>
    <n v="1"/>
    <x v="2"/>
    <n v="4"/>
    <s v="Married"/>
    <n v="2523"/>
    <n v="19299"/>
    <n v="0"/>
    <s v="Y"/>
    <x v="1"/>
    <n v="14"/>
    <n v="3"/>
    <n v="3"/>
    <n v="80"/>
    <n v="1"/>
    <n v="3"/>
    <n v="2"/>
    <n v="3"/>
    <n v="2"/>
    <n v="1"/>
    <n v="2"/>
    <n v="1"/>
    <x v="1"/>
    <n v="1"/>
    <x v="4"/>
    <x v="1"/>
    <s v="2-5 Years"/>
    <s v="Very High"/>
    <s v="Better"/>
  </r>
  <r>
    <x v="1"/>
    <s v="No"/>
    <s v="Travel_Rarely"/>
    <n v="470"/>
    <x v="1"/>
    <n v="20"/>
    <n v="4"/>
    <s v="Medical"/>
    <n v="1"/>
    <n v="170"/>
    <n v="3"/>
    <x v="0"/>
    <n v="96"/>
    <n v="3"/>
    <n v="2"/>
    <x v="3"/>
    <n v="1"/>
    <s v="Married"/>
    <n v="6567"/>
    <n v="5549"/>
    <n v="1"/>
    <s v="Y"/>
    <x v="1"/>
    <n v="14"/>
    <n v="3"/>
    <n v="3"/>
    <n v="80"/>
    <n v="0"/>
    <n v="16"/>
    <n v="2"/>
    <n v="2"/>
    <n v="15"/>
    <n v="11"/>
    <n v="5"/>
    <n v="11"/>
    <x v="1"/>
    <n v="1"/>
    <x v="1"/>
    <x v="0"/>
    <s v="10+ Years"/>
    <s v="Low"/>
    <s v="Good"/>
  </r>
  <r>
    <x v="23"/>
    <s v="No"/>
    <s v="Travel_Frequently"/>
    <n v="957"/>
    <x v="1"/>
    <n v="28"/>
    <n v="3"/>
    <s v="Medical"/>
    <n v="1"/>
    <n v="171"/>
    <n v="2"/>
    <x v="0"/>
    <n v="72"/>
    <n v="4"/>
    <n v="1"/>
    <x v="1"/>
    <n v="3"/>
    <s v="Single"/>
    <n v="4739"/>
    <n v="16090"/>
    <n v="4"/>
    <s v="Y"/>
    <x v="1"/>
    <n v="12"/>
    <n v="3"/>
    <n v="4"/>
    <n v="80"/>
    <n v="0"/>
    <n v="18"/>
    <n v="2"/>
    <n v="3"/>
    <n v="3"/>
    <n v="2"/>
    <n v="1"/>
    <n v="2"/>
    <x v="1"/>
    <n v="1"/>
    <x v="0"/>
    <x v="0"/>
    <s v="2-5 Years"/>
    <s v="High"/>
    <s v="Better"/>
  </r>
  <r>
    <x v="24"/>
    <s v="No"/>
    <s v="Travel_Frequently"/>
    <n v="809"/>
    <x v="0"/>
    <n v="12"/>
    <n v="3"/>
    <s v="Marketing"/>
    <n v="1"/>
    <n v="174"/>
    <n v="3"/>
    <x v="0"/>
    <n v="77"/>
    <n v="3"/>
    <n v="3"/>
    <x v="0"/>
    <n v="4"/>
    <s v="Single"/>
    <n v="9208"/>
    <n v="6645"/>
    <n v="4"/>
    <s v="Y"/>
    <x v="1"/>
    <n v="11"/>
    <n v="3"/>
    <n v="4"/>
    <n v="80"/>
    <n v="0"/>
    <n v="16"/>
    <n v="3"/>
    <n v="3"/>
    <n v="2"/>
    <n v="2"/>
    <n v="2"/>
    <n v="1"/>
    <x v="1"/>
    <n v="1"/>
    <x v="1"/>
    <x v="2"/>
    <s v="2-5 Years"/>
    <s v="Very High"/>
    <s v="Better"/>
  </r>
  <r>
    <x v="12"/>
    <s v="Yes"/>
    <s v="Travel_Rarely"/>
    <n v="542"/>
    <x v="0"/>
    <n v="20"/>
    <n v="3"/>
    <s v="Life Sciences"/>
    <n v="1"/>
    <n v="175"/>
    <n v="2"/>
    <x v="0"/>
    <n v="71"/>
    <n v="1"/>
    <n v="2"/>
    <x v="0"/>
    <n v="3"/>
    <s v="Married"/>
    <n v="4559"/>
    <n v="24788"/>
    <n v="3"/>
    <s v="Y"/>
    <x v="0"/>
    <n v="11"/>
    <n v="3"/>
    <n v="3"/>
    <n v="80"/>
    <n v="1"/>
    <n v="4"/>
    <n v="2"/>
    <n v="3"/>
    <n v="2"/>
    <n v="2"/>
    <n v="2"/>
    <n v="2"/>
    <x v="0"/>
    <n v="0"/>
    <x v="2"/>
    <x v="0"/>
    <s v="2-5 Years"/>
    <s v="High"/>
    <s v="Better"/>
  </r>
  <r>
    <x v="0"/>
    <s v="No"/>
    <s v="Travel_Rarely"/>
    <n v="802"/>
    <x v="0"/>
    <n v="9"/>
    <n v="1"/>
    <s v="Life Sciences"/>
    <n v="1"/>
    <n v="176"/>
    <n v="3"/>
    <x v="1"/>
    <n v="96"/>
    <n v="3"/>
    <n v="3"/>
    <x v="0"/>
    <n v="3"/>
    <s v="Divorced"/>
    <n v="8189"/>
    <n v="21196"/>
    <n v="3"/>
    <s v="Y"/>
    <x v="0"/>
    <n v="13"/>
    <n v="3"/>
    <n v="3"/>
    <n v="80"/>
    <n v="1"/>
    <n v="12"/>
    <n v="2"/>
    <n v="3"/>
    <n v="9"/>
    <n v="7"/>
    <n v="0"/>
    <n v="7"/>
    <x v="1"/>
    <n v="1"/>
    <x v="0"/>
    <x v="2"/>
    <s v="6-10 Years"/>
    <s v="High"/>
    <s v="Better"/>
  </r>
  <r>
    <x v="25"/>
    <s v="No"/>
    <s v="Travel_Rarely"/>
    <n v="1355"/>
    <x v="2"/>
    <n v="25"/>
    <n v="1"/>
    <s v="Life Sciences"/>
    <n v="1"/>
    <n v="177"/>
    <n v="3"/>
    <x v="0"/>
    <n v="61"/>
    <n v="3"/>
    <n v="1"/>
    <x v="8"/>
    <n v="3"/>
    <s v="Married"/>
    <n v="2942"/>
    <n v="8916"/>
    <n v="1"/>
    <s v="Y"/>
    <x v="1"/>
    <n v="23"/>
    <n v="4"/>
    <n v="4"/>
    <n v="80"/>
    <n v="1"/>
    <n v="8"/>
    <n v="3"/>
    <n v="3"/>
    <n v="8"/>
    <n v="7"/>
    <n v="5"/>
    <n v="7"/>
    <x v="1"/>
    <n v="1"/>
    <x v="2"/>
    <x v="1"/>
    <s v="6-10 Years"/>
    <s v="High"/>
    <s v="Better"/>
  </r>
  <r>
    <x v="9"/>
    <s v="No"/>
    <s v="Travel_Rarely"/>
    <n v="216"/>
    <x v="1"/>
    <n v="6"/>
    <n v="2"/>
    <s v="Medical"/>
    <n v="1"/>
    <n v="178"/>
    <n v="2"/>
    <x v="1"/>
    <n v="84"/>
    <n v="3"/>
    <n v="2"/>
    <x v="3"/>
    <n v="2"/>
    <s v="Divorced"/>
    <n v="4941"/>
    <n v="2819"/>
    <n v="6"/>
    <s v="Y"/>
    <x v="1"/>
    <n v="20"/>
    <n v="4"/>
    <n v="4"/>
    <n v="80"/>
    <n v="2"/>
    <n v="7"/>
    <n v="0"/>
    <n v="3"/>
    <n v="3"/>
    <n v="2"/>
    <n v="0"/>
    <n v="1"/>
    <x v="1"/>
    <n v="1"/>
    <x v="0"/>
    <x v="0"/>
    <s v="2-5 Years"/>
    <s v="Medium"/>
    <s v="Better"/>
  </r>
  <r>
    <x v="31"/>
    <s v="Yes"/>
    <s v="Travel_Frequently"/>
    <n v="1150"/>
    <x v="1"/>
    <n v="8"/>
    <n v="4"/>
    <s v="Life Sciences"/>
    <n v="1"/>
    <n v="179"/>
    <n v="1"/>
    <x v="1"/>
    <n v="53"/>
    <n v="1"/>
    <n v="3"/>
    <x v="3"/>
    <n v="4"/>
    <s v="Single"/>
    <n v="10650"/>
    <n v="25150"/>
    <n v="2"/>
    <s v="Y"/>
    <x v="1"/>
    <n v="15"/>
    <n v="3"/>
    <n v="4"/>
    <n v="80"/>
    <n v="0"/>
    <n v="18"/>
    <n v="2"/>
    <n v="3"/>
    <n v="4"/>
    <n v="2"/>
    <n v="0"/>
    <n v="3"/>
    <x v="0"/>
    <n v="0"/>
    <x v="1"/>
    <x v="2"/>
    <s v="2-5 Years"/>
    <s v="Very High"/>
    <s v="Better"/>
  </r>
  <r>
    <x v="22"/>
    <s v="No"/>
    <s v="Travel_Rarely"/>
    <n v="1329"/>
    <x v="0"/>
    <n v="4"/>
    <n v="4"/>
    <s v="Life Sciences"/>
    <n v="1"/>
    <n v="182"/>
    <n v="4"/>
    <x v="0"/>
    <n v="47"/>
    <n v="2"/>
    <n v="2"/>
    <x v="0"/>
    <n v="3"/>
    <s v="Married"/>
    <n v="5902"/>
    <n v="14590"/>
    <n v="4"/>
    <s v="Y"/>
    <x v="1"/>
    <n v="14"/>
    <n v="3"/>
    <n v="3"/>
    <n v="80"/>
    <n v="1"/>
    <n v="17"/>
    <n v="1"/>
    <n v="4"/>
    <n v="15"/>
    <n v="11"/>
    <n v="5"/>
    <n v="9"/>
    <x v="1"/>
    <n v="1"/>
    <x v="0"/>
    <x v="0"/>
    <s v="10+ Years"/>
    <s v="High"/>
    <s v="Best"/>
  </r>
  <r>
    <x v="36"/>
    <s v="No"/>
    <s v="Travel_Rarely"/>
    <n v="959"/>
    <x v="0"/>
    <n v="28"/>
    <n v="3"/>
    <s v="Life Sciences"/>
    <n v="1"/>
    <n v="183"/>
    <n v="1"/>
    <x v="1"/>
    <n v="41"/>
    <n v="2"/>
    <n v="2"/>
    <x v="0"/>
    <n v="3"/>
    <s v="Married"/>
    <n v="8639"/>
    <n v="24835"/>
    <n v="2"/>
    <s v="Y"/>
    <x v="1"/>
    <n v="18"/>
    <n v="3"/>
    <n v="4"/>
    <n v="80"/>
    <n v="0"/>
    <n v="6"/>
    <n v="3"/>
    <n v="3"/>
    <n v="2"/>
    <n v="2"/>
    <n v="2"/>
    <n v="2"/>
    <x v="1"/>
    <n v="1"/>
    <x v="2"/>
    <x v="2"/>
    <s v="2-5 Years"/>
    <s v="High"/>
    <s v="Better"/>
  </r>
  <r>
    <x v="7"/>
    <s v="No"/>
    <s v="Travel_Rarely"/>
    <n v="1240"/>
    <x v="2"/>
    <n v="9"/>
    <n v="3"/>
    <s v="Human Resources"/>
    <n v="1"/>
    <n v="184"/>
    <n v="3"/>
    <x v="1"/>
    <n v="48"/>
    <n v="3"/>
    <n v="2"/>
    <x v="8"/>
    <n v="4"/>
    <s v="Married"/>
    <n v="6347"/>
    <n v="13982"/>
    <n v="0"/>
    <s v="Y"/>
    <x v="0"/>
    <n v="19"/>
    <n v="3"/>
    <n v="4"/>
    <n v="80"/>
    <n v="0"/>
    <n v="12"/>
    <n v="2"/>
    <n v="1"/>
    <n v="11"/>
    <n v="9"/>
    <n v="4"/>
    <n v="7"/>
    <x v="1"/>
    <n v="1"/>
    <x v="2"/>
    <x v="0"/>
    <s v="10+ Years"/>
    <s v="Very High"/>
    <s v="Bad"/>
  </r>
  <r>
    <x v="5"/>
    <s v="Yes"/>
    <s v="Travel_Rarely"/>
    <n v="1033"/>
    <x v="1"/>
    <n v="9"/>
    <n v="3"/>
    <s v="Medical"/>
    <n v="1"/>
    <n v="190"/>
    <n v="1"/>
    <x v="0"/>
    <n v="41"/>
    <n v="3"/>
    <n v="1"/>
    <x v="2"/>
    <n v="1"/>
    <s v="Single"/>
    <n v="4200"/>
    <n v="10224"/>
    <n v="7"/>
    <s v="Y"/>
    <x v="1"/>
    <n v="22"/>
    <n v="4"/>
    <n v="1"/>
    <n v="80"/>
    <n v="0"/>
    <n v="10"/>
    <n v="2"/>
    <n v="4"/>
    <n v="5"/>
    <n v="4"/>
    <n v="0"/>
    <n v="4"/>
    <x v="0"/>
    <n v="0"/>
    <x v="2"/>
    <x v="0"/>
    <s v="2-5 Years"/>
    <s v="Low"/>
    <s v="Best"/>
  </r>
  <r>
    <x v="28"/>
    <s v="No"/>
    <s v="Travel_Rarely"/>
    <n v="1316"/>
    <x v="1"/>
    <n v="29"/>
    <n v="3"/>
    <s v="Medical"/>
    <n v="1"/>
    <n v="192"/>
    <n v="3"/>
    <x v="1"/>
    <n v="83"/>
    <n v="3"/>
    <n v="1"/>
    <x v="1"/>
    <n v="4"/>
    <s v="Single"/>
    <n v="3452"/>
    <n v="9752"/>
    <n v="5"/>
    <s v="Y"/>
    <x v="1"/>
    <n v="13"/>
    <n v="3"/>
    <n v="2"/>
    <n v="80"/>
    <n v="0"/>
    <n v="9"/>
    <n v="2"/>
    <n v="2"/>
    <n v="6"/>
    <n v="5"/>
    <n v="0"/>
    <n v="3"/>
    <x v="1"/>
    <n v="1"/>
    <x v="1"/>
    <x v="0"/>
    <s v="6-10 Years"/>
    <s v="Very High"/>
    <s v="Good"/>
  </r>
  <r>
    <x v="8"/>
    <s v="No"/>
    <s v="Travel_Rarely"/>
    <n v="364"/>
    <x v="1"/>
    <n v="3"/>
    <n v="5"/>
    <s v="Technical Degree"/>
    <n v="1"/>
    <n v="193"/>
    <n v="4"/>
    <x v="0"/>
    <n v="32"/>
    <n v="3"/>
    <n v="2"/>
    <x v="1"/>
    <n v="3"/>
    <s v="Single"/>
    <n v="4317"/>
    <n v="2302"/>
    <n v="3"/>
    <s v="Y"/>
    <x v="0"/>
    <n v="20"/>
    <n v="4"/>
    <n v="2"/>
    <n v="80"/>
    <n v="0"/>
    <n v="19"/>
    <n v="2"/>
    <n v="3"/>
    <n v="3"/>
    <n v="2"/>
    <n v="2"/>
    <n v="2"/>
    <x v="1"/>
    <n v="1"/>
    <x v="0"/>
    <x v="0"/>
    <s v="2-5 Years"/>
    <s v="High"/>
    <s v="Better"/>
  </r>
  <r>
    <x v="7"/>
    <s v="No"/>
    <s v="Travel_Rarely"/>
    <n v="438"/>
    <x v="1"/>
    <n v="18"/>
    <n v="3"/>
    <s v="Life Sciences"/>
    <n v="1"/>
    <n v="194"/>
    <n v="1"/>
    <x v="0"/>
    <n v="75"/>
    <n v="3"/>
    <n v="1"/>
    <x v="1"/>
    <n v="3"/>
    <s v="Single"/>
    <n v="2632"/>
    <n v="23910"/>
    <n v="1"/>
    <s v="Y"/>
    <x v="1"/>
    <n v="14"/>
    <n v="3"/>
    <n v="3"/>
    <n v="80"/>
    <n v="0"/>
    <n v="5"/>
    <n v="4"/>
    <n v="2"/>
    <n v="5"/>
    <n v="4"/>
    <n v="0"/>
    <n v="4"/>
    <x v="1"/>
    <n v="1"/>
    <x v="2"/>
    <x v="1"/>
    <s v="2-5 Years"/>
    <s v="High"/>
    <s v="Good"/>
  </r>
  <r>
    <x v="5"/>
    <s v="No"/>
    <s v="Travel_Frequently"/>
    <n v="689"/>
    <x v="0"/>
    <n v="9"/>
    <n v="2"/>
    <s v="Medical"/>
    <n v="1"/>
    <n v="195"/>
    <n v="4"/>
    <x v="1"/>
    <n v="35"/>
    <n v="1"/>
    <n v="2"/>
    <x v="0"/>
    <n v="4"/>
    <s v="Divorced"/>
    <n v="4668"/>
    <n v="22812"/>
    <n v="0"/>
    <s v="Y"/>
    <x v="1"/>
    <n v="17"/>
    <n v="3"/>
    <n v="4"/>
    <n v="80"/>
    <n v="3"/>
    <n v="9"/>
    <n v="2"/>
    <n v="4"/>
    <n v="8"/>
    <n v="7"/>
    <n v="0"/>
    <n v="7"/>
    <x v="1"/>
    <n v="1"/>
    <x v="2"/>
    <x v="0"/>
    <s v="6-10 Years"/>
    <s v="Very High"/>
    <s v="Best"/>
  </r>
  <r>
    <x v="7"/>
    <s v="No"/>
    <s v="Travel_Rarely"/>
    <n v="201"/>
    <x v="1"/>
    <n v="5"/>
    <n v="3"/>
    <s v="Technical Degree"/>
    <n v="1"/>
    <n v="197"/>
    <n v="4"/>
    <x v="0"/>
    <n v="84"/>
    <n v="3"/>
    <n v="1"/>
    <x v="1"/>
    <n v="1"/>
    <s v="Divorced"/>
    <n v="3204"/>
    <n v="10415"/>
    <n v="5"/>
    <s v="Y"/>
    <x v="1"/>
    <n v="14"/>
    <n v="3"/>
    <n v="4"/>
    <n v="80"/>
    <n v="1"/>
    <n v="8"/>
    <n v="3"/>
    <n v="3"/>
    <n v="3"/>
    <n v="2"/>
    <n v="2"/>
    <n v="2"/>
    <x v="1"/>
    <n v="1"/>
    <x v="2"/>
    <x v="0"/>
    <s v="2-5 Years"/>
    <s v="Low"/>
    <s v="Better"/>
  </r>
  <r>
    <x v="7"/>
    <s v="No"/>
    <s v="Travel_Rarely"/>
    <n v="1427"/>
    <x v="1"/>
    <n v="2"/>
    <n v="1"/>
    <s v="Medical"/>
    <n v="1"/>
    <n v="198"/>
    <n v="2"/>
    <x v="1"/>
    <n v="35"/>
    <n v="2"/>
    <n v="1"/>
    <x v="2"/>
    <n v="4"/>
    <s v="Single"/>
    <n v="2720"/>
    <n v="11162"/>
    <n v="0"/>
    <s v="Y"/>
    <x v="1"/>
    <n v="13"/>
    <n v="3"/>
    <n v="4"/>
    <n v="80"/>
    <n v="0"/>
    <n v="6"/>
    <n v="3"/>
    <n v="3"/>
    <n v="5"/>
    <n v="3"/>
    <n v="1"/>
    <n v="2"/>
    <x v="1"/>
    <n v="1"/>
    <x v="2"/>
    <x v="1"/>
    <s v="2-5 Years"/>
    <s v="Very High"/>
    <s v="Better"/>
  </r>
  <r>
    <x v="0"/>
    <s v="No"/>
    <s v="Travel_Frequently"/>
    <n v="857"/>
    <x v="1"/>
    <n v="10"/>
    <n v="3"/>
    <s v="Life Sciences"/>
    <n v="1"/>
    <n v="199"/>
    <n v="4"/>
    <x v="1"/>
    <n v="91"/>
    <n v="2"/>
    <n v="4"/>
    <x v="5"/>
    <n v="1"/>
    <s v="Divorced"/>
    <n v="17181"/>
    <n v="12888"/>
    <n v="4"/>
    <s v="Y"/>
    <x v="1"/>
    <n v="13"/>
    <n v="3"/>
    <n v="2"/>
    <n v="80"/>
    <n v="1"/>
    <n v="21"/>
    <n v="2"/>
    <n v="2"/>
    <n v="7"/>
    <n v="6"/>
    <n v="7"/>
    <n v="7"/>
    <x v="1"/>
    <n v="1"/>
    <x v="0"/>
    <x v="2"/>
    <s v="6-10 Years"/>
    <s v="Low"/>
    <s v="Good"/>
  </r>
  <r>
    <x v="0"/>
    <s v="No"/>
    <s v="Travel_Rarely"/>
    <n v="933"/>
    <x v="1"/>
    <n v="9"/>
    <n v="4"/>
    <s v="Life Sciences"/>
    <n v="1"/>
    <n v="200"/>
    <n v="3"/>
    <x v="1"/>
    <n v="94"/>
    <n v="3"/>
    <n v="1"/>
    <x v="2"/>
    <n v="1"/>
    <s v="Married"/>
    <n v="2238"/>
    <n v="6961"/>
    <n v="2"/>
    <s v="Y"/>
    <x v="1"/>
    <n v="21"/>
    <n v="4"/>
    <n v="4"/>
    <n v="80"/>
    <n v="1"/>
    <n v="7"/>
    <n v="2"/>
    <n v="3"/>
    <n v="5"/>
    <n v="0"/>
    <n v="1"/>
    <n v="4"/>
    <x v="1"/>
    <n v="1"/>
    <x v="0"/>
    <x v="1"/>
    <s v="2-5 Years"/>
    <s v="Low"/>
    <s v="Better"/>
  </r>
  <r>
    <x v="37"/>
    <s v="No"/>
    <s v="Travel_Rarely"/>
    <n v="1181"/>
    <x v="1"/>
    <n v="3"/>
    <n v="1"/>
    <s v="Medical"/>
    <n v="1"/>
    <n v="201"/>
    <n v="2"/>
    <x v="0"/>
    <n v="79"/>
    <n v="3"/>
    <n v="1"/>
    <x v="2"/>
    <n v="2"/>
    <s v="Single"/>
    <n v="1483"/>
    <n v="16102"/>
    <n v="1"/>
    <s v="Y"/>
    <x v="1"/>
    <n v="14"/>
    <n v="3"/>
    <n v="4"/>
    <n v="80"/>
    <n v="0"/>
    <n v="1"/>
    <n v="3"/>
    <n v="3"/>
    <n v="1"/>
    <n v="0"/>
    <n v="0"/>
    <n v="0"/>
    <x v="1"/>
    <n v="1"/>
    <x v="4"/>
    <x v="1"/>
    <s v="0-1 Years"/>
    <s v="Medium"/>
    <s v="Better"/>
  </r>
  <r>
    <x v="32"/>
    <s v="No"/>
    <s v="Travel_Frequently"/>
    <n v="1395"/>
    <x v="1"/>
    <n v="26"/>
    <n v="3"/>
    <s v="Medical"/>
    <n v="1"/>
    <n v="202"/>
    <n v="2"/>
    <x v="0"/>
    <n v="54"/>
    <n v="3"/>
    <n v="2"/>
    <x v="1"/>
    <n v="2"/>
    <s v="Divorced"/>
    <n v="5605"/>
    <n v="8504"/>
    <n v="1"/>
    <s v="Y"/>
    <x v="1"/>
    <n v="11"/>
    <n v="3"/>
    <n v="1"/>
    <n v="80"/>
    <n v="1"/>
    <n v="20"/>
    <n v="2"/>
    <n v="3"/>
    <n v="20"/>
    <n v="7"/>
    <n v="2"/>
    <n v="13"/>
    <x v="1"/>
    <n v="1"/>
    <x v="0"/>
    <x v="0"/>
    <s v="10+ Years"/>
    <s v="Medium"/>
    <s v="Better"/>
  </r>
  <r>
    <x v="10"/>
    <s v="No"/>
    <s v="Travel_Rarely"/>
    <n v="662"/>
    <x v="0"/>
    <n v="1"/>
    <n v="5"/>
    <s v="Marketing"/>
    <n v="1"/>
    <n v="204"/>
    <n v="3"/>
    <x v="1"/>
    <n v="94"/>
    <n v="3"/>
    <n v="3"/>
    <x v="0"/>
    <n v="2"/>
    <s v="Married"/>
    <n v="7295"/>
    <n v="11439"/>
    <n v="1"/>
    <s v="Y"/>
    <x v="1"/>
    <n v="13"/>
    <n v="3"/>
    <n v="1"/>
    <n v="80"/>
    <n v="2"/>
    <n v="10"/>
    <n v="3"/>
    <n v="3"/>
    <n v="10"/>
    <n v="8"/>
    <n v="0"/>
    <n v="6"/>
    <x v="1"/>
    <n v="1"/>
    <x v="0"/>
    <x v="2"/>
    <s v="6-10 Years"/>
    <s v="Medium"/>
    <s v="Better"/>
  </r>
  <r>
    <x v="16"/>
    <s v="No"/>
    <s v="Travel_Rarely"/>
    <n v="1436"/>
    <x v="0"/>
    <n v="6"/>
    <n v="2"/>
    <s v="Marketing"/>
    <n v="1"/>
    <n v="205"/>
    <n v="2"/>
    <x v="1"/>
    <n v="34"/>
    <n v="3"/>
    <n v="2"/>
    <x v="6"/>
    <n v="3"/>
    <s v="Married"/>
    <n v="2306"/>
    <n v="16047"/>
    <n v="2"/>
    <s v="Y"/>
    <x v="0"/>
    <n v="20"/>
    <n v="4"/>
    <n v="4"/>
    <n v="80"/>
    <n v="1"/>
    <n v="13"/>
    <n v="3"/>
    <n v="1"/>
    <n v="7"/>
    <n v="7"/>
    <n v="4"/>
    <n v="5"/>
    <x v="1"/>
    <n v="1"/>
    <x v="1"/>
    <x v="1"/>
    <s v="6-10 Years"/>
    <s v="High"/>
    <s v="Bad"/>
  </r>
  <r>
    <x v="28"/>
    <s v="No"/>
    <s v="Travel_Rarely"/>
    <n v="194"/>
    <x v="1"/>
    <n v="9"/>
    <n v="3"/>
    <s v="Life Sciences"/>
    <n v="1"/>
    <n v="206"/>
    <n v="2"/>
    <x v="1"/>
    <n v="60"/>
    <n v="3"/>
    <n v="2"/>
    <x v="2"/>
    <n v="2"/>
    <s v="Divorced"/>
    <n v="2348"/>
    <n v="10901"/>
    <n v="8"/>
    <s v="Y"/>
    <x v="1"/>
    <n v="18"/>
    <n v="3"/>
    <n v="3"/>
    <n v="80"/>
    <n v="1"/>
    <n v="20"/>
    <n v="2"/>
    <n v="1"/>
    <n v="17"/>
    <n v="9"/>
    <n v="0"/>
    <n v="15"/>
    <x v="1"/>
    <n v="1"/>
    <x v="1"/>
    <x v="1"/>
    <s v="10+ Years"/>
    <s v="Medium"/>
    <s v="Bad"/>
  </r>
  <r>
    <x v="5"/>
    <s v="No"/>
    <s v="Travel_Frequently"/>
    <n v="967"/>
    <x v="0"/>
    <n v="8"/>
    <n v="3"/>
    <s v="Marketing"/>
    <n v="1"/>
    <n v="207"/>
    <n v="2"/>
    <x v="0"/>
    <n v="43"/>
    <n v="3"/>
    <n v="3"/>
    <x v="0"/>
    <n v="4"/>
    <s v="Single"/>
    <n v="8998"/>
    <n v="15589"/>
    <n v="1"/>
    <s v="Y"/>
    <x v="1"/>
    <n v="14"/>
    <n v="3"/>
    <n v="4"/>
    <n v="80"/>
    <n v="0"/>
    <n v="9"/>
    <n v="2"/>
    <n v="3"/>
    <n v="9"/>
    <n v="8"/>
    <n v="3"/>
    <n v="7"/>
    <x v="1"/>
    <n v="1"/>
    <x v="2"/>
    <x v="2"/>
    <s v="6-10 Years"/>
    <s v="Very High"/>
    <s v="Better"/>
  </r>
  <r>
    <x v="11"/>
    <s v="No"/>
    <s v="Non-Travel"/>
    <n v="1496"/>
    <x v="1"/>
    <n v="1"/>
    <n v="1"/>
    <s v="Technical Degree"/>
    <n v="1"/>
    <n v="208"/>
    <n v="4"/>
    <x v="1"/>
    <n v="41"/>
    <n v="3"/>
    <n v="2"/>
    <x v="3"/>
    <n v="3"/>
    <s v="Married"/>
    <n v="4319"/>
    <n v="26283"/>
    <n v="1"/>
    <s v="Y"/>
    <x v="1"/>
    <n v="13"/>
    <n v="3"/>
    <n v="1"/>
    <n v="80"/>
    <n v="1"/>
    <n v="10"/>
    <n v="1"/>
    <n v="3"/>
    <n v="10"/>
    <n v="7"/>
    <n v="0"/>
    <n v="9"/>
    <x v="1"/>
    <n v="1"/>
    <x v="2"/>
    <x v="0"/>
    <s v="6-10 Years"/>
    <s v="High"/>
    <s v="Better"/>
  </r>
  <r>
    <x v="31"/>
    <s v="No"/>
    <s v="Travel_Rarely"/>
    <n v="1169"/>
    <x v="1"/>
    <n v="7"/>
    <n v="4"/>
    <s v="Medical"/>
    <n v="1"/>
    <n v="211"/>
    <n v="2"/>
    <x v="1"/>
    <n v="34"/>
    <n v="2"/>
    <n v="2"/>
    <x v="3"/>
    <n v="3"/>
    <s v="Married"/>
    <n v="6132"/>
    <n v="13983"/>
    <n v="2"/>
    <s v="Y"/>
    <x v="1"/>
    <n v="17"/>
    <n v="3"/>
    <n v="3"/>
    <n v="80"/>
    <n v="0"/>
    <n v="10"/>
    <n v="2"/>
    <n v="3"/>
    <n v="1"/>
    <n v="0"/>
    <n v="0"/>
    <n v="0"/>
    <x v="1"/>
    <n v="1"/>
    <x v="1"/>
    <x v="0"/>
    <s v="0-1 Years"/>
    <s v="High"/>
    <s v="Better"/>
  </r>
  <r>
    <x v="34"/>
    <s v="No"/>
    <s v="Travel_Rarely"/>
    <n v="1145"/>
    <x v="1"/>
    <n v="9"/>
    <n v="3"/>
    <s v="Medical"/>
    <n v="1"/>
    <n v="214"/>
    <n v="2"/>
    <x v="0"/>
    <n v="75"/>
    <n v="2"/>
    <n v="1"/>
    <x v="1"/>
    <n v="2"/>
    <s v="Married"/>
    <n v="3346"/>
    <n v="11873"/>
    <n v="4"/>
    <s v="Y"/>
    <x v="0"/>
    <n v="20"/>
    <n v="4"/>
    <n v="2"/>
    <n v="80"/>
    <n v="1"/>
    <n v="9"/>
    <n v="3"/>
    <n v="2"/>
    <n v="1"/>
    <n v="0"/>
    <n v="0"/>
    <n v="0"/>
    <x v="1"/>
    <n v="1"/>
    <x v="3"/>
    <x v="0"/>
    <s v="0-1 Years"/>
    <s v="Medium"/>
    <s v="Good"/>
  </r>
  <r>
    <x v="32"/>
    <s v="No"/>
    <s v="Travel_Rarely"/>
    <n v="630"/>
    <x v="0"/>
    <n v="4"/>
    <n v="4"/>
    <s v="Marketing"/>
    <n v="1"/>
    <n v="215"/>
    <n v="3"/>
    <x v="1"/>
    <n v="67"/>
    <n v="2"/>
    <n v="3"/>
    <x v="0"/>
    <n v="4"/>
    <s v="Married"/>
    <n v="10855"/>
    <n v="8552"/>
    <n v="7"/>
    <s v="Y"/>
    <x v="1"/>
    <n v="11"/>
    <n v="3"/>
    <n v="1"/>
    <n v="80"/>
    <n v="1"/>
    <n v="15"/>
    <n v="2"/>
    <n v="2"/>
    <n v="12"/>
    <n v="11"/>
    <n v="2"/>
    <n v="11"/>
    <x v="1"/>
    <n v="1"/>
    <x v="0"/>
    <x v="2"/>
    <s v="10+ Years"/>
    <s v="Very High"/>
    <s v="Good"/>
  </r>
  <r>
    <x v="13"/>
    <s v="No"/>
    <s v="Travel_Frequently"/>
    <n v="303"/>
    <x v="0"/>
    <n v="2"/>
    <n v="4"/>
    <s v="Marketing"/>
    <n v="1"/>
    <n v="216"/>
    <n v="3"/>
    <x v="0"/>
    <n v="75"/>
    <n v="3"/>
    <n v="1"/>
    <x v="6"/>
    <n v="3"/>
    <s v="Married"/>
    <n v="2231"/>
    <n v="11314"/>
    <n v="6"/>
    <s v="Y"/>
    <x v="1"/>
    <n v="18"/>
    <n v="3"/>
    <n v="4"/>
    <n v="80"/>
    <n v="1"/>
    <n v="6"/>
    <n v="3"/>
    <n v="3"/>
    <n v="4"/>
    <n v="3"/>
    <n v="1"/>
    <n v="2"/>
    <x v="1"/>
    <n v="1"/>
    <x v="2"/>
    <x v="1"/>
    <s v="2-5 Years"/>
    <s v="High"/>
    <s v="Better"/>
  </r>
  <r>
    <x v="15"/>
    <s v="No"/>
    <s v="Travel_Rarely"/>
    <n v="1256"/>
    <x v="1"/>
    <n v="19"/>
    <n v="1"/>
    <s v="Medical"/>
    <n v="1"/>
    <n v="217"/>
    <n v="3"/>
    <x v="1"/>
    <n v="80"/>
    <n v="3"/>
    <n v="1"/>
    <x v="1"/>
    <n v="4"/>
    <s v="Married"/>
    <n v="2323"/>
    <n v="11992"/>
    <n v="1"/>
    <s v="Y"/>
    <x v="1"/>
    <n v="24"/>
    <n v="4"/>
    <n v="1"/>
    <n v="80"/>
    <n v="2"/>
    <n v="2"/>
    <n v="6"/>
    <n v="3"/>
    <n v="2"/>
    <n v="2"/>
    <n v="2"/>
    <n v="2"/>
    <x v="1"/>
    <n v="1"/>
    <x v="4"/>
    <x v="1"/>
    <s v="2-5 Years"/>
    <s v="Very High"/>
    <s v="Better"/>
  </r>
  <r>
    <x v="4"/>
    <s v="No"/>
    <s v="Non-Travel"/>
    <n v="691"/>
    <x v="1"/>
    <n v="9"/>
    <n v="3"/>
    <s v="Medical"/>
    <n v="1"/>
    <n v="218"/>
    <n v="4"/>
    <x v="1"/>
    <n v="57"/>
    <n v="3"/>
    <n v="1"/>
    <x v="1"/>
    <n v="2"/>
    <s v="Divorced"/>
    <n v="2024"/>
    <n v="5970"/>
    <n v="6"/>
    <s v="Y"/>
    <x v="1"/>
    <n v="18"/>
    <n v="3"/>
    <n v="4"/>
    <n v="80"/>
    <n v="1"/>
    <n v="6"/>
    <n v="1"/>
    <n v="1"/>
    <n v="2"/>
    <n v="2"/>
    <n v="2"/>
    <n v="2"/>
    <x v="1"/>
    <n v="1"/>
    <x v="2"/>
    <x v="1"/>
    <s v="2-5 Years"/>
    <s v="Medium"/>
    <s v="Bad"/>
  </r>
  <r>
    <x v="14"/>
    <s v="No"/>
    <s v="Travel_Rarely"/>
    <n v="440"/>
    <x v="1"/>
    <n v="21"/>
    <n v="3"/>
    <s v="Medical"/>
    <n v="1"/>
    <n v="221"/>
    <n v="3"/>
    <x v="1"/>
    <n v="42"/>
    <n v="3"/>
    <n v="1"/>
    <x v="1"/>
    <n v="4"/>
    <s v="Married"/>
    <n v="2713"/>
    <n v="6672"/>
    <n v="1"/>
    <s v="Y"/>
    <x v="1"/>
    <n v="11"/>
    <n v="3"/>
    <n v="3"/>
    <n v="80"/>
    <n v="1"/>
    <n v="5"/>
    <n v="2"/>
    <n v="1"/>
    <n v="5"/>
    <n v="2"/>
    <n v="0"/>
    <n v="2"/>
    <x v="1"/>
    <n v="1"/>
    <x v="2"/>
    <x v="1"/>
    <s v="2-5 Years"/>
    <s v="Very High"/>
    <s v="Bad"/>
  </r>
  <r>
    <x v="38"/>
    <s v="No"/>
    <s v="Travel_Rarely"/>
    <n v="334"/>
    <x v="1"/>
    <n v="24"/>
    <n v="2"/>
    <s v="Life Sciences"/>
    <n v="1"/>
    <n v="223"/>
    <n v="3"/>
    <x v="1"/>
    <n v="83"/>
    <n v="4"/>
    <n v="3"/>
    <x v="4"/>
    <n v="4"/>
    <s v="Divorced"/>
    <n v="9439"/>
    <n v="23402"/>
    <n v="3"/>
    <s v="Y"/>
    <x v="0"/>
    <n v="16"/>
    <n v="3"/>
    <n v="2"/>
    <n v="80"/>
    <n v="1"/>
    <n v="12"/>
    <n v="2"/>
    <n v="1"/>
    <n v="5"/>
    <n v="3"/>
    <n v="1"/>
    <n v="4"/>
    <x v="1"/>
    <n v="1"/>
    <x v="3"/>
    <x v="2"/>
    <s v="2-5 Years"/>
    <s v="Very High"/>
    <s v="Bad"/>
  </r>
  <r>
    <x v="4"/>
    <s v="No"/>
    <s v="Non-Travel"/>
    <n v="1450"/>
    <x v="1"/>
    <n v="3"/>
    <n v="3"/>
    <s v="Medical"/>
    <n v="1"/>
    <n v="224"/>
    <n v="3"/>
    <x v="1"/>
    <n v="79"/>
    <n v="2"/>
    <n v="1"/>
    <x v="1"/>
    <n v="3"/>
    <s v="Divorced"/>
    <n v="2566"/>
    <n v="25326"/>
    <n v="1"/>
    <s v="Y"/>
    <x v="0"/>
    <n v="15"/>
    <n v="3"/>
    <n v="4"/>
    <n v="80"/>
    <n v="1"/>
    <n v="1"/>
    <n v="2"/>
    <n v="2"/>
    <n v="1"/>
    <n v="1"/>
    <n v="0"/>
    <n v="1"/>
    <x v="1"/>
    <n v="1"/>
    <x v="2"/>
    <x v="1"/>
    <s v="0-1 Years"/>
    <s v="High"/>
    <s v="Good"/>
  </r>
  <r>
    <x v="24"/>
    <s v="No"/>
    <s v="Travel_Rarely"/>
    <n v="1452"/>
    <x v="1"/>
    <n v="11"/>
    <n v="3"/>
    <s v="Life Sciences"/>
    <n v="1"/>
    <n v="226"/>
    <n v="3"/>
    <x v="0"/>
    <n v="53"/>
    <n v="3"/>
    <n v="5"/>
    <x v="5"/>
    <n v="2"/>
    <s v="Single"/>
    <n v="19926"/>
    <n v="17053"/>
    <n v="3"/>
    <s v="Y"/>
    <x v="1"/>
    <n v="15"/>
    <n v="3"/>
    <n v="2"/>
    <n v="80"/>
    <n v="0"/>
    <n v="21"/>
    <n v="5"/>
    <n v="3"/>
    <n v="5"/>
    <n v="4"/>
    <n v="4"/>
    <n v="4"/>
    <x v="1"/>
    <n v="1"/>
    <x v="1"/>
    <x v="2"/>
    <s v="2-5 Years"/>
    <s v="Medium"/>
    <s v="Better"/>
  </r>
  <r>
    <x v="0"/>
    <s v="No"/>
    <s v="Travel_Rarely"/>
    <n v="465"/>
    <x v="1"/>
    <n v="14"/>
    <n v="3"/>
    <s v="Life Sciences"/>
    <n v="1"/>
    <n v="227"/>
    <n v="1"/>
    <x v="1"/>
    <n v="56"/>
    <n v="3"/>
    <n v="1"/>
    <x v="1"/>
    <n v="3"/>
    <s v="Divorced"/>
    <n v="2451"/>
    <n v="4609"/>
    <n v="4"/>
    <s v="Y"/>
    <x v="1"/>
    <n v="12"/>
    <n v="3"/>
    <n v="1"/>
    <n v="80"/>
    <n v="1"/>
    <n v="13"/>
    <n v="2"/>
    <n v="3"/>
    <n v="9"/>
    <n v="8"/>
    <n v="1"/>
    <n v="8"/>
    <x v="1"/>
    <n v="1"/>
    <x v="0"/>
    <x v="1"/>
    <s v="6-10 Years"/>
    <s v="High"/>
    <s v="Better"/>
  </r>
  <r>
    <x v="7"/>
    <s v="No"/>
    <s v="Travel_Rarely"/>
    <n v="1339"/>
    <x v="0"/>
    <n v="5"/>
    <n v="3"/>
    <s v="Life Sciences"/>
    <n v="1"/>
    <n v="228"/>
    <n v="2"/>
    <x v="0"/>
    <n v="41"/>
    <n v="3"/>
    <n v="3"/>
    <x v="0"/>
    <n v="4"/>
    <s v="Married"/>
    <n v="9419"/>
    <n v="8053"/>
    <n v="2"/>
    <s v="Y"/>
    <x v="1"/>
    <n v="12"/>
    <n v="3"/>
    <n v="3"/>
    <n v="80"/>
    <n v="1"/>
    <n v="12"/>
    <n v="2"/>
    <n v="3"/>
    <n v="10"/>
    <n v="9"/>
    <n v="7"/>
    <n v="4"/>
    <x v="1"/>
    <n v="1"/>
    <x v="2"/>
    <x v="2"/>
    <s v="6-10 Years"/>
    <s v="Very High"/>
    <s v="Better"/>
  </r>
  <r>
    <x v="8"/>
    <s v="No"/>
    <s v="Travel_Rarely"/>
    <n v="702"/>
    <x v="0"/>
    <n v="1"/>
    <n v="4"/>
    <s v="Life Sciences"/>
    <n v="1"/>
    <n v="230"/>
    <n v="1"/>
    <x v="0"/>
    <n v="59"/>
    <n v="2"/>
    <n v="2"/>
    <x v="0"/>
    <n v="4"/>
    <s v="Single"/>
    <n v="8686"/>
    <n v="12930"/>
    <n v="4"/>
    <s v="Y"/>
    <x v="1"/>
    <n v="22"/>
    <n v="4"/>
    <n v="3"/>
    <n v="80"/>
    <n v="0"/>
    <n v="12"/>
    <n v="2"/>
    <n v="4"/>
    <n v="8"/>
    <n v="3"/>
    <n v="0"/>
    <n v="7"/>
    <x v="1"/>
    <n v="1"/>
    <x v="0"/>
    <x v="2"/>
    <s v="6-10 Years"/>
    <s v="Very High"/>
    <s v="Best"/>
  </r>
  <r>
    <x v="5"/>
    <s v="No"/>
    <s v="Travel_Rarely"/>
    <n v="120"/>
    <x v="1"/>
    <n v="6"/>
    <n v="5"/>
    <s v="Life Sciences"/>
    <n v="1"/>
    <n v="231"/>
    <n v="3"/>
    <x v="1"/>
    <n v="43"/>
    <n v="3"/>
    <n v="1"/>
    <x v="1"/>
    <n v="3"/>
    <s v="Single"/>
    <n v="3038"/>
    <n v="12430"/>
    <n v="3"/>
    <s v="Y"/>
    <x v="1"/>
    <n v="20"/>
    <n v="4"/>
    <n v="1"/>
    <n v="80"/>
    <n v="0"/>
    <n v="8"/>
    <n v="2"/>
    <n v="3"/>
    <n v="5"/>
    <n v="4"/>
    <n v="1"/>
    <n v="4"/>
    <x v="1"/>
    <n v="1"/>
    <x v="2"/>
    <x v="0"/>
    <s v="2-5 Years"/>
    <s v="High"/>
    <s v="Better"/>
  </r>
  <r>
    <x v="4"/>
    <s v="No"/>
    <s v="Travel_Rarely"/>
    <n v="1157"/>
    <x v="1"/>
    <n v="17"/>
    <n v="3"/>
    <s v="Technical Degree"/>
    <n v="1"/>
    <n v="233"/>
    <n v="3"/>
    <x v="1"/>
    <n v="51"/>
    <n v="3"/>
    <n v="1"/>
    <x v="1"/>
    <n v="2"/>
    <s v="Married"/>
    <n v="3058"/>
    <n v="13364"/>
    <n v="0"/>
    <s v="Y"/>
    <x v="0"/>
    <n v="16"/>
    <n v="3"/>
    <n v="4"/>
    <n v="80"/>
    <n v="1"/>
    <n v="6"/>
    <n v="3"/>
    <n v="2"/>
    <n v="5"/>
    <n v="2"/>
    <n v="1"/>
    <n v="1"/>
    <x v="1"/>
    <n v="1"/>
    <x v="2"/>
    <x v="0"/>
    <s v="2-5 Years"/>
    <s v="Medium"/>
    <s v="Good"/>
  </r>
  <r>
    <x v="37"/>
    <s v="Yes"/>
    <s v="Travel_Frequently"/>
    <n v="602"/>
    <x v="0"/>
    <n v="1"/>
    <n v="1"/>
    <s v="Technical Degree"/>
    <n v="1"/>
    <n v="235"/>
    <n v="3"/>
    <x v="0"/>
    <n v="100"/>
    <n v="1"/>
    <n v="1"/>
    <x v="6"/>
    <n v="1"/>
    <s v="Single"/>
    <n v="2325"/>
    <n v="20989"/>
    <n v="0"/>
    <s v="Y"/>
    <x v="1"/>
    <n v="21"/>
    <n v="4"/>
    <n v="1"/>
    <n v="80"/>
    <n v="0"/>
    <n v="1"/>
    <n v="5"/>
    <n v="4"/>
    <n v="0"/>
    <n v="0"/>
    <n v="0"/>
    <n v="0"/>
    <x v="0"/>
    <n v="0"/>
    <x v="4"/>
    <x v="1"/>
    <s v="0-1 Years"/>
    <s v="Low"/>
    <s v="Best"/>
  </r>
  <r>
    <x v="9"/>
    <s v="No"/>
    <s v="Travel_Frequently"/>
    <n v="1480"/>
    <x v="1"/>
    <n v="3"/>
    <n v="2"/>
    <s v="Medical"/>
    <n v="1"/>
    <n v="238"/>
    <n v="4"/>
    <x v="1"/>
    <n v="30"/>
    <n v="3"/>
    <n v="1"/>
    <x v="2"/>
    <n v="2"/>
    <s v="Single"/>
    <n v="2088"/>
    <n v="15062"/>
    <n v="4"/>
    <s v="Y"/>
    <x v="1"/>
    <n v="12"/>
    <n v="3"/>
    <n v="3"/>
    <n v="80"/>
    <n v="0"/>
    <n v="13"/>
    <n v="3"/>
    <n v="2"/>
    <n v="8"/>
    <n v="7"/>
    <n v="7"/>
    <n v="2"/>
    <x v="1"/>
    <n v="1"/>
    <x v="0"/>
    <x v="1"/>
    <s v="6-10 Years"/>
    <s v="Medium"/>
    <s v="Good"/>
  </r>
  <r>
    <x v="7"/>
    <s v="No"/>
    <s v="Non-Travel"/>
    <n v="111"/>
    <x v="1"/>
    <n v="9"/>
    <n v="3"/>
    <s v="Medical"/>
    <n v="1"/>
    <n v="239"/>
    <n v="3"/>
    <x v="1"/>
    <n v="66"/>
    <n v="3"/>
    <n v="2"/>
    <x v="2"/>
    <n v="1"/>
    <s v="Divorced"/>
    <n v="3072"/>
    <n v="11012"/>
    <n v="1"/>
    <s v="Y"/>
    <x v="1"/>
    <n v="11"/>
    <n v="3"/>
    <n v="3"/>
    <n v="80"/>
    <n v="2"/>
    <n v="12"/>
    <n v="4"/>
    <n v="3"/>
    <n v="12"/>
    <n v="9"/>
    <n v="6"/>
    <n v="10"/>
    <x v="1"/>
    <n v="1"/>
    <x v="2"/>
    <x v="0"/>
    <s v="10+ Years"/>
    <s v="Low"/>
    <s v="Better"/>
  </r>
  <r>
    <x v="28"/>
    <s v="No"/>
    <s v="Travel_Rarely"/>
    <n v="1268"/>
    <x v="0"/>
    <n v="4"/>
    <n v="2"/>
    <s v="Life Sciences"/>
    <n v="1"/>
    <n v="240"/>
    <n v="3"/>
    <x v="0"/>
    <n v="30"/>
    <n v="3"/>
    <n v="2"/>
    <x v="0"/>
    <n v="1"/>
    <s v="Divorced"/>
    <n v="5006"/>
    <n v="6319"/>
    <n v="4"/>
    <s v="Y"/>
    <x v="0"/>
    <n v="11"/>
    <n v="3"/>
    <n v="1"/>
    <n v="80"/>
    <n v="1"/>
    <n v="9"/>
    <n v="3"/>
    <n v="4"/>
    <n v="5"/>
    <n v="4"/>
    <n v="0"/>
    <n v="3"/>
    <x v="1"/>
    <n v="1"/>
    <x v="1"/>
    <x v="0"/>
    <s v="2-5 Years"/>
    <s v="Low"/>
    <s v="Best"/>
  </r>
  <r>
    <x v="29"/>
    <s v="No"/>
    <s v="Travel_Rarely"/>
    <n v="713"/>
    <x v="1"/>
    <n v="8"/>
    <n v="3"/>
    <s v="Life Sciences"/>
    <n v="1"/>
    <n v="241"/>
    <n v="3"/>
    <x v="0"/>
    <n v="67"/>
    <n v="3"/>
    <n v="1"/>
    <x v="1"/>
    <n v="1"/>
    <s v="Divorced"/>
    <n v="4257"/>
    <n v="13939"/>
    <n v="4"/>
    <s v="Y"/>
    <x v="0"/>
    <n v="18"/>
    <n v="3"/>
    <n v="3"/>
    <n v="80"/>
    <n v="1"/>
    <n v="19"/>
    <n v="3"/>
    <n v="3"/>
    <n v="2"/>
    <n v="2"/>
    <n v="2"/>
    <n v="2"/>
    <x v="1"/>
    <n v="1"/>
    <x v="3"/>
    <x v="0"/>
    <s v="2-5 Years"/>
    <s v="Low"/>
    <s v="Better"/>
  </r>
  <r>
    <x v="3"/>
    <s v="No"/>
    <s v="Travel_Rarely"/>
    <n v="134"/>
    <x v="1"/>
    <n v="2"/>
    <n v="3"/>
    <s v="Life Sciences"/>
    <n v="1"/>
    <n v="242"/>
    <n v="3"/>
    <x v="1"/>
    <n v="90"/>
    <n v="3"/>
    <n v="1"/>
    <x v="1"/>
    <n v="4"/>
    <s v="Single"/>
    <n v="2500"/>
    <n v="10515"/>
    <n v="0"/>
    <s v="Y"/>
    <x v="1"/>
    <n v="14"/>
    <n v="3"/>
    <n v="1"/>
    <n v="80"/>
    <n v="0"/>
    <n v="4"/>
    <n v="2"/>
    <n v="4"/>
    <n v="3"/>
    <n v="1"/>
    <n v="0"/>
    <n v="2"/>
    <x v="1"/>
    <n v="1"/>
    <x v="2"/>
    <x v="1"/>
    <s v="2-5 Years"/>
    <s v="Very High"/>
    <s v="Best"/>
  </r>
  <r>
    <x v="37"/>
    <s v="Yes"/>
    <s v="Travel_Rarely"/>
    <n v="303"/>
    <x v="1"/>
    <n v="2"/>
    <n v="3"/>
    <s v="Life Sciences"/>
    <n v="1"/>
    <n v="243"/>
    <n v="2"/>
    <x v="1"/>
    <n v="47"/>
    <n v="2"/>
    <n v="1"/>
    <x v="2"/>
    <n v="4"/>
    <s v="Single"/>
    <n v="1102"/>
    <n v="9241"/>
    <n v="1"/>
    <s v="Y"/>
    <x v="1"/>
    <n v="22"/>
    <n v="4"/>
    <n v="3"/>
    <n v="80"/>
    <n v="0"/>
    <n v="1"/>
    <n v="3"/>
    <n v="2"/>
    <n v="1"/>
    <n v="0"/>
    <n v="1"/>
    <n v="0"/>
    <x v="0"/>
    <n v="0"/>
    <x v="4"/>
    <x v="1"/>
    <s v="0-1 Years"/>
    <s v="Very High"/>
    <s v="Good"/>
  </r>
  <r>
    <x v="21"/>
    <s v="No"/>
    <s v="Travel_Rarely"/>
    <n v="526"/>
    <x v="0"/>
    <n v="1"/>
    <n v="2"/>
    <s v="Marketing"/>
    <n v="1"/>
    <n v="244"/>
    <n v="2"/>
    <x v="0"/>
    <n v="92"/>
    <n v="3"/>
    <n v="3"/>
    <x v="0"/>
    <n v="1"/>
    <s v="Divorced"/>
    <n v="10453"/>
    <n v="2137"/>
    <n v="1"/>
    <s v="Y"/>
    <x v="1"/>
    <n v="25"/>
    <n v="4"/>
    <n v="3"/>
    <n v="80"/>
    <n v="3"/>
    <n v="24"/>
    <n v="2"/>
    <n v="3"/>
    <n v="24"/>
    <n v="13"/>
    <n v="15"/>
    <n v="7"/>
    <x v="1"/>
    <n v="1"/>
    <x v="1"/>
    <x v="2"/>
    <s v="10+ Years"/>
    <s v="Low"/>
    <s v="Better"/>
  </r>
  <r>
    <x v="8"/>
    <s v="No"/>
    <s v="Travel_Rarely"/>
    <n v="1380"/>
    <x v="1"/>
    <n v="9"/>
    <n v="2"/>
    <s v="Life Sciences"/>
    <n v="1"/>
    <n v="245"/>
    <n v="3"/>
    <x v="0"/>
    <n v="75"/>
    <n v="3"/>
    <n v="1"/>
    <x v="2"/>
    <n v="4"/>
    <s v="Single"/>
    <n v="2288"/>
    <n v="6319"/>
    <n v="1"/>
    <s v="Y"/>
    <x v="1"/>
    <n v="12"/>
    <n v="3"/>
    <n v="3"/>
    <n v="80"/>
    <n v="0"/>
    <n v="2"/>
    <n v="3"/>
    <n v="3"/>
    <n v="2"/>
    <n v="2"/>
    <n v="2"/>
    <n v="1"/>
    <x v="1"/>
    <n v="1"/>
    <x v="0"/>
    <x v="1"/>
    <s v="2-5 Years"/>
    <s v="Very High"/>
    <s v="Better"/>
  </r>
  <r>
    <x v="12"/>
    <s v="No"/>
    <s v="Travel_Rarely"/>
    <n v="140"/>
    <x v="1"/>
    <n v="12"/>
    <n v="1"/>
    <s v="Medical"/>
    <n v="1"/>
    <n v="246"/>
    <n v="3"/>
    <x v="0"/>
    <n v="95"/>
    <n v="3"/>
    <n v="1"/>
    <x v="1"/>
    <n v="4"/>
    <s v="Married"/>
    <n v="3929"/>
    <n v="6984"/>
    <n v="8"/>
    <s v="Y"/>
    <x v="0"/>
    <n v="23"/>
    <n v="4"/>
    <n v="3"/>
    <n v="80"/>
    <n v="1"/>
    <n v="7"/>
    <n v="0"/>
    <n v="3"/>
    <n v="4"/>
    <n v="2"/>
    <n v="0"/>
    <n v="2"/>
    <x v="1"/>
    <n v="1"/>
    <x v="2"/>
    <x v="0"/>
    <s v="2-5 Years"/>
    <s v="Very High"/>
    <s v="Better"/>
  </r>
  <r>
    <x v="13"/>
    <s v="No"/>
    <s v="Travel_Rarely"/>
    <n v="629"/>
    <x v="1"/>
    <n v="27"/>
    <n v="2"/>
    <s v="Medical"/>
    <n v="1"/>
    <n v="247"/>
    <n v="4"/>
    <x v="0"/>
    <n v="95"/>
    <n v="3"/>
    <n v="1"/>
    <x v="1"/>
    <n v="2"/>
    <s v="Single"/>
    <n v="2311"/>
    <n v="5711"/>
    <n v="2"/>
    <s v="Y"/>
    <x v="1"/>
    <n v="15"/>
    <n v="3"/>
    <n v="4"/>
    <n v="80"/>
    <n v="0"/>
    <n v="9"/>
    <n v="3"/>
    <n v="3"/>
    <n v="3"/>
    <n v="2"/>
    <n v="1"/>
    <n v="2"/>
    <x v="1"/>
    <n v="1"/>
    <x v="2"/>
    <x v="1"/>
    <s v="2-5 Years"/>
    <s v="Medium"/>
    <s v="Better"/>
  </r>
  <r>
    <x v="0"/>
    <s v="Yes"/>
    <s v="Travel_Rarely"/>
    <n v="1356"/>
    <x v="0"/>
    <n v="20"/>
    <n v="2"/>
    <s v="Marketing"/>
    <n v="1"/>
    <n v="248"/>
    <n v="2"/>
    <x v="0"/>
    <n v="70"/>
    <n v="3"/>
    <n v="1"/>
    <x v="6"/>
    <n v="2"/>
    <s v="Single"/>
    <n v="3140"/>
    <n v="21728"/>
    <n v="1"/>
    <s v="Y"/>
    <x v="0"/>
    <n v="22"/>
    <n v="4"/>
    <n v="4"/>
    <n v="80"/>
    <n v="0"/>
    <n v="4"/>
    <n v="5"/>
    <n v="2"/>
    <n v="4"/>
    <n v="3"/>
    <n v="0"/>
    <n v="2"/>
    <x v="0"/>
    <n v="0"/>
    <x v="0"/>
    <x v="0"/>
    <s v="2-5 Years"/>
    <s v="Medium"/>
    <s v="Good"/>
  </r>
  <r>
    <x v="24"/>
    <s v="No"/>
    <s v="Travel_Rarely"/>
    <n v="328"/>
    <x v="1"/>
    <n v="1"/>
    <n v="3"/>
    <s v="Medical"/>
    <n v="1"/>
    <n v="249"/>
    <n v="3"/>
    <x v="1"/>
    <n v="86"/>
    <n v="2"/>
    <n v="1"/>
    <x v="2"/>
    <n v="3"/>
    <s v="Married"/>
    <n v="3690"/>
    <n v="3425"/>
    <n v="2"/>
    <s v="Y"/>
    <x v="1"/>
    <n v="15"/>
    <n v="3"/>
    <n v="4"/>
    <n v="80"/>
    <n v="1"/>
    <n v="5"/>
    <n v="2"/>
    <n v="2"/>
    <n v="3"/>
    <n v="2"/>
    <n v="0"/>
    <n v="2"/>
    <x v="1"/>
    <n v="1"/>
    <x v="1"/>
    <x v="0"/>
    <s v="2-5 Years"/>
    <s v="High"/>
    <s v="Good"/>
  </r>
  <r>
    <x v="16"/>
    <s v="No"/>
    <s v="Travel_Rarely"/>
    <n v="1084"/>
    <x v="1"/>
    <n v="13"/>
    <n v="2"/>
    <s v="Medical"/>
    <n v="1"/>
    <n v="250"/>
    <n v="4"/>
    <x v="0"/>
    <n v="57"/>
    <n v="4"/>
    <n v="2"/>
    <x v="3"/>
    <n v="1"/>
    <s v="Divorced"/>
    <n v="4450"/>
    <n v="26250"/>
    <n v="1"/>
    <s v="Y"/>
    <x v="1"/>
    <n v="11"/>
    <n v="3"/>
    <n v="3"/>
    <n v="80"/>
    <n v="2"/>
    <n v="5"/>
    <n v="3"/>
    <n v="3"/>
    <n v="4"/>
    <n v="2"/>
    <n v="1"/>
    <n v="3"/>
    <x v="1"/>
    <n v="1"/>
    <x v="1"/>
    <x v="0"/>
    <s v="2-5 Years"/>
    <s v="Low"/>
    <s v="Better"/>
  </r>
  <r>
    <x v="3"/>
    <s v="No"/>
    <s v="Travel_Rarely"/>
    <n v="931"/>
    <x v="1"/>
    <n v="14"/>
    <n v="3"/>
    <s v="Medical"/>
    <n v="1"/>
    <n v="252"/>
    <n v="4"/>
    <x v="0"/>
    <n v="72"/>
    <n v="3"/>
    <n v="1"/>
    <x v="1"/>
    <n v="2"/>
    <s v="Married"/>
    <n v="2756"/>
    <n v="4673"/>
    <n v="1"/>
    <s v="Y"/>
    <x v="1"/>
    <n v="13"/>
    <n v="3"/>
    <n v="4"/>
    <n v="80"/>
    <n v="1"/>
    <n v="8"/>
    <n v="5"/>
    <n v="3"/>
    <n v="8"/>
    <n v="7"/>
    <n v="1"/>
    <n v="6"/>
    <x v="1"/>
    <n v="1"/>
    <x v="2"/>
    <x v="1"/>
    <s v="6-10 Years"/>
    <s v="Medium"/>
    <s v="Better"/>
  </r>
  <r>
    <x v="32"/>
    <s v="No"/>
    <s v="Travel_Rarely"/>
    <n v="989"/>
    <x v="1"/>
    <n v="4"/>
    <n v="1"/>
    <s v="Medical"/>
    <n v="1"/>
    <n v="253"/>
    <n v="4"/>
    <x v="0"/>
    <n v="46"/>
    <n v="3"/>
    <n v="5"/>
    <x v="5"/>
    <n v="3"/>
    <s v="Married"/>
    <n v="19033"/>
    <n v="6499"/>
    <n v="1"/>
    <s v="Y"/>
    <x v="1"/>
    <n v="14"/>
    <n v="3"/>
    <n v="2"/>
    <n v="80"/>
    <n v="1"/>
    <n v="21"/>
    <n v="2"/>
    <n v="3"/>
    <n v="20"/>
    <n v="8"/>
    <n v="9"/>
    <n v="9"/>
    <x v="1"/>
    <n v="1"/>
    <x v="0"/>
    <x v="2"/>
    <s v="10+ Years"/>
    <s v="High"/>
    <s v="Better"/>
  </r>
  <r>
    <x v="27"/>
    <s v="No"/>
    <s v="Travel_Rarely"/>
    <n v="692"/>
    <x v="1"/>
    <n v="14"/>
    <n v="4"/>
    <s v="Medical"/>
    <n v="1"/>
    <n v="254"/>
    <n v="3"/>
    <x v="1"/>
    <n v="61"/>
    <n v="4"/>
    <n v="5"/>
    <x v="7"/>
    <n v="2"/>
    <s v="Single"/>
    <n v="18722"/>
    <n v="13339"/>
    <n v="8"/>
    <s v="Y"/>
    <x v="1"/>
    <n v="11"/>
    <n v="3"/>
    <n v="4"/>
    <n v="80"/>
    <n v="0"/>
    <n v="36"/>
    <n v="3"/>
    <n v="3"/>
    <n v="24"/>
    <n v="15"/>
    <n v="2"/>
    <n v="15"/>
    <x v="1"/>
    <n v="1"/>
    <x v="3"/>
    <x v="2"/>
    <s v="10+ Years"/>
    <s v="Medium"/>
    <s v="Better"/>
  </r>
  <r>
    <x v="13"/>
    <s v="No"/>
    <s v="Travel_Frequently"/>
    <n v="1069"/>
    <x v="1"/>
    <n v="2"/>
    <n v="1"/>
    <s v="Life Sciences"/>
    <n v="1"/>
    <n v="256"/>
    <n v="4"/>
    <x v="1"/>
    <n v="45"/>
    <n v="2"/>
    <n v="2"/>
    <x v="3"/>
    <n v="3"/>
    <s v="Married"/>
    <n v="9547"/>
    <n v="14074"/>
    <n v="1"/>
    <s v="Y"/>
    <x v="1"/>
    <n v="17"/>
    <n v="3"/>
    <n v="3"/>
    <n v="80"/>
    <n v="0"/>
    <n v="10"/>
    <n v="2"/>
    <n v="2"/>
    <n v="10"/>
    <n v="9"/>
    <n v="1"/>
    <n v="9"/>
    <x v="1"/>
    <n v="1"/>
    <x v="2"/>
    <x v="2"/>
    <s v="6-10 Years"/>
    <s v="High"/>
    <s v="Good"/>
  </r>
  <r>
    <x v="31"/>
    <s v="No"/>
    <s v="Travel_Rarely"/>
    <n v="313"/>
    <x v="1"/>
    <n v="3"/>
    <n v="3"/>
    <s v="Medical"/>
    <n v="1"/>
    <n v="258"/>
    <n v="4"/>
    <x v="0"/>
    <n v="98"/>
    <n v="3"/>
    <n v="4"/>
    <x v="4"/>
    <n v="2"/>
    <s v="Single"/>
    <n v="13734"/>
    <n v="7192"/>
    <n v="3"/>
    <s v="Y"/>
    <x v="1"/>
    <n v="18"/>
    <n v="3"/>
    <n v="3"/>
    <n v="80"/>
    <n v="0"/>
    <n v="21"/>
    <n v="6"/>
    <n v="3"/>
    <n v="7"/>
    <n v="7"/>
    <n v="1"/>
    <n v="0"/>
    <x v="1"/>
    <n v="1"/>
    <x v="1"/>
    <x v="2"/>
    <s v="6-10 Years"/>
    <s v="Medium"/>
    <s v="Better"/>
  </r>
  <r>
    <x v="39"/>
    <s v="No"/>
    <s v="Travel_Rarely"/>
    <n v="699"/>
    <x v="1"/>
    <n v="1"/>
    <n v="4"/>
    <s v="Life Sciences"/>
    <n v="1"/>
    <n v="259"/>
    <n v="3"/>
    <x v="1"/>
    <n v="65"/>
    <n v="2"/>
    <n v="5"/>
    <x v="5"/>
    <n v="3"/>
    <s v="Married"/>
    <n v="19999"/>
    <n v="5678"/>
    <n v="0"/>
    <s v="Y"/>
    <x v="1"/>
    <n v="14"/>
    <n v="3"/>
    <n v="1"/>
    <n v="80"/>
    <n v="1"/>
    <n v="34"/>
    <n v="5"/>
    <n v="3"/>
    <n v="33"/>
    <n v="18"/>
    <n v="11"/>
    <n v="9"/>
    <x v="1"/>
    <n v="1"/>
    <x v="1"/>
    <x v="2"/>
    <s v="10+ Years"/>
    <s v="High"/>
    <s v="Better"/>
  </r>
  <r>
    <x v="4"/>
    <s v="No"/>
    <s v="Travel_Rarely"/>
    <n v="894"/>
    <x v="1"/>
    <n v="9"/>
    <n v="3"/>
    <s v="Medical"/>
    <n v="1"/>
    <n v="260"/>
    <n v="4"/>
    <x v="0"/>
    <n v="99"/>
    <n v="3"/>
    <n v="1"/>
    <x v="1"/>
    <n v="2"/>
    <s v="Single"/>
    <n v="2279"/>
    <n v="11781"/>
    <n v="1"/>
    <s v="Y"/>
    <x v="1"/>
    <n v="16"/>
    <n v="3"/>
    <n v="4"/>
    <n v="80"/>
    <n v="0"/>
    <n v="7"/>
    <n v="2"/>
    <n v="2"/>
    <n v="7"/>
    <n v="7"/>
    <n v="0"/>
    <n v="3"/>
    <x v="1"/>
    <n v="1"/>
    <x v="2"/>
    <x v="1"/>
    <s v="6-10 Years"/>
    <s v="Medium"/>
    <s v="Good"/>
  </r>
  <r>
    <x v="10"/>
    <s v="Yes"/>
    <s v="Travel_Rarely"/>
    <n v="556"/>
    <x v="1"/>
    <n v="23"/>
    <n v="2"/>
    <s v="Life Sciences"/>
    <n v="1"/>
    <n v="261"/>
    <n v="2"/>
    <x v="1"/>
    <n v="50"/>
    <n v="2"/>
    <n v="2"/>
    <x v="3"/>
    <n v="3"/>
    <s v="Married"/>
    <n v="5916"/>
    <n v="15497"/>
    <n v="3"/>
    <s v="Y"/>
    <x v="0"/>
    <n v="13"/>
    <n v="3"/>
    <n v="1"/>
    <n v="80"/>
    <n v="0"/>
    <n v="8"/>
    <n v="1"/>
    <n v="3"/>
    <n v="1"/>
    <n v="0"/>
    <n v="0"/>
    <n v="1"/>
    <x v="0"/>
    <n v="0"/>
    <x v="0"/>
    <x v="0"/>
    <s v="0-1 Years"/>
    <s v="High"/>
    <s v="Better"/>
  </r>
  <r>
    <x v="23"/>
    <s v="No"/>
    <s v="Non-Travel"/>
    <n v="1344"/>
    <x v="1"/>
    <n v="7"/>
    <n v="3"/>
    <s v="Medical"/>
    <n v="1"/>
    <n v="262"/>
    <n v="4"/>
    <x v="1"/>
    <n v="37"/>
    <n v="4"/>
    <n v="1"/>
    <x v="1"/>
    <n v="4"/>
    <s v="Divorced"/>
    <n v="2089"/>
    <n v="5228"/>
    <n v="4"/>
    <s v="Y"/>
    <x v="1"/>
    <n v="14"/>
    <n v="3"/>
    <n v="4"/>
    <n v="80"/>
    <n v="3"/>
    <n v="7"/>
    <n v="3"/>
    <n v="4"/>
    <n v="5"/>
    <n v="4"/>
    <n v="2"/>
    <n v="2"/>
    <x v="1"/>
    <n v="1"/>
    <x v="0"/>
    <x v="1"/>
    <s v="2-5 Years"/>
    <s v="Very High"/>
    <s v="Best"/>
  </r>
  <r>
    <x v="28"/>
    <s v="No"/>
    <s v="Non-Travel"/>
    <n v="1195"/>
    <x v="1"/>
    <n v="2"/>
    <n v="2"/>
    <s v="Medical"/>
    <n v="1"/>
    <n v="264"/>
    <n v="1"/>
    <x v="1"/>
    <n v="65"/>
    <n v="2"/>
    <n v="4"/>
    <x v="5"/>
    <n v="4"/>
    <s v="Married"/>
    <n v="16792"/>
    <n v="20462"/>
    <n v="9"/>
    <s v="Y"/>
    <x v="1"/>
    <n v="23"/>
    <n v="4"/>
    <n v="4"/>
    <n v="80"/>
    <n v="1"/>
    <n v="22"/>
    <n v="1"/>
    <n v="3"/>
    <n v="20"/>
    <n v="8"/>
    <n v="11"/>
    <n v="8"/>
    <x v="1"/>
    <n v="1"/>
    <x v="1"/>
    <x v="2"/>
    <s v="10+ Years"/>
    <s v="Very High"/>
    <s v="Better"/>
  </r>
  <r>
    <x v="2"/>
    <s v="No"/>
    <s v="Travel_Rarely"/>
    <n v="290"/>
    <x v="1"/>
    <n v="21"/>
    <n v="3"/>
    <s v="Life Sciences"/>
    <n v="1"/>
    <n v="267"/>
    <n v="2"/>
    <x v="1"/>
    <n v="65"/>
    <n v="4"/>
    <n v="1"/>
    <x v="1"/>
    <n v="1"/>
    <s v="Married"/>
    <n v="3564"/>
    <n v="22977"/>
    <n v="1"/>
    <s v="Y"/>
    <x v="0"/>
    <n v="12"/>
    <n v="3"/>
    <n v="1"/>
    <n v="80"/>
    <n v="1"/>
    <n v="8"/>
    <n v="3"/>
    <n v="2"/>
    <n v="8"/>
    <n v="7"/>
    <n v="1"/>
    <n v="7"/>
    <x v="1"/>
    <n v="1"/>
    <x v="0"/>
    <x v="0"/>
    <s v="6-10 Years"/>
    <s v="Low"/>
    <s v="Good"/>
  </r>
  <r>
    <x v="10"/>
    <s v="No"/>
    <s v="Travel_Frequently"/>
    <n v="138"/>
    <x v="1"/>
    <n v="2"/>
    <n v="3"/>
    <s v="Medical"/>
    <n v="1"/>
    <n v="269"/>
    <n v="2"/>
    <x v="0"/>
    <n v="37"/>
    <n v="3"/>
    <n v="2"/>
    <x v="2"/>
    <n v="2"/>
    <s v="Single"/>
    <n v="4425"/>
    <n v="15986"/>
    <n v="5"/>
    <s v="Y"/>
    <x v="1"/>
    <n v="11"/>
    <n v="3"/>
    <n v="4"/>
    <n v="80"/>
    <n v="0"/>
    <n v="10"/>
    <n v="5"/>
    <n v="3"/>
    <n v="6"/>
    <n v="2"/>
    <n v="1"/>
    <n v="2"/>
    <x v="1"/>
    <n v="1"/>
    <x v="0"/>
    <x v="0"/>
    <s v="6-10 Years"/>
    <s v="Medium"/>
    <s v="Better"/>
  </r>
  <r>
    <x v="19"/>
    <s v="No"/>
    <s v="Non-Travel"/>
    <n v="926"/>
    <x v="1"/>
    <n v="21"/>
    <n v="2"/>
    <s v="Medical"/>
    <n v="1"/>
    <n v="270"/>
    <n v="3"/>
    <x v="0"/>
    <n v="36"/>
    <n v="3"/>
    <n v="2"/>
    <x v="3"/>
    <n v="3"/>
    <s v="Divorced"/>
    <n v="5265"/>
    <n v="16439"/>
    <n v="2"/>
    <s v="Y"/>
    <x v="1"/>
    <n v="16"/>
    <n v="3"/>
    <n v="2"/>
    <n v="80"/>
    <n v="1"/>
    <n v="11"/>
    <n v="5"/>
    <n v="3"/>
    <n v="5"/>
    <n v="3"/>
    <n v="0"/>
    <n v="2"/>
    <x v="1"/>
    <n v="1"/>
    <x v="0"/>
    <x v="0"/>
    <s v="2-5 Years"/>
    <s v="High"/>
    <s v="Better"/>
  </r>
  <r>
    <x v="8"/>
    <s v="No"/>
    <s v="Travel_Rarely"/>
    <n v="1261"/>
    <x v="1"/>
    <n v="2"/>
    <n v="4"/>
    <s v="Life Sciences"/>
    <n v="1"/>
    <n v="271"/>
    <n v="4"/>
    <x v="1"/>
    <n v="88"/>
    <n v="3"/>
    <n v="2"/>
    <x v="3"/>
    <n v="3"/>
    <s v="Married"/>
    <n v="6553"/>
    <n v="7259"/>
    <n v="9"/>
    <s v="Y"/>
    <x v="1"/>
    <n v="14"/>
    <n v="3"/>
    <n v="2"/>
    <n v="80"/>
    <n v="0"/>
    <n v="14"/>
    <n v="3"/>
    <n v="3"/>
    <n v="1"/>
    <n v="0"/>
    <n v="0"/>
    <n v="0"/>
    <x v="1"/>
    <n v="1"/>
    <x v="0"/>
    <x v="0"/>
    <s v="0-1 Years"/>
    <s v="High"/>
    <s v="Better"/>
  </r>
  <r>
    <x v="8"/>
    <s v="No"/>
    <s v="Travel_Rarely"/>
    <n v="1084"/>
    <x v="1"/>
    <n v="29"/>
    <n v="3"/>
    <s v="Technical Degree"/>
    <n v="1"/>
    <n v="273"/>
    <n v="4"/>
    <x v="1"/>
    <n v="54"/>
    <n v="3"/>
    <n v="2"/>
    <x v="3"/>
    <n v="4"/>
    <s v="Married"/>
    <n v="6261"/>
    <n v="4185"/>
    <n v="3"/>
    <s v="Y"/>
    <x v="1"/>
    <n v="18"/>
    <n v="3"/>
    <n v="1"/>
    <n v="80"/>
    <n v="1"/>
    <n v="9"/>
    <n v="3"/>
    <n v="1"/>
    <n v="7"/>
    <n v="7"/>
    <n v="1"/>
    <n v="7"/>
    <x v="1"/>
    <n v="1"/>
    <x v="0"/>
    <x v="0"/>
    <s v="6-10 Years"/>
    <s v="Very High"/>
    <s v="Bad"/>
  </r>
  <r>
    <x v="4"/>
    <s v="No"/>
    <s v="Travel_Frequently"/>
    <n v="472"/>
    <x v="1"/>
    <n v="1"/>
    <n v="1"/>
    <s v="Technical Degree"/>
    <n v="1"/>
    <n v="274"/>
    <n v="3"/>
    <x v="1"/>
    <n v="60"/>
    <n v="2"/>
    <n v="2"/>
    <x v="3"/>
    <n v="1"/>
    <s v="Married"/>
    <n v="4298"/>
    <n v="9679"/>
    <n v="5"/>
    <s v="Y"/>
    <x v="1"/>
    <n v="19"/>
    <n v="3"/>
    <n v="3"/>
    <n v="80"/>
    <n v="1"/>
    <n v="6"/>
    <n v="1"/>
    <n v="3"/>
    <n v="2"/>
    <n v="2"/>
    <n v="2"/>
    <n v="0"/>
    <x v="1"/>
    <n v="1"/>
    <x v="2"/>
    <x v="0"/>
    <s v="2-5 Years"/>
    <s v="Low"/>
    <s v="Better"/>
  </r>
  <r>
    <x v="1"/>
    <s v="No"/>
    <s v="Non-Travel"/>
    <n v="1002"/>
    <x v="1"/>
    <n v="18"/>
    <n v="4"/>
    <s v="Life Sciences"/>
    <n v="1"/>
    <n v="275"/>
    <n v="4"/>
    <x v="1"/>
    <n v="92"/>
    <n v="3"/>
    <n v="2"/>
    <x v="3"/>
    <n v="4"/>
    <s v="Divorced"/>
    <n v="6804"/>
    <n v="23793"/>
    <n v="1"/>
    <s v="Y"/>
    <x v="0"/>
    <n v="15"/>
    <n v="3"/>
    <n v="1"/>
    <n v="80"/>
    <n v="2"/>
    <n v="7"/>
    <n v="0"/>
    <n v="3"/>
    <n v="7"/>
    <n v="7"/>
    <n v="1"/>
    <n v="7"/>
    <x v="1"/>
    <n v="1"/>
    <x v="1"/>
    <x v="0"/>
    <s v="6-10 Years"/>
    <s v="Very High"/>
    <s v="Better"/>
  </r>
  <r>
    <x v="13"/>
    <s v="No"/>
    <s v="Travel_Frequently"/>
    <n v="878"/>
    <x v="1"/>
    <n v="10"/>
    <n v="4"/>
    <s v="Medical"/>
    <n v="1"/>
    <n v="277"/>
    <n v="4"/>
    <x v="1"/>
    <n v="43"/>
    <n v="3"/>
    <n v="1"/>
    <x v="1"/>
    <n v="3"/>
    <s v="Divorced"/>
    <n v="3815"/>
    <n v="5972"/>
    <n v="1"/>
    <s v="Y"/>
    <x v="0"/>
    <n v="17"/>
    <n v="3"/>
    <n v="4"/>
    <n v="80"/>
    <n v="1"/>
    <n v="5"/>
    <n v="4"/>
    <n v="4"/>
    <n v="5"/>
    <n v="3"/>
    <n v="2"/>
    <n v="0"/>
    <x v="1"/>
    <n v="1"/>
    <x v="2"/>
    <x v="0"/>
    <s v="2-5 Years"/>
    <s v="High"/>
    <s v="Best"/>
  </r>
  <r>
    <x v="32"/>
    <s v="No"/>
    <s v="Travel_Rarely"/>
    <n v="905"/>
    <x v="1"/>
    <n v="19"/>
    <n v="2"/>
    <s v="Medical"/>
    <n v="1"/>
    <n v="281"/>
    <n v="3"/>
    <x v="1"/>
    <n v="99"/>
    <n v="3"/>
    <n v="2"/>
    <x v="2"/>
    <n v="4"/>
    <s v="Married"/>
    <n v="2741"/>
    <n v="16523"/>
    <n v="8"/>
    <s v="Y"/>
    <x v="0"/>
    <n v="15"/>
    <n v="3"/>
    <n v="3"/>
    <n v="80"/>
    <n v="1"/>
    <n v="15"/>
    <n v="2"/>
    <n v="4"/>
    <n v="7"/>
    <n v="2"/>
    <n v="3"/>
    <n v="7"/>
    <x v="1"/>
    <n v="1"/>
    <x v="0"/>
    <x v="1"/>
    <s v="6-10 Years"/>
    <s v="Very High"/>
    <s v="Best"/>
  </r>
  <r>
    <x v="8"/>
    <s v="Yes"/>
    <s v="Travel_Rarely"/>
    <n v="1180"/>
    <x v="1"/>
    <n v="29"/>
    <n v="1"/>
    <s v="Medical"/>
    <n v="1"/>
    <n v="282"/>
    <n v="2"/>
    <x v="1"/>
    <n v="70"/>
    <n v="3"/>
    <n v="2"/>
    <x v="4"/>
    <n v="1"/>
    <s v="Married"/>
    <n v="6673"/>
    <n v="11354"/>
    <n v="7"/>
    <s v="Y"/>
    <x v="0"/>
    <n v="19"/>
    <n v="3"/>
    <n v="2"/>
    <n v="80"/>
    <n v="0"/>
    <n v="17"/>
    <n v="2"/>
    <n v="3"/>
    <n v="1"/>
    <n v="0"/>
    <n v="0"/>
    <n v="0"/>
    <x v="0"/>
    <n v="0"/>
    <x v="0"/>
    <x v="0"/>
    <s v="0-1 Years"/>
    <s v="Low"/>
    <s v="Better"/>
  </r>
  <r>
    <x v="11"/>
    <s v="Yes"/>
    <s v="Travel_Rarely"/>
    <n v="121"/>
    <x v="0"/>
    <n v="27"/>
    <n v="3"/>
    <s v="Marketing"/>
    <n v="1"/>
    <n v="283"/>
    <n v="2"/>
    <x v="0"/>
    <n v="35"/>
    <n v="3"/>
    <n v="3"/>
    <x v="0"/>
    <n v="4"/>
    <s v="Married"/>
    <n v="7639"/>
    <n v="24525"/>
    <n v="1"/>
    <s v="Y"/>
    <x v="1"/>
    <n v="22"/>
    <n v="4"/>
    <n v="4"/>
    <n v="80"/>
    <n v="3"/>
    <n v="10"/>
    <n v="3"/>
    <n v="2"/>
    <n v="10"/>
    <n v="4"/>
    <n v="1"/>
    <n v="9"/>
    <x v="0"/>
    <n v="0"/>
    <x v="2"/>
    <x v="2"/>
    <s v="6-10 Years"/>
    <s v="Very High"/>
    <s v="Good"/>
  </r>
  <r>
    <x v="15"/>
    <s v="No"/>
    <s v="Travel_Rarely"/>
    <n v="1136"/>
    <x v="1"/>
    <n v="5"/>
    <n v="3"/>
    <s v="Life Sciences"/>
    <n v="1"/>
    <n v="284"/>
    <n v="4"/>
    <x v="1"/>
    <n v="60"/>
    <n v="4"/>
    <n v="1"/>
    <x v="1"/>
    <n v="2"/>
    <s v="Divorced"/>
    <n v="2328"/>
    <n v="12392"/>
    <n v="1"/>
    <s v="Y"/>
    <x v="0"/>
    <n v="16"/>
    <n v="3"/>
    <n v="1"/>
    <n v="80"/>
    <n v="1"/>
    <n v="4"/>
    <n v="2"/>
    <n v="2"/>
    <n v="4"/>
    <n v="2"/>
    <n v="2"/>
    <n v="2"/>
    <x v="1"/>
    <n v="1"/>
    <x v="4"/>
    <x v="1"/>
    <s v="2-5 Years"/>
    <s v="Medium"/>
    <s v="Good"/>
  </r>
  <r>
    <x v="9"/>
    <s v="No"/>
    <s v="Travel_Frequently"/>
    <n v="635"/>
    <x v="1"/>
    <n v="18"/>
    <n v="1"/>
    <s v="Medical"/>
    <n v="1"/>
    <n v="286"/>
    <n v="2"/>
    <x v="0"/>
    <n v="73"/>
    <n v="3"/>
    <n v="1"/>
    <x v="2"/>
    <n v="4"/>
    <s v="Single"/>
    <n v="2153"/>
    <n v="7703"/>
    <n v="1"/>
    <s v="Y"/>
    <x v="1"/>
    <n v="13"/>
    <n v="3"/>
    <n v="1"/>
    <n v="80"/>
    <n v="0"/>
    <n v="8"/>
    <n v="2"/>
    <n v="3"/>
    <n v="8"/>
    <n v="1"/>
    <n v="1"/>
    <n v="7"/>
    <x v="1"/>
    <n v="1"/>
    <x v="0"/>
    <x v="1"/>
    <s v="6-10 Years"/>
    <s v="Very High"/>
    <s v="Better"/>
  </r>
  <r>
    <x v="32"/>
    <s v="No"/>
    <s v="Non-Travel"/>
    <n v="1151"/>
    <x v="1"/>
    <n v="9"/>
    <n v="5"/>
    <s v="Life Sciences"/>
    <n v="1"/>
    <n v="287"/>
    <n v="4"/>
    <x v="1"/>
    <n v="63"/>
    <n v="2"/>
    <n v="2"/>
    <x v="4"/>
    <n v="4"/>
    <s v="Married"/>
    <n v="4876"/>
    <n v="14242"/>
    <n v="9"/>
    <s v="Y"/>
    <x v="1"/>
    <n v="14"/>
    <n v="3"/>
    <n v="4"/>
    <n v="80"/>
    <n v="1"/>
    <n v="5"/>
    <n v="5"/>
    <n v="1"/>
    <n v="3"/>
    <n v="2"/>
    <n v="0"/>
    <n v="2"/>
    <x v="1"/>
    <n v="1"/>
    <x v="0"/>
    <x v="0"/>
    <s v="2-5 Years"/>
    <s v="Very High"/>
    <s v="Bad"/>
  </r>
  <r>
    <x v="21"/>
    <s v="No"/>
    <s v="Travel_Rarely"/>
    <n v="644"/>
    <x v="1"/>
    <n v="1"/>
    <n v="4"/>
    <s v="Medical"/>
    <n v="1"/>
    <n v="288"/>
    <n v="4"/>
    <x v="1"/>
    <n v="97"/>
    <n v="3"/>
    <n v="3"/>
    <x v="4"/>
    <n v="1"/>
    <s v="Divorced"/>
    <n v="9396"/>
    <n v="12368"/>
    <n v="7"/>
    <s v="Y"/>
    <x v="1"/>
    <n v="16"/>
    <n v="3"/>
    <n v="3"/>
    <n v="80"/>
    <n v="1"/>
    <n v="17"/>
    <n v="3"/>
    <n v="3"/>
    <n v="4"/>
    <n v="2"/>
    <n v="0"/>
    <n v="3"/>
    <x v="1"/>
    <n v="1"/>
    <x v="1"/>
    <x v="2"/>
    <s v="2-5 Years"/>
    <s v="Low"/>
    <s v="Better"/>
  </r>
  <r>
    <x v="5"/>
    <s v="Yes"/>
    <s v="Travel_Rarely"/>
    <n v="1045"/>
    <x v="0"/>
    <n v="4"/>
    <n v="4"/>
    <s v="Medical"/>
    <n v="1"/>
    <n v="291"/>
    <n v="4"/>
    <x v="1"/>
    <n v="32"/>
    <n v="1"/>
    <n v="3"/>
    <x v="0"/>
    <n v="4"/>
    <s v="Married"/>
    <n v="10400"/>
    <n v="25812"/>
    <n v="1"/>
    <s v="Y"/>
    <x v="1"/>
    <n v="11"/>
    <n v="3"/>
    <n v="3"/>
    <n v="80"/>
    <n v="0"/>
    <n v="14"/>
    <n v="2"/>
    <n v="2"/>
    <n v="14"/>
    <n v="8"/>
    <n v="9"/>
    <n v="8"/>
    <x v="0"/>
    <n v="0"/>
    <x v="2"/>
    <x v="2"/>
    <s v="10+ Years"/>
    <s v="Very High"/>
    <s v="Good"/>
  </r>
  <r>
    <x v="7"/>
    <s v="No"/>
    <s v="Non-Travel"/>
    <n v="829"/>
    <x v="1"/>
    <n v="1"/>
    <n v="1"/>
    <s v="Life Sciences"/>
    <n v="1"/>
    <n v="292"/>
    <n v="3"/>
    <x v="1"/>
    <n v="88"/>
    <n v="2"/>
    <n v="3"/>
    <x v="3"/>
    <n v="3"/>
    <s v="Single"/>
    <n v="8474"/>
    <n v="20925"/>
    <n v="1"/>
    <s v="Y"/>
    <x v="1"/>
    <n v="22"/>
    <n v="4"/>
    <n v="3"/>
    <n v="80"/>
    <n v="0"/>
    <n v="12"/>
    <n v="2"/>
    <n v="3"/>
    <n v="11"/>
    <n v="8"/>
    <n v="5"/>
    <n v="8"/>
    <x v="1"/>
    <n v="1"/>
    <x v="2"/>
    <x v="2"/>
    <s v="10+ Years"/>
    <s v="High"/>
    <s v="Better"/>
  </r>
  <r>
    <x v="4"/>
    <s v="No"/>
    <s v="Travel_Frequently"/>
    <n v="1242"/>
    <x v="0"/>
    <n v="20"/>
    <n v="3"/>
    <s v="Life Sciences"/>
    <n v="1"/>
    <n v="293"/>
    <n v="4"/>
    <x v="0"/>
    <n v="90"/>
    <n v="3"/>
    <n v="2"/>
    <x v="0"/>
    <n v="3"/>
    <s v="Single"/>
    <n v="9981"/>
    <n v="12916"/>
    <n v="1"/>
    <s v="Y"/>
    <x v="1"/>
    <n v="14"/>
    <n v="3"/>
    <n v="4"/>
    <n v="80"/>
    <n v="0"/>
    <n v="7"/>
    <n v="2"/>
    <n v="3"/>
    <n v="7"/>
    <n v="7"/>
    <n v="0"/>
    <n v="7"/>
    <x v="1"/>
    <n v="1"/>
    <x v="2"/>
    <x v="2"/>
    <s v="6-10 Years"/>
    <s v="High"/>
    <s v="Better"/>
  </r>
  <r>
    <x v="31"/>
    <s v="No"/>
    <s v="Travel_Rarely"/>
    <n v="1469"/>
    <x v="1"/>
    <n v="8"/>
    <n v="4"/>
    <s v="Life Sciences"/>
    <n v="1"/>
    <n v="296"/>
    <n v="2"/>
    <x v="1"/>
    <n v="81"/>
    <n v="2"/>
    <n v="3"/>
    <x v="7"/>
    <n v="2"/>
    <s v="Married"/>
    <n v="12490"/>
    <n v="15736"/>
    <n v="5"/>
    <s v="Y"/>
    <x v="1"/>
    <n v="16"/>
    <n v="3"/>
    <n v="4"/>
    <n v="80"/>
    <n v="2"/>
    <n v="16"/>
    <n v="5"/>
    <n v="1"/>
    <n v="10"/>
    <n v="9"/>
    <n v="4"/>
    <n v="7"/>
    <x v="1"/>
    <n v="1"/>
    <x v="1"/>
    <x v="2"/>
    <s v="6-10 Years"/>
    <s v="Medium"/>
    <s v="Bad"/>
  </r>
  <r>
    <x v="7"/>
    <s v="Yes"/>
    <s v="Travel_Rarely"/>
    <n v="1005"/>
    <x v="1"/>
    <n v="3"/>
    <n v="3"/>
    <s v="Technical Degree"/>
    <n v="1"/>
    <n v="297"/>
    <n v="4"/>
    <x v="0"/>
    <n v="88"/>
    <n v="3"/>
    <n v="1"/>
    <x v="1"/>
    <n v="1"/>
    <s v="Single"/>
    <n v="2657"/>
    <n v="8556"/>
    <n v="5"/>
    <s v="Y"/>
    <x v="0"/>
    <n v="11"/>
    <n v="3"/>
    <n v="3"/>
    <n v="80"/>
    <n v="0"/>
    <n v="8"/>
    <n v="5"/>
    <n v="3"/>
    <n v="5"/>
    <n v="2"/>
    <n v="0"/>
    <n v="4"/>
    <x v="0"/>
    <n v="0"/>
    <x v="2"/>
    <x v="1"/>
    <s v="2-5 Years"/>
    <s v="Low"/>
    <s v="Better"/>
  </r>
  <r>
    <x v="0"/>
    <s v="No"/>
    <s v="Travel_Rarely"/>
    <n v="896"/>
    <x v="0"/>
    <n v="6"/>
    <n v="3"/>
    <s v="Life Sciences"/>
    <n v="1"/>
    <n v="298"/>
    <n v="4"/>
    <x v="0"/>
    <n v="75"/>
    <n v="3"/>
    <n v="3"/>
    <x v="5"/>
    <n v="4"/>
    <s v="Single"/>
    <n v="13591"/>
    <n v="14674"/>
    <n v="3"/>
    <s v="Y"/>
    <x v="0"/>
    <n v="18"/>
    <n v="3"/>
    <n v="3"/>
    <n v="80"/>
    <n v="0"/>
    <n v="16"/>
    <n v="3"/>
    <n v="3"/>
    <n v="1"/>
    <n v="0"/>
    <n v="0"/>
    <n v="0"/>
    <x v="1"/>
    <n v="1"/>
    <x v="0"/>
    <x v="2"/>
    <s v="0-1 Years"/>
    <s v="Very High"/>
    <s v="Better"/>
  </r>
  <r>
    <x v="7"/>
    <s v="Yes"/>
    <s v="Travel_Frequently"/>
    <n v="334"/>
    <x v="0"/>
    <n v="26"/>
    <n v="4"/>
    <s v="Marketing"/>
    <n v="1"/>
    <n v="299"/>
    <n v="3"/>
    <x v="0"/>
    <n v="52"/>
    <n v="2"/>
    <n v="2"/>
    <x v="0"/>
    <n v="1"/>
    <s v="Single"/>
    <n v="6696"/>
    <n v="22967"/>
    <n v="5"/>
    <s v="Y"/>
    <x v="1"/>
    <n v="15"/>
    <n v="3"/>
    <n v="3"/>
    <n v="80"/>
    <n v="0"/>
    <n v="9"/>
    <n v="5"/>
    <n v="2"/>
    <n v="6"/>
    <n v="3"/>
    <n v="0"/>
    <n v="1"/>
    <x v="0"/>
    <n v="0"/>
    <x v="2"/>
    <x v="0"/>
    <s v="6-10 Years"/>
    <s v="Low"/>
    <s v="Good"/>
  </r>
  <r>
    <x v="11"/>
    <s v="Yes"/>
    <s v="Travel_Rarely"/>
    <n v="992"/>
    <x v="1"/>
    <n v="1"/>
    <n v="3"/>
    <s v="Technical Degree"/>
    <n v="1"/>
    <n v="300"/>
    <n v="3"/>
    <x v="1"/>
    <n v="85"/>
    <n v="3"/>
    <n v="1"/>
    <x v="1"/>
    <n v="3"/>
    <s v="Single"/>
    <n v="2058"/>
    <n v="19757"/>
    <n v="0"/>
    <s v="Y"/>
    <x v="1"/>
    <n v="14"/>
    <n v="3"/>
    <n v="4"/>
    <n v="80"/>
    <n v="0"/>
    <n v="7"/>
    <n v="1"/>
    <n v="2"/>
    <n v="6"/>
    <n v="2"/>
    <n v="1"/>
    <n v="5"/>
    <x v="0"/>
    <n v="0"/>
    <x v="2"/>
    <x v="1"/>
    <s v="6-10 Years"/>
    <s v="High"/>
    <s v="Good"/>
  </r>
  <r>
    <x v="28"/>
    <s v="No"/>
    <s v="Non-Travel"/>
    <n v="1052"/>
    <x v="0"/>
    <n v="6"/>
    <n v="3"/>
    <s v="Medical"/>
    <n v="1"/>
    <n v="302"/>
    <n v="4"/>
    <x v="0"/>
    <n v="57"/>
    <n v="2"/>
    <n v="3"/>
    <x v="0"/>
    <n v="4"/>
    <s v="Single"/>
    <n v="8865"/>
    <n v="16840"/>
    <n v="6"/>
    <s v="Y"/>
    <x v="1"/>
    <n v="12"/>
    <n v="3"/>
    <n v="4"/>
    <n v="80"/>
    <n v="0"/>
    <n v="23"/>
    <n v="2"/>
    <n v="3"/>
    <n v="19"/>
    <n v="7"/>
    <n v="12"/>
    <n v="8"/>
    <x v="1"/>
    <n v="1"/>
    <x v="1"/>
    <x v="2"/>
    <s v="10+ Years"/>
    <s v="Very High"/>
    <s v="Better"/>
  </r>
  <r>
    <x v="33"/>
    <s v="No"/>
    <s v="Travel_Rarely"/>
    <n v="1147"/>
    <x v="0"/>
    <n v="3"/>
    <n v="3"/>
    <s v="Marketing"/>
    <n v="1"/>
    <n v="303"/>
    <n v="4"/>
    <x v="0"/>
    <n v="52"/>
    <n v="3"/>
    <n v="2"/>
    <x v="0"/>
    <n v="1"/>
    <s v="Married"/>
    <n v="5940"/>
    <n v="17011"/>
    <n v="2"/>
    <s v="Y"/>
    <x v="1"/>
    <n v="14"/>
    <n v="3"/>
    <n v="4"/>
    <n v="80"/>
    <n v="1"/>
    <n v="16"/>
    <n v="4"/>
    <n v="3"/>
    <n v="6"/>
    <n v="2"/>
    <n v="0"/>
    <n v="5"/>
    <x v="1"/>
    <n v="1"/>
    <x v="1"/>
    <x v="0"/>
    <s v="6-10 Years"/>
    <s v="Low"/>
    <s v="Better"/>
  </r>
  <r>
    <x v="9"/>
    <s v="No"/>
    <s v="Travel_Rarely"/>
    <n v="1396"/>
    <x v="1"/>
    <n v="5"/>
    <n v="2"/>
    <s v="Life Sciences"/>
    <n v="1"/>
    <n v="304"/>
    <n v="4"/>
    <x v="1"/>
    <n v="62"/>
    <n v="3"/>
    <n v="2"/>
    <x v="2"/>
    <n v="2"/>
    <s v="Single"/>
    <n v="5914"/>
    <n v="9945"/>
    <n v="8"/>
    <s v="Y"/>
    <x v="1"/>
    <n v="16"/>
    <n v="3"/>
    <n v="4"/>
    <n v="80"/>
    <n v="0"/>
    <n v="16"/>
    <n v="3"/>
    <n v="4"/>
    <n v="13"/>
    <n v="11"/>
    <n v="3"/>
    <n v="7"/>
    <x v="1"/>
    <n v="1"/>
    <x v="0"/>
    <x v="0"/>
    <s v="10+ Years"/>
    <s v="Medium"/>
    <s v="Best"/>
  </r>
  <r>
    <x v="3"/>
    <s v="No"/>
    <s v="Travel_Rarely"/>
    <n v="147"/>
    <x v="1"/>
    <n v="4"/>
    <n v="4"/>
    <s v="Medical"/>
    <n v="1"/>
    <n v="305"/>
    <n v="3"/>
    <x v="0"/>
    <n v="47"/>
    <n v="2"/>
    <n v="1"/>
    <x v="1"/>
    <n v="2"/>
    <s v="Married"/>
    <n v="2622"/>
    <n v="13248"/>
    <n v="6"/>
    <s v="Y"/>
    <x v="1"/>
    <n v="21"/>
    <n v="4"/>
    <n v="4"/>
    <n v="80"/>
    <n v="0"/>
    <n v="7"/>
    <n v="3"/>
    <n v="3"/>
    <n v="3"/>
    <n v="2"/>
    <n v="1"/>
    <n v="1"/>
    <x v="1"/>
    <n v="1"/>
    <x v="2"/>
    <x v="1"/>
    <s v="2-5 Years"/>
    <s v="Medium"/>
    <s v="Better"/>
  </r>
  <r>
    <x v="2"/>
    <s v="No"/>
    <s v="Travel_Frequently"/>
    <n v="663"/>
    <x v="1"/>
    <n v="11"/>
    <n v="3"/>
    <s v="Other"/>
    <n v="1"/>
    <n v="306"/>
    <n v="2"/>
    <x v="1"/>
    <n v="47"/>
    <n v="3"/>
    <n v="3"/>
    <x v="7"/>
    <n v="4"/>
    <s v="Divorced"/>
    <n v="12185"/>
    <n v="10056"/>
    <n v="1"/>
    <s v="Y"/>
    <x v="0"/>
    <n v="14"/>
    <n v="3"/>
    <n v="3"/>
    <n v="80"/>
    <n v="3"/>
    <n v="10"/>
    <n v="1"/>
    <n v="3"/>
    <n v="10"/>
    <n v="8"/>
    <n v="0"/>
    <n v="7"/>
    <x v="1"/>
    <n v="1"/>
    <x v="0"/>
    <x v="2"/>
    <s v="6-10 Years"/>
    <s v="Very High"/>
    <s v="Better"/>
  </r>
  <r>
    <x v="8"/>
    <s v="No"/>
    <s v="Travel_Rarely"/>
    <n v="119"/>
    <x v="0"/>
    <n v="3"/>
    <n v="3"/>
    <s v="Life Sciences"/>
    <n v="1"/>
    <n v="307"/>
    <n v="1"/>
    <x v="1"/>
    <n v="76"/>
    <n v="3"/>
    <n v="3"/>
    <x v="0"/>
    <n v="3"/>
    <s v="Divorced"/>
    <n v="10609"/>
    <n v="9647"/>
    <n v="0"/>
    <s v="Y"/>
    <x v="1"/>
    <n v="12"/>
    <n v="3"/>
    <n v="3"/>
    <n v="80"/>
    <n v="2"/>
    <n v="17"/>
    <n v="6"/>
    <n v="2"/>
    <n v="16"/>
    <n v="10"/>
    <n v="5"/>
    <n v="13"/>
    <x v="1"/>
    <n v="1"/>
    <x v="0"/>
    <x v="2"/>
    <s v="10+ Years"/>
    <s v="High"/>
    <s v="Good"/>
  </r>
  <r>
    <x v="12"/>
    <s v="No"/>
    <s v="Non-Travel"/>
    <n v="979"/>
    <x v="1"/>
    <n v="1"/>
    <n v="4"/>
    <s v="Medical"/>
    <n v="1"/>
    <n v="308"/>
    <n v="3"/>
    <x v="1"/>
    <n v="90"/>
    <n v="1"/>
    <n v="2"/>
    <x v="3"/>
    <n v="3"/>
    <s v="Married"/>
    <n v="4345"/>
    <n v="4381"/>
    <n v="0"/>
    <s v="Y"/>
    <x v="1"/>
    <n v="12"/>
    <n v="3"/>
    <n v="4"/>
    <n v="80"/>
    <n v="1"/>
    <n v="6"/>
    <n v="2"/>
    <n v="3"/>
    <n v="5"/>
    <n v="4"/>
    <n v="1"/>
    <n v="4"/>
    <x v="1"/>
    <n v="1"/>
    <x v="2"/>
    <x v="0"/>
    <s v="2-5 Years"/>
    <s v="High"/>
    <s v="Better"/>
  </r>
  <r>
    <x v="6"/>
    <s v="No"/>
    <s v="Travel_Rarely"/>
    <n v="142"/>
    <x v="1"/>
    <n v="3"/>
    <n v="3"/>
    <s v="Life Sciences"/>
    <n v="1"/>
    <n v="309"/>
    <n v="3"/>
    <x v="1"/>
    <n v="70"/>
    <n v="2"/>
    <n v="1"/>
    <x v="1"/>
    <n v="4"/>
    <s v="Married"/>
    <n v="2177"/>
    <n v="8456"/>
    <n v="3"/>
    <s v="Y"/>
    <x v="1"/>
    <n v="17"/>
    <n v="3"/>
    <n v="1"/>
    <n v="80"/>
    <n v="1"/>
    <n v="7"/>
    <n v="6"/>
    <n v="3"/>
    <n v="1"/>
    <n v="0"/>
    <n v="0"/>
    <n v="0"/>
    <x v="1"/>
    <n v="1"/>
    <x v="3"/>
    <x v="1"/>
    <s v="0-1 Years"/>
    <s v="Very High"/>
    <s v="Better"/>
  </r>
  <r>
    <x v="2"/>
    <s v="No"/>
    <s v="Travel_Frequently"/>
    <n v="319"/>
    <x v="0"/>
    <n v="4"/>
    <n v="4"/>
    <s v="Marketing"/>
    <n v="1"/>
    <n v="311"/>
    <n v="1"/>
    <x v="1"/>
    <n v="41"/>
    <n v="3"/>
    <n v="1"/>
    <x v="6"/>
    <n v="4"/>
    <s v="Divorced"/>
    <n v="2793"/>
    <n v="2539"/>
    <n v="4"/>
    <s v="Y"/>
    <x v="1"/>
    <n v="17"/>
    <n v="3"/>
    <n v="3"/>
    <n v="80"/>
    <n v="1"/>
    <n v="13"/>
    <n v="2"/>
    <n v="3"/>
    <n v="9"/>
    <n v="8"/>
    <n v="5"/>
    <n v="8"/>
    <x v="1"/>
    <n v="1"/>
    <x v="0"/>
    <x v="1"/>
    <s v="6-10 Years"/>
    <s v="Very High"/>
    <s v="Better"/>
  </r>
  <r>
    <x v="11"/>
    <s v="No"/>
    <s v="Travel_Frequently"/>
    <n v="1413"/>
    <x v="0"/>
    <n v="1"/>
    <n v="1"/>
    <s v="Medical"/>
    <n v="1"/>
    <n v="312"/>
    <n v="2"/>
    <x v="0"/>
    <n v="42"/>
    <n v="3"/>
    <n v="3"/>
    <x v="0"/>
    <n v="4"/>
    <s v="Married"/>
    <n v="7918"/>
    <n v="6599"/>
    <n v="1"/>
    <s v="Y"/>
    <x v="1"/>
    <n v="14"/>
    <n v="3"/>
    <n v="4"/>
    <n v="80"/>
    <n v="1"/>
    <n v="11"/>
    <n v="5"/>
    <n v="3"/>
    <n v="11"/>
    <n v="10"/>
    <n v="4"/>
    <n v="1"/>
    <x v="1"/>
    <n v="1"/>
    <x v="2"/>
    <x v="2"/>
    <s v="10+ Years"/>
    <s v="Very High"/>
    <s v="Better"/>
  </r>
  <r>
    <x v="10"/>
    <s v="No"/>
    <s v="Travel_Frequently"/>
    <n v="944"/>
    <x v="0"/>
    <n v="1"/>
    <n v="3"/>
    <s v="Marketing"/>
    <n v="1"/>
    <n v="314"/>
    <n v="3"/>
    <x v="0"/>
    <n v="92"/>
    <n v="3"/>
    <n v="3"/>
    <x v="0"/>
    <n v="3"/>
    <s v="Single"/>
    <n v="8789"/>
    <n v="9096"/>
    <n v="1"/>
    <s v="Y"/>
    <x v="1"/>
    <n v="14"/>
    <n v="3"/>
    <n v="1"/>
    <n v="80"/>
    <n v="0"/>
    <n v="10"/>
    <n v="3"/>
    <n v="4"/>
    <n v="10"/>
    <n v="7"/>
    <n v="0"/>
    <n v="8"/>
    <x v="1"/>
    <n v="1"/>
    <x v="0"/>
    <x v="2"/>
    <s v="6-10 Years"/>
    <s v="High"/>
    <s v="Best"/>
  </r>
  <r>
    <x v="11"/>
    <s v="Yes"/>
    <s v="Travel_Rarely"/>
    <n v="896"/>
    <x v="1"/>
    <n v="18"/>
    <n v="1"/>
    <s v="Medical"/>
    <n v="1"/>
    <n v="315"/>
    <n v="3"/>
    <x v="1"/>
    <n v="86"/>
    <n v="2"/>
    <n v="1"/>
    <x v="1"/>
    <n v="4"/>
    <s v="Single"/>
    <n v="2389"/>
    <n v="14961"/>
    <n v="1"/>
    <s v="Y"/>
    <x v="0"/>
    <n v="13"/>
    <n v="3"/>
    <n v="3"/>
    <n v="80"/>
    <n v="0"/>
    <n v="4"/>
    <n v="3"/>
    <n v="2"/>
    <n v="4"/>
    <n v="3"/>
    <n v="0"/>
    <n v="1"/>
    <x v="0"/>
    <n v="0"/>
    <x v="2"/>
    <x v="1"/>
    <s v="2-5 Years"/>
    <s v="Very High"/>
    <s v="Good"/>
  </r>
  <r>
    <x v="39"/>
    <s v="No"/>
    <s v="Travel_Rarely"/>
    <n v="1323"/>
    <x v="1"/>
    <n v="2"/>
    <n v="3"/>
    <s v="Life Sciences"/>
    <n v="1"/>
    <n v="316"/>
    <n v="3"/>
    <x v="0"/>
    <n v="89"/>
    <n v="2"/>
    <n v="1"/>
    <x v="2"/>
    <n v="4"/>
    <s v="Single"/>
    <n v="3212"/>
    <n v="3300"/>
    <n v="7"/>
    <s v="Y"/>
    <x v="1"/>
    <n v="15"/>
    <n v="3"/>
    <n v="2"/>
    <n v="80"/>
    <n v="0"/>
    <n v="6"/>
    <n v="3"/>
    <n v="2"/>
    <n v="2"/>
    <n v="2"/>
    <n v="2"/>
    <n v="2"/>
    <x v="1"/>
    <n v="1"/>
    <x v="1"/>
    <x v="0"/>
    <s v="2-5 Years"/>
    <s v="Very High"/>
    <s v="Good"/>
  </r>
  <r>
    <x v="19"/>
    <s v="No"/>
    <s v="Travel_Rarely"/>
    <n v="532"/>
    <x v="1"/>
    <n v="4"/>
    <n v="2"/>
    <s v="Technical Degree"/>
    <n v="1"/>
    <n v="319"/>
    <n v="3"/>
    <x v="1"/>
    <n v="58"/>
    <n v="3"/>
    <n v="5"/>
    <x v="5"/>
    <n v="4"/>
    <s v="Married"/>
    <n v="19232"/>
    <n v="4933"/>
    <n v="1"/>
    <s v="Y"/>
    <x v="1"/>
    <n v="11"/>
    <n v="3"/>
    <n v="4"/>
    <n v="80"/>
    <n v="0"/>
    <n v="22"/>
    <n v="3"/>
    <n v="3"/>
    <n v="22"/>
    <n v="17"/>
    <n v="11"/>
    <n v="15"/>
    <x v="1"/>
    <n v="1"/>
    <x v="0"/>
    <x v="2"/>
    <s v="10+ Years"/>
    <s v="Very High"/>
    <s v="Better"/>
  </r>
  <r>
    <x v="6"/>
    <s v="No"/>
    <s v="Travel_Rarely"/>
    <n v="818"/>
    <x v="2"/>
    <n v="6"/>
    <n v="2"/>
    <s v="Medical"/>
    <n v="1"/>
    <n v="321"/>
    <n v="2"/>
    <x v="1"/>
    <n v="52"/>
    <n v="3"/>
    <n v="1"/>
    <x v="8"/>
    <n v="3"/>
    <s v="Married"/>
    <n v="2267"/>
    <n v="25657"/>
    <n v="8"/>
    <s v="Y"/>
    <x v="1"/>
    <n v="17"/>
    <n v="3"/>
    <n v="4"/>
    <n v="80"/>
    <n v="0"/>
    <n v="7"/>
    <n v="2"/>
    <n v="2"/>
    <n v="2"/>
    <n v="2"/>
    <n v="2"/>
    <n v="2"/>
    <x v="1"/>
    <n v="1"/>
    <x v="3"/>
    <x v="1"/>
    <s v="2-5 Years"/>
    <s v="High"/>
    <s v="Good"/>
  </r>
  <r>
    <x v="24"/>
    <s v="No"/>
    <s v="Travel_Rarely"/>
    <n v="854"/>
    <x v="0"/>
    <n v="1"/>
    <n v="4"/>
    <s v="Medical"/>
    <n v="1"/>
    <n v="323"/>
    <n v="4"/>
    <x v="0"/>
    <n v="68"/>
    <n v="3"/>
    <n v="5"/>
    <x v="5"/>
    <n v="4"/>
    <s v="Divorced"/>
    <n v="19517"/>
    <n v="24118"/>
    <n v="3"/>
    <s v="Y"/>
    <x v="1"/>
    <n v="11"/>
    <n v="3"/>
    <n v="3"/>
    <n v="80"/>
    <n v="1"/>
    <n v="32"/>
    <n v="3"/>
    <n v="2"/>
    <n v="7"/>
    <n v="0"/>
    <n v="0"/>
    <n v="6"/>
    <x v="1"/>
    <n v="1"/>
    <x v="1"/>
    <x v="2"/>
    <s v="6-10 Years"/>
    <s v="Very High"/>
    <s v="Good"/>
  </r>
  <r>
    <x v="3"/>
    <s v="Yes"/>
    <s v="Travel_Rarely"/>
    <n v="813"/>
    <x v="1"/>
    <n v="14"/>
    <n v="3"/>
    <s v="Medical"/>
    <n v="1"/>
    <n v="325"/>
    <n v="3"/>
    <x v="1"/>
    <n v="58"/>
    <n v="3"/>
    <n v="1"/>
    <x v="2"/>
    <n v="4"/>
    <s v="Married"/>
    <n v="2436"/>
    <n v="22149"/>
    <n v="5"/>
    <s v="Y"/>
    <x v="0"/>
    <n v="13"/>
    <n v="3"/>
    <n v="3"/>
    <n v="80"/>
    <n v="1"/>
    <n v="8"/>
    <n v="2"/>
    <n v="1"/>
    <n v="5"/>
    <n v="4"/>
    <n v="0"/>
    <n v="4"/>
    <x v="0"/>
    <n v="0"/>
    <x v="2"/>
    <x v="1"/>
    <s v="2-5 Years"/>
    <s v="Very High"/>
    <s v="Bad"/>
  </r>
  <r>
    <x v="23"/>
    <s v="No"/>
    <s v="Travel_Rarely"/>
    <n v="1034"/>
    <x v="0"/>
    <n v="16"/>
    <n v="3"/>
    <s v="Marketing"/>
    <n v="1"/>
    <n v="327"/>
    <n v="4"/>
    <x v="0"/>
    <n v="80"/>
    <n v="3"/>
    <n v="4"/>
    <x v="5"/>
    <n v="4"/>
    <s v="Married"/>
    <n v="16064"/>
    <n v="7744"/>
    <n v="5"/>
    <s v="Y"/>
    <x v="0"/>
    <n v="22"/>
    <n v="4"/>
    <n v="3"/>
    <n v="80"/>
    <n v="1"/>
    <n v="22"/>
    <n v="3"/>
    <n v="3"/>
    <n v="17"/>
    <n v="13"/>
    <n v="1"/>
    <n v="9"/>
    <x v="1"/>
    <n v="1"/>
    <x v="0"/>
    <x v="2"/>
    <s v="10+ Years"/>
    <s v="Very High"/>
    <s v="Better"/>
  </r>
  <r>
    <x v="3"/>
    <s v="Yes"/>
    <s v="Travel_Rarely"/>
    <n v="465"/>
    <x v="1"/>
    <n v="2"/>
    <n v="2"/>
    <s v="Life Sciences"/>
    <n v="1"/>
    <n v="328"/>
    <n v="1"/>
    <x v="0"/>
    <n v="39"/>
    <n v="3"/>
    <n v="1"/>
    <x v="2"/>
    <n v="1"/>
    <s v="Married"/>
    <n v="2707"/>
    <n v="21509"/>
    <n v="7"/>
    <s v="Y"/>
    <x v="1"/>
    <n v="20"/>
    <n v="4"/>
    <n v="1"/>
    <n v="80"/>
    <n v="0"/>
    <n v="13"/>
    <n v="3"/>
    <n v="4"/>
    <n v="9"/>
    <n v="7"/>
    <n v="1"/>
    <n v="7"/>
    <x v="0"/>
    <n v="0"/>
    <x v="2"/>
    <x v="1"/>
    <s v="6-10 Years"/>
    <s v="Low"/>
    <s v="Best"/>
  </r>
  <r>
    <x v="39"/>
    <s v="No"/>
    <s v="Non-Travel"/>
    <n v="771"/>
    <x v="0"/>
    <n v="2"/>
    <n v="4"/>
    <s v="Life Sciences"/>
    <n v="1"/>
    <n v="329"/>
    <n v="1"/>
    <x v="1"/>
    <n v="79"/>
    <n v="2"/>
    <n v="5"/>
    <x v="5"/>
    <n v="3"/>
    <s v="Single"/>
    <n v="19068"/>
    <n v="21030"/>
    <n v="1"/>
    <s v="Y"/>
    <x v="0"/>
    <n v="18"/>
    <n v="3"/>
    <n v="4"/>
    <n v="80"/>
    <n v="0"/>
    <n v="33"/>
    <n v="2"/>
    <n v="4"/>
    <n v="33"/>
    <n v="7"/>
    <n v="15"/>
    <n v="12"/>
    <x v="1"/>
    <n v="1"/>
    <x v="1"/>
    <x v="2"/>
    <s v="10+ Years"/>
    <s v="High"/>
    <s v="Best"/>
  </r>
  <r>
    <x v="5"/>
    <s v="No"/>
    <s v="Travel_Rarely"/>
    <n v="1401"/>
    <x v="0"/>
    <n v="4"/>
    <n v="2"/>
    <s v="Life Sciences"/>
    <n v="1"/>
    <n v="330"/>
    <n v="3"/>
    <x v="0"/>
    <n v="56"/>
    <n v="3"/>
    <n v="1"/>
    <x v="6"/>
    <n v="2"/>
    <s v="Married"/>
    <n v="3931"/>
    <n v="20990"/>
    <n v="2"/>
    <s v="Y"/>
    <x v="1"/>
    <n v="11"/>
    <n v="3"/>
    <n v="1"/>
    <n v="80"/>
    <n v="1"/>
    <n v="6"/>
    <n v="5"/>
    <n v="3"/>
    <n v="4"/>
    <n v="3"/>
    <n v="1"/>
    <n v="2"/>
    <x v="1"/>
    <n v="1"/>
    <x v="2"/>
    <x v="0"/>
    <s v="2-5 Years"/>
    <s v="Medium"/>
    <s v="Better"/>
  </r>
  <r>
    <x v="5"/>
    <s v="Yes"/>
    <s v="Travel_Rarely"/>
    <n v="515"/>
    <x v="1"/>
    <n v="1"/>
    <n v="3"/>
    <s v="Life Sciences"/>
    <n v="1"/>
    <n v="331"/>
    <n v="4"/>
    <x v="1"/>
    <n v="62"/>
    <n v="2"/>
    <n v="1"/>
    <x v="2"/>
    <n v="3"/>
    <s v="Single"/>
    <n v="3730"/>
    <n v="9571"/>
    <n v="0"/>
    <s v="Y"/>
    <x v="0"/>
    <n v="14"/>
    <n v="3"/>
    <n v="4"/>
    <n v="80"/>
    <n v="0"/>
    <n v="4"/>
    <n v="2"/>
    <n v="1"/>
    <n v="3"/>
    <n v="2"/>
    <n v="1"/>
    <n v="2"/>
    <x v="0"/>
    <n v="0"/>
    <x v="2"/>
    <x v="0"/>
    <s v="2-5 Years"/>
    <s v="High"/>
    <s v="Bad"/>
  </r>
  <r>
    <x v="22"/>
    <s v="No"/>
    <s v="Travel_Rarely"/>
    <n v="1431"/>
    <x v="1"/>
    <n v="1"/>
    <n v="4"/>
    <s v="Medical"/>
    <n v="1"/>
    <n v="332"/>
    <n v="3"/>
    <x v="0"/>
    <n v="96"/>
    <n v="3"/>
    <n v="1"/>
    <x v="2"/>
    <n v="3"/>
    <s v="Divorced"/>
    <n v="2232"/>
    <n v="15417"/>
    <n v="7"/>
    <s v="Y"/>
    <x v="1"/>
    <n v="14"/>
    <n v="3"/>
    <n v="3"/>
    <n v="80"/>
    <n v="3"/>
    <n v="7"/>
    <n v="1"/>
    <n v="3"/>
    <n v="3"/>
    <n v="2"/>
    <n v="1"/>
    <n v="2"/>
    <x v="1"/>
    <n v="1"/>
    <x v="0"/>
    <x v="1"/>
    <s v="2-5 Years"/>
    <s v="High"/>
    <s v="Better"/>
  </r>
  <r>
    <x v="5"/>
    <s v="No"/>
    <s v="Non-Travel"/>
    <n v="976"/>
    <x v="0"/>
    <n v="26"/>
    <n v="4"/>
    <s v="Marketing"/>
    <n v="1"/>
    <n v="333"/>
    <n v="3"/>
    <x v="1"/>
    <n v="100"/>
    <n v="3"/>
    <n v="2"/>
    <x v="0"/>
    <n v="4"/>
    <s v="Married"/>
    <n v="4465"/>
    <n v="12069"/>
    <n v="0"/>
    <s v="Y"/>
    <x v="1"/>
    <n v="18"/>
    <n v="3"/>
    <n v="1"/>
    <n v="80"/>
    <n v="0"/>
    <n v="4"/>
    <n v="2"/>
    <n v="3"/>
    <n v="3"/>
    <n v="2"/>
    <n v="2"/>
    <n v="2"/>
    <x v="1"/>
    <n v="1"/>
    <x v="2"/>
    <x v="0"/>
    <s v="2-5 Years"/>
    <s v="Very High"/>
    <s v="Better"/>
  </r>
  <r>
    <x v="0"/>
    <s v="No"/>
    <s v="Travel_Rarely"/>
    <n v="1411"/>
    <x v="1"/>
    <n v="19"/>
    <n v="2"/>
    <s v="Life Sciences"/>
    <n v="1"/>
    <n v="334"/>
    <n v="3"/>
    <x v="1"/>
    <n v="36"/>
    <n v="3"/>
    <n v="2"/>
    <x v="1"/>
    <n v="1"/>
    <s v="Divorced"/>
    <n v="3072"/>
    <n v="19877"/>
    <n v="2"/>
    <s v="Y"/>
    <x v="1"/>
    <n v="16"/>
    <n v="3"/>
    <n v="1"/>
    <n v="80"/>
    <n v="2"/>
    <n v="17"/>
    <n v="2"/>
    <n v="2"/>
    <n v="1"/>
    <n v="0"/>
    <n v="0"/>
    <n v="0"/>
    <x v="1"/>
    <n v="1"/>
    <x v="0"/>
    <x v="0"/>
    <s v="0-1 Years"/>
    <s v="Low"/>
    <s v="Good"/>
  </r>
  <r>
    <x v="32"/>
    <s v="No"/>
    <s v="Travel_Rarely"/>
    <n v="1300"/>
    <x v="1"/>
    <n v="24"/>
    <n v="2"/>
    <s v="Technical Degree"/>
    <n v="1"/>
    <n v="335"/>
    <n v="1"/>
    <x v="1"/>
    <n v="62"/>
    <n v="3"/>
    <n v="2"/>
    <x v="1"/>
    <n v="4"/>
    <s v="Divorced"/>
    <n v="3319"/>
    <n v="24447"/>
    <n v="1"/>
    <s v="Y"/>
    <x v="1"/>
    <n v="17"/>
    <n v="3"/>
    <n v="1"/>
    <n v="80"/>
    <n v="2"/>
    <n v="9"/>
    <n v="3"/>
    <n v="3"/>
    <n v="9"/>
    <n v="8"/>
    <n v="4"/>
    <n v="7"/>
    <x v="1"/>
    <n v="1"/>
    <x v="0"/>
    <x v="0"/>
    <s v="6-10 Years"/>
    <s v="Very High"/>
    <s v="Better"/>
  </r>
  <r>
    <x v="28"/>
    <s v="No"/>
    <s v="Travel_Rarely"/>
    <n v="252"/>
    <x v="1"/>
    <n v="1"/>
    <n v="3"/>
    <s v="Other"/>
    <n v="1"/>
    <n v="336"/>
    <n v="3"/>
    <x v="1"/>
    <n v="70"/>
    <n v="4"/>
    <n v="5"/>
    <x v="5"/>
    <n v="4"/>
    <s v="Married"/>
    <n v="19202"/>
    <n v="15970"/>
    <n v="0"/>
    <s v="Y"/>
    <x v="1"/>
    <n v="11"/>
    <n v="3"/>
    <n v="3"/>
    <n v="80"/>
    <n v="1"/>
    <n v="25"/>
    <n v="2"/>
    <n v="3"/>
    <n v="24"/>
    <n v="0"/>
    <n v="1"/>
    <n v="7"/>
    <x v="1"/>
    <n v="1"/>
    <x v="1"/>
    <x v="2"/>
    <s v="10+ Years"/>
    <s v="Very High"/>
    <s v="Better"/>
  </r>
  <r>
    <x v="12"/>
    <s v="No"/>
    <s v="Travel_Frequently"/>
    <n v="1327"/>
    <x v="1"/>
    <n v="3"/>
    <n v="4"/>
    <s v="Medical"/>
    <n v="1"/>
    <n v="337"/>
    <n v="2"/>
    <x v="1"/>
    <n v="73"/>
    <n v="3"/>
    <n v="3"/>
    <x v="7"/>
    <n v="3"/>
    <s v="Divorced"/>
    <n v="13675"/>
    <n v="13523"/>
    <n v="9"/>
    <s v="Y"/>
    <x v="1"/>
    <n v="12"/>
    <n v="3"/>
    <n v="1"/>
    <n v="80"/>
    <n v="1"/>
    <n v="9"/>
    <n v="3"/>
    <n v="3"/>
    <n v="2"/>
    <n v="2"/>
    <n v="2"/>
    <n v="2"/>
    <x v="1"/>
    <n v="1"/>
    <x v="2"/>
    <x v="2"/>
    <s v="2-5 Years"/>
    <s v="High"/>
    <s v="Better"/>
  </r>
  <r>
    <x v="3"/>
    <s v="No"/>
    <s v="Travel_Rarely"/>
    <n v="832"/>
    <x v="1"/>
    <n v="5"/>
    <n v="4"/>
    <s v="Life Sciences"/>
    <n v="1"/>
    <n v="338"/>
    <n v="3"/>
    <x v="0"/>
    <n v="63"/>
    <n v="2"/>
    <n v="1"/>
    <x v="1"/>
    <n v="4"/>
    <s v="Married"/>
    <n v="2911"/>
    <n v="14776"/>
    <n v="1"/>
    <s v="Y"/>
    <x v="1"/>
    <n v="13"/>
    <n v="3"/>
    <n v="3"/>
    <n v="80"/>
    <n v="1"/>
    <n v="2"/>
    <n v="2"/>
    <n v="2"/>
    <n v="2"/>
    <n v="2"/>
    <n v="0"/>
    <n v="2"/>
    <x v="1"/>
    <n v="1"/>
    <x v="2"/>
    <x v="1"/>
    <s v="2-5 Years"/>
    <s v="Very High"/>
    <s v="Good"/>
  </r>
  <r>
    <x v="13"/>
    <s v="No"/>
    <s v="Travel_Rarely"/>
    <n v="470"/>
    <x v="1"/>
    <n v="2"/>
    <n v="4"/>
    <s v="Life Sciences"/>
    <n v="1"/>
    <n v="339"/>
    <n v="4"/>
    <x v="1"/>
    <n v="84"/>
    <n v="2"/>
    <n v="2"/>
    <x v="3"/>
    <n v="1"/>
    <s v="Married"/>
    <n v="5957"/>
    <n v="23687"/>
    <n v="6"/>
    <s v="Y"/>
    <x v="1"/>
    <n v="13"/>
    <n v="3"/>
    <n v="2"/>
    <n v="80"/>
    <n v="1"/>
    <n v="13"/>
    <n v="3"/>
    <n v="3"/>
    <n v="11"/>
    <n v="9"/>
    <n v="5"/>
    <n v="9"/>
    <x v="1"/>
    <n v="1"/>
    <x v="2"/>
    <x v="0"/>
    <s v="10+ Years"/>
    <s v="Low"/>
    <s v="Better"/>
  </r>
  <r>
    <x v="2"/>
    <s v="No"/>
    <s v="Travel_Rarely"/>
    <n v="1017"/>
    <x v="1"/>
    <n v="1"/>
    <n v="2"/>
    <s v="Medical"/>
    <n v="1"/>
    <n v="340"/>
    <n v="3"/>
    <x v="0"/>
    <n v="83"/>
    <n v="2"/>
    <n v="1"/>
    <x v="1"/>
    <n v="1"/>
    <s v="Married"/>
    <n v="3920"/>
    <n v="18697"/>
    <n v="2"/>
    <s v="Y"/>
    <x v="1"/>
    <n v="14"/>
    <n v="3"/>
    <n v="1"/>
    <n v="80"/>
    <n v="1"/>
    <n v="17"/>
    <n v="2"/>
    <n v="2"/>
    <n v="3"/>
    <n v="1"/>
    <n v="0"/>
    <n v="2"/>
    <x v="1"/>
    <n v="1"/>
    <x v="0"/>
    <x v="0"/>
    <s v="2-5 Years"/>
    <s v="Low"/>
    <s v="Good"/>
  </r>
  <r>
    <x v="28"/>
    <s v="No"/>
    <s v="Travel_Frequently"/>
    <n v="1199"/>
    <x v="1"/>
    <n v="7"/>
    <n v="4"/>
    <s v="Life Sciences"/>
    <n v="1"/>
    <n v="341"/>
    <n v="1"/>
    <x v="1"/>
    <n v="77"/>
    <n v="4"/>
    <n v="2"/>
    <x v="3"/>
    <n v="3"/>
    <s v="Married"/>
    <n v="6434"/>
    <n v="5118"/>
    <n v="4"/>
    <s v="Y"/>
    <x v="1"/>
    <n v="17"/>
    <n v="3"/>
    <n v="4"/>
    <n v="80"/>
    <n v="1"/>
    <n v="9"/>
    <n v="1"/>
    <n v="3"/>
    <n v="3"/>
    <n v="2"/>
    <n v="0"/>
    <n v="2"/>
    <x v="1"/>
    <n v="1"/>
    <x v="1"/>
    <x v="0"/>
    <s v="2-5 Years"/>
    <s v="High"/>
    <s v="Better"/>
  </r>
  <r>
    <x v="2"/>
    <s v="Yes"/>
    <s v="Travel_Frequently"/>
    <n v="504"/>
    <x v="1"/>
    <n v="10"/>
    <n v="3"/>
    <s v="Medical"/>
    <n v="1"/>
    <n v="342"/>
    <n v="1"/>
    <x v="1"/>
    <n v="61"/>
    <n v="3"/>
    <n v="3"/>
    <x v="3"/>
    <n v="3"/>
    <s v="Divorced"/>
    <n v="10048"/>
    <n v="22573"/>
    <n v="6"/>
    <s v="Y"/>
    <x v="1"/>
    <n v="11"/>
    <n v="3"/>
    <n v="2"/>
    <n v="80"/>
    <n v="2"/>
    <n v="17"/>
    <n v="5"/>
    <n v="3"/>
    <n v="1"/>
    <n v="0"/>
    <n v="0"/>
    <n v="0"/>
    <x v="0"/>
    <n v="0"/>
    <x v="0"/>
    <x v="2"/>
    <s v="0-1 Years"/>
    <s v="High"/>
    <s v="Better"/>
  </r>
  <r>
    <x v="22"/>
    <s v="No"/>
    <s v="Travel_Frequently"/>
    <n v="505"/>
    <x v="1"/>
    <n v="2"/>
    <n v="4"/>
    <s v="Technical Degree"/>
    <n v="1"/>
    <n v="343"/>
    <n v="3"/>
    <x v="0"/>
    <n v="64"/>
    <n v="3"/>
    <n v="3"/>
    <x v="4"/>
    <n v="3"/>
    <s v="Single"/>
    <n v="10938"/>
    <n v="6420"/>
    <n v="0"/>
    <s v="Y"/>
    <x v="1"/>
    <n v="25"/>
    <n v="4"/>
    <n v="4"/>
    <n v="80"/>
    <n v="0"/>
    <n v="20"/>
    <n v="1"/>
    <n v="3"/>
    <n v="19"/>
    <n v="6"/>
    <n v="11"/>
    <n v="8"/>
    <x v="1"/>
    <n v="1"/>
    <x v="0"/>
    <x v="2"/>
    <s v="10+ Years"/>
    <s v="High"/>
    <s v="Better"/>
  </r>
  <r>
    <x v="11"/>
    <s v="No"/>
    <s v="Travel_Rarely"/>
    <n v="665"/>
    <x v="1"/>
    <n v="15"/>
    <n v="3"/>
    <s v="Life Sciences"/>
    <n v="1"/>
    <n v="346"/>
    <n v="3"/>
    <x v="1"/>
    <n v="60"/>
    <n v="3"/>
    <n v="1"/>
    <x v="1"/>
    <n v="4"/>
    <s v="Single"/>
    <n v="2340"/>
    <n v="22673"/>
    <n v="1"/>
    <s v="Y"/>
    <x v="1"/>
    <n v="19"/>
    <n v="3"/>
    <n v="1"/>
    <n v="80"/>
    <n v="0"/>
    <n v="6"/>
    <n v="1"/>
    <n v="3"/>
    <n v="6"/>
    <n v="5"/>
    <n v="1"/>
    <n v="5"/>
    <x v="1"/>
    <n v="1"/>
    <x v="2"/>
    <x v="1"/>
    <s v="6-10 Years"/>
    <s v="Very High"/>
    <s v="Better"/>
  </r>
  <r>
    <x v="19"/>
    <s v="No"/>
    <s v="Travel_Rarely"/>
    <n v="916"/>
    <x v="1"/>
    <n v="17"/>
    <n v="2"/>
    <s v="Life Sciences"/>
    <n v="1"/>
    <n v="347"/>
    <n v="4"/>
    <x v="0"/>
    <n v="82"/>
    <n v="4"/>
    <n v="2"/>
    <x v="1"/>
    <n v="1"/>
    <s v="Single"/>
    <n v="6545"/>
    <n v="23016"/>
    <n v="3"/>
    <s v="Y"/>
    <x v="0"/>
    <n v="13"/>
    <n v="3"/>
    <n v="3"/>
    <n v="80"/>
    <n v="0"/>
    <n v="10"/>
    <n v="1"/>
    <n v="3"/>
    <n v="3"/>
    <n v="2"/>
    <n v="0"/>
    <n v="2"/>
    <x v="1"/>
    <n v="1"/>
    <x v="0"/>
    <x v="0"/>
    <s v="2-5 Years"/>
    <s v="Low"/>
    <s v="Better"/>
  </r>
  <r>
    <x v="11"/>
    <s v="No"/>
    <s v="Travel_Rarely"/>
    <n v="1247"/>
    <x v="0"/>
    <n v="20"/>
    <n v="2"/>
    <s v="Marketing"/>
    <n v="1"/>
    <n v="349"/>
    <n v="4"/>
    <x v="1"/>
    <n v="45"/>
    <n v="3"/>
    <n v="2"/>
    <x v="0"/>
    <n v="4"/>
    <s v="Divorced"/>
    <n v="6931"/>
    <n v="10732"/>
    <n v="2"/>
    <s v="Y"/>
    <x v="1"/>
    <n v="14"/>
    <n v="3"/>
    <n v="4"/>
    <n v="80"/>
    <n v="1"/>
    <n v="10"/>
    <n v="2"/>
    <n v="3"/>
    <n v="3"/>
    <n v="2"/>
    <n v="0"/>
    <n v="2"/>
    <x v="1"/>
    <n v="1"/>
    <x v="2"/>
    <x v="0"/>
    <s v="2-5 Years"/>
    <s v="Very High"/>
    <s v="Better"/>
  </r>
  <r>
    <x v="36"/>
    <s v="No"/>
    <s v="Travel_Rarely"/>
    <n v="685"/>
    <x v="1"/>
    <n v="1"/>
    <n v="3"/>
    <s v="Life Sciences"/>
    <n v="1"/>
    <n v="350"/>
    <n v="1"/>
    <x v="0"/>
    <n v="62"/>
    <n v="3"/>
    <n v="2"/>
    <x v="3"/>
    <n v="3"/>
    <s v="Married"/>
    <n v="4898"/>
    <n v="7505"/>
    <n v="0"/>
    <s v="Y"/>
    <x v="1"/>
    <n v="12"/>
    <n v="3"/>
    <n v="4"/>
    <n v="80"/>
    <n v="2"/>
    <n v="5"/>
    <n v="3"/>
    <n v="3"/>
    <n v="4"/>
    <n v="2"/>
    <n v="1"/>
    <n v="2"/>
    <x v="1"/>
    <n v="1"/>
    <x v="2"/>
    <x v="0"/>
    <s v="2-5 Years"/>
    <s v="High"/>
    <s v="Better"/>
  </r>
  <r>
    <x v="19"/>
    <s v="No"/>
    <s v="Travel_Rarely"/>
    <n v="269"/>
    <x v="1"/>
    <n v="2"/>
    <n v="3"/>
    <s v="Medical"/>
    <n v="1"/>
    <n v="351"/>
    <n v="4"/>
    <x v="0"/>
    <n v="56"/>
    <n v="2"/>
    <n v="1"/>
    <x v="2"/>
    <n v="1"/>
    <s v="Divorced"/>
    <n v="2593"/>
    <n v="8007"/>
    <n v="0"/>
    <s v="Y"/>
    <x v="0"/>
    <n v="11"/>
    <n v="3"/>
    <n v="3"/>
    <n v="80"/>
    <n v="1"/>
    <n v="10"/>
    <n v="4"/>
    <n v="3"/>
    <n v="9"/>
    <n v="6"/>
    <n v="7"/>
    <n v="8"/>
    <x v="1"/>
    <n v="1"/>
    <x v="0"/>
    <x v="1"/>
    <s v="6-10 Years"/>
    <s v="Low"/>
    <s v="Better"/>
  </r>
  <r>
    <x v="32"/>
    <s v="No"/>
    <s v="Travel_Rarely"/>
    <n v="1416"/>
    <x v="1"/>
    <n v="2"/>
    <n v="2"/>
    <s v="Medical"/>
    <n v="1"/>
    <n v="352"/>
    <n v="1"/>
    <x v="1"/>
    <n v="49"/>
    <n v="3"/>
    <n v="5"/>
    <x v="7"/>
    <n v="3"/>
    <s v="Divorced"/>
    <n v="19436"/>
    <n v="5949"/>
    <n v="0"/>
    <s v="Y"/>
    <x v="1"/>
    <n v="19"/>
    <n v="3"/>
    <n v="4"/>
    <n v="80"/>
    <n v="1"/>
    <n v="22"/>
    <n v="5"/>
    <n v="3"/>
    <n v="21"/>
    <n v="7"/>
    <n v="3"/>
    <n v="9"/>
    <x v="1"/>
    <n v="1"/>
    <x v="0"/>
    <x v="2"/>
    <s v="10+ Years"/>
    <s v="High"/>
    <s v="Better"/>
  </r>
  <r>
    <x v="31"/>
    <s v="No"/>
    <s v="Travel_Rarely"/>
    <n v="833"/>
    <x v="1"/>
    <n v="1"/>
    <n v="3"/>
    <s v="Life Sciences"/>
    <n v="1"/>
    <n v="353"/>
    <n v="3"/>
    <x v="1"/>
    <n v="96"/>
    <n v="3"/>
    <n v="1"/>
    <x v="1"/>
    <n v="4"/>
    <s v="Married"/>
    <n v="2723"/>
    <n v="23231"/>
    <n v="1"/>
    <s v="Y"/>
    <x v="1"/>
    <n v="11"/>
    <n v="3"/>
    <n v="2"/>
    <n v="80"/>
    <n v="0"/>
    <n v="1"/>
    <n v="0"/>
    <n v="2"/>
    <n v="1"/>
    <n v="0"/>
    <n v="0"/>
    <n v="0"/>
    <x v="1"/>
    <n v="1"/>
    <x v="1"/>
    <x v="1"/>
    <s v="0-1 Years"/>
    <s v="Very High"/>
    <s v="Good"/>
  </r>
  <r>
    <x v="12"/>
    <s v="Yes"/>
    <s v="Travel_Frequently"/>
    <n v="307"/>
    <x v="1"/>
    <n v="29"/>
    <n v="2"/>
    <s v="Medical"/>
    <n v="1"/>
    <n v="355"/>
    <n v="3"/>
    <x v="1"/>
    <n v="71"/>
    <n v="2"/>
    <n v="1"/>
    <x v="2"/>
    <n v="2"/>
    <s v="Single"/>
    <n v="3479"/>
    <n v="11652"/>
    <n v="0"/>
    <s v="Y"/>
    <x v="1"/>
    <n v="11"/>
    <n v="3"/>
    <n v="2"/>
    <n v="80"/>
    <n v="0"/>
    <n v="6"/>
    <n v="2"/>
    <n v="4"/>
    <n v="5"/>
    <n v="4"/>
    <n v="1"/>
    <n v="4"/>
    <x v="0"/>
    <n v="0"/>
    <x v="2"/>
    <x v="0"/>
    <s v="2-5 Years"/>
    <s v="Medium"/>
    <s v="Best"/>
  </r>
  <r>
    <x v="5"/>
    <s v="No"/>
    <s v="Travel_Frequently"/>
    <n v="1311"/>
    <x v="1"/>
    <n v="7"/>
    <n v="3"/>
    <s v="Life Sciences"/>
    <n v="1"/>
    <n v="359"/>
    <n v="2"/>
    <x v="1"/>
    <n v="100"/>
    <n v="4"/>
    <n v="1"/>
    <x v="2"/>
    <n v="2"/>
    <s v="Married"/>
    <n v="2794"/>
    <n v="26062"/>
    <n v="1"/>
    <s v="Y"/>
    <x v="1"/>
    <n v="20"/>
    <n v="4"/>
    <n v="3"/>
    <n v="80"/>
    <n v="0"/>
    <n v="5"/>
    <n v="3"/>
    <n v="1"/>
    <n v="5"/>
    <n v="1"/>
    <n v="0"/>
    <n v="3"/>
    <x v="1"/>
    <n v="1"/>
    <x v="2"/>
    <x v="1"/>
    <s v="2-5 Years"/>
    <s v="Medium"/>
    <s v="Bad"/>
  </r>
  <r>
    <x v="8"/>
    <s v="No"/>
    <s v="Non-Travel"/>
    <n v="1327"/>
    <x v="0"/>
    <n v="2"/>
    <n v="2"/>
    <s v="Life Sciences"/>
    <n v="1"/>
    <n v="361"/>
    <n v="4"/>
    <x v="1"/>
    <n v="39"/>
    <n v="2"/>
    <n v="2"/>
    <x v="0"/>
    <n v="4"/>
    <s v="Married"/>
    <n v="5249"/>
    <n v="19682"/>
    <n v="3"/>
    <s v="Y"/>
    <x v="1"/>
    <n v="18"/>
    <n v="3"/>
    <n v="4"/>
    <n v="80"/>
    <n v="1"/>
    <n v="13"/>
    <n v="0"/>
    <n v="3"/>
    <n v="8"/>
    <n v="7"/>
    <n v="7"/>
    <n v="5"/>
    <x v="1"/>
    <n v="1"/>
    <x v="0"/>
    <x v="0"/>
    <s v="6-10 Years"/>
    <s v="Very High"/>
    <s v="Better"/>
  </r>
  <r>
    <x v="5"/>
    <s v="No"/>
    <s v="Travel_Rarely"/>
    <n v="128"/>
    <x v="1"/>
    <n v="2"/>
    <n v="1"/>
    <s v="Technical Degree"/>
    <n v="1"/>
    <n v="362"/>
    <n v="4"/>
    <x v="1"/>
    <n v="84"/>
    <n v="2"/>
    <n v="2"/>
    <x v="2"/>
    <n v="1"/>
    <s v="Single"/>
    <n v="2176"/>
    <n v="19737"/>
    <n v="4"/>
    <s v="Y"/>
    <x v="1"/>
    <n v="13"/>
    <n v="3"/>
    <n v="4"/>
    <n v="80"/>
    <n v="0"/>
    <n v="9"/>
    <n v="5"/>
    <n v="3"/>
    <n v="6"/>
    <n v="2"/>
    <n v="0"/>
    <n v="4"/>
    <x v="1"/>
    <n v="1"/>
    <x v="2"/>
    <x v="1"/>
    <s v="6-10 Years"/>
    <s v="Low"/>
    <s v="Better"/>
  </r>
  <r>
    <x v="21"/>
    <s v="No"/>
    <s v="Travel_Rarely"/>
    <n v="488"/>
    <x v="0"/>
    <n v="2"/>
    <n v="3"/>
    <s v="Technical Degree"/>
    <n v="1"/>
    <n v="363"/>
    <n v="3"/>
    <x v="0"/>
    <n v="75"/>
    <n v="1"/>
    <n v="4"/>
    <x v="5"/>
    <n v="2"/>
    <s v="Married"/>
    <n v="16872"/>
    <n v="14977"/>
    <n v="3"/>
    <s v="Y"/>
    <x v="0"/>
    <n v="12"/>
    <n v="3"/>
    <n v="2"/>
    <n v="80"/>
    <n v="1"/>
    <n v="28"/>
    <n v="2"/>
    <n v="2"/>
    <n v="7"/>
    <n v="7"/>
    <n v="7"/>
    <n v="7"/>
    <x v="1"/>
    <n v="1"/>
    <x v="1"/>
    <x v="2"/>
    <s v="6-10 Years"/>
    <s v="Medium"/>
    <s v="Good"/>
  </r>
  <r>
    <x v="14"/>
    <s v="Yes"/>
    <s v="Travel_Rarely"/>
    <n v="529"/>
    <x v="1"/>
    <n v="2"/>
    <n v="4"/>
    <s v="Life Sciences"/>
    <n v="1"/>
    <n v="364"/>
    <n v="1"/>
    <x v="1"/>
    <n v="79"/>
    <n v="3"/>
    <n v="1"/>
    <x v="2"/>
    <n v="3"/>
    <s v="Single"/>
    <n v="3485"/>
    <n v="14935"/>
    <n v="2"/>
    <s v="Y"/>
    <x v="1"/>
    <n v="11"/>
    <n v="3"/>
    <n v="3"/>
    <n v="80"/>
    <n v="0"/>
    <n v="5"/>
    <n v="5"/>
    <n v="1"/>
    <n v="0"/>
    <n v="0"/>
    <n v="0"/>
    <n v="0"/>
    <x v="0"/>
    <n v="0"/>
    <x v="2"/>
    <x v="0"/>
    <s v="0-1 Years"/>
    <s v="High"/>
    <s v="Bad"/>
  </r>
  <r>
    <x v="11"/>
    <s v="No"/>
    <s v="Travel_Rarely"/>
    <n v="1210"/>
    <x v="0"/>
    <n v="2"/>
    <n v="3"/>
    <s v="Medical"/>
    <n v="1"/>
    <n v="366"/>
    <n v="1"/>
    <x v="1"/>
    <n v="78"/>
    <n v="2"/>
    <n v="2"/>
    <x v="0"/>
    <n v="2"/>
    <s v="Married"/>
    <n v="6644"/>
    <n v="3687"/>
    <n v="2"/>
    <s v="Y"/>
    <x v="1"/>
    <n v="19"/>
    <n v="3"/>
    <n v="2"/>
    <n v="80"/>
    <n v="2"/>
    <n v="10"/>
    <n v="2"/>
    <n v="3"/>
    <n v="0"/>
    <n v="0"/>
    <n v="0"/>
    <n v="0"/>
    <x v="1"/>
    <n v="1"/>
    <x v="2"/>
    <x v="0"/>
    <s v="0-1 Years"/>
    <s v="Medium"/>
    <s v="Better"/>
  </r>
  <r>
    <x v="12"/>
    <s v="No"/>
    <s v="Travel_Rarely"/>
    <n v="1463"/>
    <x v="1"/>
    <n v="23"/>
    <n v="3"/>
    <s v="Medical"/>
    <n v="1"/>
    <n v="367"/>
    <n v="2"/>
    <x v="1"/>
    <n v="64"/>
    <n v="2"/>
    <n v="2"/>
    <x v="4"/>
    <n v="4"/>
    <s v="Married"/>
    <n v="5582"/>
    <n v="14408"/>
    <n v="0"/>
    <s v="Y"/>
    <x v="1"/>
    <n v="21"/>
    <n v="4"/>
    <n v="2"/>
    <n v="80"/>
    <n v="1"/>
    <n v="10"/>
    <n v="2"/>
    <n v="3"/>
    <n v="9"/>
    <n v="0"/>
    <n v="7"/>
    <n v="8"/>
    <x v="1"/>
    <n v="1"/>
    <x v="2"/>
    <x v="0"/>
    <s v="6-10 Years"/>
    <s v="Very High"/>
    <s v="Better"/>
  </r>
  <r>
    <x v="36"/>
    <s v="No"/>
    <s v="Non-Travel"/>
    <n v="675"/>
    <x v="1"/>
    <n v="5"/>
    <n v="2"/>
    <s v="Life Sciences"/>
    <n v="1"/>
    <n v="369"/>
    <n v="2"/>
    <x v="1"/>
    <n v="85"/>
    <n v="4"/>
    <n v="2"/>
    <x v="4"/>
    <n v="1"/>
    <s v="Divorced"/>
    <n v="4000"/>
    <n v="18384"/>
    <n v="1"/>
    <s v="Y"/>
    <x v="1"/>
    <n v="12"/>
    <n v="3"/>
    <n v="4"/>
    <n v="80"/>
    <n v="2"/>
    <n v="6"/>
    <n v="2"/>
    <n v="3"/>
    <n v="6"/>
    <n v="3"/>
    <n v="1"/>
    <n v="5"/>
    <x v="1"/>
    <n v="1"/>
    <x v="2"/>
    <x v="0"/>
    <s v="6-10 Years"/>
    <s v="Low"/>
    <s v="Better"/>
  </r>
  <r>
    <x v="28"/>
    <s v="No"/>
    <s v="Travel_Rarely"/>
    <n v="1385"/>
    <x v="1"/>
    <n v="20"/>
    <n v="2"/>
    <s v="Medical"/>
    <n v="1"/>
    <n v="372"/>
    <n v="3"/>
    <x v="1"/>
    <n v="79"/>
    <n v="3"/>
    <n v="4"/>
    <x v="4"/>
    <n v="4"/>
    <s v="Married"/>
    <n v="13496"/>
    <n v="7501"/>
    <n v="0"/>
    <s v="Y"/>
    <x v="0"/>
    <n v="14"/>
    <n v="3"/>
    <n v="2"/>
    <n v="80"/>
    <n v="0"/>
    <n v="21"/>
    <n v="2"/>
    <n v="3"/>
    <n v="20"/>
    <n v="7"/>
    <n v="4"/>
    <n v="10"/>
    <x v="1"/>
    <n v="1"/>
    <x v="1"/>
    <x v="2"/>
    <s v="10+ Years"/>
    <s v="Very High"/>
    <s v="Better"/>
  </r>
  <r>
    <x v="9"/>
    <s v="No"/>
    <s v="Travel_Rarely"/>
    <n v="1403"/>
    <x v="1"/>
    <n v="6"/>
    <n v="3"/>
    <s v="Life Sciences"/>
    <n v="1"/>
    <n v="373"/>
    <n v="4"/>
    <x v="1"/>
    <n v="47"/>
    <n v="3"/>
    <n v="1"/>
    <x v="2"/>
    <n v="4"/>
    <s v="Married"/>
    <n v="3210"/>
    <n v="20251"/>
    <n v="0"/>
    <s v="Y"/>
    <x v="1"/>
    <n v="11"/>
    <n v="3"/>
    <n v="3"/>
    <n v="80"/>
    <n v="1"/>
    <n v="16"/>
    <n v="4"/>
    <n v="3"/>
    <n v="15"/>
    <n v="13"/>
    <n v="10"/>
    <n v="11"/>
    <x v="1"/>
    <n v="1"/>
    <x v="0"/>
    <x v="0"/>
    <s v="10+ Years"/>
    <s v="Very High"/>
    <s v="Better"/>
  </r>
  <r>
    <x v="27"/>
    <s v="No"/>
    <s v="Travel_Rarely"/>
    <n v="452"/>
    <x v="1"/>
    <n v="1"/>
    <n v="3"/>
    <s v="Medical"/>
    <n v="1"/>
    <n v="374"/>
    <n v="4"/>
    <x v="1"/>
    <n v="81"/>
    <n v="3"/>
    <n v="5"/>
    <x v="5"/>
    <n v="1"/>
    <s v="Single"/>
    <n v="19045"/>
    <n v="18938"/>
    <n v="0"/>
    <s v="Y"/>
    <x v="0"/>
    <n v="14"/>
    <n v="3"/>
    <n v="3"/>
    <n v="80"/>
    <n v="0"/>
    <n v="37"/>
    <n v="2"/>
    <n v="3"/>
    <n v="36"/>
    <n v="10"/>
    <n v="4"/>
    <n v="13"/>
    <x v="1"/>
    <n v="1"/>
    <x v="3"/>
    <x v="2"/>
    <s v="10+ Years"/>
    <s v="Low"/>
    <s v="Better"/>
  </r>
  <r>
    <x v="40"/>
    <s v="Yes"/>
    <s v="Non-Travel"/>
    <n v="666"/>
    <x v="1"/>
    <n v="29"/>
    <n v="4"/>
    <s v="Life Sciences"/>
    <n v="1"/>
    <n v="376"/>
    <n v="1"/>
    <x v="1"/>
    <n v="88"/>
    <n v="3"/>
    <n v="3"/>
    <x v="5"/>
    <n v="2"/>
    <s v="Married"/>
    <n v="11849"/>
    <n v="10268"/>
    <n v="1"/>
    <s v="Y"/>
    <x v="0"/>
    <n v="12"/>
    <n v="3"/>
    <n v="4"/>
    <n v="80"/>
    <n v="1"/>
    <n v="10"/>
    <n v="2"/>
    <n v="2"/>
    <n v="10"/>
    <n v="7"/>
    <n v="9"/>
    <n v="9"/>
    <x v="0"/>
    <n v="0"/>
    <x v="1"/>
    <x v="2"/>
    <s v="6-10 Years"/>
    <s v="Medium"/>
    <s v="Good"/>
  </r>
  <r>
    <x v="14"/>
    <s v="No"/>
    <s v="Travel_Rarely"/>
    <n v="1158"/>
    <x v="1"/>
    <n v="9"/>
    <n v="3"/>
    <s v="Medical"/>
    <n v="1"/>
    <n v="377"/>
    <n v="4"/>
    <x v="1"/>
    <n v="94"/>
    <n v="3"/>
    <n v="1"/>
    <x v="1"/>
    <n v="4"/>
    <s v="Married"/>
    <n v="2070"/>
    <n v="2613"/>
    <n v="1"/>
    <s v="Y"/>
    <x v="1"/>
    <n v="23"/>
    <n v="4"/>
    <n v="4"/>
    <n v="80"/>
    <n v="1"/>
    <n v="5"/>
    <n v="3"/>
    <n v="2"/>
    <n v="5"/>
    <n v="2"/>
    <n v="0"/>
    <n v="4"/>
    <x v="1"/>
    <n v="1"/>
    <x v="2"/>
    <x v="1"/>
    <s v="2-5 Years"/>
    <s v="Very High"/>
    <s v="Good"/>
  </r>
  <r>
    <x v="2"/>
    <s v="No"/>
    <s v="Travel_Rarely"/>
    <n v="228"/>
    <x v="0"/>
    <n v="6"/>
    <n v="4"/>
    <s v="Medical"/>
    <n v="1"/>
    <n v="378"/>
    <n v="3"/>
    <x v="1"/>
    <n v="98"/>
    <n v="3"/>
    <n v="2"/>
    <x v="0"/>
    <n v="4"/>
    <s v="Married"/>
    <n v="6502"/>
    <n v="22825"/>
    <n v="4"/>
    <s v="Y"/>
    <x v="1"/>
    <n v="14"/>
    <n v="3"/>
    <n v="2"/>
    <n v="80"/>
    <n v="1"/>
    <n v="7"/>
    <n v="5"/>
    <n v="4"/>
    <n v="5"/>
    <n v="4"/>
    <n v="0"/>
    <n v="1"/>
    <x v="1"/>
    <n v="1"/>
    <x v="0"/>
    <x v="0"/>
    <s v="2-5 Years"/>
    <s v="Very High"/>
    <s v="Best"/>
  </r>
  <r>
    <x v="18"/>
    <s v="No"/>
    <s v="Travel_Rarely"/>
    <n v="996"/>
    <x v="1"/>
    <n v="3"/>
    <n v="2"/>
    <s v="Medical"/>
    <n v="1"/>
    <n v="379"/>
    <n v="4"/>
    <x v="1"/>
    <n v="100"/>
    <n v="2"/>
    <n v="1"/>
    <x v="1"/>
    <n v="3"/>
    <s v="Single"/>
    <n v="3230"/>
    <n v="10531"/>
    <n v="1"/>
    <s v="Y"/>
    <x v="1"/>
    <n v="17"/>
    <n v="3"/>
    <n v="1"/>
    <n v="80"/>
    <n v="0"/>
    <n v="3"/>
    <n v="4"/>
    <n v="4"/>
    <n v="3"/>
    <n v="2"/>
    <n v="1"/>
    <n v="0"/>
    <x v="1"/>
    <n v="1"/>
    <x v="4"/>
    <x v="0"/>
    <s v="2-5 Years"/>
    <s v="High"/>
    <s v="Best"/>
  </r>
  <r>
    <x v="2"/>
    <s v="No"/>
    <s v="Non-Travel"/>
    <n v="728"/>
    <x v="1"/>
    <n v="1"/>
    <n v="4"/>
    <s v="Medical"/>
    <n v="1"/>
    <n v="380"/>
    <n v="1"/>
    <x v="0"/>
    <n v="80"/>
    <n v="3"/>
    <n v="3"/>
    <x v="7"/>
    <n v="4"/>
    <s v="Divorced"/>
    <n v="13603"/>
    <n v="11677"/>
    <n v="2"/>
    <s v="Y"/>
    <x v="0"/>
    <n v="18"/>
    <n v="3"/>
    <n v="1"/>
    <n v="80"/>
    <n v="2"/>
    <n v="15"/>
    <n v="2"/>
    <n v="3"/>
    <n v="5"/>
    <n v="2"/>
    <n v="0"/>
    <n v="2"/>
    <x v="1"/>
    <n v="1"/>
    <x v="0"/>
    <x v="2"/>
    <s v="2-5 Years"/>
    <s v="Very High"/>
    <s v="Better"/>
  </r>
  <r>
    <x v="10"/>
    <s v="No"/>
    <s v="Travel_Rarely"/>
    <n v="1315"/>
    <x v="1"/>
    <n v="22"/>
    <n v="3"/>
    <s v="Life Sciences"/>
    <n v="1"/>
    <n v="381"/>
    <n v="2"/>
    <x v="0"/>
    <n v="71"/>
    <n v="4"/>
    <n v="3"/>
    <x v="5"/>
    <n v="2"/>
    <s v="Divorced"/>
    <n v="11996"/>
    <n v="19100"/>
    <n v="7"/>
    <s v="Y"/>
    <x v="1"/>
    <n v="18"/>
    <n v="3"/>
    <n v="2"/>
    <n v="80"/>
    <n v="1"/>
    <n v="10"/>
    <n v="6"/>
    <n v="2"/>
    <n v="7"/>
    <n v="7"/>
    <n v="6"/>
    <n v="2"/>
    <x v="1"/>
    <n v="1"/>
    <x v="0"/>
    <x v="2"/>
    <s v="6-10 Years"/>
    <s v="Medium"/>
    <s v="Good"/>
  </r>
  <r>
    <x v="8"/>
    <s v="No"/>
    <s v="Travel_Rarely"/>
    <n v="322"/>
    <x v="0"/>
    <n v="7"/>
    <n v="2"/>
    <s v="Medical"/>
    <n v="1"/>
    <n v="382"/>
    <n v="1"/>
    <x v="0"/>
    <n v="44"/>
    <n v="4"/>
    <n v="2"/>
    <x v="0"/>
    <n v="1"/>
    <s v="Divorced"/>
    <n v="5605"/>
    <n v="19191"/>
    <n v="1"/>
    <s v="Y"/>
    <x v="0"/>
    <n v="24"/>
    <n v="4"/>
    <n v="3"/>
    <n v="80"/>
    <n v="1"/>
    <n v="8"/>
    <n v="3"/>
    <n v="3"/>
    <n v="8"/>
    <n v="0"/>
    <n v="7"/>
    <n v="7"/>
    <x v="1"/>
    <n v="1"/>
    <x v="0"/>
    <x v="0"/>
    <s v="6-10 Years"/>
    <s v="Low"/>
    <s v="Better"/>
  </r>
  <r>
    <x v="25"/>
    <s v="No"/>
    <s v="Travel_Frequently"/>
    <n v="1479"/>
    <x v="1"/>
    <n v="1"/>
    <n v="3"/>
    <s v="Life Sciences"/>
    <n v="1"/>
    <n v="384"/>
    <n v="3"/>
    <x v="0"/>
    <n v="84"/>
    <n v="3"/>
    <n v="2"/>
    <x v="3"/>
    <n v="2"/>
    <s v="Divorced"/>
    <n v="6397"/>
    <n v="26767"/>
    <n v="1"/>
    <s v="Y"/>
    <x v="1"/>
    <n v="20"/>
    <n v="4"/>
    <n v="1"/>
    <n v="80"/>
    <n v="1"/>
    <n v="6"/>
    <n v="6"/>
    <n v="1"/>
    <n v="6"/>
    <n v="5"/>
    <n v="1"/>
    <n v="4"/>
    <x v="1"/>
    <n v="1"/>
    <x v="2"/>
    <x v="0"/>
    <s v="6-10 Years"/>
    <s v="Medium"/>
    <s v="Bad"/>
  </r>
  <r>
    <x v="24"/>
    <s v="No"/>
    <s v="Travel_Rarely"/>
    <n v="797"/>
    <x v="1"/>
    <n v="4"/>
    <n v="1"/>
    <s v="Life Sciences"/>
    <n v="1"/>
    <n v="385"/>
    <n v="1"/>
    <x v="1"/>
    <n v="96"/>
    <n v="3"/>
    <n v="5"/>
    <x v="7"/>
    <n v="2"/>
    <s v="Divorced"/>
    <n v="19144"/>
    <n v="15815"/>
    <n v="3"/>
    <s v="Y"/>
    <x v="1"/>
    <n v="14"/>
    <n v="3"/>
    <n v="1"/>
    <n v="80"/>
    <n v="2"/>
    <n v="28"/>
    <n v="4"/>
    <n v="2"/>
    <n v="10"/>
    <n v="4"/>
    <n v="1"/>
    <n v="6"/>
    <x v="1"/>
    <n v="1"/>
    <x v="1"/>
    <x v="2"/>
    <s v="6-10 Years"/>
    <s v="Medium"/>
    <s v="Good"/>
  </r>
  <r>
    <x v="16"/>
    <s v="No"/>
    <s v="Travel_Rarely"/>
    <n v="1070"/>
    <x v="1"/>
    <n v="3"/>
    <n v="4"/>
    <s v="Medical"/>
    <n v="1"/>
    <n v="386"/>
    <n v="3"/>
    <x v="1"/>
    <n v="45"/>
    <n v="3"/>
    <n v="4"/>
    <x v="7"/>
    <n v="3"/>
    <s v="Married"/>
    <n v="17584"/>
    <n v="21016"/>
    <n v="3"/>
    <s v="Y"/>
    <x v="0"/>
    <n v="16"/>
    <n v="3"/>
    <n v="4"/>
    <n v="80"/>
    <n v="3"/>
    <n v="21"/>
    <n v="5"/>
    <n v="2"/>
    <n v="5"/>
    <n v="3"/>
    <n v="1"/>
    <n v="3"/>
    <x v="1"/>
    <n v="1"/>
    <x v="1"/>
    <x v="2"/>
    <s v="2-5 Years"/>
    <s v="High"/>
    <s v="Good"/>
  </r>
  <r>
    <x v="19"/>
    <s v="No"/>
    <s v="Travel_Rarely"/>
    <n v="635"/>
    <x v="0"/>
    <n v="1"/>
    <n v="1"/>
    <s v="Life Sciences"/>
    <n v="1"/>
    <n v="387"/>
    <n v="2"/>
    <x v="1"/>
    <n v="99"/>
    <n v="3"/>
    <n v="2"/>
    <x v="0"/>
    <n v="3"/>
    <s v="Married"/>
    <n v="4907"/>
    <n v="24532"/>
    <n v="1"/>
    <s v="Y"/>
    <x v="1"/>
    <n v="25"/>
    <n v="4"/>
    <n v="3"/>
    <n v="80"/>
    <n v="0"/>
    <n v="20"/>
    <n v="3"/>
    <n v="3"/>
    <n v="20"/>
    <n v="16"/>
    <n v="11"/>
    <n v="6"/>
    <x v="1"/>
    <n v="1"/>
    <x v="0"/>
    <x v="0"/>
    <s v="10+ Years"/>
    <s v="High"/>
    <s v="Better"/>
  </r>
  <r>
    <x v="11"/>
    <s v="No"/>
    <s v="Travel_Frequently"/>
    <n v="442"/>
    <x v="0"/>
    <n v="2"/>
    <n v="2"/>
    <s v="Life Sciences"/>
    <n v="1"/>
    <n v="388"/>
    <n v="2"/>
    <x v="1"/>
    <n v="44"/>
    <n v="3"/>
    <n v="2"/>
    <x v="0"/>
    <n v="4"/>
    <s v="Single"/>
    <n v="4554"/>
    <n v="20260"/>
    <n v="1"/>
    <s v="Y"/>
    <x v="1"/>
    <n v="18"/>
    <n v="3"/>
    <n v="1"/>
    <n v="80"/>
    <n v="0"/>
    <n v="10"/>
    <n v="3"/>
    <n v="2"/>
    <n v="10"/>
    <n v="7"/>
    <n v="0"/>
    <n v="9"/>
    <x v="1"/>
    <n v="1"/>
    <x v="2"/>
    <x v="0"/>
    <s v="6-10 Years"/>
    <s v="Very High"/>
    <s v="Good"/>
  </r>
  <r>
    <x v="27"/>
    <s v="No"/>
    <s v="Travel_Rarely"/>
    <n v="147"/>
    <x v="1"/>
    <n v="20"/>
    <n v="2"/>
    <s v="Technical Degree"/>
    <n v="1"/>
    <n v="389"/>
    <n v="2"/>
    <x v="1"/>
    <n v="37"/>
    <n v="3"/>
    <n v="2"/>
    <x v="2"/>
    <n v="4"/>
    <s v="Married"/>
    <n v="5415"/>
    <n v="15972"/>
    <n v="3"/>
    <s v="Y"/>
    <x v="0"/>
    <n v="19"/>
    <n v="3"/>
    <n v="4"/>
    <n v="80"/>
    <n v="1"/>
    <n v="12"/>
    <n v="4"/>
    <n v="3"/>
    <n v="10"/>
    <n v="7"/>
    <n v="0"/>
    <n v="8"/>
    <x v="1"/>
    <n v="1"/>
    <x v="3"/>
    <x v="0"/>
    <s v="6-10 Years"/>
    <s v="Very High"/>
    <s v="Better"/>
  </r>
  <r>
    <x v="25"/>
    <s v="No"/>
    <s v="Travel_Frequently"/>
    <n v="496"/>
    <x v="1"/>
    <n v="11"/>
    <n v="2"/>
    <s v="Medical"/>
    <n v="1"/>
    <n v="390"/>
    <n v="1"/>
    <x v="1"/>
    <n v="60"/>
    <n v="3"/>
    <n v="2"/>
    <x v="4"/>
    <n v="1"/>
    <s v="Married"/>
    <n v="4741"/>
    <n v="22722"/>
    <n v="1"/>
    <s v="Y"/>
    <x v="0"/>
    <n v="13"/>
    <n v="3"/>
    <n v="3"/>
    <n v="80"/>
    <n v="1"/>
    <n v="5"/>
    <n v="3"/>
    <n v="3"/>
    <n v="5"/>
    <n v="3"/>
    <n v="3"/>
    <n v="3"/>
    <x v="1"/>
    <n v="1"/>
    <x v="2"/>
    <x v="0"/>
    <s v="2-5 Years"/>
    <s v="Low"/>
    <s v="Better"/>
  </r>
  <r>
    <x v="2"/>
    <s v="No"/>
    <s v="Travel_Rarely"/>
    <n v="1372"/>
    <x v="1"/>
    <n v="1"/>
    <n v="3"/>
    <s v="Life Sciences"/>
    <n v="1"/>
    <n v="391"/>
    <n v="4"/>
    <x v="0"/>
    <n v="42"/>
    <n v="3"/>
    <n v="1"/>
    <x v="1"/>
    <n v="4"/>
    <s v="Single"/>
    <n v="2115"/>
    <n v="15881"/>
    <n v="1"/>
    <s v="Y"/>
    <x v="1"/>
    <n v="12"/>
    <n v="3"/>
    <n v="2"/>
    <n v="80"/>
    <n v="0"/>
    <n v="17"/>
    <n v="3"/>
    <n v="3"/>
    <n v="17"/>
    <n v="12"/>
    <n v="5"/>
    <n v="7"/>
    <x v="1"/>
    <n v="1"/>
    <x v="0"/>
    <x v="1"/>
    <s v="10+ Years"/>
    <s v="Very High"/>
    <s v="Better"/>
  </r>
  <r>
    <x v="20"/>
    <s v="Yes"/>
    <s v="Travel_Frequently"/>
    <n v="920"/>
    <x v="1"/>
    <n v="24"/>
    <n v="3"/>
    <s v="Life Sciences"/>
    <n v="1"/>
    <n v="392"/>
    <n v="4"/>
    <x v="1"/>
    <n v="43"/>
    <n v="3"/>
    <n v="1"/>
    <x v="2"/>
    <n v="3"/>
    <s v="Divorced"/>
    <n v="3161"/>
    <n v="19920"/>
    <n v="3"/>
    <s v="Y"/>
    <x v="0"/>
    <n v="22"/>
    <n v="4"/>
    <n v="4"/>
    <n v="80"/>
    <n v="1"/>
    <n v="19"/>
    <n v="0"/>
    <n v="1"/>
    <n v="1"/>
    <n v="0"/>
    <n v="0"/>
    <n v="0"/>
    <x v="0"/>
    <n v="0"/>
    <x v="0"/>
    <x v="0"/>
    <s v="0-1 Years"/>
    <s v="High"/>
    <s v="Bad"/>
  </r>
  <r>
    <x v="8"/>
    <s v="No"/>
    <s v="Travel_Rarely"/>
    <n v="688"/>
    <x v="1"/>
    <n v="23"/>
    <n v="4"/>
    <s v="Life Sciences"/>
    <n v="1"/>
    <n v="393"/>
    <n v="4"/>
    <x v="1"/>
    <n v="82"/>
    <n v="3"/>
    <n v="2"/>
    <x v="4"/>
    <n v="4"/>
    <s v="Divorced"/>
    <n v="5745"/>
    <n v="18899"/>
    <n v="9"/>
    <s v="Y"/>
    <x v="1"/>
    <n v="14"/>
    <n v="3"/>
    <n v="2"/>
    <n v="80"/>
    <n v="1"/>
    <n v="10"/>
    <n v="2"/>
    <n v="3"/>
    <n v="2"/>
    <n v="2"/>
    <n v="1"/>
    <n v="2"/>
    <x v="1"/>
    <n v="1"/>
    <x v="0"/>
    <x v="0"/>
    <s v="2-5 Years"/>
    <s v="Very High"/>
    <s v="Better"/>
  </r>
  <r>
    <x v="25"/>
    <s v="Yes"/>
    <s v="Travel_Rarely"/>
    <n v="1449"/>
    <x v="1"/>
    <n v="16"/>
    <n v="4"/>
    <s v="Medical"/>
    <n v="1"/>
    <n v="394"/>
    <n v="1"/>
    <x v="1"/>
    <n v="45"/>
    <n v="3"/>
    <n v="1"/>
    <x v="2"/>
    <n v="2"/>
    <s v="Divorced"/>
    <n v="2373"/>
    <n v="14180"/>
    <n v="2"/>
    <s v="Y"/>
    <x v="0"/>
    <n v="13"/>
    <n v="3"/>
    <n v="4"/>
    <n v="80"/>
    <n v="1"/>
    <n v="5"/>
    <n v="2"/>
    <n v="3"/>
    <n v="3"/>
    <n v="2"/>
    <n v="0"/>
    <n v="2"/>
    <x v="0"/>
    <n v="0"/>
    <x v="2"/>
    <x v="1"/>
    <s v="2-5 Years"/>
    <s v="Medium"/>
    <s v="Better"/>
  </r>
  <r>
    <x v="14"/>
    <s v="No"/>
    <s v="Travel_Rarely"/>
    <n v="1117"/>
    <x v="1"/>
    <n v="8"/>
    <n v="2"/>
    <s v="Life Sciences"/>
    <n v="1"/>
    <n v="395"/>
    <n v="4"/>
    <x v="0"/>
    <n v="66"/>
    <n v="3"/>
    <n v="1"/>
    <x v="1"/>
    <n v="4"/>
    <s v="Single"/>
    <n v="3310"/>
    <n v="4488"/>
    <n v="1"/>
    <s v="Y"/>
    <x v="1"/>
    <n v="21"/>
    <n v="4"/>
    <n v="4"/>
    <n v="80"/>
    <n v="0"/>
    <n v="5"/>
    <n v="3"/>
    <n v="3"/>
    <n v="5"/>
    <n v="3"/>
    <n v="0"/>
    <n v="2"/>
    <x v="1"/>
    <n v="1"/>
    <x v="2"/>
    <x v="0"/>
    <s v="2-5 Years"/>
    <s v="Very High"/>
    <s v="Better"/>
  </r>
  <r>
    <x v="1"/>
    <s v="No"/>
    <s v="Travel_Frequently"/>
    <n v="636"/>
    <x v="1"/>
    <n v="10"/>
    <n v="4"/>
    <s v="Life Sciences"/>
    <n v="1"/>
    <n v="396"/>
    <n v="3"/>
    <x v="0"/>
    <n v="35"/>
    <n v="3"/>
    <n v="5"/>
    <x v="7"/>
    <n v="1"/>
    <s v="Single"/>
    <n v="18665"/>
    <n v="25594"/>
    <n v="9"/>
    <s v="Y"/>
    <x v="0"/>
    <n v="11"/>
    <n v="3"/>
    <n v="4"/>
    <n v="80"/>
    <n v="0"/>
    <n v="22"/>
    <n v="4"/>
    <n v="3"/>
    <n v="3"/>
    <n v="2"/>
    <n v="1"/>
    <n v="2"/>
    <x v="1"/>
    <n v="1"/>
    <x v="1"/>
    <x v="2"/>
    <s v="2-5 Years"/>
    <s v="Low"/>
    <s v="Better"/>
  </r>
  <r>
    <x v="9"/>
    <s v="No"/>
    <s v="Travel_Rarely"/>
    <n v="506"/>
    <x v="1"/>
    <n v="3"/>
    <n v="3"/>
    <s v="Technical Degree"/>
    <n v="1"/>
    <n v="397"/>
    <n v="3"/>
    <x v="1"/>
    <n v="30"/>
    <n v="3"/>
    <n v="2"/>
    <x v="1"/>
    <n v="2"/>
    <s v="Single"/>
    <n v="4485"/>
    <n v="26285"/>
    <n v="4"/>
    <s v="Y"/>
    <x v="1"/>
    <n v="12"/>
    <n v="3"/>
    <n v="4"/>
    <n v="80"/>
    <n v="0"/>
    <n v="10"/>
    <n v="2"/>
    <n v="3"/>
    <n v="8"/>
    <n v="0"/>
    <n v="7"/>
    <n v="7"/>
    <x v="1"/>
    <n v="1"/>
    <x v="0"/>
    <x v="0"/>
    <s v="6-10 Years"/>
    <s v="Medium"/>
    <s v="Better"/>
  </r>
  <r>
    <x v="12"/>
    <s v="No"/>
    <s v="Travel_Frequently"/>
    <n v="444"/>
    <x v="0"/>
    <n v="5"/>
    <n v="3"/>
    <s v="Marketing"/>
    <n v="1"/>
    <n v="399"/>
    <n v="4"/>
    <x v="0"/>
    <n v="84"/>
    <n v="3"/>
    <n v="1"/>
    <x v="6"/>
    <n v="2"/>
    <s v="Divorced"/>
    <n v="2789"/>
    <n v="3909"/>
    <n v="1"/>
    <s v="Y"/>
    <x v="1"/>
    <n v="11"/>
    <n v="3"/>
    <n v="3"/>
    <n v="80"/>
    <n v="1"/>
    <n v="2"/>
    <n v="5"/>
    <n v="2"/>
    <n v="2"/>
    <n v="2"/>
    <n v="2"/>
    <n v="2"/>
    <x v="1"/>
    <n v="1"/>
    <x v="2"/>
    <x v="1"/>
    <s v="2-5 Years"/>
    <s v="Medium"/>
    <s v="Good"/>
  </r>
  <r>
    <x v="25"/>
    <s v="Yes"/>
    <s v="Travel_Rarely"/>
    <n v="950"/>
    <x v="0"/>
    <n v="4"/>
    <n v="4"/>
    <s v="Marketing"/>
    <n v="1"/>
    <n v="401"/>
    <n v="4"/>
    <x v="1"/>
    <n v="48"/>
    <n v="2"/>
    <n v="2"/>
    <x v="0"/>
    <n v="4"/>
    <s v="Single"/>
    <n v="5828"/>
    <n v="8450"/>
    <n v="1"/>
    <s v="Y"/>
    <x v="0"/>
    <n v="12"/>
    <n v="3"/>
    <n v="2"/>
    <n v="80"/>
    <n v="0"/>
    <n v="8"/>
    <n v="0"/>
    <n v="3"/>
    <n v="8"/>
    <n v="7"/>
    <n v="7"/>
    <n v="4"/>
    <x v="0"/>
    <n v="0"/>
    <x v="2"/>
    <x v="0"/>
    <s v="6-10 Years"/>
    <s v="Very High"/>
    <s v="Better"/>
  </r>
  <r>
    <x v="2"/>
    <s v="No"/>
    <s v="Travel_Frequently"/>
    <n v="889"/>
    <x v="1"/>
    <n v="9"/>
    <n v="3"/>
    <s v="Medical"/>
    <n v="1"/>
    <n v="403"/>
    <n v="2"/>
    <x v="1"/>
    <n v="53"/>
    <n v="3"/>
    <n v="1"/>
    <x v="1"/>
    <n v="4"/>
    <s v="Married"/>
    <n v="2326"/>
    <n v="11411"/>
    <n v="1"/>
    <s v="Y"/>
    <x v="0"/>
    <n v="12"/>
    <n v="3"/>
    <n v="3"/>
    <n v="80"/>
    <n v="3"/>
    <n v="4"/>
    <n v="3"/>
    <n v="2"/>
    <n v="4"/>
    <n v="2"/>
    <n v="1"/>
    <n v="2"/>
    <x v="1"/>
    <n v="1"/>
    <x v="0"/>
    <x v="1"/>
    <s v="2-5 Years"/>
    <s v="Very High"/>
    <s v="Good"/>
  </r>
  <r>
    <x v="19"/>
    <s v="No"/>
    <s v="Travel_Frequently"/>
    <n v="555"/>
    <x v="0"/>
    <n v="26"/>
    <n v="3"/>
    <s v="Marketing"/>
    <n v="1"/>
    <n v="404"/>
    <n v="3"/>
    <x v="0"/>
    <n v="77"/>
    <n v="3"/>
    <n v="4"/>
    <x v="0"/>
    <n v="2"/>
    <s v="Married"/>
    <n v="13525"/>
    <n v="14864"/>
    <n v="5"/>
    <s v="Y"/>
    <x v="1"/>
    <n v="14"/>
    <n v="3"/>
    <n v="4"/>
    <n v="80"/>
    <n v="1"/>
    <n v="23"/>
    <n v="2"/>
    <n v="4"/>
    <n v="20"/>
    <n v="4"/>
    <n v="4"/>
    <n v="8"/>
    <x v="1"/>
    <n v="1"/>
    <x v="0"/>
    <x v="2"/>
    <s v="10+ Years"/>
    <s v="Medium"/>
    <s v="Best"/>
  </r>
  <r>
    <x v="41"/>
    <s v="Yes"/>
    <s v="Travel_Rarely"/>
    <n v="230"/>
    <x v="1"/>
    <n v="3"/>
    <n v="3"/>
    <s v="Life Sciences"/>
    <n v="1"/>
    <n v="405"/>
    <n v="3"/>
    <x v="1"/>
    <n v="54"/>
    <n v="3"/>
    <n v="1"/>
    <x v="2"/>
    <n v="3"/>
    <s v="Single"/>
    <n v="1420"/>
    <n v="25233"/>
    <n v="1"/>
    <s v="Y"/>
    <x v="1"/>
    <n v="13"/>
    <n v="3"/>
    <n v="3"/>
    <n v="80"/>
    <n v="0"/>
    <n v="0"/>
    <n v="2"/>
    <n v="3"/>
    <n v="0"/>
    <n v="0"/>
    <n v="0"/>
    <n v="0"/>
    <x v="0"/>
    <n v="0"/>
    <x v="4"/>
    <x v="1"/>
    <s v="0-1 Years"/>
    <s v="High"/>
    <s v="Better"/>
  </r>
  <r>
    <x v="10"/>
    <s v="No"/>
    <s v="Travel_Rarely"/>
    <n v="1232"/>
    <x v="0"/>
    <n v="16"/>
    <n v="3"/>
    <s v="Marketing"/>
    <n v="1"/>
    <n v="406"/>
    <n v="3"/>
    <x v="1"/>
    <n v="96"/>
    <n v="3"/>
    <n v="3"/>
    <x v="0"/>
    <n v="2"/>
    <s v="Married"/>
    <n v="8020"/>
    <n v="5100"/>
    <n v="0"/>
    <s v="Y"/>
    <x v="1"/>
    <n v="15"/>
    <n v="3"/>
    <n v="3"/>
    <n v="80"/>
    <n v="2"/>
    <n v="12"/>
    <n v="3"/>
    <n v="2"/>
    <n v="11"/>
    <n v="9"/>
    <n v="6"/>
    <n v="9"/>
    <x v="1"/>
    <n v="1"/>
    <x v="0"/>
    <x v="2"/>
    <s v="10+ Years"/>
    <s v="Medium"/>
    <s v="Good"/>
  </r>
  <r>
    <x v="9"/>
    <s v="No"/>
    <s v="Travel_Frequently"/>
    <n v="566"/>
    <x v="1"/>
    <n v="18"/>
    <n v="4"/>
    <s v="Life Sciences"/>
    <n v="1"/>
    <n v="407"/>
    <n v="3"/>
    <x v="1"/>
    <n v="81"/>
    <n v="4"/>
    <n v="1"/>
    <x v="2"/>
    <n v="4"/>
    <s v="Married"/>
    <n v="3688"/>
    <n v="7122"/>
    <n v="4"/>
    <s v="Y"/>
    <x v="1"/>
    <n v="18"/>
    <n v="3"/>
    <n v="4"/>
    <n v="80"/>
    <n v="2"/>
    <n v="4"/>
    <n v="2"/>
    <n v="3"/>
    <n v="1"/>
    <n v="0"/>
    <n v="0"/>
    <n v="0"/>
    <x v="1"/>
    <n v="1"/>
    <x v="0"/>
    <x v="0"/>
    <s v="0-1 Years"/>
    <s v="Very High"/>
    <s v="Better"/>
  </r>
  <r>
    <x v="31"/>
    <s v="No"/>
    <s v="Travel_Rarely"/>
    <n v="1302"/>
    <x v="1"/>
    <n v="2"/>
    <n v="3"/>
    <s v="Medical"/>
    <n v="1"/>
    <n v="408"/>
    <n v="4"/>
    <x v="1"/>
    <n v="84"/>
    <n v="1"/>
    <n v="2"/>
    <x v="3"/>
    <n v="2"/>
    <s v="Divorced"/>
    <n v="5482"/>
    <n v="16321"/>
    <n v="5"/>
    <s v="Y"/>
    <x v="1"/>
    <n v="18"/>
    <n v="3"/>
    <n v="4"/>
    <n v="80"/>
    <n v="1"/>
    <n v="13"/>
    <n v="3"/>
    <n v="3"/>
    <n v="4"/>
    <n v="1"/>
    <n v="1"/>
    <n v="2"/>
    <x v="1"/>
    <n v="1"/>
    <x v="1"/>
    <x v="0"/>
    <s v="2-5 Years"/>
    <s v="Medium"/>
    <s v="Better"/>
  </r>
  <r>
    <x v="0"/>
    <s v="No"/>
    <s v="Travel_Rarely"/>
    <n v="334"/>
    <x v="0"/>
    <n v="2"/>
    <n v="4"/>
    <s v="Life Sciences"/>
    <n v="1"/>
    <n v="410"/>
    <n v="4"/>
    <x v="1"/>
    <n v="88"/>
    <n v="3"/>
    <n v="4"/>
    <x v="5"/>
    <n v="2"/>
    <s v="Single"/>
    <n v="16015"/>
    <n v="15896"/>
    <n v="1"/>
    <s v="Y"/>
    <x v="1"/>
    <n v="19"/>
    <n v="3"/>
    <n v="2"/>
    <n v="80"/>
    <n v="0"/>
    <n v="22"/>
    <n v="2"/>
    <n v="3"/>
    <n v="22"/>
    <n v="10"/>
    <n v="0"/>
    <n v="4"/>
    <x v="1"/>
    <n v="1"/>
    <x v="0"/>
    <x v="2"/>
    <s v="10+ Years"/>
    <s v="Medium"/>
    <s v="Better"/>
  </r>
  <r>
    <x v="41"/>
    <s v="No"/>
    <s v="Travel_Rarely"/>
    <n v="812"/>
    <x v="0"/>
    <n v="10"/>
    <n v="3"/>
    <s v="Medical"/>
    <n v="1"/>
    <n v="411"/>
    <n v="4"/>
    <x v="0"/>
    <n v="69"/>
    <n v="2"/>
    <n v="1"/>
    <x v="6"/>
    <n v="3"/>
    <s v="Single"/>
    <n v="1200"/>
    <n v="9724"/>
    <n v="1"/>
    <s v="Y"/>
    <x v="1"/>
    <n v="12"/>
    <n v="3"/>
    <n v="1"/>
    <n v="80"/>
    <n v="0"/>
    <n v="0"/>
    <n v="2"/>
    <n v="3"/>
    <n v="0"/>
    <n v="0"/>
    <n v="0"/>
    <n v="0"/>
    <x v="1"/>
    <n v="1"/>
    <x v="4"/>
    <x v="1"/>
    <s v="0-1 Years"/>
    <s v="High"/>
    <s v="Better"/>
  </r>
  <r>
    <x v="14"/>
    <s v="No"/>
    <s v="Travel_Rarely"/>
    <n v="1476"/>
    <x v="1"/>
    <n v="16"/>
    <n v="2"/>
    <s v="Medical"/>
    <n v="1"/>
    <n v="412"/>
    <n v="2"/>
    <x v="1"/>
    <n v="68"/>
    <n v="4"/>
    <n v="2"/>
    <x v="4"/>
    <n v="1"/>
    <s v="Single"/>
    <n v="5661"/>
    <n v="4824"/>
    <n v="0"/>
    <s v="Y"/>
    <x v="1"/>
    <n v="19"/>
    <n v="3"/>
    <n v="3"/>
    <n v="80"/>
    <n v="0"/>
    <n v="9"/>
    <n v="2"/>
    <n v="3"/>
    <n v="8"/>
    <n v="3"/>
    <n v="0"/>
    <n v="7"/>
    <x v="1"/>
    <n v="1"/>
    <x v="2"/>
    <x v="0"/>
    <s v="6-10 Years"/>
    <s v="Low"/>
    <s v="Better"/>
  </r>
  <r>
    <x v="12"/>
    <s v="No"/>
    <s v="Travel_Rarely"/>
    <n v="218"/>
    <x v="0"/>
    <n v="7"/>
    <n v="3"/>
    <s v="Technical Degree"/>
    <n v="1"/>
    <n v="416"/>
    <n v="2"/>
    <x v="1"/>
    <n v="100"/>
    <n v="4"/>
    <n v="2"/>
    <x v="0"/>
    <n v="4"/>
    <s v="Married"/>
    <n v="6929"/>
    <n v="12241"/>
    <n v="4"/>
    <s v="Y"/>
    <x v="1"/>
    <n v="11"/>
    <n v="3"/>
    <n v="2"/>
    <n v="80"/>
    <n v="1"/>
    <n v="10"/>
    <n v="3"/>
    <n v="2"/>
    <n v="8"/>
    <n v="7"/>
    <n v="7"/>
    <n v="7"/>
    <x v="1"/>
    <n v="1"/>
    <x v="2"/>
    <x v="0"/>
    <s v="6-10 Years"/>
    <s v="Very High"/>
    <s v="Good"/>
  </r>
  <r>
    <x v="22"/>
    <s v="No"/>
    <s v="Travel_Rarely"/>
    <n v="1132"/>
    <x v="1"/>
    <n v="1"/>
    <n v="3"/>
    <s v="Medical"/>
    <n v="1"/>
    <n v="417"/>
    <n v="3"/>
    <x v="1"/>
    <n v="48"/>
    <n v="4"/>
    <n v="3"/>
    <x v="4"/>
    <n v="4"/>
    <s v="Divorced"/>
    <n v="9613"/>
    <n v="10942"/>
    <n v="0"/>
    <s v="Y"/>
    <x v="1"/>
    <n v="17"/>
    <n v="3"/>
    <n v="1"/>
    <n v="80"/>
    <n v="3"/>
    <n v="19"/>
    <n v="5"/>
    <n v="2"/>
    <n v="18"/>
    <n v="10"/>
    <n v="3"/>
    <n v="7"/>
    <x v="1"/>
    <n v="1"/>
    <x v="0"/>
    <x v="2"/>
    <s v="10+ Years"/>
    <s v="Very High"/>
    <s v="Good"/>
  </r>
  <r>
    <x v="9"/>
    <s v="No"/>
    <s v="Non-Travel"/>
    <n v="1105"/>
    <x v="1"/>
    <n v="24"/>
    <n v="4"/>
    <s v="Life Sciences"/>
    <n v="1"/>
    <n v="419"/>
    <n v="2"/>
    <x v="0"/>
    <n v="47"/>
    <n v="3"/>
    <n v="2"/>
    <x v="2"/>
    <n v="2"/>
    <s v="Married"/>
    <n v="5674"/>
    <n v="6927"/>
    <n v="7"/>
    <s v="Y"/>
    <x v="1"/>
    <n v="15"/>
    <n v="3"/>
    <n v="3"/>
    <n v="80"/>
    <n v="1"/>
    <n v="11"/>
    <n v="3"/>
    <n v="3"/>
    <n v="9"/>
    <n v="8"/>
    <n v="0"/>
    <n v="8"/>
    <x v="1"/>
    <n v="1"/>
    <x v="0"/>
    <x v="0"/>
    <s v="6-10 Years"/>
    <s v="Medium"/>
    <s v="Better"/>
  </r>
  <r>
    <x v="5"/>
    <s v="No"/>
    <s v="Travel_Rarely"/>
    <n v="906"/>
    <x v="0"/>
    <n v="7"/>
    <n v="3"/>
    <s v="Life Sciences"/>
    <n v="1"/>
    <n v="420"/>
    <n v="4"/>
    <x v="1"/>
    <n v="91"/>
    <n v="2"/>
    <n v="2"/>
    <x v="0"/>
    <n v="3"/>
    <s v="Married"/>
    <n v="5484"/>
    <n v="16985"/>
    <n v="1"/>
    <s v="Y"/>
    <x v="1"/>
    <n v="14"/>
    <n v="3"/>
    <n v="3"/>
    <n v="80"/>
    <n v="1"/>
    <n v="13"/>
    <n v="3"/>
    <n v="2"/>
    <n v="13"/>
    <n v="8"/>
    <n v="4"/>
    <n v="8"/>
    <x v="1"/>
    <n v="1"/>
    <x v="2"/>
    <x v="0"/>
    <s v="10+ Years"/>
    <s v="High"/>
    <s v="Good"/>
  </r>
  <r>
    <x v="8"/>
    <s v="No"/>
    <s v="Travel_Rarely"/>
    <n v="849"/>
    <x v="1"/>
    <n v="25"/>
    <n v="2"/>
    <s v="Life Sciences"/>
    <n v="1"/>
    <n v="421"/>
    <n v="1"/>
    <x v="0"/>
    <n v="81"/>
    <n v="2"/>
    <n v="3"/>
    <x v="7"/>
    <n v="2"/>
    <s v="Married"/>
    <n v="12061"/>
    <n v="26707"/>
    <n v="3"/>
    <s v="Y"/>
    <x v="1"/>
    <n v="17"/>
    <n v="3"/>
    <n v="3"/>
    <n v="80"/>
    <n v="1"/>
    <n v="19"/>
    <n v="2"/>
    <n v="3"/>
    <n v="10"/>
    <n v="8"/>
    <n v="0"/>
    <n v="1"/>
    <x v="1"/>
    <n v="1"/>
    <x v="0"/>
    <x v="2"/>
    <s v="6-10 Years"/>
    <s v="Medium"/>
    <s v="Better"/>
  </r>
  <r>
    <x v="34"/>
    <s v="No"/>
    <s v="Non-Travel"/>
    <n v="390"/>
    <x v="1"/>
    <n v="1"/>
    <n v="4"/>
    <s v="Life Sciences"/>
    <n v="1"/>
    <n v="422"/>
    <n v="4"/>
    <x v="1"/>
    <n v="32"/>
    <n v="1"/>
    <n v="2"/>
    <x v="4"/>
    <n v="3"/>
    <s v="Divorced"/>
    <n v="5660"/>
    <n v="17056"/>
    <n v="2"/>
    <s v="Y"/>
    <x v="0"/>
    <n v="13"/>
    <n v="3"/>
    <n v="4"/>
    <n v="80"/>
    <n v="1"/>
    <n v="12"/>
    <n v="2"/>
    <n v="3"/>
    <n v="5"/>
    <n v="3"/>
    <n v="1"/>
    <n v="2"/>
    <x v="1"/>
    <n v="1"/>
    <x v="3"/>
    <x v="0"/>
    <s v="2-5 Years"/>
    <s v="High"/>
    <s v="Better"/>
  </r>
  <r>
    <x v="12"/>
    <s v="No"/>
    <s v="Travel_Rarely"/>
    <n v="691"/>
    <x v="1"/>
    <n v="5"/>
    <n v="4"/>
    <s v="Technical Degree"/>
    <n v="1"/>
    <n v="423"/>
    <n v="3"/>
    <x v="1"/>
    <n v="86"/>
    <n v="3"/>
    <n v="1"/>
    <x v="1"/>
    <n v="4"/>
    <s v="Married"/>
    <n v="4821"/>
    <n v="10077"/>
    <n v="0"/>
    <s v="Y"/>
    <x v="0"/>
    <n v="12"/>
    <n v="3"/>
    <n v="3"/>
    <n v="80"/>
    <n v="1"/>
    <n v="6"/>
    <n v="4"/>
    <n v="3"/>
    <n v="5"/>
    <n v="2"/>
    <n v="0"/>
    <n v="3"/>
    <x v="1"/>
    <n v="1"/>
    <x v="2"/>
    <x v="0"/>
    <s v="2-5 Years"/>
    <s v="Very High"/>
    <s v="Better"/>
  </r>
  <r>
    <x v="12"/>
    <s v="No"/>
    <s v="Travel_Rarely"/>
    <n v="106"/>
    <x v="2"/>
    <n v="2"/>
    <n v="3"/>
    <s v="Human Resources"/>
    <n v="1"/>
    <n v="424"/>
    <n v="1"/>
    <x v="1"/>
    <n v="62"/>
    <n v="2"/>
    <n v="2"/>
    <x v="8"/>
    <n v="1"/>
    <s v="Married"/>
    <n v="6410"/>
    <n v="17822"/>
    <n v="3"/>
    <s v="Y"/>
    <x v="1"/>
    <n v="12"/>
    <n v="3"/>
    <n v="4"/>
    <n v="80"/>
    <n v="0"/>
    <n v="9"/>
    <n v="1"/>
    <n v="3"/>
    <n v="2"/>
    <n v="2"/>
    <n v="1"/>
    <n v="0"/>
    <x v="1"/>
    <n v="1"/>
    <x v="2"/>
    <x v="0"/>
    <s v="2-5 Years"/>
    <s v="Low"/>
    <s v="Better"/>
  </r>
  <r>
    <x v="28"/>
    <s v="No"/>
    <s v="Travel_Frequently"/>
    <n v="1249"/>
    <x v="1"/>
    <n v="7"/>
    <n v="3"/>
    <s v="Life Sciences"/>
    <n v="1"/>
    <n v="425"/>
    <n v="1"/>
    <x v="1"/>
    <n v="97"/>
    <n v="3"/>
    <n v="3"/>
    <x v="2"/>
    <n v="1"/>
    <s v="Divorced"/>
    <n v="5210"/>
    <n v="20308"/>
    <n v="1"/>
    <s v="Y"/>
    <x v="1"/>
    <n v="18"/>
    <n v="3"/>
    <n v="1"/>
    <n v="80"/>
    <n v="1"/>
    <n v="24"/>
    <n v="2"/>
    <n v="3"/>
    <n v="24"/>
    <n v="9"/>
    <n v="9"/>
    <n v="11"/>
    <x v="1"/>
    <n v="1"/>
    <x v="1"/>
    <x v="0"/>
    <s v="10+ Years"/>
    <s v="Low"/>
    <s v="Better"/>
  </r>
  <r>
    <x v="12"/>
    <s v="No"/>
    <s v="Travel_Rarely"/>
    <n v="192"/>
    <x v="1"/>
    <n v="2"/>
    <n v="4"/>
    <s v="Life Sciences"/>
    <n v="1"/>
    <n v="426"/>
    <n v="3"/>
    <x v="1"/>
    <n v="32"/>
    <n v="3"/>
    <n v="1"/>
    <x v="1"/>
    <n v="4"/>
    <s v="Divorced"/>
    <n v="2695"/>
    <n v="7747"/>
    <n v="0"/>
    <s v="Y"/>
    <x v="0"/>
    <n v="18"/>
    <n v="3"/>
    <n v="2"/>
    <n v="80"/>
    <n v="1"/>
    <n v="3"/>
    <n v="2"/>
    <n v="1"/>
    <n v="2"/>
    <n v="2"/>
    <n v="2"/>
    <n v="2"/>
    <x v="1"/>
    <n v="1"/>
    <x v="2"/>
    <x v="1"/>
    <s v="2-5 Years"/>
    <s v="Very High"/>
    <s v="Bad"/>
  </r>
  <r>
    <x v="3"/>
    <s v="No"/>
    <s v="Travel_Frequently"/>
    <n v="553"/>
    <x v="1"/>
    <n v="5"/>
    <n v="4"/>
    <s v="Life Sciences"/>
    <n v="1"/>
    <n v="428"/>
    <n v="4"/>
    <x v="0"/>
    <n v="74"/>
    <n v="3"/>
    <n v="3"/>
    <x v="5"/>
    <n v="2"/>
    <s v="Married"/>
    <n v="11878"/>
    <n v="23364"/>
    <n v="6"/>
    <s v="Y"/>
    <x v="1"/>
    <n v="11"/>
    <n v="3"/>
    <n v="2"/>
    <n v="80"/>
    <n v="2"/>
    <n v="12"/>
    <n v="2"/>
    <n v="3"/>
    <n v="10"/>
    <n v="6"/>
    <n v="8"/>
    <n v="8"/>
    <x v="1"/>
    <n v="1"/>
    <x v="2"/>
    <x v="2"/>
    <s v="6-10 Years"/>
    <s v="Medium"/>
    <s v="Better"/>
  </r>
  <r>
    <x v="22"/>
    <s v="No"/>
    <s v="Travel_Rarely"/>
    <n v="117"/>
    <x v="1"/>
    <n v="10"/>
    <n v="1"/>
    <s v="Medical"/>
    <n v="1"/>
    <n v="429"/>
    <n v="3"/>
    <x v="1"/>
    <n v="99"/>
    <n v="3"/>
    <n v="4"/>
    <x v="5"/>
    <n v="1"/>
    <s v="Married"/>
    <n v="17068"/>
    <n v="5355"/>
    <n v="1"/>
    <s v="Y"/>
    <x v="0"/>
    <n v="14"/>
    <n v="3"/>
    <n v="4"/>
    <n v="80"/>
    <n v="0"/>
    <n v="21"/>
    <n v="3"/>
    <n v="3"/>
    <n v="21"/>
    <n v="9"/>
    <n v="11"/>
    <n v="10"/>
    <x v="1"/>
    <n v="1"/>
    <x v="0"/>
    <x v="2"/>
    <s v="10+ Years"/>
    <s v="Low"/>
    <s v="Better"/>
  </r>
  <r>
    <x v="23"/>
    <s v="No"/>
    <s v="Travel_Frequently"/>
    <n v="185"/>
    <x v="1"/>
    <n v="10"/>
    <n v="4"/>
    <s v="Life Sciences"/>
    <n v="1"/>
    <n v="430"/>
    <n v="3"/>
    <x v="0"/>
    <n v="33"/>
    <n v="3"/>
    <n v="1"/>
    <x v="2"/>
    <n v="4"/>
    <s v="Single"/>
    <n v="2455"/>
    <n v="10675"/>
    <n v="0"/>
    <s v="Y"/>
    <x v="1"/>
    <n v="19"/>
    <n v="3"/>
    <n v="1"/>
    <n v="80"/>
    <n v="0"/>
    <n v="9"/>
    <n v="5"/>
    <n v="3"/>
    <n v="8"/>
    <n v="7"/>
    <n v="1"/>
    <n v="7"/>
    <x v="1"/>
    <n v="1"/>
    <x v="0"/>
    <x v="1"/>
    <s v="6-10 Years"/>
    <s v="Very High"/>
    <s v="Better"/>
  </r>
  <r>
    <x v="1"/>
    <s v="No"/>
    <s v="Travel_Rarely"/>
    <n v="1091"/>
    <x v="1"/>
    <n v="1"/>
    <n v="2"/>
    <s v="Technical Degree"/>
    <n v="1"/>
    <n v="431"/>
    <n v="3"/>
    <x v="0"/>
    <n v="90"/>
    <n v="2"/>
    <n v="4"/>
    <x v="4"/>
    <n v="3"/>
    <s v="Single"/>
    <n v="13964"/>
    <n v="17810"/>
    <n v="7"/>
    <s v="Y"/>
    <x v="0"/>
    <n v="12"/>
    <n v="3"/>
    <n v="4"/>
    <n v="80"/>
    <n v="0"/>
    <n v="25"/>
    <n v="2"/>
    <n v="3"/>
    <n v="7"/>
    <n v="1"/>
    <n v="0"/>
    <n v="7"/>
    <x v="1"/>
    <n v="1"/>
    <x v="1"/>
    <x v="2"/>
    <s v="6-10 Years"/>
    <s v="High"/>
    <s v="Better"/>
  </r>
  <r>
    <x v="39"/>
    <s v="Yes"/>
    <s v="Travel_Rarely"/>
    <n v="723"/>
    <x v="1"/>
    <n v="8"/>
    <n v="4"/>
    <s v="Medical"/>
    <n v="1"/>
    <n v="433"/>
    <n v="3"/>
    <x v="1"/>
    <n v="85"/>
    <n v="2"/>
    <n v="2"/>
    <x v="1"/>
    <n v="2"/>
    <s v="Married"/>
    <n v="4941"/>
    <n v="17747"/>
    <n v="2"/>
    <s v="Y"/>
    <x v="1"/>
    <n v="15"/>
    <n v="3"/>
    <n v="1"/>
    <n v="80"/>
    <n v="0"/>
    <n v="11"/>
    <n v="3"/>
    <n v="2"/>
    <n v="8"/>
    <n v="2"/>
    <n v="7"/>
    <n v="7"/>
    <x v="0"/>
    <n v="0"/>
    <x v="1"/>
    <x v="0"/>
    <s v="6-10 Years"/>
    <s v="Medium"/>
    <s v="Good"/>
  </r>
  <r>
    <x v="4"/>
    <s v="No"/>
    <s v="Travel_Rarely"/>
    <n v="1220"/>
    <x v="1"/>
    <n v="5"/>
    <n v="3"/>
    <s v="Life Sciences"/>
    <n v="1"/>
    <n v="434"/>
    <n v="3"/>
    <x v="0"/>
    <n v="85"/>
    <n v="3"/>
    <n v="1"/>
    <x v="1"/>
    <n v="2"/>
    <s v="Single"/>
    <n v="2478"/>
    <n v="20938"/>
    <n v="1"/>
    <s v="Y"/>
    <x v="0"/>
    <n v="12"/>
    <n v="3"/>
    <n v="2"/>
    <n v="80"/>
    <n v="0"/>
    <n v="4"/>
    <n v="2"/>
    <n v="2"/>
    <n v="4"/>
    <n v="3"/>
    <n v="1"/>
    <n v="2"/>
    <x v="1"/>
    <n v="1"/>
    <x v="2"/>
    <x v="1"/>
    <s v="2-5 Years"/>
    <s v="Medium"/>
    <s v="Good"/>
  </r>
  <r>
    <x v="5"/>
    <s v="No"/>
    <s v="Travel_Rarely"/>
    <n v="588"/>
    <x v="0"/>
    <n v="8"/>
    <n v="2"/>
    <s v="Technical Degree"/>
    <n v="1"/>
    <n v="436"/>
    <n v="3"/>
    <x v="0"/>
    <n v="65"/>
    <n v="2"/>
    <n v="2"/>
    <x v="0"/>
    <n v="2"/>
    <s v="Married"/>
    <n v="5228"/>
    <n v="24624"/>
    <n v="1"/>
    <s v="Y"/>
    <x v="0"/>
    <n v="11"/>
    <n v="3"/>
    <n v="4"/>
    <n v="80"/>
    <n v="0"/>
    <n v="13"/>
    <n v="2"/>
    <n v="3"/>
    <n v="13"/>
    <n v="12"/>
    <n v="11"/>
    <n v="9"/>
    <x v="1"/>
    <n v="1"/>
    <x v="2"/>
    <x v="0"/>
    <s v="10+ Years"/>
    <s v="Medium"/>
    <s v="Better"/>
  </r>
  <r>
    <x v="4"/>
    <s v="No"/>
    <s v="Travel_Rarely"/>
    <n v="1377"/>
    <x v="0"/>
    <n v="2"/>
    <n v="3"/>
    <s v="Life Sciences"/>
    <n v="1"/>
    <n v="437"/>
    <n v="4"/>
    <x v="1"/>
    <n v="74"/>
    <n v="3"/>
    <n v="2"/>
    <x v="0"/>
    <n v="3"/>
    <s v="Single"/>
    <n v="4478"/>
    <n v="5242"/>
    <n v="1"/>
    <s v="Y"/>
    <x v="0"/>
    <n v="11"/>
    <n v="3"/>
    <n v="1"/>
    <n v="80"/>
    <n v="0"/>
    <n v="5"/>
    <n v="3"/>
    <n v="3"/>
    <n v="5"/>
    <n v="4"/>
    <n v="0"/>
    <n v="4"/>
    <x v="1"/>
    <n v="1"/>
    <x v="2"/>
    <x v="0"/>
    <s v="2-5 Years"/>
    <s v="High"/>
    <s v="Better"/>
  </r>
  <r>
    <x v="12"/>
    <s v="No"/>
    <s v="Travel_Rarely"/>
    <n v="691"/>
    <x v="0"/>
    <n v="7"/>
    <n v="3"/>
    <s v="Marketing"/>
    <n v="1"/>
    <n v="438"/>
    <n v="4"/>
    <x v="1"/>
    <n v="73"/>
    <n v="3"/>
    <n v="2"/>
    <x v="0"/>
    <n v="4"/>
    <s v="Divorced"/>
    <n v="7547"/>
    <n v="7143"/>
    <n v="4"/>
    <s v="Y"/>
    <x v="1"/>
    <n v="12"/>
    <n v="3"/>
    <n v="4"/>
    <n v="80"/>
    <n v="3"/>
    <n v="13"/>
    <n v="3"/>
    <n v="3"/>
    <n v="7"/>
    <n v="7"/>
    <n v="1"/>
    <n v="7"/>
    <x v="1"/>
    <n v="1"/>
    <x v="2"/>
    <x v="2"/>
    <s v="6-10 Years"/>
    <s v="Very High"/>
    <s v="Better"/>
  </r>
  <r>
    <x v="5"/>
    <s v="No"/>
    <s v="Travel_Rarely"/>
    <n v="1018"/>
    <x v="1"/>
    <n v="2"/>
    <n v="4"/>
    <s v="Medical"/>
    <n v="1"/>
    <n v="439"/>
    <n v="1"/>
    <x v="0"/>
    <n v="74"/>
    <n v="4"/>
    <n v="2"/>
    <x v="1"/>
    <n v="4"/>
    <s v="Single"/>
    <n v="5055"/>
    <n v="10557"/>
    <n v="7"/>
    <s v="Y"/>
    <x v="1"/>
    <n v="16"/>
    <n v="3"/>
    <n v="3"/>
    <n v="80"/>
    <n v="0"/>
    <n v="10"/>
    <n v="0"/>
    <n v="2"/>
    <n v="7"/>
    <n v="7"/>
    <n v="0"/>
    <n v="7"/>
    <x v="1"/>
    <n v="1"/>
    <x v="2"/>
    <x v="0"/>
    <s v="6-10 Years"/>
    <s v="Very High"/>
    <s v="Good"/>
  </r>
  <r>
    <x v="14"/>
    <s v="Yes"/>
    <s v="Travel_Rarely"/>
    <n v="1157"/>
    <x v="1"/>
    <n v="2"/>
    <n v="4"/>
    <s v="Medical"/>
    <n v="1"/>
    <n v="440"/>
    <n v="1"/>
    <x v="1"/>
    <n v="84"/>
    <n v="1"/>
    <n v="1"/>
    <x v="1"/>
    <n v="4"/>
    <s v="Married"/>
    <n v="3464"/>
    <n v="24737"/>
    <n v="5"/>
    <s v="Y"/>
    <x v="0"/>
    <n v="13"/>
    <n v="3"/>
    <n v="4"/>
    <n v="80"/>
    <n v="0"/>
    <n v="5"/>
    <n v="4"/>
    <n v="2"/>
    <n v="3"/>
    <n v="2"/>
    <n v="2"/>
    <n v="2"/>
    <x v="0"/>
    <n v="0"/>
    <x v="2"/>
    <x v="0"/>
    <s v="2-5 Years"/>
    <s v="Very High"/>
    <s v="Good"/>
  </r>
  <r>
    <x v="7"/>
    <s v="No"/>
    <s v="Travel_Rarely"/>
    <n v="1275"/>
    <x v="1"/>
    <n v="28"/>
    <n v="2"/>
    <s v="Medical"/>
    <n v="1"/>
    <n v="441"/>
    <n v="4"/>
    <x v="0"/>
    <n v="64"/>
    <n v="3"/>
    <n v="2"/>
    <x v="1"/>
    <n v="4"/>
    <s v="Married"/>
    <n v="5775"/>
    <n v="11934"/>
    <n v="1"/>
    <s v="Y"/>
    <x v="1"/>
    <n v="13"/>
    <n v="3"/>
    <n v="4"/>
    <n v="80"/>
    <n v="2"/>
    <n v="11"/>
    <n v="2"/>
    <n v="3"/>
    <n v="10"/>
    <n v="8"/>
    <n v="1"/>
    <n v="9"/>
    <x v="1"/>
    <n v="1"/>
    <x v="2"/>
    <x v="0"/>
    <s v="6-10 Years"/>
    <s v="Very High"/>
    <s v="Better"/>
  </r>
  <r>
    <x v="12"/>
    <s v="No"/>
    <s v="Travel_Frequently"/>
    <n v="798"/>
    <x v="1"/>
    <n v="7"/>
    <n v="2"/>
    <s v="Life Sciences"/>
    <n v="1"/>
    <n v="442"/>
    <n v="3"/>
    <x v="0"/>
    <n v="48"/>
    <n v="2"/>
    <n v="3"/>
    <x v="3"/>
    <n v="3"/>
    <s v="Married"/>
    <n v="8943"/>
    <n v="14034"/>
    <n v="1"/>
    <s v="Y"/>
    <x v="1"/>
    <n v="24"/>
    <n v="4"/>
    <n v="1"/>
    <n v="80"/>
    <n v="1"/>
    <n v="10"/>
    <n v="2"/>
    <n v="3"/>
    <n v="10"/>
    <n v="9"/>
    <n v="8"/>
    <n v="9"/>
    <x v="1"/>
    <n v="1"/>
    <x v="2"/>
    <x v="2"/>
    <s v="6-10 Years"/>
    <s v="High"/>
    <s v="Better"/>
  </r>
  <r>
    <x v="22"/>
    <s v="No"/>
    <s v="Travel_Frequently"/>
    <n v="672"/>
    <x v="1"/>
    <n v="7"/>
    <n v="2"/>
    <s v="Medical"/>
    <n v="1"/>
    <n v="444"/>
    <n v="3"/>
    <x v="1"/>
    <n v="54"/>
    <n v="2"/>
    <n v="5"/>
    <x v="5"/>
    <n v="4"/>
    <s v="Married"/>
    <n v="19272"/>
    <n v="21141"/>
    <n v="1"/>
    <s v="Y"/>
    <x v="1"/>
    <n v="15"/>
    <n v="3"/>
    <n v="1"/>
    <n v="80"/>
    <n v="1"/>
    <n v="21"/>
    <n v="2"/>
    <n v="3"/>
    <n v="21"/>
    <n v="9"/>
    <n v="13"/>
    <n v="3"/>
    <x v="1"/>
    <n v="1"/>
    <x v="0"/>
    <x v="2"/>
    <s v="10+ Years"/>
    <s v="Very High"/>
    <s v="Better"/>
  </r>
  <r>
    <x v="22"/>
    <s v="Yes"/>
    <s v="Travel_Rarely"/>
    <n v="1162"/>
    <x v="0"/>
    <n v="3"/>
    <n v="2"/>
    <s v="Medical"/>
    <n v="1"/>
    <n v="445"/>
    <n v="4"/>
    <x v="0"/>
    <n v="41"/>
    <n v="3"/>
    <n v="2"/>
    <x v="0"/>
    <n v="3"/>
    <s v="Married"/>
    <n v="5238"/>
    <n v="17778"/>
    <n v="4"/>
    <s v="Y"/>
    <x v="0"/>
    <n v="18"/>
    <n v="3"/>
    <n v="1"/>
    <n v="80"/>
    <n v="0"/>
    <n v="12"/>
    <n v="3"/>
    <n v="2"/>
    <n v="1"/>
    <n v="0"/>
    <n v="0"/>
    <n v="0"/>
    <x v="0"/>
    <n v="0"/>
    <x v="0"/>
    <x v="0"/>
    <s v="0-1 Years"/>
    <s v="High"/>
    <s v="Good"/>
  </r>
  <r>
    <x v="3"/>
    <s v="No"/>
    <s v="Travel_Frequently"/>
    <n v="508"/>
    <x v="0"/>
    <n v="10"/>
    <n v="3"/>
    <s v="Marketing"/>
    <n v="1"/>
    <n v="446"/>
    <n v="2"/>
    <x v="1"/>
    <n v="46"/>
    <n v="2"/>
    <n v="2"/>
    <x v="0"/>
    <n v="4"/>
    <s v="Single"/>
    <n v="4682"/>
    <n v="4317"/>
    <n v="3"/>
    <s v="Y"/>
    <x v="1"/>
    <n v="14"/>
    <n v="3"/>
    <n v="3"/>
    <n v="80"/>
    <n v="0"/>
    <n v="9"/>
    <n v="6"/>
    <n v="2"/>
    <n v="7"/>
    <n v="7"/>
    <n v="0"/>
    <n v="1"/>
    <x v="1"/>
    <n v="1"/>
    <x v="2"/>
    <x v="0"/>
    <s v="6-10 Years"/>
    <s v="Very High"/>
    <s v="Good"/>
  </r>
  <r>
    <x v="40"/>
    <s v="No"/>
    <s v="Travel_Rarely"/>
    <n v="1482"/>
    <x v="1"/>
    <n v="5"/>
    <n v="5"/>
    <s v="Life Sciences"/>
    <n v="1"/>
    <n v="447"/>
    <n v="4"/>
    <x v="1"/>
    <n v="42"/>
    <n v="3"/>
    <n v="5"/>
    <x v="7"/>
    <n v="3"/>
    <s v="Married"/>
    <n v="18300"/>
    <n v="16375"/>
    <n v="4"/>
    <s v="Y"/>
    <x v="1"/>
    <n v="11"/>
    <n v="3"/>
    <n v="2"/>
    <n v="80"/>
    <n v="1"/>
    <n v="21"/>
    <n v="2"/>
    <n v="3"/>
    <n v="3"/>
    <n v="2"/>
    <n v="1"/>
    <n v="1"/>
    <x v="1"/>
    <n v="1"/>
    <x v="1"/>
    <x v="2"/>
    <s v="2-5 Years"/>
    <s v="High"/>
    <s v="Better"/>
  </r>
  <r>
    <x v="23"/>
    <s v="No"/>
    <s v="Travel_Frequently"/>
    <n v="559"/>
    <x v="1"/>
    <n v="10"/>
    <n v="4"/>
    <s v="Life Sciences"/>
    <n v="1"/>
    <n v="448"/>
    <n v="3"/>
    <x v="0"/>
    <n v="82"/>
    <n v="2"/>
    <n v="2"/>
    <x v="2"/>
    <n v="3"/>
    <s v="Divorced"/>
    <n v="5257"/>
    <n v="6227"/>
    <n v="1"/>
    <s v="Y"/>
    <x v="1"/>
    <n v="11"/>
    <n v="3"/>
    <n v="2"/>
    <n v="80"/>
    <n v="1"/>
    <n v="9"/>
    <n v="3"/>
    <n v="4"/>
    <n v="9"/>
    <n v="7"/>
    <n v="0"/>
    <n v="0"/>
    <x v="1"/>
    <n v="1"/>
    <x v="0"/>
    <x v="0"/>
    <s v="6-10 Years"/>
    <s v="High"/>
    <s v="Best"/>
  </r>
  <r>
    <x v="4"/>
    <s v="No"/>
    <s v="Non-Travel"/>
    <n v="210"/>
    <x v="0"/>
    <n v="1"/>
    <n v="1"/>
    <s v="Marketing"/>
    <n v="1"/>
    <n v="449"/>
    <n v="3"/>
    <x v="1"/>
    <n v="73"/>
    <n v="3"/>
    <n v="2"/>
    <x v="0"/>
    <n v="2"/>
    <s v="Married"/>
    <n v="6349"/>
    <n v="22107"/>
    <n v="0"/>
    <s v="Y"/>
    <x v="0"/>
    <n v="13"/>
    <n v="3"/>
    <n v="4"/>
    <n v="80"/>
    <n v="1"/>
    <n v="6"/>
    <n v="0"/>
    <n v="3"/>
    <n v="5"/>
    <n v="4"/>
    <n v="1"/>
    <n v="4"/>
    <x v="1"/>
    <n v="1"/>
    <x v="2"/>
    <x v="0"/>
    <s v="2-5 Years"/>
    <s v="Medium"/>
    <s v="Better"/>
  </r>
  <r>
    <x v="33"/>
    <s v="No"/>
    <s v="Travel_Frequently"/>
    <n v="928"/>
    <x v="1"/>
    <n v="20"/>
    <n v="4"/>
    <s v="Life Sciences"/>
    <n v="1"/>
    <n v="450"/>
    <n v="4"/>
    <x v="0"/>
    <n v="31"/>
    <n v="3"/>
    <n v="2"/>
    <x v="1"/>
    <n v="3"/>
    <s v="Single"/>
    <n v="4869"/>
    <n v="16885"/>
    <n v="3"/>
    <s v="Y"/>
    <x v="1"/>
    <n v="12"/>
    <n v="3"/>
    <n v="4"/>
    <n v="80"/>
    <n v="0"/>
    <n v="20"/>
    <n v="4"/>
    <n v="2"/>
    <n v="4"/>
    <n v="3"/>
    <n v="0"/>
    <n v="3"/>
    <x v="1"/>
    <n v="1"/>
    <x v="1"/>
    <x v="0"/>
    <s v="2-5 Years"/>
    <s v="High"/>
    <s v="Good"/>
  </r>
  <r>
    <x v="23"/>
    <s v="No"/>
    <s v="Travel_Rarely"/>
    <n v="1001"/>
    <x v="1"/>
    <n v="7"/>
    <n v="3"/>
    <s v="Life Sciences"/>
    <n v="1"/>
    <n v="451"/>
    <n v="3"/>
    <x v="0"/>
    <n v="43"/>
    <n v="3"/>
    <n v="3"/>
    <x v="4"/>
    <n v="1"/>
    <s v="Married"/>
    <n v="9985"/>
    <n v="9262"/>
    <n v="8"/>
    <s v="Y"/>
    <x v="1"/>
    <n v="16"/>
    <n v="3"/>
    <n v="1"/>
    <n v="80"/>
    <n v="1"/>
    <n v="10"/>
    <n v="1"/>
    <n v="2"/>
    <n v="1"/>
    <n v="0"/>
    <n v="0"/>
    <n v="0"/>
    <x v="1"/>
    <n v="1"/>
    <x v="0"/>
    <x v="2"/>
    <s v="0-1 Years"/>
    <s v="Low"/>
    <s v="Good"/>
  </r>
  <r>
    <x v="28"/>
    <s v="No"/>
    <s v="Travel_Rarely"/>
    <n v="549"/>
    <x v="1"/>
    <n v="8"/>
    <n v="4"/>
    <s v="Other"/>
    <n v="1"/>
    <n v="452"/>
    <n v="4"/>
    <x v="1"/>
    <n v="75"/>
    <n v="3"/>
    <n v="2"/>
    <x v="1"/>
    <n v="4"/>
    <s v="Married"/>
    <n v="3697"/>
    <n v="9278"/>
    <n v="9"/>
    <s v="Y"/>
    <x v="1"/>
    <n v="14"/>
    <n v="3"/>
    <n v="1"/>
    <n v="80"/>
    <n v="2"/>
    <n v="12"/>
    <n v="3"/>
    <n v="3"/>
    <n v="10"/>
    <n v="9"/>
    <n v="9"/>
    <n v="8"/>
    <x v="1"/>
    <n v="1"/>
    <x v="1"/>
    <x v="0"/>
    <s v="6-10 Years"/>
    <s v="Very High"/>
    <s v="Better"/>
  </r>
  <r>
    <x v="32"/>
    <s v="No"/>
    <s v="Travel_Rarely"/>
    <n v="1124"/>
    <x v="0"/>
    <n v="1"/>
    <n v="2"/>
    <s v="Medical"/>
    <n v="1"/>
    <n v="453"/>
    <n v="2"/>
    <x v="1"/>
    <n v="57"/>
    <n v="1"/>
    <n v="2"/>
    <x v="0"/>
    <n v="4"/>
    <s v="Married"/>
    <n v="7457"/>
    <n v="13273"/>
    <n v="2"/>
    <s v="Y"/>
    <x v="0"/>
    <n v="22"/>
    <n v="4"/>
    <n v="3"/>
    <n v="80"/>
    <n v="3"/>
    <n v="6"/>
    <n v="2"/>
    <n v="2"/>
    <n v="4"/>
    <n v="3"/>
    <n v="0"/>
    <n v="2"/>
    <x v="1"/>
    <n v="1"/>
    <x v="0"/>
    <x v="2"/>
    <s v="2-5 Years"/>
    <s v="Very High"/>
    <s v="Good"/>
  </r>
  <r>
    <x v="11"/>
    <s v="Yes"/>
    <s v="Travel_Rarely"/>
    <n v="318"/>
    <x v="1"/>
    <n v="8"/>
    <n v="4"/>
    <s v="Other"/>
    <n v="1"/>
    <n v="454"/>
    <n v="2"/>
    <x v="1"/>
    <n v="77"/>
    <n v="1"/>
    <n v="1"/>
    <x v="2"/>
    <n v="1"/>
    <s v="Married"/>
    <n v="2119"/>
    <n v="4759"/>
    <n v="1"/>
    <s v="Y"/>
    <x v="0"/>
    <n v="11"/>
    <n v="3"/>
    <n v="4"/>
    <n v="80"/>
    <n v="0"/>
    <n v="7"/>
    <n v="4"/>
    <n v="2"/>
    <n v="7"/>
    <n v="7"/>
    <n v="0"/>
    <n v="7"/>
    <x v="0"/>
    <n v="0"/>
    <x v="2"/>
    <x v="1"/>
    <s v="6-10 Years"/>
    <s v="Low"/>
    <s v="Good"/>
  </r>
  <r>
    <x v="11"/>
    <s v="No"/>
    <s v="Travel_Rarely"/>
    <n v="738"/>
    <x v="1"/>
    <n v="9"/>
    <n v="5"/>
    <s v="Other"/>
    <n v="1"/>
    <n v="455"/>
    <n v="2"/>
    <x v="1"/>
    <n v="30"/>
    <n v="2"/>
    <n v="1"/>
    <x v="2"/>
    <n v="4"/>
    <s v="Single"/>
    <n v="3983"/>
    <n v="7621"/>
    <n v="0"/>
    <s v="Y"/>
    <x v="1"/>
    <n v="17"/>
    <n v="3"/>
    <n v="3"/>
    <n v="80"/>
    <n v="0"/>
    <n v="4"/>
    <n v="2"/>
    <n v="3"/>
    <n v="3"/>
    <n v="2"/>
    <n v="2"/>
    <n v="2"/>
    <x v="1"/>
    <n v="1"/>
    <x v="2"/>
    <x v="0"/>
    <s v="2-5 Years"/>
    <s v="Very High"/>
    <s v="Better"/>
  </r>
  <r>
    <x v="7"/>
    <s v="No"/>
    <s v="Travel_Rarely"/>
    <n v="570"/>
    <x v="0"/>
    <n v="5"/>
    <n v="3"/>
    <s v="Marketing"/>
    <n v="1"/>
    <n v="456"/>
    <n v="4"/>
    <x v="0"/>
    <n v="30"/>
    <n v="2"/>
    <n v="2"/>
    <x v="0"/>
    <n v="3"/>
    <s v="Divorced"/>
    <n v="6118"/>
    <n v="5431"/>
    <n v="1"/>
    <s v="Y"/>
    <x v="1"/>
    <n v="13"/>
    <n v="3"/>
    <n v="3"/>
    <n v="80"/>
    <n v="3"/>
    <n v="10"/>
    <n v="2"/>
    <n v="3"/>
    <n v="10"/>
    <n v="9"/>
    <n v="1"/>
    <n v="2"/>
    <x v="1"/>
    <n v="1"/>
    <x v="2"/>
    <x v="0"/>
    <s v="6-10 Years"/>
    <s v="High"/>
    <s v="Better"/>
  </r>
  <r>
    <x v="4"/>
    <s v="No"/>
    <s v="Travel_Rarely"/>
    <n v="1130"/>
    <x v="0"/>
    <n v="8"/>
    <n v="4"/>
    <s v="Marketing"/>
    <n v="1"/>
    <n v="458"/>
    <n v="2"/>
    <x v="0"/>
    <n v="56"/>
    <n v="3"/>
    <n v="2"/>
    <x v="0"/>
    <n v="2"/>
    <s v="Married"/>
    <n v="6214"/>
    <n v="3415"/>
    <n v="1"/>
    <s v="Y"/>
    <x v="1"/>
    <n v="18"/>
    <n v="3"/>
    <n v="1"/>
    <n v="80"/>
    <n v="1"/>
    <n v="8"/>
    <n v="3"/>
    <n v="3"/>
    <n v="8"/>
    <n v="7"/>
    <n v="0"/>
    <n v="7"/>
    <x v="1"/>
    <n v="1"/>
    <x v="2"/>
    <x v="0"/>
    <s v="6-10 Years"/>
    <s v="Medium"/>
    <s v="Better"/>
  </r>
  <r>
    <x v="2"/>
    <s v="No"/>
    <s v="Travel_Rarely"/>
    <n v="1192"/>
    <x v="1"/>
    <n v="5"/>
    <n v="2"/>
    <s v="Medical"/>
    <n v="1"/>
    <n v="460"/>
    <n v="4"/>
    <x v="1"/>
    <n v="61"/>
    <n v="3"/>
    <n v="2"/>
    <x v="3"/>
    <n v="4"/>
    <s v="Divorced"/>
    <n v="6347"/>
    <n v="23177"/>
    <n v="7"/>
    <s v="Y"/>
    <x v="1"/>
    <n v="16"/>
    <n v="3"/>
    <n v="3"/>
    <n v="80"/>
    <n v="2"/>
    <n v="8"/>
    <n v="2"/>
    <n v="2"/>
    <n v="6"/>
    <n v="2"/>
    <n v="0"/>
    <n v="4"/>
    <x v="1"/>
    <n v="1"/>
    <x v="0"/>
    <x v="0"/>
    <s v="6-10 Years"/>
    <s v="Very High"/>
    <s v="Good"/>
  </r>
  <r>
    <x v="8"/>
    <s v="No"/>
    <s v="Travel_Rarely"/>
    <n v="343"/>
    <x v="1"/>
    <n v="15"/>
    <n v="2"/>
    <s v="Life Sciences"/>
    <n v="1"/>
    <n v="461"/>
    <n v="3"/>
    <x v="1"/>
    <n v="92"/>
    <n v="2"/>
    <n v="3"/>
    <x v="7"/>
    <n v="4"/>
    <s v="Divorced"/>
    <n v="11510"/>
    <n v="15682"/>
    <n v="0"/>
    <s v="Y"/>
    <x v="0"/>
    <n v="14"/>
    <n v="3"/>
    <n v="2"/>
    <n v="80"/>
    <n v="1"/>
    <n v="12"/>
    <n v="3"/>
    <n v="3"/>
    <n v="11"/>
    <n v="10"/>
    <n v="2"/>
    <n v="9"/>
    <x v="1"/>
    <n v="1"/>
    <x v="0"/>
    <x v="2"/>
    <s v="10+ Years"/>
    <s v="Very High"/>
    <s v="Better"/>
  </r>
  <r>
    <x v="12"/>
    <s v="No"/>
    <s v="Travel_Rarely"/>
    <n v="1232"/>
    <x v="1"/>
    <n v="7"/>
    <n v="4"/>
    <s v="Medical"/>
    <n v="1"/>
    <n v="462"/>
    <n v="3"/>
    <x v="0"/>
    <n v="39"/>
    <n v="3"/>
    <n v="3"/>
    <x v="3"/>
    <n v="4"/>
    <s v="Single"/>
    <n v="7143"/>
    <n v="25713"/>
    <n v="1"/>
    <s v="Y"/>
    <x v="0"/>
    <n v="14"/>
    <n v="3"/>
    <n v="3"/>
    <n v="80"/>
    <n v="0"/>
    <n v="11"/>
    <n v="2"/>
    <n v="2"/>
    <n v="11"/>
    <n v="9"/>
    <n v="4"/>
    <n v="10"/>
    <x v="1"/>
    <n v="1"/>
    <x v="2"/>
    <x v="2"/>
    <s v="10+ Years"/>
    <s v="Very High"/>
    <s v="Good"/>
  </r>
  <r>
    <x v="11"/>
    <s v="No"/>
    <s v="Travel_Rarely"/>
    <n v="144"/>
    <x v="0"/>
    <n v="10"/>
    <n v="1"/>
    <s v="Marketing"/>
    <n v="1"/>
    <n v="463"/>
    <n v="4"/>
    <x v="0"/>
    <n v="39"/>
    <n v="2"/>
    <n v="2"/>
    <x v="0"/>
    <n v="2"/>
    <s v="Divorced"/>
    <n v="8268"/>
    <n v="11866"/>
    <n v="1"/>
    <s v="Y"/>
    <x v="0"/>
    <n v="14"/>
    <n v="3"/>
    <n v="1"/>
    <n v="80"/>
    <n v="2"/>
    <n v="7"/>
    <n v="2"/>
    <n v="3"/>
    <n v="7"/>
    <n v="7"/>
    <n v="1"/>
    <n v="7"/>
    <x v="1"/>
    <n v="1"/>
    <x v="2"/>
    <x v="2"/>
    <s v="6-10 Years"/>
    <s v="Medium"/>
    <s v="Better"/>
  </r>
  <r>
    <x v="10"/>
    <s v="No"/>
    <s v="Travel_Rarely"/>
    <n v="1296"/>
    <x v="1"/>
    <n v="5"/>
    <n v="4"/>
    <s v="Technical Degree"/>
    <n v="1"/>
    <n v="464"/>
    <n v="3"/>
    <x v="1"/>
    <n v="62"/>
    <n v="3"/>
    <n v="3"/>
    <x v="3"/>
    <n v="2"/>
    <s v="Single"/>
    <n v="8095"/>
    <n v="18264"/>
    <n v="0"/>
    <s v="Y"/>
    <x v="1"/>
    <n v="13"/>
    <n v="3"/>
    <n v="4"/>
    <n v="80"/>
    <n v="0"/>
    <n v="17"/>
    <n v="5"/>
    <n v="3"/>
    <n v="16"/>
    <n v="6"/>
    <n v="0"/>
    <n v="13"/>
    <x v="1"/>
    <n v="1"/>
    <x v="0"/>
    <x v="2"/>
    <s v="10+ Years"/>
    <s v="Medium"/>
    <s v="Better"/>
  </r>
  <r>
    <x v="30"/>
    <s v="No"/>
    <s v="Travel_Rarely"/>
    <n v="1309"/>
    <x v="1"/>
    <n v="26"/>
    <n v="1"/>
    <s v="Life Sciences"/>
    <n v="1"/>
    <n v="465"/>
    <n v="3"/>
    <x v="1"/>
    <n v="83"/>
    <n v="3"/>
    <n v="1"/>
    <x v="1"/>
    <n v="4"/>
    <s v="Divorced"/>
    <n v="2904"/>
    <n v="16092"/>
    <n v="1"/>
    <s v="Y"/>
    <x v="1"/>
    <n v="12"/>
    <n v="3"/>
    <n v="3"/>
    <n v="80"/>
    <n v="2"/>
    <n v="4"/>
    <n v="2"/>
    <n v="2"/>
    <n v="4"/>
    <n v="2"/>
    <n v="0"/>
    <n v="2"/>
    <x v="1"/>
    <n v="1"/>
    <x v="4"/>
    <x v="1"/>
    <s v="2-5 Years"/>
    <s v="Very High"/>
    <s v="Good"/>
  </r>
  <r>
    <x v="0"/>
    <s v="No"/>
    <s v="Travel_Rarely"/>
    <n v="483"/>
    <x v="1"/>
    <n v="6"/>
    <n v="3"/>
    <s v="Medical"/>
    <n v="1"/>
    <n v="466"/>
    <n v="4"/>
    <x v="1"/>
    <n v="95"/>
    <n v="2"/>
    <n v="2"/>
    <x v="3"/>
    <n v="2"/>
    <s v="Single"/>
    <n v="6032"/>
    <n v="10110"/>
    <n v="6"/>
    <s v="Y"/>
    <x v="0"/>
    <n v="15"/>
    <n v="3"/>
    <n v="4"/>
    <n v="80"/>
    <n v="0"/>
    <n v="8"/>
    <n v="3"/>
    <n v="3"/>
    <n v="5"/>
    <n v="4"/>
    <n v="1"/>
    <n v="2"/>
    <x v="1"/>
    <n v="1"/>
    <x v="0"/>
    <x v="0"/>
    <s v="2-5 Years"/>
    <s v="Medium"/>
    <s v="Better"/>
  </r>
  <r>
    <x v="40"/>
    <s v="No"/>
    <s v="Travel_Frequently"/>
    <n v="1309"/>
    <x v="0"/>
    <n v="4"/>
    <n v="1"/>
    <s v="Medical"/>
    <n v="1"/>
    <n v="467"/>
    <n v="2"/>
    <x v="1"/>
    <n v="99"/>
    <n v="3"/>
    <n v="2"/>
    <x v="6"/>
    <n v="3"/>
    <s v="Single"/>
    <n v="2976"/>
    <n v="25751"/>
    <n v="3"/>
    <s v="Y"/>
    <x v="1"/>
    <n v="19"/>
    <n v="3"/>
    <n v="1"/>
    <n v="80"/>
    <n v="0"/>
    <n v="5"/>
    <n v="3"/>
    <n v="3"/>
    <n v="0"/>
    <n v="0"/>
    <n v="0"/>
    <n v="0"/>
    <x v="1"/>
    <n v="1"/>
    <x v="1"/>
    <x v="1"/>
    <s v="0-1 Years"/>
    <s v="High"/>
    <s v="Better"/>
  </r>
  <r>
    <x v="19"/>
    <s v="No"/>
    <s v="Travel_Rarely"/>
    <n v="810"/>
    <x v="1"/>
    <n v="23"/>
    <n v="5"/>
    <s v="Life Sciences"/>
    <n v="1"/>
    <n v="468"/>
    <n v="1"/>
    <x v="0"/>
    <n v="44"/>
    <n v="3"/>
    <n v="4"/>
    <x v="7"/>
    <n v="4"/>
    <s v="Single"/>
    <n v="15992"/>
    <n v="15901"/>
    <n v="2"/>
    <s v="Y"/>
    <x v="1"/>
    <n v="14"/>
    <n v="3"/>
    <n v="2"/>
    <n v="80"/>
    <n v="0"/>
    <n v="16"/>
    <n v="2"/>
    <n v="3"/>
    <n v="1"/>
    <n v="0"/>
    <n v="0"/>
    <n v="0"/>
    <x v="1"/>
    <n v="1"/>
    <x v="0"/>
    <x v="2"/>
    <s v="0-1 Years"/>
    <s v="Very High"/>
    <s v="Better"/>
  </r>
  <r>
    <x v="11"/>
    <s v="No"/>
    <s v="Non-Travel"/>
    <n v="746"/>
    <x v="0"/>
    <n v="2"/>
    <n v="3"/>
    <s v="Life Sciences"/>
    <n v="1"/>
    <n v="469"/>
    <n v="4"/>
    <x v="1"/>
    <n v="61"/>
    <n v="3"/>
    <n v="2"/>
    <x v="0"/>
    <n v="3"/>
    <s v="Married"/>
    <n v="4649"/>
    <n v="16928"/>
    <n v="1"/>
    <s v="Y"/>
    <x v="1"/>
    <n v="14"/>
    <n v="3"/>
    <n v="1"/>
    <n v="80"/>
    <n v="1"/>
    <n v="4"/>
    <n v="3"/>
    <n v="2"/>
    <n v="4"/>
    <n v="3"/>
    <n v="0"/>
    <n v="2"/>
    <x v="1"/>
    <n v="1"/>
    <x v="2"/>
    <x v="0"/>
    <s v="2-5 Years"/>
    <s v="High"/>
    <s v="Good"/>
  </r>
  <r>
    <x v="19"/>
    <s v="No"/>
    <s v="Travel_Rarely"/>
    <n v="544"/>
    <x v="2"/>
    <n v="2"/>
    <n v="1"/>
    <s v="Technical Degree"/>
    <n v="1"/>
    <n v="470"/>
    <n v="3"/>
    <x v="1"/>
    <n v="52"/>
    <n v="3"/>
    <n v="1"/>
    <x v="8"/>
    <n v="3"/>
    <s v="Divorced"/>
    <n v="2696"/>
    <n v="24017"/>
    <n v="0"/>
    <s v="Y"/>
    <x v="0"/>
    <n v="11"/>
    <n v="3"/>
    <n v="3"/>
    <n v="80"/>
    <n v="1"/>
    <n v="4"/>
    <n v="5"/>
    <n v="3"/>
    <n v="3"/>
    <n v="2"/>
    <n v="1"/>
    <n v="0"/>
    <x v="1"/>
    <n v="1"/>
    <x v="0"/>
    <x v="1"/>
    <s v="2-5 Years"/>
    <s v="High"/>
    <s v="Better"/>
  </r>
  <r>
    <x v="5"/>
    <s v="No"/>
    <s v="Travel_Rarely"/>
    <n v="1062"/>
    <x v="1"/>
    <n v="2"/>
    <n v="3"/>
    <s v="Medical"/>
    <n v="1"/>
    <n v="471"/>
    <n v="3"/>
    <x v="0"/>
    <n v="75"/>
    <n v="3"/>
    <n v="1"/>
    <x v="2"/>
    <n v="2"/>
    <s v="Married"/>
    <n v="2370"/>
    <n v="3956"/>
    <n v="1"/>
    <s v="Y"/>
    <x v="1"/>
    <n v="13"/>
    <n v="3"/>
    <n v="3"/>
    <n v="80"/>
    <n v="1"/>
    <n v="8"/>
    <n v="4"/>
    <n v="3"/>
    <n v="8"/>
    <n v="0"/>
    <n v="0"/>
    <n v="7"/>
    <x v="1"/>
    <n v="1"/>
    <x v="2"/>
    <x v="1"/>
    <s v="6-10 Years"/>
    <s v="Medium"/>
    <s v="Better"/>
  </r>
  <r>
    <x v="26"/>
    <s v="No"/>
    <s v="Travel_Rarely"/>
    <n v="530"/>
    <x v="0"/>
    <n v="29"/>
    <n v="1"/>
    <s v="Medical"/>
    <n v="1"/>
    <n v="473"/>
    <n v="1"/>
    <x v="0"/>
    <n v="91"/>
    <n v="3"/>
    <n v="3"/>
    <x v="5"/>
    <n v="3"/>
    <s v="Married"/>
    <n v="12504"/>
    <n v="23978"/>
    <n v="3"/>
    <s v="Y"/>
    <x v="1"/>
    <n v="21"/>
    <n v="4"/>
    <n v="2"/>
    <n v="80"/>
    <n v="1"/>
    <n v="15"/>
    <n v="3"/>
    <n v="1"/>
    <n v="0"/>
    <n v="0"/>
    <n v="0"/>
    <n v="0"/>
    <x v="1"/>
    <n v="1"/>
    <x v="1"/>
    <x v="2"/>
    <s v="0-1 Years"/>
    <s v="High"/>
    <s v="Bad"/>
  </r>
  <r>
    <x v="2"/>
    <s v="No"/>
    <s v="Travel_Rarely"/>
    <n v="1319"/>
    <x v="1"/>
    <n v="6"/>
    <n v="3"/>
    <s v="Medical"/>
    <n v="1"/>
    <n v="474"/>
    <n v="3"/>
    <x v="1"/>
    <n v="51"/>
    <n v="4"/>
    <n v="2"/>
    <x v="1"/>
    <n v="1"/>
    <s v="Divorced"/>
    <n v="5974"/>
    <n v="17001"/>
    <n v="4"/>
    <s v="Y"/>
    <x v="0"/>
    <n v="13"/>
    <n v="3"/>
    <n v="1"/>
    <n v="80"/>
    <n v="2"/>
    <n v="13"/>
    <n v="2"/>
    <n v="3"/>
    <n v="7"/>
    <n v="7"/>
    <n v="6"/>
    <n v="7"/>
    <x v="1"/>
    <n v="1"/>
    <x v="0"/>
    <x v="0"/>
    <s v="6-10 Years"/>
    <s v="Low"/>
    <s v="Better"/>
  </r>
  <r>
    <x v="7"/>
    <s v="No"/>
    <s v="Non-Travel"/>
    <n v="641"/>
    <x v="0"/>
    <n v="25"/>
    <n v="2"/>
    <s v="Technical Degree"/>
    <n v="1"/>
    <n v="475"/>
    <n v="4"/>
    <x v="0"/>
    <n v="85"/>
    <n v="3"/>
    <n v="2"/>
    <x v="0"/>
    <n v="3"/>
    <s v="Married"/>
    <n v="4736"/>
    <n v="6069"/>
    <n v="7"/>
    <s v="Y"/>
    <x v="0"/>
    <n v="12"/>
    <n v="3"/>
    <n v="2"/>
    <n v="80"/>
    <n v="1"/>
    <n v="4"/>
    <n v="2"/>
    <n v="4"/>
    <n v="2"/>
    <n v="2"/>
    <n v="2"/>
    <n v="2"/>
    <x v="1"/>
    <n v="1"/>
    <x v="2"/>
    <x v="0"/>
    <s v="2-5 Years"/>
    <s v="High"/>
    <s v="Best"/>
  </r>
  <r>
    <x v="25"/>
    <s v="No"/>
    <s v="Travel_Rarely"/>
    <n v="933"/>
    <x v="0"/>
    <n v="1"/>
    <n v="3"/>
    <s v="Life Sciences"/>
    <n v="1"/>
    <n v="476"/>
    <n v="3"/>
    <x v="1"/>
    <n v="57"/>
    <n v="3"/>
    <n v="2"/>
    <x v="0"/>
    <n v="3"/>
    <s v="Married"/>
    <n v="5296"/>
    <n v="20156"/>
    <n v="1"/>
    <s v="Y"/>
    <x v="1"/>
    <n v="17"/>
    <n v="3"/>
    <n v="2"/>
    <n v="80"/>
    <n v="1"/>
    <n v="8"/>
    <n v="3"/>
    <n v="3"/>
    <n v="8"/>
    <n v="7"/>
    <n v="7"/>
    <n v="7"/>
    <x v="1"/>
    <n v="1"/>
    <x v="2"/>
    <x v="0"/>
    <s v="6-10 Years"/>
    <s v="High"/>
    <s v="Better"/>
  </r>
  <r>
    <x v="19"/>
    <s v="No"/>
    <s v="Travel_Rarely"/>
    <n v="1332"/>
    <x v="1"/>
    <n v="2"/>
    <n v="4"/>
    <s v="Other"/>
    <n v="1"/>
    <n v="477"/>
    <n v="1"/>
    <x v="1"/>
    <n v="98"/>
    <n v="2"/>
    <n v="2"/>
    <x v="4"/>
    <n v="4"/>
    <s v="Single"/>
    <n v="6781"/>
    <n v="17078"/>
    <n v="3"/>
    <s v="Y"/>
    <x v="1"/>
    <n v="23"/>
    <n v="4"/>
    <n v="2"/>
    <n v="80"/>
    <n v="0"/>
    <n v="14"/>
    <n v="6"/>
    <n v="3"/>
    <n v="1"/>
    <n v="0"/>
    <n v="0"/>
    <n v="0"/>
    <x v="1"/>
    <n v="1"/>
    <x v="0"/>
    <x v="0"/>
    <s v="0-1 Years"/>
    <s v="Very High"/>
    <s v="Better"/>
  </r>
  <r>
    <x v="18"/>
    <s v="Yes"/>
    <s v="Travel_Frequently"/>
    <n v="756"/>
    <x v="0"/>
    <n v="1"/>
    <n v="1"/>
    <s v="Technical Degree"/>
    <n v="1"/>
    <n v="478"/>
    <n v="1"/>
    <x v="0"/>
    <n v="99"/>
    <n v="2"/>
    <n v="1"/>
    <x v="6"/>
    <n v="2"/>
    <s v="Single"/>
    <n v="2174"/>
    <n v="9150"/>
    <n v="1"/>
    <s v="Y"/>
    <x v="0"/>
    <n v="11"/>
    <n v="3"/>
    <n v="3"/>
    <n v="80"/>
    <n v="0"/>
    <n v="3"/>
    <n v="3"/>
    <n v="3"/>
    <n v="3"/>
    <n v="2"/>
    <n v="1"/>
    <n v="2"/>
    <x v="0"/>
    <n v="0"/>
    <x v="4"/>
    <x v="1"/>
    <s v="2-5 Years"/>
    <s v="Medium"/>
    <s v="Better"/>
  </r>
  <r>
    <x v="9"/>
    <s v="No"/>
    <s v="Non-Travel"/>
    <n v="845"/>
    <x v="0"/>
    <n v="1"/>
    <n v="5"/>
    <s v="Medical"/>
    <n v="1"/>
    <n v="479"/>
    <n v="4"/>
    <x v="0"/>
    <n v="45"/>
    <n v="3"/>
    <n v="2"/>
    <x v="0"/>
    <n v="4"/>
    <s v="Single"/>
    <n v="6653"/>
    <n v="15276"/>
    <n v="4"/>
    <s v="Y"/>
    <x v="1"/>
    <n v="15"/>
    <n v="3"/>
    <n v="2"/>
    <n v="80"/>
    <n v="0"/>
    <n v="7"/>
    <n v="6"/>
    <n v="3"/>
    <n v="1"/>
    <n v="0"/>
    <n v="0"/>
    <n v="0"/>
    <x v="1"/>
    <n v="1"/>
    <x v="0"/>
    <x v="0"/>
    <s v="0-1 Years"/>
    <s v="Very High"/>
    <s v="Better"/>
  </r>
  <r>
    <x v="9"/>
    <s v="No"/>
    <s v="Travel_Frequently"/>
    <n v="541"/>
    <x v="0"/>
    <n v="3"/>
    <n v="4"/>
    <s v="Medical"/>
    <n v="1"/>
    <n v="481"/>
    <n v="1"/>
    <x v="1"/>
    <n v="48"/>
    <n v="2"/>
    <n v="3"/>
    <x v="0"/>
    <n v="4"/>
    <s v="Married"/>
    <n v="9699"/>
    <n v="7246"/>
    <n v="4"/>
    <s v="Y"/>
    <x v="1"/>
    <n v="11"/>
    <n v="3"/>
    <n v="1"/>
    <n v="80"/>
    <n v="1"/>
    <n v="16"/>
    <n v="2"/>
    <n v="3"/>
    <n v="13"/>
    <n v="9"/>
    <n v="1"/>
    <n v="12"/>
    <x v="1"/>
    <n v="1"/>
    <x v="0"/>
    <x v="2"/>
    <s v="10+ Years"/>
    <s v="Very High"/>
    <s v="Better"/>
  </r>
  <r>
    <x v="38"/>
    <s v="No"/>
    <s v="Travel_Rarely"/>
    <n v="593"/>
    <x v="1"/>
    <n v="1"/>
    <n v="4"/>
    <s v="Medical"/>
    <n v="1"/>
    <n v="482"/>
    <n v="4"/>
    <x v="1"/>
    <n v="88"/>
    <n v="3"/>
    <n v="2"/>
    <x v="4"/>
    <n v="3"/>
    <s v="Married"/>
    <n v="6755"/>
    <n v="2967"/>
    <n v="2"/>
    <s v="Y"/>
    <x v="1"/>
    <n v="11"/>
    <n v="3"/>
    <n v="3"/>
    <n v="80"/>
    <n v="0"/>
    <n v="15"/>
    <n v="2"/>
    <n v="3"/>
    <n v="3"/>
    <n v="2"/>
    <n v="1"/>
    <n v="2"/>
    <x v="1"/>
    <n v="1"/>
    <x v="3"/>
    <x v="0"/>
    <s v="2-5 Years"/>
    <s v="High"/>
    <s v="Better"/>
  </r>
  <r>
    <x v="32"/>
    <s v="No"/>
    <s v="Travel_Rarely"/>
    <n v="1171"/>
    <x v="1"/>
    <n v="10"/>
    <n v="4"/>
    <s v="Life Sciences"/>
    <n v="1"/>
    <n v="483"/>
    <n v="4"/>
    <x v="0"/>
    <n v="46"/>
    <n v="4"/>
    <n v="1"/>
    <x v="2"/>
    <n v="3"/>
    <s v="Married"/>
    <n v="2213"/>
    <n v="22495"/>
    <n v="3"/>
    <s v="Y"/>
    <x v="0"/>
    <n v="13"/>
    <n v="3"/>
    <n v="3"/>
    <n v="80"/>
    <n v="1"/>
    <n v="10"/>
    <n v="3"/>
    <n v="3"/>
    <n v="7"/>
    <n v="7"/>
    <n v="1"/>
    <n v="7"/>
    <x v="1"/>
    <n v="1"/>
    <x v="0"/>
    <x v="1"/>
    <s v="6-10 Years"/>
    <s v="High"/>
    <s v="Better"/>
  </r>
  <r>
    <x v="18"/>
    <s v="No"/>
    <s v="Non-Travel"/>
    <n v="895"/>
    <x v="0"/>
    <n v="9"/>
    <n v="2"/>
    <s v="Medical"/>
    <n v="1"/>
    <n v="484"/>
    <n v="1"/>
    <x v="1"/>
    <n v="39"/>
    <n v="3"/>
    <n v="1"/>
    <x v="6"/>
    <n v="4"/>
    <s v="Single"/>
    <n v="2610"/>
    <n v="2851"/>
    <n v="1"/>
    <s v="Y"/>
    <x v="1"/>
    <n v="24"/>
    <n v="4"/>
    <n v="3"/>
    <n v="80"/>
    <n v="0"/>
    <n v="3"/>
    <n v="3"/>
    <n v="2"/>
    <n v="3"/>
    <n v="2"/>
    <n v="2"/>
    <n v="2"/>
    <x v="1"/>
    <n v="1"/>
    <x v="4"/>
    <x v="1"/>
    <s v="2-5 Years"/>
    <s v="Very High"/>
    <s v="Good"/>
  </r>
  <r>
    <x v="3"/>
    <s v="Yes"/>
    <s v="Travel_Rarely"/>
    <n v="350"/>
    <x v="0"/>
    <n v="5"/>
    <n v="3"/>
    <s v="Marketing"/>
    <n v="1"/>
    <n v="485"/>
    <n v="4"/>
    <x v="0"/>
    <n v="34"/>
    <n v="3"/>
    <n v="1"/>
    <x v="6"/>
    <n v="3"/>
    <s v="Single"/>
    <n v="2851"/>
    <n v="9150"/>
    <n v="1"/>
    <s v="Y"/>
    <x v="0"/>
    <n v="13"/>
    <n v="3"/>
    <n v="2"/>
    <n v="80"/>
    <n v="0"/>
    <n v="1"/>
    <n v="2"/>
    <n v="3"/>
    <n v="1"/>
    <n v="0"/>
    <n v="0"/>
    <n v="0"/>
    <x v="0"/>
    <n v="0"/>
    <x v="2"/>
    <x v="1"/>
    <s v="0-1 Years"/>
    <s v="High"/>
    <s v="Better"/>
  </r>
  <r>
    <x v="2"/>
    <s v="No"/>
    <s v="Travel_Rarely"/>
    <n v="921"/>
    <x v="1"/>
    <n v="10"/>
    <n v="3"/>
    <s v="Medical"/>
    <n v="1"/>
    <n v="486"/>
    <n v="3"/>
    <x v="0"/>
    <n v="98"/>
    <n v="3"/>
    <n v="1"/>
    <x v="2"/>
    <n v="1"/>
    <s v="Married"/>
    <n v="3452"/>
    <n v="17663"/>
    <n v="6"/>
    <s v="Y"/>
    <x v="1"/>
    <n v="20"/>
    <n v="4"/>
    <n v="2"/>
    <n v="80"/>
    <n v="1"/>
    <n v="17"/>
    <n v="3"/>
    <n v="3"/>
    <n v="5"/>
    <n v="4"/>
    <n v="0"/>
    <n v="3"/>
    <x v="1"/>
    <n v="1"/>
    <x v="0"/>
    <x v="0"/>
    <s v="2-5 Years"/>
    <s v="Low"/>
    <s v="Better"/>
  </r>
  <r>
    <x v="21"/>
    <s v="No"/>
    <s v="Non-Travel"/>
    <n v="1144"/>
    <x v="1"/>
    <n v="7"/>
    <n v="4"/>
    <s v="Medical"/>
    <n v="1"/>
    <n v="487"/>
    <n v="3"/>
    <x v="0"/>
    <n v="30"/>
    <n v="3"/>
    <n v="2"/>
    <x v="3"/>
    <n v="3"/>
    <s v="Married"/>
    <n v="5258"/>
    <n v="16044"/>
    <n v="2"/>
    <s v="Y"/>
    <x v="1"/>
    <n v="14"/>
    <n v="3"/>
    <n v="3"/>
    <n v="80"/>
    <n v="0"/>
    <n v="7"/>
    <n v="2"/>
    <n v="4"/>
    <n v="1"/>
    <n v="0"/>
    <n v="0"/>
    <n v="0"/>
    <x v="1"/>
    <n v="1"/>
    <x v="1"/>
    <x v="0"/>
    <s v="0-1 Years"/>
    <s v="High"/>
    <s v="Best"/>
  </r>
  <r>
    <x v="0"/>
    <s v="Yes"/>
    <s v="Travel_Frequently"/>
    <n v="143"/>
    <x v="0"/>
    <n v="4"/>
    <n v="3"/>
    <s v="Marketing"/>
    <n v="1"/>
    <n v="488"/>
    <n v="1"/>
    <x v="1"/>
    <n v="56"/>
    <n v="3"/>
    <n v="2"/>
    <x v="0"/>
    <n v="2"/>
    <s v="Single"/>
    <n v="9355"/>
    <n v="9558"/>
    <n v="1"/>
    <s v="Y"/>
    <x v="1"/>
    <n v="18"/>
    <n v="3"/>
    <n v="3"/>
    <n v="80"/>
    <n v="0"/>
    <n v="8"/>
    <n v="5"/>
    <n v="3"/>
    <n v="8"/>
    <n v="7"/>
    <n v="7"/>
    <n v="7"/>
    <x v="0"/>
    <n v="0"/>
    <x v="0"/>
    <x v="2"/>
    <s v="6-10 Years"/>
    <s v="Medium"/>
    <s v="Better"/>
  </r>
  <r>
    <x v="24"/>
    <s v="No"/>
    <s v="Travel_Rarely"/>
    <n v="1046"/>
    <x v="1"/>
    <n v="10"/>
    <n v="3"/>
    <s v="Technical Degree"/>
    <n v="1"/>
    <n v="491"/>
    <n v="4"/>
    <x v="1"/>
    <n v="100"/>
    <n v="2"/>
    <n v="3"/>
    <x v="4"/>
    <n v="4"/>
    <s v="Single"/>
    <n v="10496"/>
    <n v="2755"/>
    <n v="6"/>
    <s v="Y"/>
    <x v="1"/>
    <n v="15"/>
    <n v="3"/>
    <n v="4"/>
    <n v="80"/>
    <n v="0"/>
    <n v="20"/>
    <n v="2"/>
    <n v="3"/>
    <n v="4"/>
    <n v="3"/>
    <n v="1"/>
    <n v="3"/>
    <x v="1"/>
    <n v="1"/>
    <x v="1"/>
    <x v="2"/>
    <s v="2-5 Years"/>
    <s v="Very High"/>
    <s v="Better"/>
  </r>
  <r>
    <x v="32"/>
    <s v="Yes"/>
    <s v="Travel_Rarely"/>
    <n v="575"/>
    <x v="0"/>
    <n v="22"/>
    <n v="2"/>
    <s v="Marketing"/>
    <n v="1"/>
    <n v="492"/>
    <n v="3"/>
    <x v="1"/>
    <n v="68"/>
    <n v="2"/>
    <n v="2"/>
    <x v="0"/>
    <n v="3"/>
    <s v="Married"/>
    <n v="6380"/>
    <n v="6110"/>
    <n v="2"/>
    <s v="Y"/>
    <x v="0"/>
    <n v="12"/>
    <n v="3"/>
    <n v="1"/>
    <n v="80"/>
    <n v="2"/>
    <n v="8"/>
    <n v="6"/>
    <n v="3"/>
    <n v="6"/>
    <n v="4"/>
    <n v="1"/>
    <n v="0"/>
    <x v="0"/>
    <n v="0"/>
    <x v="0"/>
    <x v="0"/>
    <s v="6-10 Years"/>
    <s v="High"/>
    <s v="Better"/>
  </r>
  <r>
    <x v="12"/>
    <s v="No"/>
    <s v="Travel_Rarely"/>
    <n v="408"/>
    <x v="1"/>
    <n v="9"/>
    <n v="4"/>
    <s v="Life Sciences"/>
    <n v="1"/>
    <n v="493"/>
    <n v="3"/>
    <x v="1"/>
    <n v="42"/>
    <n v="2"/>
    <n v="1"/>
    <x v="1"/>
    <n v="2"/>
    <s v="Single"/>
    <n v="2657"/>
    <n v="7551"/>
    <n v="0"/>
    <s v="Y"/>
    <x v="0"/>
    <n v="16"/>
    <n v="3"/>
    <n v="4"/>
    <n v="80"/>
    <n v="0"/>
    <n v="3"/>
    <n v="5"/>
    <n v="3"/>
    <n v="2"/>
    <n v="2"/>
    <n v="2"/>
    <n v="2"/>
    <x v="1"/>
    <n v="1"/>
    <x v="2"/>
    <x v="1"/>
    <s v="2-5 Years"/>
    <s v="Medium"/>
    <s v="Better"/>
  </r>
  <r>
    <x v="18"/>
    <s v="Yes"/>
    <s v="Travel_Rarely"/>
    <n v="156"/>
    <x v="0"/>
    <n v="12"/>
    <n v="3"/>
    <s v="Life Sciences"/>
    <n v="1"/>
    <n v="494"/>
    <n v="3"/>
    <x v="0"/>
    <n v="90"/>
    <n v="4"/>
    <n v="1"/>
    <x v="6"/>
    <n v="2"/>
    <s v="Single"/>
    <n v="2716"/>
    <n v="25422"/>
    <n v="1"/>
    <s v="Y"/>
    <x v="1"/>
    <n v="15"/>
    <n v="3"/>
    <n v="4"/>
    <n v="80"/>
    <n v="0"/>
    <n v="1"/>
    <n v="0"/>
    <n v="3"/>
    <n v="1"/>
    <n v="0"/>
    <n v="0"/>
    <n v="0"/>
    <x v="0"/>
    <n v="0"/>
    <x v="4"/>
    <x v="1"/>
    <s v="0-1 Years"/>
    <s v="Medium"/>
    <s v="Better"/>
  </r>
  <r>
    <x v="11"/>
    <s v="No"/>
    <s v="Travel_Rarely"/>
    <n v="1283"/>
    <x v="1"/>
    <n v="23"/>
    <n v="3"/>
    <s v="Life Sciences"/>
    <n v="1"/>
    <n v="495"/>
    <n v="4"/>
    <x v="1"/>
    <n v="54"/>
    <n v="3"/>
    <n v="1"/>
    <x v="1"/>
    <n v="4"/>
    <s v="Single"/>
    <n v="2201"/>
    <n v="18168"/>
    <n v="9"/>
    <s v="Y"/>
    <x v="1"/>
    <n v="16"/>
    <n v="3"/>
    <n v="4"/>
    <n v="80"/>
    <n v="0"/>
    <n v="6"/>
    <n v="4"/>
    <n v="3"/>
    <n v="3"/>
    <n v="2"/>
    <n v="1"/>
    <n v="2"/>
    <x v="1"/>
    <n v="1"/>
    <x v="2"/>
    <x v="1"/>
    <s v="2-5 Years"/>
    <s v="Very High"/>
    <s v="Better"/>
  </r>
  <r>
    <x v="10"/>
    <s v="No"/>
    <s v="Travel_Rarely"/>
    <n v="755"/>
    <x v="1"/>
    <n v="9"/>
    <n v="4"/>
    <s v="Life Sciences"/>
    <n v="1"/>
    <n v="496"/>
    <n v="3"/>
    <x v="1"/>
    <n v="97"/>
    <n v="2"/>
    <n v="2"/>
    <x v="4"/>
    <n v="2"/>
    <s v="Single"/>
    <n v="6540"/>
    <n v="19394"/>
    <n v="9"/>
    <s v="Y"/>
    <x v="1"/>
    <n v="19"/>
    <n v="3"/>
    <n v="3"/>
    <n v="80"/>
    <n v="0"/>
    <n v="10"/>
    <n v="5"/>
    <n v="3"/>
    <n v="1"/>
    <n v="1"/>
    <n v="0"/>
    <n v="0"/>
    <x v="1"/>
    <n v="1"/>
    <x v="0"/>
    <x v="0"/>
    <s v="0-1 Years"/>
    <s v="Medium"/>
    <s v="Better"/>
  </r>
  <r>
    <x v="4"/>
    <s v="No"/>
    <s v="Travel_Rarely"/>
    <n v="1469"/>
    <x v="1"/>
    <n v="1"/>
    <n v="2"/>
    <s v="Medical"/>
    <n v="1"/>
    <n v="497"/>
    <n v="4"/>
    <x v="1"/>
    <n v="82"/>
    <n v="3"/>
    <n v="1"/>
    <x v="2"/>
    <n v="2"/>
    <s v="Divorced"/>
    <n v="3816"/>
    <n v="17881"/>
    <n v="1"/>
    <s v="Y"/>
    <x v="1"/>
    <n v="11"/>
    <n v="3"/>
    <n v="2"/>
    <n v="80"/>
    <n v="1"/>
    <n v="5"/>
    <n v="2"/>
    <n v="3"/>
    <n v="5"/>
    <n v="2"/>
    <n v="0"/>
    <n v="4"/>
    <x v="1"/>
    <n v="1"/>
    <x v="2"/>
    <x v="0"/>
    <s v="2-5 Years"/>
    <s v="Medium"/>
    <s v="Better"/>
  </r>
  <r>
    <x v="14"/>
    <s v="No"/>
    <s v="Travel_Rarely"/>
    <n v="304"/>
    <x v="0"/>
    <n v="9"/>
    <n v="4"/>
    <s v="Life Sciences"/>
    <n v="1"/>
    <n v="498"/>
    <n v="2"/>
    <x v="1"/>
    <n v="92"/>
    <n v="3"/>
    <n v="2"/>
    <x v="0"/>
    <n v="4"/>
    <s v="Single"/>
    <n v="5253"/>
    <n v="20750"/>
    <n v="1"/>
    <s v="Y"/>
    <x v="1"/>
    <n v="16"/>
    <n v="3"/>
    <n v="4"/>
    <n v="80"/>
    <n v="0"/>
    <n v="7"/>
    <n v="1"/>
    <n v="3"/>
    <n v="7"/>
    <n v="5"/>
    <n v="0"/>
    <n v="7"/>
    <x v="1"/>
    <n v="1"/>
    <x v="2"/>
    <x v="0"/>
    <s v="6-10 Years"/>
    <s v="Very High"/>
    <s v="Better"/>
  </r>
  <r>
    <x v="1"/>
    <s v="No"/>
    <s v="Travel_Rarely"/>
    <n v="1261"/>
    <x v="1"/>
    <n v="7"/>
    <n v="3"/>
    <s v="Other"/>
    <n v="1"/>
    <n v="499"/>
    <n v="2"/>
    <x v="1"/>
    <n v="31"/>
    <n v="2"/>
    <n v="3"/>
    <x v="4"/>
    <n v="3"/>
    <s v="Single"/>
    <n v="10965"/>
    <n v="12066"/>
    <n v="8"/>
    <s v="Y"/>
    <x v="1"/>
    <n v="24"/>
    <n v="4"/>
    <n v="3"/>
    <n v="80"/>
    <n v="0"/>
    <n v="26"/>
    <n v="2"/>
    <n v="3"/>
    <n v="5"/>
    <n v="2"/>
    <n v="0"/>
    <n v="0"/>
    <x v="1"/>
    <n v="1"/>
    <x v="1"/>
    <x v="2"/>
    <s v="2-5 Years"/>
    <s v="High"/>
    <s v="Better"/>
  </r>
  <r>
    <x v="31"/>
    <s v="No"/>
    <s v="Travel_Rarely"/>
    <n v="1178"/>
    <x v="0"/>
    <n v="14"/>
    <n v="2"/>
    <s v="Life Sciences"/>
    <n v="1"/>
    <n v="500"/>
    <n v="3"/>
    <x v="0"/>
    <n v="87"/>
    <n v="3"/>
    <n v="2"/>
    <x v="0"/>
    <n v="4"/>
    <s v="Married"/>
    <n v="4936"/>
    <n v="14862"/>
    <n v="4"/>
    <s v="Y"/>
    <x v="1"/>
    <n v="11"/>
    <n v="3"/>
    <n v="3"/>
    <n v="80"/>
    <n v="1"/>
    <n v="18"/>
    <n v="2"/>
    <n v="2"/>
    <n v="7"/>
    <n v="7"/>
    <n v="0"/>
    <n v="7"/>
    <x v="1"/>
    <n v="1"/>
    <x v="1"/>
    <x v="0"/>
    <s v="6-10 Years"/>
    <s v="Very High"/>
    <s v="Good"/>
  </r>
  <r>
    <x v="9"/>
    <s v="No"/>
    <s v="Travel_Rarely"/>
    <n v="329"/>
    <x v="1"/>
    <n v="2"/>
    <n v="3"/>
    <s v="Life Sciences"/>
    <n v="1"/>
    <n v="501"/>
    <n v="4"/>
    <x v="0"/>
    <n v="96"/>
    <n v="3"/>
    <n v="1"/>
    <x v="1"/>
    <n v="3"/>
    <s v="Married"/>
    <n v="2543"/>
    <n v="11868"/>
    <n v="4"/>
    <s v="Y"/>
    <x v="1"/>
    <n v="13"/>
    <n v="3"/>
    <n v="2"/>
    <n v="80"/>
    <n v="1"/>
    <n v="6"/>
    <n v="3"/>
    <n v="3"/>
    <n v="2"/>
    <n v="2"/>
    <n v="2"/>
    <n v="2"/>
    <x v="1"/>
    <n v="1"/>
    <x v="0"/>
    <x v="1"/>
    <s v="2-5 Years"/>
    <s v="High"/>
    <s v="Better"/>
  </r>
  <r>
    <x v="13"/>
    <s v="Yes"/>
    <s v="Non-Travel"/>
    <n v="1362"/>
    <x v="0"/>
    <n v="19"/>
    <n v="3"/>
    <s v="Marketing"/>
    <n v="1"/>
    <n v="502"/>
    <n v="1"/>
    <x v="1"/>
    <n v="67"/>
    <n v="4"/>
    <n v="2"/>
    <x v="0"/>
    <n v="4"/>
    <s v="Single"/>
    <n v="5304"/>
    <n v="4652"/>
    <n v="8"/>
    <s v="Y"/>
    <x v="0"/>
    <n v="13"/>
    <n v="3"/>
    <n v="2"/>
    <n v="80"/>
    <n v="0"/>
    <n v="9"/>
    <n v="3"/>
    <n v="2"/>
    <n v="5"/>
    <n v="2"/>
    <n v="0"/>
    <n v="4"/>
    <x v="0"/>
    <n v="0"/>
    <x v="2"/>
    <x v="0"/>
    <s v="2-5 Years"/>
    <s v="Very High"/>
    <s v="Good"/>
  </r>
  <r>
    <x v="27"/>
    <s v="No"/>
    <s v="Travel_Rarely"/>
    <n v="1311"/>
    <x v="1"/>
    <n v="2"/>
    <n v="3"/>
    <s v="Life Sciences"/>
    <n v="1"/>
    <n v="505"/>
    <n v="3"/>
    <x v="0"/>
    <n v="97"/>
    <n v="3"/>
    <n v="4"/>
    <x v="5"/>
    <n v="4"/>
    <s v="Single"/>
    <n v="16659"/>
    <n v="23258"/>
    <n v="2"/>
    <s v="Y"/>
    <x v="0"/>
    <n v="13"/>
    <n v="3"/>
    <n v="3"/>
    <n v="80"/>
    <n v="0"/>
    <n v="30"/>
    <n v="2"/>
    <n v="3"/>
    <n v="5"/>
    <n v="4"/>
    <n v="1"/>
    <n v="2"/>
    <x v="1"/>
    <n v="1"/>
    <x v="3"/>
    <x v="2"/>
    <s v="2-5 Years"/>
    <s v="Very High"/>
    <s v="Better"/>
  </r>
  <r>
    <x v="17"/>
    <s v="No"/>
    <s v="Travel_Rarely"/>
    <n v="1371"/>
    <x v="0"/>
    <n v="10"/>
    <n v="4"/>
    <s v="Marketing"/>
    <n v="1"/>
    <n v="507"/>
    <n v="4"/>
    <x v="0"/>
    <n v="77"/>
    <n v="3"/>
    <n v="2"/>
    <x v="0"/>
    <n v="3"/>
    <s v="Divorced"/>
    <n v="4260"/>
    <n v="5915"/>
    <n v="1"/>
    <s v="Y"/>
    <x v="0"/>
    <n v="12"/>
    <n v="3"/>
    <n v="4"/>
    <n v="80"/>
    <n v="1"/>
    <n v="5"/>
    <n v="2"/>
    <n v="4"/>
    <n v="5"/>
    <n v="2"/>
    <n v="0"/>
    <n v="3"/>
    <x v="1"/>
    <n v="1"/>
    <x v="4"/>
    <x v="0"/>
    <s v="2-5 Years"/>
    <s v="High"/>
    <s v="Best"/>
  </r>
  <r>
    <x v="7"/>
    <s v="No"/>
    <s v="Travel_Rarely"/>
    <n v="202"/>
    <x v="0"/>
    <n v="2"/>
    <n v="1"/>
    <s v="Technical Degree"/>
    <n v="1"/>
    <n v="508"/>
    <n v="3"/>
    <x v="1"/>
    <n v="72"/>
    <n v="3"/>
    <n v="1"/>
    <x v="6"/>
    <n v="2"/>
    <s v="Married"/>
    <n v="2476"/>
    <n v="17434"/>
    <n v="1"/>
    <s v="Y"/>
    <x v="1"/>
    <n v="18"/>
    <n v="3"/>
    <n v="1"/>
    <n v="80"/>
    <n v="1"/>
    <n v="1"/>
    <n v="3"/>
    <n v="3"/>
    <n v="1"/>
    <n v="0"/>
    <n v="0"/>
    <n v="0"/>
    <x v="1"/>
    <n v="1"/>
    <x v="2"/>
    <x v="1"/>
    <s v="0-1 Years"/>
    <s v="Medium"/>
    <s v="Better"/>
  </r>
  <r>
    <x v="25"/>
    <s v="Yes"/>
    <s v="Travel_Frequently"/>
    <n v="575"/>
    <x v="1"/>
    <n v="3"/>
    <n v="1"/>
    <s v="Technical Degree"/>
    <n v="1"/>
    <n v="510"/>
    <n v="3"/>
    <x v="1"/>
    <n v="73"/>
    <n v="3"/>
    <n v="1"/>
    <x v="1"/>
    <n v="1"/>
    <s v="Single"/>
    <n v="3102"/>
    <n v="6582"/>
    <n v="0"/>
    <s v="Y"/>
    <x v="1"/>
    <n v="22"/>
    <n v="4"/>
    <n v="3"/>
    <n v="80"/>
    <n v="0"/>
    <n v="7"/>
    <n v="2"/>
    <n v="3"/>
    <n v="6"/>
    <n v="4"/>
    <n v="0"/>
    <n v="4"/>
    <x v="0"/>
    <n v="0"/>
    <x v="2"/>
    <x v="0"/>
    <s v="6-10 Years"/>
    <s v="Low"/>
    <s v="Better"/>
  </r>
  <r>
    <x v="15"/>
    <s v="No"/>
    <s v="Travel_Rarely"/>
    <n v="253"/>
    <x v="1"/>
    <n v="11"/>
    <n v="3"/>
    <s v="Medical"/>
    <n v="1"/>
    <n v="511"/>
    <n v="1"/>
    <x v="0"/>
    <n v="43"/>
    <n v="3"/>
    <n v="1"/>
    <x v="1"/>
    <n v="2"/>
    <s v="Married"/>
    <n v="2244"/>
    <n v="24440"/>
    <n v="1"/>
    <s v="Y"/>
    <x v="1"/>
    <n v="13"/>
    <n v="3"/>
    <n v="4"/>
    <n v="80"/>
    <n v="1"/>
    <n v="2"/>
    <n v="1"/>
    <n v="3"/>
    <n v="2"/>
    <n v="1"/>
    <n v="1"/>
    <n v="2"/>
    <x v="1"/>
    <n v="1"/>
    <x v="4"/>
    <x v="1"/>
    <s v="2-5 Years"/>
    <s v="Medium"/>
    <s v="Better"/>
  </r>
  <r>
    <x v="9"/>
    <s v="No"/>
    <s v="Travel_Rarely"/>
    <n v="164"/>
    <x v="0"/>
    <n v="2"/>
    <n v="2"/>
    <s v="Medical"/>
    <n v="1"/>
    <n v="513"/>
    <n v="2"/>
    <x v="1"/>
    <n v="61"/>
    <n v="2"/>
    <n v="3"/>
    <x v="0"/>
    <n v="3"/>
    <s v="Married"/>
    <n v="7596"/>
    <n v="3809"/>
    <n v="1"/>
    <s v="Y"/>
    <x v="1"/>
    <n v="13"/>
    <n v="3"/>
    <n v="2"/>
    <n v="80"/>
    <n v="2"/>
    <n v="10"/>
    <n v="2"/>
    <n v="3"/>
    <n v="10"/>
    <n v="9"/>
    <n v="9"/>
    <n v="0"/>
    <x v="1"/>
    <n v="1"/>
    <x v="0"/>
    <x v="2"/>
    <s v="6-10 Years"/>
    <s v="High"/>
    <s v="Better"/>
  </r>
  <r>
    <x v="7"/>
    <s v="Yes"/>
    <s v="Travel_Frequently"/>
    <n v="464"/>
    <x v="1"/>
    <n v="4"/>
    <n v="3"/>
    <s v="Technical Degree"/>
    <n v="1"/>
    <n v="514"/>
    <n v="3"/>
    <x v="1"/>
    <n v="40"/>
    <n v="3"/>
    <n v="1"/>
    <x v="1"/>
    <n v="4"/>
    <s v="Single"/>
    <n v="2285"/>
    <n v="3427"/>
    <n v="9"/>
    <s v="Y"/>
    <x v="0"/>
    <n v="23"/>
    <n v="4"/>
    <n v="3"/>
    <n v="80"/>
    <n v="0"/>
    <n v="3"/>
    <n v="4"/>
    <n v="3"/>
    <n v="1"/>
    <n v="0"/>
    <n v="0"/>
    <n v="0"/>
    <x v="0"/>
    <n v="0"/>
    <x v="2"/>
    <x v="1"/>
    <s v="0-1 Years"/>
    <s v="Very High"/>
    <s v="Better"/>
  </r>
  <r>
    <x v="2"/>
    <s v="No"/>
    <s v="Travel_Rarely"/>
    <n v="1107"/>
    <x v="1"/>
    <n v="14"/>
    <n v="3"/>
    <s v="Life Sciences"/>
    <n v="1"/>
    <n v="515"/>
    <n v="4"/>
    <x v="0"/>
    <n v="95"/>
    <n v="3"/>
    <n v="1"/>
    <x v="2"/>
    <n v="1"/>
    <s v="Divorced"/>
    <n v="3034"/>
    <n v="26914"/>
    <n v="1"/>
    <s v="Y"/>
    <x v="1"/>
    <n v="12"/>
    <n v="3"/>
    <n v="3"/>
    <n v="80"/>
    <n v="1"/>
    <n v="18"/>
    <n v="2"/>
    <n v="2"/>
    <n v="18"/>
    <n v="7"/>
    <n v="12"/>
    <n v="17"/>
    <x v="1"/>
    <n v="1"/>
    <x v="0"/>
    <x v="0"/>
    <s v="10+ Years"/>
    <s v="Low"/>
    <s v="Good"/>
  </r>
  <r>
    <x v="32"/>
    <s v="No"/>
    <s v="Travel_Rarely"/>
    <n v="759"/>
    <x v="0"/>
    <n v="2"/>
    <n v="2"/>
    <s v="Marketing"/>
    <n v="1"/>
    <n v="516"/>
    <n v="4"/>
    <x v="0"/>
    <n v="46"/>
    <n v="3"/>
    <n v="2"/>
    <x v="0"/>
    <n v="2"/>
    <s v="Divorced"/>
    <n v="5715"/>
    <n v="22553"/>
    <n v="7"/>
    <s v="Y"/>
    <x v="1"/>
    <n v="12"/>
    <n v="3"/>
    <n v="3"/>
    <n v="80"/>
    <n v="2"/>
    <n v="8"/>
    <n v="5"/>
    <n v="3"/>
    <n v="5"/>
    <n v="4"/>
    <n v="1"/>
    <n v="3"/>
    <x v="1"/>
    <n v="1"/>
    <x v="0"/>
    <x v="0"/>
    <s v="2-5 Years"/>
    <s v="Medium"/>
    <s v="Better"/>
  </r>
  <r>
    <x v="19"/>
    <s v="No"/>
    <s v="Travel_Rarely"/>
    <n v="201"/>
    <x v="1"/>
    <n v="1"/>
    <n v="4"/>
    <s v="Life Sciences"/>
    <n v="1"/>
    <n v="517"/>
    <n v="2"/>
    <x v="0"/>
    <n v="95"/>
    <n v="3"/>
    <n v="1"/>
    <x v="2"/>
    <n v="1"/>
    <s v="Divorced"/>
    <n v="2576"/>
    <n v="20490"/>
    <n v="3"/>
    <s v="Y"/>
    <x v="1"/>
    <n v="16"/>
    <n v="3"/>
    <n v="2"/>
    <n v="80"/>
    <n v="1"/>
    <n v="8"/>
    <n v="5"/>
    <n v="3"/>
    <n v="5"/>
    <n v="2"/>
    <n v="1"/>
    <n v="2"/>
    <x v="1"/>
    <n v="1"/>
    <x v="0"/>
    <x v="1"/>
    <s v="2-5 Years"/>
    <s v="Low"/>
    <s v="Better"/>
  </r>
  <r>
    <x v="2"/>
    <s v="No"/>
    <s v="Travel_Rarely"/>
    <n v="1305"/>
    <x v="1"/>
    <n v="10"/>
    <n v="4"/>
    <s v="Life Sciences"/>
    <n v="1"/>
    <n v="518"/>
    <n v="3"/>
    <x v="1"/>
    <n v="49"/>
    <n v="3"/>
    <n v="2"/>
    <x v="3"/>
    <n v="2"/>
    <s v="Single"/>
    <n v="4197"/>
    <n v="21123"/>
    <n v="2"/>
    <s v="Y"/>
    <x v="0"/>
    <n v="12"/>
    <n v="3"/>
    <n v="4"/>
    <n v="80"/>
    <n v="0"/>
    <n v="18"/>
    <n v="2"/>
    <n v="2"/>
    <n v="1"/>
    <n v="0"/>
    <n v="0"/>
    <n v="1"/>
    <x v="1"/>
    <n v="1"/>
    <x v="0"/>
    <x v="0"/>
    <s v="0-1 Years"/>
    <s v="Medium"/>
    <s v="Good"/>
  </r>
  <r>
    <x v="23"/>
    <s v="No"/>
    <s v="Travel_Rarely"/>
    <n v="982"/>
    <x v="1"/>
    <n v="12"/>
    <n v="3"/>
    <s v="Life Sciences"/>
    <n v="1"/>
    <n v="520"/>
    <n v="1"/>
    <x v="1"/>
    <n v="59"/>
    <n v="2"/>
    <n v="4"/>
    <x v="7"/>
    <n v="2"/>
    <s v="Divorced"/>
    <n v="14336"/>
    <n v="4345"/>
    <n v="1"/>
    <s v="Y"/>
    <x v="1"/>
    <n v="11"/>
    <n v="3"/>
    <n v="3"/>
    <n v="80"/>
    <n v="1"/>
    <n v="25"/>
    <n v="3"/>
    <n v="3"/>
    <n v="25"/>
    <n v="10"/>
    <n v="3"/>
    <n v="9"/>
    <x v="1"/>
    <n v="1"/>
    <x v="0"/>
    <x v="2"/>
    <s v="10+ Years"/>
    <s v="Medium"/>
    <s v="Better"/>
  </r>
  <r>
    <x v="32"/>
    <s v="No"/>
    <s v="Travel_Rarely"/>
    <n v="555"/>
    <x v="1"/>
    <n v="2"/>
    <n v="3"/>
    <s v="Medical"/>
    <n v="1"/>
    <n v="521"/>
    <n v="2"/>
    <x v="0"/>
    <n v="78"/>
    <n v="2"/>
    <n v="2"/>
    <x v="2"/>
    <n v="3"/>
    <s v="Married"/>
    <n v="3448"/>
    <n v="13436"/>
    <n v="6"/>
    <s v="Y"/>
    <x v="1"/>
    <n v="22"/>
    <n v="4"/>
    <n v="2"/>
    <n v="80"/>
    <n v="1"/>
    <n v="20"/>
    <n v="3"/>
    <n v="3"/>
    <n v="1"/>
    <n v="0"/>
    <n v="0"/>
    <n v="0"/>
    <x v="1"/>
    <n v="1"/>
    <x v="0"/>
    <x v="0"/>
    <s v="0-1 Years"/>
    <s v="High"/>
    <s v="Better"/>
  </r>
  <r>
    <x v="33"/>
    <s v="No"/>
    <s v="Travel_Rarely"/>
    <n v="821"/>
    <x v="1"/>
    <n v="5"/>
    <n v="2"/>
    <s v="Medical"/>
    <n v="1"/>
    <n v="522"/>
    <n v="1"/>
    <x v="1"/>
    <n v="86"/>
    <n v="3"/>
    <n v="5"/>
    <x v="7"/>
    <n v="1"/>
    <s v="Married"/>
    <n v="19406"/>
    <n v="8509"/>
    <n v="4"/>
    <s v="Y"/>
    <x v="1"/>
    <n v="11"/>
    <n v="3"/>
    <n v="3"/>
    <n v="80"/>
    <n v="1"/>
    <n v="24"/>
    <n v="4"/>
    <n v="2"/>
    <n v="4"/>
    <n v="2"/>
    <n v="1"/>
    <n v="2"/>
    <x v="1"/>
    <n v="1"/>
    <x v="1"/>
    <x v="2"/>
    <s v="2-5 Years"/>
    <s v="Low"/>
    <s v="Good"/>
  </r>
  <r>
    <x v="13"/>
    <s v="No"/>
    <s v="Non-Travel"/>
    <n v="1381"/>
    <x v="0"/>
    <n v="4"/>
    <n v="4"/>
    <s v="Marketing"/>
    <n v="1"/>
    <n v="523"/>
    <n v="3"/>
    <x v="0"/>
    <n v="72"/>
    <n v="3"/>
    <n v="2"/>
    <x v="0"/>
    <n v="3"/>
    <s v="Married"/>
    <n v="6538"/>
    <n v="12740"/>
    <n v="9"/>
    <s v="Y"/>
    <x v="1"/>
    <n v="15"/>
    <n v="3"/>
    <n v="1"/>
    <n v="80"/>
    <n v="1"/>
    <n v="6"/>
    <n v="3"/>
    <n v="3"/>
    <n v="3"/>
    <n v="2"/>
    <n v="1"/>
    <n v="2"/>
    <x v="1"/>
    <n v="1"/>
    <x v="2"/>
    <x v="0"/>
    <s v="2-5 Years"/>
    <s v="High"/>
    <s v="Better"/>
  </r>
  <r>
    <x v="12"/>
    <s v="No"/>
    <s v="Travel_Rarely"/>
    <n v="480"/>
    <x v="1"/>
    <n v="7"/>
    <n v="2"/>
    <s v="Medical"/>
    <n v="1"/>
    <n v="524"/>
    <n v="2"/>
    <x v="0"/>
    <n v="31"/>
    <n v="3"/>
    <n v="2"/>
    <x v="3"/>
    <n v="1"/>
    <s v="Married"/>
    <n v="4306"/>
    <n v="4156"/>
    <n v="1"/>
    <s v="Y"/>
    <x v="1"/>
    <n v="12"/>
    <n v="3"/>
    <n v="2"/>
    <n v="80"/>
    <n v="1"/>
    <n v="13"/>
    <n v="5"/>
    <n v="1"/>
    <n v="13"/>
    <n v="10"/>
    <n v="3"/>
    <n v="12"/>
    <x v="1"/>
    <n v="1"/>
    <x v="2"/>
    <x v="0"/>
    <s v="10+ Years"/>
    <s v="Low"/>
    <s v="Bad"/>
  </r>
  <r>
    <x v="23"/>
    <s v="No"/>
    <s v="Travel_Frequently"/>
    <n v="313"/>
    <x v="1"/>
    <n v="21"/>
    <n v="3"/>
    <s v="Medical"/>
    <n v="1"/>
    <n v="525"/>
    <n v="4"/>
    <x v="1"/>
    <n v="61"/>
    <n v="3"/>
    <n v="1"/>
    <x v="2"/>
    <n v="4"/>
    <s v="Married"/>
    <n v="2258"/>
    <n v="15238"/>
    <n v="7"/>
    <s v="Y"/>
    <x v="1"/>
    <n v="20"/>
    <n v="4"/>
    <n v="1"/>
    <n v="80"/>
    <n v="1"/>
    <n v="8"/>
    <n v="1"/>
    <n v="3"/>
    <n v="3"/>
    <n v="2"/>
    <n v="1"/>
    <n v="2"/>
    <x v="1"/>
    <n v="1"/>
    <x v="0"/>
    <x v="1"/>
    <s v="2-5 Years"/>
    <s v="Very High"/>
    <s v="Better"/>
  </r>
  <r>
    <x v="23"/>
    <s v="No"/>
    <s v="Travel_Rarely"/>
    <n v="1473"/>
    <x v="1"/>
    <n v="8"/>
    <n v="4"/>
    <s v="Other"/>
    <n v="1"/>
    <n v="526"/>
    <n v="3"/>
    <x v="0"/>
    <n v="74"/>
    <n v="3"/>
    <n v="2"/>
    <x v="4"/>
    <n v="3"/>
    <s v="Divorced"/>
    <n v="4522"/>
    <n v="2227"/>
    <n v="4"/>
    <s v="Y"/>
    <x v="0"/>
    <n v="14"/>
    <n v="3"/>
    <n v="4"/>
    <n v="80"/>
    <n v="0"/>
    <n v="8"/>
    <n v="3"/>
    <n v="3"/>
    <n v="5"/>
    <n v="2"/>
    <n v="0"/>
    <n v="2"/>
    <x v="1"/>
    <n v="1"/>
    <x v="0"/>
    <x v="0"/>
    <s v="2-5 Years"/>
    <s v="High"/>
    <s v="Better"/>
  </r>
  <r>
    <x v="36"/>
    <s v="No"/>
    <s v="Travel_Rarely"/>
    <n v="891"/>
    <x v="0"/>
    <n v="4"/>
    <n v="2"/>
    <s v="Life Sciences"/>
    <n v="1"/>
    <n v="527"/>
    <n v="2"/>
    <x v="0"/>
    <n v="99"/>
    <n v="2"/>
    <n v="2"/>
    <x v="0"/>
    <n v="4"/>
    <s v="Single"/>
    <n v="4487"/>
    <n v="12090"/>
    <n v="1"/>
    <s v="Y"/>
    <x v="0"/>
    <n v="11"/>
    <n v="3"/>
    <n v="2"/>
    <n v="80"/>
    <n v="0"/>
    <n v="5"/>
    <n v="3"/>
    <n v="3"/>
    <n v="5"/>
    <n v="4"/>
    <n v="1"/>
    <n v="3"/>
    <x v="1"/>
    <n v="1"/>
    <x v="2"/>
    <x v="0"/>
    <s v="2-5 Years"/>
    <s v="Very High"/>
    <s v="Better"/>
  </r>
  <r>
    <x v="2"/>
    <s v="No"/>
    <s v="Non-Travel"/>
    <n v="1063"/>
    <x v="1"/>
    <n v="25"/>
    <n v="5"/>
    <s v="Medical"/>
    <n v="1"/>
    <n v="529"/>
    <n v="2"/>
    <x v="0"/>
    <n v="72"/>
    <n v="3"/>
    <n v="2"/>
    <x v="1"/>
    <n v="3"/>
    <s v="Married"/>
    <n v="4449"/>
    <n v="23866"/>
    <n v="3"/>
    <s v="Y"/>
    <x v="0"/>
    <n v="15"/>
    <n v="3"/>
    <n v="1"/>
    <n v="80"/>
    <n v="2"/>
    <n v="15"/>
    <n v="2"/>
    <n v="3"/>
    <n v="13"/>
    <n v="11"/>
    <n v="10"/>
    <n v="7"/>
    <x v="1"/>
    <n v="1"/>
    <x v="0"/>
    <x v="0"/>
    <s v="10+ Years"/>
    <s v="High"/>
    <s v="Better"/>
  </r>
  <r>
    <x v="12"/>
    <s v="No"/>
    <s v="Travel_Rarely"/>
    <n v="329"/>
    <x v="1"/>
    <n v="1"/>
    <n v="2"/>
    <s v="Life Sciences"/>
    <n v="1"/>
    <n v="530"/>
    <n v="4"/>
    <x v="1"/>
    <n v="98"/>
    <n v="2"/>
    <n v="1"/>
    <x v="2"/>
    <n v="1"/>
    <s v="Married"/>
    <n v="2218"/>
    <n v="16193"/>
    <n v="1"/>
    <s v="Y"/>
    <x v="1"/>
    <n v="12"/>
    <n v="3"/>
    <n v="3"/>
    <n v="80"/>
    <n v="1"/>
    <n v="4"/>
    <n v="3"/>
    <n v="3"/>
    <n v="4"/>
    <n v="2"/>
    <n v="3"/>
    <n v="2"/>
    <x v="1"/>
    <n v="1"/>
    <x v="2"/>
    <x v="1"/>
    <s v="2-5 Years"/>
    <s v="Low"/>
    <s v="Better"/>
  </r>
  <r>
    <x v="22"/>
    <s v="No"/>
    <s v="Travel_Frequently"/>
    <n v="1218"/>
    <x v="1"/>
    <n v="1"/>
    <n v="1"/>
    <s v="Life Sciences"/>
    <n v="1"/>
    <n v="531"/>
    <n v="2"/>
    <x v="1"/>
    <n v="52"/>
    <n v="3"/>
    <n v="5"/>
    <x v="5"/>
    <n v="3"/>
    <s v="Divorced"/>
    <n v="19197"/>
    <n v="8213"/>
    <n v="1"/>
    <s v="Y"/>
    <x v="0"/>
    <n v="14"/>
    <n v="3"/>
    <n v="3"/>
    <n v="80"/>
    <n v="1"/>
    <n v="21"/>
    <n v="3"/>
    <n v="3"/>
    <n v="21"/>
    <n v="8"/>
    <n v="1"/>
    <n v="6"/>
    <x v="1"/>
    <n v="1"/>
    <x v="0"/>
    <x v="2"/>
    <s v="10+ Years"/>
    <s v="High"/>
    <s v="Better"/>
  </r>
  <r>
    <x v="29"/>
    <s v="No"/>
    <s v="Travel_Frequently"/>
    <n v="906"/>
    <x v="0"/>
    <n v="6"/>
    <n v="3"/>
    <s v="Life Sciences"/>
    <n v="1"/>
    <n v="532"/>
    <n v="3"/>
    <x v="0"/>
    <n v="86"/>
    <n v="4"/>
    <n v="4"/>
    <x v="0"/>
    <n v="1"/>
    <s v="Married"/>
    <n v="13212"/>
    <n v="18256"/>
    <n v="9"/>
    <s v="Y"/>
    <x v="1"/>
    <n v="11"/>
    <n v="3"/>
    <n v="4"/>
    <n v="80"/>
    <n v="3"/>
    <n v="36"/>
    <n v="0"/>
    <n v="2"/>
    <n v="7"/>
    <n v="7"/>
    <n v="7"/>
    <n v="7"/>
    <x v="1"/>
    <n v="1"/>
    <x v="3"/>
    <x v="2"/>
    <s v="6-10 Years"/>
    <s v="Low"/>
    <s v="Good"/>
  </r>
  <r>
    <x v="7"/>
    <s v="No"/>
    <s v="Travel_Rarely"/>
    <n v="1082"/>
    <x v="0"/>
    <n v="12"/>
    <n v="3"/>
    <s v="Technical Degree"/>
    <n v="1"/>
    <n v="533"/>
    <n v="2"/>
    <x v="0"/>
    <n v="83"/>
    <n v="3"/>
    <n v="2"/>
    <x v="0"/>
    <n v="3"/>
    <s v="Single"/>
    <n v="6577"/>
    <n v="19558"/>
    <n v="0"/>
    <s v="Y"/>
    <x v="1"/>
    <n v="11"/>
    <n v="3"/>
    <n v="2"/>
    <n v="80"/>
    <n v="0"/>
    <n v="6"/>
    <n v="6"/>
    <n v="3"/>
    <n v="5"/>
    <n v="4"/>
    <n v="4"/>
    <n v="4"/>
    <x v="1"/>
    <n v="1"/>
    <x v="2"/>
    <x v="0"/>
    <s v="2-5 Years"/>
    <s v="High"/>
    <s v="Better"/>
  </r>
  <r>
    <x v="0"/>
    <s v="No"/>
    <s v="Travel_Rarely"/>
    <n v="645"/>
    <x v="0"/>
    <n v="1"/>
    <n v="3"/>
    <s v="Marketing"/>
    <n v="1"/>
    <n v="534"/>
    <n v="2"/>
    <x v="1"/>
    <n v="49"/>
    <n v="4"/>
    <n v="3"/>
    <x v="0"/>
    <n v="1"/>
    <s v="Married"/>
    <n v="8392"/>
    <n v="19566"/>
    <n v="1"/>
    <s v="Y"/>
    <x v="1"/>
    <n v="16"/>
    <n v="3"/>
    <n v="3"/>
    <n v="80"/>
    <n v="1"/>
    <n v="10"/>
    <n v="2"/>
    <n v="3"/>
    <n v="10"/>
    <n v="7"/>
    <n v="0"/>
    <n v="7"/>
    <x v="1"/>
    <n v="1"/>
    <x v="0"/>
    <x v="2"/>
    <s v="6-10 Years"/>
    <s v="Low"/>
    <s v="Better"/>
  </r>
  <r>
    <x v="14"/>
    <s v="No"/>
    <s v="Travel_Rarely"/>
    <n v="1300"/>
    <x v="1"/>
    <n v="17"/>
    <n v="2"/>
    <s v="Medical"/>
    <n v="1"/>
    <n v="536"/>
    <n v="3"/>
    <x v="1"/>
    <n v="79"/>
    <n v="3"/>
    <n v="2"/>
    <x v="2"/>
    <n v="1"/>
    <s v="Divorced"/>
    <n v="4558"/>
    <n v="13535"/>
    <n v="1"/>
    <s v="Y"/>
    <x v="1"/>
    <n v="12"/>
    <n v="3"/>
    <n v="4"/>
    <n v="80"/>
    <n v="1"/>
    <n v="10"/>
    <n v="2"/>
    <n v="3"/>
    <n v="10"/>
    <n v="0"/>
    <n v="1"/>
    <n v="8"/>
    <x v="1"/>
    <n v="1"/>
    <x v="2"/>
    <x v="0"/>
    <s v="6-10 Years"/>
    <s v="Low"/>
    <s v="Better"/>
  </r>
  <r>
    <x v="36"/>
    <s v="Yes"/>
    <s v="Travel_Rarely"/>
    <n v="688"/>
    <x v="1"/>
    <n v="3"/>
    <n v="3"/>
    <s v="Medical"/>
    <n v="1"/>
    <n v="538"/>
    <n v="1"/>
    <x v="1"/>
    <n v="91"/>
    <n v="3"/>
    <n v="1"/>
    <x v="2"/>
    <n v="1"/>
    <s v="Married"/>
    <n v="4031"/>
    <n v="9396"/>
    <n v="5"/>
    <s v="Y"/>
    <x v="1"/>
    <n v="13"/>
    <n v="3"/>
    <n v="3"/>
    <n v="80"/>
    <n v="1"/>
    <n v="6"/>
    <n v="5"/>
    <n v="3"/>
    <n v="2"/>
    <n v="2"/>
    <n v="0"/>
    <n v="2"/>
    <x v="0"/>
    <n v="0"/>
    <x v="2"/>
    <x v="0"/>
    <s v="2-5 Years"/>
    <s v="Low"/>
    <s v="Better"/>
  </r>
  <r>
    <x v="39"/>
    <s v="No"/>
    <s v="Travel_Rarely"/>
    <n v="319"/>
    <x v="1"/>
    <n v="3"/>
    <n v="3"/>
    <s v="Medical"/>
    <n v="1"/>
    <n v="543"/>
    <n v="4"/>
    <x v="1"/>
    <n v="39"/>
    <n v="2"/>
    <n v="3"/>
    <x v="3"/>
    <n v="3"/>
    <s v="Married"/>
    <n v="7969"/>
    <n v="19609"/>
    <n v="2"/>
    <s v="Y"/>
    <x v="0"/>
    <n v="14"/>
    <n v="3"/>
    <n v="3"/>
    <n v="80"/>
    <n v="0"/>
    <n v="28"/>
    <n v="4"/>
    <n v="3"/>
    <n v="5"/>
    <n v="4"/>
    <n v="0"/>
    <n v="4"/>
    <x v="1"/>
    <n v="1"/>
    <x v="1"/>
    <x v="2"/>
    <s v="2-5 Years"/>
    <s v="High"/>
    <s v="Better"/>
  </r>
  <r>
    <x v="28"/>
    <s v="No"/>
    <s v="Travel_Rarely"/>
    <n v="192"/>
    <x v="1"/>
    <n v="10"/>
    <n v="2"/>
    <s v="Life Sciences"/>
    <n v="1"/>
    <n v="544"/>
    <n v="1"/>
    <x v="1"/>
    <n v="69"/>
    <n v="3"/>
    <n v="1"/>
    <x v="1"/>
    <n v="4"/>
    <s v="Married"/>
    <n v="2654"/>
    <n v="9655"/>
    <n v="3"/>
    <s v="Y"/>
    <x v="1"/>
    <n v="21"/>
    <n v="4"/>
    <n v="4"/>
    <n v="80"/>
    <n v="2"/>
    <n v="8"/>
    <n v="3"/>
    <n v="2"/>
    <n v="2"/>
    <n v="2"/>
    <n v="0"/>
    <n v="2"/>
    <x v="1"/>
    <n v="1"/>
    <x v="1"/>
    <x v="1"/>
    <s v="2-5 Years"/>
    <s v="Very High"/>
    <s v="Good"/>
  </r>
  <r>
    <x v="39"/>
    <s v="No"/>
    <s v="Travel_Rarely"/>
    <n v="1490"/>
    <x v="1"/>
    <n v="4"/>
    <n v="2"/>
    <s v="Life Sciences"/>
    <n v="1"/>
    <n v="546"/>
    <n v="4"/>
    <x v="0"/>
    <n v="30"/>
    <n v="3"/>
    <n v="4"/>
    <x v="5"/>
    <n v="4"/>
    <s v="Married"/>
    <n v="16555"/>
    <n v="10310"/>
    <n v="2"/>
    <s v="Y"/>
    <x v="1"/>
    <n v="13"/>
    <n v="3"/>
    <n v="4"/>
    <n v="80"/>
    <n v="0"/>
    <n v="31"/>
    <n v="2"/>
    <n v="1"/>
    <n v="5"/>
    <n v="2"/>
    <n v="1"/>
    <n v="4"/>
    <x v="1"/>
    <n v="1"/>
    <x v="1"/>
    <x v="2"/>
    <s v="2-5 Years"/>
    <s v="Very High"/>
    <s v="Bad"/>
  </r>
  <r>
    <x v="19"/>
    <s v="No"/>
    <s v="Travel_Frequently"/>
    <n v="532"/>
    <x v="1"/>
    <n v="29"/>
    <n v="2"/>
    <s v="Life Sciences"/>
    <n v="1"/>
    <n v="547"/>
    <n v="1"/>
    <x v="0"/>
    <n v="92"/>
    <n v="3"/>
    <n v="2"/>
    <x v="1"/>
    <n v="3"/>
    <s v="Divorced"/>
    <n v="4556"/>
    <n v="12932"/>
    <n v="2"/>
    <s v="Y"/>
    <x v="1"/>
    <n v="11"/>
    <n v="3"/>
    <n v="2"/>
    <n v="80"/>
    <n v="1"/>
    <n v="19"/>
    <n v="3"/>
    <n v="3"/>
    <n v="5"/>
    <n v="4"/>
    <n v="0"/>
    <n v="2"/>
    <x v="1"/>
    <n v="1"/>
    <x v="0"/>
    <x v="0"/>
    <s v="2-5 Years"/>
    <s v="High"/>
    <s v="Better"/>
  </r>
  <r>
    <x v="7"/>
    <s v="No"/>
    <s v="Travel_Rarely"/>
    <n v="317"/>
    <x v="1"/>
    <n v="2"/>
    <n v="3"/>
    <s v="Life Sciences"/>
    <n v="1"/>
    <n v="548"/>
    <n v="3"/>
    <x v="0"/>
    <n v="43"/>
    <n v="1"/>
    <n v="2"/>
    <x v="3"/>
    <n v="4"/>
    <s v="Single"/>
    <n v="6091"/>
    <n v="24793"/>
    <n v="2"/>
    <s v="Y"/>
    <x v="1"/>
    <n v="20"/>
    <n v="4"/>
    <n v="3"/>
    <n v="80"/>
    <n v="0"/>
    <n v="11"/>
    <n v="2"/>
    <n v="3"/>
    <n v="5"/>
    <n v="4"/>
    <n v="0"/>
    <n v="2"/>
    <x v="1"/>
    <n v="1"/>
    <x v="2"/>
    <x v="0"/>
    <s v="2-5 Years"/>
    <s v="Very High"/>
    <s v="Better"/>
  </r>
  <r>
    <x v="42"/>
    <s v="No"/>
    <s v="Travel_Rarely"/>
    <n v="422"/>
    <x v="1"/>
    <n v="7"/>
    <n v="3"/>
    <s v="Life Sciences"/>
    <n v="1"/>
    <n v="549"/>
    <n v="1"/>
    <x v="0"/>
    <n v="41"/>
    <n v="3"/>
    <n v="5"/>
    <x v="5"/>
    <n v="1"/>
    <s v="Married"/>
    <n v="19566"/>
    <n v="3854"/>
    <n v="5"/>
    <s v="Y"/>
    <x v="1"/>
    <n v="11"/>
    <n v="3"/>
    <n v="4"/>
    <n v="80"/>
    <n v="0"/>
    <n v="33"/>
    <n v="5"/>
    <n v="1"/>
    <n v="29"/>
    <n v="8"/>
    <n v="11"/>
    <n v="10"/>
    <x v="1"/>
    <n v="1"/>
    <x v="3"/>
    <x v="2"/>
    <s v="10+ Years"/>
    <s v="Low"/>
    <s v="Bad"/>
  </r>
  <r>
    <x v="21"/>
    <s v="No"/>
    <s v="Travel_Rarely"/>
    <n v="1485"/>
    <x v="1"/>
    <n v="18"/>
    <n v="3"/>
    <s v="Medical"/>
    <n v="1"/>
    <n v="550"/>
    <n v="3"/>
    <x v="0"/>
    <n v="87"/>
    <n v="3"/>
    <n v="2"/>
    <x v="3"/>
    <n v="3"/>
    <s v="Divorced"/>
    <n v="4810"/>
    <n v="26314"/>
    <n v="2"/>
    <s v="Y"/>
    <x v="1"/>
    <n v="14"/>
    <n v="3"/>
    <n v="3"/>
    <n v="80"/>
    <n v="1"/>
    <n v="19"/>
    <n v="5"/>
    <n v="2"/>
    <n v="10"/>
    <n v="7"/>
    <n v="0"/>
    <n v="8"/>
    <x v="1"/>
    <n v="1"/>
    <x v="1"/>
    <x v="0"/>
    <s v="6-10 Years"/>
    <s v="High"/>
    <s v="Good"/>
  </r>
  <r>
    <x v="19"/>
    <s v="No"/>
    <s v="Travel_Frequently"/>
    <n v="1368"/>
    <x v="1"/>
    <n v="28"/>
    <n v="4"/>
    <s v="Technical Degree"/>
    <n v="1"/>
    <n v="551"/>
    <n v="4"/>
    <x v="0"/>
    <n v="88"/>
    <n v="2"/>
    <n v="2"/>
    <x v="4"/>
    <n v="4"/>
    <s v="Married"/>
    <n v="4523"/>
    <n v="4386"/>
    <n v="0"/>
    <s v="Y"/>
    <x v="1"/>
    <n v="11"/>
    <n v="3"/>
    <n v="4"/>
    <n v="80"/>
    <n v="3"/>
    <n v="7"/>
    <n v="4"/>
    <n v="4"/>
    <n v="6"/>
    <n v="5"/>
    <n v="0"/>
    <n v="4"/>
    <x v="1"/>
    <n v="1"/>
    <x v="0"/>
    <x v="0"/>
    <s v="6-10 Years"/>
    <s v="Very High"/>
    <s v="Best"/>
  </r>
  <r>
    <x v="17"/>
    <s v="Yes"/>
    <s v="Travel_Rarely"/>
    <n v="1448"/>
    <x v="0"/>
    <n v="1"/>
    <n v="1"/>
    <s v="Technical Degree"/>
    <n v="1"/>
    <n v="554"/>
    <n v="1"/>
    <x v="0"/>
    <n v="62"/>
    <n v="3"/>
    <n v="1"/>
    <x v="6"/>
    <n v="2"/>
    <s v="Single"/>
    <n v="3202"/>
    <n v="21972"/>
    <n v="1"/>
    <s v="Y"/>
    <x v="0"/>
    <n v="16"/>
    <n v="3"/>
    <n v="2"/>
    <n v="80"/>
    <n v="0"/>
    <n v="6"/>
    <n v="4"/>
    <n v="3"/>
    <n v="5"/>
    <n v="3"/>
    <n v="1"/>
    <n v="4"/>
    <x v="0"/>
    <n v="0"/>
    <x v="4"/>
    <x v="0"/>
    <s v="2-5 Years"/>
    <s v="Medium"/>
    <s v="Better"/>
  </r>
  <r>
    <x v="13"/>
    <s v="Yes"/>
    <s v="Travel_Frequently"/>
    <n v="296"/>
    <x v="0"/>
    <n v="6"/>
    <n v="2"/>
    <s v="Marketing"/>
    <n v="1"/>
    <n v="555"/>
    <n v="4"/>
    <x v="0"/>
    <n v="33"/>
    <n v="1"/>
    <n v="1"/>
    <x v="6"/>
    <n v="3"/>
    <s v="Divorced"/>
    <n v="2351"/>
    <n v="12253"/>
    <n v="0"/>
    <s v="Y"/>
    <x v="1"/>
    <n v="16"/>
    <n v="3"/>
    <n v="4"/>
    <n v="80"/>
    <n v="1"/>
    <n v="3"/>
    <n v="3"/>
    <n v="2"/>
    <n v="2"/>
    <n v="2"/>
    <n v="1"/>
    <n v="0"/>
    <x v="0"/>
    <n v="0"/>
    <x v="2"/>
    <x v="1"/>
    <s v="2-5 Years"/>
    <s v="High"/>
    <s v="Good"/>
  </r>
  <r>
    <x v="8"/>
    <s v="No"/>
    <s v="Travel_Frequently"/>
    <n v="1490"/>
    <x v="1"/>
    <n v="2"/>
    <n v="2"/>
    <s v="Life Sciences"/>
    <n v="1"/>
    <n v="556"/>
    <n v="4"/>
    <x v="1"/>
    <n v="42"/>
    <n v="3"/>
    <n v="1"/>
    <x v="2"/>
    <n v="4"/>
    <s v="Married"/>
    <n v="1702"/>
    <n v="12106"/>
    <n v="1"/>
    <s v="Y"/>
    <x v="0"/>
    <n v="23"/>
    <n v="4"/>
    <n v="3"/>
    <n v="80"/>
    <n v="1"/>
    <n v="1"/>
    <n v="3"/>
    <n v="3"/>
    <n v="1"/>
    <n v="0"/>
    <n v="0"/>
    <n v="0"/>
    <x v="1"/>
    <n v="1"/>
    <x v="0"/>
    <x v="1"/>
    <s v="0-1 Years"/>
    <s v="Very High"/>
    <s v="Better"/>
  </r>
  <r>
    <x v="32"/>
    <s v="No"/>
    <s v="Travel_Rarely"/>
    <n v="1398"/>
    <x v="0"/>
    <n v="2"/>
    <n v="4"/>
    <s v="Life Sciences"/>
    <n v="1"/>
    <n v="558"/>
    <n v="3"/>
    <x v="0"/>
    <n v="79"/>
    <n v="3"/>
    <n v="5"/>
    <x v="5"/>
    <n v="3"/>
    <s v="Married"/>
    <n v="18041"/>
    <n v="13022"/>
    <n v="0"/>
    <s v="Y"/>
    <x v="1"/>
    <n v="14"/>
    <n v="3"/>
    <n v="4"/>
    <n v="80"/>
    <n v="0"/>
    <n v="21"/>
    <n v="2"/>
    <n v="3"/>
    <n v="20"/>
    <n v="15"/>
    <n v="1"/>
    <n v="12"/>
    <x v="1"/>
    <n v="1"/>
    <x v="0"/>
    <x v="2"/>
    <s v="10+ Years"/>
    <s v="High"/>
    <s v="Better"/>
  </r>
  <r>
    <x v="25"/>
    <s v="No"/>
    <s v="Travel_Rarely"/>
    <n v="1349"/>
    <x v="1"/>
    <n v="23"/>
    <n v="3"/>
    <s v="Life Sciences"/>
    <n v="1"/>
    <n v="560"/>
    <n v="1"/>
    <x v="0"/>
    <n v="90"/>
    <n v="3"/>
    <n v="1"/>
    <x v="1"/>
    <n v="4"/>
    <s v="Divorced"/>
    <n v="2886"/>
    <n v="3032"/>
    <n v="1"/>
    <s v="Y"/>
    <x v="1"/>
    <n v="22"/>
    <n v="4"/>
    <n v="2"/>
    <n v="80"/>
    <n v="2"/>
    <n v="3"/>
    <n v="3"/>
    <n v="1"/>
    <n v="3"/>
    <n v="2"/>
    <n v="0"/>
    <n v="2"/>
    <x v="1"/>
    <n v="1"/>
    <x v="2"/>
    <x v="1"/>
    <s v="2-5 Years"/>
    <s v="Very High"/>
    <s v="Bad"/>
  </r>
  <r>
    <x v="7"/>
    <s v="No"/>
    <s v="Non-Travel"/>
    <n v="1400"/>
    <x v="1"/>
    <n v="3"/>
    <n v="3"/>
    <s v="Life Sciences"/>
    <n v="1"/>
    <n v="562"/>
    <n v="3"/>
    <x v="1"/>
    <n v="53"/>
    <n v="3"/>
    <n v="1"/>
    <x v="2"/>
    <n v="4"/>
    <s v="Married"/>
    <n v="2097"/>
    <n v="16734"/>
    <n v="4"/>
    <s v="Y"/>
    <x v="1"/>
    <n v="15"/>
    <n v="3"/>
    <n v="3"/>
    <n v="80"/>
    <n v="1"/>
    <n v="9"/>
    <n v="3"/>
    <n v="1"/>
    <n v="5"/>
    <n v="3"/>
    <n v="1"/>
    <n v="4"/>
    <x v="1"/>
    <n v="1"/>
    <x v="2"/>
    <x v="1"/>
    <s v="2-5 Years"/>
    <s v="Very High"/>
    <s v="Bad"/>
  </r>
  <r>
    <x v="11"/>
    <s v="No"/>
    <s v="Travel_Rarely"/>
    <n v="986"/>
    <x v="1"/>
    <n v="3"/>
    <n v="4"/>
    <s v="Medical"/>
    <n v="1"/>
    <n v="564"/>
    <n v="2"/>
    <x v="1"/>
    <n v="93"/>
    <n v="2"/>
    <n v="3"/>
    <x v="7"/>
    <n v="3"/>
    <s v="Married"/>
    <n v="11935"/>
    <n v="21526"/>
    <n v="1"/>
    <s v="Y"/>
    <x v="1"/>
    <n v="18"/>
    <n v="3"/>
    <n v="3"/>
    <n v="80"/>
    <n v="0"/>
    <n v="10"/>
    <n v="2"/>
    <n v="3"/>
    <n v="10"/>
    <n v="2"/>
    <n v="0"/>
    <n v="7"/>
    <x v="1"/>
    <n v="1"/>
    <x v="2"/>
    <x v="2"/>
    <s v="6-10 Years"/>
    <s v="High"/>
    <s v="Better"/>
  </r>
  <r>
    <x v="11"/>
    <s v="Yes"/>
    <s v="Travel_Rarely"/>
    <n v="408"/>
    <x v="1"/>
    <n v="25"/>
    <n v="5"/>
    <s v="Technical Degree"/>
    <n v="1"/>
    <n v="565"/>
    <n v="3"/>
    <x v="0"/>
    <n v="71"/>
    <n v="2"/>
    <n v="1"/>
    <x v="1"/>
    <n v="2"/>
    <s v="Married"/>
    <n v="2546"/>
    <n v="18300"/>
    <n v="5"/>
    <s v="Y"/>
    <x v="1"/>
    <n v="16"/>
    <n v="3"/>
    <n v="2"/>
    <n v="80"/>
    <n v="0"/>
    <n v="6"/>
    <n v="2"/>
    <n v="4"/>
    <n v="2"/>
    <n v="2"/>
    <n v="1"/>
    <n v="1"/>
    <x v="0"/>
    <n v="0"/>
    <x v="2"/>
    <x v="1"/>
    <s v="2-5 Years"/>
    <s v="Medium"/>
    <s v="Best"/>
  </r>
  <r>
    <x v="37"/>
    <s v="Yes"/>
    <s v="Travel_Rarely"/>
    <n v="489"/>
    <x v="2"/>
    <n v="2"/>
    <n v="2"/>
    <s v="Technical Degree"/>
    <n v="1"/>
    <n v="566"/>
    <n v="1"/>
    <x v="1"/>
    <n v="52"/>
    <n v="2"/>
    <n v="1"/>
    <x v="8"/>
    <n v="4"/>
    <s v="Single"/>
    <n v="2564"/>
    <n v="18437"/>
    <n v="1"/>
    <s v="Y"/>
    <x v="1"/>
    <n v="12"/>
    <n v="3"/>
    <n v="3"/>
    <n v="80"/>
    <n v="0"/>
    <n v="1"/>
    <n v="3"/>
    <n v="4"/>
    <n v="1"/>
    <n v="0"/>
    <n v="0"/>
    <n v="0"/>
    <x v="0"/>
    <n v="0"/>
    <x v="4"/>
    <x v="1"/>
    <s v="0-1 Years"/>
    <s v="Very High"/>
    <s v="Best"/>
  </r>
  <r>
    <x v="7"/>
    <s v="No"/>
    <s v="Non-Travel"/>
    <n v="1398"/>
    <x v="0"/>
    <n v="22"/>
    <n v="4"/>
    <s v="Other"/>
    <n v="1"/>
    <n v="567"/>
    <n v="3"/>
    <x v="0"/>
    <n v="69"/>
    <n v="3"/>
    <n v="3"/>
    <x v="0"/>
    <n v="1"/>
    <s v="Married"/>
    <n v="8412"/>
    <n v="2890"/>
    <n v="0"/>
    <s v="Y"/>
    <x v="1"/>
    <n v="11"/>
    <n v="3"/>
    <n v="3"/>
    <n v="80"/>
    <n v="0"/>
    <n v="10"/>
    <n v="3"/>
    <n v="3"/>
    <n v="9"/>
    <n v="8"/>
    <n v="7"/>
    <n v="8"/>
    <x v="1"/>
    <n v="1"/>
    <x v="2"/>
    <x v="2"/>
    <s v="6-10 Years"/>
    <s v="Low"/>
    <s v="Better"/>
  </r>
  <r>
    <x v="38"/>
    <s v="No"/>
    <s v="Travel_Rarely"/>
    <n v="210"/>
    <x v="0"/>
    <n v="29"/>
    <n v="3"/>
    <s v="Marketing"/>
    <n v="1"/>
    <n v="568"/>
    <n v="1"/>
    <x v="1"/>
    <n v="56"/>
    <n v="2"/>
    <n v="4"/>
    <x v="5"/>
    <n v="4"/>
    <s v="Divorced"/>
    <n v="14118"/>
    <n v="22102"/>
    <n v="3"/>
    <s v="Y"/>
    <x v="1"/>
    <n v="12"/>
    <n v="3"/>
    <n v="3"/>
    <n v="80"/>
    <n v="1"/>
    <n v="32"/>
    <n v="3"/>
    <n v="2"/>
    <n v="1"/>
    <n v="0"/>
    <n v="0"/>
    <n v="0"/>
    <x v="1"/>
    <n v="1"/>
    <x v="3"/>
    <x v="2"/>
    <s v="0-1 Years"/>
    <s v="Very High"/>
    <s v="Good"/>
  </r>
  <r>
    <x v="24"/>
    <s v="No"/>
    <s v="Travel_Rarely"/>
    <n v="1099"/>
    <x v="1"/>
    <n v="29"/>
    <n v="4"/>
    <s v="Life Sciences"/>
    <n v="1"/>
    <n v="569"/>
    <n v="2"/>
    <x v="1"/>
    <n v="88"/>
    <n v="2"/>
    <n v="4"/>
    <x v="5"/>
    <n v="3"/>
    <s v="Married"/>
    <n v="17046"/>
    <n v="9314"/>
    <n v="0"/>
    <s v="Y"/>
    <x v="1"/>
    <n v="15"/>
    <n v="3"/>
    <n v="2"/>
    <n v="80"/>
    <n v="1"/>
    <n v="28"/>
    <n v="2"/>
    <n v="3"/>
    <n v="27"/>
    <n v="10"/>
    <n v="15"/>
    <n v="7"/>
    <x v="1"/>
    <n v="1"/>
    <x v="1"/>
    <x v="2"/>
    <s v="10+ Years"/>
    <s v="High"/>
    <s v="Better"/>
  </r>
  <r>
    <x v="7"/>
    <s v="No"/>
    <s v="Non-Travel"/>
    <n v="1116"/>
    <x v="1"/>
    <n v="2"/>
    <n v="3"/>
    <s v="Medical"/>
    <n v="1"/>
    <n v="571"/>
    <n v="3"/>
    <x v="0"/>
    <n v="49"/>
    <n v="3"/>
    <n v="1"/>
    <x v="2"/>
    <n v="4"/>
    <s v="Single"/>
    <n v="2564"/>
    <n v="7181"/>
    <n v="0"/>
    <s v="Y"/>
    <x v="1"/>
    <n v="14"/>
    <n v="3"/>
    <n v="3"/>
    <n v="80"/>
    <n v="0"/>
    <n v="12"/>
    <n v="2"/>
    <n v="2"/>
    <n v="11"/>
    <n v="7"/>
    <n v="6"/>
    <n v="7"/>
    <x v="1"/>
    <n v="1"/>
    <x v="2"/>
    <x v="1"/>
    <s v="10+ Years"/>
    <s v="Very High"/>
    <s v="Good"/>
  </r>
  <r>
    <x v="42"/>
    <s v="No"/>
    <s v="Travel_Frequently"/>
    <n v="1499"/>
    <x v="0"/>
    <n v="28"/>
    <n v="3"/>
    <s v="Marketing"/>
    <n v="1"/>
    <n v="573"/>
    <n v="3"/>
    <x v="0"/>
    <n v="80"/>
    <n v="2"/>
    <n v="3"/>
    <x v="0"/>
    <n v="1"/>
    <s v="Married"/>
    <n v="10266"/>
    <n v="2845"/>
    <n v="4"/>
    <s v="Y"/>
    <x v="1"/>
    <n v="19"/>
    <n v="3"/>
    <n v="4"/>
    <n v="80"/>
    <n v="0"/>
    <n v="22"/>
    <n v="5"/>
    <n v="4"/>
    <n v="18"/>
    <n v="13"/>
    <n v="13"/>
    <n v="11"/>
    <x v="1"/>
    <n v="1"/>
    <x v="3"/>
    <x v="2"/>
    <s v="10+ Years"/>
    <s v="Low"/>
    <s v="Best"/>
  </r>
  <r>
    <x v="40"/>
    <s v="No"/>
    <s v="Travel_Rarely"/>
    <n v="983"/>
    <x v="1"/>
    <n v="2"/>
    <n v="2"/>
    <s v="Medical"/>
    <n v="1"/>
    <n v="574"/>
    <n v="1"/>
    <x v="0"/>
    <n v="65"/>
    <n v="3"/>
    <n v="2"/>
    <x v="3"/>
    <n v="4"/>
    <s v="Divorced"/>
    <n v="5070"/>
    <n v="7389"/>
    <n v="5"/>
    <s v="Y"/>
    <x v="1"/>
    <n v="13"/>
    <n v="3"/>
    <n v="3"/>
    <n v="80"/>
    <n v="3"/>
    <n v="20"/>
    <n v="2"/>
    <n v="3"/>
    <n v="5"/>
    <n v="0"/>
    <n v="0"/>
    <n v="4"/>
    <x v="1"/>
    <n v="1"/>
    <x v="1"/>
    <x v="0"/>
    <s v="2-5 Years"/>
    <s v="Very High"/>
    <s v="Better"/>
  </r>
  <r>
    <x v="21"/>
    <s v="No"/>
    <s v="Travel_Rarely"/>
    <n v="1009"/>
    <x v="1"/>
    <n v="2"/>
    <n v="3"/>
    <s v="Life Sciences"/>
    <n v="1"/>
    <n v="575"/>
    <n v="1"/>
    <x v="1"/>
    <n v="51"/>
    <n v="3"/>
    <n v="4"/>
    <x v="7"/>
    <n v="3"/>
    <s v="Married"/>
    <n v="17861"/>
    <n v="2288"/>
    <n v="6"/>
    <s v="Y"/>
    <x v="1"/>
    <n v="13"/>
    <n v="3"/>
    <n v="3"/>
    <n v="80"/>
    <n v="0"/>
    <n v="26"/>
    <n v="2"/>
    <n v="1"/>
    <n v="3"/>
    <n v="2"/>
    <n v="0"/>
    <n v="1"/>
    <x v="1"/>
    <n v="1"/>
    <x v="1"/>
    <x v="2"/>
    <s v="2-5 Years"/>
    <s v="High"/>
    <s v="Bad"/>
  </r>
  <r>
    <x v="10"/>
    <s v="No"/>
    <s v="Travel_Rarely"/>
    <n v="144"/>
    <x v="1"/>
    <n v="22"/>
    <n v="3"/>
    <s v="Life Sciences"/>
    <n v="1"/>
    <n v="577"/>
    <n v="4"/>
    <x v="1"/>
    <n v="46"/>
    <n v="1"/>
    <n v="1"/>
    <x v="2"/>
    <n v="3"/>
    <s v="Single"/>
    <n v="4230"/>
    <n v="19225"/>
    <n v="0"/>
    <s v="Y"/>
    <x v="1"/>
    <n v="15"/>
    <n v="3"/>
    <n v="3"/>
    <n v="80"/>
    <n v="0"/>
    <n v="6"/>
    <n v="2"/>
    <n v="3"/>
    <n v="5"/>
    <n v="4"/>
    <n v="4"/>
    <n v="3"/>
    <x v="1"/>
    <n v="1"/>
    <x v="0"/>
    <x v="0"/>
    <s v="2-5 Years"/>
    <s v="High"/>
    <s v="Better"/>
  </r>
  <r>
    <x v="33"/>
    <s v="No"/>
    <s v="Travel_Rarely"/>
    <n v="548"/>
    <x v="1"/>
    <n v="8"/>
    <n v="4"/>
    <s v="Life Sciences"/>
    <n v="1"/>
    <n v="578"/>
    <n v="3"/>
    <x v="0"/>
    <n v="42"/>
    <n v="3"/>
    <n v="2"/>
    <x v="2"/>
    <n v="3"/>
    <s v="Single"/>
    <n v="3780"/>
    <n v="23428"/>
    <n v="7"/>
    <s v="Y"/>
    <x v="1"/>
    <n v="11"/>
    <n v="3"/>
    <n v="3"/>
    <n v="80"/>
    <n v="0"/>
    <n v="19"/>
    <n v="3"/>
    <n v="3"/>
    <n v="1"/>
    <n v="0"/>
    <n v="0"/>
    <n v="0"/>
    <x v="1"/>
    <n v="1"/>
    <x v="1"/>
    <x v="0"/>
    <s v="0-1 Years"/>
    <s v="High"/>
    <s v="Better"/>
  </r>
  <r>
    <x v="13"/>
    <s v="No"/>
    <s v="Travel_Rarely"/>
    <n v="1303"/>
    <x v="1"/>
    <n v="2"/>
    <n v="4"/>
    <s v="Life Sciences"/>
    <n v="1"/>
    <n v="579"/>
    <n v="4"/>
    <x v="1"/>
    <n v="62"/>
    <n v="2"/>
    <n v="1"/>
    <x v="1"/>
    <n v="3"/>
    <s v="Divorced"/>
    <n v="2768"/>
    <n v="8416"/>
    <n v="3"/>
    <s v="Y"/>
    <x v="1"/>
    <n v="12"/>
    <n v="3"/>
    <n v="3"/>
    <n v="80"/>
    <n v="1"/>
    <n v="14"/>
    <n v="3"/>
    <n v="3"/>
    <n v="7"/>
    <n v="3"/>
    <n v="5"/>
    <n v="7"/>
    <x v="1"/>
    <n v="1"/>
    <x v="2"/>
    <x v="1"/>
    <s v="6-10 Years"/>
    <s v="High"/>
    <s v="Better"/>
  </r>
  <r>
    <x v="21"/>
    <s v="No"/>
    <s v="Travel_Rarely"/>
    <n v="1125"/>
    <x v="0"/>
    <n v="10"/>
    <n v="3"/>
    <s v="Marketing"/>
    <n v="1"/>
    <n v="580"/>
    <n v="3"/>
    <x v="0"/>
    <n v="94"/>
    <n v="2"/>
    <n v="3"/>
    <x v="0"/>
    <n v="4"/>
    <s v="Married"/>
    <n v="9071"/>
    <n v="11563"/>
    <n v="2"/>
    <s v="Y"/>
    <x v="0"/>
    <n v="19"/>
    <n v="3"/>
    <n v="3"/>
    <n v="80"/>
    <n v="1"/>
    <n v="15"/>
    <n v="3"/>
    <n v="3"/>
    <n v="3"/>
    <n v="2"/>
    <n v="1"/>
    <n v="2"/>
    <x v="1"/>
    <n v="1"/>
    <x v="1"/>
    <x v="2"/>
    <s v="2-5 Years"/>
    <s v="Very High"/>
    <s v="Better"/>
  </r>
  <r>
    <x v="12"/>
    <s v="No"/>
    <s v="Travel_Rarely"/>
    <n v="1274"/>
    <x v="1"/>
    <n v="9"/>
    <n v="1"/>
    <s v="Life Sciences"/>
    <n v="1"/>
    <n v="581"/>
    <n v="3"/>
    <x v="1"/>
    <n v="33"/>
    <n v="3"/>
    <n v="3"/>
    <x v="3"/>
    <n v="2"/>
    <s v="Divorced"/>
    <n v="10648"/>
    <n v="14394"/>
    <n v="1"/>
    <s v="Y"/>
    <x v="1"/>
    <n v="25"/>
    <n v="4"/>
    <n v="4"/>
    <n v="80"/>
    <n v="1"/>
    <n v="13"/>
    <n v="6"/>
    <n v="4"/>
    <n v="13"/>
    <n v="8"/>
    <n v="0"/>
    <n v="8"/>
    <x v="1"/>
    <n v="1"/>
    <x v="2"/>
    <x v="2"/>
    <s v="10+ Years"/>
    <s v="Medium"/>
    <s v="Best"/>
  </r>
  <r>
    <x v="3"/>
    <s v="Yes"/>
    <s v="Travel_Rarely"/>
    <n v="1277"/>
    <x v="1"/>
    <n v="15"/>
    <n v="1"/>
    <s v="Medical"/>
    <n v="1"/>
    <n v="582"/>
    <n v="2"/>
    <x v="1"/>
    <n v="56"/>
    <n v="3"/>
    <n v="3"/>
    <x v="5"/>
    <n v="3"/>
    <s v="Married"/>
    <n v="13610"/>
    <n v="24619"/>
    <n v="7"/>
    <s v="Y"/>
    <x v="0"/>
    <n v="12"/>
    <n v="3"/>
    <n v="4"/>
    <n v="80"/>
    <n v="0"/>
    <n v="15"/>
    <n v="2"/>
    <n v="4"/>
    <n v="7"/>
    <n v="6"/>
    <n v="7"/>
    <n v="7"/>
    <x v="0"/>
    <n v="0"/>
    <x v="2"/>
    <x v="2"/>
    <s v="6-10 Years"/>
    <s v="High"/>
    <s v="Best"/>
  </r>
  <r>
    <x v="3"/>
    <s v="Yes"/>
    <s v="Travel_Rarely"/>
    <n v="587"/>
    <x v="1"/>
    <n v="10"/>
    <n v="1"/>
    <s v="Medical"/>
    <n v="1"/>
    <n v="584"/>
    <n v="1"/>
    <x v="1"/>
    <n v="38"/>
    <n v="1"/>
    <n v="1"/>
    <x v="2"/>
    <n v="4"/>
    <s v="Divorced"/>
    <n v="3408"/>
    <n v="6705"/>
    <n v="7"/>
    <s v="Y"/>
    <x v="1"/>
    <n v="13"/>
    <n v="3"/>
    <n v="1"/>
    <n v="80"/>
    <n v="3"/>
    <n v="8"/>
    <n v="2"/>
    <n v="3"/>
    <n v="4"/>
    <n v="3"/>
    <n v="1"/>
    <n v="3"/>
    <x v="0"/>
    <n v="0"/>
    <x v="2"/>
    <x v="0"/>
    <s v="2-5 Years"/>
    <s v="Very High"/>
    <s v="Better"/>
  </r>
  <r>
    <x v="7"/>
    <s v="No"/>
    <s v="Travel_Rarely"/>
    <n v="413"/>
    <x v="0"/>
    <n v="7"/>
    <n v="1"/>
    <s v="Marketing"/>
    <n v="1"/>
    <n v="585"/>
    <n v="4"/>
    <x v="1"/>
    <n v="57"/>
    <n v="3"/>
    <n v="1"/>
    <x v="6"/>
    <n v="2"/>
    <s v="Single"/>
    <n v="2983"/>
    <n v="18398"/>
    <n v="0"/>
    <s v="Y"/>
    <x v="1"/>
    <n v="14"/>
    <n v="3"/>
    <n v="1"/>
    <n v="80"/>
    <n v="0"/>
    <n v="4"/>
    <n v="3"/>
    <n v="3"/>
    <n v="3"/>
    <n v="2"/>
    <n v="1"/>
    <n v="2"/>
    <x v="1"/>
    <n v="1"/>
    <x v="2"/>
    <x v="1"/>
    <s v="2-5 Years"/>
    <s v="Medium"/>
    <s v="Better"/>
  </r>
  <r>
    <x v="10"/>
    <s v="No"/>
    <s v="Travel_Rarely"/>
    <n v="1276"/>
    <x v="1"/>
    <n v="16"/>
    <n v="3"/>
    <s v="Life Sciences"/>
    <n v="1"/>
    <n v="586"/>
    <n v="4"/>
    <x v="1"/>
    <n v="72"/>
    <n v="3"/>
    <n v="3"/>
    <x v="4"/>
    <n v="3"/>
    <s v="Married"/>
    <n v="7632"/>
    <n v="14295"/>
    <n v="4"/>
    <s v="Y"/>
    <x v="0"/>
    <n v="12"/>
    <n v="3"/>
    <n v="3"/>
    <n v="80"/>
    <n v="0"/>
    <n v="10"/>
    <n v="2"/>
    <n v="3"/>
    <n v="8"/>
    <n v="7"/>
    <n v="0"/>
    <n v="0"/>
    <x v="1"/>
    <n v="1"/>
    <x v="0"/>
    <x v="2"/>
    <s v="6-10 Years"/>
    <s v="High"/>
    <s v="Better"/>
  </r>
  <r>
    <x v="12"/>
    <s v="Yes"/>
    <s v="Travel_Frequently"/>
    <n v="534"/>
    <x v="1"/>
    <n v="20"/>
    <n v="3"/>
    <s v="Life Sciences"/>
    <n v="1"/>
    <n v="587"/>
    <n v="1"/>
    <x v="1"/>
    <n v="66"/>
    <n v="3"/>
    <n v="3"/>
    <x v="4"/>
    <n v="3"/>
    <s v="Married"/>
    <n v="9824"/>
    <n v="22908"/>
    <n v="3"/>
    <s v="Y"/>
    <x v="1"/>
    <n v="12"/>
    <n v="3"/>
    <n v="1"/>
    <n v="80"/>
    <n v="0"/>
    <n v="12"/>
    <n v="2"/>
    <n v="3"/>
    <n v="1"/>
    <n v="0"/>
    <n v="0"/>
    <n v="0"/>
    <x v="0"/>
    <n v="0"/>
    <x v="2"/>
    <x v="2"/>
    <s v="0-1 Years"/>
    <s v="High"/>
    <s v="Better"/>
  </r>
  <r>
    <x v="13"/>
    <s v="Yes"/>
    <s v="Travel_Frequently"/>
    <n v="988"/>
    <x v="2"/>
    <n v="23"/>
    <n v="3"/>
    <s v="Human Resources"/>
    <n v="1"/>
    <n v="590"/>
    <n v="2"/>
    <x v="0"/>
    <n v="43"/>
    <n v="3"/>
    <n v="3"/>
    <x v="8"/>
    <n v="1"/>
    <s v="Divorced"/>
    <n v="9950"/>
    <n v="11533"/>
    <n v="9"/>
    <s v="Y"/>
    <x v="0"/>
    <n v="15"/>
    <n v="3"/>
    <n v="3"/>
    <n v="80"/>
    <n v="3"/>
    <n v="11"/>
    <n v="2"/>
    <n v="3"/>
    <n v="3"/>
    <n v="2"/>
    <n v="0"/>
    <n v="2"/>
    <x v="0"/>
    <n v="0"/>
    <x v="2"/>
    <x v="2"/>
    <s v="2-5 Years"/>
    <s v="Low"/>
    <s v="Better"/>
  </r>
  <r>
    <x v="19"/>
    <s v="No"/>
    <s v="Travel_Frequently"/>
    <n v="1474"/>
    <x v="1"/>
    <n v="5"/>
    <n v="2"/>
    <s v="Other"/>
    <n v="1"/>
    <n v="591"/>
    <n v="2"/>
    <x v="1"/>
    <n v="97"/>
    <n v="3"/>
    <n v="1"/>
    <x v="2"/>
    <n v="3"/>
    <s v="Married"/>
    <n v="2093"/>
    <n v="9260"/>
    <n v="4"/>
    <s v="Y"/>
    <x v="1"/>
    <n v="17"/>
    <n v="3"/>
    <n v="4"/>
    <n v="80"/>
    <n v="1"/>
    <n v="8"/>
    <n v="4"/>
    <n v="3"/>
    <n v="2"/>
    <n v="2"/>
    <n v="2"/>
    <n v="0"/>
    <x v="1"/>
    <n v="1"/>
    <x v="0"/>
    <x v="1"/>
    <s v="2-5 Years"/>
    <s v="High"/>
    <s v="Better"/>
  </r>
  <r>
    <x v="9"/>
    <s v="No"/>
    <s v="Non-Travel"/>
    <n v="635"/>
    <x v="0"/>
    <n v="10"/>
    <n v="4"/>
    <s v="Medical"/>
    <n v="1"/>
    <n v="592"/>
    <n v="2"/>
    <x v="1"/>
    <n v="32"/>
    <n v="3"/>
    <n v="3"/>
    <x v="0"/>
    <n v="4"/>
    <s v="Single"/>
    <n v="9980"/>
    <n v="15318"/>
    <n v="1"/>
    <s v="Y"/>
    <x v="1"/>
    <n v="14"/>
    <n v="3"/>
    <n v="4"/>
    <n v="80"/>
    <n v="0"/>
    <n v="10"/>
    <n v="3"/>
    <n v="2"/>
    <n v="10"/>
    <n v="3"/>
    <n v="9"/>
    <n v="7"/>
    <x v="1"/>
    <n v="1"/>
    <x v="0"/>
    <x v="2"/>
    <s v="6-10 Years"/>
    <s v="Very High"/>
    <s v="Good"/>
  </r>
  <r>
    <x v="15"/>
    <s v="Yes"/>
    <s v="Travel_Frequently"/>
    <n v="1368"/>
    <x v="1"/>
    <n v="4"/>
    <n v="1"/>
    <s v="Technical Degree"/>
    <n v="1"/>
    <n v="593"/>
    <n v="3"/>
    <x v="1"/>
    <n v="99"/>
    <n v="2"/>
    <n v="1"/>
    <x v="2"/>
    <n v="3"/>
    <s v="Single"/>
    <n v="3894"/>
    <n v="9129"/>
    <n v="5"/>
    <s v="Y"/>
    <x v="1"/>
    <n v="16"/>
    <n v="3"/>
    <n v="3"/>
    <n v="80"/>
    <n v="0"/>
    <n v="4"/>
    <n v="3"/>
    <n v="3"/>
    <n v="2"/>
    <n v="2"/>
    <n v="1"/>
    <n v="2"/>
    <x v="0"/>
    <n v="0"/>
    <x v="4"/>
    <x v="0"/>
    <s v="2-5 Years"/>
    <s v="High"/>
    <s v="Better"/>
  </r>
  <r>
    <x v="26"/>
    <s v="No"/>
    <s v="Travel_Rarely"/>
    <n v="163"/>
    <x v="0"/>
    <n v="2"/>
    <n v="5"/>
    <s v="Marketing"/>
    <n v="1"/>
    <n v="595"/>
    <n v="2"/>
    <x v="0"/>
    <n v="37"/>
    <n v="3"/>
    <n v="2"/>
    <x v="0"/>
    <n v="4"/>
    <s v="Married"/>
    <n v="4051"/>
    <n v="19658"/>
    <n v="2"/>
    <s v="Y"/>
    <x v="1"/>
    <n v="14"/>
    <n v="3"/>
    <n v="1"/>
    <n v="80"/>
    <n v="1"/>
    <n v="14"/>
    <n v="2"/>
    <n v="3"/>
    <n v="9"/>
    <n v="7"/>
    <n v="6"/>
    <n v="7"/>
    <x v="1"/>
    <n v="1"/>
    <x v="1"/>
    <x v="0"/>
    <s v="6-10 Years"/>
    <s v="Very High"/>
    <s v="Better"/>
  </r>
  <r>
    <x v="27"/>
    <s v="No"/>
    <s v="Travel_Rarely"/>
    <n v="1117"/>
    <x v="0"/>
    <n v="18"/>
    <n v="5"/>
    <s v="Life Sciences"/>
    <n v="1"/>
    <n v="597"/>
    <n v="1"/>
    <x v="0"/>
    <n v="83"/>
    <n v="3"/>
    <n v="4"/>
    <x v="5"/>
    <n v="2"/>
    <s v="Single"/>
    <n v="16835"/>
    <n v="9873"/>
    <n v="3"/>
    <s v="Y"/>
    <x v="1"/>
    <n v="23"/>
    <n v="4"/>
    <n v="4"/>
    <n v="80"/>
    <n v="0"/>
    <n v="37"/>
    <n v="2"/>
    <n v="3"/>
    <n v="10"/>
    <n v="9"/>
    <n v="7"/>
    <n v="7"/>
    <x v="1"/>
    <n v="1"/>
    <x v="3"/>
    <x v="2"/>
    <s v="6-10 Years"/>
    <s v="Medium"/>
    <s v="Better"/>
  </r>
  <r>
    <x v="0"/>
    <s v="No"/>
    <s v="Non-Travel"/>
    <n v="267"/>
    <x v="0"/>
    <n v="10"/>
    <n v="2"/>
    <s v="Life Sciences"/>
    <n v="1"/>
    <n v="599"/>
    <n v="4"/>
    <x v="1"/>
    <n v="56"/>
    <n v="3"/>
    <n v="2"/>
    <x v="0"/>
    <n v="4"/>
    <s v="Single"/>
    <n v="6230"/>
    <n v="13430"/>
    <n v="7"/>
    <s v="Y"/>
    <x v="1"/>
    <n v="14"/>
    <n v="3"/>
    <n v="4"/>
    <n v="80"/>
    <n v="0"/>
    <n v="16"/>
    <n v="3"/>
    <n v="3"/>
    <n v="14"/>
    <n v="3"/>
    <n v="1"/>
    <n v="10"/>
    <x v="1"/>
    <n v="1"/>
    <x v="0"/>
    <x v="0"/>
    <s v="10+ Years"/>
    <s v="Very High"/>
    <s v="Better"/>
  </r>
  <r>
    <x v="10"/>
    <s v="No"/>
    <s v="Travel_Rarely"/>
    <n v="619"/>
    <x v="0"/>
    <n v="1"/>
    <n v="3"/>
    <s v="Marketing"/>
    <n v="1"/>
    <n v="600"/>
    <n v="2"/>
    <x v="1"/>
    <n v="85"/>
    <n v="3"/>
    <n v="2"/>
    <x v="0"/>
    <n v="3"/>
    <s v="Married"/>
    <n v="4717"/>
    <n v="18659"/>
    <n v="9"/>
    <s v="Y"/>
    <x v="1"/>
    <n v="11"/>
    <n v="3"/>
    <n v="3"/>
    <n v="80"/>
    <n v="0"/>
    <n v="15"/>
    <n v="2"/>
    <n v="3"/>
    <n v="11"/>
    <n v="9"/>
    <n v="6"/>
    <n v="9"/>
    <x v="1"/>
    <n v="1"/>
    <x v="0"/>
    <x v="0"/>
    <s v="10+ Years"/>
    <s v="High"/>
    <s v="Better"/>
  </r>
  <r>
    <x v="32"/>
    <s v="No"/>
    <s v="Travel_Rarely"/>
    <n v="302"/>
    <x v="1"/>
    <n v="6"/>
    <n v="3"/>
    <s v="Life Sciences"/>
    <n v="1"/>
    <n v="601"/>
    <n v="2"/>
    <x v="0"/>
    <n v="75"/>
    <n v="3"/>
    <n v="4"/>
    <x v="3"/>
    <n v="3"/>
    <s v="Single"/>
    <n v="13237"/>
    <n v="20364"/>
    <n v="7"/>
    <s v="Y"/>
    <x v="1"/>
    <n v="15"/>
    <n v="3"/>
    <n v="3"/>
    <n v="80"/>
    <n v="0"/>
    <n v="22"/>
    <n v="3"/>
    <n v="3"/>
    <n v="20"/>
    <n v="6"/>
    <n v="5"/>
    <n v="13"/>
    <x v="1"/>
    <n v="1"/>
    <x v="0"/>
    <x v="2"/>
    <s v="10+ Years"/>
    <s v="High"/>
    <s v="Better"/>
  </r>
  <r>
    <x v="22"/>
    <s v="No"/>
    <s v="Travel_Frequently"/>
    <n v="443"/>
    <x v="1"/>
    <n v="8"/>
    <n v="1"/>
    <s v="Life Sciences"/>
    <n v="1"/>
    <n v="602"/>
    <n v="3"/>
    <x v="0"/>
    <n v="48"/>
    <n v="3"/>
    <n v="1"/>
    <x v="2"/>
    <n v="3"/>
    <s v="Married"/>
    <n v="3755"/>
    <n v="17872"/>
    <n v="1"/>
    <s v="Y"/>
    <x v="1"/>
    <n v="11"/>
    <n v="3"/>
    <n v="1"/>
    <n v="80"/>
    <n v="1"/>
    <n v="8"/>
    <n v="3"/>
    <n v="3"/>
    <n v="8"/>
    <n v="3"/>
    <n v="0"/>
    <n v="7"/>
    <x v="1"/>
    <n v="1"/>
    <x v="0"/>
    <x v="0"/>
    <s v="6-10 Years"/>
    <s v="High"/>
    <s v="Better"/>
  </r>
  <r>
    <x v="12"/>
    <s v="No"/>
    <s v="Travel_Rarely"/>
    <n v="828"/>
    <x v="0"/>
    <n v="2"/>
    <n v="1"/>
    <s v="Life Sciences"/>
    <n v="1"/>
    <n v="604"/>
    <n v="2"/>
    <x v="1"/>
    <n v="77"/>
    <n v="3"/>
    <n v="2"/>
    <x v="0"/>
    <n v="4"/>
    <s v="Single"/>
    <n v="6582"/>
    <n v="8346"/>
    <n v="4"/>
    <s v="Y"/>
    <x v="0"/>
    <n v="13"/>
    <n v="3"/>
    <n v="3"/>
    <n v="80"/>
    <n v="0"/>
    <n v="10"/>
    <n v="2"/>
    <n v="4"/>
    <n v="6"/>
    <n v="5"/>
    <n v="0"/>
    <n v="5"/>
    <x v="1"/>
    <n v="1"/>
    <x v="2"/>
    <x v="0"/>
    <s v="6-10 Years"/>
    <s v="Very High"/>
    <s v="Best"/>
  </r>
  <r>
    <x v="19"/>
    <s v="No"/>
    <s v="Travel_Rarely"/>
    <n v="319"/>
    <x v="1"/>
    <n v="24"/>
    <n v="3"/>
    <s v="Medical"/>
    <n v="1"/>
    <n v="605"/>
    <n v="4"/>
    <x v="1"/>
    <n v="56"/>
    <n v="3"/>
    <n v="3"/>
    <x v="3"/>
    <n v="1"/>
    <s v="Married"/>
    <n v="7406"/>
    <n v="6950"/>
    <n v="1"/>
    <s v="Y"/>
    <x v="0"/>
    <n v="21"/>
    <n v="4"/>
    <n v="4"/>
    <n v="80"/>
    <n v="1"/>
    <n v="10"/>
    <n v="5"/>
    <n v="2"/>
    <n v="10"/>
    <n v="9"/>
    <n v="5"/>
    <n v="8"/>
    <x v="1"/>
    <n v="1"/>
    <x v="0"/>
    <x v="2"/>
    <s v="6-10 Years"/>
    <s v="Low"/>
    <s v="Good"/>
  </r>
  <r>
    <x v="28"/>
    <s v="No"/>
    <s v="Travel_Rarely"/>
    <n v="561"/>
    <x v="0"/>
    <n v="2"/>
    <n v="3"/>
    <s v="Other"/>
    <n v="1"/>
    <n v="606"/>
    <n v="4"/>
    <x v="1"/>
    <n v="61"/>
    <n v="3"/>
    <n v="2"/>
    <x v="0"/>
    <n v="2"/>
    <s v="Married"/>
    <n v="4805"/>
    <n v="16177"/>
    <n v="0"/>
    <s v="Y"/>
    <x v="1"/>
    <n v="19"/>
    <n v="3"/>
    <n v="2"/>
    <n v="80"/>
    <n v="1"/>
    <n v="9"/>
    <n v="3"/>
    <n v="4"/>
    <n v="8"/>
    <n v="7"/>
    <n v="3"/>
    <n v="7"/>
    <x v="1"/>
    <n v="1"/>
    <x v="1"/>
    <x v="0"/>
    <s v="6-10 Years"/>
    <s v="Medium"/>
    <s v="Best"/>
  </r>
  <r>
    <x v="25"/>
    <s v="Yes"/>
    <s v="Travel_Frequently"/>
    <n v="426"/>
    <x v="2"/>
    <n v="17"/>
    <n v="4"/>
    <s v="Life Sciences"/>
    <n v="1"/>
    <n v="608"/>
    <n v="2"/>
    <x v="0"/>
    <n v="58"/>
    <n v="3"/>
    <n v="1"/>
    <x v="8"/>
    <n v="3"/>
    <s v="Divorced"/>
    <n v="2741"/>
    <n v="22808"/>
    <n v="0"/>
    <s v="Y"/>
    <x v="0"/>
    <n v="11"/>
    <n v="3"/>
    <n v="2"/>
    <n v="80"/>
    <n v="1"/>
    <n v="8"/>
    <n v="2"/>
    <n v="2"/>
    <n v="7"/>
    <n v="7"/>
    <n v="1"/>
    <n v="0"/>
    <x v="0"/>
    <n v="0"/>
    <x v="2"/>
    <x v="1"/>
    <s v="6-10 Years"/>
    <s v="High"/>
    <s v="Good"/>
  </r>
  <r>
    <x v="11"/>
    <s v="No"/>
    <s v="Travel_Rarely"/>
    <n v="232"/>
    <x v="1"/>
    <n v="19"/>
    <n v="3"/>
    <s v="Technical Degree"/>
    <n v="1"/>
    <n v="611"/>
    <n v="4"/>
    <x v="1"/>
    <n v="34"/>
    <n v="3"/>
    <n v="2"/>
    <x v="3"/>
    <n v="4"/>
    <s v="Divorced"/>
    <n v="4262"/>
    <n v="22645"/>
    <n v="4"/>
    <s v="Y"/>
    <x v="1"/>
    <n v="12"/>
    <n v="3"/>
    <n v="2"/>
    <n v="80"/>
    <n v="2"/>
    <n v="8"/>
    <n v="2"/>
    <n v="4"/>
    <n v="3"/>
    <n v="2"/>
    <n v="1"/>
    <n v="2"/>
    <x v="1"/>
    <n v="1"/>
    <x v="2"/>
    <x v="0"/>
    <s v="2-5 Years"/>
    <s v="Very High"/>
    <s v="Best"/>
  </r>
  <r>
    <x v="3"/>
    <s v="No"/>
    <s v="Travel_Rarely"/>
    <n v="922"/>
    <x v="1"/>
    <n v="1"/>
    <n v="5"/>
    <s v="Medical"/>
    <n v="1"/>
    <n v="612"/>
    <n v="1"/>
    <x v="0"/>
    <n v="95"/>
    <n v="4"/>
    <n v="4"/>
    <x v="7"/>
    <n v="3"/>
    <s v="Divorced"/>
    <n v="16184"/>
    <n v="22578"/>
    <n v="4"/>
    <s v="Y"/>
    <x v="1"/>
    <n v="19"/>
    <n v="3"/>
    <n v="3"/>
    <n v="80"/>
    <n v="1"/>
    <n v="10"/>
    <n v="2"/>
    <n v="3"/>
    <n v="6"/>
    <n v="1"/>
    <n v="0"/>
    <n v="5"/>
    <x v="1"/>
    <n v="1"/>
    <x v="2"/>
    <x v="2"/>
    <s v="6-10 Years"/>
    <s v="High"/>
    <s v="Better"/>
  </r>
  <r>
    <x v="12"/>
    <s v="No"/>
    <s v="Travel_Rarely"/>
    <n v="688"/>
    <x v="0"/>
    <n v="7"/>
    <n v="3"/>
    <s v="Life Sciences"/>
    <n v="1"/>
    <n v="613"/>
    <n v="3"/>
    <x v="1"/>
    <n v="44"/>
    <n v="2"/>
    <n v="3"/>
    <x v="5"/>
    <n v="4"/>
    <s v="Divorced"/>
    <n v="11557"/>
    <n v="25291"/>
    <n v="9"/>
    <s v="Y"/>
    <x v="1"/>
    <n v="21"/>
    <n v="4"/>
    <n v="3"/>
    <n v="80"/>
    <n v="1"/>
    <n v="10"/>
    <n v="3"/>
    <n v="2"/>
    <n v="5"/>
    <n v="4"/>
    <n v="0"/>
    <n v="1"/>
    <x v="1"/>
    <n v="1"/>
    <x v="2"/>
    <x v="2"/>
    <s v="2-5 Years"/>
    <s v="Very High"/>
    <s v="Good"/>
  </r>
  <r>
    <x v="41"/>
    <s v="Yes"/>
    <s v="Travel_Frequently"/>
    <n v="1306"/>
    <x v="0"/>
    <n v="5"/>
    <n v="3"/>
    <s v="Marketing"/>
    <n v="1"/>
    <n v="614"/>
    <n v="2"/>
    <x v="1"/>
    <n v="69"/>
    <n v="3"/>
    <n v="1"/>
    <x v="6"/>
    <n v="2"/>
    <s v="Single"/>
    <n v="1878"/>
    <n v="8059"/>
    <n v="1"/>
    <s v="Y"/>
    <x v="0"/>
    <n v="14"/>
    <n v="3"/>
    <n v="4"/>
    <n v="80"/>
    <n v="0"/>
    <n v="0"/>
    <n v="3"/>
    <n v="3"/>
    <n v="0"/>
    <n v="0"/>
    <n v="0"/>
    <n v="0"/>
    <x v="0"/>
    <n v="0"/>
    <x v="4"/>
    <x v="1"/>
    <s v="0-1 Years"/>
    <s v="Medium"/>
    <s v="Better"/>
  </r>
  <r>
    <x v="32"/>
    <s v="No"/>
    <s v="Non-Travel"/>
    <n v="1094"/>
    <x v="0"/>
    <n v="28"/>
    <n v="3"/>
    <s v="Other"/>
    <n v="1"/>
    <n v="615"/>
    <n v="3"/>
    <x v="1"/>
    <n v="58"/>
    <n v="1"/>
    <n v="3"/>
    <x v="0"/>
    <n v="1"/>
    <s v="Divorced"/>
    <n v="10932"/>
    <n v="11373"/>
    <n v="3"/>
    <s v="Y"/>
    <x v="1"/>
    <n v="15"/>
    <n v="3"/>
    <n v="3"/>
    <n v="80"/>
    <n v="1"/>
    <n v="20"/>
    <n v="2"/>
    <n v="3"/>
    <n v="1"/>
    <n v="0"/>
    <n v="0"/>
    <n v="1"/>
    <x v="1"/>
    <n v="1"/>
    <x v="0"/>
    <x v="2"/>
    <s v="0-1 Years"/>
    <s v="Low"/>
    <s v="Better"/>
  </r>
  <r>
    <x v="0"/>
    <s v="No"/>
    <s v="Non-Travel"/>
    <n v="509"/>
    <x v="1"/>
    <n v="2"/>
    <n v="4"/>
    <s v="Other"/>
    <n v="1"/>
    <n v="616"/>
    <n v="1"/>
    <x v="0"/>
    <n v="62"/>
    <n v="2"/>
    <n v="2"/>
    <x v="4"/>
    <n v="3"/>
    <s v="Single"/>
    <n v="6811"/>
    <n v="2112"/>
    <n v="2"/>
    <s v="Y"/>
    <x v="0"/>
    <n v="17"/>
    <n v="3"/>
    <n v="1"/>
    <n v="80"/>
    <n v="0"/>
    <n v="10"/>
    <n v="3"/>
    <n v="3"/>
    <n v="8"/>
    <n v="7"/>
    <n v="0"/>
    <n v="7"/>
    <x v="1"/>
    <n v="1"/>
    <x v="0"/>
    <x v="0"/>
    <s v="6-10 Years"/>
    <s v="High"/>
    <s v="Better"/>
  </r>
  <r>
    <x v="25"/>
    <s v="No"/>
    <s v="Travel_Rarely"/>
    <n v="775"/>
    <x v="0"/>
    <n v="29"/>
    <n v="2"/>
    <s v="Medical"/>
    <n v="1"/>
    <n v="618"/>
    <n v="1"/>
    <x v="1"/>
    <n v="45"/>
    <n v="3"/>
    <n v="2"/>
    <x v="0"/>
    <n v="3"/>
    <s v="Divorced"/>
    <n v="4306"/>
    <n v="4267"/>
    <n v="5"/>
    <s v="Y"/>
    <x v="1"/>
    <n v="12"/>
    <n v="3"/>
    <n v="1"/>
    <n v="80"/>
    <n v="2"/>
    <n v="8"/>
    <n v="5"/>
    <n v="3"/>
    <n v="0"/>
    <n v="0"/>
    <n v="0"/>
    <n v="0"/>
    <x v="1"/>
    <n v="1"/>
    <x v="2"/>
    <x v="0"/>
    <s v="0-1 Years"/>
    <s v="High"/>
    <s v="Better"/>
  </r>
  <r>
    <x v="10"/>
    <s v="No"/>
    <s v="Travel_Rarely"/>
    <n v="195"/>
    <x v="0"/>
    <n v="1"/>
    <n v="3"/>
    <s v="Medical"/>
    <n v="1"/>
    <n v="620"/>
    <n v="1"/>
    <x v="0"/>
    <n v="80"/>
    <n v="3"/>
    <n v="2"/>
    <x v="0"/>
    <n v="3"/>
    <s v="Single"/>
    <n v="4859"/>
    <n v="6698"/>
    <n v="1"/>
    <s v="Y"/>
    <x v="1"/>
    <n v="16"/>
    <n v="3"/>
    <n v="4"/>
    <n v="80"/>
    <n v="0"/>
    <n v="5"/>
    <n v="3"/>
    <n v="3"/>
    <n v="5"/>
    <n v="4"/>
    <n v="0"/>
    <n v="3"/>
    <x v="1"/>
    <n v="1"/>
    <x v="0"/>
    <x v="0"/>
    <s v="2-5 Years"/>
    <s v="High"/>
    <s v="Better"/>
  </r>
  <r>
    <x v="13"/>
    <s v="No"/>
    <s v="Travel_Rarely"/>
    <n v="258"/>
    <x v="0"/>
    <n v="21"/>
    <n v="4"/>
    <s v="Life Sciences"/>
    <n v="1"/>
    <n v="621"/>
    <n v="4"/>
    <x v="1"/>
    <n v="74"/>
    <n v="4"/>
    <n v="2"/>
    <x v="0"/>
    <n v="4"/>
    <s v="Single"/>
    <n v="5337"/>
    <n v="19921"/>
    <n v="1"/>
    <s v="Y"/>
    <x v="1"/>
    <n v="12"/>
    <n v="3"/>
    <n v="4"/>
    <n v="80"/>
    <n v="0"/>
    <n v="10"/>
    <n v="3"/>
    <n v="3"/>
    <n v="10"/>
    <n v="7"/>
    <n v="5"/>
    <n v="7"/>
    <x v="1"/>
    <n v="1"/>
    <x v="2"/>
    <x v="0"/>
    <s v="6-10 Years"/>
    <s v="Very High"/>
    <s v="Better"/>
  </r>
  <r>
    <x v="25"/>
    <s v="Yes"/>
    <s v="Travel_Rarely"/>
    <n v="471"/>
    <x v="1"/>
    <n v="24"/>
    <n v="3"/>
    <s v="Technical Degree"/>
    <n v="1"/>
    <n v="622"/>
    <n v="3"/>
    <x v="1"/>
    <n v="66"/>
    <n v="1"/>
    <n v="1"/>
    <x v="2"/>
    <n v="4"/>
    <s v="Single"/>
    <n v="2340"/>
    <n v="23213"/>
    <n v="1"/>
    <s v="Y"/>
    <x v="0"/>
    <n v="18"/>
    <n v="3"/>
    <n v="2"/>
    <n v="80"/>
    <n v="0"/>
    <n v="1"/>
    <n v="3"/>
    <n v="1"/>
    <n v="1"/>
    <n v="0"/>
    <n v="0"/>
    <n v="0"/>
    <x v="0"/>
    <n v="0"/>
    <x v="2"/>
    <x v="1"/>
    <s v="0-1 Years"/>
    <s v="Very High"/>
    <s v="Bad"/>
  </r>
  <r>
    <x v="2"/>
    <s v="No"/>
    <s v="Travel_Rarely"/>
    <n v="799"/>
    <x v="1"/>
    <n v="1"/>
    <n v="3"/>
    <s v="Technical Degree"/>
    <n v="1"/>
    <n v="623"/>
    <n v="2"/>
    <x v="0"/>
    <n v="59"/>
    <n v="3"/>
    <n v="3"/>
    <x v="3"/>
    <n v="4"/>
    <s v="Single"/>
    <n v="7491"/>
    <n v="23848"/>
    <n v="4"/>
    <s v="Y"/>
    <x v="1"/>
    <n v="17"/>
    <n v="3"/>
    <n v="4"/>
    <n v="80"/>
    <n v="0"/>
    <n v="12"/>
    <n v="3"/>
    <n v="4"/>
    <n v="6"/>
    <n v="5"/>
    <n v="1"/>
    <n v="2"/>
    <x v="1"/>
    <n v="1"/>
    <x v="0"/>
    <x v="2"/>
    <s v="6-10 Years"/>
    <s v="Very High"/>
    <s v="Best"/>
  </r>
  <r>
    <x v="21"/>
    <s v="No"/>
    <s v="Travel_Frequently"/>
    <n v="1034"/>
    <x v="1"/>
    <n v="18"/>
    <n v="1"/>
    <s v="Medical"/>
    <n v="1"/>
    <n v="624"/>
    <n v="1"/>
    <x v="0"/>
    <n v="86"/>
    <n v="3"/>
    <n v="3"/>
    <x v="4"/>
    <n v="3"/>
    <s v="Married"/>
    <n v="10527"/>
    <n v="8984"/>
    <n v="5"/>
    <s v="Y"/>
    <x v="1"/>
    <n v="11"/>
    <n v="3"/>
    <n v="4"/>
    <n v="80"/>
    <n v="0"/>
    <n v="28"/>
    <n v="3"/>
    <n v="2"/>
    <n v="2"/>
    <n v="2"/>
    <n v="1"/>
    <n v="2"/>
    <x v="1"/>
    <n v="1"/>
    <x v="1"/>
    <x v="2"/>
    <s v="2-5 Years"/>
    <s v="High"/>
    <s v="Good"/>
  </r>
  <r>
    <x v="0"/>
    <s v="No"/>
    <s v="Travel_Rarely"/>
    <n v="1276"/>
    <x v="0"/>
    <n v="2"/>
    <n v="5"/>
    <s v="Life Sciences"/>
    <n v="1"/>
    <n v="625"/>
    <n v="2"/>
    <x v="0"/>
    <n v="91"/>
    <n v="3"/>
    <n v="4"/>
    <x v="5"/>
    <n v="1"/>
    <s v="Married"/>
    <n v="16595"/>
    <n v="5626"/>
    <n v="7"/>
    <s v="Y"/>
    <x v="1"/>
    <n v="16"/>
    <n v="3"/>
    <n v="2"/>
    <n v="80"/>
    <n v="1"/>
    <n v="22"/>
    <n v="2"/>
    <n v="3"/>
    <n v="18"/>
    <n v="16"/>
    <n v="11"/>
    <n v="8"/>
    <x v="1"/>
    <n v="1"/>
    <x v="0"/>
    <x v="2"/>
    <s v="10+ Years"/>
    <s v="Low"/>
    <s v="Better"/>
  </r>
  <r>
    <x v="2"/>
    <s v="No"/>
    <s v="Non-Travel"/>
    <n v="142"/>
    <x v="0"/>
    <n v="9"/>
    <n v="4"/>
    <s v="Medical"/>
    <n v="1"/>
    <n v="626"/>
    <n v="1"/>
    <x v="1"/>
    <n v="69"/>
    <n v="3"/>
    <n v="3"/>
    <x v="0"/>
    <n v="2"/>
    <s v="Divorced"/>
    <n v="8834"/>
    <n v="24666"/>
    <n v="1"/>
    <s v="Y"/>
    <x v="1"/>
    <n v="13"/>
    <n v="3"/>
    <n v="4"/>
    <n v="80"/>
    <n v="1"/>
    <n v="9"/>
    <n v="6"/>
    <n v="3"/>
    <n v="9"/>
    <n v="5"/>
    <n v="7"/>
    <n v="7"/>
    <x v="1"/>
    <n v="1"/>
    <x v="0"/>
    <x v="2"/>
    <s v="6-10 Years"/>
    <s v="Medium"/>
    <s v="Better"/>
  </r>
  <r>
    <x v="39"/>
    <s v="No"/>
    <s v="Travel_Rarely"/>
    <n v="956"/>
    <x v="1"/>
    <n v="6"/>
    <n v="2"/>
    <s v="Technical Degree"/>
    <n v="1"/>
    <n v="630"/>
    <n v="4"/>
    <x v="1"/>
    <n v="78"/>
    <n v="3"/>
    <n v="2"/>
    <x v="1"/>
    <n v="1"/>
    <s v="Divorced"/>
    <n v="5577"/>
    <n v="22087"/>
    <n v="3"/>
    <s v="Y"/>
    <x v="0"/>
    <n v="12"/>
    <n v="3"/>
    <n v="2"/>
    <n v="80"/>
    <n v="2"/>
    <n v="18"/>
    <n v="3"/>
    <n v="3"/>
    <n v="10"/>
    <n v="9"/>
    <n v="6"/>
    <n v="9"/>
    <x v="1"/>
    <n v="1"/>
    <x v="1"/>
    <x v="0"/>
    <s v="6-10 Years"/>
    <s v="Low"/>
    <s v="Better"/>
  </r>
  <r>
    <x v="5"/>
    <s v="Yes"/>
    <s v="Non-Travel"/>
    <n v="1474"/>
    <x v="0"/>
    <n v="11"/>
    <n v="4"/>
    <s v="Other"/>
    <n v="1"/>
    <n v="631"/>
    <n v="4"/>
    <x v="1"/>
    <n v="60"/>
    <n v="4"/>
    <n v="2"/>
    <x v="0"/>
    <n v="3"/>
    <s v="Married"/>
    <n v="4707"/>
    <n v="23914"/>
    <n v="8"/>
    <s v="Y"/>
    <x v="1"/>
    <n v="12"/>
    <n v="3"/>
    <n v="4"/>
    <n v="80"/>
    <n v="0"/>
    <n v="6"/>
    <n v="2"/>
    <n v="3"/>
    <n v="4"/>
    <n v="2"/>
    <n v="1"/>
    <n v="2"/>
    <x v="0"/>
    <n v="0"/>
    <x v="2"/>
    <x v="0"/>
    <s v="2-5 Years"/>
    <s v="High"/>
    <s v="Better"/>
  </r>
  <r>
    <x v="17"/>
    <s v="No"/>
    <s v="Travel_Frequently"/>
    <n v="535"/>
    <x v="0"/>
    <n v="24"/>
    <n v="3"/>
    <s v="Medical"/>
    <n v="1"/>
    <n v="632"/>
    <n v="4"/>
    <x v="1"/>
    <n v="38"/>
    <n v="3"/>
    <n v="1"/>
    <x v="6"/>
    <n v="4"/>
    <s v="Married"/>
    <n v="2400"/>
    <n v="5530"/>
    <n v="0"/>
    <s v="Y"/>
    <x v="1"/>
    <n v="13"/>
    <n v="3"/>
    <n v="3"/>
    <n v="80"/>
    <n v="2"/>
    <n v="3"/>
    <n v="3"/>
    <n v="3"/>
    <n v="2"/>
    <n v="2"/>
    <n v="2"/>
    <n v="1"/>
    <x v="1"/>
    <n v="1"/>
    <x v="4"/>
    <x v="1"/>
    <s v="2-5 Years"/>
    <s v="Very High"/>
    <s v="Better"/>
  </r>
  <r>
    <x v="8"/>
    <s v="No"/>
    <s v="Travel_Rarely"/>
    <n v="1495"/>
    <x v="1"/>
    <n v="10"/>
    <n v="3"/>
    <s v="Medical"/>
    <n v="1"/>
    <n v="634"/>
    <n v="3"/>
    <x v="0"/>
    <n v="76"/>
    <n v="3"/>
    <n v="2"/>
    <x v="4"/>
    <n v="3"/>
    <s v="Married"/>
    <n v="9824"/>
    <n v="22174"/>
    <n v="3"/>
    <s v="Y"/>
    <x v="1"/>
    <n v="19"/>
    <n v="3"/>
    <n v="3"/>
    <n v="80"/>
    <n v="1"/>
    <n v="18"/>
    <n v="4"/>
    <n v="3"/>
    <n v="1"/>
    <n v="0"/>
    <n v="0"/>
    <n v="0"/>
    <x v="1"/>
    <n v="1"/>
    <x v="0"/>
    <x v="2"/>
    <s v="0-1 Years"/>
    <s v="High"/>
    <s v="Better"/>
  </r>
  <r>
    <x v="2"/>
    <s v="No"/>
    <s v="Travel_Rarely"/>
    <n v="446"/>
    <x v="1"/>
    <n v="1"/>
    <n v="4"/>
    <s v="Life Sciences"/>
    <n v="1"/>
    <n v="635"/>
    <n v="2"/>
    <x v="0"/>
    <n v="65"/>
    <n v="3"/>
    <n v="2"/>
    <x v="3"/>
    <n v="2"/>
    <s v="Married"/>
    <n v="6447"/>
    <n v="15701"/>
    <n v="6"/>
    <s v="Y"/>
    <x v="1"/>
    <n v="12"/>
    <n v="3"/>
    <n v="2"/>
    <n v="80"/>
    <n v="1"/>
    <n v="8"/>
    <n v="2"/>
    <n v="2"/>
    <n v="6"/>
    <n v="5"/>
    <n v="4"/>
    <n v="3"/>
    <x v="1"/>
    <n v="1"/>
    <x v="0"/>
    <x v="0"/>
    <s v="6-10 Years"/>
    <s v="Medium"/>
    <s v="Good"/>
  </r>
  <r>
    <x v="1"/>
    <s v="No"/>
    <s v="Travel_Rarely"/>
    <n v="1245"/>
    <x v="1"/>
    <n v="18"/>
    <n v="4"/>
    <s v="Life Sciences"/>
    <n v="1"/>
    <n v="638"/>
    <n v="4"/>
    <x v="1"/>
    <n v="58"/>
    <n v="2"/>
    <n v="5"/>
    <x v="7"/>
    <n v="3"/>
    <s v="Divorced"/>
    <n v="19502"/>
    <n v="2125"/>
    <n v="1"/>
    <s v="Y"/>
    <x v="0"/>
    <n v="17"/>
    <n v="3"/>
    <n v="3"/>
    <n v="80"/>
    <n v="1"/>
    <n v="31"/>
    <n v="5"/>
    <n v="3"/>
    <n v="31"/>
    <n v="9"/>
    <n v="0"/>
    <n v="9"/>
    <x v="1"/>
    <n v="1"/>
    <x v="1"/>
    <x v="2"/>
    <s v="10+ Years"/>
    <s v="High"/>
    <s v="Better"/>
  </r>
  <r>
    <x v="17"/>
    <s v="No"/>
    <s v="Travel_Rarely"/>
    <n v="691"/>
    <x v="1"/>
    <n v="23"/>
    <n v="3"/>
    <s v="Medical"/>
    <n v="1"/>
    <n v="639"/>
    <n v="2"/>
    <x v="1"/>
    <n v="89"/>
    <n v="4"/>
    <n v="1"/>
    <x v="1"/>
    <n v="4"/>
    <s v="Married"/>
    <n v="2725"/>
    <n v="21630"/>
    <n v="1"/>
    <s v="Y"/>
    <x v="0"/>
    <n v="11"/>
    <n v="3"/>
    <n v="2"/>
    <n v="80"/>
    <n v="2"/>
    <n v="6"/>
    <n v="3"/>
    <n v="3"/>
    <n v="6"/>
    <n v="5"/>
    <n v="1"/>
    <n v="4"/>
    <x v="1"/>
    <n v="1"/>
    <x v="4"/>
    <x v="1"/>
    <s v="6-10 Years"/>
    <s v="Very High"/>
    <s v="Better"/>
  </r>
  <r>
    <x v="25"/>
    <s v="No"/>
    <s v="Travel_Rarely"/>
    <n v="703"/>
    <x v="0"/>
    <n v="28"/>
    <n v="2"/>
    <s v="Marketing"/>
    <n v="1"/>
    <n v="641"/>
    <n v="1"/>
    <x v="1"/>
    <n v="66"/>
    <n v="3"/>
    <n v="2"/>
    <x v="0"/>
    <n v="2"/>
    <s v="Married"/>
    <n v="6272"/>
    <n v="7428"/>
    <n v="1"/>
    <s v="Y"/>
    <x v="1"/>
    <n v="20"/>
    <n v="4"/>
    <n v="4"/>
    <n v="80"/>
    <n v="2"/>
    <n v="6"/>
    <n v="5"/>
    <n v="4"/>
    <n v="5"/>
    <n v="3"/>
    <n v="1"/>
    <n v="4"/>
    <x v="1"/>
    <n v="1"/>
    <x v="2"/>
    <x v="0"/>
    <s v="2-5 Years"/>
    <s v="Medium"/>
    <s v="Best"/>
  </r>
  <r>
    <x v="17"/>
    <s v="No"/>
    <s v="Travel_Rarely"/>
    <n v="823"/>
    <x v="1"/>
    <n v="17"/>
    <n v="2"/>
    <s v="Other"/>
    <n v="1"/>
    <n v="643"/>
    <n v="4"/>
    <x v="1"/>
    <n v="94"/>
    <n v="2"/>
    <n v="1"/>
    <x v="2"/>
    <n v="2"/>
    <s v="Married"/>
    <n v="2127"/>
    <n v="9100"/>
    <n v="1"/>
    <s v="Y"/>
    <x v="1"/>
    <n v="21"/>
    <n v="4"/>
    <n v="4"/>
    <n v="80"/>
    <n v="1"/>
    <n v="1"/>
    <n v="2"/>
    <n v="3"/>
    <n v="1"/>
    <n v="0"/>
    <n v="0"/>
    <n v="0"/>
    <x v="1"/>
    <n v="1"/>
    <x v="4"/>
    <x v="1"/>
    <s v="0-1 Years"/>
    <s v="Medium"/>
    <s v="Better"/>
  </r>
  <r>
    <x v="24"/>
    <s v="No"/>
    <s v="Travel_Frequently"/>
    <n v="1246"/>
    <x v="2"/>
    <n v="3"/>
    <n v="3"/>
    <s v="Medical"/>
    <n v="1"/>
    <n v="644"/>
    <n v="1"/>
    <x v="1"/>
    <n v="99"/>
    <n v="3"/>
    <n v="5"/>
    <x v="5"/>
    <n v="2"/>
    <s v="Married"/>
    <n v="18200"/>
    <n v="7999"/>
    <n v="1"/>
    <s v="Y"/>
    <x v="1"/>
    <n v="11"/>
    <n v="3"/>
    <n v="3"/>
    <n v="80"/>
    <n v="1"/>
    <n v="32"/>
    <n v="2"/>
    <n v="3"/>
    <n v="32"/>
    <n v="5"/>
    <n v="10"/>
    <n v="7"/>
    <x v="1"/>
    <n v="1"/>
    <x v="1"/>
    <x v="2"/>
    <s v="10+ Years"/>
    <s v="Medium"/>
    <s v="Better"/>
  </r>
  <r>
    <x v="36"/>
    <s v="No"/>
    <s v="Travel_Rarely"/>
    <n v="622"/>
    <x v="0"/>
    <n v="13"/>
    <n v="1"/>
    <s v="Medical"/>
    <n v="1"/>
    <n v="645"/>
    <n v="2"/>
    <x v="1"/>
    <n v="40"/>
    <n v="3"/>
    <n v="1"/>
    <x v="6"/>
    <n v="3"/>
    <s v="Married"/>
    <n v="2096"/>
    <n v="26376"/>
    <n v="1"/>
    <s v="Y"/>
    <x v="1"/>
    <n v="11"/>
    <n v="3"/>
    <n v="3"/>
    <n v="80"/>
    <n v="0"/>
    <n v="7"/>
    <n v="1"/>
    <n v="3"/>
    <n v="7"/>
    <n v="4"/>
    <n v="0"/>
    <n v="6"/>
    <x v="1"/>
    <n v="1"/>
    <x v="2"/>
    <x v="1"/>
    <s v="6-10 Years"/>
    <s v="High"/>
    <s v="Better"/>
  </r>
  <r>
    <x v="17"/>
    <s v="Yes"/>
    <s v="Travel_Frequently"/>
    <n v="1287"/>
    <x v="1"/>
    <n v="7"/>
    <n v="3"/>
    <s v="Life Sciences"/>
    <n v="1"/>
    <n v="647"/>
    <n v="1"/>
    <x v="0"/>
    <n v="55"/>
    <n v="3"/>
    <n v="1"/>
    <x v="2"/>
    <n v="3"/>
    <s v="Married"/>
    <n v="2886"/>
    <n v="14168"/>
    <n v="1"/>
    <s v="Y"/>
    <x v="0"/>
    <n v="16"/>
    <n v="3"/>
    <n v="4"/>
    <n v="80"/>
    <n v="1"/>
    <n v="6"/>
    <n v="4"/>
    <n v="3"/>
    <n v="6"/>
    <n v="3"/>
    <n v="1"/>
    <n v="2"/>
    <x v="0"/>
    <n v="0"/>
    <x v="4"/>
    <x v="1"/>
    <s v="6-10 Years"/>
    <s v="High"/>
    <s v="Better"/>
  </r>
  <r>
    <x v="7"/>
    <s v="Yes"/>
    <s v="Travel_Frequently"/>
    <n v="448"/>
    <x v="0"/>
    <n v="12"/>
    <n v="4"/>
    <s v="Life Sciences"/>
    <n v="1"/>
    <n v="648"/>
    <n v="2"/>
    <x v="1"/>
    <n v="74"/>
    <n v="2"/>
    <n v="1"/>
    <x v="6"/>
    <n v="1"/>
    <s v="Married"/>
    <n v="2033"/>
    <n v="14470"/>
    <n v="1"/>
    <s v="Y"/>
    <x v="1"/>
    <n v="18"/>
    <n v="3"/>
    <n v="3"/>
    <n v="80"/>
    <n v="1"/>
    <n v="1"/>
    <n v="2"/>
    <n v="4"/>
    <n v="1"/>
    <n v="0"/>
    <n v="0"/>
    <n v="0"/>
    <x v="0"/>
    <n v="0"/>
    <x v="2"/>
    <x v="1"/>
    <s v="0-1 Years"/>
    <s v="Low"/>
    <s v="Best"/>
  </r>
  <r>
    <x v="13"/>
    <s v="No"/>
    <s v="Travel_Rarely"/>
    <n v="254"/>
    <x v="1"/>
    <n v="1"/>
    <n v="2"/>
    <s v="Life Sciences"/>
    <n v="1"/>
    <n v="649"/>
    <n v="2"/>
    <x v="1"/>
    <n v="83"/>
    <n v="2"/>
    <n v="1"/>
    <x v="1"/>
    <n v="4"/>
    <s v="Married"/>
    <n v="3622"/>
    <n v="22794"/>
    <n v="1"/>
    <s v="Y"/>
    <x v="0"/>
    <n v="13"/>
    <n v="3"/>
    <n v="4"/>
    <n v="80"/>
    <n v="1"/>
    <n v="6"/>
    <n v="3"/>
    <n v="3"/>
    <n v="6"/>
    <n v="5"/>
    <n v="1"/>
    <n v="3"/>
    <x v="1"/>
    <n v="1"/>
    <x v="2"/>
    <x v="0"/>
    <s v="6-10 Years"/>
    <s v="Very High"/>
    <s v="Better"/>
  </r>
  <r>
    <x v="12"/>
    <s v="Yes"/>
    <s v="Travel_Rarely"/>
    <n v="1365"/>
    <x v="0"/>
    <n v="13"/>
    <n v="4"/>
    <s v="Medical"/>
    <n v="1"/>
    <n v="650"/>
    <n v="2"/>
    <x v="1"/>
    <n v="46"/>
    <n v="3"/>
    <n v="2"/>
    <x v="0"/>
    <n v="1"/>
    <s v="Divorced"/>
    <n v="4233"/>
    <n v="11512"/>
    <n v="2"/>
    <s v="Y"/>
    <x v="1"/>
    <n v="17"/>
    <n v="3"/>
    <n v="3"/>
    <n v="80"/>
    <n v="0"/>
    <n v="9"/>
    <n v="2"/>
    <n v="1"/>
    <n v="3"/>
    <n v="1"/>
    <n v="1"/>
    <n v="2"/>
    <x v="0"/>
    <n v="0"/>
    <x v="2"/>
    <x v="0"/>
    <s v="2-5 Years"/>
    <s v="Low"/>
    <s v="Bad"/>
  </r>
  <r>
    <x v="10"/>
    <s v="No"/>
    <s v="Travel_Rarely"/>
    <n v="538"/>
    <x v="1"/>
    <n v="25"/>
    <n v="2"/>
    <s v="Other"/>
    <n v="1"/>
    <n v="652"/>
    <n v="1"/>
    <x v="1"/>
    <n v="54"/>
    <n v="2"/>
    <n v="2"/>
    <x v="2"/>
    <n v="4"/>
    <s v="Single"/>
    <n v="3681"/>
    <n v="14004"/>
    <n v="4"/>
    <s v="Y"/>
    <x v="1"/>
    <n v="14"/>
    <n v="3"/>
    <n v="4"/>
    <n v="80"/>
    <n v="0"/>
    <n v="9"/>
    <n v="3"/>
    <n v="3"/>
    <n v="3"/>
    <n v="2"/>
    <n v="0"/>
    <n v="2"/>
    <x v="1"/>
    <n v="1"/>
    <x v="0"/>
    <x v="0"/>
    <s v="2-5 Years"/>
    <s v="Very High"/>
    <s v="Better"/>
  </r>
  <r>
    <x v="12"/>
    <s v="No"/>
    <s v="Travel_Rarely"/>
    <n v="525"/>
    <x v="0"/>
    <n v="6"/>
    <n v="4"/>
    <s v="Medical"/>
    <n v="1"/>
    <n v="653"/>
    <n v="1"/>
    <x v="1"/>
    <n v="66"/>
    <n v="4"/>
    <n v="2"/>
    <x v="0"/>
    <n v="4"/>
    <s v="Divorced"/>
    <n v="5460"/>
    <n v="6219"/>
    <n v="4"/>
    <s v="Y"/>
    <x v="1"/>
    <n v="22"/>
    <n v="4"/>
    <n v="4"/>
    <n v="80"/>
    <n v="2"/>
    <n v="13"/>
    <n v="4"/>
    <n v="4"/>
    <n v="7"/>
    <n v="7"/>
    <n v="5"/>
    <n v="7"/>
    <x v="1"/>
    <n v="1"/>
    <x v="2"/>
    <x v="0"/>
    <s v="6-10 Years"/>
    <s v="Very High"/>
    <s v="Best"/>
  </r>
  <r>
    <x v="4"/>
    <s v="No"/>
    <s v="Travel_Rarely"/>
    <n v="798"/>
    <x v="1"/>
    <n v="6"/>
    <n v="4"/>
    <s v="Medical"/>
    <n v="1"/>
    <n v="655"/>
    <n v="1"/>
    <x v="0"/>
    <n v="66"/>
    <n v="2"/>
    <n v="1"/>
    <x v="1"/>
    <n v="3"/>
    <s v="Divorced"/>
    <n v="2187"/>
    <n v="5013"/>
    <n v="0"/>
    <s v="Y"/>
    <x v="1"/>
    <n v="12"/>
    <n v="3"/>
    <n v="3"/>
    <n v="80"/>
    <n v="2"/>
    <n v="6"/>
    <n v="5"/>
    <n v="2"/>
    <n v="5"/>
    <n v="3"/>
    <n v="0"/>
    <n v="3"/>
    <x v="1"/>
    <n v="1"/>
    <x v="2"/>
    <x v="1"/>
    <s v="2-5 Years"/>
    <s v="High"/>
    <s v="Good"/>
  </r>
  <r>
    <x v="2"/>
    <s v="No"/>
    <s v="Travel_Rarely"/>
    <n v="558"/>
    <x v="0"/>
    <n v="2"/>
    <n v="3"/>
    <s v="Marketing"/>
    <n v="1"/>
    <n v="656"/>
    <n v="4"/>
    <x v="1"/>
    <n v="75"/>
    <n v="3"/>
    <n v="2"/>
    <x v="0"/>
    <n v="3"/>
    <s v="Married"/>
    <n v="9602"/>
    <n v="3010"/>
    <n v="4"/>
    <s v="Y"/>
    <x v="0"/>
    <n v="11"/>
    <n v="3"/>
    <n v="3"/>
    <n v="80"/>
    <n v="1"/>
    <n v="17"/>
    <n v="3"/>
    <n v="2"/>
    <n v="3"/>
    <n v="0"/>
    <n v="1"/>
    <n v="0"/>
    <x v="1"/>
    <n v="1"/>
    <x v="0"/>
    <x v="2"/>
    <s v="2-5 Years"/>
    <s v="High"/>
    <s v="Good"/>
  </r>
  <r>
    <x v="35"/>
    <s v="No"/>
    <s v="Travel_Rarely"/>
    <n v="959"/>
    <x v="1"/>
    <n v="1"/>
    <n v="3"/>
    <s v="Life Sciences"/>
    <n v="1"/>
    <n v="657"/>
    <n v="4"/>
    <x v="0"/>
    <n v="83"/>
    <n v="2"/>
    <n v="1"/>
    <x v="1"/>
    <n v="2"/>
    <s v="Single"/>
    <n v="2836"/>
    <n v="11757"/>
    <n v="1"/>
    <s v="Y"/>
    <x v="1"/>
    <n v="13"/>
    <n v="3"/>
    <n v="4"/>
    <n v="80"/>
    <n v="0"/>
    <n v="1"/>
    <n v="0"/>
    <n v="4"/>
    <n v="1"/>
    <n v="0"/>
    <n v="0"/>
    <n v="0"/>
    <x v="1"/>
    <n v="1"/>
    <x v="4"/>
    <x v="1"/>
    <s v="0-1 Years"/>
    <s v="Medium"/>
    <s v="Best"/>
  </r>
  <r>
    <x v="19"/>
    <s v="No"/>
    <s v="Travel_Rarely"/>
    <n v="622"/>
    <x v="1"/>
    <n v="2"/>
    <n v="4"/>
    <s v="Life Sciences"/>
    <n v="1"/>
    <n v="659"/>
    <n v="3"/>
    <x v="0"/>
    <n v="81"/>
    <n v="3"/>
    <n v="2"/>
    <x v="4"/>
    <n v="4"/>
    <s v="Married"/>
    <n v="4089"/>
    <n v="5718"/>
    <n v="1"/>
    <s v="Y"/>
    <x v="1"/>
    <n v="13"/>
    <n v="3"/>
    <n v="2"/>
    <n v="80"/>
    <n v="2"/>
    <n v="10"/>
    <n v="4"/>
    <n v="3"/>
    <n v="10"/>
    <n v="2"/>
    <n v="2"/>
    <n v="2"/>
    <x v="1"/>
    <n v="1"/>
    <x v="0"/>
    <x v="0"/>
    <s v="6-10 Years"/>
    <s v="Very High"/>
    <s v="Better"/>
  </r>
  <r>
    <x v="23"/>
    <s v="No"/>
    <s v="Travel_Rarely"/>
    <n v="782"/>
    <x v="1"/>
    <n v="6"/>
    <n v="4"/>
    <s v="Other"/>
    <n v="1"/>
    <n v="661"/>
    <n v="2"/>
    <x v="1"/>
    <n v="50"/>
    <n v="2"/>
    <n v="4"/>
    <x v="7"/>
    <n v="4"/>
    <s v="Divorced"/>
    <n v="16627"/>
    <n v="2671"/>
    <n v="4"/>
    <s v="Y"/>
    <x v="0"/>
    <n v="14"/>
    <n v="3"/>
    <n v="3"/>
    <n v="80"/>
    <n v="1"/>
    <n v="21"/>
    <n v="3"/>
    <n v="2"/>
    <n v="1"/>
    <n v="0"/>
    <n v="0"/>
    <n v="0"/>
    <x v="1"/>
    <n v="1"/>
    <x v="0"/>
    <x v="2"/>
    <s v="0-1 Years"/>
    <s v="Very High"/>
    <s v="Good"/>
  </r>
  <r>
    <x v="8"/>
    <s v="No"/>
    <s v="Travel_Rarely"/>
    <n v="362"/>
    <x v="1"/>
    <n v="1"/>
    <n v="1"/>
    <s v="Life Sciences"/>
    <n v="1"/>
    <n v="662"/>
    <n v="3"/>
    <x v="0"/>
    <n v="43"/>
    <n v="3"/>
    <n v="1"/>
    <x v="1"/>
    <n v="1"/>
    <s v="Single"/>
    <n v="2619"/>
    <n v="14561"/>
    <n v="3"/>
    <s v="Y"/>
    <x v="1"/>
    <n v="17"/>
    <n v="3"/>
    <n v="4"/>
    <n v="80"/>
    <n v="0"/>
    <n v="8"/>
    <n v="3"/>
    <n v="2"/>
    <n v="0"/>
    <n v="0"/>
    <n v="0"/>
    <n v="0"/>
    <x v="1"/>
    <n v="1"/>
    <x v="0"/>
    <x v="1"/>
    <s v="0-1 Years"/>
    <s v="Low"/>
    <s v="Good"/>
  </r>
  <r>
    <x v="23"/>
    <s v="No"/>
    <s v="Travel_Frequently"/>
    <n v="1001"/>
    <x v="1"/>
    <n v="9"/>
    <n v="5"/>
    <s v="Medical"/>
    <n v="1"/>
    <n v="663"/>
    <n v="4"/>
    <x v="1"/>
    <n v="72"/>
    <n v="3"/>
    <n v="2"/>
    <x v="2"/>
    <n v="3"/>
    <s v="Divorced"/>
    <n v="5679"/>
    <n v="19627"/>
    <n v="3"/>
    <s v="Y"/>
    <x v="0"/>
    <n v="13"/>
    <n v="3"/>
    <n v="2"/>
    <n v="80"/>
    <n v="1"/>
    <n v="10"/>
    <n v="3"/>
    <n v="3"/>
    <n v="8"/>
    <n v="7"/>
    <n v="4"/>
    <n v="7"/>
    <x v="1"/>
    <n v="1"/>
    <x v="0"/>
    <x v="0"/>
    <s v="6-10 Years"/>
    <s v="High"/>
    <s v="Better"/>
  </r>
  <r>
    <x v="26"/>
    <s v="No"/>
    <s v="Travel_Rarely"/>
    <n v="1236"/>
    <x v="1"/>
    <n v="1"/>
    <n v="4"/>
    <s v="Life Sciences"/>
    <n v="1"/>
    <n v="664"/>
    <n v="4"/>
    <x v="0"/>
    <n v="40"/>
    <n v="2"/>
    <n v="4"/>
    <x v="5"/>
    <n v="1"/>
    <s v="Married"/>
    <n v="15402"/>
    <n v="17997"/>
    <n v="7"/>
    <s v="Y"/>
    <x v="1"/>
    <n v="11"/>
    <n v="3"/>
    <n v="1"/>
    <n v="80"/>
    <n v="1"/>
    <n v="21"/>
    <n v="3"/>
    <n v="1"/>
    <n v="3"/>
    <n v="2"/>
    <n v="0"/>
    <n v="2"/>
    <x v="1"/>
    <n v="1"/>
    <x v="1"/>
    <x v="2"/>
    <s v="2-5 Years"/>
    <s v="Low"/>
    <s v="Bad"/>
  </r>
  <r>
    <x v="20"/>
    <s v="No"/>
    <s v="Travel_Rarely"/>
    <n v="1112"/>
    <x v="2"/>
    <n v="1"/>
    <n v="4"/>
    <s v="Life Sciences"/>
    <n v="1"/>
    <n v="665"/>
    <n v="1"/>
    <x v="0"/>
    <n v="50"/>
    <n v="2"/>
    <n v="2"/>
    <x v="8"/>
    <n v="3"/>
    <s v="Single"/>
    <n v="5985"/>
    <n v="26894"/>
    <n v="4"/>
    <s v="Y"/>
    <x v="1"/>
    <n v="11"/>
    <n v="3"/>
    <n v="2"/>
    <n v="80"/>
    <n v="0"/>
    <n v="10"/>
    <n v="1"/>
    <n v="4"/>
    <n v="2"/>
    <n v="2"/>
    <n v="0"/>
    <n v="2"/>
    <x v="1"/>
    <n v="1"/>
    <x v="0"/>
    <x v="0"/>
    <s v="2-5 Years"/>
    <s v="High"/>
    <s v="Best"/>
  </r>
  <r>
    <x v="13"/>
    <s v="No"/>
    <s v="Travel_Rarely"/>
    <n v="204"/>
    <x v="0"/>
    <n v="14"/>
    <n v="3"/>
    <s v="Technical Degree"/>
    <n v="1"/>
    <n v="666"/>
    <n v="3"/>
    <x v="0"/>
    <n v="31"/>
    <n v="3"/>
    <n v="1"/>
    <x v="6"/>
    <n v="3"/>
    <s v="Divorced"/>
    <n v="2579"/>
    <n v="2912"/>
    <n v="1"/>
    <s v="Y"/>
    <x v="0"/>
    <n v="18"/>
    <n v="3"/>
    <n v="4"/>
    <n v="80"/>
    <n v="2"/>
    <n v="8"/>
    <n v="3"/>
    <n v="3"/>
    <n v="8"/>
    <n v="2"/>
    <n v="0"/>
    <n v="6"/>
    <x v="1"/>
    <n v="1"/>
    <x v="2"/>
    <x v="1"/>
    <s v="6-10 Years"/>
    <s v="High"/>
    <s v="Better"/>
  </r>
  <r>
    <x v="4"/>
    <s v="Yes"/>
    <s v="Travel_Rarely"/>
    <n v="1420"/>
    <x v="0"/>
    <n v="2"/>
    <n v="1"/>
    <s v="Marketing"/>
    <n v="1"/>
    <n v="667"/>
    <n v="3"/>
    <x v="1"/>
    <n v="85"/>
    <n v="3"/>
    <n v="1"/>
    <x v="6"/>
    <n v="1"/>
    <s v="Divorced"/>
    <n v="3041"/>
    <n v="16346"/>
    <n v="0"/>
    <s v="Y"/>
    <x v="1"/>
    <n v="11"/>
    <n v="3"/>
    <n v="2"/>
    <n v="80"/>
    <n v="1"/>
    <n v="5"/>
    <n v="3"/>
    <n v="3"/>
    <n v="4"/>
    <n v="3"/>
    <n v="0"/>
    <n v="2"/>
    <x v="0"/>
    <n v="0"/>
    <x v="2"/>
    <x v="0"/>
    <s v="2-5 Years"/>
    <s v="Low"/>
    <s v="Better"/>
  </r>
  <r>
    <x v="18"/>
    <s v="No"/>
    <s v="Travel_Rarely"/>
    <n v="1343"/>
    <x v="0"/>
    <n v="22"/>
    <n v="1"/>
    <s v="Technical Degree"/>
    <n v="1"/>
    <n v="669"/>
    <n v="3"/>
    <x v="1"/>
    <n v="49"/>
    <n v="3"/>
    <n v="1"/>
    <x v="6"/>
    <n v="3"/>
    <s v="Single"/>
    <n v="3447"/>
    <n v="24444"/>
    <n v="1"/>
    <s v="Y"/>
    <x v="1"/>
    <n v="11"/>
    <n v="3"/>
    <n v="3"/>
    <n v="80"/>
    <n v="0"/>
    <n v="3"/>
    <n v="2"/>
    <n v="3"/>
    <n v="3"/>
    <n v="2"/>
    <n v="1"/>
    <n v="2"/>
    <x v="1"/>
    <n v="1"/>
    <x v="4"/>
    <x v="0"/>
    <s v="2-5 Years"/>
    <s v="High"/>
    <s v="Better"/>
  </r>
  <r>
    <x v="20"/>
    <s v="No"/>
    <s v="Travel_Rarely"/>
    <n v="1315"/>
    <x v="1"/>
    <n v="3"/>
    <n v="4"/>
    <s v="Other"/>
    <n v="1"/>
    <n v="671"/>
    <n v="4"/>
    <x v="1"/>
    <n v="35"/>
    <n v="3"/>
    <n v="5"/>
    <x v="5"/>
    <n v="4"/>
    <s v="Married"/>
    <n v="19513"/>
    <n v="9358"/>
    <n v="4"/>
    <s v="Y"/>
    <x v="0"/>
    <n v="12"/>
    <n v="3"/>
    <n v="1"/>
    <n v="80"/>
    <n v="1"/>
    <n v="26"/>
    <n v="2"/>
    <n v="4"/>
    <n v="2"/>
    <n v="2"/>
    <n v="0"/>
    <n v="1"/>
    <x v="1"/>
    <n v="1"/>
    <x v="0"/>
    <x v="2"/>
    <s v="2-5 Years"/>
    <s v="Very High"/>
    <s v="Best"/>
  </r>
  <r>
    <x v="15"/>
    <s v="No"/>
    <s v="Travel_Rarely"/>
    <n v="604"/>
    <x v="1"/>
    <n v="6"/>
    <n v="1"/>
    <s v="Medical"/>
    <n v="1"/>
    <n v="675"/>
    <n v="1"/>
    <x v="1"/>
    <n v="69"/>
    <n v="3"/>
    <n v="1"/>
    <x v="1"/>
    <n v="3"/>
    <s v="Married"/>
    <n v="2773"/>
    <n v="12145"/>
    <n v="0"/>
    <s v="Y"/>
    <x v="1"/>
    <n v="20"/>
    <n v="4"/>
    <n v="4"/>
    <n v="80"/>
    <n v="0"/>
    <n v="3"/>
    <n v="3"/>
    <n v="3"/>
    <n v="2"/>
    <n v="2"/>
    <n v="2"/>
    <n v="2"/>
    <x v="1"/>
    <n v="1"/>
    <x v="4"/>
    <x v="1"/>
    <s v="2-5 Years"/>
    <s v="High"/>
    <s v="Better"/>
  </r>
  <r>
    <x v="3"/>
    <s v="No"/>
    <s v="Travel_Rarely"/>
    <n v="1216"/>
    <x v="0"/>
    <n v="8"/>
    <n v="4"/>
    <s v="Marketing"/>
    <n v="1"/>
    <n v="677"/>
    <n v="3"/>
    <x v="1"/>
    <n v="39"/>
    <n v="3"/>
    <n v="2"/>
    <x v="0"/>
    <n v="3"/>
    <s v="Divorced"/>
    <n v="7104"/>
    <n v="20431"/>
    <n v="0"/>
    <s v="Y"/>
    <x v="1"/>
    <n v="12"/>
    <n v="3"/>
    <n v="4"/>
    <n v="80"/>
    <n v="0"/>
    <n v="6"/>
    <n v="3"/>
    <n v="3"/>
    <n v="5"/>
    <n v="0"/>
    <n v="1"/>
    <n v="2"/>
    <x v="1"/>
    <n v="1"/>
    <x v="2"/>
    <x v="2"/>
    <s v="2-5 Years"/>
    <s v="High"/>
    <s v="Better"/>
  </r>
  <r>
    <x v="5"/>
    <s v="No"/>
    <s v="Travel_Rarely"/>
    <n v="646"/>
    <x v="1"/>
    <n v="9"/>
    <n v="4"/>
    <s v="Life Sciences"/>
    <n v="1"/>
    <n v="679"/>
    <n v="1"/>
    <x v="0"/>
    <n v="92"/>
    <n v="3"/>
    <n v="2"/>
    <x v="1"/>
    <n v="4"/>
    <s v="Married"/>
    <n v="6322"/>
    <n v="18089"/>
    <n v="1"/>
    <s v="Y"/>
    <x v="0"/>
    <n v="12"/>
    <n v="3"/>
    <n v="4"/>
    <n v="80"/>
    <n v="1"/>
    <n v="6"/>
    <n v="2"/>
    <n v="2"/>
    <n v="6"/>
    <n v="4"/>
    <n v="0"/>
    <n v="5"/>
    <x v="1"/>
    <n v="1"/>
    <x v="2"/>
    <x v="0"/>
    <s v="6-10 Years"/>
    <s v="Very High"/>
    <s v="Good"/>
  </r>
  <r>
    <x v="7"/>
    <s v="No"/>
    <s v="Travel_Frequently"/>
    <n v="160"/>
    <x v="1"/>
    <n v="3"/>
    <n v="3"/>
    <s v="Medical"/>
    <n v="1"/>
    <n v="680"/>
    <n v="3"/>
    <x v="0"/>
    <n v="71"/>
    <n v="3"/>
    <n v="1"/>
    <x v="1"/>
    <n v="3"/>
    <s v="Divorced"/>
    <n v="2083"/>
    <n v="22653"/>
    <n v="1"/>
    <s v="Y"/>
    <x v="1"/>
    <n v="20"/>
    <n v="4"/>
    <n v="3"/>
    <n v="80"/>
    <n v="1"/>
    <n v="1"/>
    <n v="2"/>
    <n v="3"/>
    <n v="1"/>
    <n v="0"/>
    <n v="0"/>
    <n v="0"/>
    <x v="1"/>
    <n v="1"/>
    <x v="2"/>
    <x v="1"/>
    <s v="0-1 Years"/>
    <s v="High"/>
    <s v="Better"/>
  </r>
  <r>
    <x v="16"/>
    <s v="No"/>
    <s v="Travel_Rarely"/>
    <n v="238"/>
    <x v="0"/>
    <n v="1"/>
    <n v="1"/>
    <s v="Medical"/>
    <n v="1"/>
    <n v="682"/>
    <n v="4"/>
    <x v="0"/>
    <n v="34"/>
    <n v="3"/>
    <n v="2"/>
    <x v="0"/>
    <n v="1"/>
    <s v="Single"/>
    <n v="8381"/>
    <n v="7507"/>
    <n v="7"/>
    <s v="Y"/>
    <x v="1"/>
    <n v="20"/>
    <n v="4"/>
    <n v="4"/>
    <n v="80"/>
    <n v="0"/>
    <n v="18"/>
    <n v="2"/>
    <n v="4"/>
    <n v="14"/>
    <n v="7"/>
    <n v="8"/>
    <n v="10"/>
    <x v="1"/>
    <n v="1"/>
    <x v="1"/>
    <x v="2"/>
    <s v="10+ Years"/>
    <s v="Low"/>
    <s v="Best"/>
  </r>
  <r>
    <x v="13"/>
    <s v="No"/>
    <s v="Travel_Rarely"/>
    <n v="1397"/>
    <x v="1"/>
    <n v="1"/>
    <n v="5"/>
    <s v="Life Sciences"/>
    <n v="1"/>
    <n v="683"/>
    <n v="2"/>
    <x v="1"/>
    <n v="42"/>
    <n v="3"/>
    <n v="1"/>
    <x v="1"/>
    <n v="4"/>
    <s v="Married"/>
    <n v="2691"/>
    <n v="7660"/>
    <n v="1"/>
    <s v="Y"/>
    <x v="1"/>
    <n v="12"/>
    <n v="3"/>
    <n v="4"/>
    <n v="80"/>
    <n v="1"/>
    <n v="10"/>
    <n v="4"/>
    <n v="2"/>
    <n v="10"/>
    <n v="9"/>
    <n v="8"/>
    <n v="8"/>
    <x v="1"/>
    <n v="1"/>
    <x v="2"/>
    <x v="1"/>
    <s v="6-10 Years"/>
    <s v="Very High"/>
    <s v="Good"/>
  </r>
  <r>
    <x v="28"/>
    <s v="Yes"/>
    <s v="Travel_Frequently"/>
    <n v="306"/>
    <x v="0"/>
    <n v="26"/>
    <n v="4"/>
    <s v="Life Sciences"/>
    <n v="1"/>
    <n v="684"/>
    <n v="1"/>
    <x v="0"/>
    <n v="100"/>
    <n v="3"/>
    <n v="2"/>
    <x v="0"/>
    <n v="1"/>
    <s v="Married"/>
    <n v="4286"/>
    <n v="5630"/>
    <n v="2"/>
    <s v="Y"/>
    <x v="1"/>
    <n v="14"/>
    <n v="3"/>
    <n v="4"/>
    <n v="80"/>
    <n v="2"/>
    <n v="5"/>
    <n v="4"/>
    <n v="3"/>
    <n v="1"/>
    <n v="1"/>
    <n v="0"/>
    <n v="0"/>
    <x v="0"/>
    <n v="0"/>
    <x v="1"/>
    <x v="0"/>
    <s v="0-1 Years"/>
    <s v="Low"/>
    <s v="Better"/>
  </r>
  <r>
    <x v="25"/>
    <s v="No"/>
    <s v="Travel_Rarely"/>
    <n v="991"/>
    <x v="1"/>
    <n v="6"/>
    <n v="3"/>
    <s v="Life Sciences"/>
    <n v="1"/>
    <n v="686"/>
    <n v="3"/>
    <x v="0"/>
    <n v="71"/>
    <n v="3"/>
    <n v="1"/>
    <x v="2"/>
    <n v="4"/>
    <s v="Married"/>
    <n v="2659"/>
    <n v="17759"/>
    <n v="1"/>
    <s v="Y"/>
    <x v="0"/>
    <n v="13"/>
    <n v="3"/>
    <n v="3"/>
    <n v="80"/>
    <n v="1"/>
    <n v="3"/>
    <n v="2"/>
    <n v="3"/>
    <n v="3"/>
    <n v="2"/>
    <n v="0"/>
    <n v="2"/>
    <x v="1"/>
    <n v="1"/>
    <x v="2"/>
    <x v="1"/>
    <s v="2-5 Years"/>
    <s v="Very High"/>
    <s v="Better"/>
  </r>
  <r>
    <x v="2"/>
    <s v="No"/>
    <s v="Travel_Rarely"/>
    <n v="482"/>
    <x v="1"/>
    <n v="3"/>
    <n v="3"/>
    <s v="Other"/>
    <n v="1"/>
    <n v="689"/>
    <n v="3"/>
    <x v="1"/>
    <n v="36"/>
    <n v="3"/>
    <n v="3"/>
    <x v="3"/>
    <n v="3"/>
    <s v="Married"/>
    <n v="9434"/>
    <n v="9606"/>
    <n v="1"/>
    <s v="Y"/>
    <x v="1"/>
    <n v="15"/>
    <n v="3"/>
    <n v="3"/>
    <n v="80"/>
    <n v="1"/>
    <n v="10"/>
    <n v="2"/>
    <n v="3"/>
    <n v="10"/>
    <n v="7"/>
    <n v="7"/>
    <n v="8"/>
    <x v="1"/>
    <n v="1"/>
    <x v="0"/>
    <x v="2"/>
    <s v="6-10 Years"/>
    <s v="High"/>
    <s v="Better"/>
  </r>
  <r>
    <x v="11"/>
    <s v="No"/>
    <s v="Travel_Rarely"/>
    <n v="1176"/>
    <x v="0"/>
    <n v="3"/>
    <n v="2"/>
    <s v="Medical"/>
    <n v="1"/>
    <n v="690"/>
    <n v="2"/>
    <x v="0"/>
    <n v="62"/>
    <n v="3"/>
    <n v="2"/>
    <x v="0"/>
    <n v="3"/>
    <s v="Married"/>
    <n v="5561"/>
    <n v="3487"/>
    <n v="1"/>
    <s v="Y"/>
    <x v="1"/>
    <n v="14"/>
    <n v="3"/>
    <n v="1"/>
    <n v="80"/>
    <n v="1"/>
    <n v="6"/>
    <n v="5"/>
    <n v="2"/>
    <n v="6"/>
    <n v="0"/>
    <n v="1"/>
    <n v="2"/>
    <x v="1"/>
    <n v="1"/>
    <x v="2"/>
    <x v="0"/>
    <s v="6-10 Years"/>
    <s v="High"/>
    <s v="Good"/>
  </r>
  <r>
    <x v="10"/>
    <s v="No"/>
    <s v="Travel_Rarely"/>
    <n v="1017"/>
    <x v="1"/>
    <n v="6"/>
    <n v="4"/>
    <s v="Life Sciences"/>
    <n v="1"/>
    <n v="691"/>
    <n v="2"/>
    <x v="1"/>
    <n v="82"/>
    <n v="1"/>
    <n v="2"/>
    <x v="1"/>
    <n v="4"/>
    <s v="Single"/>
    <n v="6646"/>
    <n v="19368"/>
    <n v="1"/>
    <s v="Y"/>
    <x v="1"/>
    <n v="13"/>
    <n v="3"/>
    <n v="2"/>
    <n v="80"/>
    <n v="0"/>
    <n v="17"/>
    <n v="3"/>
    <n v="3"/>
    <n v="17"/>
    <n v="11"/>
    <n v="11"/>
    <n v="8"/>
    <x v="1"/>
    <n v="1"/>
    <x v="0"/>
    <x v="0"/>
    <s v="10+ Years"/>
    <s v="Very High"/>
    <s v="Better"/>
  </r>
  <r>
    <x v="3"/>
    <s v="No"/>
    <s v="Travel_Frequently"/>
    <n v="1296"/>
    <x v="1"/>
    <n v="6"/>
    <n v="3"/>
    <s v="Life Sciences"/>
    <n v="1"/>
    <n v="692"/>
    <n v="3"/>
    <x v="1"/>
    <n v="30"/>
    <n v="3"/>
    <n v="2"/>
    <x v="4"/>
    <n v="4"/>
    <s v="Divorced"/>
    <n v="7725"/>
    <n v="5335"/>
    <n v="3"/>
    <s v="Y"/>
    <x v="1"/>
    <n v="23"/>
    <n v="4"/>
    <n v="3"/>
    <n v="80"/>
    <n v="1"/>
    <n v="15"/>
    <n v="2"/>
    <n v="1"/>
    <n v="13"/>
    <n v="11"/>
    <n v="4"/>
    <n v="7"/>
    <x v="1"/>
    <n v="1"/>
    <x v="2"/>
    <x v="2"/>
    <s v="10+ Years"/>
    <s v="Very High"/>
    <s v="Bad"/>
  </r>
  <r>
    <x v="33"/>
    <s v="No"/>
    <s v="Travel_Rarely"/>
    <n v="397"/>
    <x v="2"/>
    <n v="19"/>
    <n v="4"/>
    <s v="Medical"/>
    <n v="1"/>
    <n v="698"/>
    <n v="3"/>
    <x v="1"/>
    <n v="88"/>
    <n v="3"/>
    <n v="3"/>
    <x v="8"/>
    <n v="2"/>
    <s v="Married"/>
    <n v="10725"/>
    <n v="6729"/>
    <n v="2"/>
    <s v="Y"/>
    <x v="1"/>
    <n v="15"/>
    <n v="3"/>
    <n v="3"/>
    <n v="80"/>
    <n v="1"/>
    <n v="16"/>
    <n v="1"/>
    <n v="4"/>
    <n v="9"/>
    <n v="7"/>
    <n v="7"/>
    <n v="1"/>
    <x v="1"/>
    <n v="1"/>
    <x v="1"/>
    <x v="2"/>
    <s v="6-10 Years"/>
    <s v="Medium"/>
    <s v="Best"/>
  </r>
  <r>
    <x v="9"/>
    <s v="No"/>
    <s v="Travel_Rarely"/>
    <n v="913"/>
    <x v="1"/>
    <n v="9"/>
    <n v="2"/>
    <s v="Medical"/>
    <n v="1"/>
    <n v="699"/>
    <n v="2"/>
    <x v="1"/>
    <n v="48"/>
    <n v="2"/>
    <n v="2"/>
    <x v="3"/>
    <n v="2"/>
    <s v="Divorced"/>
    <n v="8847"/>
    <n v="13934"/>
    <n v="2"/>
    <s v="Y"/>
    <x v="0"/>
    <n v="11"/>
    <n v="3"/>
    <n v="3"/>
    <n v="80"/>
    <n v="1"/>
    <n v="13"/>
    <n v="2"/>
    <n v="3"/>
    <n v="3"/>
    <n v="2"/>
    <n v="0"/>
    <n v="2"/>
    <x v="1"/>
    <n v="1"/>
    <x v="0"/>
    <x v="2"/>
    <s v="2-5 Years"/>
    <s v="Medium"/>
    <s v="Better"/>
  </r>
  <r>
    <x v="4"/>
    <s v="No"/>
    <s v="Travel_Rarely"/>
    <n v="1115"/>
    <x v="1"/>
    <n v="3"/>
    <n v="4"/>
    <s v="Medical"/>
    <n v="1"/>
    <n v="700"/>
    <n v="1"/>
    <x v="1"/>
    <n v="54"/>
    <n v="2"/>
    <n v="1"/>
    <x v="1"/>
    <n v="4"/>
    <s v="Single"/>
    <n v="2045"/>
    <n v="15174"/>
    <n v="0"/>
    <s v="Y"/>
    <x v="1"/>
    <n v="13"/>
    <n v="3"/>
    <n v="4"/>
    <n v="80"/>
    <n v="0"/>
    <n v="5"/>
    <n v="0"/>
    <n v="3"/>
    <n v="4"/>
    <n v="2"/>
    <n v="1"/>
    <n v="1"/>
    <x v="1"/>
    <n v="1"/>
    <x v="2"/>
    <x v="1"/>
    <s v="2-5 Years"/>
    <s v="Very High"/>
    <s v="Better"/>
  </r>
  <r>
    <x v="35"/>
    <s v="Yes"/>
    <s v="Travel_Rarely"/>
    <n v="1362"/>
    <x v="1"/>
    <n v="10"/>
    <n v="1"/>
    <s v="Medical"/>
    <n v="1"/>
    <n v="701"/>
    <n v="4"/>
    <x v="1"/>
    <n v="32"/>
    <n v="3"/>
    <n v="1"/>
    <x v="1"/>
    <n v="3"/>
    <s v="Single"/>
    <n v="1009"/>
    <n v="26999"/>
    <n v="1"/>
    <s v="Y"/>
    <x v="0"/>
    <n v="11"/>
    <n v="3"/>
    <n v="4"/>
    <n v="80"/>
    <n v="0"/>
    <n v="1"/>
    <n v="5"/>
    <n v="3"/>
    <n v="1"/>
    <n v="0"/>
    <n v="1"/>
    <n v="1"/>
    <x v="0"/>
    <n v="0"/>
    <x v="4"/>
    <x v="1"/>
    <s v="0-1 Years"/>
    <s v="High"/>
    <s v="Better"/>
  </r>
  <r>
    <x v="3"/>
    <s v="Yes"/>
    <s v="Travel_Frequently"/>
    <n v="1076"/>
    <x v="1"/>
    <n v="3"/>
    <n v="3"/>
    <s v="Life Sciences"/>
    <n v="1"/>
    <n v="702"/>
    <n v="1"/>
    <x v="1"/>
    <n v="70"/>
    <n v="3"/>
    <n v="1"/>
    <x v="1"/>
    <n v="1"/>
    <s v="Single"/>
    <n v="3348"/>
    <n v="3164"/>
    <n v="1"/>
    <s v="Y"/>
    <x v="0"/>
    <n v="11"/>
    <n v="3"/>
    <n v="1"/>
    <n v="80"/>
    <n v="0"/>
    <n v="10"/>
    <n v="3"/>
    <n v="3"/>
    <n v="10"/>
    <n v="8"/>
    <n v="9"/>
    <n v="7"/>
    <x v="0"/>
    <n v="0"/>
    <x v="2"/>
    <x v="0"/>
    <s v="6-10 Years"/>
    <s v="Low"/>
    <s v="Better"/>
  </r>
  <r>
    <x v="10"/>
    <s v="No"/>
    <s v="Non-Travel"/>
    <n v="727"/>
    <x v="1"/>
    <n v="3"/>
    <n v="3"/>
    <s v="Life Sciences"/>
    <n v="1"/>
    <n v="704"/>
    <n v="3"/>
    <x v="1"/>
    <n v="41"/>
    <n v="2"/>
    <n v="1"/>
    <x v="2"/>
    <n v="3"/>
    <s v="Married"/>
    <n v="1281"/>
    <n v="16900"/>
    <n v="1"/>
    <s v="Y"/>
    <x v="1"/>
    <n v="18"/>
    <n v="3"/>
    <n v="3"/>
    <n v="80"/>
    <n v="2"/>
    <n v="1"/>
    <n v="3"/>
    <n v="3"/>
    <n v="1"/>
    <n v="0"/>
    <n v="0"/>
    <n v="0"/>
    <x v="1"/>
    <n v="1"/>
    <x v="0"/>
    <x v="1"/>
    <s v="0-1 Years"/>
    <s v="High"/>
    <s v="Better"/>
  </r>
  <r>
    <x v="30"/>
    <s v="No"/>
    <s v="Travel_Rarely"/>
    <n v="885"/>
    <x v="1"/>
    <n v="4"/>
    <n v="3"/>
    <s v="Medical"/>
    <n v="1"/>
    <n v="705"/>
    <n v="1"/>
    <x v="1"/>
    <n v="58"/>
    <n v="4"/>
    <n v="1"/>
    <x v="1"/>
    <n v="1"/>
    <s v="Married"/>
    <n v="2819"/>
    <n v="8544"/>
    <n v="2"/>
    <s v="Y"/>
    <x v="1"/>
    <n v="16"/>
    <n v="3"/>
    <n v="1"/>
    <n v="80"/>
    <n v="1"/>
    <n v="5"/>
    <n v="3"/>
    <n v="4"/>
    <n v="3"/>
    <n v="2"/>
    <n v="0"/>
    <n v="2"/>
    <x v="1"/>
    <n v="1"/>
    <x v="4"/>
    <x v="1"/>
    <s v="2-5 Years"/>
    <s v="Low"/>
    <s v="Best"/>
  </r>
  <r>
    <x v="36"/>
    <s v="No"/>
    <s v="Travel_Rarely"/>
    <n v="810"/>
    <x v="0"/>
    <n v="8"/>
    <n v="3"/>
    <s v="Life Sciences"/>
    <n v="1"/>
    <n v="707"/>
    <n v="4"/>
    <x v="1"/>
    <n v="57"/>
    <n v="4"/>
    <n v="2"/>
    <x v="0"/>
    <n v="2"/>
    <s v="Married"/>
    <n v="4851"/>
    <n v="15678"/>
    <n v="0"/>
    <s v="Y"/>
    <x v="1"/>
    <n v="22"/>
    <n v="4"/>
    <n v="3"/>
    <n v="80"/>
    <n v="1"/>
    <n v="4"/>
    <n v="4"/>
    <n v="3"/>
    <n v="3"/>
    <n v="2"/>
    <n v="1"/>
    <n v="2"/>
    <x v="1"/>
    <n v="1"/>
    <x v="2"/>
    <x v="0"/>
    <s v="2-5 Years"/>
    <s v="Medium"/>
    <s v="Better"/>
  </r>
  <r>
    <x v="8"/>
    <s v="No"/>
    <s v="Travel_Rarely"/>
    <n v="243"/>
    <x v="0"/>
    <n v="7"/>
    <n v="4"/>
    <s v="Marketing"/>
    <n v="1"/>
    <n v="709"/>
    <n v="4"/>
    <x v="0"/>
    <n v="46"/>
    <n v="2"/>
    <n v="2"/>
    <x v="0"/>
    <n v="4"/>
    <s v="Single"/>
    <n v="4028"/>
    <n v="7791"/>
    <n v="0"/>
    <s v="Y"/>
    <x v="1"/>
    <n v="20"/>
    <n v="4"/>
    <n v="1"/>
    <n v="80"/>
    <n v="0"/>
    <n v="8"/>
    <n v="2"/>
    <n v="3"/>
    <n v="7"/>
    <n v="7"/>
    <n v="0"/>
    <n v="5"/>
    <x v="1"/>
    <n v="1"/>
    <x v="0"/>
    <x v="0"/>
    <s v="6-10 Years"/>
    <s v="Very High"/>
    <s v="Better"/>
  </r>
  <r>
    <x v="11"/>
    <s v="No"/>
    <s v="Travel_Frequently"/>
    <n v="806"/>
    <x v="1"/>
    <n v="1"/>
    <n v="4"/>
    <s v="Life Sciences"/>
    <n v="1"/>
    <n v="710"/>
    <n v="2"/>
    <x v="1"/>
    <n v="76"/>
    <n v="1"/>
    <n v="1"/>
    <x v="1"/>
    <n v="4"/>
    <s v="Divorced"/>
    <n v="2720"/>
    <n v="18959"/>
    <n v="1"/>
    <s v="Y"/>
    <x v="1"/>
    <n v="18"/>
    <n v="3"/>
    <n v="4"/>
    <n v="80"/>
    <n v="1"/>
    <n v="10"/>
    <n v="5"/>
    <n v="3"/>
    <n v="10"/>
    <n v="7"/>
    <n v="2"/>
    <n v="8"/>
    <x v="1"/>
    <n v="1"/>
    <x v="2"/>
    <x v="1"/>
    <s v="6-10 Years"/>
    <s v="Very High"/>
    <s v="Better"/>
  </r>
  <r>
    <x v="26"/>
    <s v="No"/>
    <s v="Travel_Rarely"/>
    <n v="817"/>
    <x v="0"/>
    <n v="2"/>
    <n v="1"/>
    <s v="Marketing"/>
    <n v="1"/>
    <n v="712"/>
    <n v="2"/>
    <x v="1"/>
    <n v="56"/>
    <n v="4"/>
    <n v="2"/>
    <x v="0"/>
    <n v="2"/>
    <s v="Married"/>
    <n v="8120"/>
    <n v="18597"/>
    <n v="3"/>
    <s v="Y"/>
    <x v="1"/>
    <n v="12"/>
    <n v="3"/>
    <n v="4"/>
    <n v="80"/>
    <n v="0"/>
    <n v="12"/>
    <n v="3"/>
    <n v="3"/>
    <n v="2"/>
    <n v="2"/>
    <n v="2"/>
    <n v="2"/>
    <x v="1"/>
    <n v="1"/>
    <x v="1"/>
    <x v="2"/>
    <s v="2-5 Years"/>
    <s v="Medium"/>
    <s v="Better"/>
  </r>
  <r>
    <x v="4"/>
    <s v="No"/>
    <s v="Travel_Frequently"/>
    <n v="1410"/>
    <x v="0"/>
    <n v="3"/>
    <n v="1"/>
    <s v="Medical"/>
    <n v="1"/>
    <n v="714"/>
    <n v="4"/>
    <x v="0"/>
    <n v="71"/>
    <n v="4"/>
    <n v="2"/>
    <x v="0"/>
    <n v="4"/>
    <s v="Divorced"/>
    <n v="4647"/>
    <n v="16673"/>
    <n v="1"/>
    <s v="Y"/>
    <x v="0"/>
    <n v="20"/>
    <n v="4"/>
    <n v="2"/>
    <n v="80"/>
    <n v="2"/>
    <n v="6"/>
    <n v="3"/>
    <n v="3"/>
    <n v="6"/>
    <n v="5"/>
    <n v="0"/>
    <n v="4"/>
    <x v="1"/>
    <n v="1"/>
    <x v="2"/>
    <x v="0"/>
    <s v="6-10 Years"/>
    <s v="Very High"/>
    <s v="Better"/>
  </r>
  <r>
    <x v="2"/>
    <s v="No"/>
    <s v="Travel_Rarely"/>
    <n v="1225"/>
    <x v="1"/>
    <n v="10"/>
    <n v="2"/>
    <s v="Life Sciences"/>
    <n v="1"/>
    <n v="715"/>
    <n v="4"/>
    <x v="1"/>
    <n v="80"/>
    <n v="4"/>
    <n v="1"/>
    <x v="1"/>
    <n v="4"/>
    <s v="Single"/>
    <n v="4680"/>
    <n v="15232"/>
    <n v="3"/>
    <s v="Y"/>
    <x v="1"/>
    <n v="17"/>
    <n v="3"/>
    <n v="1"/>
    <n v="80"/>
    <n v="0"/>
    <n v="4"/>
    <n v="2"/>
    <n v="3"/>
    <n v="1"/>
    <n v="0"/>
    <n v="0"/>
    <n v="0"/>
    <x v="1"/>
    <n v="1"/>
    <x v="0"/>
    <x v="0"/>
    <s v="0-1 Years"/>
    <s v="Very High"/>
    <s v="Better"/>
  </r>
  <r>
    <x v="24"/>
    <s v="No"/>
    <s v="Travel_Rarely"/>
    <n v="1207"/>
    <x v="1"/>
    <n v="28"/>
    <n v="1"/>
    <s v="Medical"/>
    <n v="1"/>
    <n v="716"/>
    <n v="4"/>
    <x v="1"/>
    <n v="74"/>
    <n v="4"/>
    <n v="1"/>
    <x v="2"/>
    <n v="3"/>
    <s v="Married"/>
    <n v="3221"/>
    <n v="3297"/>
    <n v="1"/>
    <s v="Y"/>
    <x v="0"/>
    <n v="11"/>
    <n v="3"/>
    <n v="3"/>
    <n v="80"/>
    <n v="3"/>
    <n v="20"/>
    <n v="3"/>
    <n v="3"/>
    <n v="20"/>
    <n v="8"/>
    <n v="3"/>
    <n v="8"/>
    <x v="1"/>
    <n v="1"/>
    <x v="1"/>
    <x v="0"/>
    <s v="10+ Years"/>
    <s v="High"/>
    <s v="Better"/>
  </r>
  <r>
    <x v="13"/>
    <s v="No"/>
    <s v="Travel_Rarely"/>
    <n v="1442"/>
    <x v="1"/>
    <n v="9"/>
    <n v="3"/>
    <s v="Medical"/>
    <n v="1"/>
    <n v="717"/>
    <n v="4"/>
    <x v="0"/>
    <n v="46"/>
    <n v="2"/>
    <n v="3"/>
    <x v="4"/>
    <n v="2"/>
    <s v="Single"/>
    <n v="8621"/>
    <n v="17654"/>
    <n v="1"/>
    <s v="Y"/>
    <x v="1"/>
    <n v="14"/>
    <n v="3"/>
    <n v="2"/>
    <n v="80"/>
    <n v="0"/>
    <n v="9"/>
    <n v="3"/>
    <n v="4"/>
    <n v="8"/>
    <n v="7"/>
    <n v="7"/>
    <n v="7"/>
    <x v="1"/>
    <n v="1"/>
    <x v="2"/>
    <x v="2"/>
    <s v="6-10 Years"/>
    <s v="Medium"/>
    <s v="Best"/>
  </r>
  <r>
    <x v="17"/>
    <s v="Yes"/>
    <s v="Travel_Rarely"/>
    <n v="693"/>
    <x v="0"/>
    <n v="3"/>
    <n v="2"/>
    <s v="Life Sciences"/>
    <n v="1"/>
    <n v="720"/>
    <n v="1"/>
    <x v="0"/>
    <n v="65"/>
    <n v="3"/>
    <n v="2"/>
    <x v="0"/>
    <n v="3"/>
    <s v="Single"/>
    <n v="4577"/>
    <n v="24785"/>
    <n v="9"/>
    <s v="Y"/>
    <x v="1"/>
    <n v="14"/>
    <n v="3"/>
    <n v="1"/>
    <n v="80"/>
    <n v="0"/>
    <n v="4"/>
    <n v="3"/>
    <n v="3"/>
    <n v="2"/>
    <n v="2"/>
    <n v="2"/>
    <n v="0"/>
    <x v="0"/>
    <n v="0"/>
    <x v="4"/>
    <x v="0"/>
    <s v="2-5 Years"/>
    <s v="High"/>
    <s v="Better"/>
  </r>
  <r>
    <x v="22"/>
    <s v="No"/>
    <s v="Travel_Rarely"/>
    <n v="408"/>
    <x v="1"/>
    <n v="2"/>
    <n v="4"/>
    <s v="Technical Degree"/>
    <n v="1"/>
    <n v="721"/>
    <n v="4"/>
    <x v="0"/>
    <n v="80"/>
    <n v="2"/>
    <n v="2"/>
    <x v="4"/>
    <n v="3"/>
    <s v="Single"/>
    <n v="4553"/>
    <n v="20978"/>
    <n v="1"/>
    <s v="Y"/>
    <x v="1"/>
    <n v="11"/>
    <n v="3"/>
    <n v="1"/>
    <n v="80"/>
    <n v="0"/>
    <n v="20"/>
    <n v="4"/>
    <n v="3"/>
    <n v="20"/>
    <n v="7"/>
    <n v="11"/>
    <n v="10"/>
    <x v="1"/>
    <n v="1"/>
    <x v="0"/>
    <x v="0"/>
    <s v="10+ Years"/>
    <s v="High"/>
    <s v="Better"/>
  </r>
  <r>
    <x v="5"/>
    <s v="No"/>
    <s v="Travel_Rarely"/>
    <n v="929"/>
    <x v="0"/>
    <n v="10"/>
    <n v="3"/>
    <s v="Marketing"/>
    <n v="1"/>
    <n v="722"/>
    <n v="4"/>
    <x v="1"/>
    <n v="55"/>
    <n v="3"/>
    <n v="2"/>
    <x v="0"/>
    <n v="4"/>
    <s v="Single"/>
    <n v="5396"/>
    <n v="21703"/>
    <n v="1"/>
    <s v="Y"/>
    <x v="1"/>
    <n v="12"/>
    <n v="3"/>
    <n v="4"/>
    <n v="80"/>
    <n v="0"/>
    <n v="10"/>
    <n v="2"/>
    <n v="2"/>
    <n v="10"/>
    <n v="7"/>
    <n v="0"/>
    <n v="8"/>
    <x v="1"/>
    <n v="1"/>
    <x v="2"/>
    <x v="0"/>
    <s v="6-10 Years"/>
    <s v="Very High"/>
    <s v="Good"/>
  </r>
  <r>
    <x v="24"/>
    <s v="Yes"/>
    <s v="Travel_Frequently"/>
    <n v="562"/>
    <x v="0"/>
    <n v="8"/>
    <n v="2"/>
    <s v="Technical Degree"/>
    <n v="1"/>
    <n v="723"/>
    <n v="2"/>
    <x v="1"/>
    <n v="50"/>
    <n v="3"/>
    <n v="2"/>
    <x v="0"/>
    <n v="3"/>
    <s v="Married"/>
    <n v="6796"/>
    <n v="23452"/>
    <n v="3"/>
    <s v="Y"/>
    <x v="0"/>
    <n v="14"/>
    <n v="3"/>
    <n v="1"/>
    <n v="80"/>
    <n v="1"/>
    <n v="18"/>
    <n v="4"/>
    <n v="3"/>
    <n v="4"/>
    <n v="3"/>
    <n v="1"/>
    <n v="3"/>
    <x v="0"/>
    <n v="0"/>
    <x v="1"/>
    <x v="0"/>
    <s v="2-5 Years"/>
    <s v="High"/>
    <s v="Better"/>
  </r>
  <r>
    <x v="8"/>
    <s v="No"/>
    <s v="Travel_Rarely"/>
    <n v="827"/>
    <x v="1"/>
    <n v="1"/>
    <n v="4"/>
    <s v="Life Sciences"/>
    <n v="1"/>
    <n v="724"/>
    <n v="2"/>
    <x v="0"/>
    <n v="33"/>
    <n v="4"/>
    <n v="2"/>
    <x v="4"/>
    <n v="4"/>
    <s v="Single"/>
    <n v="7625"/>
    <n v="19383"/>
    <n v="0"/>
    <s v="Y"/>
    <x v="1"/>
    <n v="13"/>
    <n v="3"/>
    <n v="3"/>
    <n v="80"/>
    <n v="0"/>
    <n v="10"/>
    <n v="4"/>
    <n v="2"/>
    <n v="9"/>
    <n v="7"/>
    <n v="1"/>
    <n v="8"/>
    <x v="1"/>
    <n v="1"/>
    <x v="0"/>
    <x v="2"/>
    <s v="6-10 Years"/>
    <s v="Very High"/>
    <s v="Good"/>
  </r>
  <r>
    <x v="4"/>
    <s v="No"/>
    <s v="Travel_Rarely"/>
    <n v="608"/>
    <x v="1"/>
    <n v="1"/>
    <n v="2"/>
    <s v="Life Sciences"/>
    <n v="1"/>
    <n v="725"/>
    <n v="3"/>
    <x v="0"/>
    <n v="68"/>
    <n v="3"/>
    <n v="3"/>
    <x v="3"/>
    <n v="1"/>
    <s v="Married"/>
    <n v="7412"/>
    <n v="6009"/>
    <n v="1"/>
    <s v="Y"/>
    <x v="1"/>
    <n v="11"/>
    <n v="3"/>
    <n v="4"/>
    <n v="80"/>
    <n v="0"/>
    <n v="9"/>
    <n v="3"/>
    <n v="3"/>
    <n v="9"/>
    <n v="7"/>
    <n v="0"/>
    <n v="7"/>
    <x v="1"/>
    <n v="1"/>
    <x v="2"/>
    <x v="2"/>
    <s v="6-10 Years"/>
    <s v="Low"/>
    <s v="Better"/>
  </r>
  <r>
    <x v="5"/>
    <s v="No"/>
    <s v="Travel_Rarely"/>
    <n v="1018"/>
    <x v="1"/>
    <n v="3"/>
    <n v="2"/>
    <s v="Life Sciences"/>
    <n v="1"/>
    <n v="727"/>
    <n v="3"/>
    <x v="0"/>
    <n v="39"/>
    <n v="3"/>
    <n v="3"/>
    <x v="7"/>
    <n v="4"/>
    <s v="Single"/>
    <n v="11159"/>
    <n v="19373"/>
    <n v="3"/>
    <s v="Y"/>
    <x v="1"/>
    <n v="15"/>
    <n v="3"/>
    <n v="4"/>
    <n v="80"/>
    <n v="0"/>
    <n v="10"/>
    <n v="6"/>
    <n v="3"/>
    <n v="7"/>
    <n v="7"/>
    <n v="7"/>
    <n v="7"/>
    <x v="1"/>
    <n v="1"/>
    <x v="2"/>
    <x v="2"/>
    <s v="6-10 Years"/>
    <s v="Very High"/>
    <s v="Better"/>
  </r>
  <r>
    <x v="40"/>
    <s v="No"/>
    <s v="Travel_Rarely"/>
    <n v="703"/>
    <x v="0"/>
    <n v="14"/>
    <n v="4"/>
    <s v="Marketing"/>
    <n v="1"/>
    <n v="728"/>
    <n v="4"/>
    <x v="1"/>
    <n v="42"/>
    <n v="3"/>
    <n v="2"/>
    <x v="0"/>
    <n v="1"/>
    <s v="Single"/>
    <n v="4960"/>
    <n v="11825"/>
    <n v="2"/>
    <s v="Y"/>
    <x v="1"/>
    <n v="12"/>
    <n v="3"/>
    <n v="4"/>
    <n v="80"/>
    <n v="0"/>
    <n v="20"/>
    <n v="2"/>
    <n v="3"/>
    <n v="7"/>
    <n v="7"/>
    <n v="1"/>
    <n v="7"/>
    <x v="1"/>
    <n v="1"/>
    <x v="1"/>
    <x v="0"/>
    <s v="6-10 Years"/>
    <s v="Low"/>
    <s v="Better"/>
  </r>
  <r>
    <x v="32"/>
    <s v="No"/>
    <s v="Travel_Frequently"/>
    <n v="580"/>
    <x v="0"/>
    <n v="5"/>
    <n v="4"/>
    <s v="Life Sciences"/>
    <n v="1"/>
    <n v="729"/>
    <n v="4"/>
    <x v="1"/>
    <n v="48"/>
    <n v="2"/>
    <n v="3"/>
    <x v="0"/>
    <n v="1"/>
    <s v="Married"/>
    <n v="10475"/>
    <n v="23772"/>
    <n v="5"/>
    <s v="Y"/>
    <x v="0"/>
    <n v="21"/>
    <n v="4"/>
    <n v="3"/>
    <n v="80"/>
    <n v="1"/>
    <n v="20"/>
    <n v="2"/>
    <n v="3"/>
    <n v="18"/>
    <n v="13"/>
    <n v="1"/>
    <n v="12"/>
    <x v="1"/>
    <n v="1"/>
    <x v="0"/>
    <x v="2"/>
    <s v="10+ Years"/>
    <s v="Low"/>
    <s v="Better"/>
  </r>
  <r>
    <x v="16"/>
    <s v="No"/>
    <s v="Travel_Rarely"/>
    <n v="970"/>
    <x v="1"/>
    <n v="7"/>
    <n v="3"/>
    <s v="Life Sciences"/>
    <n v="1"/>
    <n v="730"/>
    <n v="3"/>
    <x v="1"/>
    <n v="59"/>
    <n v="4"/>
    <n v="4"/>
    <x v="7"/>
    <n v="3"/>
    <s v="Married"/>
    <n v="14814"/>
    <n v="13514"/>
    <n v="3"/>
    <s v="Y"/>
    <x v="1"/>
    <n v="19"/>
    <n v="3"/>
    <n v="3"/>
    <n v="80"/>
    <n v="0"/>
    <n v="32"/>
    <n v="3"/>
    <n v="3"/>
    <n v="5"/>
    <n v="1"/>
    <n v="1"/>
    <n v="3"/>
    <x v="1"/>
    <n v="1"/>
    <x v="1"/>
    <x v="2"/>
    <s v="2-5 Years"/>
    <s v="High"/>
    <s v="Better"/>
  </r>
  <r>
    <x v="0"/>
    <s v="No"/>
    <s v="Travel_Rarely"/>
    <n v="427"/>
    <x v="2"/>
    <n v="10"/>
    <n v="4"/>
    <s v="Human Resources"/>
    <n v="1"/>
    <n v="731"/>
    <n v="2"/>
    <x v="1"/>
    <n v="73"/>
    <n v="2"/>
    <n v="5"/>
    <x v="5"/>
    <n v="4"/>
    <s v="Divorced"/>
    <n v="19141"/>
    <n v="8861"/>
    <n v="3"/>
    <s v="Y"/>
    <x v="1"/>
    <n v="15"/>
    <n v="3"/>
    <n v="2"/>
    <n v="80"/>
    <n v="3"/>
    <n v="23"/>
    <n v="2"/>
    <n v="2"/>
    <n v="21"/>
    <n v="6"/>
    <n v="12"/>
    <n v="6"/>
    <x v="1"/>
    <n v="1"/>
    <x v="0"/>
    <x v="2"/>
    <s v="10+ Years"/>
    <s v="Very High"/>
    <s v="Good"/>
  </r>
  <r>
    <x v="42"/>
    <s v="No"/>
    <s v="Travel_Rarely"/>
    <n v="1179"/>
    <x v="0"/>
    <n v="16"/>
    <n v="4"/>
    <s v="Marketing"/>
    <n v="1"/>
    <n v="732"/>
    <n v="1"/>
    <x v="1"/>
    <n v="84"/>
    <n v="3"/>
    <n v="2"/>
    <x v="0"/>
    <n v="1"/>
    <s v="Single"/>
    <n v="5405"/>
    <n v="11924"/>
    <n v="8"/>
    <s v="Y"/>
    <x v="1"/>
    <n v="14"/>
    <n v="3"/>
    <n v="4"/>
    <n v="80"/>
    <n v="0"/>
    <n v="10"/>
    <n v="1"/>
    <n v="3"/>
    <n v="2"/>
    <n v="2"/>
    <n v="2"/>
    <n v="2"/>
    <x v="1"/>
    <n v="1"/>
    <x v="3"/>
    <x v="0"/>
    <s v="2-5 Years"/>
    <s v="Low"/>
    <s v="Better"/>
  </r>
  <r>
    <x v="4"/>
    <s v="No"/>
    <s v="Travel_Frequently"/>
    <n v="294"/>
    <x v="1"/>
    <n v="10"/>
    <n v="2"/>
    <s v="Life Sciences"/>
    <n v="1"/>
    <n v="733"/>
    <n v="4"/>
    <x v="1"/>
    <n v="32"/>
    <n v="3"/>
    <n v="3"/>
    <x v="3"/>
    <n v="1"/>
    <s v="Divorced"/>
    <n v="8793"/>
    <n v="4809"/>
    <n v="1"/>
    <s v="Y"/>
    <x v="1"/>
    <n v="21"/>
    <n v="4"/>
    <n v="3"/>
    <n v="80"/>
    <n v="2"/>
    <n v="9"/>
    <n v="4"/>
    <n v="2"/>
    <n v="9"/>
    <n v="7"/>
    <n v="1"/>
    <n v="7"/>
    <x v="1"/>
    <n v="1"/>
    <x v="2"/>
    <x v="2"/>
    <s v="6-10 Years"/>
    <s v="Low"/>
    <s v="Good"/>
  </r>
  <r>
    <x v="0"/>
    <s v="No"/>
    <s v="Travel_Rarely"/>
    <n v="314"/>
    <x v="2"/>
    <n v="1"/>
    <n v="3"/>
    <s v="Human Resources"/>
    <n v="1"/>
    <n v="734"/>
    <n v="4"/>
    <x v="1"/>
    <n v="59"/>
    <n v="2"/>
    <n v="5"/>
    <x v="5"/>
    <n v="3"/>
    <s v="Married"/>
    <n v="19189"/>
    <n v="19562"/>
    <n v="1"/>
    <s v="Y"/>
    <x v="1"/>
    <n v="12"/>
    <n v="3"/>
    <n v="2"/>
    <n v="80"/>
    <n v="1"/>
    <n v="22"/>
    <n v="3"/>
    <n v="3"/>
    <n v="22"/>
    <n v="7"/>
    <n v="2"/>
    <n v="10"/>
    <x v="1"/>
    <n v="1"/>
    <x v="0"/>
    <x v="2"/>
    <s v="10+ Years"/>
    <s v="High"/>
    <s v="Better"/>
  </r>
  <r>
    <x v="24"/>
    <s v="No"/>
    <s v="Travel_Rarely"/>
    <n v="316"/>
    <x v="0"/>
    <n v="8"/>
    <n v="4"/>
    <s v="Marketing"/>
    <n v="1"/>
    <n v="738"/>
    <n v="4"/>
    <x v="1"/>
    <n v="54"/>
    <n v="3"/>
    <n v="1"/>
    <x v="6"/>
    <n v="2"/>
    <s v="Married"/>
    <n v="3875"/>
    <n v="9983"/>
    <n v="7"/>
    <s v="Y"/>
    <x v="1"/>
    <n v="15"/>
    <n v="3"/>
    <n v="4"/>
    <n v="80"/>
    <n v="1"/>
    <n v="4"/>
    <n v="2"/>
    <n v="3"/>
    <n v="2"/>
    <n v="2"/>
    <n v="2"/>
    <n v="2"/>
    <x v="1"/>
    <n v="1"/>
    <x v="1"/>
    <x v="0"/>
    <s v="2-5 Years"/>
    <s v="Medium"/>
    <s v="Better"/>
  </r>
  <r>
    <x v="14"/>
    <s v="Yes"/>
    <s v="Travel_Rarely"/>
    <n v="654"/>
    <x v="1"/>
    <n v="1"/>
    <n v="2"/>
    <s v="Life Sciences"/>
    <n v="1"/>
    <n v="741"/>
    <n v="1"/>
    <x v="0"/>
    <n v="67"/>
    <n v="1"/>
    <n v="1"/>
    <x v="1"/>
    <n v="2"/>
    <s v="Single"/>
    <n v="2216"/>
    <n v="3872"/>
    <n v="7"/>
    <s v="Y"/>
    <x v="0"/>
    <n v="13"/>
    <n v="3"/>
    <n v="4"/>
    <n v="80"/>
    <n v="0"/>
    <n v="10"/>
    <n v="4"/>
    <n v="3"/>
    <n v="7"/>
    <n v="7"/>
    <n v="3"/>
    <n v="7"/>
    <x v="0"/>
    <n v="0"/>
    <x v="2"/>
    <x v="1"/>
    <s v="6-10 Years"/>
    <s v="Medium"/>
    <s v="Better"/>
  </r>
  <r>
    <x v="9"/>
    <s v="No"/>
    <s v="Non-Travel"/>
    <n v="427"/>
    <x v="1"/>
    <n v="8"/>
    <n v="3"/>
    <s v="Life Sciences"/>
    <n v="1"/>
    <n v="742"/>
    <n v="1"/>
    <x v="0"/>
    <n v="63"/>
    <n v="4"/>
    <n v="3"/>
    <x v="7"/>
    <n v="1"/>
    <s v="Married"/>
    <n v="11713"/>
    <n v="20335"/>
    <n v="9"/>
    <s v="Y"/>
    <x v="1"/>
    <n v="14"/>
    <n v="3"/>
    <n v="1"/>
    <n v="80"/>
    <n v="1"/>
    <n v="10"/>
    <n v="2"/>
    <n v="3"/>
    <n v="8"/>
    <n v="7"/>
    <n v="0"/>
    <n v="5"/>
    <x v="1"/>
    <n v="1"/>
    <x v="0"/>
    <x v="2"/>
    <s v="6-10 Years"/>
    <s v="Low"/>
    <s v="Better"/>
  </r>
  <r>
    <x v="8"/>
    <s v="No"/>
    <s v="Travel_Rarely"/>
    <n v="168"/>
    <x v="1"/>
    <n v="1"/>
    <n v="3"/>
    <s v="Life Sciences"/>
    <n v="1"/>
    <n v="743"/>
    <n v="3"/>
    <x v="0"/>
    <n v="81"/>
    <n v="3"/>
    <n v="3"/>
    <x v="3"/>
    <n v="3"/>
    <s v="Single"/>
    <n v="7861"/>
    <n v="15397"/>
    <n v="4"/>
    <s v="Y"/>
    <x v="0"/>
    <n v="14"/>
    <n v="3"/>
    <n v="4"/>
    <n v="80"/>
    <n v="0"/>
    <n v="10"/>
    <n v="4"/>
    <n v="4"/>
    <n v="1"/>
    <n v="0"/>
    <n v="0"/>
    <n v="0"/>
    <x v="1"/>
    <n v="1"/>
    <x v="0"/>
    <x v="2"/>
    <s v="0-1 Years"/>
    <s v="High"/>
    <s v="Best"/>
  </r>
  <r>
    <x v="20"/>
    <s v="No"/>
    <s v="Non-Travel"/>
    <n v="381"/>
    <x v="1"/>
    <n v="24"/>
    <n v="3"/>
    <s v="Medical"/>
    <n v="1"/>
    <n v="744"/>
    <n v="1"/>
    <x v="1"/>
    <n v="49"/>
    <n v="1"/>
    <n v="1"/>
    <x v="2"/>
    <n v="3"/>
    <s v="Single"/>
    <n v="3708"/>
    <n v="2104"/>
    <n v="2"/>
    <s v="Y"/>
    <x v="1"/>
    <n v="14"/>
    <n v="3"/>
    <n v="3"/>
    <n v="80"/>
    <n v="0"/>
    <n v="9"/>
    <n v="5"/>
    <n v="3"/>
    <n v="5"/>
    <n v="2"/>
    <n v="1"/>
    <n v="4"/>
    <x v="1"/>
    <n v="1"/>
    <x v="0"/>
    <x v="0"/>
    <s v="2-5 Years"/>
    <s v="High"/>
    <s v="Better"/>
  </r>
  <r>
    <x v="40"/>
    <s v="No"/>
    <s v="Travel_Frequently"/>
    <n v="217"/>
    <x v="0"/>
    <n v="3"/>
    <n v="3"/>
    <s v="Medical"/>
    <n v="1"/>
    <n v="746"/>
    <n v="4"/>
    <x v="0"/>
    <n v="49"/>
    <n v="3"/>
    <n v="4"/>
    <x v="0"/>
    <n v="3"/>
    <s v="Divorced"/>
    <n v="13770"/>
    <n v="10225"/>
    <n v="9"/>
    <s v="Y"/>
    <x v="0"/>
    <n v="12"/>
    <n v="3"/>
    <n v="4"/>
    <n v="80"/>
    <n v="2"/>
    <n v="28"/>
    <n v="2"/>
    <n v="2"/>
    <n v="22"/>
    <n v="2"/>
    <n v="11"/>
    <n v="13"/>
    <x v="1"/>
    <n v="1"/>
    <x v="1"/>
    <x v="2"/>
    <s v="10+ Years"/>
    <s v="High"/>
    <s v="Good"/>
  </r>
  <r>
    <x v="7"/>
    <s v="No"/>
    <s v="Travel_Rarely"/>
    <n v="501"/>
    <x v="0"/>
    <n v="27"/>
    <n v="5"/>
    <s v="Marketing"/>
    <n v="1"/>
    <n v="747"/>
    <n v="3"/>
    <x v="1"/>
    <n v="99"/>
    <n v="3"/>
    <n v="2"/>
    <x v="0"/>
    <n v="4"/>
    <s v="Divorced"/>
    <n v="5304"/>
    <n v="25275"/>
    <n v="7"/>
    <s v="Y"/>
    <x v="1"/>
    <n v="23"/>
    <n v="4"/>
    <n v="4"/>
    <n v="80"/>
    <n v="1"/>
    <n v="10"/>
    <n v="2"/>
    <n v="2"/>
    <n v="8"/>
    <n v="7"/>
    <n v="7"/>
    <n v="7"/>
    <x v="1"/>
    <n v="1"/>
    <x v="2"/>
    <x v="0"/>
    <s v="6-10 Years"/>
    <s v="Very High"/>
    <s v="Good"/>
  </r>
  <r>
    <x v="11"/>
    <s v="No"/>
    <s v="Travel_Rarely"/>
    <n v="1396"/>
    <x v="0"/>
    <n v="10"/>
    <n v="3"/>
    <s v="Life Sciences"/>
    <n v="1"/>
    <n v="749"/>
    <n v="3"/>
    <x v="1"/>
    <n v="99"/>
    <n v="3"/>
    <n v="1"/>
    <x v="6"/>
    <n v="3"/>
    <s v="Single"/>
    <n v="2642"/>
    <n v="2755"/>
    <n v="1"/>
    <s v="Y"/>
    <x v="1"/>
    <n v="11"/>
    <n v="3"/>
    <n v="3"/>
    <n v="80"/>
    <n v="0"/>
    <n v="1"/>
    <n v="6"/>
    <n v="3"/>
    <n v="1"/>
    <n v="0"/>
    <n v="0"/>
    <n v="0"/>
    <x v="1"/>
    <n v="1"/>
    <x v="2"/>
    <x v="1"/>
    <s v="0-1 Years"/>
    <s v="High"/>
    <s v="Better"/>
  </r>
  <r>
    <x v="19"/>
    <s v="Yes"/>
    <s v="Travel_Frequently"/>
    <n v="933"/>
    <x v="1"/>
    <n v="19"/>
    <n v="3"/>
    <s v="Medical"/>
    <n v="1"/>
    <n v="752"/>
    <n v="3"/>
    <x v="1"/>
    <n v="57"/>
    <n v="4"/>
    <n v="1"/>
    <x v="1"/>
    <n v="3"/>
    <s v="Divorced"/>
    <n v="2759"/>
    <n v="20366"/>
    <n v="6"/>
    <s v="Y"/>
    <x v="0"/>
    <n v="12"/>
    <n v="3"/>
    <n v="4"/>
    <n v="80"/>
    <n v="0"/>
    <n v="7"/>
    <n v="2"/>
    <n v="3"/>
    <n v="2"/>
    <n v="2"/>
    <n v="2"/>
    <n v="2"/>
    <x v="0"/>
    <n v="0"/>
    <x v="0"/>
    <x v="1"/>
    <s v="2-5 Years"/>
    <s v="High"/>
    <s v="Better"/>
  </r>
  <r>
    <x v="23"/>
    <s v="No"/>
    <s v="Travel_Frequently"/>
    <n v="775"/>
    <x v="0"/>
    <n v="15"/>
    <n v="3"/>
    <s v="Life Sciences"/>
    <n v="1"/>
    <n v="754"/>
    <n v="4"/>
    <x v="1"/>
    <n v="47"/>
    <n v="2"/>
    <n v="2"/>
    <x v="0"/>
    <n v="4"/>
    <s v="Married"/>
    <n v="6804"/>
    <n v="23683"/>
    <n v="3"/>
    <s v="Y"/>
    <x v="1"/>
    <n v="18"/>
    <n v="3"/>
    <n v="3"/>
    <n v="80"/>
    <n v="1"/>
    <n v="7"/>
    <n v="5"/>
    <n v="3"/>
    <n v="2"/>
    <n v="2"/>
    <n v="2"/>
    <n v="2"/>
    <x v="1"/>
    <n v="1"/>
    <x v="0"/>
    <x v="0"/>
    <s v="2-5 Years"/>
    <s v="Very High"/>
    <s v="Better"/>
  </r>
  <r>
    <x v="13"/>
    <s v="No"/>
    <s v="Travel_Rarely"/>
    <n v="970"/>
    <x v="1"/>
    <n v="8"/>
    <n v="2"/>
    <s v="Medical"/>
    <n v="1"/>
    <n v="757"/>
    <n v="2"/>
    <x v="0"/>
    <n v="96"/>
    <n v="3"/>
    <n v="2"/>
    <x v="4"/>
    <n v="3"/>
    <s v="Single"/>
    <n v="6142"/>
    <n v="7360"/>
    <n v="3"/>
    <s v="Y"/>
    <x v="1"/>
    <n v="11"/>
    <n v="3"/>
    <n v="4"/>
    <n v="80"/>
    <n v="0"/>
    <n v="10"/>
    <n v="2"/>
    <n v="3"/>
    <n v="5"/>
    <n v="1"/>
    <n v="4"/>
    <n v="3"/>
    <x v="1"/>
    <n v="1"/>
    <x v="2"/>
    <x v="0"/>
    <s v="2-5 Years"/>
    <s v="High"/>
    <s v="Better"/>
  </r>
  <r>
    <x v="30"/>
    <s v="No"/>
    <s v="Travel_Rarely"/>
    <n v="650"/>
    <x v="1"/>
    <n v="9"/>
    <n v="1"/>
    <s v="Medical"/>
    <n v="1"/>
    <n v="758"/>
    <n v="2"/>
    <x v="1"/>
    <n v="37"/>
    <n v="3"/>
    <n v="1"/>
    <x v="2"/>
    <n v="1"/>
    <s v="Married"/>
    <n v="2500"/>
    <n v="4344"/>
    <n v="1"/>
    <s v="Y"/>
    <x v="1"/>
    <n v="14"/>
    <n v="3"/>
    <n v="4"/>
    <n v="80"/>
    <n v="1"/>
    <n v="5"/>
    <n v="2"/>
    <n v="4"/>
    <n v="4"/>
    <n v="3"/>
    <n v="0"/>
    <n v="2"/>
    <x v="1"/>
    <n v="1"/>
    <x v="4"/>
    <x v="1"/>
    <s v="2-5 Years"/>
    <s v="Low"/>
    <s v="Best"/>
  </r>
  <r>
    <x v="22"/>
    <s v="No"/>
    <s v="Travel_Rarely"/>
    <n v="141"/>
    <x v="2"/>
    <n v="3"/>
    <n v="3"/>
    <s v="Human Resources"/>
    <n v="1"/>
    <n v="760"/>
    <n v="3"/>
    <x v="0"/>
    <n v="44"/>
    <n v="4"/>
    <n v="2"/>
    <x v="8"/>
    <n v="2"/>
    <s v="Married"/>
    <n v="6389"/>
    <n v="18767"/>
    <n v="9"/>
    <s v="Y"/>
    <x v="1"/>
    <n v="15"/>
    <n v="3"/>
    <n v="3"/>
    <n v="80"/>
    <n v="1"/>
    <n v="12"/>
    <n v="3"/>
    <n v="1"/>
    <n v="8"/>
    <n v="3"/>
    <n v="3"/>
    <n v="6"/>
    <x v="1"/>
    <n v="1"/>
    <x v="0"/>
    <x v="0"/>
    <s v="6-10 Years"/>
    <s v="Medium"/>
    <s v="Bad"/>
  </r>
  <r>
    <x v="29"/>
    <s v="No"/>
    <s v="Travel_Rarely"/>
    <n v="832"/>
    <x v="1"/>
    <n v="9"/>
    <n v="3"/>
    <s v="Medical"/>
    <n v="1"/>
    <n v="762"/>
    <n v="3"/>
    <x v="1"/>
    <n v="81"/>
    <n v="3"/>
    <n v="4"/>
    <x v="4"/>
    <n v="4"/>
    <s v="Married"/>
    <n v="11103"/>
    <n v="20420"/>
    <n v="7"/>
    <s v="Y"/>
    <x v="1"/>
    <n v="11"/>
    <n v="3"/>
    <n v="3"/>
    <n v="80"/>
    <n v="0"/>
    <n v="30"/>
    <n v="1"/>
    <n v="2"/>
    <n v="10"/>
    <n v="7"/>
    <n v="1"/>
    <n v="1"/>
    <x v="1"/>
    <n v="1"/>
    <x v="3"/>
    <x v="2"/>
    <s v="6-10 Years"/>
    <s v="Very High"/>
    <s v="Good"/>
  </r>
  <r>
    <x v="32"/>
    <s v="No"/>
    <s v="Travel_Rarely"/>
    <n v="804"/>
    <x v="1"/>
    <n v="2"/>
    <n v="1"/>
    <s v="Medical"/>
    <n v="1"/>
    <n v="763"/>
    <n v="4"/>
    <x v="0"/>
    <n v="86"/>
    <n v="2"/>
    <n v="1"/>
    <x v="1"/>
    <n v="4"/>
    <s v="Single"/>
    <n v="2342"/>
    <n v="22929"/>
    <n v="0"/>
    <s v="Y"/>
    <x v="0"/>
    <n v="20"/>
    <n v="4"/>
    <n v="4"/>
    <n v="80"/>
    <n v="0"/>
    <n v="5"/>
    <n v="2"/>
    <n v="2"/>
    <n v="4"/>
    <n v="2"/>
    <n v="2"/>
    <n v="3"/>
    <x v="1"/>
    <n v="1"/>
    <x v="0"/>
    <x v="1"/>
    <s v="2-5 Years"/>
    <s v="Very High"/>
    <s v="Good"/>
  </r>
  <r>
    <x v="4"/>
    <s v="No"/>
    <s v="Travel_Rarely"/>
    <n v="975"/>
    <x v="1"/>
    <n v="7"/>
    <n v="3"/>
    <s v="Medical"/>
    <n v="1"/>
    <n v="764"/>
    <n v="4"/>
    <x v="0"/>
    <n v="55"/>
    <n v="2"/>
    <n v="2"/>
    <x v="4"/>
    <n v="1"/>
    <s v="Single"/>
    <n v="6811"/>
    <n v="23398"/>
    <n v="8"/>
    <s v="Y"/>
    <x v="1"/>
    <n v="19"/>
    <n v="3"/>
    <n v="1"/>
    <n v="80"/>
    <n v="0"/>
    <n v="9"/>
    <n v="2"/>
    <n v="1"/>
    <n v="7"/>
    <n v="6"/>
    <n v="0"/>
    <n v="7"/>
    <x v="1"/>
    <n v="1"/>
    <x v="2"/>
    <x v="0"/>
    <s v="6-10 Years"/>
    <s v="Low"/>
    <s v="Bad"/>
  </r>
  <r>
    <x v="11"/>
    <s v="No"/>
    <s v="Travel_Rarely"/>
    <n v="1090"/>
    <x v="0"/>
    <n v="10"/>
    <n v="3"/>
    <s v="Marketing"/>
    <n v="1"/>
    <n v="766"/>
    <n v="4"/>
    <x v="1"/>
    <n v="83"/>
    <n v="3"/>
    <n v="1"/>
    <x v="6"/>
    <n v="2"/>
    <s v="Divorced"/>
    <n v="2297"/>
    <n v="17967"/>
    <n v="1"/>
    <s v="Y"/>
    <x v="1"/>
    <n v="14"/>
    <n v="3"/>
    <n v="4"/>
    <n v="80"/>
    <n v="2"/>
    <n v="2"/>
    <n v="2"/>
    <n v="3"/>
    <n v="2"/>
    <n v="2"/>
    <n v="2"/>
    <n v="2"/>
    <x v="1"/>
    <n v="1"/>
    <x v="2"/>
    <x v="1"/>
    <s v="2-5 Years"/>
    <s v="Medium"/>
    <s v="Better"/>
  </r>
  <r>
    <x v="16"/>
    <s v="No"/>
    <s v="Travel_Rarely"/>
    <n v="346"/>
    <x v="1"/>
    <n v="6"/>
    <n v="3"/>
    <s v="Life Sciences"/>
    <n v="1"/>
    <n v="769"/>
    <n v="4"/>
    <x v="1"/>
    <n v="86"/>
    <n v="3"/>
    <n v="2"/>
    <x v="2"/>
    <n v="4"/>
    <s v="Single"/>
    <n v="2450"/>
    <n v="10919"/>
    <n v="2"/>
    <s v="Y"/>
    <x v="1"/>
    <n v="17"/>
    <n v="3"/>
    <n v="4"/>
    <n v="80"/>
    <n v="0"/>
    <n v="19"/>
    <n v="4"/>
    <n v="3"/>
    <n v="2"/>
    <n v="2"/>
    <n v="2"/>
    <n v="2"/>
    <x v="1"/>
    <n v="1"/>
    <x v="1"/>
    <x v="1"/>
    <s v="2-5 Years"/>
    <s v="Very High"/>
    <s v="Better"/>
  </r>
  <r>
    <x v="10"/>
    <s v="No"/>
    <s v="Non-Travel"/>
    <n v="1225"/>
    <x v="1"/>
    <n v="2"/>
    <n v="4"/>
    <s v="Life Sciences"/>
    <n v="1"/>
    <n v="771"/>
    <n v="4"/>
    <x v="0"/>
    <n v="61"/>
    <n v="3"/>
    <n v="2"/>
    <x v="4"/>
    <n v="1"/>
    <s v="Divorced"/>
    <n v="5093"/>
    <n v="4761"/>
    <n v="2"/>
    <s v="Y"/>
    <x v="1"/>
    <n v="11"/>
    <n v="3"/>
    <n v="1"/>
    <n v="80"/>
    <n v="1"/>
    <n v="16"/>
    <n v="2"/>
    <n v="4"/>
    <n v="1"/>
    <n v="0"/>
    <n v="0"/>
    <n v="0"/>
    <x v="1"/>
    <n v="1"/>
    <x v="0"/>
    <x v="0"/>
    <s v="0-1 Years"/>
    <s v="Low"/>
    <s v="Best"/>
  </r>
  <r>
    <x v="5"/>
    <s v="No"/>
    <s v="Travel_Frequently"/>
    <n v="430"/>
    <x v="1"/>
    <n v="24"/>
    <n v="4"/>
    <s v="Life Sciences"/>
    <n v="1"/>
    <n v="772"/>
    <n v="1"/>
    <x v="1"/>
    <n v="80"/>
    <n v="3"/>
    <n v="2"/>
    <x v="2"/>
    <n v="4"/>
    <s v="Married"/>
    <n v="5309"/>
    <n v="21146"/>
    <n v="1"/>
    <s v="Y"/>
    <x v="1"/>
    <n v="15"/>
    <n v="3"/>
    <n v="4"/>
    <n v="80"/>
    <n v="2"/>
    <n v="10"/>
    <n v="2"/>
    <n v="3"/>
    <n v="10"/>
    <n v="8"/>
    <n v="4"/>
    <n v="7"/>
    <x v="1"/>
    <n v="1"/>
    <x v="2"/>
    <x v="0"/>
    <s v="6-10 Years"/>
    <s v="Very High"/>
    <s v="Better"/>
  </r>
  <r>
    <x v="8"/>
    <s v="No"/>
    <s v="Travel_Rarely"/>
    <n v="268"/>
    <x v="1"/>
    <n v="2"/>
    <n v="5"/>
    <s v="Medical"/>
    <n v="1"/>
    <n v="773"/>
    <n v="4"/>
    <x v="1"/>
    <n v="92"/>
    <n v="3"/>
    <n v="1"/>
    <x v="1"/>
    <n v="3"/>
    <s v="Married"/>
    <n v="3057"/>
    <n v="20471"/>
    <n v="6"/>
    <s v="Y"/>
    <x v="0"/>
    <n v="13"/>
    <n v="3"/>
    <n v="2"/>
    <n v="80"/>
    <n v="1"/>
    <n v="6"/>
    <n v="0"/>
    <n v="1"/>
    <n v="1"/>
    <n v="0"/>
    <n v="0"/>
    <n v="1"/>
    <x v="1"/>
    <n v="1"/>
    <x v="0"/>
    <x v="0"/>
    <s v="0-1 Years"/>
    <s v="High"/>
    <s v="Bad"/>
  </r>
  <r>
    <x v="13"/>
    <s v="No"/>
    <s v="Travel_Rarely"/>
    <n v="167"/>
    <x v="1"/>
    <n v="8"/>
    <n v="5"/>
    <s v="Life Sciences"/>
    <n v="1"/>
    <n v="775"/>
    <n v="2"/>
    <x v="0"/>
    <n v="32"/>
    <n v="3"/>
    <n v="2"/>
    <x v="3"/>
    <n v="1"/>
    <s v="Divorced"/>
    <n v="5121"/>
    <n v="4187"/>
    <n v="3"/>
    <s v="Y"/>
    <x v="1"/>
    <n v="14"/>
    <n v="3"/>
    <n v="3"/>
    <n v="80"/>
    <n v="1"/>
    <n v="7"/>
    <n v="3"/>
    <n v="3"/>
    <n v="0"/>
    <n v="0"/>
    <n v="0"/>
    <n v="0"/>
    <x v="1"/>
    <n v="1"/>
    <x v="2"/>
    <x v="0"/>
    <s v="0-1 Years"/>
    <s v="Low"/>
    <s v="Better"/>
  </r>
  <r>
    <x v="39"/>
    <s v="No"/>
    <s v="Travel_Rarely"/>
    <n v="621"/>
    <x v="0"/>
    <n v="3"/>
    <n v="4"/>
    <s v="Marketing"/>
    <n v="1"/>
    <n v="776"/>
    <n v="3"/>
    <x v="1"/>
    <n v="31"/>
    <n v="2"/>
    <n v="4"/>
    <x v="5"/>
    <n v="1"/>
    <s v="Married"/>
    <n v="16856"/>
    <n v="10084"/>
    <n v="1"/>
    <s v="Y"/>
    <x v="1"/>
    <n v="11"/>
    <n v="3"/>
    <n v="1"/>
    <n v="80"/>
    <n v="0"/>
    <n v="34"/>
    <n v="3"/>
    <n v="4"/>
    <n v="34"/>
    <n v="6"/>
    <n v="1"/>
    <n v="16"/>
    <x v="1"/>
    <n v="1"/>
    <x v="1"/>
    <x v="2"/>
    <s v="10+ Years"/>
    <s v="Low"/>
    <s v="Best"/>
  </r>
  <r>
    <x v="3"/>
    <s v="Yes"/>
    <s v="Travel_Rarely"/>
    <n v="527"/>
    <x v="1"/>
    <n v="1"/>
    <n v="4"/>
    <s v="Other"/>
    <n v="1"/>
    <n v="780"/>
    <n v="4"/>
    <x v="1"/>
    <n v="63"/>
    <n v="3"/>
    <n v="1"/>
    <x v="1"/>
    <n v="4"/>
    <s v="Single"/>
    <n v="2686"/>
    <n v="5207"/>
    <n v="1"/>
    <s v="Y"/>
    <x v="0"/>
    <n v="13"/>
    <n v="3"/>
    <n v="3"/>
    <n v="80"/>
    <n v="0"/>
    <n v="10"/>
    <n v="2"/>
    <n v="2"/>
    <n v="10"/>
    <n v="9"/>
    <n v="7"/>
    <n v="8"/>
    <x v="0"/>
    <n v="0"/>
    <x v="2"/>
    <x v="1"/>
    <s v="6-10 Years"/>
    <s v="Very High"/>
    <s v="Good"/>
  </r>
  <r>
    <x v="36"/>
    <s v="No"/>
    <s v="Travel_Rarely"/>
    <n v="883"/>
    <x v="0"/>
    <n v="26"/>
    <n v="1"/>
    <s v="Medical"/>
    <n v="1"/>
    <n v="781"/>
    <n v="3"/>
    <x v="0"/>
    <n v="32"/>
    <n v="3"/>
    <n v="2"/>
    <x v="0"/>
    <n v="4"/>
    <s v="Single"/>
    <n v="6180"/>
    <n v="22807"/>
    <n v="1"/>
    <s v="Y"/>
    <x v="1"/>
    <n v="23"/>
    <n v="4"/>
    <n v="2"/>
    <n v="80"/>
    <n v="0"/>
    <n v="6"/>
    <n v="5"/>
    <n v="2"/>
    <n v="6"/>
    <n v="5"/>
    <n v="1"/>
    <n v="4"/>
    <x v="1"/>
    <n v="1"/>
    <x v="2"/>
    <x v="0"/>
    <s v="6-10 Years"/>
    <s v="Very High"/>
    <s v="Good"/>
  </r>
  <r>
    <x v="28"/>
    <s v="No"/>
    <s v="Travel_Rarely"/>
    <n v="954"/>
    <x v="0"/>
    <n v="2"/>
    <n v="2"/>
    <s v="Technical Degree"/>
    <n v="1"/>
    <n v="783"/>
    <n v="2"/>
    <x v="1"/>
    <n v="46"/>
    <n v="1"/>
    <n v="2"/>
    <x v="6"/>
    <n v="3"/>
    <s v="Single"/>
    <n v="6632"/>
    <n v="12388"/>
    <n v="0"/>
    <s v="Y"/>
    <x v="1"/>
    <n v="13"/>
    <n v="3"/>
    <n v="1"/>
    <n v="80"/>
    <n v="0"/>
    <n v="9"/>
    <n v="3"/>
    <n v="3"/>
    <n v="8"/>
    <n v="7"/>
    <n v="3"/>
    <n v="1"/>
    <x v="1"/>
    <n v="1"/>
    <x v="1"/>
    <x v="0"/>
    <s v="6-10 Years"/>
    <s v="High"/>
    <s v="Better"/>
  </r>
  <r>
    <x v="30"/>
    <s v="No"/>
    <s v="Travel_Rarely"/>
    <n v="310"/>
    <x v="1"/>
    <n v="10"/>
    <n v="1"/>
    <s v="Medical"/>
    <n v="1"/>
    <n v="784"/>
    <n v="1"/>
    <x v="1"/>
    <n v="79"/>
    <n v="4"/>
    <n v="1"/>
    <x v="1"/>
    <n v="3"/>
    <s v="Single"/>
    <n v="3505"/>
    <n v="19630"/>
    <n v="1"/>
    <s v="Y"/>
    <x v="1"/>
    <n v="18"/>
    <n v="3"/>
    <n v="4"/>
    <n v="80"/>
    <n v="0"/>
    <n v="2"/>
    <n v="3"/>
    <n v="3"/>
    <n v="2"/>
    <n v="2"/>
    <n v="0"/>
    <n v="2"/>
    <x v="1"/>
    <n v="1"/>
    <x v="4"/>
    <x v="0"/>
    <s v="2-5 Years"/>
    <s v="High"/>
    <s v="Better"/>
  </r>
  <r>
    <x v="40"/>
    <s v="Yes"/>
    <s v="Travel_Frequently"/>
    <n v="719"/>
    <x v="0"/>
    <n v="27"/>
    <n v="2"/>
    <s v="Life Sciences"/>
    <n v="1"/>
    <n v="785"/>
    <n v="2"/>
    <x v="0"/>
    <n v="77"/>
    <n v="4"/>
    <n v="2"/>
    <x v="0"/>
    <n v="3"/>
    <s v="Single"/>
    <n v="6397"/>
    <n v="10339"/>
    <n v="4"/>
    <s v="Y"/>
    <x v="0"/>
    <n v="12"/>
    <n v="3"/>
    <n v="4"/>
    <n v="80"/>
    <n v="0"/>
    <n v="8"/>
    <n v="2"/>
    <n v="3"/>
    <n v="5"/>
    <n v="4"/>
    <n v="1"/>
    <n v="3"/>
    <x v="0"/>
    <n v="0"/>
    <x v="1"/>
    <x v="0"/>
    <s v="2-5 Years"/>
    <s v="High"/>
    <s v="Better"/>
  </r>
  <r>
    <x v="13"/>
    <s v="No"/>
    <s v="Travel_Rarely"/>
    <n v="304"/>
    <x v="0"/>
    <n v="2"/>
    <n v="3"/>
    <s v="Other"/>
    <n v="1"/>
    <n v="786"/>
    <n v="4"/>
    <x v="1"/>
    <n v="60"/>
    <n v="3"/>
    <n v="2"/>
    <x v="0"/>
    <n v="4"/>
    <s v="Single"/>
    <n v="6274"/>
    <n v="18686"/>
    <n v="1"/>
    <s v="Y"/>
    <x v="1"/>
    <n v="22"/>
    <n v="4"/>
    <n v="3"/>
    <n v="80"/>
    <n v="0"/>
    <n v="6"/>
    <n v="5"/>
    <n v="3"/>
    <n v="6"/>
    <n v="5"/>
    <n v="1"/>
    <n v="4"/>
    <x v="1"/>
    <n v="1"/>
    <x v="2"/>
    <x v="0"/>
    <s v="6-10 Years"/>
    <s v="Very High"/>
    <s v="Better"/>
  </r>
  <r>
    <x v="27"/>
    <s v="Yes"/>
    <s v="Travel_Rarely"/>
    <n v="725"/>
    <x v="1"/>
    <n v="2"/>
    <n v="3"/>
    <s v="Medical"/>
    <n v="1"/>
    <n v="787"/>
    <n v="4"/>
    <x v="1"/>
    <n v="78"/>
    <n v="3"/>
    <n v="5"/>
    <x v="5"/>
    <n v="1"/>
    <s v="Married"/>
    <n v="19859"/>
    <n v="21199"/>
    <n v="5"/>
    <s v="Y"/>
    <x v="0"/>
    <n v="13"/>
    <n v="3"/>
    <n v="4"/>
    <n v="80"/>
    <n v="1"/>
    <n v="24"/>
    <n v="2"/>
    <n v="3"/>
    <n v="5"/>
    <n v="2"/>
    <n v="1"/>
    <n v="4"/>
    <x v="0"/>
    <n v="0"/>
    <x v="3"/>
    <x v="2"/>
    <s v="2-5 Years"/>
    <s v="Low"/>
    <s v="Better"/>
  </r>
  <r>
    <x v="9"/>
    <s v="No"/>
    <s v="Non-Travel"/>
    <n v="1434"/>
    <x v="0"/>
    <n v="8"/>
    <n v="4"/>
    <s v="Life Sciences"/>
    <n v="1"/>
    <n v="789"/>
    <n v="1"/>
    <x v="1"/>
    <n v="76"/>
    <n v="2"/>
    <n v="3"/>
    <x v="0"/>
    <n v="1"/>
    <s v="Single"/>
    <n v="7587"/>
    <n v="14229"/>
    <n v="1"/>
    <s v="Y"/>
    <x v="1"/>
    <n v="15"/>
    <n v="3"/>
    <n v="2"/>
    <n v="80"/>
    <n v="0"/>
    <n v="10"/>
    <n v="1"/>
    <n v="3"/>
    <n v="10"/>
    <n v="7"/>
    <n v="0"/>
    <n v="9"/>
    <x v="1"/>
    <n v="1"/>
    <x v="0"/>
    <x v="2"/>
    <s v="6-10 Years"/>
    <s v="Low"/>
    <s v="Better"/>
  </r>
  <r>
    <x v="39"/>
    <s v="No"/>
    <s v="Non-Travel"/>
    <n v="715"/>
    <x v="1"/>
    <n v="19"/>
    <n v="4"/>
    <s v="Medical"/>
    <n v="1"/>
    <n v="791"/>
    <n v="4"/>
    <x v="1"/>
    <n v="41"/>
    <n v="3"/>
    <n v="1"/>
    <x v="1"/>
    <n v="4"/>
    <s v="Married"/>
    <n v="4258"/>
    <n v="26589"/>
    <n v="0"/>
    <s v="Y"/>
    <x v="1"/>
    <n v="18"/>
    <n v="3"/>
    <n v="1"/>
    <n v="80"/>
    <n v="1"/>
    <n v="5"/>
    <n v="3"/>
    <n v="3"/>
    <n v="4"/>
    <n v="3"/>
    <n v="1"/>
    <n v="2"/>
    <x v="1"/>
    <n v="1"/>
    <x v="1"/>
    <x v="0"/>
    <s v="2-5 Years"/>
    <s v="Very High"/>
    <s v="Better"/>
  </r>
  <r>
    <x v="25"/>
    <s v="No"/>
    <s v="Travel_Frequently"/>
    <n v="575"/>
    <x v="1"/>
    <n v="1"/>
    <n v="2"/>
    <s v="Life Sciences"/>
    <n v="1"/>
    <n v="792"/>
    <n v="1"/>
    <x v="0"/>
    <n v="71"/>
    <n v="1"/>
    <n v="1"/>
    <x v="2"/>
    <n v="4"/>
    <s v="Divorced"/>
    <n v="4364"/>
    <n v="5288"/>
    <n v="3"/>
    <s v="Y"/>
    <x v="1"/>
    <n v="14"/>
    <n v="3"/>
    <n v="1"/>
    <n v="80"/>
    <n v="1"/>
    <n v="5"/>
    <n v="2"/>
    <n v="3"/>
    <n v="2"/>
    <n v="2"/>
    <n v="2"/>
    <n v="0"/>
    <x v="1"/>
    <n v="1"/>
    <x v="2"/>
    <x v="0"/>
    <s v="2-5 Years"/>
    <s v="Very High"/>
    <s v="Better"/>
  </r>
  <r>
    <x v="11"/>
    <s v="No"/>
    <s v="Travel_Rarely"/>
    <n v="657"/>
    <x v="1"/>
    <n v="27"/>
    <n v="3"/>
    <s v="Medical"/>
    <n v="1"/>
    <n v="793"/>
    <n v="2"/>
    <x v="0"/>
    <n v="66"/>
    <n v="3"/>
    <n v="2"/>
    <x v="4"/>
    <n v="3"/>
    <s v="Married"/>
    <n v="4335"/>
    <n v="25549"/>
    <n v="4"/>
    <s v="Y"/>
    <x v="1"/>
    <n v="12"/>
    <n v="3"/>
    <n v="1"/>
    <n v="80"/>
    <n v="1"/>
    <n v="11"/>
    <n v="3"/>
    <n v="2"/>
    <n v="8"/>
    <n v="7"/>
    <n v="1"/>
    <n v="1"/>
    <x v="1"/>
    <n v="1"/>
    <x v="2"/>
    <x v="0"/>
    <s v="6-10 Years"/>
    <s v="High"/>
    <s v="Good"/>
  </r>
  <r>
    <x v="25"/>
    <s v="Yes"/>
    <s v="Travel_Rarely"/>
    <n v="1146"/>
    <x v="0"/>
    <n v="8"/>
    <n v="3"/>
    <s v="Technical Degree"/>
    <n v="1"/>
    <n v="796"/>
    <n v="4"/>
    <x v="1"/>
    <n v="38"/>
    <n v="2"/>
    <n v="2"/>
    <x v="0"/>
    <n v="1"/>
    <s v="Single"/>
    <n v="5326"/>
    <n v="3064"/>
    <n v="6"/>
    <s v="Y"/>
    <x v="1"/>
    <n v="17"/>
    <n v="3"/>
    <n v="3"/>
    <n v="80"/>
    <n v="0"/>
    <n v="6"/>
    <n v="2"/>
    <n v="2"/>
    <n v="4"/>
    <n v="3"/>
    <n v="1"/>
    <n v="2"/>
    <x v="0"/>
    <n v="0"/>
    <x v="2"/>
    <x v="0"/>
    <s v="2-5 Years"/>
    <s v="Low"/>
    <s v="Good"/>
  </r>
  <r>
    <x v="13"/>
    <s v="No"/>
    <s v="Travel_Rarely"/>
    <n v="182"/>
    <x v="1"/>
    <n v="1"/>
    <n v="4"/>
    <s v="Life Sciences"/>
    <n v="1"/>
    <n v="797"/>
    <n v="2"/>
    <x v="0"/>
    <n v="72"/>
    <n v="4"/>
    <n v="1"/>
    <x v="1"/>
    <n v="4"/>
    <s v="Single"/>
    <n v="3280"/>
    <n v="13551"/>
    <n v="2"/>
    <s v="Y"/>
    <x v="1"/>
    <n v="16"/>
    <n v="3"/>
    <n v="3"/>
    <n v="80"/>
    <n v="0"/>
    <n v="10"/>
    <n v="2"/>
    <n v="3"/>
    <n v="4"/>
    <n v="2"/>
    <n v="1"/>
    <n v="3"/>
    <x v="1"/>
    <n v="1"/>
    <x v="2"/>
    <x v="0"/>
    <s v="2-5 Years"/>
    <s v="Very High"/>
    <s v="Better"/>
  </r>
  <r>
    <x v="33"/>
    <s v="No"/>
    <s v="Travel_Rarely"/>
    <n v="376"/>
    <x v="1"/>
    <n v="19"/>
    <n v="4"/>
    <s v="Medical"/>
    <n v="1"/>
    <n v="799"/>
    <n v="4"/>
    <x v="0"/>
    <n v="95"/>
    <n v="3"/>
    <n v="2"/>
    <x v="3"/>
    <n v="1"/>
    <s v="Divorced"/>
    <n v="5485"/>
    <n v="22670"/>
    <n v="9"/>
    <s v="Y"/>
    <x v="0"/>
    <n v="11"/>
    <n v="3"/>
    <n v="2"/>
    <n v="80"/>
    <n v="2"/>
    <n v="9"/>
    <n v="4"/>
    <n v="3"/>
    <n v="5"/>
    <n v="3"/>
    <n v="1"/>
    <n v="4"/>
    <x v="1"/>
    <n v="1"/>
    <x v="1"/>
    <x v="0"/>
    <s v="2-5 Years"/>
    <s v="Low"/>
    <s v="Better"/>
  </r>
  <r>
    <x v="4"/>
    <s v="No"/>
    <s v="Travel_Frequently"/>
    <n v="829"/>
    <x v="0"/>
    <n v="8"/>
    <n v="1"/>
    <s v="Marketing"/>
    <n v="1"/>
    <n v="800"/>
    <n v="3"/>
    <x v="1"/>
    <n v="84"/>
    <n v="3"/>
    <n v="2"/>
    <x v="0"/>
    <n v="4"/>
    <s v="Married"/>
    <n v="4342"/>
    <n v="24008"/>
    <n v="0"/>
    <s v="Y"/>
    <x v="1"/>
    <n v="19"/>
    <n v="3"/>
    <n v="2"/>
    <n v="80"/>
    <n v="1"/>
    <n v="5"/>
    <n v="3"/>
    <n v="3"/>
    <n v="4"/>
    <n v="2"/>
    <n v="1"/>
    <n v="1"/>
    <x v="1"/>
    <n v="1"/>
    <x v="2"/>
    <x v="0"/>
    <s v="2-5 Years"/>
    <s v="Very High"/>
    <s v="Better"/>
  </r>
  <r>
    <x v="2"/>
    <s v="No"/>
    <s v="Travel_Rarely"/>
    <n v="571"/>
    <x v="1"/>
    <n v="10"/>
    <n v="1"/>
    <s v="Life Sciences"/>
    <n v="1"/>
    <n v="802"/>
    <n v="4"/>
    <x v="0"/>
    <n v="82"/>
    <n v="3"/>
    <n v="1"/>
    <x v="1"/>
    <n v="1"/>
    <s v="Divorced"/>
    <n v="2782"/>
    <n v="19905"/>
    <n v="0"/>
    <s v="Y"/>
    <x v="0"/>
    <n v="13"/>
    <n v="3"/>
    <n v="2"/>
    <n v="80"/>
    <n v="2"/>
    <n v="6"/>
    <n v="3"/>
    <n v="2"/>
    <n v="5"/>
    <n v="3"/>
    <n v="4"/>
    <n v="3"/>
    <x v="1"/>
    <n v="1"/>
    <x v="0"/>
    <x v="1"/>
    <s v="2-5 Years"/>
    <s v="Low"/>
    <s v="Good"/>
  </r>
  <r>
    <x v="8"/>
    <s v="No"/>
    <s v="Travel_Frequently"/>
    <n v="240"/>
    <x v="1"/>
    <n v="2"/>
    <n v="4"/>
    <s v="Life Sciences"/>
    <n v="1"/>
    <n v="803"/>
    <n v="1"/>
    <x v="0"/>
    <n v="75"/>
    <n v="4"/>
    <n v="2"/>
    <x v="3"/>
    <n v="1"/>
    <s v="Single"/>
    <n v="5980"/>
    <n v="26085"/>
    <n v="6"/>
    <s v="Y"/>
    <x v="0"/>
    <n v="12"/>
    <n v="3"/>
    <n v="4"/>
    <n v="80"/>
    <n v="0"/>
    <n v="17"/>
    <n v="2"/>
    <n v="3"/>
    <n v="15"/>
    <n v="7"/>
    <n v="4"/>
    <n v="12"/>
    <x v="1"/>
    <n v="1"/>
    <x v="0"/>
    <x v="0"/>
    <s v="10+ Years"/>
    <s v="Low"/>
    <s v="Better"/>
  </r>
  <r>
    <x v="13"/>
    <s v="No"/>
    <s v="Travel_Rarely"/>
    <n v="121"/>
    <x v="1"/>
    <n v="2"/>
    <n v="4"/>
    <s v="Medical"/>
    <n v="1"/>
    <n v="804"/>
    <n v="3"/>
    <x v="0"/>
    <n v="86"/>
    <n v="2"/>
    <n v="1"/>
    <x v="1"/>
    <n v="1"/>
    <s v="Single"/>
    <n v="4381"/>
    <n v="7530"/>
    <n v="1"/>
    <s v="Y"/>
    <x v="1"/>
    <n v="11"/>
    <n v="3"/>
    <n v="3"/>
    <n v="80"/>
    <n v="0"/>
    <n v="6"/>
    <n v="3"/>
    <n v="3"/>
    <n v="6"/>
    <n v="5"/>
    <n v="1"/>
    <n v="3"/>
    <x v="1"/>
    <n v="1"/>
    <x v="2"/>
    <x v="0"/>
    <s v="6-10 Years"/>
    <s v="Low"/>
    <s v="Better"/>
  </r>
  <r>
    <x v="10"/>
    <s v="No"/>
    <s v="Travel_Rarely"/>
    <n v="384"/>
    <x v="0"/>
    <n v="8"/>
    <n v="4"/>
    <s v="Life Sciences"/>
    <n v="1"/>
    <n v="805"/>
    <n v="1"/>
    <x v="0"/>
    <n v="72"/>
    <n v="3"/>
    <n v="1"/>
    <x v="6"/>
    <n v="4"/>
    <s v="Married"/>
    <n v="2572"/>
    <n v="20317"/>
    <n v="1"/>
    <s v="Y"/>
    <x v="1"/>
    <n v="16"/>
    <n v="3"/>
    <n v="2"/>
    <n v="80"/>
    <n v="1"/>
    <n v="3"/>
    <n v="1"/>
    <n v="2"/>
    <n v="3"/>
    <n v="2"/>
    <n v="0"/>
    <n v="2"/>
    <x v="1"/>
    <n v="1"/>
    <x v="0"/>
    <x v="1"/>
    <s v="2-5 Years"/>
    <s v="Very High"/>
    <s v="Good"/>
  </r>
  <r>
    <x v="7"/>
    <s v="No"/>
    <s v="Travel_Rarely"/>
    <n v="921"/>
    <x v="1"/>
    <n v="1"/>
    <n v="3"/>
    <s v="Life Sciences"/>
    <n v="1"/>
    <n v="806"/>
    <n v="4"/>
    <x v="1"/>
    <n v="38"/>
    <n v="1"/>
    <n v="1"/>
    <x v="2"/>
    <n v="3"/>
    <s v="Married"/>
    <n v="3833"/>
    <n v="24375"/>
    <n v="3"/>
    <s v="Y"/>
    <x v="1"/>
    <n v="21"/>
    <n v="4"/>
    <n v="3"/>
    <n v="80"/>
    <n v="2"/>
    <n v="7"/>
    <n v="2"/>
    <n v="3"/>
    <n v="2"/>
    <n v="2"/>
    <n v="0"/>
    <n v="2"/>
    <x v="1"/>
    <n v="1"/>
    <x v="2"/>
    <x v="0"/>
    <s v="2-5 Years"/>
    <s v="High"/>
    <s v="Better"/>
  </r>
  <r>
    <x v="32"/>
    <s v="No"/>
    <s v="Travel_Frequently"/>
    <n v="791"/>
    <x v="1"/>
    <n v="2"/>
    <n v="2"/>
    <s v="Medical"/>
    <n v="1"/>
    <n v="807"/>
    <n v="3"/>
    <x v="0"/>
    <n v="38"/>
    <n v="4"/>
    <n v="2"/>
    <x v="4"/>
    <n v="2"/>
    <s v="Married"/>
    <n v="4244"/>
    <n v="9931"/>
    <n v="1"/>
    <s v="Y"/>
    <x v="1"/>
    <n v="24"/>
    <n v="4"/>
    <n v="4"/>
    <n v="80"/>
    <n v="1"/>
    <n v="8"/>
    <n v="2"/>
    <n v="3"/>
    <n v="8"/>
    <n v="7"/>
    <n v="3"/>
    <n v="7"/>
    <x v="1"/>
    <n v="1"/>
    <x v="0"/>
    <x v="0"/>
    <s v="6-10 Years"/>
    <s v="Medium"/>
    <s v="Better"/>
  </r>
  <r>
    <x v="13"/>
    <s v="No"/>
    <s v="Travel_Rarely"/>
    <n v="1111"/>
    <x v="0"/>
    <n v="8"/>
    <n v="2"/>
    <s v="Life Sciences"/>
    <n v="1"/>
    <n v="808"/>
    <n v="3"/>
    <x v="0"/>
    <n v="93"/>
    <n v="3"/>
    <n v="2"/>
    <x v="0"/>
    <n v="1"/>
    <s v="Married"/>
    <n v="6500"/>
    <n v="13305"/>
    <n v="5"/>
    <s v="Y"/>
    <x v="1"/>
    <n v="17"/>
    <n v="3"/>
    <n v="2"/>
    <n v="80"/>
    <n v="1"/>
    <n v="6"/>
    <n v="1"/>
    <n v="3"/>
    <n v="3"/>
    <n v="2"/>
    <n v="1"/>
    <n v="2"/>
    <x v="1"/>
    <n v="1"/>
    <x v="2"/>
    <x v="0"/>
    <s v="2-5 Years"/>
    <s v="Low"/>
    <s v="Better"/>
  </r>
  <r>
    <x v="19"/>
    <s v="No"/>
    <s v="Travel_Frequently"/>
    <n v="570"/>
    <x v="1"/>
    <n v="8"/>
    <n v="3"/>
    <s v="Life Sciences"/>
    <n v="1"/>
    <n v="809"/>
    <n v="2"/>
    <x v="1"/>
    <n v="66"/>
    <n v="3"/>
    <n v="5"/>
    <x v="5"/>
    <n v="4"/>
    <s v="Divorced"/>
    <n v="18430"/>
    <n v="16225"/>
    <n v="1"/>
    <s v="Y"/>
    <x v="1"/>
    <n v="13"/>
    <n v="3"/>
    <n v="2"/>
    <n v="80"/>
    <n v="1"/>
    <n v="24"/>
    <n v="4"/>
    <n v="2"/>
    <n v="24"/>
    <n v="7"/>
    <n v="14"/>
    <n v="9"/>
    <x v="1"/>
    <n v="1"/>
    <x v="0"/>
    <x v="2"/>
    <s v="10+ Years"/>
    <s v="Very High"/>
    <s v="Good"/>
  </r>
  <r>
    <x v="30"/>
    <s v="Yes"/>
    <s v="Travel_Rarely"/>
    <n v="1243"/>
    <x v="1"/>
    <n v="6"/>
    <n v="3"/>
    <s v="Life Sciences"/>
    <n v="1"/>
    <n v="811"/>
    <n v="3"/>
    <x v="1"/>
    <n v="63"/>
    <n v="4"/>
    <n v="1"/>
    <x v="2"/>
    <n v="1"/>
    <s v="Married"/>
    <n v="1601"/>
    <n v="3445"/>
    <n v="1"/>
    <s v="Y"/>
    <x v="0"/>
    <n v="21"/>
    <n v="4"/>
    <n v="3"/>
    <n v="80"/>
    <n v="2"/>
    <n v="1"/>
    <n v="2"/>
    <n v="3"/>
    <n v="0"/>
    <n v="0"/>
    <n v="0"/>
    <n v="0"/>
    <x v="0"/>
    <n v="0"/>
    <x v="4"/>
    <x v="1"/>
    <s v="0-1 Years"/>
    <s v="Low"/>
    <s v="Better"/>
  </r>
  <r>
    <x v="17"/>
    <s v="No"/>
    <s v="Non-Travel"/>
    <n v="1092"/>
    <x v="1"/>
    <n v="9"/>
    <n v="3"/>
    <s v="Life Sciences"/>
    <n v="1"/>
    <n v="812"/>
    <n v="3"/>
    <x v="1"/>
    <n v="60"/>
    <n v="2"/>
    <n v="1"/>
    <x v="2"/>
    <n v="2"/>
    <s v="Divorced"/>
    <n v="2694"/>
    <n v="26551"/>
    <n v="1"/>
    <s v="Y"/>
    <x v="1"/>
    <n v="11"/>
    <n v="3"/>
    <n v="3"/>
    <n v="80"/>
    <n v="3"/>
    <n v="1"/>
    <n v="4"/>
    <n v="3"/>
    <n v="1"/>
    <n v="0"/>
    <n v="0"/>
    <n v="0"/>
    <x v="1"/>
    <n v="1"/>
    <x v="4"/>
    <x v="1"/>
    <s v="0-1 Years"/>
    <s v="Medium"/>
    <s v="Better"/>
  </r>
  <r>
    <x v="39"/>
    <s v="No"/>
    <s v="Travel_Rarely"/>
    <n v="1325"/>
    <x v="1"/>
    <n v="11"/>
    <n v="4"/>
    <s v="Life Sciences"/>
    <n v="1"/>
    <n v="813"/>
    <n v="4"/>
    <x v="0"/>
    <n v="82"/>
    <n v="3"/>
    <n v="2"/>
    <x v="2"/>
    <n v="3"/>
    <s v="Married"/>
    <n v="3149"/>
    <n v="21821"/>
    <n v="8"/>
    <s v="Y"/>
    <x v="1"/>
    <n v="20"/>
    <n v="4"/>
    <n v="2"/>
    <n v="80"/>
    <n v="1"/>
    <n v="9"/>
    <n v="3"/>
    <n v="3"/>
    <n v="5"/>
    <n v="2"/>
    <n v="1"/>
    <n v="4"/>
    <x v="1"/>
    <n v="1"/>
    <x v="1"/>
    <x v="0"/>
    <s v="2-5 Years"/>
    <s v="High"/>
    <s v="Better"/>
  </r>
  <r>
    <x v="24"/>
    <s v="No"/>
    <s v="Travel_Rarely"/>
    <n v="691"/>
    <x v="1"/>
    <n v="2"/>
    <n v="3"/>
    <s v="Medical"/>
    <n v="1"/>
    <n v="815"/>
    <n v="3"/>
    <x v="1"/>
    <n v="64"/>
    <n v="3"/>
    <n v="4"/>
    <x v="7"/>
    <n v="3"/>
    <s v="Married"/>
    <n v="17639"/>
    <n v="6881"/>
    <n v="5"/>
    <s v="Y"/>
    <x v="1"/>
    <n v="16"/>
    <n v="3"/>
    <n v="4"/>
    <n v="80"/>
    <n v="0"/>
    <n v="30"/>
    <n v="3"/>
    <n v="3"/>
    <n v="4"/>
    <n v="3"/>
    <n v="0"/>
    <n v="3"/>
    <x v="1"/>
    <n v="1"/>
    <x v="1"/>
    <x v="2"/>
    <s v="2-5 Years"/>
    <s v="High"/>
    <s v="Better"/>
  </r>
  <r>
    <x v="11"/>
    <s v="Yes"/>
    <s v="Travel_Rarely"/>
    <n v="805"/>
    <x v="1"/>
    <n v="1"/>
    <n v="2"/>
    <s v="Life Sciences"/>
    <n v="1"/>
    <n v="816"/>
    <n v="2"/>
    <x v="0"/>
    <n v="36"/>
    <n v="2"/>
    <n v="1"/>
    <x v="2"/>
    <n v="1"/>
    <s v="Married"/>
    <n v="2319"/>
    <n v="6689"/>
    <n v="1"/>
    <s v="Y"/>
    <x v="0"/>
    <n v="11"/>
    <n v="3"/>
    <n v="4"/>
    <n v="80"/>
    <n v="1"/>
    <n v="1"/>
    <n v="1"/>
    <n v="3"/>
    <n v="1"/>
    <n v="0"/>
    <n v="0"/>
    <n v="0"/>
    <x v="0"/>
    <n v="0"/>
    <x v="2"/>
    <x v="1"/>
    <s v="0-1 Years"/>
    <s v="Low"/>
    <s v="Better"/>
  </r>
  <r>
    <x v="3"/>
    <s v="No"/>
    <s v="Travel_Rarely"/>
    <n v="213"/>
    <x v="1"/>
    <n v="7"/>
    <n v="3"/>
    <s v="Medical"/>
    <n v="1"/>
    <n v="817"/>
    <n v="3"/>
    <x v="1"/>
    <n v="49"/>
    <n v="3"/>
    <n v="3"/>
    <x v="7"/>
    <n v="3"/>
    <s v="Married"/>
    <n v="11691"/>
    <n v="25995"/>
    <n v="0"/>
    <s v="Y"/>
    <x v="1"/>
    <n v="11"/>
    <n v="3"/>
    <n v="4"/>
    <n v="80"/>
    <n v="0"/>
    <n v="14"/>
    <n v="3"/>
    <n v="4"/>
    <n v="13"/>
    <n v="9"/>
    <n v="3"/>
    <n v="7"/>
    <x v="1"/>
    <n v="1"/>
    <x v="2"/>
    <x v="2"/>
    <s v="10+ Years"/>
    <s v="High"/>
    <s v="Best"/>
  </r>
  <r>
    <x v="3"/>
    <s v="Yes"/>
    <s v="Travel_Rarely"/>
    <n v="118"/>
    <x v="0"/>
    <n v="16"/>
    <n v="3"/>
    <s v="Marketing"/>
    <n v="1"/>
    <n v="819"/>
    <n v="1"/>
    <x v="0"/>
    <n v="69"/>
    <n v="3"/>
    <n v="2"/>
    <x v="0"/>
    <n v="1"/>
    <s v="Single"/>
    <n v="5324"/>
    <n v="26507"/>
    <n v="5"/>
    <s v="Y"/>
    <x v="1"/>
    <n v="15"/>
    <n v="3"/>
    <n v="3"/>
    <n v="80"/>
    <n v="0"/>
    <n v="6"/>
    <n v="3"/>
    <n v="3"/>
    <n v="3"/>
    <n v="2"/>
    <n v="0"/>
    <n v="2"/>
    <x v="0"/>
    <n v="0"/>
    <x v="2"/>
    <x v="0"/>
    <s v="2-5 Years"/>
    <s v="Low"/>
    <s v="Better"/>
  </r>
  <r>
    <x v="40"/>
    <s v="No"/>
    <s v="Travel_Rarely"/>
    <n v="202"/>
    <x v="1"/>
    <n v="2"/>
    <n v="2"/>
    <s v="Other"/>
    <n v="1"/>
    <n v="820"/>
    <n v="3"/>
    <x v="0"/>
    <n v="33"/>
    <n v="3"/>
    <n v="4"/>
    <x v="5"/>
    <n v="4"/>
    <s v="Married"/>
    <n v="16752"/>
    <n v="12982"/>
    <n v="1"/>
    <s v="Y"/>
    <x v="0"/>
    <n v="11"/>
    <n v="3"/>
    <n v="3"/>
    <n v="80"/>
    <n v="1"/>
    <n v="26"/>
    <n v="3"/>
    <n v="2"/>
    <n v="26"/>
    <n v="14"/>
    <n v="3"/>
    <n v="0"/>
    <x v="1"/>
    <n v="1"/>
    <x v="1"/>
    <x v="2"/>
    <s v="10+ Years"/>
    <s v="Very High"/>
    <s v="Good"/>
  </r>
  <r>
    <x v="9"/>
    <s v="No"/>
    <s v="Travel_Rarely"/>
    <n v="676"/>
    <x v="1"/>
    <n v="1"/>
    <n v="3"/>
    <s v="Other"/>
    <n v="1"/>
    <n v="823"/>
    <n v="3"/>
    <x v="0"/>
    <n v="35"/>
    <n v="3"/>
    <n v="2"/>
    <x v="3"/>
    <n v="2"/>
    <s v="Married"/>
    <n v="5228"/>
    <n v="23361"/>
    <n v="0"/>
    <s v="Y"/>
    <x v="1"/>
    <n v="15"/>
    <n v="3"/>
    <n v="1"/>
    <n v="80"/>
    <n v="1"/>
    <n v="10"/>
    <n v="2"/>
    <n v="3"/>
    <n v="9"/>
    <n v="7"/>
    <n v="0"/>
    <n v="5"/>
    <x v="1"/>
    <n v="1"/>
    <x v="0"/>
    <x v="0"/>
    <s v="6-10 Years"/>
    <s v="Medium"/>
    <s v="Better"/>
  </r>
  <r>
    <x v="11"/>
    <s v="No"/>
    <s v="Travel_Rarely"/>
    <n v="1252"/>
    <x v="1"/>
    <n v="23"/>
    <n v="2"/>
    <s v="Life Sciences"/>
    <n v="1"/>
    <n v="824"/>
    <n v="3"/>
    <x v="1"/>
    <n v="81"/>
    <n v="4"/>
    <n v="1"/>
    <x v="1"/>
    <n v="3"/>
    <s v="Married"/>
    <n v="2700"/>
    <n v="23779"/>
    <n v="1"/>
    <s v="Y"/>
    <x v="1"/>
    <n v="24"/>
    <n v="4"/>
    <n v="3"/>
    <n v="80"/>
    <n v="1"/>
    <n v="10"/>
    <n v="3"/>
    <n v="3"/>
    <n v="10"/>
    <n v="7"/>
    <n v="0"/>
    <n v="7"/>
    <x v="1"/>
    <n v="1"/>
    <x v="2"/>
    <x v="1"/>
    <s v="6-10 Years"/>
    <s v="High"/>
    <s v="Better"/>
  </r>
  <r>
    <x v="34"/>
    <s v="Yes"/>
    <s v="Travel_Rarely"/>
    <n v="286"/>
    <x v="1"/>
    <n v="2"/>
    <n v="4"/>
    <s v="Life Sciences"/>
    <n v="1"/>
    <n v="825"/>
    <n v="4"/>
    <x v="1"/>
    <n v="31"/>
    <n v="3"/>
    <n v="5"/>
    <x v="7"/>
    <n v="2"/>
    <s v="Single"/>
    <n v="19246"/>
    <n v="25761"/>
    <n v="7"/>
    <s v="Y"/>
    <x v="0"/>
    <n v="12"/>
    <n v="3"/>
    <n v="4"/>
    <n v="80"/>
    <n v="0"/>
    <n v="40"/>
    <n v="2"/>
    <n v="3"/>
    <n v="31"/>
    <n v="15"/>
    <n v="13"/>
    <n v="8"/>
    <x v="0"/>
    <n v="0"/>
    <x v="3"/>
    <x v="2"/>
    <s v="10+ Years"/>
    <s v="Medium"/>
    <s v="Better"/>
  </r>
  <r>
    <x v="10"/>
    <s v="No"/>
    <s v="Travel_Rarely"/>
    <n v="1258"/>
    <x v="1"/>
    <n v="1"/>
    <n v="4"/>
    <s v="Life Sciences"/>
    <n v="1"/>
    <n v="826"/>
    <n v="4"/>
    <x v="0"/>
    <n v="40"/>
    <n v="4"/>
    <n v="1"/>
    <x v="1"/>
    <n v="3"/>
    <s v="Single"/>
    <n v="2506"/>
    <n v="13301"/>
    <n v="3"/>
    <s v="Y"/>
    <x v="1"/>
    <n v="13"/>
    <n v="3"/>
    <n v="3"/>
    <n v="80"/>
    <n v="0"/>
    <n v="7"/>
    <n v="0"/>
    <n v="3"/>
    <n v="2"/>
    <n v="2"/>
    <n v="2"/>
    <n v="2"/>
    <x v="1"/>
    <n v="1"/>
    <x v="0"/>
    <x v="1"/>
    <s v="2-5 Years"/>
    <s v="High"/>
    <s v="Better"/>
  </r>
  <r>
    <x v="19"/>
    <s v="No"/>
    <s v="Travel_Rarely"/>
    <n v="932"/>
    <x v="1"/>
    <n v="1"/>
    <n v="2"/>
    <s v="Life Sciences"/>
    <n v="1"/>
    <n v="827"/>
    <n v="4"/>
    <x v="0"/>
    <n v="43"/>
    <n v="2"/>
    <n v="2"/>
    <x v="3"/>
    <n v="4"/>
    <s v="Married"/>
    <n v="6062"/>
    <n v="4051"/>
    <n v="9"/>
    <s v="Y"/>
    <x v="0"/>
    <n v="13"/>
    <n v="3"/>
    <n v="4"/>
    <n v="80"/>
    <n v="1"/>
    <n v="8"/>
    <n v="4"/>
    <n v="3"/>
    <n v="4"/>
    <n v="3"/>
    <n v="0"/>
    <n v="2"/>
    <x v="1"/>
    <n v="1"/>
    <x v="0"/>
    <x v="0"/>
    <s v="2-5 Years"/>
    <s v="Very High"/>
    <s v="Better"/>
  </r>
  <r>
    <x v="14"/>
    <s v="Yes"/>
    <s v="Travel_Rarely"/>
    <n v="890"/>
    <x v="1"/>
    <n v="2"/>
    <n v="4"/>
    <s v="Medical"/>
    <n v="1"/>
    <n v="828"/>
    <n v="3"/>
    <x v="1"/>
    <n v="46"/>
    <n v="3"/>
    <n v="1"/>
    <x v="1"/>
    <n v="3"/>
    <s v="Single"/>
    <n v="4382"/>
    <n v="16374"/>
    <n v="6"/>
    <s v="Y"/>
    <x v="1"/>
    <n v="17"/>
    <n v="3"/>
    <n v="4"/>
    <n v="80"/>
    <n v="0"/>
    <n v="5"/>
    <n v="3"/>
    <n v="2"/>
    <n v="2"/>
    <n v="2"/>
    <n v="2"/>
    <n v="1"/>
    <x v="0"/>
    <n v="0"/>
    <x v="2"/>
    <x v="0"/>
    <s v="2-5 Years"/>
    <s v="High"/>
    <s v="Good"/>
  </r>
  <r>
    <x v="9"/>
    <s v="No"/>
    <s v="Travel_Rarely"/>
    <n v="1041"/>
    <x v="2"/>
    <n v="13"/>
    <n v="3"/>
    <s v="Human Resources"/>
    <n v="1"/>
    <n v="829"/>
    <n v="3"/>
    <x v="1"/>
    <n v="36"/>
    <n v="3"/>
    <n v="1"/>
    <x v="8"/>
    <n v="2"/>
    <s v="Married"/>
    <n v="2143"/>
    <n v="25527"/>
    <n v="4"/>
    <s v="Y"/>
    <x v="1"/>
    <n v="13"/>
    <n v="3"/>
    <n v="2"/>
    <n v="80"/>
    <n v="1"/>
    <n v="8"/>
    <n v="2"/>
    <n v="3"/>
    <n v="5"/>
    <n v="2"/>
    <n v="0"/>
    <n v="4"/>
    <x v="1"/>
    <n v="1"/>
    <x v="0"/>
    <x v="1"/>
    <s v="2-5 Years"/>
    <s v="Medium"/>
    <s v="Better"/>
  </r>
  <r>
    <x v="5"/>
    <s v="No"/>
    <s v="Travel_Rarely"/>
    <n v="859"/>
    <x v="1"/>
    <n v="4"/>
    <n v="3"/>
    <s v="Life Sciences"/>
    <n v="1"/>
    <n v="830"/>
    <n v="3"/>
    <x v="0"/>
    <n v="98"/>
    <n v="2"/>
    <n v="2"/>
    <x v="3"/>
    <n v="3"/>
    <s v="Married"/>
    <n v="6162"/>
    <n v="19124"/>
    <n v="1"/>
    <s v="Y"/>
    <x v="1"/>
    <n v="12"/>
    <n v="3"/>
    <n v="3"/>
    <n v="80"/>
    <n v="1"/>
    <n v="14"/>
    <n v="3"/>
    <n v="3"/>
    <n v="14"/>
    <n v="13"/>
    <n v="6"/>
    <n v="8"/>
    <x v="1"/>
    <n v="1"/>
    <x v="2"/>
    <x v="0"/>
    <s v="10+ Years"/>
    <s v="High"/>
    <s v="Better"/>
  </r>
  <r>
    <x v="32"/>
    <s v="No"/>
    <s v="Travel_Frequently"/>
    <n v="720"/>
    <x v="1"/>
    <n v="16"/>
    <n v="4"/>
    <s v="Medical"/>
    <n v="1"/>
    <n v="832"/>
    <n v="1"/>
    <x v="1"/>
    <n v="51"/>
    <n v="2"/>
    <n v="2"/>
    <x v="2"/>
    <n v="3"/>
    <s v="Single"/>
    <n v="5094"/>
    <n v="11983"/>
    <n v="6"/>
    <s v="Y"/>
    <x v="1"/>
    <n v="14"/>
    <n v="3"/>
    <n v="4"/>
    <n v="80"/>
    <n v="0"/>
    <n v="10"/>
    <n v="6"/>
    <n v="3"/>
    <n v="1"/>
    <n v="0"/>
    <n v="0"/>
    <n v="0"/>
    <x v="1"/>
    <n v="1"/>
    <x v="0"/>
    <x v="0"/>
    <s v="0-1 Years"/>
    <s v="High"/>
    <s v="Better"/>
  </r>
  <r>
    <x v="7"/>
    <s v="No"/>
    <s v="Travel_Rarely"/>
    <n v="946"/>
    <x v="1"/>
    <n v="2"/>
    <n v="3"/>
    <s v="Medical"/>
    <n v="1"/>
    <n v="833"/>
    <n v="3"/>
    <x v="0"/>
    <n v="52"/>
    <n v="2"/>
    <n v="2"/>
    <x v="3"/>
    <n v="4"/>
    <s v="Single"/>
    <n v="6877"/>
    <n v="20234"/>
    <n v="5"/>
    <s v="Y"/>
    <x v="0"/>
    <n v="24"/>
    <n v="4"/>
    <n v="2"/>
    <n v="80"/>
    <n v="0"/>
    <n v="12"/>
    <n v="4"/>
    <n v="2"/>
    <n v="0"/>
    <n v="0"/>
    <n v="0"/>
    <n v="0"/>
    <x v="1"/>
    <n v="1"/>
    <x v="2"/>
    <x v="0"/>
    <s v="0-1 Years"/>
    <s v="Very High"/>
    <s v="Good"/>
  </r>
  <r>
    <x v="28"/>
    <s v="No"/>
    <s v="Travel_Rarely"/>
    <n v="252"/>
    <x v="1"/>
    <n v="2"/>
    <n v="3"/>
    <s v="Life Sciences"/>
    <n v="1"/>
    <n v="834"/>
    <n v="2"/>
    <x v="0"/>
    <n v="95"/>
    <n v="2"/>
    <n v="1"/>
    <x v="1"/>
    <n v="3"/>
    <s v="Single"/>
    <n v="2274"/>
    <n v="6153"/>
    <n v="1"/>
    <s v="Y"/>
    <x v="1"/>
    <n v="14"/>
    <n v="3"/>
    <n v="4"/>
    <n v="80"/>
    <n v="0"/>
    <n v="1"/>
    <n v="3"/>
    <n v="3"/>
    <n v="1"/>
    <n v="0"/>
    <n v="0"/>
    <n v="0"/>
    <x v="1"/>
    <n v="1"/>
    <x v="1"/>
    <x v="1"/>
    <s v="0-1 Years"/>
    <s v="High"/>
    <s v="Better"/>
  </r>
  <r>
    <x v="19"/>
    <s v="No"/>
    <s v="Travel_Rarely"/>
    <n v="933"/>
    <x v="1"/>
    <n v="29"/>
    <n v="3"/>
    <s v="Life Sciences"/>
    <n v="1"/>
    <n v="836"/>
    <n v="2"/>
    <x v="1"/>
    <n v="98"/>
    <n v="3"/>
    <n v="2"/>
    <x v="3"/>
    <n v="2"/>
    <s v="Married"/>
    <n v="4434"/>
    <n v="11806"/>
    <n v="1"/>
    <s v="Y"/>
    <x v="1"/>
    <n v="13"/>
    <n v="3"/>
    <n v="4"/>
    <n v="80"/>
    <n v="1"/>
    <n v="10"/>
    <n v="3"/>
    <n v="2"/>
    <n v="9"/>
    <n v="8"/>
    <n v="7"/>
    <n v="8"/>
    <x v="1"/>
    <n v="1"/>
    <x v="0"/>
    <x v="0"/>
    <s v="6-10 Years"/>
    <s v="Medium"/>
    <s v="Good"/>
  </r>
  <r>
    <x v="8"/>
    <s v="No"/>
    <s v="Travel_Frequently"/>
    <n v="471"/>
    <x v="1"/>
    <n v="12"/>
    <n v="3"/>
    <s v="Life Sciences"/>
    <n v="1"/>
    <n v="837"/>
    <n v="1"/>
    <x v="1"/>
    <n v="45"/>
    <n v="2"/>
    <n v="2"/>
    <x v="4"/>
    <n v="1"/>
    <s v="Divorced"/>
    <n v="6288"/>
    <n v="4284"/>
    <n v="2"/>
    <s v="Y"/>
    <x v="1"/>
    <n v="15"/>
    <n v="3"/>
    <n v="3"/>
    <n v="80"/>
    <n v="1"/>
    <n v="13"/>
    <n v="3"/>
    <n v="2"/>
    <n v="4"/>
    <n v="3"/>
    <n v="1"/>
    <n v="2"/>
    <x v="1"/>
    <n v="1"/>
    <x v="0"/>
    <x v="0"/>
    <s v="2-5 Years"/>
    <s v="Low"/>
    <s v="Good"/>
  </r>
  <r>
    <x v="13"/>
    <s v="No"/>
    <s v="Travel_Frequently"/>
    <n v="702"/>
    <x v="1"/>
    <n v="16"/>
    <n v="4"/>
    <s v="Life Sciences"/>
    <n v="1"/>
    <n v="838"/>
    <n v="3"/>
    <x v="0"/>
    <n v="100"/>
    <n v="2"/>
    <n v="1"/>
    <x v="1"/>
    <n v="4"/>
    <s v="Single"/>
    <n v="2553"/>
    <n v="8306"/>
    <n v="1"/>
    <s v="Y"/>
    <x v="1"/>
    <n v="16"/>
    <n v="3"/>
    <n v="3"/>
    <n v="80"/>
    <n v="0"/>
    <n v="6"/>
    <n v="3"/>
    <n v="3"/>
    <n v="5"/>
    <n v="2"/>
    <n v="1"/>
    <n v="3"/>
    <x v="1"/>
    <n v="1"/>
    <x v="2"/>
    <x v="1"/>
    <s v="2-5 Years"/>
    <s v="Very High"/>
    <s v="Better"/>
  </r>
  <r>
    <x v="1"/>
    <s v="Yes"/>
    <s v="Travel_Rarely"/>
    <n v="1184"/>
    <x v="0"/>
    <n v="11"/>
    <n v="3"/>
    <s v="Marketing"/>
    <n v="1"/>
    <n v="840"/>
    <n v="3"/>
    <x v="0"/>
    <n v="43"/>
    <n v="3"/>
    <n v="3"/>
    <x v="0"/>
    <n v="4"/>
    <s v="Married"/>
    <n v="7654"/>
    <n v="5860"/>
    <n v="1"/>
    <s v="Y"/>
    <x v="1"/>
    <n v="18"/>
    <n v="3"/>
    <n v="1"/>
    <n v="80"/>
    <n v="2"/>
    <n v="9"/>
    <n v="3"/>
    <n v="4"/>
    <n v="9"/>
    <n v="8"/>
    <n v="7"/>
    <n v="7"/>
    <x v="0"/>
    <n v="0"/>
    <x v="1"/>
    <x v="2"/>
    <s v="6-10 Years"/>
    <s v="Very High"/>
    <s v="Best"/>
  </r>
  <r>
    <x v="27"/>
    <s v="Yes"/>
    <s v="Travel_Rarely"/>
    <n v="436"/>
    <x v="0"/>
    <n v="2"/>
    <n v="1"/>
    <s v="Medical"/>
    <n v="1"/>
    <n v="842"/>
    <n v="3"/>
    <x v="1"/>
    <n v="37"/>
    <n v="3"/>
    <n v="2"/>
    <x v="0"/>
    <n v="4"/>
    <s v="Single"/>
    <n v="5160"/>
    <n v="21519"/>
    <n v="4"/>
    <s v="Y"/>
    <x v="1"/>
    <n v="16"/>
    <n v="3"/>
    <n v="3"/>
    <n v="80"/>
    <n v="0"/>
    <n v="12"/>
    <n v="3"/>
    <n v="2"/>
    <n v="9"/>
    <n v="7"/>
    <n v="7"/>
    <n v="3"/>
    <x v="0"/>
    <n v="0"/>
    <x v="3"/>
    <x v="0"/>
    <s v="6-10 Years"/>
    <s v="Very High"/>
    <s v="Good"/>
  </r>
  <r>
    <x v="23"/>
    <s v="No"/>
    <s v="Travel_Rarely"/>
    <n v="589"/>
    <x v="1"/>
    <n v="14"/>
    <n v="2"/>
    <s v="Life Sciences"/>
    <n v="1"/>
    <n v="843"/>
    <n v="2"/>
    <x v="1"/>
    <n v="94"/>
    <n v="3"/>
    <n v="4"/>
    <x v="7"/>
    <n v="1"/>
    <s v="Married"/>
    <n v="17159"/>
    <n v="5200"/>
    <n v="6"/>
    <s v="Y"/>
    <x v="1"/>
    <n v="24"/>
    <n v="4"/>
    <n v="3"/>
    <n v="80"/>
    <n v="1"/>
    <n v="22"/>
    <n v="3"/>
    <n v="3"/>
    <n v="4"/>
    <n v="1"/>
    <n v="1"/>
    <n v="0"/>
    <x v="1"/>
    <n v="1"/>
    <x v="0"/>
    <x v="2"/>
    <s v="2-5 Years"/>
    <s v="Low"/>
    <s v="Better"/>
  </r>
  <r>
    <x v="4"/>
    <s v="No"/>
    <s v="Travel_Rarely"/>
    <n v="269"/>
    <x v="1"/>
    <n v="5"/>
    <n v="1"/>
    <s v="Technical Degree"/>
    <n v="1"/>
    <n v="844"/>
    <n v="3"/>
    <x v="1"/>
    <n v="42"/>
    <n v="2"/>
    <n v="3"/>
    <x v="7"/>
    <n v="4"/>
    <s v="Divorced"/>
    <n v="12808"/>
    <n v="8842"/>
    <n v="1"/>
    <s v="Y"/>
    <x v="0"/>
    <n v="16"/>
    <n v="3"/>
    <n v="2"/>
    <n v="80"/>
    <n v="1"/>
    <n v="9"/>
    <n v="3"/>
    <n v="3"/>
    <n v="9"/>
    <n v="8"/>
    <n v="0"/>
    <n v="8"/>
    <x v="1"/>
    <n v="1"/>
    <x v="2"/>
    <x v="2"/>
    <s v="6-10 Years"/>
    <s v="Very High"/>
    <s v="Better"/>
  </r>
  <r>
    <x v="10"/>
    <s v="No"/>
    <s v="Travel_Rarely"/>
    <n v="950"/>
    <x v="1"/>
    <n v="7"/>
    <n v="3"/>
    <s v="Other"/>
    <n v="1"/>
    <n v="845"/>
    <n v="3"/>
    <x v="1"/>
    <n v="59"/>
    <n v="3"/>
    <n v="3"/>
    <x v="3"/>
    <n v="3"/>
    <s v="Single"/>
    <n v="10221"/>
    <n v="18869"/>
    <n v="3"/>
    <s v="Y"/>
    <x v="1"/>
    <n v="21"/>
    <n v="4"/>
    <n v="2"/>
    <n v="80"/>
    <n v="0"/>
    <n v="17"/>
    <n v="3"/>
    <n v="4"/>
    <n v="8"/>
    <n v="5"/>
    <n v="1"/>
    <n v="6"/>
    <x v="1"/>
    <n v="1"/>
    <x v="0"/>
    <x v="2"/>
    <s v="6-10 Years"/>
    <s v="High"/>
    <s v="Best"/>
  </r>
  <r>
    <x v="14"/>
    <s v="No"/>
    <s v="Travel_Rarely"/>
    <n v="760"/>
    <x v="0"/>
    <n v="2"/>
    <n v="4"/>
    <s v="Marketing"/>
    <n v="1"/>
    <n v="846"/>
    <n v="2"/>
    <x v="0"/>
    <n v="81"/>
    <n v="3"/>
    <n v="2"/>
    <x v="0"/>
    <n v="2"/>
    <s v="Married"/>
    <n v="4779"/>
    <n v="3698"/>
    <n v="1"/>
    <s v="Y"/>
    <x v="0"/>
    <n v="20"/>
    <n v="4"/>
    <n v="1"/>
    <n v="80"/>
    <n v="0"/>
    <n v="8"/>
    <n v="2"/>
    <n v="3"/>
    <n v="8"/>
    <n v="7"/>
    <n v="7"/>
    <n v="5"/>
    <x v="1"/>
    <n v="1"/>
    <x v="2"/>
    <x v="0"/>
    <s v="6-10 Years"/>
    <s v="Medium"/>
    <s v="Better"/>
  </r>
  <r>
    <x v="13"/>
    <s v="No"/>
    <s v="Travel_Rarely"/>
    <n v="829"/>
    <x v="2"/>
    <n v="3"/>
    <n v="2"/>
    <s v="Human Resources"/>
    <n v="1"/>
    <n v="847"/>
    <n v="3"/>
    <x v="1"/>
    <n v="88"/>
    <n v="3"/>
    <n v="1"/>
    <x v="8"/>
    <n v="4"/>
    <s v="Married"/>
    <n v="3737"/>
    <n v="2243"/>
    <n v="0"/>
    <s v="Y"/>
    <x v="1"/>
    <n v="19"/>
    <n v="3"/>
    <n v="3"/>
    <n v="80"/>
    <n v="1"/>
    <n v="4"/>
    <n v="1"/>
    <n v="1"/>
    <n v="3"/>
    <n v="2"/>
    <n v="0"/>
    <n v="2"/>
    <x v="1"/>
    <n v="1"/>
    <x v="2"/>
    <x v="0"/>
    <s v="2-5 Years"/>
    <s v="Very High"/>
    <s v="Bad"/>
  </r>
  <r>
    <x v="25"/>
    <s v="Yes"/>
    <s v="Travel_Frequently"/>
    <n v="887"/>
    <x v="1"/>
    <n v="5"/>
    <n v="2"/>
    <s v="Medical"/>
    <n v="1"/>
    <n v="848"/>
    <n v="3"/>
    <x v="0"/>
    <n v="88"/>
    <n v="2"/>
    <n v="1"/>
    <x v="1"/>
    <n v="3"/>
    <s v="Married"/>
    <n v="2366"/>
    <n v="20898"/>
    <n v="1"/>
    <s v="Y"/>
    <x v="0"/>
    <n v="14"/>
    <n v="3"/>
    <n v="1"/>
    <n v="80"/>
    <n v="1"/>
    <n v="8"/>
    <n v="2"/>
    <n v="3"/>
    <n v="8"/>
    <n v="7"/>
    <n v="1"/>
    <n v="7"/>
    <x v="0"/>
    <n v="0"/>
    <x v="2"/>
    <x v="1"/>
    <s v="6-10 Years"/>
    <s v="High"/>
    <s v="Better"/>
  </r>
  <r>
    <x v="4"/>
    <s v="No"/>
    <s v="Non-Travel"/>
    <n v="443"/>
    <x v="1"/>
    <n v="3"/>
    <n v="3"/>
    <s v="Medical"/>
    <n v="1"/>
    <n v="850"/>
    <n v="4"/>
    <x v="1"/>
    <n v="50"/>
    <n v="3"/>
    <n v="1"/>
    <x v="1"/>
    <n v="4"/>
    <s v="Married"/>
    <n v="1706"/>
    <n v="16571"/>
    <n v="1"/>
    <s v="Y"/>
    <x v="1"/>
    <n v="11"/>
    <n v="3"/>
    <n v="3"/>
    <n v="80"/>
    <n v="3"/>
    <n v="0"/>
    <n v="6"/>
    <n v="2"/>
    <n v="0"/>
    <n v="0"/>
    <n v="0"/>
    <n v="0"/>
    <x v="1"/>
    <n v="1"/>
    <x v="2"/>
    <x v="1"/>
    <s v="0-1 Years"/>
    <s v="Very High"/>
    <s v="Good"/>
  </r>
  <r>
    <x v="31"/>
    <s v="No"/>
    <s v="Travel_Rarely"/>
    <n v="1318"/>
    <x v="0"/>
    <n v="26"/>
    <n v="4"/>
    <s v="Marketing"/>
    <n v="1"/>
    <n v="851"/>
    <n v="1"/>
    <x v="0"/>
    <n v="66"/>
    <n v="3"/>
    <n v="4"/>
    <x v="5"/>
    <n v="3"/>
    <s v="Married"/>
    <n v="16307"/>
    <n v="5594"/>
    <n v="2"/>
    <s v="Y"/>
    <x v="1"/>
    <n v="14"/>
    <n v="3"/>
    <n v="3"/>
    <n v="80"/>
    <n v="1"/>
    <n v="29"/>
    <n v="2"/>
    <n v="2"/>
    <n v="20"/>
    <n v="6"/>
    <n v="4"/>
    <n v="17"/>
    <x v="1"/>
    <n v="1"/>
    <x v="1"/>
    <x v="2"/>
    <s v="10+ Years"/>
    <s v="High"/>
    <s v="Good"/>
  </r>
  <r>
    <x v="20"/>
    <s v="No"/>
    <s v="Travel_Rarely"/>
    <n v="625"/>
    <x v="1"/>
    <n v="4"/>
    <n v="3"/>
    <s v="Medical"/>
    <n v="1"/>
    <n v="852"/>
    <n v="4"/>
    <x v="1"/>
    <n v="50"/>
    <n v="3"/>
    <n v="2"/>
    <x v="4"/>
    <n v="2"/>
    <s v="Single"/>
    <n v="5933"/>
    <n v="5197"/>
    <n v="9"/>
    <s v="Y"/>
    <x v="1"/>
    <n v="12"/>
    <n v="3"/>
    <n v="4"/>
    <n v="80"/>
    <n v="0"/>
    <n v="10"/>
    <n v="2"/>
    <n v="2"/>
    <n v="5"/>
    <n v="2"/>
    <n v="2"/>
    <n v="3"/>
    <x v="1"/>
    <n v="1"/>
    <x v="0"/>
    <x v="0"/>
    <s v="2-5 Years"/>
    <s v="Medium"/>
    <s v="Good"/>
  </r>
  <r>
    <x v="36"/>
    <s v="No"/>
    <s v="Travel_Rarely"/>
    <n v="180"/>
    <x v="1"/>
    <n v="2"/>
    <n v="1"/>
    <s v="Medical"/>
    <n v="1"/>
    <n v="854"/>
    <n v="1"/>
    <x v="1"/>
    <n v="65"/>
    <n v="4"/>
    <n v="1"/>
    <x v="1"/>
    <n v="1"/>
    <s v="Single"/>
    <n v="3424"/>
    <n v="21632"/>
    <n v="7"/>
    <s v="Y"/>
    <x v="1"/>
    <n v="13"/>
    <n v="3"/>
    <n v="3"/>
    <n v="80"/>
    <n v="0"/>
    <n v="6"/>
    <n v="3"/>
    <n v="2"/>
    <n v="4"/>
    <n v="3"/>
    <n v="0"/>
    <n v="1"/>
    <x v="1"/>
    <n v="1"/>
    <x v="2"/>
    <x v="0"/>
    <s v="2-5 Years"/>
    <s v="Low"/>
    <s v="Good"/>
  </r>
  <r>
    <x v="3"/>
    <s v="No"/>
    <s v="Travel_Rarely"/>
    <n v="586"/>
    <x v="0"/>
    <n v="1"/>
    <n v="3"/>
    <s v="Medical"/>
    <n v="1"/>
    <n v="855"/>
    <n v="1"/>
    <x v="1"/>
    <n v="48"/>
    <n v="4"/>
    <n v="2"/>
    <x v="0"/>
    <n v="1"/>
    <s v="Divorced"/>
    <n v="4037"/>
    <n v="21816"/>
    <n v="1"/>
    <s v="Y"/>
    <x v="1"/>
    <n v="22"/>
    <n v="4"/>
    <n v="1"/>
    <n v="80"/>
    <n v="1"/>
    <n v="9"/>
    <n v="5"/>
    <n v="3"/>
    <n v="9"/>
    <n v="8"/>
    <n v="0"/>
    <n v="8"/>
    <x v="1"/>
    <n v="1"/>
    <x v="2"/>
    <x v="0"/>
    <s v="6-10 Years"/>
    <s v="Low"/>
    <s v="Better"/>
  </r>
  <r>
    <x v="10"/>
    <s v="No"/>
    <s v="Travel_Rarely"/>
    <n v="1343"/>
    <x v="1"/>
    <n v="27"/>
    <n v="1"/>
    <s v="Medical"/>
    <n v="1"/>
    <n v="856"/>
    <n v="3"/>
    <x v="0"/>
    <n v="53"/>
    <n v="2"/>
    <n v="1"/>
    <x v="1"/>
    <n v="1"/>
    <s v="Single"/>
    <n v="2559"/>
    <n v="17852"/>
    <n v="1"/>
    <s v="Y"/>
    <x v="1"/>
    <n v="11"/>
    <n v="3"/>
    <n v="4"/>
    <n v="80"/>
    <n v="0"/>
    <n v="6"/>
    <n v="3"/>
    <n v="2"/>
    <n v="6"/>
    <n v="5"/>
    <n v="1"/>
    <n v="1"/>
    <x v="1"/>
    <n v="1"/>
    <x v="0"/>
    <x v="1"/>
    <s v="6-10 Years"/>
    <s v="Low"/>
    <s v="Good"/>
  </r>
  <r>
    <x v="9"/>
    <s v="No"/>
    <s v="Travel_Rarely"/>
    <n v="928"/>
    <x v="0"/>
    <n v="1"/>
    <n v="2"/>
    <s v="Life Sciences"/>
    <n v="1"/>
    <n v="857"/>
    <n v="2"/>
    <x v="1"/>
    <n v="56"/>
    <n v="3"/>
    <n v="2"/>
    <x v="0"/>
    <n v="4"/>
    <s v="Married"/>
    <n v="6201"/>
    <n v="2823"/>
    <n v="1"/>
    <s v="Y"/>
    <x v="0"/>
    <n v="14"/>
    <n v="3"/>
    <n v="4"/>
    <n v="80"/>
    <n v="1"/>
    <n v="18"/>
    <n v="1"/>
    <n v="2"/>
    <n v="18"/>
    <n v="14"/>
    <n v="4"/>
    <n v="11"/>
    <x v="1"/>
    <n v="1"/>
    <x v="0"/>
    <x v="0"/>
    <s v="10+ Years"/>
    <s v="Very High"/>
    <s v="Good"/>
  </r>
  <r>
    <x v="5"/>
    <s v="No"/>
    <s v="Travel_Rarely"/>
    <n v="117"/>
    <x v="0"/>
    <n v="13"/>
    <n v="4"/>
    <s v="Life Sciences"/>
    <n v="1"/>
    <n v="859"/>
    <n v="2"/>
    <x v="1"/>
    <n v="73"/>
    <n v="3"/>
    <n v="2"/>
    <x v="0"/>
    <n v="4"/>
    <s v="Divorced"/>
    <n v="4403"/>
    <n v="9250"/>
    <n v="2"/>
    <s v="Y"/>
    <x v="1"/>
    <n v="11"/>
    <n v="3"/>
    <n v="3"/>
    <n v="80"/>
    <n v="1"/>
    <n v="8"/>
    <n v="3"/>
    <n v="2"/>
    <n v="5"/>
    <n v="2"/>
    <n v="0"/>
    <n v="3"/>
    <x v="1"/>
    <n v="1"/>
    <x v="2"/>
    <x v="0"/>
    <s v="2-5 Years"/>
    <s v="Very High"/>
    <s v="Good"/>
  </r>
  <r>
    <x v="7"/>
    <s v="No"/>
    <s v="Travel_Frequently"/>
    <n v="1012"/>
    <x v="1"/>
    <n v="5"/>
    <n v="4"/>
    <s v="Life Sciences"/>
    <n v="1"/>
    <n v="861"/>
    <n v="2"/>
    <x v="1"/>
    <n v="75"/>
    <n v="2"/>
    <n v="1"/>
    <x v="1"/>
    <n v="4"/>
    <s v="Divorced"/>
    <n v="3761"/>
    <n v="2373"/>
    <n v="9"/>
    <s v="Y"/>
    <x v="1"/>
    <n v="12"/>
    <n v="3"/>
    <n v="2"/>
    <n v="80"/>
    <n v="1"/>
    <n v="10"/>
    <n v="3"/>
    <n v="2"/>
    <n v="5"/>
    <n v="4"/>
    <n v="0"/>
    <n v="3"/>
    <x v="1"/>
    <n v="1"/>
    <x v="2"/>
    <x v="0"/>
    <s v="2-5 Years"/>
    <s v="Very High"/>
    <s v="Good"/>
  </r>
  <r>
    <x v="16"/>
    <s v="No"/>
    <s v="Travel_Rarely"/>
    <n v="661"/>
    <x v="0"/>
    <n v="7"/>
    <n v="2"/>
    <s v="Marketing"/>
    <n v="1"/>
    <n v="862"/>
    <n v="1"/>
    <x v="0"/>
    <n v="78"/>
    <n v="2"/>
    <n v="3"/>
    <x v="0"/>
    <n v="4"/>
    <s v="Married"/>
    <n v="10934"/>
    <n v="20715"/>
    <n v="7"/>
    <s v="Y"/>
    <x v="0"/>
    <n v="18"/>
    <n v="3"/>
    <n v="4"/>
    <n v="80"/>
    <n v="1"/>
    <n v="35"/>
    <n v="3"/>
    <n v="3"/>
    <n v="5"/>
    <n v="2"/>
    <n v="0"/>
    <n v="4"/>
    <x v="1"/>
    <n v="1"/>
    <x v="1"/>
    <x v="2"/>
    <s v="2-5 Years"/>
    <s v="Very High"/>
    <s v="Better"/>
  </r>
  <r>
    <x v="28"/>
    <s v="No"/>
    <s v="Travel_Rarely"/>
    <n v="930"/>
    <x v="0"/>
    <n v="9"/>
    <n v="3"/>
    <s v="Marketing"/>
    <n v="1"/>
    <n v="864"/>
    <n v="4"/>
    <x v="1"/>
    <n v="74"/>
    <n v="3"/>
    <n v="3"/>
    <x v="0"/>
    <n v="1"/>
    <s v="Divorced"/>
    <n v="10761"/>
    <n v="19239"/>
    <n v="4"/>
    <s v="Y"/>
    <x v="0"/>
    <n v="12"/>
    <n v="3"/>
    <n v="3"/>
    <n v="80"/>
    <n v="1"/>
    <n v="18"/>
    <n v="2"/>
    <n v="3"/>
    <n v="5"/>
    <n v="4"/>
    <n v="0"/>
    <n v="2"/>
    <x v="1"/>
    <n v="1"/>
    <x v="1"/>
    <x v="2"/>
    <s v="2-5 Years"/>
    <s v="Low"/>
    <s v="Better"/>
  </r>
  <r>
    <x v="5"/>
    <s v="No"/>
    <s v="Travel_Rarely"/>
    <n v="638"/>
    <x v="1"/>
    <n v="8"/>
    <n v="2"/>
    <s v="Medical"/>
    <n v="1"/>
    <n v="865"/>
    <n v="3"/>
    <x v="0"/>
    <n v="91"/>
    <n v="4"/>
    <n v="2"/>
    <x v="1"/>
    <n v="3"/>
    <s v="Married"/>
    <n v="5175"/>
    <n v="22162"/>
    <n v="5"/>
    <s v="Y"/>
    <x v="1"/>
    <n v="12"/>
    <n v="3"/>
    <n v="3"/>
    <n v="80"/>
    <n v="1"/>
    <n v="9"/>
    <n v="3"/>
    <n v="2"/>
    <n v="5"/>
    <n v="3"/>
    <n v="1"/>
    <n v="3"/>
    <x v="1"/>
    <n v="1"/>
    <x v="2"/>
    <x v="0"/>
    <s v="2-5 Years"/>
    <s v="High"/>
    <s v="Good"/>
  </r>
  <r>
    <x v="39"/>
    <s v="No"/>
    <s v="Travel_Frequently"/>
    <n v="890"/>
    <x v="1"/>
    <n v="25"/>
    <n v="4"/>
    <s v="Medical"/>
    <n v="1"/>
    <n v="867"/>
    <n v="3"/>
    <x v="0"/>
    <n v="81"/>
    <n v="2"/>
    <n v="4"/>
    <x v="3"/>
    <n v="4"/>
    <s v="Married"/>
    <n v="13826"/>
    <n v="19028"/>
    <n v="3"/>
    <s v="Y"/>
    <x v="1"/>
    <n v="22"/>
    <n v="4"/>
    <n v="3"/>
    <n v="80"/>
    <n v="0"/>
    <n v="31"/>
    <n v="3"/>
    <n v="3"/>
    <n v="9"/>
    <n v="8"/>
    <n v="0"/>
    <n v="0"/>
    <x v="1"/>
    <n v="1"/>
    <x v="1"/>
    <x v="2"/>
    <s v="6-10 Years"/>
    <s v="Very High"/>
    <s v="Better"/>
  </r>
  <r>
    <x v="2"/>
    <s v="No"/>
    <s v="Travel_Rarely"/>
    <n v="342"/>
    <x v="0"/>
    <n v="16"/>
    <n v="4"/>
    <s v="Marketing"/>
    <n v="1"/>
    <n v="868"/>
    <n v="4"/>
    <x v="1"/>
    <n v="66"/>
    <n v="2"/>
    <n v="2"/>
    <x v="0"/>
    <n v="3"/>
    <s v="Divorced"/>
    <n v="6334"/>
    <n v="24558"/>
    <n v="4"/>
    <s v="Y"/>
    <x v="1"/>
    <n v="19"/>
    <n v="3"/>
    <n v="4"/>
    <n v="80"/>
    <n v="2"/>
    <n v="9"/>
    <n v="2"/>
    <n v="3"/>
    <n v="1"/>
    <n v="0"/>
    <n v="0"/>
    <n v="0"/>
    <x v="1"/>
    <n v="1"/>
    <x v="0"/>
    <x v="0"/>
    <s v="0-1 Years"/>
    <s v="High"/>
    <s v="Better"/>
  </r>
  <r>
    <x v="14"/>
    <s v="No"/>
    <s v="Travel_Rarely"/>
    <n v="1169"/>
    <x v="2"/>
    <n v="8"/>
    <n v="2"/>
    <s v="Medical"/>
    <n v="1"/>
    <n v="869"/>
    <n v="2"/>
    <x v="1"/>
    <n v="63"/>
    <n v="2"/>
    <n v="1"/>
    <x v="8"/>
    <n v="4"/>
    <s v="Divorced"/>
    <n v="4936"/>
    <n v="23965"/>
    <n v="1"/>
    <s v="Y"/>
    <x v="1"/>
    <n v="13"/>
    <n v="3"/>
    <n v="4"/>
    <n v="80"/>
    <n v="1"/>
    <n v="6"/>
    <n v="6"/>
    <n v="3"/>
    <n v="5"/>
    <n v="1"/>
    <n v="0"/>
    <n v="4"/>
    <x v="1"/>
    <n v="1"/>
    <x v="2"/>
    <x v="0"/>
    <s v="2-5 Years"/>
    <s v="Very High"/>
    <s v="Better"/>
  </r>
  <r>
    <x v="15"/>
    <s v="No"/>
    <s v="Travel_Rarely"/>
    <n v="1230"/>
    <x v="1"/>
    <n v="1"/>
    <n v="2"/>
    <s v="Life Sciences"/>
    <n v="1"/>
    <n v="872"/>
    <n v="4"/>
    <x v="1"/>
    <n v="33"/>
    <n v="2"/>
    <n v="2"/>
    <x v="3"/>
    <n v="4"/>
    <s v="Married"/>
    <n v="4775"/>
    <n v="19146"/>
    <n v="6"/>
    <s v="Y"/>
    <x v="1"/>
    <n v="22"/>
    <n v="4"/>
    <n v="1"/>
    <n v="80"/>
    <n v="2"/>
    <n v="4"/>
    <n v="2"/>
    <n v="1"/>
    <n v="2"/>
    <n v="2"/>
    <n v="2"/>
    <n v="2"/>
    <x v="1"/>
    <n v="1"/>
    <x v="4"/>
    <x v="0"/>
    <s v="2-5 Years"/>
    <s v="Very High"/>
    <s v="Bad"/>
  </r>
  <r>
    <x v="20"/>
    <s v="No"/>
    <s v="Travel_Rarely"/>
    <n v="986"/>
    <x v="1"/>
    <n v="8"/>
    <n v="4"/>
    <s v="Life Sciences"/>
    <n v="1"/>
    <n v="874"/>
    <n v="1"/>
    <x v="1"/>
    <n v="62"/>
    <n v="4"/>
    <n v="1"/>
    <x v="2"/>
    <n v="4"/>
    <s v="Married"/>
    <n v="2818"/>
    <n v="5044"/>
    <n v="2"/>
    <s v="Y"/>
    <x v="0"/>
    <n v="24"/>
    <n v="4"/>
    <n v="3"/>
    <n v="80"/>
    <n v="1"/>
    <n v="10"/>
    <n v="2"/>
    <n v="2"/>
    <n v="3"/>
    <n v="2"/>
    <n v="0"/>
    <n v="2"/>
    <x v="1"/>
    <n v="1"/>
    <x v="0"/>
    <x v="1"/>
    <s v="2-5 Years"/>
    <s v="Very High"/>
    <s v="Good"/>
  </r>
  <r>
    <x v="19"/>
    <s v="No"/>
    <s v="Travel_Frequently"/>
    <n v="1271"/>
    <x v="1"/>
    <n v="2"/>
    <n v="1"/>
    <s v="Medical"/>
    <n v="1"/>
    <n v="875"/>
    <n v="2"/>
    <x v="1"/>
    <n v="35"/>
    <n v="3"/>
    <n v="1"/>
    <x v="1"/>
    <n v="4"/>
    <s v="Single"/>
    <n v="2515"/>
    <n v="9068"/>
    <n v="5"/>
    <s v="Y"/>
    <x v="0"/>
    <n v="14"/>
    <n v="3"/>
    <n v="4"/>
    <n v="80"/>
    <n v="0"/>
    <n v="8"/>
    <n v="2"/>
    <n v="3"/>
    <n v="2"/>
    <n v="1"/>
    <n v="2"/>
    <n v="2"/>
    <x v="1"/>
    <n v="1"/>
    <x v="0"/>
    <x v="1"/>
    <s v="2-5 Years"/>
    <s v="Very High"/>
    <s v="Better"/>
  </r>
  <r>
    <x v="9"/>
    <s v="No"/>
    <s v="Travel_Rarely"/>
    <n v="1278"/>
    <x v="2"/>
    <n v="8"/>
    <n v="3"/>
    <s v="Life Sciences"/>
    <n v="1"/>
    <n v="878"/>
    <n v="1"/>
    <x v="1"/>
    <n v="77"/>
    <n v="2"/>
    <n v="1"/>
    <x v="8"/>
    <n v="1"/>
    <s v="Married"/>
    <n v="2342"/>
    <n v="8635"/>
    <n v="0"/>
    <s v="Y"/>
    <x v="1"/>
    <n v="21"/>
    <n v="4"/>
    <n v="3"/>
    <n v="80"/>
    <n v="0"/>
    <n v="6"/>
    <n v="3"/>
    <n v="3"/>
    <n v="5"/>
    <n v="4"/>
    <n v="0"/>
    <n v="3"/>
    <x v="1"/>
    <n v="1"/>
    <x v="0"/>
    <x v="1"/>
    <s v="2-5 Years"/>
    <s v="Low"/>
    <s v="Better"/>
  </r>
  <r>
    <x v="36"/>
    <s v="No"/>
    <s v="Travel_Rarely"/>
    <n v="141"/>
    <x v="0"/>
    <n v="3"/>
    <n v="1"/>
    <s v="Other"/>
    <n v="1"/>
    <n v="879"/>
    <n v="3"/>
    <x v="1"/>
    <n v="98"/>
    <n v="3"/>
    <n v="2"/>
    <x v="0"/>
    <n v="1"/>
    <s v="Married"/>
    <n v="4194"/>
    <n v="14363"/>
    <n v="1"/>
    <s v="Y"/>
    <x v="0"/>
    <n v="18"/>
    <n v="3"/>
    <n v="4"/>
    <n v="80"/>
    <n v="0"/>
    <n v="5"/>
    <n v="3"/>
    <n v="3"/>
    <n v="5"/>
    <n v="3"/>
    <n v="0"/>
    <n v="3"/>
    <x v="1"/>
    <n v="1"/>
    <x v="2"/>
    <x v="0"/>
    <s v="2-5 Years"/>
    <s v="Low"/>
    <s v="Better"/>
  </r>
  <r>
    <x v="10"/>
    <s v="No"/>
    <s v="Travel_Rarely"/>
    <n v="607"/>
    <x v="1"/>
    <n v="9"/>
    <n v="3"/>
    <s v="Life Sciences"/>
    <n v="1"/>
    <n v="880"/>
    <n v="4"/>
    <x v="0"/>
    <n v="66"/>
    <n v="2"/>
    <n v="3"/>
    <x v="3"/>
    <n v="3"/>
    <s v="Married"/>
    <n v="10685"/>
    <n v="23457"/>
    <n v="1"/>
    <s v="Y"/>
    <x v="0"/>
    <n v="20"/>
    <n v="4"/>
    <n v="2"/>
    <n v="80"/>
    <n v="1"/>
    <n v="17"/>
    <n v="2"/>
    <n v="3"/>
    <n v="17"/>
    <n v="14"/>
    <n v="5"/>
    <n v="15"/>
    <x v="1"/>
    <n v="1"/>
    <x v="0"/>
    <x v="2"/>
    <s v="10+ Years"/>
    <s v="High"/>
    <s v="Better"/>
  </r>
  <r>
    <x v="10"/>
    <s v="Yes"/>
    <s v="Travel_Frequently"/>
    <n v="130"/>
    <x v="1"/>
    <n v="25"/>
    <n v="4"/>
    <s v="Life Sciences"/>
    <n v="1"/>
    <n v="881"/>
    <n v="4"/>
    <x v="0"/>
    <n v="96"/>
    <n v="3"/>
    <n v="1"/>
    <x v="1"/>
    <n v="2"/>
    <s v="Divorced"/>
    <n v="2022"/>
    <n v="16612"/>
    <n v="1"/>
    <s v="Y"/>
    <x v="0"/>
    <n v="19"/>
    <n v="3"/>
    <n v="1"/>
    <n v="80"/>
    <n v="1"/>
    <n v="10"/>
    <n v="3"/>
    <n v="2"/>
    <n v="10"/>
    <n v="2"/>
    <n v="7"/>
    <n v="8"/>
    <x v="0"/>
    <n v="0"/>
    <x v="0"/>
    <x v="1"/>
    <s v="6-10 Years"/>
    <s v="Medium"/>
    <s v="Good"/>
  </r>
  <r>
    <x v="5"/>
    <s v="No"/>
    <s v="Non-Travel"/>
    <n v="300"/>
    <x v="1"/>
    <n v="1"/>
    <n v="3"/>
    <s v="Life Sciences"/>
    <n v="1"/>
    <n v="882"/>
    <n v="4"/>
    <x v="1"/>
    <n v="61"/>
    <n v="3"/>
    <n v="1"/>
    <x v="2"/>
    <n v="4"/>
    <s v="Divorced"/>
    <n v="2314"/>
    <n v="9148"/>
    <n v="0"/>
    <s v="Y"/>
    <x v="1"/>
    <n v="12"/>
    <n v="3"/>
    <n v="2"/>
    <n v="80"/>
    <n v="1"/>
    <n v="4"/>
    <n v="2"/>
    <n v="3"/>
    <n v="3"/>
    <n v="0"/>
    <n v="0"/>
    <n v="2"/>
    <x v="1"/>
    <n v="1"/>
    <x v="2"/>
    <x v="1"/>
    <s v="2-5 Years"/>
    <s v="Very High"/>
    <s v="Better"/>
  </r>
  <r>
    <x v="36"/>
    <s v="No"/>
    <s v="Travel_Rarely"/>
    <n v="583"/>
    <x v="0"/>
    <n v="4"/>
    <n v="1"/>
    <s v="Marketing"/>
    <n v="1"/>
    <n v="885"/>
    <n v="3"/>
    <x v="1"/>
    <n v="87"/>
    <n v="2"/>
    <n v="2"/>
    <x v="0"/>
    <n v="1"/>
    <s v="Married"/>
    <n v="4256"/>
    <n v="18154"/>
    <n v="1"/>
    <s v="Y"/>
    <x v="1"/>
    <n v="12"/>
    <n v="3"/>
    <n v="1"/>
    <n v="80"/>
    <n v="0"/>
    <n v="5"/>
    <n v="1"/>
    <n v="4"/>
    <n v="5"/>
    <n v="2"/>
    <n v="0"/>
    <n v="3"/>
    <x v="1"/>
    <n v="1"/>
    <x v="2"/>
    <x v="0"/>
    <s v="2-5 Years"/>
    <s v="Low"/>
    <s v="Best"/>
  </r>
  <r>
    <x v="1"/>
    <s v="No"/>
    <s v="Travel_Rarely"/>
    <n v="1418"/>
    <x v="1"/>
    <n v="1"/>
    <n v="3"/>
    <s v="Technical Degree"/>
    <n v="1"/>
    <n v="887"/>
    <n v="3"/>
    <x v="0"/>
    <n v="36"/>
    <n v="3"/>
    <n v="1"/>
    <x v="1"/>
    <n v="1"/>
    <s v="Married"/>
    <n v="3580"/>
    <n v="10554"/>
    <n v="2"/>
    <s v="Y"/>
    <x v="1"/>
    <n v="16"/>
    <n v="3"/>
    <n v="2"/>
    <n v="80"/>
    <n v="1"/>
    <n v="7"/>
    <n v="2"/>
    <n v="3"/>
    <n v="4"/>
    <n v="2"/>
    <n v="0"/>
    <n v="2"/>
    <x v="1"/>
    <n v="1"/>
    <x v="1"/>
    <x v="0"/>
    <s v="2-5 Years"/>
    <s v="Low"/>
    <s v="Better"/>
  </r>
  <r>
    <x v="17"/>
    <s v="No"/>
    <s v="Non-Travel"/>
    <n v="1269"/>
    <x v="1"/>
    <n v="4"/>
    <n v="1"/>
    <s v="Life Sciences"/>
    <n v="1"/>
    <n v="888"/>
    <n v="1"/>
    <x v="1"/>
    <n v="46"/>
    <n v="2"/>
    <n v="1"/>
    <x v="2"/>
    <n v="4"/>
    <s v="Married"/>
    <n v="3162"/>
    <n v="10778"/>
    <n v="0"/>
    <s v="Y"/>
    <x v="1"/>
    <n v="17"/>
    <n v="3"/>
    <n v="4"/>
    <n v="80"/>
    <n v="0"/>
    <n v="6"/>
    <n v="2"/>
    <n v="2"/>
    <n v="5"/>
    <n v="2"/>
    <n v="3"/>
    <n v="4"/>
    <x v="1"/>
    <n v="1"/>
    <x v="4"/>
    <x v="0"/>
    <s v="2-5 Years"/>
    <s v="Very High"/>
    <s v="Good"/>
  </r>
  <r>
    <x v="5"/>
    <s v="No"/>
    <s v="Travel_Frequently"/>
    <n v="379"/>
    <x v="0"/>
    <n v="5"/>
    <n v="2"/>
    <s v="Life Sciences"/>
    <n v="1"/>
    <n v="889"/>
    <n v="2"/>
    <x v="1"/>
    <n v="48"/>
    <n v="3"/>
    <n v="2"/>
    <x v="0"/>
    <n v="2"/>
    <s v="Married"/>
    <n v="6524"/>
    <n v="8891"/>
    <n v="1"/>
    <s v="Y"/>
    <x v="1"/>
    <n v="14"/>
    <n v="3"/>
    <n v="4"/>
    <n v="80"/>
    <n v="1"/>
    <n v="10"/>
    <n v="3"/>
    <n v="3"/>
    <n v="10"/>
    <n v="8"/>
    <n v="5"/>
    <n v="3"/>
    <x v="1"/>
    <n v="1"/>
    <x v="2"/>
    <x v="0"/>
    <s v="6-10 Years"/>
    <s v="Medium"/>
    <s v="Better"/>
  </r>
  <r>
    <x v="8"/>
    <s v="No"/>
    <s v="Travel_Rarely"/>
    <n v="395"/>
    <x v="0"/>
    <n v="9"/>
    <n v="3"/>
    <s v="Marketing"/>
    <n v="1"/>
    <n v="893"/>
    <n v="2"/>
    <x v="1"/>
    <n v="98"/>
    <n v="2"/>
    <n v="1"/>
    <x v="6"/>
    <n v="2"/>
    <s v="Married"/>
    <n v="2899"/>
    <n v="12102"/>
    <n v="0"/>
    <s v="Y"/>
    <x v="1"/>
    <n v="19"/>
    <n v="3"/>
    <n v="4"/>
    <n v="80"/>
    <n v="1"/>
    <n v="3"/>
    <n v="3"/>
    <n v="3"/>
    <n v="2"/>
    <n v="2"/>
    <n v="1"/>
    <n v="2"/>
    <x v="1"/>
    <n v="1"/>
    <x v="0"/>
    <x v="1"/>
    <s v="2-5 Years"/>
    <s v="Medium"/>
    <s v="Better"/>
  </r>
  <r>
    <x v="19"/>
    <s v="No"/>
    <s v="Travel_Rarely"/>
    <n v="1265"/>
    <x v="1"/>
    <n v="3"/>
    <n v="3"/>
    <s v="Life Sciences"/>
    <n v="1"/>
    <n v="894"/>
    <n v="3"/>
    <x v="0"/>
    <n v="95"/>
    <n v="4"/>
    <n v="2"/>
    <x v="2"/>
    <n v="4"/>
    <s v="Married"/>
    <n v="5231"/>
    <n v="23726"/>
    <n v="2"/>
    <s v="Y"/>
    <x v="0"/>
    <n v="13"/>
    <n v="3"/>
    <n v="2"/>
    <n v="80"/>
    <n v="1"/>
    <n v="17"/>
    <n v="1"/>
    <n v="2"/>
    <n v="5"/>
    <n v="3"/>
    <n v="1"/>
    <n v="3"/>
    <x v="1"/>
    <n v="1"/>
    <x v="0"/>
    <x v="0"/>
    <s v="2-5 Years"/>
    <s v="Very High"/>
    <s v="Good"/>
  </r>
  <r>
    <x v="12"/>
    <s v="No"/>
    <s v="Travel_Rarely"/>
    <n v="1222"/>
    <x v="1"/>
    <n v="11"/>
    <n v="4"/>
    <s v="Life Sciences"/>
    <n v="1"/>
    <n v="895"/>
    <n v="4"/>
    <x v="1"/>
    <n v="48"/>
    <n v="3"/>
    <n v="1"/>
    <x v="1"/>
    <n v="4"/>
    <s v="Married"/>
    <n v="2356"/>
    <n v="14871"/>
    <n v="3"/>
    <s v="Y"/>
    <x v="0"/>
    <n v="19"/>
    <n v="3"/>
    <n v="2"/>
    <n v="80"/>
    <n v="1"/>
    <n v="8"/>
    <n v="2"/>
    <n v="3"/>
    <n v="6"/>
    <n v="4"/>
    <n v="0"/>
    <n v="2"/>
    <x v="1"/>
    <n v="1"/>
    <x v="2"/>
    <x v="1"/>
    <s v="6-10 Years"/>
    <s v="Very High"/>
    <s v="Better"/>
  </r>
  <r>
    <x v="11"/>
    <s v="Yes"/>
    <s v="Travel_Rarely"/>
    <n v="341"/>
    <x v="0"/>
    <n v="1"/>
    <n v="3"/>
    <s v="Medical"/>
    <n v="1"/>
    <n v="896"/>
    <n v="2"/>
    <x v="0"/>
    <n v="48"/>
    <n v="2"/>
    <n v="1"/>
    <x v="6"/>
    <n v="3"/>
    <s v="Divorced"/>
    <n v="2800"/>
    <n v="23522"/>
    <n v="6"/>
    <s v="Y"/>
    <x v="0"/>
    <n v="19"/>
    <n v="3"/>
    <n v="3"/>
    <n v="80"/>
    <n v="3"/>
    <n v="5"/>
    <n v="3"/>
    <n v="3"/>
    <n v="3"/>
    <n v="2"/>
    <n v="0"/>
    <n v="2"/>
    <x v="0"/>
    <n v="0"/>
    <x v="2"/>
    <x v="1"/>
    <s v="2-5 Years"/>
    <s v="High"/>
    <s v="Better"/>
  </r>
  <r>
    <x v="16"/>
    <s v="No"/>
    <s v="Travel_Rarely"/>
    <n v="868"/>
    <x v="0"/>
    <n v="8"/>
    <n v="3"/>
    <s v="Marketing"/>
    <n v="1"/>
    <n v="897"/>
    <n v="1"/>
    <x v="1"/>
    <n v="73"/>
    <n v="3"/>
    <n v="4"/>
    <x v="0"/>
    <n v="4"/>
    <s v="Married"/>
    <n v="11836"/>
    <n v="22789"/>
    <n v="5"/>
    <s v="Y"/>
    <x v="1"/>
    <n v="14"/>
    <n v="3"/>
    <n v="3"/>
    <n v="80"/>
    <n v="1"/>
    <n v="28"/>
    <n v="3"/>
    <n v="3"/>
    <n v="2"/>
    <n v="0"/>
    <n v="2"/>
    <n v="2"/>
    <x v="1"/>
    <n v="1"/>
    <x v="1"/>
    <x v="2"/>
    <s v="2-5 Years"/>
    <s v="Very High"/>
    <s v="Better"/>
  </r>
  <r>
    <x v="10"/>
    <s v="No"/>
    <s v="Travel_Rarely"/>
    <n v="672"/>
    <x v="1"/>
    <n v="25"/>
    <n v="3"/>
    <s v="Technical Degree"/>
    <n v="1"/>
    <n v="899"/>
    <n v="4"/>
    <x v="1"/>
    <n v="78"/>
    <n v="2"/>
    <n v="3"/>
    <x v="3"/>
    <n v="2"/>
    <s v="Married"/>
    <n v="10903"/>
    <n v="9129"/>
    <n v="3"/>
    <s v="Y"/>
    <x v="1"/>
    <n v="16"/>
    <n v="3"/>
    <n v="1"/>
    <n v="80"/>
    <n v="0"/>
    <n v="16"/>
    <n v="2"/>
    <n v="3"/>
    <n v="13"/>
    <n v="10"/>
    <n v="4"/>
    <n v="8"/>
    <x v="1"/>
    <n v="1"/>
    <x v="0"/>
    <x v="2"/>
    <s v="10+ Years"/>
    <s v="Medium"/>
    <s v="Better"/>
  </r>
  <r>
    <x v="2"/>
    <s v="No"/>
    <s v="Travel_Frequently"/>
    <n v="1231"/>
    <x v="0"/>
    <n v="21"/>
    <n v="2"/>
    <s v="Medical"/>
    <n v="1"/>
    <n v="900"/>
    <n v="3"/>
    <x v="0"/>
    <n v="54"/>
    <n v="3"/>
    <n v="1"/>
    <x v="6"/>
    <n v="4"/>
    <s v="Married"/>
    <n v="2973"/>
    <n v="21222"/>
    <n v="5"/>
    <s v="Y"/>
    <x v="1"/>
    <n v="15"/>
    <n v="3"/>
    <n v="2"/>
    <n v="80"/>
    <n v="1"/>
    <n v="10"/>
    <n v="3"/>
    <n v="3"/>
    <n v="5"/>
    <n v="4"/>
    <n v="0"/>
    <n v="0"/>
    <x v="1"/>
    <n v="1"/>
    <x v="0"/>
    <x v="1"/>
    <s v="2-5 Years"/>
    <s v="Very High"/>
    <s v="Better"/>
  </r>
  <r>
    <x v="16"/>
    <s v="No"/>
    <s v="Travel_Rarely"/>
    <n v="102"/>
    <x v="1"/>
    <n v="23"/>
    <n v="4"/>
    <s v="Life Sciences"/>
    <n v="1"/>
    <n v="901"/>
    <n v="4"/>
    <x v="0"/>
    <n v="72"/>
    <n v="3"/>
    <n v="4"/>
    <x v="7"/>
    <n v="4"/>
    <s v="Single"/>
    <n v="14275"/>
    <n v="20206"/>
    <n v="6"/>
    <s v="Y"/>
    <x v="1"/>
    <n v="18"/>
    <n v="3"/>
    <n v="3"/>
    <n v="80"/>
    <n v="0"/>
    <n v="33"/>
    <n v="0"/>
    <n v="3"/>
    <n v="12"/>
    <n v="9"/>
    <n v="3"/>
    <n v="8"/>
    <x v="1"/>
    <n v="1"/>
    <x v="1"/>
    <x v="2"/>
    <s v="10+ Years"/>
    <s v="Very High"/>
    <s v="Better"/>
  </r>
  <r>
    <x v="23"/>
    <s v="No"/>
    <s v="Travel_Frequently"/>
    <n v="422"/>
    <x v="1"/>
    <n v="1"/>
    <n v="3"/>
    <s v="Life Sciences"/>
    <n v="1"/>
    <n v="902"/>
    <n v="4"/>
    <x v="0"/>
    <n v="33"/>
    <n v="3"/>
    <n v="2"/>
    <x v="4"/>
    <n v="4"/>
    <s v="Married"/>
    <n v="5562"/>
    <n v="21782"/>
    <n v="4"/>
    <s v="Y"/>
    <x v="1"/>
    <n v="13"/>
    <n v="3"/>
    <n v="2"/>
    <n v="80"/>
    <n v="1"/>
    <n v="12"/>
    <n v="2"/>
    <n v="2"/>
    <n v="5"/>
    <n v="2"/>
    <n v="2"/>
    <n v="2"/>
    <x v="1"/>
    <n v="1"/>
    <x v="0"/>
    <x v="0"/>
    <s v="2-5 Years"/>
    <s v="Very High"/>
    <s v="Good"/>
  </r>
  <r>
    <x v="40"/>
    <s v="No"/>
    <s v="Travel_Rarely"/>
    <n v="249"/>
    <x v="0"/>
    <n v="2"/>
    <n v="2"/>
    <s v="Marketing"/>
    <n v="1"/>
    <n v="903"/>
    <n v="3"/>
    <x v="0"/>
    <n v="35"/>
    <n v="3"/>
    <n v="2"/>
    <x v="0"/>
    <n v="4"/>
    <s v="Married"/>
    <n v="4537"/>
    <n v="17783"/>
    <n v="0"/>
    <s v="Y"/>
    <x v="0"/>
    <n v="22"/>
    <n v="4"/>
    <n v="1"/>
    <n v="80"/>
    <n v="1"/>
    <n v="8"/>
    <n v="2"/>
    <n v="3"/>
    <n v="7"/>
    <n v="6"/>
    <n v="7"/>
    <n v="7"/>
    <x v="1"/>
    <n v="1"/>
    <x v="1"/>
    <x v="0"/>
    <s v="6-10 Years"/>
    <s v="Very High"/>
    <s v="Better"/>
  </r>
  <r>
    <x v="2"/>
    <s v="No"/>
    <s v="Non-Travel"/>
    <n v="1252"/>
    <x v="0"/>
    <n v="19"/>
    <n v="2"/>
    <s v="Medical"/>
    <n v="1"/>
    <n v="904"/>
    <n v="1"/>
    <x v="1"/>
    <n v="32"/>
    <n v="3"/>
    <n v="3"/>
    <x v="0"/>
    <n v="2"/>
    <s v="Single"/>
    <n v="7642"/>
    <n v="4814"/>
    <n v="1"/>
    <s v="Y"/>
    <x v="0"/>
    <n v="13"/>
    <n v="3"/>
    <n v="4"/>
    <n v="80"/>
    <n v="0"/>
    <n v="10"/>
    <n v="2"/>
    <n v="3"/>
    <n v="10"/>
    <n v="0"/>
    <n v="0"/>
    <n v="9"/>
    <x v="1"/>
    <n v="1"/>
    <x v="0"/>
    <x v="2"/>
    <s v="6-10 Years"/>
    <s v="Medium"/>
    <s v="Better"/>
  </r>
  <r>
    <x v="24"/>
    <s v="No"/>
    <s v="Non-Travel"/>
    <n v="881"/>
    <x v="1"/>
    <n v="2"/>
    <n v="4"/>
    <s v="Life Sciences"/>
    <n v="1"/>
    <n v="905"/>
    <n v="1"/>
    <x v="1"/>
    <n v="98"/>
    <n v="3"/>
    <n v="4"/>
    <x v="5"/>
    <n v="1"/>
    <s v="Divorced"/>
    <n v="17924"/>
    <n v="4544"/>
    <n v="1"/>
    <s v="Y"/>
    <x v="1"/>
    <n v="11"/>
    <n v="3"/>
    <n v="4"/>
    <n v="80"/>
    <n v="1"/>
    <n v="31"/>
    <n v="3"/>
    <n v="3"/>
    <n v="31"/>
    <n v="6"/>
    <n v="14"/>
    <n v="7"/>
    <x v="1"/>
    <n v="1"/>
    <x v="1"/>
    <x v="2"/>
    <s v="10+ Years"/>
    <s v="Low"/>
    <s v="Better"/>
  </r>
  <r>
    <x v="22"/>
    <s v="No"/>
    <s v="Travel_Rarely"/>
    <n v="1383"/>
    <x v="2"/>
    <n v="2"/>
    <n v="3"/>
    <s v="Life Sciences"/>
    <n v="1"/>
    <n v="909"/>
    <n v="4"/>
    <x v="0"/>
    <n v="42"/>
    <n v="2"/>
    <n v="2"/>
    <x v="8"/>
    <n v="4"/>
    <s v="Married"/>
    <n v="5204"/>
    <n v="7790"/>
    <n v="8"/>
    <s v="Y"/>
    <x v="1"/>
    <n v="11"/>
    <n v="3"/>
    <n v="3"/>
    <n v="80"/>
    <n v="2"/>
    <n v="13"/>
    <n v="2"/>
    <n v="3"/>
    <n v="5"/>
    <n v="4"/>
    <n v="0"/>
    <n v="4"/>
    <x v="1"/>
    <n v="1"/>
    <x v="0"/>
    <x v="0"/>
    <s v="2-5 Years"/>
    <s v="Very High"/>
    <s v="Better"/>
  </r>
  <r>
    <x v="3"/>
    <s v="No"/>
    <s v="Travel_Rarely"/>
    <n v="1075"/>
    <x v="2"/>
    <n v="3"/>
    <n v="2"/>
    <s v="Human Resources"/>
    <n v="1"/>
    <n v="910"/>
    <n v="4"/>
    <x v="1"/>
    <n v="57"/>
    <n v="3"/>
    <n v="1"/>
    <x v="8"/>
    <n v="2"/>
    <s v="Divorced"/>
    <n v="2277"/>
    <n v="22650"/>
    <n v="3"/>
    <s v="Y"/>
    <x v="0"/>
    <n v="11"/>
    <n v="3"/>
    <n v="3"/>
    <n v="80"/>
    <n v="1"/>
    <n v="7"/>
    <n v="4"/>
    <n v="4"/>
    <n v="4"/>
    <n v="3"/>
    <n v="0"/>
    <n v="3"/>
    <x v="1"/>
    <n v="1"/>
    <x v="2"/>
    <x v="1"/>
    <s v="2-5 Years"/>
    <s v="Medium"/>
    <s v="Best"/>
  </r>
  <r>
    <x v="5"/>
    <s v="Yes"/>
    <s v="Travel_Rarely"/>
    <n v="374"/>
    <x v="1"/>
    <n v="25"/>
    <n v="4"/>
    <s v="Life Sciences"/>
    <n v="1"/>
    <n v="911"/>
    <n v="1"/>
    <x v="1"/>
    <n v="87"/>
    <n v="3"/>
    <n v="1"/>
    <x v="2"/>
    <n v="4"/>
    <s v="Single"/>
    <n v="2795"/>
    <n v="18016"/>
    <n v="1"/>
    <s v="Y"/>
    <x v="0"/>
    <n v="24"/>
    <n v="4"/>
    <n v="3"/>
    <n v="80"/>
    <n v="0"/>
    <n v="1"/>
    <n v="2"/>
    <n v="1"/>
    <n v="1"/>
    <n v="0"/>
    <n v="0"/>
    <n v="1"/>
    <x v="0"/>
    <n v="0"/>
    <x v="2"/>
    <x v="1"/>
    <s v="0-1 Years"/>
    <s v="Very High"/>
    <s v="Bad"/>
  </r>
  <r>
    <x v="11"/>
    <s v="No"/>
    <s v="Travel_Rarely"/>
    <n v="1086"/>
    <x v="1"/>
    <n v="7"/>
    <n v="1"/>
    <s v="Medical"/>
    <n v="1"/>
    <n v="912"/>
    <n v="1"/>
    <x v="0"/>
    <n v="62"/>
    <n v="2"/>
    <n v="1"/>
    <x v="2"/>
    <n v="4"/>
    <s v="Divorced"/>
    <n v="2532"/>
    <n v="6054"/>
    <n v="6"/>
    <s v="Y"/>
    <x v="1"/>
    <n v="14"/>
    <n v="3"/>
    <n v="3"/>
    <n v="80"/>
    <n v="3"/>
    <n v="8"/>
    <n v="5"/>
    <n v="3"/>
    <n v="4"/>
    <n v="3"/>
    <n v="0"/>
    <n v="3"/>
    <x v="1"/>
    <n v="1"/>
    <x v="2"/>
    <x v="1"/>
    <s v="2-5 Years"/>
    <s v="Very High"/>
    <s v="Better"/>
  </r>
  <r>
    <x v="20"/>
    <s v="No"/>
    <s v="Travel_Rarely"/>
    <n v="661"/>
    <x v="1"/>
    <n v="9"/>
    <n v="2"/>
    <s v="Life Sciences"/>
    <n v="1"/>
    <n v="913"/>
    <n v="2"/>
    <x v="1"/>
    <n v="61"/>
    <n v="3"/>
    <n v="1"/>
    <x v="1"/>
    <n v="1"/>
    <s v="Married"/>
    <n v="2559"/>
    <n v="7508"/>
    <n v="1"/>
    <s v="Y"/>
    <x v="0"/>
    <n v="13"/>
    <n v="3"/>
    <n v="4"/>
    <n v="80"/>
    <n v="0"/>
    <n v="8"/>
    <n v="0"/>
    <n v="3"/>
    <n v="8"/>
    <n v="7"/>
    <n v="7"/>
    <n v="1"/>
    <x v="1"/>
    <n v="1"/>
    <x v="0"/>
    <x v="1"/>
    <s v="6-10 Years"/>
    <s v="Low"/>
    <s v="Better"/>
  </r>
  <r>
    <x v="14"/>
    <s v="No"/>
    <s v="Travel_Rarely"/>
    <n v="821"/>
    <x v="0"/>
    <n v="5"/>
    <n v="4"/>
    <s v="Medical"/>
    <n v="1"/>
    <n v="916"/>
    <n v="1"/>
    <x v="1"/>
    <n v="98"/>
    <n v="3"/>
    <n v="2"/>
    <x v="0"/>
    <n v="4"/>
    <s v="Single"/>
    <n v="4908"/>
    <n v="24252"/>
    <n v="1"/>
    <s v="Y"/>
    <x v="1"/>
    <n v="14"/>
    <n v="3"/>
    <n v="2"/>
    <n v="80"/>
    <n v="0"/>
    <n v="4"/>
    <n v="3"/>
    <n v="3"/>
    <n v="4"/>
    <n v="2"/>
    <n v="0"/>
    <n v="2"/>
    <x v="1"/>
    <n v="1"/>
    <x v="2"/>
    <x v="0"/>
    <s v="2-5 Years"/>
    <s v="Very High"/>
    <s v="Better"/>
  </r>
  <r>
    <x v="34"/>
    <s v="Yes"/>
    <s v="Travel_Frequently"/>
    <n v="781"/>
    <x v="1"/>
    <n v="2"/>
    <n v="1"/>
    <s v="Life Sciences"/>
    <n v="1"/>
    <n v="918"/>
    <n v="4"/>
    <x v="1"/>
    <n v="57"/>
    <n v="2"/>
    <n v="1"/>
    <x v="2"/>
    <n v="4"/>
    <s v="Divorced"/>
    <n v="2380"/>
    <n v="13384"/>
    <n v="9"/>
    <s v="Y"/>
    <x v="0"/>
    <n v="14"/>
    <n v="3"/>
    <n v="4"/>
    <n v="80"/>
    <n v="1"/>
    <n v="3"/>
    <n v="3"/>
    <n v="2"/>
    <n v="1"/>
    <n v="0"/>
    <n v="0"/>
    <n v="0"/>
    <x v="0"/>
    <n v="0"/>
    <x v="3"/>
    <x v="1"/>
    <s v="0-1 Years"/>
    <s v="Very High"/>
    <s v="Good"/>
  </r>
  <r>
    <x v="23"/>
    <s v="No"/>
    <s v="Travel_Rarely"/>
    <n v="177"/>
    <x v="1"/>
    <n v="8"/>
    <n v="3"/>
    <s v="Life Sciences"/>
    <n v="1"/>
    <n v="920"/>
    <n v="1"/>
    <x v="0"/>
    <n v="55"/>
    <n v="3"/>
    <n v="2"/>
    <x v="3"/>
    <n v="2"/>
    <s v="Divorced"/>
    <n v="4765"/>
    <n v="23814"/>
    <n v="4"/>
    <s v="Y"/>
    <x v="1"/>
    <n v="21"/>
    <n v="4"/>
    <n v="3"/>
    <n v="80"/>
    <n v="1"/>
    <n v="4"/>
    <n v="2"/>
    <n v="4"/>
    <n v="1"/>
    <n v="0"/>
    <n v="0"/>
    <n v="0"/>
    <x v="1"/>
    <n v="1"/>
    <x v="0"/>
    <x v="0"/>
    <s v="0-1 Years"/>
    <s v="Medium"/>
    <s v="Best"/>
  </r>
  <r>
    <x v="35"/>
    <s v="Yes"/>
    <s v="Travel_Rarely"/>
    <n v="500"/>
    <x v="0"/>
    <n v="2"/>
    <n v="3"/>
    <s v="Medical"/>
    <n v="1"/>
    <n v="922"/>
    <n v="3"/>
    <x v="0"/>
    <n v="49"/>
    <n v="2"/>
    <n v="1"/>
    <x v="6"/>
    <n v="3"/>
    <s v="Single"/>
    <n v="2044"/>
    <n v="22052"/>
    <n v="1"/>
    <s v="Y"/>
    <x v="1"/>
    <n v="13"/>
    <n v="3"/>
    <n v="4"/>
    <n v="80"/>
    <n v="0"/>
    <n v="2"/>
    <n v="3"/>
    <n v="2"/>
    <n v="2"/>
    <n v="2"/>
    <n v="0"/>
    <n v="2"/>
    <x v="0"/>
    <n v="0"/>
    <x v="4"/>
    <x v="1"/>
    <s v="2-5 Years"/>
    <s v="High"/>
    <s v="Good"/>
  </r>
  <r>
    <x v="18"/>
    <s v="Yes"/>
    <s v="Travel_Rarely"/>
    <n v="1427"/>
    <x v="1"/>
    <n v="18"/>
    <n v="1"/>
    <s v="Other"/>
    <n v="1"/>
    <n v="923"/>
    <n v="4"/>
    <x v="0"/>
    <n v="65"/>
    <n v="3"/>
    <n v="1"/>
    <x v="1"/>
    <n v="4"/>
    <s v="Single"/>
    <n v="2693"/>
    <n v="8870"/>
    <n v="1"/>
    <s v="Y"/>
    <x v="1"/>
    <n v="19"/>
    <n v="3"/>
    <n v="1"/>
    <n v="80"/>
    <n v="0"/>
    <n v="1"/>
    <n v="3"/>
    <n v="2"/>
    <n v="1"/>
    <n v="0"/>
    <n v="0"/>
    <n v="0"/>
    <x v="0"/>
    <n v="0"/>
    <x v="4"/>
    <x v="1"/>
    <s v="0-1 Years"/>
    <s v="Very High"/>
    <s v="Good"/>
  </r>
  <r>
    <x v="9"/>
    <s v="No"/>
    <s v="Travel_Rarely"/>
    <n v="1425"/>
    <x v="1"/>
    <n v="14"/>
    <n v="1"/>
    <s v="Life Sciences"/>
    <n v="1"/>
    <n v="924"/>
    <n v="3"/>
    <x v="1"/>
    <n v="68"/>
    <n v="3"/>
    <n v="2"/>
    <x v="4"/>
    <n v="4"/>
    <s v="Married"/>
    <n v="6586"/>
    <n v="4821"/>
    <n v="0"/>
    <s v="Y"/>
    <x v="0"/>
    <n v="17"/>
    <n v="3"/>
    <n v="1"/>
    <n v="80"/>
    <n v="1"/>
    <n v="17"/>
    <n v="2"/>
    <n v="2"/>
    <n v="16"/>
    <n v="8"/>
    <n v="4"/>
    <n v="11"/>
    <x v="1"/>
    <n v="1"/>
    <x v="0"/>
    <x v="0"/>
    <s v="10+ Years"/>
    <s v="Very High"/>
    <s v="Good"/>
  </r>
  <r>
    <x v="40"/>
    <s v="No"/>
    <s v="Travel_Rarely"/>
    <n v="1454"/>
    <x v="0"/>
    <n v="2"/>
    <n v="4"/>
    <s v="Life Sciences"/>
    <n v="1"/>
    <n v="925"/>
    <n v="4"/>
    <x v="0"/>
    <n v="65"/>
    <n v="2"/>
    <n v="1"/>
    <x v="6"/>
    <n v="4"/>
    <s v="Single"/>
    <n v="3294"/>
    <n v="13137"/>
    <n v="1"/>
    <s v="Y"/>
    <x v="0"/>
    <n v="18"/>
    <n v="3"/>
    <n v="1"/>
    <n v="80"/>
    <n v="0"/>
    <n v="3"/>
    <n v="3"/>
    <n v="2"/>
    <n v="3"/>
    <n v="2"/>
    <n v="1"/>
    <n v="2"/>
    <x v="1"/>
    <n v="1"/>
    <x v="1"/>
    <x v="0"/>
    <s v="2-5 Years"/>
    <s v="Very High"/>
    <s v="Good"/>
  </r>
  <r>
    <x v="15"/>
    <s v="Yes"/>
    <s v="Travel_Rarely"/>
    <n v="617"/>
    <x v="1"/>
    <n v="3"/>
    <n v="1"/>
    <s v="Life Sciences"/>
    <n v="1"/>
    <n v="926"/>
    <n v="2"/>
    <x v="0"/>
    <n v="34"/>
    <n v="3"/>
    <n v="2"/>
    <x v="3"/>
    <n v="3"/>
    <s v="Married"/>
    <n v="4171"/>
    <n v="10022"/>
    <n v="0"/>
    <s v="Y"/>
    <x v="0"/>
    <n v="19"/>
    <n v="3"/>
    <n v="1"/>
    <n v="80"/>
    <n v="1"/>
    <n v="4"/>
    <n v="3"/>
    <n v="4"/>
    <n v="3"/>
    <n v="2"/>
    <n v="0"/>
    <n v="2"/>
    <x v="0"/>
    <n v="0"/>
    <x v="4"/>
    <x v="0"/>
    <s v="2-5 Years"/>
    <s v="High"/>
    <s v="Best"/>
  </r>
  <r>
    <x v="0"/>
    <s v="Yes"/>
    <s v="Travel_Rarely"/>
    <n v="1085"/>
    <x v="1"/>
    <n v="2"/>
    <n v="4"/>
    <s v="Life Sciences"/>
    <n v="1"/>
    <n v="927"/>
    <n v="2"/>
    <x v="0"/>
    <n v="57"/>
    <n v="1"/>
    <n v="1"/>
    <x v="2"/>
    <n v="4"/>
    <s v="Divorced"/>
    <n v="2778"/>
    <n v="17725"/>
    <n v="4"/>
    <s v="Y"/>
    <x v="0"/>
    <n v="13"/>
    <n v="3"/>
    <n v="3"/>
    <n v="80"/>
    <n v="1"/>
    <n v="10"/>
    <n v="1"/>
    <n v="2"/>
    <n v="7"/>
    <n v="7"/>
    <n v="1"/>
    <n v="0"/>
    <x v="0"/>
    <n v="0"/>
    <x v="0"/>
    <x v="1"/>
    <s v="6-10 Years"/>
    <s v="Very High"/>
    <s v="Good"/>
  </r>
  <r>
    <x v="14"/>
    <s v="No"/>
    <s v="Travel_Rarely"/>
    <n v="995"/>
    <x v="1"/>
    <n v="9"/>
    <n v="3"/>
    <s v="Medical"/>
    <n v="1"/>
    <n v="930"/>
    <n v="3"/>
    <x v="0"/>
    <n v="77"/>
    <n v="3"/>
    <n v="1"/>
    <x v="1"/>
    <n v="3"/>
    <s v="Divorced"/>
    <n v="2377"/>
    <n v="9834"/>
    <n v="5"/>
    <s v="Y"/>
    <x v="1"/>
    <n v="18"/>
    <n v="3"/>
    <n v="2"/>
    <n v="80"/>
    <n v="1"/>
    <n v="6"/>
    <n v="2"/>
    <n v="3"/>
    <n v="2"/>
    <n v="2"/>
    <n v="2"/>
    <n v="2"/>
    <x v="1"/>
    <n v="1"/>
    <x v="2"/>
    <x v="1"/>
    <s v="2-5 Years"/>
    <s v="High"/>
    <s v="Better"/>
  </r>
  <r>
    <x v="22"/>
    <s v="Yes"/>
    <s v="Travel_Rarely"/>
    <n v="1122"/>
    <x v="1"/>
    <n v="6"/>
    <n v="3"/>
    <s v="Medical"/>
    <n v="1"/>
    <n v="932"/>
    <n v="4"/>
    <x v="1"/>
    <n v="70"/>
    <n v="3"/>
    <n v="1"/>
    <x v="2"/>
    <n v="1"/>
    <s v="Married"/>
    <n v="2404"/>
    <n v="4303"/>
    <n v="7"/>
    <s v="Y"/>
    <x v="0"/>
    <n v="21"/>
    <n v="4"/>
    <n v="4"/>
    <n v="80"/>
    <n v="0"/>
    <n v="8"/>
    <n v="2"/>
    <n v="1"/>
    <n v="2"/>
    <n v="2"/>
    <n v="2"/>
    <n v="2"/>
    <x v="0"/>
    <n v="0"/>
    <x v="0"/>
    <x v="1"/>
    <s v="2-5 Years"/>
    <s v="Low"/>
    <s v="Bad"/>
  </r>
  <r>
    <x v="4"/>
    <s v="No"/>
    <s v="Travel_Rarely"/>
    <n v="618"/>
    <x v="1"/>
    <n v="4"/>
    <n v="3"/>
    <s v="Life Sciences"/>
    <n v="1"/>
    <n v="933"/>
    <n v="2"/>
    <x v="0"/>
    <n v="76"/>
    <n v="3"/>
    <n v="1"/>
    <x v="1"/>
    <n v="3"/>
    <s v="Single"/>
    <n v="2318"/>
    <n v="17808"/>
    <n v="1"/>
    <s v="Y"/>
    <x v="1"/>
    <n v="19"/>
    <n v="3"/>
    <n v="3"/>
    <n v="80"/>
    <n v="0"/>
    <n v="1"/>
    <n v="2"/>
    <n v="3"/>
    <n v="1"/>
    <n v="1"/>
    <n v="0"/>
    <n v="0"/>
    <x v="1"/>
    <n v="1"/>
    <x v="2"/>
    <x v="1"/>
    <s v="0-1 Years"/>
    <s v="High"/>
    <s v="Better"/>
  </r>
  <r>
    <x v="13"/>
    <s v="No"/>
    <s v="Travel_Rarely"/>
    <n v="546"/>
    <x v="1"/>
    <n v="10"/>
    <n v="3"/>
    <s v="Life Sciences"/>
    <n v="1"/>
    <n v="934"/>
    <n v="2"/>
    <x v="1"/>
    <n v="83"/>
    <n v="3"/>
    <n v="1"/>
    <x v="2"/>
    <n v="2"/>
    <s v="Divorced"/>
    <n v="2008"/>
    <n v="6896"/>
    <n v="1"/>
    <s v="Y"/>
    <x v="1"/>
    <n v="14"/>
    <n v="3"/>
    <n v="2"/>
    <n v="80"/>
    <n v="2"/>
    <n v="1"/>
    <n v="3"/>
    <n v="3"/>
    <n v="1"/>
    <n v="0"/>
    <n v="1"/>
    <n v="0"/>
    <x v="1"/>
    <n v="1"/>
    <x v="2"/>
    <x v="1"/>
    <s v="0-1 Years"/>
    <s v="Medium"/>
    <s v="Better"/>
  </r>
  <r>
    <x v="19"/>
    <s v="No"/>
    <s v="Travel_Rarely"/>
    <n v="462"/>
    <x v="0"/>
    <n v="14"/>
    <n v="2"/>
    <s v="Medical"/>
    <n v="1"/>
    <n v="936"/>
    <n v="3"/>
    <x v="0"/>
    <n v="68"/>
    <n v="2"/>
    <n v="2"/>
    <x v="0"/>
    <n v="3"/>
    <s v="Single"/>
    <n v="6244"/>
    <n v="7824"/>
    <n v="7"/>
    <s v="Y"/>
    <x v="1"/>
    <n v="17"/>
    <n v="3"/>
    <n v="1"/>
    <n v="80"/>
    <n v="0"/>
    <n v="10"/>
    <n v="6"/>
    <n v="3"/>
    <n v="5"/>
    <n v="4"/>
    <n v="0"/>
    <n v="3"/>
    <x v="1"/>
    <n v="1"/>
    <x v="0"/>
    <x v="0"/>
    <s v="2-5 Years"/>
    <s v="High"/>
    <s v="Better"/>
  </r>
  <r>
    <x v="3"/>
    <s v="No"/>
    <s v="Travel_Rarely"/>
    <n v="1198"/>
    <x v="1"/>
    <n v="1"/>
    <n v="4"/>
    <s v="Other"/>
    <n v="1"/>
    <n v="939"/>
    <n v="3"/>
    <x v="1"/>
    <n v="100"/>
    <n v="2"/>
    <n v="1"/>
    <x v="1"/>
    <n v="1"/>
    <s v="Single"/>
    <n v="2799"/>
    <n v="3339"/>
    <n v="3"/>
    <s v="Y"/>
    <x v="0"/>
    <n v="11"/>
    <n v="3"/>
    <n v="2"/>
    <n v="80"/>
    <n v="0"/>
    <n v="6"/>
    <n v="1"/>
    <n v="3"/>
    <n v="3"/>
    <n v="2"/>
    <n v="0"/>
    <n v="2"/>
    <x v="1"/>
    <n v="1"/>
    <x v="2"/>
    <x v="1"/>
    <s v="2-5 Years"/>
    <s v="Low"/>
    <s v="Better"/>
  </r>
  <r>
    <x v="34"/>
    <s v="No"/>
    <s v="Travel_Rarely"/>
    <n v="1272"/>
    <x v="1"/>
    <n v="5"/>
    <n v="3"/>
    <s v="Technical Degree"/>
    <n v="1"/>
    <n v="940"/>
    <n v="3"/>
    <x v="0"/>
    <n v="37"/>
    <n v="2"/>
    <n v="3"/>
    <x v="4"/>
    <n v="2"/>
    <s v="Divorced"/>
    <n v="10552"/>
    <n v="9255"/>
    <n v="2"/>
    <s v="Y"/>
    <x v="0"/>
    <n v="13"/>
    <n v="3"/>
    <n v="4"/>
    <n v="80"/>
    <n v="1"/>
    <n v="24"/>
    <n v="3"/>
    <n v="3"/>
    <n v="6"/>
    <n v="0"/>
    <n v="0"/>
    <n v="4"/>
    <x v="1"/>
    <n v="1"/>
    <x v="3"/>
    <x v="2"/>
    <s v="6-10 Years"/>
    <s v="Medium"/>
    <s v="Better"/>
  </r>
  <r>
    <x v="12"/>
    <s v="No"/>
    <s v="Travel_Rarely"/>
    <n v="154"/>
    <x v="0"/>
    <n v="7"/>
    <n v="4"/>
    <s v="Life Sciences"/>
    <n v="1"/>
    <n v="941"/>
    <n v="2"/>
    <x v="1"/>
    <n v="41"/>
    <n v="2"/>
    <n v="1"/>
    <x v="6"/>
    <n v="3"/>
    <s v="Married"/>
    <n v="2329"/>
    <n v="11737"/>
    <n v="3"/>
    <s v="Y"/>
    <x v="1"/>
    <n v="15"/>
    <n v="3"/>
    <n v="2"/>
    <n v="80"/>
    <n v="0"/>
    <n v="13"/>
    <n v="2"/>
    <n v="4"/>
    <n v="7"/>
    <n v="7"/>
    <n v="5"/>
    <n v="2"/>
    <x v="1"/>
    <n v="1"/>
    <x v="2"/>
    <x v="1"/>
    <s v="6-10 Years"/>
    <s v="High"/>
    <s v="Best"/>
  </r>
  <r>
    <x v="10"/>
    <s v="No"/>
    <s v="Travel_Rarely"/>
    <n v="1137"/>
    <x v="1"/>
    <n v="21"/>
    <n v="1"/>
    <s v="Life Sciences"/>
    <n v="1"/>
    <n v="942"/>
    <n v="4"/>
    <x v="0"/>
    <n v="51"/>
    <n v="3"/>
    <n v="2"/>
    <x v="4"/>
    <n v="4"/>
    <s v="Married"/>
    <n v="4014"/>
    <n v="19170"/>
    <n v="1"/>
    <s v="Y"/>
    <x v="0"/>
    <n v="25"/>
    <n v="4"/>
    <n v="4"/>
    <n v="80"/>
    <n v="1"/>
    <n v="10"/>
    <n v="2"/>
    <n v="1"/>
    <n v="10"/>
    <n v="6"/>
    <n v="0"/>
    <n v="7"/>
    <x v="1"/>
    <n v="1"/>
    <x v="0"/>
    <x v="0"/>
    <s v="6-10 Years"/>
    <s v="Very High"/>
    <s v="Bad"/>
  </r>
  <r>
    <x v="1"/>
    <s v="No"/>
    <s v="Travel_Rarely"/>
    <n v="527"/>
    <x v="1"/>
    <n v="8"/>
    <n v="2"/>
    <s v="Other"/>
    <n v="1"/>
    <n v="944"/>
    <n v="1"/>
    <x v="0"/>
    <n v="51"/>
    <n v="3"/>
    <n v="3"/>
    <x v="2"/>
    <n v="2"/>
    <s v="Married"/>
    <n v="7403"/>
    <n v="22477"/>
    <n v="4"/>
    <s v="Y"/>
    <x v="1"/>
    <n v="11"/>
    <n v="3"/>
    <n v="3"/>
    <n v="80"/>
    <n v="1"/>
    <n v="29"/>
    <n v="3"/>
    <n v="2"/>
    <n v="26"/>
    <n v="9"/>
    <n v="1"/>
    <n v="7"/>
    <x v="1"/>
    <n v="1"/>
    <x v="1"/>
    <x v="2"/>
    <s v="10+ Years"/>
    <s v="Medium"/>
    <s v="Good"/>
  </r>
  <r>
    <x v="26"/>
    <s v="No"/>
    <s v="Travel_Rarely"/>
    <n v="1469"/>
    <x v="1"/>
    <n v="20"/>
    <n v="4"/>
    <s v="Medical"/>
    <n v="1"/>
    <n v="945"/>
    <n v="4"/>
    <x v="1"/>
    <n v="51"/>
    <n v="3"/>
    <n v="1"/>
    <x v="1"/>
    <n v="3"/>
    <s v="Married"/>
    <n v="2259"/>
    <n v="5543"/>
    <n v="4"/>
    <s v="Y"/>
    <x v="1"/>
    <n v="17"/>
    <n v="3"/>
    <n v="1"/>
    <n v="80"/>
    <n v="2"/>
    <n v="13"/>
    <n v="2"/>
    <n v="2"/>
    <n v="0"/>
    <n v="0"/>
    <n v="0"/>
    <n v="0"/>
    <x v="1"/>
    <n v="1"/>
    <x v="1"/>
    <x v="1"/>
    <s v="0-1 Years"/>
    <s v="High"/>
    <s v="Good"/>
  </r>
  <r>
    <x v="12"/>
    <s v="No"/>
    <s v="Non-Travel"/>
    <n v="1188"/>
    <x v="0"/>
    <n v="20"/>
    <n v="2"/>
    <s v="Marketing"/>
    <n v="1"/>
    <n v="947"/>
    <n v="4"/>
    <x v="0"/>
    <n v="45"/>
    <n v="3"/>
    <n v="2"/>
    <x v="0"/>
    <n v="3"/>
    <s v="Married"/>
    <n v="6932"/>
    <n v="24406"/>
    <n v="1"/>
    <s v="Y"/>
    <x v="1"/>
    <n v="13"/>
    <n v="3"/>
    <n v="4"/>
    <n v="80"/>
    <n v="1"/>
    <n v="9"/>
    <n v="2"/>
    <n v="2"/>
    <n v="9"/>
    <n v="8"/>
    <n v="0"/>
    <n v="0"/>
    <x v="1"/>
    <n v="1"/>
    <x v="2"/>
    <x v="0"/>
    <s v="6-10 Years"/>
    <s v="High"/>
    <s v="Good"/>
  </r>
  <r>
    <x v="9"/>
    <s v="No"/>
    <s v="Travel_Rarely"/>
    <n v="188"/>
    <x v="1"/>
    <n v="7"/>
    <n v="4"/>
    <s v="Other"/>
    <n v="1"/>
    <n v="949"/>
    <n v="2"/>
    <x v="1"/>
    <n v="65"/>
    <n v="3"/>
    <n v="1"/>
    <x v="1"/>
    <n v="4"/>
    <s v="Single"/>
    <n v="4678"/>
    <n v="23293"/>
    <n v="2"/>
    <s v="Y"/>
    <x v="1"/>
    <n v="18"/>
    <n v="3"/>
    <n v="3"/>
    <n v="80"/>
    <n v="0"/>
    <n v="8"/>
    <n v="6"/>
    <n v="3"/>
    <n v="6"/>
    <n v="2"/>
    <n v="0"/>
    <n v="1"/>
    <x v="1"/>
    <n v="1"/>
    <x v="0"/>
    <x v="0"/>
    <s v="6-10 Years"/>
    <s v="Very High"/>
    <s v="Better"/>
  </r>
  <r>
    <x v="8"/>
    <s v="No"/>
    <s v="Travel_Rarely"/>
    <n v="1333"/>
    <x v="1"/>
    <n v="1"/>
    <n v="3"/>
    <s v="Technical Degree"/>
    <n v="1"/>
    <n v="950"/>
    <n v="4"/>
    <x v="0"/>
    <n v="80"/>
    <n v="3"/>
    <n v="3"/>
    <x v="7"/>
    <n v="1"/>
    <s v="Married"/>
    <n v="13582"/>
    <n v="16292"/>
    <n v="1"/>
    <s v="Y"/>
    <x v="1"/>
    <n v="13"/>
    <n v="3"/>
    <n v="2"/>
    <n v="80"/>
    <n v="1"/>
    <n v="15"/>
    <n v="3"/>
    <n v="3"/>
    <n v="15"/>
    <n v="12"/>
    <n v="5"/>
    <n v="11"/>
    <x v="1"/>
    <n v="1"/>
    <x v="0"/>
    <x v="2"/>
    <s v="10+ Years"/>
    <s v="Low"/>
    <s v="Better"/>
  </r>
  <r>
    <x v="5"/>
    <s v="No"/>
    <s v="Non-Travel"/>
    <n v="1184"/>
    <x v="1"/>
    <n v="1"/>
    <n v="3"/>
    <s v="Life Sciences"/>
    <n v="1"/>
    <n v="951"/>
    <n v="3"/>
    <x v="0"/>
    <n v="70"/>
    <n v="2"/>
    <n v="1"/>
    <x v="2"/>
    <n v="2"/>
    <s v="Married"/>
    <n v="2332"/>
    <n v="3974"/>
    <n v="6"/>
    <s v="Y"/>
    <x v="1"/>
    <n v="20"/>
    <n v="4"/>
    <n v="3"/>
    <n v="80"/>
    <n v="0"/>
    <n v="5"/>
    <n v="3"/>
    <n v="3"/>
    <n v="3"/>
    <n v="0"/>
    <n v="0"/>
    <n v="2"/>
    <x v="1"/>
    <n v="1"/>
    <x v="2"/>
    <x v="1"/>
    <s v="2-5 Years"/>
    <s v="Medium"/>
    <s v="Better"/>
  </r>
  <r>
    <x v="36"/>
    <s v="Yes"/>
    <s v="Travel_Rarely"/>
    <n v="867"/>
    <x v="0"/>
    <n v="19"/>
    <n v="2"/>
    <s v="Marketing"/>
    <n v="1"/>
    <n v="952"/>
    <n v="3"/>
    <x v="1"/>
    <n v="36"/>
    <n v="2"/>
    <n v="1"/>
    <x v="6"/>
    <n v="2"/>
    <s v="Married"/>
    <n v="2413"/>
    <n v="18798"/>
    <n v="1"/>
    <s v="Y"/>
    <x v="0"/>
    <n v="18"/>
    <n v="3"/>
    <n v="3"/>
    <n v="80"/>
    <n v="3"/>
    <n v="1"/>
    <n v="2"/>
    <n v="3"/>
    <n v="1"/>
    <n v="0"/>
    <n v="0"/>
    <n v="0"/>
    <x v="0"/>
    <n v="0"/>
    <x v="2"/>
    <x v="1"/>
    <s v="0-1 Years"/>
    <s v="Medium"/>
    <s v="Better"/>
  </r>
  <r>
    <x v="32"/>
    <s v="No"/>
    <s v="Travel_Rarely"/>
    <n v="658"/>
    <x v="0"/>
    <n v="10"/>
    <n v="4"/>
    <s v="Marketing"/>
    <n v="1"/>
    <n v="954"/>
    <n v="1"/>
    <x v="1"/>
    <n v="67"/>
    <n v="2"/>
    <n v="3"/>
    <x v="0"/>
    <n v="2"/>
    <s v="Divorced"/>
    <n v="9705"/>
    <n v="20652"/>
    <n v="2"/>
    <s v="Y"/>
    <x v="1"/>
    <n v="12"/>
    <n v="3"/>
    <n v="2"/>
    <n v="80"/>
    <n v="1"/>
    <n v="11"/>
    <n v="2"/>
    <n v="2"/>
    <n v="1"/>
    <n v="0"/>
    <n v="0"/>
    <n v="0"/>
    <x v="1"/>
    <n v="1"/>
    <x v="0"/>
    <x v="2"/>
    <s v="0-1 Years"/>
    <s v="Medium"/>
    <s v="Good"/>
  </r>
  <r>
    <x v="25"/>
    <s v="No"/>
    <s v="Travel_Frequently"/>
    <n v="1283"/>
    <x v="0"/>
    <n v="1"/>
    <n v="3"/>
    <s v="Medical"/>
    <n v="1"/>
    <n v="956"/>
    <n v="3"/>
    <x v="1"/>
    <n v="52"/>
    <n v="2"/>
    <n v="2"/>
    <x v="0"/>
    <n v="1"/>
    <s v="Single"/>
    <n v="4294"/>
    <n v="11148"/>
    <n v="1"/>
    <s v="Y"/>
    <x v="1"/>
    <n v="12"/>
    <n v="3"/>
    <n v="2"/>
    <n v="80"/>
    <n v="0"/>
    <n v="7"/>
    <n v="2"/>
    <n v="3"/>
    <n v="7"/>
    <n v="7"/>
    <n v="0"/>
    <n v="7"/>
    <x v="1"/>
    <n v="1"/>
    <x v="2"/>
    <x v="0"/>
    <s v="6-10 Years"/>
    <s v="Low"/>
    <s v="Better"/>
  </r>
  <r>
    <x v="0"/>
    <s v="No"/>
    <s v="Travel_Rarely"/>
    <n v="263"/>
    <x v="1"/>
    <n v="6"/>
    <n v="3"/>
    <s v="Medical"/>
    <n v="1"/>
    <n v="957"/>
    <n v="4"/>
    <x v="1"/>
    <n v="59"/>
    <n v="3"/>
    <n v="1"/>
    <x v="2"/>
    <n v="1"/>
    <s v="Single"/>
    <n v="4721"/>
    <n v="3119"/>
    <n v="2"/>
    <s v="Y"/>
    <x v="0"/>
    <n v="13"/>
    <n v="3"/>
    <n v="3"/>
    <n v="80"/>
    <n v="0"/>
    <n v="20"/>
    <n v="3"/>
    <n v="3"/>
    <n v="18"/>
    <n v="13"/>
    <n v="2"/>
    <n v="17"/>
    <x v="1"/>
    <n v="1"/>
    <x v="0"/>
    <x v="0"/>
    <s v="10+ Years"/>
    <s v="Low"/>
    <s v="Better"/>
  </r>
  <r>
    <x v="9"/>
    <s v="No"/>
    <s v="Travel_Rarely"/>
    <n v="938"/>
    <x v="1"/>
    <n v="2"/>
    <n v="4"/>
    <s v="Medical"/>
    <n v="1"/>
    <n v="958"/>
    <n v="3"/>
    <x v="1"/>
    <n v="79"/>
    <n v="3"/>
    <n v="1"/>
    <x v="2"/>
    <n v="3"/>
    <s v="Single"/>
    <n v="2519"/>
    <n v="12287"/>
    <n v="4"/>
    <s v="Y"/>
    <x v="1"/>
    <n v="21"/>
    <n v="4"/>
    <n v="3"/>
    <n v="80"/>
    <n v="0"/>
    <n v="16"/>
    <n v="6"/>
    <n v="3"/>
    <n v="11"/>
    <n v="8"/>
    <n v="3"/>
    <n v="9"/>
    <x v="1"/>
    <n v="1"/>
    <x v="0"/>
    <x v="1"/>
    <s v="10+ Years"/>
    <s v="High"/>
    <s v="Better"/>
  </r>
  <r>
    <x v="37"/>
    <s v="Yes"/>
    <s v="Travel_Rarely"/>
    <n v="419"/>
    <x v="0"/>
    <n v="21"/>
    <n v="3"/>
    <s v="Other"/>
    <n v="1"/>
    <n v="959"/>
    <n v="4"/>
    <x v="1"/>
    <n v="37"/>
    <n v="2"/>
    <n v="1"/>
    <x v="6"/>
    <n v="2"/>
    <s v="Single"/>
    <n v="2121"/>
    <n v="9947"/>
    <n v="1"/>
    <s v="Y"/>
    <x v="0"/>
    <n v="13"/>
    <n v="3"/>
    <n v="2"/>
    <n v="80"/>
    <n v="0"/>
    <n v="1"/>
    <n v="3"/>
    <n v="4"/>
    <n v="1"/>
    <n v="0"/>
    <n v="0"/>
    <n v="0"/>
    <x v="0"/>
    <n v="0"/>
    <x v="4"/>
    <x v="1"/>
    <s v="0-1 Years"/>
    <s v="Medium"/>
    <s v="Best"/>
  </r>
  <r>
    <x v="35"/>
    <s v="Yes"/>
    <s v="Travel_Rarely"/>
    <n v="129"/>
    <x v="1"/>
    <n v="4"/>
    <n v="3"/>
    <s v="Technical Degree"/>
    <n v="1"/>
    <n v="960"/>
    <n v="1"/>
    <x v="1"/>
    <n v="84"/>
    <n v="3"/>
    <n v="1"/>
    <x v="2"/>
    <n v="1"/>
    <s v="Single"/>
    <n v="2973"/>
    <n v="13008"/>
    <n v="1"/>
    <s v="Y"/>
    <x v="1"/>
    <n v="19"/>
    <n v="3"/>
    <n v="2"/>
    <n v="80"/>
    <n v="0"/>
    <n v="1"/>
    <n v="2"/>
    <n v="3"/>
    <n v="1"/>
    <n v="0"/>
    <n v="0"/>
    <n v="0"/>
    <x v="0"/>
    <n v="0"/>
    <x v="4"/>
    <x v="1"/>
    <s v="0-1 Years"/>
    <s v="Low"/>
    <s v="Better"/>
  </r>
  <r>
    <x v="12"/>
    <s v="No"/>
    <s v="Travel_Rarely"/>
    <n v="616"/>
    <x v="1"/>
    <n v="12"/>
    <n v="3"/>
    <s v="Medical"/>
    <n v="1"/>
    <n v="961"/>
    <n v="4"/>
    <x v="0"/>
    <n v="41"/>
    <n v="3"/>
    <n v="2"/>
    <x v="4"/>
    <n v="4"/>
    <s v="Married"/>
    <n v="5855"/>
    <n v="17369"/>
    <n v="0"/>
    <s v="Y"/>
    <x v="0"/>
    <n v="11"/>
    <n v="3"/>
    <n v="3"/>
    <n v="80"/>
    <n v="2"/>
    <n v="10"/>
    <n v="2"/>
    <n v="1"/>
    <n v="9"/>
    <n v="7"/>
    <n v="8"/>
    <n v="5"/>
    <x v="1"/>
    <n v="1"/>
    <x v="2"/>
    <x v="0"/>
    <s v="6-10 Years"/>
    <s v="Very High"/>
    <s v="Bad"/>
  </r>
  <r>
    <x v="32"/>
    <s v="No"/>
    <s v="Travel_Frequently"/>
    <n v="1469"/>
    <x v="1"/>
    <n v="9"/>
    <n v="4"/>
    <s v="Medical"/>
    <n v="1"/>
    <n v="964"/>
    <n v="4"/>
    <x v="1"/>
    <n v="35"/>
    <n v="3"/>
    <n v="1"/>
    <x v="1"/>
    <n v="2"/>
    <s v="Divorced"/>
    <n v="3617"/>
    <n v="25063"/>
    <n v="8"/>
    <s v="Y"/>
    <x v="0"/>
    <n v="14"/>
    <n v="3"/>
    <n v="4"/>
    <n v="80"/>
    <n v="1"/>
    <n v="3"/>
    <n v="2"/>
    <n v="3"/>
    <n v="1"/>
    <n v="1"/>
    <n v="0"/>
    <n v="0"/>
    <x v="1"/>
    <n v="1"/>
    <x v="0"/>
    <x v="0"/>
    <s v="0-1 Years"/>
    <s v="Medium"/>
    <s v="Better"/>
  </r>
  <r>
    <x v="5"/>
    <s v="No"/>
    <s v="Travel_Rarely"/>
    <n v="498"/>
    <x v="1"/>
    <n v="3"/>
    <n v="4"/>
    <s v="Medical"/>
    <n v="1"/>
    <n v="966"/>
    <n v="3"/>
    <x v="0"/>
    <n v="93"/>
    <n v="3"/>
    <n v="2"/>
    <x v="3"/>
    <n v="1"/>
    <s v="Married"/>
    <n v="6725"/>
    <n v="13554"/>
    <n v="1"/>
    <s v="Y"/>
    <x v="1"/>
    <n v="12"/>
    <n v="3"/>
    <n v="3"/>
    <n v="80"/>
    <n v="1"/>
    <n v="8"/>
    <n v="2"/>
    <n v="4"/>
    <n v="8"/>
    <n v="7"/>
    <n v="6"/>
    <n v="3"/>
    <x v="1"/>
    <n v="1"/>
    <x v="2"/>
    <x v="0"/>
    <s v="6-10 Years"/>
    <s v="Low"/>
    <s v="Best"/>
  </r>
  <r>
    <x v="9"/>
    <s v="Yes"/>
    <s v="Travel_Rarely"/>
    <n v="530"/>
    <x v="0"/>
    <n v="3"/>
    <n v="1"/>
    <s v="Life Sciences"/>
    <n v="1"/>
    <n v="967"/>
    <n v="3"/>
    <x v="1"/>
    <n v="51"/>
    <n v="2"/>
    <n v="3"/>
    <x v="0"/>
    <n v="4"/>
    <s v="Married"/>
    <n v="10325"/>
    <n v="5518"/>
    <n v="1"/>
    <s v="Y"/>
    <x v="0"/>
    <n v="11"/>
    <n v="3"/>
    <n v="1"/>
    <n v="80"/>
    <n v="1"/>
    <n v="16"/>
    <n v="6"/>
    <n v="3"/>
    <n v="16"/>
    <n v="7"/>
    <n v="3"/>
    <n v="7"/>
    <x v="0"/>
    <n v="0"/>
    <x v="0"/>
    <x v="2"/>
    <s v="10+ Years"/>
    <s v="Very High"/>
    <s v="Better"/>
  </r>
  <r>
    <x v="3"/>
    <s v="No"/>
    <s v="Travel_Rarely"/>
    <n v="1069"/>
    <x v="1"/>
    <n v="1"/>
    <n v="3"/>
    <s v="Life Sciences"/>
    <n v="1"/>
    <n v="969"/>
    <n v="2"/>
    <x v="0"/>
    <n v="42"/>
    <n v="2"/>
    <n v="2"/>
    <x v="4"/>
    <n v="4"/>
    <s v="Single"/>
    <n v="6949"/>
    <n v="12291"/>
    <n v="0"/>
    <s v="Y"/>
    <x v="1"/>
    <n v="14"/>
    <n v="3"/>
    <n v="1"/>
    <n v="80"/>
    <n v="0"/>
    <n v="6"/>
    <n v="3"/>
    <n v="3"/>
    <n v="5"/>
    <n v="0"/>
    <n v="1"/>
    <n v="4"/>
    <x v="1"/>
    <n v="1"/>
    <x v="2"/>
    <x v="0"/>
    <s v="2-5 Years"/>
    <s v="Very High"/>
    <s v="Better"/>
  </r>
  <r>
    <x v="2"/>
    <s v="Yes"/>
    <s v="Travel_Rarely"/>
    <n v="625"/>
    <x v="0"/>
    <n v="1"/>
    <n v="4"/>
    <s v="Life Sciences"/>
    <n v="1"/>
    <n v="970"/>
    <n v="1"/>
    <x v="1"/>
    <n v="46"/>
    <n v="2"/>
    <n v="3"/>
    <x v="0"/>
    <n v="3"/>
    <s v="Married"/>
    <n v="10609"/>
    <n v="14922"/>
    <n v="5"/>
    <s v="Y"/>
    <x v="1"/>
    <n v="11"/>
    <n v="3"/>
    <n v="3"/>
    <n v="80"/>
    <n v="0"/>
    <n v="17"/>
    <n v="2"/>
    <n v="1"/>
    <n v="14"/>
    <n v="1"/>
    <n v="11"/>
    <n v="7"/>
    <x v="0"/>
    <n v="0"/>
    <x v="0"/>
    <x v="2"/>
    <s v="10+ Years"/>
    <s v="High"/>
    <s v="Bad"/>
  </r>
  <r>
    <x v="28"/>
    <s v="No"/>
    <s v="Non-Travel"/>
    <n v="805"/>
    <x v="1"/>
    <n v="4"/>
    <n v="2"/>
    <s v="Life Sciences"/>
    <n v="1"/>
    <n v="972"/>
    <n v="3"/>
    <x v="1"/>
    <n v="57"/>
    <n v="3"/>
    <n v="2"/>
    <x v="2"/>
    <n v="2"/>
    <s v="Married"/>
    <n v="4447"/>
    <n v="23163"/>
    <n v="1"/>
    <s v="Y"/>
    <x v="1"/>
    <n v="12"/>
    <n v="3"/>
    <n v="2"/>
    <n v="80"/>
    <n v="0"/>
    <n v="9"/>
    <n v="5"/>
    <n v="2"/>
    <n v="9"/>
    <n v="7"/>
    <n v="0"/>
    <n v="8"/>
    <x v="1"/>
    <n v="1"/>
    <x v="1"/>
    <x v="0"/>
    <s v="6-10 Years"/>
    <s v="Medium"/>
    <s v="Good"/>
  </r>
  <r>
    <x v="11"/>
    <s v="No"/>
    <s v="Travel_Frequently"/>
    <n v="1404"/>
    <x v="0"/>
    <n v="20"/>
    <n v="3"/>
    <s v="Technical Degree"/>
    <n v="1"/>
    <n v="974"/>
    <n v="3"/>
    <x v="0"/>
    <n v="84"/>
    <n v="3"/>
    <n v="1"/>
    <x v="6"/>
    <n v="4"/>
    <s v="Married"/>
    <n v="2157"/>
    <n v="18203"/>
    <n v="1"/>
    <s v="Y"/>
    <x v="1"/>
    <n v="15"/>
    <n v="3"/>
    <n v="2"/>
    <n v="80"/>
    <n v="1"/>
    <n v="3"/>
    <n v="5"/>
    <n v="3"/>
    <n v="3"/>
    <n v="1"/>
    <n v="0"/>
    <n v="2"/>
    <x v="1"/>
    <n v="1"/>
    <x v="2"/>
    <x v="1"/>
    <s v="2-5 Years"/>
    <s v="Very High"/>
    <s v="Better"/>
  </r>
  <r>
    <x v="10"/>
    <s v="No"/>
    <s v="Travel_Rarely"/>
    <n v="1219"/>
    <x v="0"/>
    <n v="18"/>
    <n v="3"/>
    <s v="Medical"/>
    <n v="1"/>
    <n v="975"/>
    <n v="3"/>
    <x v="0"/>
    <n v="86"/>
    <n v="3"/>
    <n v="2"/>
    <x v="0"/>
    <n v="3"/>
    <s v="Married"/>
    <n v="4601"/>
    <n v="6179"/>
    <n v="1"/>
    <s v="Y"/>
    <x v="1"/>
    <n v="16"/>
    <n v="3"/>
    <n v="2"/>
    <n v="80"/>
    <n v="0"/>
    <n v="5"/>
    <n v="3"/>
    <n v="3"/>
    <n v="5"/>
    <n v="2"/>
    <n v="1"/>
    <n v="0"/>
    <x v="1"/>
    <n v="1"/>
    <x v="0"/>
    <x v="0"/>
    <s v="2-5 Years"/>
    <s v="High"/>
    <s v="Better"/>
  </r>
  <r>
    <x v="39"/>
    <s v="No"/>
    <s v="Travel_Rarely"/>
    <n v="1053"/>
    <x v="1"/>
    <n v="1"/>
    <n v="2"/>
    <s v="Life Sciences"/>
    <n v="1"/>
    <n v="976"/>
    <n v="4"/>
    <x v="1"/>
    <n v="70"/>
    <n v="3"/>
    <n v="4"/>
    <x v="5"/>
    <n v="4"/>
    <s v="Married"/>
    <n v="17099"/>
    <n v="13829"/>
    <n v="2"/>
    <s v="Y"/>
    <x v="1"/>
    <n v="15"/>
    <n v="3"/>
    <n v="2"/>
    <n v="80"/>
    <n v="1"/>
    <n v="26"/>
    <n v="2"/>
    <n v="2"/>
    <n v="9"/>
    <n v="8"/>
    <n v="7"/>
    <n v="8"/>
    <x v="1"/>
    <n v="1"/>
    <x v="1"/>
    <x v="2"/>
    <s v="6-10 Years"/>
    <s v="Very High"/>
    <s v="Good"/>
  </r>
  <r>
    <x v="34"/>
    <s v="Yes"/>
    <s v="Travel_Rarely"/>
    <n v="289"/>
    <x v="1"/>
    <n v="2"/>
    <n v="3"/>
    <s v="Technical Degree"/>
    <n v="1"/>
    <n v="977"/>
    <n v="4"/>
    <x v="1"/>
    <n v="51"/>
    <n v="3"/>
    <n v="1"/>
    <x v="1"/>
    <n v="3"/>
    <s v="Single"/>
    <n v="2479"/>
    <n v="26227"/>
    <n v="4"/>
    <s v="Y"/>
    <x v="1"/>
    <n v="24"/>
    <n v="4"/>
    <n v="1"/>
    <n v="80"/>
    <n v="0"/>
    <n v="7"/>
    <n v="4"/>
    <n v="3"/>
    <n v="1"/>
    <n v="0"/>
    <n v="0"/>
    <n v="0"/>
    <x v="0"/>
    <n v="0"/>
    <x v="3"/>
    <x v="1"/>
    <s v="0-1 Years"/>
    <s v="High"/>
    <s v="Better"/>
  </r>
  <r>
    <x v="16"/>
    <s v="No"/>
    <s v="Travel_Rarely"/>
    <n v="1376"/>
    <x v="0"/>
    <n v="2"/>
    <n v="2"/>
    <s v="Medical"/>
    <n v="1"/>
    <n v="981"/>
    <n v="3"/>
    <x v="1"/>
    <n v="45"/>
    <n v="3"/>
    <n v="4"/>
    <x v="5"/>
    <n v="3"/>
    <s v="Divorced"/>
    <n v="14852"/>
    <n v="13938"/>
    <n v="6"/>
    <s v="Y"/>
    <x v="1"/>
    <n v="13"/>
    <n v="3"/>
    <n v="3"/>
    <n v="80"/>
    <n v="1"/>
    <n v="22"/>
    <n v="3"/>
    <n v="4"/>
    <n v="17"/>
    <n v="13"/>
    <n v="15"/>
    <n v="2"/>
    <x v="1"/>
    <n v="1"/>
    <x v="1"/>
    <x v="2"/>
    <s v="10+ Years"/>
    <s v="High"/>
    <s v="Best"/>
  </r>
  <r>
    <x v="7"/>
    <s v="No"/>
    <s v="Travel_Rarely"/>
    <n v="231"/>
    <x v="0"/>
    <n v="8"/>
    <n v="2"/>
    <s v="Other"/>
    <n v="1"/>
    <n v="982"/>
    <n v="3"/>
    <x v="1"/>
    <n v="62"/>
    <n v="3"/>
    <n v="3"/>
    <x v="0"/>
    <n v="3"/>
    <s v="Divorced"/>
    <n v="7264"/>
    <n v="9977"/>
    <n v="5"/>
    <s v="Y"/>
    <x v="1"/>
    <n v="11"/>
    <n v="3"/>
    <n v="1"/>
    <n v="80"/>
    <n v="1"/>
    <n v="10"/>
    <n v="2"/>
    <n v="4"/>
    <n v="8"/>
    <n v="4"/>
    <n v="7"/>
    <n v="7"/>
    <x v="1"/>
    <n v="1"/>
    <x v="2"/>
    <x v="2"/>
    <s v="6-10 Years"/>
    <s v="High"/>
    <s v="Best"/>
  </r>
  <r>
    <x v="8"/>
    <s v="No"/>
    <s v="Non-Travel"/>
    <n v="152"/>
    <x v="0"/>
    <n v="10"/>
    <n v="3"/>
    <s v="Technical Degree"/>
    <n v="1"/>
    <n v="983"/>
    <n v="3"/>
    <x v="0"/>
    <n v="85"/>
    <n v="3"/>
    <n v="2"/>
    <x v="0"/>
    <n v="4"/>
    <s v="Single"/>
    <n v="5666"/>
    <n v="19899"/>
    <n v="1"/>
    <s v="Y"/>
    <x v="0"/>
    <n v="13"/>
    <n v="3"/>
    <n v="2"/>
    <n v="80"/>
    <n v="0"/>
    <n v="6"/>
    <n v="1"/>
    <n v="3"/>
    <n v="5"/>
    <n v="3"/>
    <n v="1"/>
    <n v="3"/>
    <x v="1"/>
    <n v="1"/>
    <x v="0"/>
    <x v="0"/>
    <s v="2-5 Years"/>
    <s v="Very High"/>
    <s v="Better"/>
  </r>
  <r>
    <x v="10"/>
    <s v="No"/>
    <s v="Travel_Rarely"/>
    <n v="882"/>
    <x v="0"/>
    <n v="3"/>
    <n v="4"/>
    <s v="Life Sciences"/>
    <n v="1"/>
    <n v="984"/>
    <n v="4"/>
    <x v="1"/>
    <n v="92"/>
    <n v="3"/>
    <n v="3"/>
    <x v="0"/>
    <n v="4"/>
    <s v="Divorced"/>
    <n v="7823"/>
    <n v="6812"/>
    <n v="6"/>
    <s v="Y"/>
    <x v="1"/>
    <n v="13"/>
    <n v="3"/>
    <n v="2"/>
    <n v="80"/>
    <n v="1"/>
    <n v="12"/>
    <n v="2"/>
    <n v="3"/>
    <n v="10"/>
    <n v="9"/>
    <n v="0"/>
    <n v="8"/>
    <x v="1"/>
    <n v="1"/>
    <x v="0"/>
    <x v="2"/>
    <s v="6-10 Years"/>
    <s v="Very High"/>
    <s v="Better"/>
  </r>
  <r>
    <x v="22"/>
    <s v="No"/>
    <s v="Travel_Rarely"/>
    <n v="903"/>
    <x v="0"/>
    <n v="2"/>
    <n v="5"/>
    <s v="Life Sciences"/>
    <n v="1"/>
    <n v="985"/>
    <n v="1"/>
    <x v="1"/>
    <n v="41"/>
    <n v="4"/>
    <n v="3"/>
    <x v="0"/>
    <n v="3"/>
    <s v="Single"/>
    <n v="7880"/>
    <n v="2560"/>
    <n v="0"/>
    <s v="Y"/>
    <x v="1"/>
    <n v="18"/>
    <n v="3"/>
    <n v="4"/>
    <n v="80"/>
    <n v="0"/>
    <n v="9"/>
    <n v="3"/>
    <n v="3"/>
    <n v="8"/>
    <n v="7"/>
    <n v="0"/>
    <n v="7"/>
    <x v="1"/>
    <n v="1"/>
    <x v="0"/>
    <x v="2"/>
    <s v="6-10 Years"/>
    <s v="High"/>
    <s v="Better"/>
  </r>
  <r>
    <x v="32"/>
    <s v="Yes"/>
    <s v="Non-Travel"/>
    <n v="1479"/>
    <x v="0"/>
    <n v="24"/>
    <n v="3"/>
    <s v="Life Sciences"/>
    <n v="1"/>
    <n v="986"/>
    <n v="2"/>
    <x v="0"/>
    <n v="100"/>
    <n v="4"/>
    <n v="4"/>
    <x v="0"/>
    <n v="2"/>
    <s v="Single"/>
    <n v="13194"/>
    <n v="17071"/>
    <n v="4"/>
    <s v="Y"/>
    <x v="0"/>
    <n v="16"/>
    <n v="3"/>
    <n v="4"/>
    <n v="80"/>
    <n v="0"/>
    <n v="22"/>
    <n v="2"/>
    <n v="2"/>
    <n v="1"/>
    <n v="0"/>
    <n v="0"/>
    <n v="0"/>
    <x v="0"/>
    <n v="0"/>
    <x v="0"/>
    <x v="2"/>
    <s v="0-1 Years"/>
    <s v="Medium"/>
    <s v="Good"/>
  </r>
  <r>
    <x v="40"/>
    <s v="No"/>
    <s v="Travel_Frequently"/>
    <n v="1379"/>
    <x v="1"/>
    <n v="16"/>
    <n v="4"/>
    <s v="Medical"/>
    <n v="1"/>
    <n v="987"/>
    <n v="3"/>
    <x v="1"/>
    <n v="64"/>
    <n v="4"/>
    <n v="2"/>
    <x v="3"/>
    <n v="3"/>
    <s v="Divorced"/>
    <n v="5067"/>
    <n v="6759"/>
    <n v="1"/>
    <s v="Y"/>
    <x v="0"/>
    <n v="19"/>
    <n v="3"/>
    <n v="3"/>
    <n v="80"/>
    <n v="0"/>
    <n v="20"/>
    <n v="3"/>
    <n v="4"/>
    <n v="19"/>
    <n v="10"/>
    <n v="2"/>
    <n v="7"/>
    <x v="1"/>
    <n v="1"/>
    <x v="1"/>
    <x v="0"/>
    <s v="10+ Years"/>
    <s v="High"/>
    <s v="Best"/>
  </r>
  <r>
    <x v="9"/>
    <s v="No"/>
    <s v="Non-Travel"/>
    <n v="1229"/>
    <x v="0"/>
    <n v="8"/>
    <n v="4"/>
    <s v="Technical Degree"/>
    <n v="1"/>
    <n v="990"/>
    <n v="1"/>
    <x v="1"/>
    <n v="84"/>
    <n v="3"/>
    <n v="2"/>
    <x v="0"/>
    <n v="4"/>
    <s v="Divorced"/>
    <n v="5079"/>
    <n v="25952"/>
    <n v="4"/>
    <s v="Y"/>
    <x v="1"/>
    <n v="13"/>
    <n v="3"/>
    <n v="4"/>
    <n v="80"/>
    <n v="2"/>
    <n v="12"/>
    <n v="3"/>
    <n v="3"/>
    <n v="7"/>
    <n v="7"/>
    <n v="0"/>
    <n v="7"/>
    <x v="1"/>
    <n v="1"/>
    <x v="0"/>
    <x v="0"/>
    <s v="6-10 Years"/>
    <s v="Very High"/>
    <s v="Better"/>
  </r>
  <r>
    <x v="12"/>
    <s v="Yes"/>
    <s v="Non-Travel"/>
    <n v="335"/>
    <x v="1"/>
    <n v="9"/>
    <n v="2"/>
    <s v="Medical"/>
    <n v="1"/>
    <n v="991"/>
    <n v="3"/>
    <x v="1"/>
    <n v="46"/>
    <n v="2"/>
    <n v="1"/>
    <x v="1"/>
    <n v="1"/>
    <s v="Single"/>
    <n v="2321"/>
    <n v="10322"/>
    <n v="0"/>
    <s v="Y"/>
    <x v="0"/>
    <n v="22"/>
    <n v="4"/>
    <n v="1"/>
    <n v="80"/>
    <n v="0"/>
    <n v="4"/>
    <n v="0"/>
    <n v="3"/>
    <n v="3"/>
    <n v="2"/>
    <n v="1"/>
    <n v="2"/>
    <x v="0"/>
    <n v="0"/>
    <x v="2"/>
    <x v="1"/>
    <s v="2-5 Years"/>
    <s v="Low"/>
    <s v="Better"/>
  </r>
  <r>
    <x v="3"/>
    <s v="No"/>
    <s v="Non-Travel"/>
    <n v="722"/>
    <x v="0"/>
    <n v="17"/>
    <n v="3"/>
    <s v="Life Sciences"/>
    <n v="1"/>
    <n v="992"/>
    <n v="4"/>
    <x v="1"/>
    <n v="38"/>
    <n v="3"/>
    <n v="4"/>
    <x v="5"/>
    <n v="3"/>
    <s v="Single"/>
    <n v="17444"/>
    <n v="20489"/>
    <n v="1"/>
    <s v="Y"/>
    <x v="1"/>
    <n v="11"/>
    <n v="3"/>
    <n v="4"/>
    <n v="80"/>
    <n v="0"/>
    <n v="10"/>
    <n v="2"/>
    <n v="3"/>
    <n v="10"/>
    <n v="8"/>
    <n v="6"/>
    <n v="0"/>
    <x v="1"/>
    <n v="1"/>
    <x v="2"/>
    <x v="2"/>
    <s v="6-10 Years"/>
    <s v="High"/>
    <s v="Better"/>
  </r>
  <r>
    <x v="11"/>
    <s v="Yes"/>
    <s v="Travel_Rarely"/>
    <n v="906"/>
    <x v="1"/>
    <n v="10"/>
    <n v="3"/>
    <s v="Life Sciences"/>
    <n v="1"/>
    <n v="994"/>
    <n v="4"/>
    <x v="0"/>
    <n v="92"/>
    <n v="2"/>
    <n v="1"/>
    <x v="1"/>
    <n v="1"/>
    <s v="Single"/>
    <n v="2404"/>
    <n v="11479"/>
    <n v="6"/>
    <s v="Y"/>
    <x v="0"/>
    <n v="20"/>
    <n v="4"/>
    <n v="3"/>
    <n v="80"/>
    <n v="0"/>
    <n v="3"/>
    <n v="5"/>
    <n v="3"/>
    <n v="0"/>
    <n v="0"/>
    <n v="0"/>
    <n v="0"/>
    <x v="0"/>
    <n v="0"/>
    <x v="2"/>
    <x v="1"/>
    <s v="0-1 Years"/>
    <s v="Low"/>
    <s v="Better"/>
  </r>
  <r>
    <x v="3"/>
    <s v="No"/>
    <s v="Travel_Rarely"/>
    <n v="461"/>
    <x v="1"/>
    <n v="13"/>
    <n v="1"/>
    <s v="Life Sciences"/>
    <n v="1"/>
    <n v="995"/>
    <n v="2"/>
    <x v="0"/>
    <n v="53"/>
    <n v="3"/>
    <n v="1"/>
    <x v="1"/>
    <n v="4"/>
    <s v="Single"/>
    <n v="3452"/>
    <n v="17241"/>
    <n v="3"/>
    <s v="Y"/>
    <x v="1"/>
    <n v="18"/>
    <n v="3"/>
    <n v="1"/>
    <n v="80"/>
    <n v="0"/>
    <n v="5"/>
    <n v="4"/>
    <n v="3"/>
    <n v="3"/>
    <n v="2"/>
    <n v="0"/>
    <n v="2"/>
    <x v="1"/>
    <n v="1"/>
    <x v="2"/>
    <x v="0"/>
    <s v="2-5 Years"/>
    <s v="Very High"/>
    <s v="Better"/>
  </r>
  <r>
    <x v="28"/>
    <s v="No"/>
    <s v="Travel_Rarely"/>
    <n v="974"/>
    <x v="1"/>
    <n v="1"/>
    <n v="4"/>
    <s v="Medical"/>
    <n v="1"/>
    <n v="996"/>
    <n v="4"/>
    <x v="0"/>
    <n v="91"/>
    <n v="3"/>
    <n v="1"/>
    <x v="2"/>
    <n v="4"/>
    <s v="Divorced"/>
    <n v="2270"/>
    <n v="11005"/>
    <n v="3"/>
    <s v="Y"/>
    <x v="1"/>
    <n v="14"/>
    <n v="3"/>
    <n v="4"/>
    <n v="80"/>
    <n v="2"/>
    <n v="8"/>
    <n v="2"/>
    <n v="3"/>
    <n v="5"/>
    <n v="3"/>
    <n v="0"/>
    <n v="2"/>
    <x v="1"/>
    <n v="1"/>
    <x v="1"/>
    <x v="1"/>
    <s v="2-5 Years"/>
    <s v="Very High"/>
    <s v="Better"/>
  </r>
  <r>
    <x v="24"/>
    <s v="No"/>
    <s v="Travel_Rarely"/>
    <n v="1126"/>
    <x v="1"/>
    <n v="1"/>
    <n v="2"/>
    <s v="Medical"/>
    <n v="1"/>
    <n v="997"/>
    <n v="4"/>
    <x v="1"/>
    <n v="66"/>
    <n v="3"/>
    <n v="4"/>
    <x v="7"/>
    <n v="4"/>
    <s v="Divorced"/>
    <n v="17399"/>
    <n v="6615"/>
    <n v="9"/>
    <s v="Y"/>
    <x v="1"/>
    <n v="22"/>
    <n v="4"/>
    <n v="3"/>
    <n v="80"/>
    <n v="1"/>
    <n v="32"/>
    <n v="1"/>
    <n v="2"/>
    <n v="5"/>
    <n v="4"/>
    <n v="1"/>
    <n v="3"/>
    <x v="1"/>
    <n v="1"/>
    <x v="1"/>
    <x v="2"/>
    <s v="2-5 Years"/>
    <s v="Very High"/>
    <s v="Good"/>
  </r>
  <r>
    <x v="3"/>
    <s v="No"/>
    <s v="Travel_Frequently"/>
    <n v="827"/>
    <x v="1"/>
    <n v="1"/>
    <n v="4"/>
    <s v="Other"/>
    <n v="1"/>
    <n v="998"/>
    <n v="3"/>
    <x v="0"/>
    <n v="84"/>
    <n v="4"/>
    <n v="2"/>
    <x v="4"/>
    <n v="2"/>
    <s v="Married"/>
    <n v="5488"/>
    <n v="20161"/>
    <n v="1"/>
    <s v="Y"/>
    <x v="0"/>
    <n v="13"/>
    <n v="3"/>
    <n v="1"/>
    <n v="80"/>
    <n v="1"/>
    <n v="6"/>
    <n v="2"/>
    <n v="3"/>
    <n v="6"/>
    <n v="5"/>
    <n v="1"/>
    <n v="2"/>
    <x v="1"/>
    <n v="1"/>
    <x v="2"/>
    <x v="0"/>
    <s v="6-10 Years"/>
    <s v="Medium"/>
    <s v="Better"/>
  </r>
  <r>
    <x v="0"/>
    <s v="No"/>
    <s v="Travel_Frequently"/>
    <n v="840"/>
    <x v="1"/>
    <n v="9"/>
    <n v="3"/>
    <s v="Medical"/>
    <n v="1"/>
    <n v="999"/>
    <n v="1"/>
    <x v="1"/>
    <n v="64"/>
    <n v="3"/>
    <n v="5"/>
    <x v="7"/>
    <n v="3"/>
    <s v="Divorced"/>
    <n v="19419"/>
    <n v="3735"/>
    <n v="2"/>
    <s v="Y"/>
    <x v="1"/>
    <n v="17"/>
    <n v="3"/>
    <n v="2"/>
    <n v="80"/>
    <n v="1"/>
    <n v="21"/>
    <n v="2"/>
    <n v="4"/>
    <n v="18"/>
    <n v="16"/>
    <n v="0"/>
    <n v="11"/>
    <x v="1"/>
    <n v="1"/>
    <x v="0"/>
    <x v="2"/>
    <s v="10+ Years"/>
    <s v="High"/>
    <s v="Best"/>
  </r>
  <r>
    <x v="4"/>
    <s v="No"/>
    <s v="Travel_Rarely"/>
    <n v="1134"/>
    <x v="1"/>
    <n v="16"/>
    <n v="4"/>
    <s v="Technical Degree"/>
    <n v="1"/>
    <n v="1001"/>
    <n v="3"/>
    <x v="0"/>
    <n v="37"/>
    <n v="3"/>
    <n v="1"/>
    <x v="2"/>
    <n v="2"/>
    <s v="Married"/>
    <n v="2811"/>
    <n v="12086"/>
    <n v="9"/>
    <s v="Y"/>
    <x v="1"/>
    <n v="14"/>
    <n v="3"/>
    <n v="2"/>
    <n v="80"/>
    <n v="1"/>
    <n v="4"/>
    <n v="2"/>
    <n v="3"/>
    <n v="2"/>
    <n v="2"/>
    <n v="2"/>
    <n v="2"/>
    <x v="1"/>
    <n v="1"/>
    <x v="2"/>
    <x v="1"/>
    <s v="2-5 Years"/>
    <s v="Medium"/>
    <s v="Better"/>
  </r>
  <r>
    <x v="28"/>
    <s v="No"/>
    <s v="Non-Travel"/>
    <n v="248"/>
    <x v="1"/>
    <n v="23"/>
    <n v="2"/>
    <s v="Life Sciences"/>
    <n v="1"/>
    <n v="1002"/>
    <n v="4"/>
    <x v="1"/>
    <n v="42"/>
    <n v="3"/>
    <n v="2"/>
    <x v="2"/>
    <n v="1"/>
    <s v="Married"/>
    <n v="3633"/>
    <n v="14039"/>
    <n v="1"/>
    <s v="Y"/>
    <x v="0"/>
    <n v="15"/>
    <n v="3"/>
    <n v="3"/>
    <n v="80"/>
    <n v="1"/>
    <n v="9"/>
    <n v="2"/>
    <n v="3"/>
    <n v="9"/>
    <n v="8"/>
    <n v="0"/>
    <n v="8"/>
    <x v="1"/>
    <n v="1"/>
    <x v="1"/>
    <x v="0"/>
    <s v="6-10 Years"/>
    <s v="Low"/>
    <s v="Better"/>
  </r>
  <r>
    <x v="40"/>
    <s v="No"/>
    <s v="Travel_Rarely"/>
    <n v="955"/>
    <x v="0"/>
    <n v="4"/>
    <n v="2"/>
    <s v="Life Sciences"/>
    <n v="1"/>
    <n v="1003"/>
    <n v="4"/>
    <x v="0"/>
    <n v="83"/>
    <n v="3"/>
    <n v="2"/>
    <x v="0"/>
    <n v="4"/>
    <s v="Single"/>
    <n v="4163"/>
    <n v="8571"/>
    <n v="1"/>
    <s v="Y"/>
    <x v="0"/>
    <n v="17"/>
    <n v="3"/>
    <n v="3"/>
    <n v="80"/>
    <n v="0"/>
    <n v="9"/>
    <n v="0"/>
    <n v="3"/>
    <n v="9"/>
    <n v="0"/>
    <n v="0"/>
    <n v="7"/>
    <x v="1"/>
    <n v="1"/>
    <x v="1"/>
    <x v="0"/>
    <s v="6-10 Years"/>
    <s v="Very High"/>
    <s v="Better"/>
  </r>
  <r>
    <x v="7"/>
    <s v="Yes"/>
    <s v="Travel_Rarely"/>
    <n v="138"/>
    <x v="1"/>
    <n v="22"/>
    <n v="3"/>
    <s v="Life Sciences"/>
    <n v="1"/>
    <n v="1004"/>
    <n v="1"/>
    <x v="0"/>
    <n v="48"/>
    <n v="3"/>
    <n v="1"/>
    <x v="1"/>
    <n v="3"/>
    <s v="Married"/>
    <n v="2132"/>
    <n v="11539"/>
    <n v="4"/>
    <s v="Y"/>
    <x v="0"/>
    <n v="11"/>
    <n v="3"/>
    <n v="2"/>
    <n v="80"/>
    <n v="0"/>
    <n v="7"/>
    <n v="2"/>
    <n v="3"/>
    <n v="5"/>
    <n v="2"/>
    <n v="0"/>
    <n v="1"/>
    <x v="0"/>
    <n v="0"/>
    <x v="2"/>
    <x v="1"/>
    <s v="2-5 Years"/>
    <s v="High"/>
    <s v="Better"/>
  </r>
  <r>
    <x v="24"/>
    <s v="No"/>
    <s v="Travel_Rarely"/>
    <n v="939"/>
    <x v="1"/>
    <n v="24"/>
    <n v="3"/>
    <s v="Life Sciences"/>
    <n v="1"/>
    <n v="1005"/>
    <n v="4"/>
    <x v="1"/>
    <n v="95"/>
    <n v="3"/>
    <n v="4"/>
    <x v="3"/>
    <n v="3"/>
    <s v="Married"/>
    <n v="13973"/>
    <n v="4161"/>
    <n v="3"/>
    <s v="Y"/>
    <x v="0"/>
    <n v="18"/>
    <n v="3"/>
    <n v="4"/>
    <n v="80"/>
    <n v="1"/>
    <n v="22"/>
    <n v="2"/>
    <n v="3"/>
    <n v="12"/>
    <n v="11"/>
    <n v="1"/>
    <n v="5"/>
    <x v="1"/>
    <n v="1"/>
    <x v="1"/>
    <x v="2"/>
    <s v="10+ Years"/>
    <s v="High"/>
    <s v="Better"/>
  </r>
  <r>
    <x v="8"/>
    <s v="No"/>
    <s v="Travel_Frequently"/>
    <n v="1391"/>
    <x v="1"/>
    <n v="10"/>
    <n v="1"/>
    <s v="Medical"/>
    <n v="1"/>
    <n v="1006"/>
    <n v="3"/>
    <x v="1"/>
    <n v="66"/>
    <n v="3"/>
    <n v="1"/>
    <x v="1"/>
    <n v="3"/>
    <s v="Married"/>
    <n v="2684"/>
    <n v="12127"/>
    <n v="0"/>
    <s v="Y"/>
    <x v="1"/>
    <n v="17"/>
    <n v="3"/>
    <n v="2"/>
    <n v="80"/>
    <n v="1"/>
    <n v="3"/>
    <n v="0"/>
    <n v="2"/>
    <n v="2"/>
    <n v="1"/>
    <n v="0"/>
    <n v="2"/>
    <x v="1"/>
    <n v="1"/>
    <x v="0"/>
    <x v="1"/>
    <s v="2-5 Years"/>
    <s v="High"/>
    <s v="Good"/>
  </r>
  <r>
    <x v="21"/>
    <s v="No"/>
    <s v="Travel_Rarely"/>
    <n v="566"/>
    <x v="1"/>
    <n v="7"/>
    <n v="2"/>
    <s v="Medical"/>
    <n v="1"/>
    <n v="1007"/>
    <n v="4"/>
    <x v="1"/>
    <n v="75"/>
    <n v="3"/>
    <n v="3"/>
    <x v="3"/>
    <n v="3"/>
    <s v="Divorced"/>
    <n v="10845"/>
    <n v="24208"/>
    <n v="6"/>
    <s v="Y"/>
    <x v="1"/>
    <n v="13"/>
    <n v="3"/>
    <n v="2"/>
    <n v="80"/>
    <n v="1"/>
    <n v="13"/>
    <n v="3"/>
    <n v="3"/>
    <n v="8"/>
    <n v="7"/>
    <n v="0"/>
    <n v="7"/>
    <x v="1"/>
    <n v="1"/>
    <x v="1"/>
    <x v="2"/>
    <s v="6-10 Years"/>
    <s v="High"/>
    <s v="Better"/>
  </r>
  <r>
    <x v="17"/>
    <s v="No"/>
    <s v="Travel_Rarely"/>
    <n v="1206"/>
    <x v="1"/>
    <n v="17"/>
    <n v="1"/>
    <s v="Medical"/>
    <n v="1"/>
    <n v="1009"/>
    <n v="4"/>
    <x v="0"/>
    <n v="41"/>
    <n v="2"/>
    <n v="2"/>
    <x v="3"/>
    <n v="3"/>
    <s v="Divorced"/>
    <n v="4377"/>
    <n v="24117"/>
    <n v="1"/>
    <s v="Y"/>
    <x v="1"/>
    <n v="15"/>
    <n v="3"/>
    <n v="2"/>
    <n v="80"/>
    <n v="2"/>
    <n v="5"/>
    <n v="6"/>
    <n v="3"/>
    <n v="4"/>
    <n v="2"/>
    <n v="3"/>
    <n v="2"/>
    <x v="1"/>
    <n v="1"/>
    <x v="4"/>
    <x v="0"/>
    <s v="2-5 Years"/>
    <s v="High"/>
    <s v="Better"/>
  </r>
  <r>
    <x v="10"/>
    <s v="Yes"/>
    <s v="Travel_Rarely"/>
    <n v="622"/>
    <x v="1"/>
    <n v="14"/>
    <n v="4"/>
    <s v="Other"/>
    <n v="1"/>
    <n v="1010"/>
    <n v="3"/>
    <x v="1"/>
    <n v="39"/>
    <n v="2"/>
    <n v="1"/>
    <x v="2"/>
    <n v="2"/>
    <s v="Divorced"/>
    <n v="3743"/>
    <n v="10074"/>
    <n v="1"/>
    <s v="Y"/>
    <x v="0"/>
    <n v="24"/>
    <n v="4"/>
    <n v="4"/>
    <n v="80"/>
    <n v="1"/>
    <n v="5"/>
    <n v="2"/>
    <n v="1"/>
    <n v="4"/>
    <n v="2"/>
    <n v="0"/>
    <n v="2"/>
    <x v="0"/>
    <n v="0"/>
    <x v="0"/>
    <x v="0"/>
    <s v="2-5 Years"/>
    <s v="Medium"/>
    <s v="Bad"/>
  </r>
  <r>
    <x v="12"/>
    <s v="No"/>
    <s v="Travel_Frequently"/>
    <n v="853"/>
    <x v="1"/>
    <n v="1"/>
    <n v="1"/>
    <s v="Life Sciences"/>
    <n v="1"/>
    <n v="1011"/>
    <n v="3"/>
    <x v="0"/>
    <n v="96"/>
    <n v="3"/>
    <n v="2"/>
    <x v="3"/>
    <n v="1"/>
    <s v="Married"/>
    <n v="4148"/>
    <n v="11275"/>
    <n v="1"/>
    <s v="Y"/>
    <x v="1"/>
    <n v="12"/>
    <n v="3"/>
    <n v="3"/>
    <n v="80"/>
    <n v="1"/>
    <n v="4"/>
    <n v="1"/>
    <n v="3"/>
    <n v="4"/>
    <n v="3"/>
    <n v="0"/>
    <n v="3"/>
    <x v="1"/>
    <n v="1"/>
    <x v="2"/>
    <x v="0"/>
    <s v="2-5 Years"/>
    <s v="Low"/>
    <s v="Better"/>
  </r>
  <r>
    <x v="41"/>
    <s v="No"/>
    <s v="Non-Travel"/>
    <n v="287"/>
    <x v="1"/>
    <n v="5"/>
    <n v="2"/>
    <s v="Life Sciences"/>
    <n v="1"/>
    <n v="1012"/>
    <n v="2"/>
    <x v="1"/>
    <n v="73"/>
    <n v="3"/>
    <n v="1"/>
    <x v="1"/>
    <n v="4"/>
    <s v="Single"/>
    <n v="1051"/>
    <n v="13493"/>
    <n v="1"/>
    <s v="Y"/>
    <x v="1"/>
    <n v="15"/>
    <n v="3"/>
    <n v="4"/>
    <n v="80"/>
    <n v="0"/>
    <n v="0"/>
    <n v="2"/>
    <n v="3"/>
    <n v="0"/>
    <n v="0"/>
    <n v="0"/>
    <n v="0"/>
    <x v="1"/>
    <n v="1"/>
    <x v="4"/>
    <x v="1"/>
    <s v="0-1 Years"/>
    <s v="Very High"/>
    <s v="Better"/>
  </r>
  <r>
    <x v="33"/>
    <s v="No"/>
    <s v="Travel_Rarely"/>
    <n v="1441"/>
    <x v="1"/>
    <n v="17"/>
    <n v="3"/>
    <s v="Technical Degree"/>
    <n v="1"/>
    <n v="1013"/>
    <n v="3"/>
    <x v="0"/>
    <n v="56"/>
    <n v="3"/>
    <n v="3"/>
    <x v="3"/>
    <n v="3"/>
    <s v="Married"/>
    <n v="10739"/>
    <n v="13943"/>
    <n v="8"/>
    <s v="Y"/>
    <x v="1"/>
    <n v="11"/>
    <n v="3"/>
    <n v="3"/>
    <n v="80"/>
    <n v="1"/>
    <n v="22"/>
    <n v="2"/>
    <n v="3"/>
    <n v="10"/>
    <n v="7"/>
    <n v="0"/>
    <n v="8"/>
    <x v="1"/>
    <n v="1"/>
    <x v="1"/>
    <x v="2"/>
    <s v="6-10 Years"/>
    <s v="High"/>
    <s v="Better"/>
  </r>
  <r>
    <x v="10"/>
    <s v="No"/>
    <s v="Travel_Rarely"/>
    <n v="583"/>
    <x v="1"/>
    <n v="25"/>
    <n v="4"/>
    <s v="Medical"/>
    <n v="1"/>
    <n v="1014"/>
    <n v="3"/>
    <x v="0"/>
    <n v="57"/>
    <n v="3"/>
    <n v="3"/>
    <x v="4"/>
    <n v="3"/>
    <s v="Divorced"/>
    <n v="10388"/>
    <n v="6975"/>
    <n v="1"/>
    <s v="Y"/>
    <x v="0"/>
    <n v="11"/>
    <n v="3"/>
    <n v="3"/>
    <n v="80"/>
    <n v="1"/>
    <n v="16"/>
    <n v="3"/>
    <n v="2"/>
    <n v="16"/>
    <n v="10"/>
    <n v="10"/>
    <n v="1"/>
    <x v="1"/>
    <n v="1"/>
    <x v="0"/>
    <x v="2"/>
    <s v="10+ Years"/>
    <s v="High"/>
    <s v="Good"/>
  </r>
  <r>
    <x v="7"/>
    <s v="No"/>
    <s v="Travel_Rarely"/>
    <n v="153"/>
    <x v="1"/>
    <n v="8"/>
    <n v="2"/>
    <s v="Life Sciences"/>
    <n v="1"/>
    <n v="1015"/>
    <n v="2"/>
    <x v="0"/>
    <n v="73"/>
    <n v="4"/>
    <n v="3"/>
    <x v="7"/>
    <n v="1"/>
    <s v="Married"/>
    <n v="11416"/>
    <n v="17802"/>
    <n v="0"/>
    <s v="Y"/>
    <x v="0"/>
    <n v="12"/>
    <n v="3"/>
    <n v="3"/>
    <n v="80"/>
    <n v="3"/>
    <n v="9"/>
    <n v="4"/>
    <n v="2"/>
    <n v="8"/>
    <n v="7"/>
    <n v="1"/>
    <n v="7"/>
    <x v="1"/>
    <n v="1"/>
    <x v="2"/>
    <x v="2"/>
    <s v="6-10 Years"/>
    <s v="Low"/>
    <s v="Good"/>
  </r>
  <r>
    <x v="35"/>
    <s v="Yes"/>
    <s v="Travel_Rarely"/>
    <n v="1097"/>
    <x v="1"/>
    <n v="11"/>
    <n v="3"/>
    <s v="Medical"/>
    <n v="1"/>
    <n v="1016"/>
    <n v="4"/>
    <x v="0"/>
    <n v="98"/>
    <n v="2"/>
    <n v="1"/>
    <x v="1"/>
    <n v="1"/>
    <s v="Single"/>
    <n v="2600"/>
    <n v="18275"/>
    <n v="1"/>
    <s v="Y"/>
    <x v="0"/>
    <n v="15"/>
    <n v="3"/>
    <n v="1"/>
    <n v="80"/>
    <n v="0"/>
    <n v="1"/>
    <n v="2"/>
    <n v="3"/>
    <n v="1"/>
    <n v="0"/>
    <n v="0"/>
    <n v="0"/>
    <x v="0"/>
    <n v="0"/>
    <x v="4"/>
    <x v="1"/>
    <s v="0-1 Years"/>
    <s v="Low"/>
    <s v="Better"/>
  </r>
  <r>
    <x v="7"/>
    <s v="Yes"/>
    <s v="Travel_Frequently"/>
    <n v="109"/>
    <x v="1"/>
    <n v="5"/>
    <n v="3"/>
    <s v="Medical"/>
    <n v="1"/>
    <n v="1017"/>
    <n v="2"/>
    <x v="0"/>
    <n v="60"/>
    <n v="3"/>
    <n v="1"/>
    <x v="2"/>
    <n v="2"/>
    <s v="Single"/>
    <n v="2422"/>
    <n v="25725"/>
    <n v="0"/>
    <s v="Y"/>
    <x v="1"/>
    <n v="17"/>
    <n v="3"/>
    <n v="1"/>
    <n v="80"/>
    <n v="0"/>
    <n v="4"/>
    <n v="3"/>
    <n v="3"/>
    <n v="3"/>
    <n v="2"/>
    <n v="1"/>
    <n v="2"/>
    <x v="0"/>
    <n v="0"/>
    <x v="2"/>
    <x v="1"/>
    <s v="2-5 Years"/>
    <s v="Medium"/>
    <s v="Better"/>
  </r>
  <r>
    <x v="25"/>
    <s v="No"/>
    <s v="Travel_Rarely"/>
    <n v="1066"/>
    <x v="1"/>
    <n v="2"/>
    <n v="2"/>
    <s v="Medical"/>
    <n v="1"/>
    <n v="1018"/>
    <n v="4"/>
    <x v="1"/>
    <n v="32"/>
    <n v="4"/>
    <n v="2"/>
    <x v="3"/>
    <n v="4"/>
    <s v="Married"/>
    <n v="5472"/>
    <n v="3334"/>
    <n v="1"/>
    <s v="Y"/>
    <x v="1"/>
    <n v="12"/>
    <n v="3"/>
    <n v="2"/>
    <n v="80"/>
    <n v="0"/>
    <n v="8"/>
    <n v="2"/>
    <n v="3"/>
    <n v="8"/>
    <n v="7"/>
    <n v="1"/>
    <n v="3"/>
    <x v="1"/>
    <n v="1"/>
    <x v="2"/>
    <x v="0"/>
    <s v="6-10 Years"/>
    <s v="Very High"/>
    <s v="Better"/>
  </r>
  <r>
    <x v="15"/>
    <s v="No"/>
    <s v="Travel_Rarely"/>
    <n v="217"/>
    <x v="1"/>
    <n v="8"/>
    <n v="1"/>
    <s v="Life Sciences"/>
    <n v="1"/>
    <n v="1019"/>
    <n v="2"/>
    <x v="1"/>
    <n v="94"/>
    <n v="1"/>
    <n v="1"/>
    <x v="2"/>
    <n v="1"/>
    <s v="Married"/>
    <n v="2451"/>
    <n v="6881"/>
    <n v="1"/>
    <s v="Y"/>
    <x v="1"/>
    <n v="15"/>
    <n v="3"/>
    <n v="1"/>
    <n v="80"/>
    <n v="1"/>
    <n v="4"/>
    <n v="3"/>
    <n v="2"/>
    <n v="4"/>
    <n v="3"/>
    <n v="1"/>
    <n v="1"/>
    <x v="1"/>
    <n v="1"/>
    <x v="4"/>
    <x v="1"/>
    <s v="2-5 Years"/>
    <s v="Low"/>
    <s v="Good"/>
  </r>
  <r>
    <x v="26"/>
    <s v="No"/>
    <s v="Travel_Rarely"/>
    <n v="277"/>
    <x v="1"/>
    <n v="6"/>
    <n v="3"/>
    <s v="Life Sciences"/>
    <n v="1"/>
    <n v="1022"/>
    <n v="1"/>
    <x v="1"/>
    <n v="97"/>
    <n v="2"/>
    <n v="2"/>
    <x v="4"/>
    <n v="3"/>
    <s v="Single"/>
    <n v="4240"/>
    <n v="13119"/>
    <n v="2"/>
    <s v="Y"/>
    <x v="1"/>
    <n v="13"/>
    <n v="3"/>
    <n v="4"/>
    <n v="80"/>
    <n v="0"/>
    <n v="19"/>
    <n v="0"/>
    <n v="3"/>
    <n v="2"/>
    <n v="2"/>
    <n v="2"/>
    <n v="2"/>
    <x v="1"/>
    <n v="1"/>
    <x v="1"/>
    <x v="0"/>
    <s v="2-5 Years"/>
    <s v="High"/>
    <s v="Better"/>
  </r>
  <r>
    <x v="26"/>
    <s v="No"/>
    <s v="Travel_Rarely"/>
    <n v="1355"/>
    <x v="1"/>
    <n v="4"/>
    <n v="4"/>
    <s v="Life Sciences"/>
    <n v="1"/>
    <n v="1024"/>
    <n v="3"/>
    <x v="1"/>
    <n v="78"/>
    <n v="2"/>
    <n v="3"/>
    <x v="4"/>
    <n v="3"/>
    <s v="Single"/>
    <n v="10999"/>
    <n v="22245"/>
    <n v="7"/>
    <s v="Y"/>
    <x v="1"/>
    <n v="14"/>
    <n v="3"/>
    <n v="2"/>
    <n v="80"/>
    <n v="0"/>
    <n v="27"/>
    <n v="3"/>
    <n v="3"/>
    <n v="15"/>
    <n v="11"/>
    <n v="4"/>
    <n v="8"/>
    <x v="1"/>
    <n v="1"/>
    <x v="1"/>
    <x v="2"/>
    <s v="10+ Years"/>
    <s v="High"/>
    <s v="Better"/>
  </r>
  <r>
    <x v="0"/>
    <s v="No"/>
    <s v="Travel_Rarely"/>
    <n v="549"/>
    <x v="1"/>
    <n v="7"/>
    <n v="2"/>
    <s v="Medical"/>
    <n v="1"/>
    <n v="1025"/>
    <n v="4"/>
    <x v="0"/>
    <n v="42"/>
    <n v="3"/>
    <n v="2"/>
    <x v="3"/>
    <n v="3"/>
    <s v="Single"/>
    <n v="5003"/>
    <n v="23371"/>
    <n v="6"/>
    <s v="Y"/>
    <x v="1"/>
    <n v="14"/>
    <n v="3"/>
    <n v="2"/>
    <n v="80"/>
    <n v="0"/>
    <n v="8"/>
    <n v="6"/>
    <n v="3"/>
    <n v="2"/>
    <n v="2"/>
    <n v="2"/>
    <n v="1"/>
    <x v="1"/>
    <n v="1"/>
    <x v="0"/>
    <x v="0"/>
    <s v="2-5 Years"/>
    <s v="High"/>
    <s v="Better"/>
  </r>
  <r>
    <x v="22"/>
    <s v="No"/>
    <s v="Travel_Rarely"/>
    <n v="466"/>
    <x v="1"/>
    <n v="1"/>
    <n v="1"/>
    <s v="Life Sciences"/>
    <n v="1"/>
    <n v="1026"/>
    <n v="4"/>
    <x v="0"/>
    <n v="65"/>
    <n v="2"/>
    <n v="4"/>
    <x v="3"/>
    <n v="4"/>
    <s v="Married"/>
    <n v="12742"/>
    <n v="7060"/>
    <n v="1"/>
    <s v="Y"/>
    <x v="1"/>
    <n v="16"/>
    <n v="3"/>
    <n v="3"/>
    <n v="80"/>
    <n v="1"/>
    <n v="21"/>
    <n v="3"/>
    <n v="3"/>
    <n v="21"/>
    <n v="6"/>
    <n v="11"/>
    <n v="8"/>
    <x v="1"/>
    <n v="1"/>
    <x v="0"/>
    <x v="2"/>
    <s v="10+ Years"/>
    <s v="Very High"/>
    <s v="Better"/>
  </r>
  <r>
    <x v="4"/>
    <s v="No"/>
    <s v="Travel_Rarely"/>
    <n v="1055"/>
    <x v="1"/>
    <n v="2"/>
    <n v="4"/>
    <s v="Life Sciences"/>
    <n v="1"/>
    <n v="1027"/>
    <n v="1"/>
    <x v="0"/>
    <n v="47"/>
    <n v="3"/>
    <n v="2"/>
    <x v="3"/>
    <n v="4"/>
    <s v="Married"/>
    <n v="4227"/>
    <n v="4658"/>
    <n v="0"/>
    <s v="Y"/>
    <x v="1"/>
    <n v="18"/>
    <n v="3"/>
    <n v="2"/>
    <n v="80"/>
    <n v="1"/>
    <n v="4"/>
    <n v="2"/>
    <n v="3"/>
    <n v="3"/>
    <n v="2"/>
    <n v="2"/>
    <n v="2"/>
    <x v="1"/>
    <n v="1"/>
    <x v="2"/>
    <x v="0"/>
    <s v="2-5 Years"/>
    <s v="Very High"/>
    <s v="Better"/>
  </r>
  <r>
    <x v="10"/>
    <s v="No"/>
    <s v="Travel_Rarely"/>
    <n v="802"/>
    <x v="1"/>
    <n v="10"/>
    <n v="3"/>
    <s v="Other"/>
    <n v="1"/>
    <n v="1028"/>
    <n v="2"/>
    <x v="1"/>
    <n v="45"/>
    <n v="3"/>
    <n v="1"/>
    <x v="2"/>
    <n v="4"/>
    <s v="Divorced"/>
    <n v="3917"/>
    <n v="9541"/>
    <n v="1"/>
    <s v="Y"/>
    <x v="1"/>
    <n v="20"/>
    <n v="4"/>
    <n v="1"/>
    <n v="80"/>
    <n v="1"/>
    <n v="3"/>
    <n v="4"/>
    <n v="2"/>
    <n v="3"/>
    <n v="2"/>
    <n v="1"/>
    <n v="2"/>
    <x v="1"/>
    <n v="1"/>
    <x v="0"/>
    <x v="0"/>
    <s v="2-5 Years"/>
    <s v="Very High"/>
    <s v="Good"/>
  </r>
  <r>
    <x v="19"/>
    <s v="No"/>
    <s v="Travel_Rarely"/>
    <n v="265"/>
    <x v="0"/>
    <n v="5"/>
    <n v="2"/>
    <s v="Marketing"/>
    <n v="1"/>
    <n v="1029"/>
    <n v="4"/>
    <x v="1"/>
    <n v="90"/>
    <n v="3"/>
    <n v="5"/>
    <x v="5"/>
    <n v="3"/>
    <s v="Married"/>
    <n v="18303"/>
    <n v="7770"/>
    <n v="6"/>
    <s v="Y"/>
    <x v="1"/>
    <n v="13"/>
    <n v="3"/>
    <n v="2"/>
    <n v="80"/>
    <n v="0"/>
    <n v="21"/>
    <n v="3"/>
    <n v="4"/>
    <n v="1"/>
    <n v="0"/>
    <n v="0"/>
    <n v="0"/>
    <x v="1"/>
    <n v="1"/>
    <x v="0"/>
    <x v="2"/>
    <s v="0-1 Years"/>
    <s v="High"/>
    <s v="Best"/>
  </r>
  <r>
    <x v="24"/>
    <s v="No"/>
    <s v="Travel_Rarely"/>
    <n v="804"/>
    <x v="1"/>
    <n v="9"/>
    <n v="3"/>
    <s v="Life Sciences"/>
    <n v="1"/>
    <n v="1030"/>
    <n v="1"/>
    <x v="1"/>
    <n v="64"/>
    <n v="3"/>
    <n v="1"/>
    <x v="2"/>
    <n v="4"/>
    <s v="Married"/>
    <n v="2380"/>
    <n v="20165"/>
    <n v="4"/>
    <s v="Y"/>
    <x v="1"/>
    <n v="18"/>
    <n v="3"/>
    <n v="2"/>
    <n v="80"/>
    <n v="0"/>
    <n v="8"/>
    <n v="5"/>
    <n v="3"/>
    <n v="1"/>
    <n v="0"/>
    <n v="0"/>
    <n v="0"/>
    <x v="1"/>
    <n v="1"/>
    <x v="1"/>
    <x v="1"/>
    <s v="0-1 Years"/>
    <s v="Very High"/>
    <s v="Better"/>
  </r>
  <r>
    <x v="6"/>
    <s v="No"/>
    <s v="Travel_Rarely"/>
    <n v="715"/>
    <x v="1"/>
    <n v="2"/>
    <n v="3"/>
    <s v="Life Sciences"/>
    <n v="1"/>
    <n v="1032"/>
    <n v="3"/>
    <x v="0"/>
    <n v="69"/>
    <n v="2"/>
    <n v="4"/>
    <x v="3"/>
    <n v="4"/>
    <s v="Single"/>
    <n v="13726"/>
    <n v="21829"/>
    <n v="3"/>
    <s v="Y"/>
    <x v="0"/>
    <n v="13"/>
    <n v="3"/>
    <n v="1"/>
    <n v="80"/>
    <n v="0"/>
    <n v="30"/>
    <n v="4"/>
    <n v="3"/>
    <n v="5"/>
    <n v="3"/>
    <n v="4"/>
    <n v="3"/>
    <x v="1"/>
    <n v="1"/>
    <x v="3"/>
    <x v="2"/>
    <s v="2-5 Years"/>
    <s v="Very High"/>
    <s v="Better"/>
  </r>
  <r>
    <x v="2"/>
    <s v="Yes"/>
    <s v="Travel_Rarely"/>
    <n v="1141"/>
    <x v="1"/>
    <n v="11"/>
    <n v="2"/>
    <s v="Medical"/>
    <n v="1"/>
    <n v="1033"/>
    <n v="1"/>
    <x v="0"/>
    <n v="61"/>
    <n v="1"/>
    <n v="2"/>
    <x v="4"/>
    <n v="2"/>
    <s v="Married"/>
    <n v="4777"/>
    <n v="14382"/>
    <n v="5"/>
    <s v="Y"/>
    <x v="1"/>
    <n v="15"/>
    <n v="3"/>
    <n v="1"/>
    <n v="80"/>
    <n v="0"/>
    <n v="15"/>
    <n v="2"/>
    <n v="1"/>
    <n v="1"/>
    <n v="0"/>
    <n v="0"/>
    <n v="0"/>
    <x v="0"/>
    <n v="0"/>
    <x v="0"/>
    <x v="0"/>
    <s v="0-1 Years"/>
    <s v="Medium"/>
    <s v="Bad"/>
  </r>
  <r>
    <x v="27"/>
    <s v="No"/>
    <s v="Travel_Frequently"/>
    <n v="135"/>
    <x v="1"/>
    <n v="18"/>
    <n v="4"/>
    <s v="Medical"/>
    <n v="1"/>
    <n v="1034"/>
    <n v="3"/>
    <x v="1"/>
    <n v="62"/>
    <n v="3"/>
    <n v="2"/>
    <x v="4"/>
    <n v="2"/>
    <s v="Married"/>
    <n v="6385"/>
    <n v="12992"/>
    <n v="3"/>
    <s v="Y"/>
    <x v="0"/>
    <n v="14"/>
    <n v="3"/>
    <n v="4"/>
    <n v="80"/>
    <n v="2"/>
    <n v="17"/>
    <n v="3"/>
    <n v="3"/>
    <n v="8"/>
    <n v="7"/>
    <n v="6"/>
    <n v="7"/>
    <x v="1"/>
    <n v="1"/>
    <x v="3"/>
    <x v="0"/>
    <s v="6-10 Years"/>
    <s v="Medium"/>
    <s v="Better"/>
  </r>
  <r>
    <x v="0"/>
    <s v="No"/>
    <s v="Non-Travel"/>
    <n v="247"/>
    <x v="1"/>
    <n v="7"/>
    <n v="1"/>
    <s v="Life Sciences"/>
    <n v="1"/>
    <n v="1035"/>
    <n v="2"/>
    <x v="0"/>
    <n v="55"/>
    <n v="1"/>
    <n v="5"/>
    <x v="7"/>
    <n v="3"/>
    <s v="Divorced"/>
    <n v="19973"/>
    <n v="20284"/>
    <n v="1"/>
    <s v="Y"/>
    <x v="1"/>
    <n v="22"/>
    <n v="4"/>
    <n v="2"/>
    <n v="80"/>
    <n v="2"/>
    <n v="21"/>
    <n v="3"/>
    <n v="3"/>
    <n v="21"/>
    <n v="16"/>
    <n v="5"/>
    <n v="10"/>
    <x v="1"/>
    <n v="1"/>
    <x v="0"/>
    <x v="2"/>
    <s v="10+ Years"/>
    <s v="High"/>
    <s v="Better"/>
  </r>
  <r>
    <x v="8"/>
    <s v="No"/>
    <s v="Travel_Rarely"/>
    <n v="1035"/>
    <x v="0"/>
    <n v="3"/>
    <n v="4"/>
    <s v="Life Sciences"/>
    <n v="1"/>
    <n v="1036"/>
    <n v="2"/>
    <x v="1"/>
    <n v="42"/>
    <n v="3"/>
    <n v="2"/>
    <x v="0"/>
    <n v="4"/>
    <s v="Single"/>
    <n v="6861"/>
    <n v="4981"/>
    <n v="8"/>
    <s v="Y"/>
    <x v="0"/>
    <n v="12"/>
    <n v="3"/>
    <n v="3"/>
    <n v="80"/>
    <n v="0"/>
    <n v="19"/>
    <n v="1"/>
    <n v="3"/>
    <n v="1"/>
    <n v="0"/>
    <n v="0"/>
    <n v="0"/>
    <x v="1"/>
    <n v="1"/>
    <x v="0"/>
    <x v="0"/>
    <s v="0-1 Years"/>
    <s v="Very High"/>
    <s v="Better"/>
  </r>
  <r>
    <x v="25"/>
    <s v="Yes"/>
    <s v="Non-Travel"/>
    <n v="265"/>
    <x v="0"/>
    <n v="29"/>
    <n v="2"/>
    <s v="Medical"/>
    <n v="1"/>
    <n v="1037"/>
    <n v="2"/>
    <x v="1"/>
    <n v="79"/>
    <n v="1"/>
    <n v="2"/>
    <x v="0"/>
    <n v="1"/>
    <s v="Single"/>
    <n v="4969"/>
    <n v="21813"/>
    <n v="8"/>
    <s v="Y"/>
    <x v="1"/>
    <n v="18"/>
    <n v="3"/>
    <n v="4"/>
    <n v="80"/>
    <n v="0"/>
    <n v="7"/>
    <n v="6"/>
    <n v="3"/>
    <n v="2"/>
    <n v="2"/>
    <n v="2"/>
    <n v="2"/>
    <x v="0"/>
    <n v="0"/>
    <x v="2"/>
    <x v="0"/>
    <s v="2-5 Years"/>
    <s v="Low"/>
    <s v="Better"/>
  </r>
  <r>
    <x v="39"/>
    <s v="Yes"/>
    <s v="Travel_Rarely"/>
    <n v="266"/>
    <x v="0"/>
    <n v="2"/>
    <n v="1"/>
    <s v="Marketing"/>
    <n v="1"/>
    <n v="1038"/>
    <n v="1"/>
    <x v="0"/>
    <n v="57"/>
    <n v="1"/>
    <n v="5"/>
    <x v="5"/>
    <n v="4"/>
    <s v="Married"/>
    <n v="19845"/>
    <n v="25846"/>
    <n v="1"/>
    <s v="Y"/>
    <x v="1"/>
    <n v="15"/>
    <n v="3"/>
    <n v="4"/>
    <n v="80"/>
    <n v="1"/>
    <n v="33"/>
    <n v="3"/>
    <n v="3"/>
    <n v="32"/>
    <n v="14"/>
    <n v="6"/>
    <n v="9"/>
    <x v="0"/>
    <n v="0"/>
    <x v="1"/>
    <x v="2"/>
    <s v="10+ Years"/>
    <s v="Very High"/>
    <s v="Better"/>
  </r>
  <r>
    <x v="20"/>
    <s v="No"/>
    <s v="Travel_Rarely"/>
    <n v="1448"/>
    <x v="0"/>
    <n v="28"/>
    <n v="3"/>
    <s v="Medical"/>
    <n v="1"/>
    <n v="1039"/>
    <n v="4"/>
    <x v="0"/>
    <n v="53"/>
    <n v="4"/>
    <n v="4"/>
    <x v="0"/>
    <n v="4"/>
    <s v="Married"/>
    <n v="13320"/>
    <n v="11737"/>
    <n v="3"/>
    <s v="Y"/>
    <x v="0"/>
    <n v="18"/>
    <n v="3"/>
    <n v="3"/>
    <n v="80"/>
    <n v="1"/>
    <n v="23"/>
    <n v="2"/>
    <n v="3"/>
    <n v="12"/>
    <n v="11"/>
    <n v="11"/>
    <n v="11"/>
    <x v="1"/>
    <n v="1"/>
    <x v="0"/>
    <x v="2"/>
    <s v="10+ Years"/>
    <s v="Very High"/>
    <s v="Better"/>
  </r>
  <r>
    <x v="24"/>
    <s v="No"/>
    <s v="Non-Travel"/>
    <n v="145"/>
    <x v="0"/>
    <n v="1"/>
    <n v="3"/>
    <s v="Life Sciences"/>
    <n v="1"/>
    <n v="1040"/>
    <n v="4"/>
    <x v="0"/>
    <n v="95"/>
    <n v="3"/>
    <n v="2"/>
    <x v="0"/>
    <n v="3"/>
    <s v="Married"/>
    <n v="6347"/>
    <n v="24920"/>
    <n v="0"/>
    <s v="Y"/>
    <x v="1"/>
    <n v="12"/>
    <n v="3"/>
    <n v="1"/>
    <n v="80"/>
    <n v="1"/>
    <n v="19"/>
    <n v="3"/>
    <n v="3"/>
    <n v="18"/>
    <n v="7"/>
    <n v="0"/>
    <n v="13"/>
    <x v="1"/>
    <n v="1"/>
    <x v="1"/>
    <x v="0"/>
    <s v="10+ Years"/>
    <s v="High"/>
    <s v="Better"/>
  </r>
  <r>
    <x v="9"/>
    <s v="Yes"/>
    <s v="Travel_Rarely"/>
    <n v="885"/>
    <x v="1"/>
    <n v="16"/>
    <n v="4"/>
    <s v="Life Sciences"/>
    <n v="1"/>
    <n v="1042"/>
    <n v="3"/>
    <x v="0"/>
    <n v="43"/>
    <n v="4"/>
    <n v="1"/>
    <x v="2"/>
    <n v="1"/>
    <s v="Single"/>
    <n v="2743"/>
    <n v="8269"/>
    <n v="1"/>
    <s v="Y"/>
    <x v="1"/>
    <n v="16"/>
    <n v="3"/>
    <n v="3"/>
    <n v="80"/>
    <n v="0"/>
    <n v="18"/>
    <n v="1"/>
    <n v="3"/>
    <n v="17"/>
    <n v="13"/>
    <n v="15"/>
    <n v="14"/>
    <x v="0"/>
    <n v="0"/>
    <x v="0"/>
    <x v="1"/>
    <s v="10+ Years"/>
    <s v="Low"/>
    <s v="Better"/>
  </r>
  <r>
    <x v="22"/>
    <s v="No"/>
    <s v="Travel_Frequently"/>
    <n v="945"/>
    <x v="1"/>
    <n v="22"/>
    <n v="3"/>
    <s v="Medical"/>
    <n v="1"/>
    <n v="1043"/>
    <n v="4"/>
    <x v="0"/>
    <n v="82"/>
    <n v="3"/>
    <n v="3"/>
    <x v="3"/>
    <n v="1"/>
    <s v="Single"/>
    <n v="10880"/>
    <n v="5083"/>
    <n v="1"/>
    <s v="Y"/>
    <x v="0"/>
    <n v="13"/>
    <n v="3"/>
    <n v="3"/>
    <n v="80"/>
    <n v="0"/>
    <n v="21"/>
    <n v="2"/>
    <n v="3"/>
    <n v="21"/>
    <n v="6"/>
    <n v="2"/>
    <n v="8"/>
    <x v="1"/>
    <n v="1"/>
    <x v="0"/>
    <x v="2"/>
    <s v="10+ Years"/>
    <s v="Low"/>
    <s v="Better"/>
  </r>
  <r>
    <x v="3"/>
    <s v="No"/>
    <s v="Non-Travel"/>
    <n v="1038"/>
    <x v="0"/>
    <n v="8"/>
    <n v="1"/>
    <s v="Life Sciences"/>
    <n v="1"/>
    <n v="1044"/>
    <n v="2"/>
    <x v="0"/>
    <n v="88"/>
    <n v="2"/>
    <n v="1"/>
    <x v="6"/>
    <n v="4"/>
    <s v="Single"/>
    <n v="2342"/>
    <n v="21437"/>
    <n v="0"/>
    <s v="Y"/>
    <x v="1"/>
    <n v="19"/>
    <n v="3"/>
    <n v="4"/>
    <n v="80"/>
    <n v="0"/>
    <n v="3"/>
    <n v="2"/>
    <n v="2"/>
    <n v="2"/>
    <n v="2"/>
    <n v="2"/>
    <n v="2"/>
    <x v="1"/>
    <n v="1"/>
    <x v="2"/>
    <x v="1"/>
    <s v="2-5 Years"/>
    <s v="Very High"/>
    <s v="Good"/>
  </r>
  <r>
    <x v="28"/>
    <s v="No"/>
    <s v="Travel_Rarely"/>
    <n v="1234"/>
    <x v="0"/>
    <n v="11"/>
    <n v="2"/>
    <s v="Life Sciences"/>
    <n v="1"/>
    <n v="1045"/>
    <n v="4"/>
    <x v="0"/>
    <n v="90"/>
    <n v="3"/>
    <n v="4"/>
    <x v="5"/>
    <n v="4"/>
    <s v="Married"/>
    <n v="17650"/>
    <n v="5404"/>
    <n v="3"/>
    <s v="Y"/>
    <x v="1"/>
    <n v="13"/>
    <n v="3"/>
    <n v="2"/>
    <n v="80"/>
    <n v="1"/>
    <n v="26"/>
    <n v="4"/>
    <n v="4"/>
    <n v="9"/>
    <n v="3"/>
    <n v="1"/>
    <n v="1"/>
    <x v="1"/>
    <n v="1"/>
    <x v="1"/>
    <x v="2"/>
    <s v="6-10 Years"/>
    <s v="Very High"/>
    <s v="Best"/>
  </r>
  <r>
    <x v="5"/>
    <s v="No"/>
    <s v="Non-Travel"/>
    <n v="1109"/>
    <x v="1"/>
    <n v="29"/>
    <n v="4"/>
    <s v="Medical"/>
    <n v="1"/>
    <n v="1046"/>
    <n v="4"/>
    <x v="0"/>
    <n v="69"/>
    <n v="3"/>
    <n v="1"/>
    <x v="2"/>
    <n v="3"/>
    <s v="Single"/>
    <n v="4025"/>
    <n v="11135"/>
    <n v="9"/>
    <s v="Y"/>
    <x v="1"/>
    <n v="12"/>
    <n v="3"/>
    <n v="2"/>
    <n v="80"/>
    <n v="0"/>
    <n v="10"/>
    <n v="2"/>
    <n v="3"/>
    <n v="8"/>
    <n v="7"/>
    <n v="7"/>
    <n v="7"/>
    <x v="1"/>
    <n v="1"/>
    <x v="2"/>
    <x v="0"/>
    <s v="6-10 Years"/>
    <s v="High"/>
    <s v="Better"/>
  </r>
  <r>
    <x v="13"/>
    <s v="No"/>
    <s v="Travel_Rarely"/>
    <n v="216"/>
    <x v="0"/>
    <n v="1"/>
    <n v="4"/>
    <s v="Marketing"/>
    <n v="1"/>
    <n v="1047"/>
    <n v="2"/>
    <x v="1"/>
    <n v="75"/>
    <n v="4"/>
    <n v="2"/>
    <x v="0"/>
    <n v="4"/>
    <s v="Divorced"/>
    <n v="9725"/>
    <n v="12278"/>
    <n v="0"/>
    <s v="Y"/>
    <x v="1"/>
    <n v="11"/>
    <n v="3"/>
    <n v="4"/>
    <n v="80"/>
    <n v="1"/>
    <n v="16"/>
    <n v="2"/>
    <n v="2"/>
    <n v="15"/>
    <n v="1"/>
    <n v="0"/>
    <n v="9"/>
    <x v="1"/>
    <n v="1"/>
    <x v="2"/>
    <x v="2"/>
    <s v="10+ Years"/>
    <s v="Very High"/>
    <s v="Good"/>
  </r>
  <r>
    <x v="6"/>
    <s v="No"/>
    <s v="Travel_Rarely"/>
    <n v="1089"/>
    <x v="0"/>
    <n v="1"/>
    <n v="2"/>
    <s v="Technical Degree"/>
    <n v="1"/>
    <n v="1048"/>
    <n v="2"/>
    <x v="1"/>
    <n v="66"/>
    <n v="3"/>
    <n v="3"/>
    <x v="5"/>
    <n v="4"/>
    <s v="Married"/>
    <n v="11904"/>
    <n v="11038"/>
    <n v="3"/>
    <s v="Y"/>
    <x v="0"/>
    <n v="14"/>
    <n v="3"/>
    <n v="3"/>
    <n v="80"/>
    <n v="1"/>
    <n v="14"/>
    <n v="1"/>
    <n v="1"/>
    <n v="6"/>
    <n v="4"/>
    <n v="0"/>
    <n v="4"/>
    <x v="1"/>
    <n v="1"/>
    <x v="3"/>
    <x v="2"/>
    <s v="6-10 Years"/>
    <s v="Very High"/>
    <s v="Bad"/>
  </r>
  <r>
    <x v="28"/>
    <s v="No"/>
    <s v="Travel_Rarely"/>
    <n v="788"/>
    <x v="2"/>
    <n v="24"/>
    <n v="4"/>
    <s v="Medical"/>
    <n v="1"/>
    <n v="1049"/>
    <n v="2"/>
    <x v="1"/>
    <n v="36"/>
    <n v="3"/>
    <n v="1"/>
    <x v="8"/>
    <n v="2"/>
    <s v="Single"/>
    <n v="2177"/>
    <n v="8318"/>
    <n v="1"/>
    <s v="Y"/>
    <x v="1"/>
    <n v="16"/>
    <n v="3"/>
    <n v="1"/>
    <n v="80"/>
    <n v="0"/>
    <n v="6"/>
    <n v="3"/>
    <n v="3"/>
    <n v="6"/>
    <n v="3"/>
    <n v="0"/>
    <n v="4"/>
    <x v="1"/>
    <n v="1"/>
    <x v="1"/>
    <x v="1"/>
    <s v="6-10 Years"/>
    <s v="Medium"/>
    <s v="Better"/>
  </r>
  <r>
    <x v="16"/>
    <s v="No"/>
    <s v="Travel_Frequently"/>
    <n v="124"/>
    <x v="0"/>
    <n v="2"/>
    <n v="3"/>
    <s v="Marketing"/>
    <n v="1"/>
    <n v="1050"/>
    <n v="3"/>
    <x v="0"/>
    <n v="38"/>
    <n v="2"/>
    <n v="3"/>
    <x v="0"/>
    <n v="2"/>
    <s v="Married"/>
    <n v="7525"/>
    <n v="23537"/>
    <n v="2"/>
    <s v="Y"/>
    <x v="1"/>
    <n v="12"/>
    <n v="3"/>
    <n v="1"/>
    <n v="80"/>
    <n v="1"/>
    <n v="30"/>
    <n v="2"/>
    <n v="3"/>
    <n v="15"/>
    <n v="7"/>
    <n v="6"/>
    <n v="12"/>
    <x v="1"/>
    <n v="1"/>
    <x v="1"/>
    <x v="2"/>
    <s v="10+ Years"/>
    <s v="Medium"/>
    <s v="Better"/>
  </r>
  <r>
    <x v="9"/>
    <s v="Yes"/>
    <s v="Travel_Rarely"/>
    <n v="660"/>
    <x v="1"/>
    <n v="15"/>
    <n v="3"/>
    <s v="Other"/>
    <n v="1"/>
    <n v="1052"/>
    <n v="1"/>
    <x v="1"/>
    <n v="81"/>
    <n v="3"/>
    <n v="2"/>
    <x v="2"/>
    <n v="3"/>
    <s v="Divorced"/>
    <n v="4834"/>
    <n v="7858"/>
    <n v="7"/>
    <s v="Y"/>
    <x v="1"/>
    <n v="14"/>
    <n v="3"/>
    <n v="2"/>
    <n v="80"/>
    <n v="1"/>
    <n v="9"/>
    <n v="3"/>
    <n v="2"/>
    <n v="1"/>
    <n v="0"/>
    <n v="0"/>
    <n v="0"/>
    <x v="0"/>
    <n v="0"/>
    <x v="0"/>
    <x v="0"/>
    <s v="0-1 Years"/>
    <s v="High"/>
    <s v="Good"/>
  </r>
  <r>
    <x v="25"/>
    <s v="Yes"/>
    <s v="Travel_Frequently"/>
    <n v="342"/>
    <x v="1"/>
    <n v="2"/>
    <n v="3"/>
    <s v="Life Sciences"/>
    <n v="1"/>
    <n v="1053"/>
    <n v="1"/>
    <x v="1"/>
    <n v="57"/>
    <n v="3"/>
    <n v="1"/>
    <x v="1"/>
    <n v="1"/>
    <s v="Married"/>
    <n v="2042"/>
    <n v="15346"/>
    <n v="6"/>
    <s v="Y"/>
    <x v="0"/>
    <n v="14"/>
    <n v="3"/>
    <n v="2"/>
    <n v="80"/>
    <n v="1"/>
    <n v="6"/>
    <n v="2"/>
    <n v="3"/>
    <n v="3"/>
    <n v="2"/>
    <n v="1"/>
    <n v="2"/>
    <x v="0"/>
    <n v="0"/>
    <x v="2"/>
    <x v="1"/>
    <s v="2-5 Years"/>
    <s v="Low"/>
    <s v="Better"/>
  </r>
  <r>
    <x v="13"/>
    <s v="No"/>
    <s v="Travel_Rarely"/>
    <n v="1333"/>
    <x v="0"/>
    <n v="10"/>
    <n v="4"/>
    <s v="Life Sciences"/>
    <n v="1"/>
    <n v="1055"/>
    <n v="3"/>
    <x v="0"/>
    <n v="87"/>
    <n v="3"/>
    <n v="1"/>
    <x v="6"/>
    <n v="3"/>
    <s v="Married"/>
    <n v="2220"/>
    <n v="18410"/>
    <n v="1"/>
    <s v="Y"/>
    <x v="0"/>
    <n v="19"/>
    <n v="3"/>
    <n v="4"/>
    <n v="80"/>
    <n v="1"/>
    <n v="1"/>
    <n v="2"/>
    <n v="3"/>
    <n v="1"/>
    <n v="1"/>
    <n v="0"/>
    <n v="0"/>
    <x v="1"/>
    <n v="1"/>
    <x v="2"/>
    <x v="1"/>
    <s v="0-1 Years"/>
    <s v="High"/>
    <s v="Better"/>
  </r>
  <r>
    <x v="14"/>
    <s v="No"/>
    <s v="Travel_Rarely"/>
    <n v="1144"/>
    <x v="0"/>
    <n v="10"/>
    <n v="1"/>
    <s v="Medical"/>
    <n v="1"/>
    <n v="1056"/>
    <n v="4"/>
    <x v="1"/>
    <n v="74"/>
    <n v="3"/>
    <n v="1"/>
    <x v="6"/>
    <n v="2"/>
    <s v="Married"/>
    <n v="1052"/>
    <n v="23384"/>
    <n v="1"/>
    <s v="Y"/>
    <x v="1"/>
    <n v="22"/>
    <n v="4"/>
    <n v="2"/>
    <n v="80"/>
    <n v="0"/>
    <n v="1"/>
    <n v="5"/>
    <n v="3"/>
    <n v="1"/>
    <n v="0"/>
    <n v="0"/>
    <n v="0"/>
    <x v="1"/>
    <n v="1"/>
    <x v="2"/>
    <x v="1"/>
    <s v="0-1 Years"/>
    <s v="Medium"/>
    <s v="Better"/>
  </r>
  <r>
    <x v="8"/>
    <s v="No"/>
    <s v="Travel_Frequently"/>
    <n v="1186"/>
    <x v="1"/>
    <n v="3"/>
    <n v="4"/>
    <s v="Other"/>
    <n v="1"/>
    <n v="1060"/>
    <n v="3"/>
    <x v="1"/>
    <n v="44"/>
    <n v="3"/>
    <n v="1"/>
    <x v="1"/>
    <n v="3"/>
    <s v="Married"/>
    <n v="2821"/>
    <n v="2997"/>
    <n v="3"/>
    <s v="Y"/>
    <x v="1"/>
    <n v="16"/>
    <n v="3"/>
    <n v="1"/>
    <n v="80"/>
    <n v="1"/>
    <n v="8"/>
    <n v="2"/>
    <n v="3"/>
    <n v="2"/>
    <n v="2"/>
    <n v="2"/>
    <n v="2"/>
    <x v="1"/>
    <n v="1"/>
    <x v="0"/>
    <x v="1"/>
    <s v="2-5 Years"/>
    <s v="High"/>
    <s v="Better"/>
  </r>
  <r>
    <x v="24"/>
    <s v="No"/>
    <s v="Travel_Rarely"/>
    <n v="1464"/>
    <x v="1"/>
    <n v="2"/>
    <n v="4"/>
    <s v="Medical"/>
    <n v="1"/>
    <n v="1061"/>
    <n v="2"/>
    <x v="1"/>
    <n v="62"/>
    <n v="3"/>
    <n v="5"/>
    <x v="7"/>
    <n v="3"/>
    <s v="Married"/>
    <n v="19237"/>
    <n v="12853"/>
    <n v="2"/>
    <s v="Y"/>
    <x v="0"/>
    <n v="11"/>
    <n v="3"/>
    <n v="4"/>
    <n v="80"/>
    <n v="1"/>
    <n v="29"/>
    <n v="2"/>
    <n v="2"/>
    <n v="8"/>
    <n v="1"/>
    <n v="7"/>
    <n v="7"/>
    <x v="1"/>
    <n v="1"/>
    <x v="1"/>
    <x v="2"/>
    <s v="6-10 Years"/>
    <s v="High"/>
    <s v="Good"/>
  </r>
  <r>
    <x v="2"/>
    <s v="No"/>
    <s v="Travel_Rarely"/>
    <n v="124"/>
    <x v="1"/>
    <n v="3"/>
    <n v="3"/>
    <s v="Other"/>
    <n v="1"/>
    <n v="1062"/>
    <n v="4"/>
    <x v="0"/>
    <n v="35"/>
    <n v="3"/>
    <n v="2"/>
    <x v="4"/>
    <n v="2"/>
    <s v="Single"/>
    <n v="4107"/>
    <n v="13848"/>
    <n v="3"/>
    <s v="Y"/>
    <x v="1"/>
    <n v="15"/>
    <n v="3"/>
    <n v="1"/>
    <n v="80"/>
    <n v="0"/>
    <n v="8"/>
    <n v="3"/>
    <n v="2"/>
    <n v="4"/>
    <n v="3"/>
    <n v="0"/>
    <n v="1"/>
    <x v="1"/>
    <n v="1"/>
    <x v="0"/>
    <x v="0"/>
    <s v="2-5 Years"/>
    <s v="Medium"/>
    <s v="Good"/>
  </r>
  <r>
    <x v="32"/>
    <s v="No"/>
    <s v="Travel_Rarely"/>
    <n v="300"/>
    <x v="0"/>
    <n v="26"/>
    <n v="3"/>
    <s v="Marketing"/>
    <n v="1"/>
    <n v="1066"/>
    <n v="3"/>
    <x v="1"/>
    <n v="74"/>
    <n v="3"/>
    <n v="2"/>
    <x v="0"/>
    <n v="1"/>
    <s v="Married"/>
    <n v="8396"/>
    <n v="22217"/>
    <n v="1"/>
    <s v="Y"/>
    <x v="1"/>
    <n v="14"/>
    <n v="3"/>
    <n v="2"/>
    <n v="80"/>
    <n v="1"/>
    <n v="8"/>
    <n v="3"/>
    <n v="2"/>
    <n v="7"/>
    <n v="7"/>
    <n v="7"/>
    <n v="5"/>
    <x v="1"/>
    <n v="1"/>
    <x v="0"/>
    <x v="2"/>
    <s v="6-10 Years"/>
    <s v="Low"/>
    <s v="Good"/>
  </r>
  <r>
    <x v="25"/>
    <s v="No"/>
    <s v="Travel_Frequently"/>
    <n v="921"/>
    <x v="1"/>
    <n v="1"/>
    <n v="1"/>
    <s v="Medical"/>
    <n v="1"/>
    <n v="1068"/>
    <n v="1"/>
    <x v="0"/>
    <n v="66"/>
    <n v="2"/>
    <n v="1"/>
    <x v="1"/>
    <n v="3"/>
    <s v="Divorced"/>
    <n v="2007"/>
    <n v="25265"/>
    <n v="1"/>
    <s v="Y"/>
    <x v="1"/>
    <n v="13"/>
    <n v="3"/>
    <n v="3"/>
    <n v="80"/>
    <n v="2"/>
    <n v="5"/>
    <n v="5"/>
    <n v="3"/>
    <n v="5"/>
    <n v="3"/>
    <n v="1"/>
    <n v="3"/>
    <x v="1"/>
    <n v="1"/>
    <x v="2"/>
    <x v="1"/>
    <s v="2-5 Years"/>
    <s v="High"/>
    <s v="Better"/>
  </r>
  <r>
    <x v="21"/>
    <s v="No"/>
    <s v="Travel_Rarely"/>
    <n v="430"/>
    <x v="1"/>
    <n v="1"/>
    <n v="4"/>
    <s v="Medical"/>
    <n v="1"/>
    <n v="1069"/>
    <n v="4"/>
    <x v="1"/>
    <n v="40"/>
    <n v="3"/>
    <n v="5"/>
    <x v="7"/>
    <n v="4"/>
    <s v="Divorced"/>
    <n v="19627"/>
    <n v="21445"/>
    <n v="9"/>
    <s v="Y"/>
    <x v="1"/>
    <n v="17"/>
    <n v="3"/>
    <n v="4"/>
    <n v="80"/>
    <n v="2"/>
    <n v="23"/>
    <n v="0"/>
    <n v="3"/>
    <n v="2"/>
    <n v="2"/>
    <n v="2"/>
    <n v="2"/>
    <x v="1"/>
    <n v="1"/>
    <x v="1"/>
    <x v="2"/>
    <s v="2-5 Years"/>
    <s v="Very High"/>
    <s v="Better"/>
  </r>
  <r>
    <x v="33"/>
    <s v="No"/>
    <s v="Travel_Rarely"/>
    <n v="1082"/>
    <x v="0"/>
    <n v="2"/>
    <n v="4"/>
    <s v="Life Sciences"/>
    <n v="1"/>
    <n v="1070"/>
    <n v="3"/>
    <x v="0"/>
    <n v="41"/>
    <n v="2"/>
    <n v="3"/>
    <x v="0"/>
    <n v="3"/>
    <s v="Married"/>
    <n v="10686"/>
    <n v="8392"/>
    <n v="6"/>
    <s v="Y"/>
    <x v="1"/>
    <n v="11"/>
    <n v="3"/>
    <n v="2"/>
    <n v="80"/>
    <n v="1"/>
    <n v="13"/>
    <n v="4"/>
    <n v="3"/>
    <n v="9"/>
    <n v="4"/>
    <n v="7"/>
    <n v="0"/>
    <x v="1"/>
    <n v="1"/>
    <x v="1"/>
    <x v="2"/>
    <s v="6-10 Years"/>
    <s v="High"/>
    <s v="Better"/>
  </r>
  <r>
    <x v="29"/>
    <s v="No"/>
    <s v="Travel_Frequently"/>
    <n v="1240"/>
    <x v="1"/>
    <n v="9"/>
    <n v="3"/>
    <s v="Medical"/>
    <n v="1"/>
    <n v="1071"/>
    <n v="1"/>
    <x v="0"/>
    <n v="63"/>
    <n v="3"/>
    <n v="1"/>
    <x v="1"/>
    <n v="3"/>
    <s v="Married"/>
    <n v="2942"/>
    <n v="12154"/>
    <n v="2"/>
    <s v="Y"/>
    <x v="1"/>
    <n v="19"/>
    <n v="3"/>
    <n v="2"/>
    <n v="80"/>
    <n v="1"/>
    <n v="18"/>
    <n v="4"/>
    <n v="3"/>
    <n v="5"/>
    <n v="4"/>
    <n v="0"/>
    <n v="3"/>
    <x v="1"/>
    <n v="1"/>
    <x v="3"/>
    <x v="1"/>
    <s v="2-5 Years"/>
    <s v="High"/>
    <s v="Better"/>
  </r>
  <r>
    <x v="9"/>
    <s v="No"/>
    <s v="Travel_Rarely"/>
    <n v="796"/>
    <x v="1"/>
    <n v="12"/>
    <n v="5"/>
    <s v="Medical"/>
    <n v="1"/>
    <n v="1073"/>
    <n v="4"/>
    <x v="0"/>
    <n v="51"/>
    <n v="2"/>
    <n v="3"/>
    <x v="3"/>
    <n v="4"/>
    <s v="Single"/>
    <n v="8858"/>
    <n v="15669"/>
    <n v="0"/>
    <s v="Y"/>
    <x v="1"/>
    <n v="11"/>
    <n v="3"/>
    <n v="2"/>
    <n v="80"/>
    <n v="0"/>
    <n v="15"/>
    <n v="2"/>
    <n v="2"/>
    <n v="14"/>
    <n v="8"/>
    <n v="7"/>
    <n v="8"/>
    <x v="1"/>
    <n v="1"/>
    <x v="0"/>
    <x v="2"/>
    <s v="10+ Years"/>
    <s v="Very High"/>
    <s v="Good"/>
  </r>
  <r>
    <x v="27"/>
    <s v="No"/>
    <s v="Non-Travel"/>
    <n v="444"/>
    <x v="1"/>
    <n v="2"/>
    <n v="1"/>
    <s v="Medical"/>
    <n v="1"/>
    <n v="1074"/>
    <n v="3"/>
    <x v="1"/>
    <n v="40"/>
    <n v="2"/>
    <n v="4"/>
    <x v="5"/>
    <n v="1"/>
    <s v="Single"/>
    <n v="16756"/>
    <n v="17323"/>
    <n v="7"/>
    <s v="Y"/>
    <x v="1"/>
    <n v="15"/>
    <n v="3"/>
    <n v="2"/>
    <n v="80"/>
    <n v="0"/>
    <n v="31"/>
    <n v="3"/>
    <n v="4"/>
    <n v="9"/>
    <n v="7"/>
    <n v="6"/>
    <n v="2"/>
    <x v="1"/>
    <n v="1"/>
    <x v="3"/>
    <x v="2"/>
    <s v="6-10 Years"/>
    <s v="Low"/>
    <s v="Best"/>
  </r>
  <r>
    <x v="23"/>
    <s v="No"/>
    <s v="Travel_Rarely"/>
    <n v="415"/>
    <x v="0"/>
    <n v="25"/>
    <n v="3"/>
    <s v="Medical"/>
    <n v="1"/>
    <n v="1076"/>
    <n v="3"/>
    <x v="1"/>
    <n v="79"/>
    <n v="2"/>
    <n v="3"/>
    <x v="0"/>
    <n v="4"/>
    <s v="Divorced"/>
    <n v="10798"/>
    <n v="5268"/>
    <n v="5"/>
    <s v="Y"/>
    <x v="1"/>
    <n v="13"/>
    <n v="3"/>
    <n v="3"/>
    <n v="80"/>
    <n v="1"/>
    <n v="18"/>
    <n v="5"/>
    <n v="3"/>
    <n v="1"/>
    <n v="0"/>
    <n v="0"/>
    <n v="0"/>
    <x v="1"/>
    <n v="1"/>
    <x v="0"/>
    <x v="2"/>
    <s v="0-1 Years"/>
    <s v="Very High"/>
    <s v="Better"/>
  </r>
  <r>
    <x v="35"/>
    <s v="Yes"/>
    <s v="Travel_Frequently"/>
    <n v="769"/>
    <x v="0"/>
    <n v="9"/>
    <n v="3"/>
    <s v="Marketing"/>
    <n v="1"/>
    <n v="1077"/>
    <n v="4"/>
    <x v="0"/>
    <n v="54"/>
    <n v="3"/>
    <n v="1"/>
    <x v="6"/>
    <n v="4"/>
    <s v="Single"/>
    <n v="2323"/>
    <n v="17205"/>
    <n v="1"/>
    <s v="Y"/>
    <x v="0"/>
    <n v="14"/>
    <n v="3"/>
    <n v="2"/>
    <n v="80"/>
    <n v="0"/>
    <n v="2"/>
    <n v="3"/>
    <n v="3"/>
    <n v="2"/>
    <n v="2"/>
    <n v="0"/>
    <n v="2"/>
    <x v="0"/>
    <n v="0"/>
    <x v="4"/>
    <x v="1"/>
    <s v="2-5 Years"/>
    <s v="Very High"/>
    <s v="Better"/>
  </r>
  <r>
    <x v="18"/>
    <s v="Yes"/>
    <s v="Travel_Rarely"/>
    <n v="1334"/>
    <x v="1"/>
    <n v="10"/>
    <n v="3"/>
    <s v="Life Sciences"/>
    <n v="1"/>
    <n v="1079"/>
    <n v="3"/>
    <x v="0"/>
    <n v="36"/>
    <n v="2"/>
    <n v="1"/>
    <x v="2"/>
    <n v="1"/>
    <s v="Single"/>
    <n v="1416"/>
    <n v="17258"/>
    <n v="1"/>
    <s v="Y"/>
    <x v="1"/>
    <n v="13"/>
    <n v="3"/>
    <n v="1"/>
    <n v="80"/>
    <n v="0"/>
    <n v="1"/>
    <n v="6"/>
    <n v="2"/>
    <n v="1"/>
    <n v="0"/>
    <n v="1"/>
    <n v="0"/>
    <x v="0"/>
    <n v="0"/>
    <x v="4"/>
    <x v="1"/>
    <s v="0-1 Years"/>
    <s v="Low"/>
    <s v="Good"/>
  </r>
  <r>
    <x v="21"/>
    <s v="No"/>
    <s v="Travel_Rarely"/>
    <n v="1003"/>
    <x v="1"/>
    <n v="8"/>
    <n v="4"/>
    <s v="Life Sciences"/>
    <n v="1"/>
    <n v="1080"/>
    <n v="4"/>
    <x v="0"/>
    <n v="74"/>
    <n v="2"/>
    <n v="2"/>
    <x v="1"/>
    <n v="1"/>
    <s v="Divorced"/>
    <n v="4615"/>
    <n v="21029"/>
    <n v="8"/>
    <s v="Y"/>
    <x v="0"/>
    <n v="23"/>
    <n v="4"/>
    <n v="1"/>
    <n v="80"/>
    <n v="3"/>
    <n v="19"/>
    <n v="2"/>
    <n v="3"/>
    <n v="16"/>
    <n v="13"/>
    <n v="1"/>
    <n v="7"/>
    <x v="1"/>
    <n v="1"/>
    <x v="1"/>
    <x v="0"/>
    <s v="10+ Years"/>
    <s v="Low"/>
    <s v="Better"/>
  </r>
  <r>
    <x v="31"/>
    <s v="Yes"/>
    <s v="Travel_Rarely"/>
    <n v="1323"/>
    <x v="1"/>
    <n v="4"/>
    <n v="4"/>
    <s v="Life Sciences"/>
    <n v="1"/>
    <n v="1081"/>
    <n v="1"/>
    <x v="1"/>
    <n v="34"/>
    <n v="3"/>
    <n v="1"/>
    <x v="1"/>
    <n v="3"/>
    <s v="Married"/>
    <n v="2461"/>
    <n v="10332"/>
    <n v="9"/>
    <s v="Y"/>
    <x v="0"/>
    <n v="12"/>
    <n v="3"/>
    <n v="3"/>
    <n v="80"/>
    <n v="3"/>
    <n v="18"/>
    <n v="2"/>
    <n v="4"/>
    <n v="10"/>
    <n v="0"/>
    <n v="2"/>
    <n v="7"/>
    <x v="0"/>
    <n v="0"/>
    <x v="1"/>
    <x v="1"/>
    <s v="6-10 Years"/>
    <s v="High"/>
    <s v="Best"/>
  </r>
  <r>
    <x v="14"/>
    <s v="Yes"/>
    <s v="Non-Travel"/>
    <n v="1366"/>
    <x v="1"/>
    <n v="24"/>
    <n v="2"/>
    <s v="Technical Degree"/>
    <n v="1"/>
    <n v="1082"/>
    <n v="2"/>
    <x v="1"/>
    <n v="72"/>
    <n v="2"/>
    <n v="3"/>
    <x v="4"/>
    <n v="1"/>
    <s v="Single"/>
    <n v="8722"/>
    <n v="12355"/>
    <n v="1"/>
    <s v="Y"/>
    <x v="1"/>
    <n v="12"/>
    <n v="3"/>
    <n v="1"/>
    <n v="80"/>
    <n v="0"/>
    <n v="10"/>
    <n v="2"/>
    <n v="2"/>
    <n v="10"/>
    <n v="7"/>
    <n v="1"/>
    <n v="9"/>
    <x v="0"/>
    <n v="0"/>
    <x v="2"/>
    <x v="2"/>
    <s v="6-10 Years"/>
    <s v="Low"/>
    <s v="Good"/>
  </r>
  <r>
    <x v="25"/>
    <s v="No"/>
    <s v="Travel_Rarely"/>
    <n v="192"/>
    <x v="1"/>
    <n v="1"/>
    <n v="2"/>
    <s v="Medical"/>
    <n v="1"/>
    <n v="1083"/>
    <n v="1"/>
    <x v="1"/>
    <n v="59"/>
    <n v="2"/>
    <n v="1"/>
    <x v="2"/>
    <n v="1"/>
    <s v="Married"/>
    <n v="3955"/>
    <n v="11141"/>
    <n v="1"/>
    <s v="Y"/>
    <x v="1"/>
    <n v="16"/>
    <n v="3"/>
    <n v="1"/>
    <n v="80"/>
    <n v="2"/>
    <n v="6"/>
    <n v="2"/>
    <n v="3"/>
    <n v="5"/>
    <n v="3"/>
    <n v="1"/>
    <n v="3"/>
    <x v="1"/>
    <n v="1"/>
    <x v="2"/>
    <x v="0"/>
    <s v="2-5 Years"/>
    <s v="Low"/>
    <s v="Better"/>
  </r>
  <r>
    <x v="7"/>
    <s v="No"/>
    <s v="Travel_Rarely"/>
    <n v="1176"/>
    <x v="1"/>
    <n v="20"/>
    <n v="3"/>
    <s v="Other"/>
    <n v="1"/>
    <n v="1084"/>
    <n v="3"/>
    <x v="1"/>
    <n v="85"/>
    <n v="3"/>
    <n v="2"/>
    <x v="3"/>
    <n v="1"/>
    <s v="Married"/>
    <n v="9957"/>
    <n v="9096"/>
    <n v="0"/>
    <s v="Y"/>
    <x v="1"/>
    <n v="15"/>
    <n v="3"/>
    <n v="3"/>
    <n v="80"/>
    <n v="1"/>
    <n v="7"/>
    <n v="1"/>
    <n v="2"/>
    <n v="6"/>
    <n v="2"/>
    <n v="0"/>
    <n v="2"/>
    <x v="1"/>
    <n v="1"/>
    <x v="2"/>
    <x v="2"/>
    <s v="6-10 Years"/>
    <s v="Low"/>
    <s v="Good"/>
  </r>
  <r>
    <x v="0"/>
    <s v="No"/>
    <s v="Travel_Rarely"/>
    <n v="509"/>
    <x v="1"/>
    <n v="7"/>
    <n v="2"/>
    <s v="Technical Degree"/>
    <n v="1"/>
    <n v="1085"/>
    <n v="2"/>
    <x v="0"/>
    <n v="43"/>
    <n v="4"/>
    <n v="1"/>
    <x v="1"/>
    <n v="3"/>
    <s v="Married"/>
    <n v="3376"/>
    <n v="18863"/>
    <n v="1"/>
    <s v="Y"/>
    <x v="1"/>
    <n v="13"/>
    <n v="3"/>
    <n v="3"/>
    <n v="80"/>
    <n v="0"/>
    <n v="10"/>
    <n v="3"/>
    <n v="3"/>
    <n v="10"/>
    <n v="6"/>
    <n v="0"/>
    <n v="8"/>
    <x v="1"/>
    <n v="1"/>
    <x v="0"/>
    <x v="0"/>
    <s v="6-10 Years"/>
    <s v="High"/>
    <s v="Better"/>
  </r>
  <r>
    <x v="8"/>
    <s v="No"/>
    <s v="Travel_Rarely"/>
    <n v="330"/>
    <x v="1"/>
    <n v="17"/>
    <n v="1"/>
    <s v="Life Sciences"/>
    <n v="1"/>
    <n v="1088"/>
    <n v="3"/>
    <x v="0"/>
    <n v="65"/>
    <n v="2"/>
    <n v="3"/>
    <x v="4"/>
    <n v="3"/>
    <s v="Married"/>
    <n v="8823"/>
    <n v="24608"/>
    <n v="0"/>
    <s v="Y"/>
    <x v="1"/>
    <n v="18"/>
    <n v="3"/>
    <n v="1"/>
    <n v="80"/>
    <n v="1"/>
    <n v="20"/>
    <n v="4"/>
    <n v="2"/>
    <n v="19"/>
    <n v="9"/>
    <n v="1"/>
    <n v="9"/>
    <x v="1"/>
    <n v="1"/>
    <x v="0"/>
    <x v="2"/>
    <s v="10+ Years"/>
    <s v="High"/>
    <s v="Good"/>
  </r>
  <r>
    <x v="32"/>
    <s v="No"/>
    <s v="Travel_Rarely"/>
    <n v="1492"/>
    <x v="1"/>
    <n v="20"/>
    <n v="4"/>
    <s v="Technical Degree"/>
    <n v="1"/>
    <n v="1092"/>
    <n v="1"/>
    <x v="1"/>
    <n v="61"/>
    <n v="3"/>
    <n v="3"/>
    <x v="4"/>
    <n v="4"/>
    <s v="Married"/>
    <n v="10322"/>
    <n v="26542"/>
    <n v="4"/>
    <s v="Y"/>
    <x v="1"/>
    <n v="20"/>
    <n v="4"/>
    <n v="4"/>
    <n v="80"/>
    <n v="1"/>
    <n v="14"/>
    <n v="6"/>
    <n v="3"/>
    <n v="11"/>
    <n v="10"/>
    <n v="11"/>
    <n v="1"/>
    <x v="1"/>
    <n v="1"/>
    <x v="0"/>
    <x v="2"/>
    <s v="10+ Years"/>
    <s v="Very High"/>
    <s v="Better"/>
  </r>
  <r>
    <x v="4"/>
    <s v="No"/>
    <s v="Non-Travel"/>
    <n v="1277"/>
    <x v="1"/>
    <n v="8"/>
    <n v="5"/>
    <s v="Life Sciences"/>
    <n v="1"/>
    <n v="1094"/>
    <n v="1"/>
    <x v="1"/>
    <n v="87"/>
    <n v="1"/>
    <n v="1"/>
    <x v="2"/>
    <n v="3"/>
    <s v="Married"/>
    <n v="4621"/>
    <n v="5869"/>
    <n v="1"/>
    <s v="Y"/>
    <x v="1"/>
    <n v="19"/>
    <n v="3"/>
    <n v="4"/>
    <n v="80"/>
    <n v="3"/>
    <n v="3"/>
    <n v="4"/>
    <n v="3"/>
    <n v="3"/>
    <n v="2"/>
    <n v="1"/>
    <n v="2"/>
    <x v="1"/>
    <n v="1"/>
    <x v="2"/>
    <x v="0"/>
    <s v="2-5 Years"/>
    <s v="High"/>
    <s v="Better"/>
  </r>
  <r>
    <x v="27"/>
    <s v="No"/>
    <s v="Travel_Frequently"/>
    <n v="1091"/>
    <x v="1"/>
    <n v="2"/>
    <n v="1"/>
    <s v="Life Sciences"/>
    <n v="1"/>
    <n v="1096"/>
    <n v="4"/>
    <x v="1"/>
    <n v="65"/>
    <n v="3"/>
    <n v="3"/>
    <x v="3"/>
    <n v="2"/>
    <s v="Married"/>
    <n v="10976"/>
    <n v="15813"/>
    <n v="3"/>
    <s v="Y"/>
    <x v="1"/>
    <n v="18"/>
    <n v="3"/>
    <n v="2"/>
    <n v="80"/>
    <n v="1"/>
    <n v="23"/>
    <n v="4"/>
    <n v="3"/>
    <n v="3"/>
    <n v="2"/>
    <n v="1"/>
    <n v="2"/>
    <x v="1"/>
    <n v="1"/>
    <x v="3"/>
    <x v="2"/>
    <s v="2-5 Years"/>
    <s v="Medium"/>
    <s v="Better"/>
  </r>
  <r>
    <x v="14"/>
    <s v="No"/>
    <s v="Travel_Rarely"/>
    <n v="857"/>
    <x v="1"/>
    <n v="10"/>
    <n v="3"/>
    <s v="Other"/>
    <n v="1"/>
    <n v="1097"/>
    <n v="3"/>
    <x v="0"/>
    <n v="59"/>
    <n v="3"/>
    <n v="2"/>
    <x v="1"/>
    <n v="3"/>
    <s v="Single"/>
    <n v="3660"/>
    <n v="7909"/>
    <n v="3"/>
    <s v="Y"/>
    <x v="1"/>
    <n v="13"/>
    <n v="3"/>
    <n v="4"/>
    <n v="80"/>
    <n v="0"/>
    <n v="10"/>
    <n v="4"/>
    <n v="4"/>
    <n v="8"/>
    <n v="7"/>
    <n v="1"/>
    <n v="7"/>
    <x v="1"/>
    <n v="1"/>
    <x v="2"/>
    <x v="0"/>
    <s v="6-10 Years"/>
    <s v="High"/>
    <s v="Best"/>
  </r>
  <r>
    <x v="20"/>
    <s v="Yes"/>
    <s v="Travel_Rarely"/>
    <n v="1376"/>
    <x v="2"/>
    <n v="1"/>
    <n v="2"/>
    <s v="Medical"/>
    <n v="1"/>
    <n v="1098"/>
    <n v="2"/>
    <x v="1"/>
    <n v="91"/>
    <n v="2"/>
    <n v="3"/>
    <x v="8"/>
    <n v="1"/>
    <s v="Married"/>
    <n v="10482"/>
    <n v="2326"/>
    <n v="9"/>
    <s v="Y"/>
    <x v="1"/>
    <n v="14"/>
    <n v="3"/>
    <n v="4"/>
    <n v="80"/>
    <n v="1"/>
    <n v="24"/>
    <n v="1"/>
    <n v="3"/>
    <n v="20"/>
    <n v="6"/>
    <n v="3"/>
    <n v="6"/>
    <x v="0"/>
    <n v="0"/>
    <x v="0"/>
    <x v="2"/>
    <s v="10+ Years"/>
    <s v="Low"/>
    <s v="Better"/>
  </r>
  <r>
    <x v="3"/>
    <s v="No"/>
    <s v="Travel_Rarely"/>
    <n v="654"/>
    <x v="1"/>
    <n v="5"/>
    <n v="3"/>
    <s v="Life Sciences"/>
    <n v="1"/>
    <n v="1099"/>
    <n v="4"/>
    <x v="1"/>
    <n v="34"/>
    <n v="2"/>
    <n v="3"/>
    <x v="4"/>
    <n v="4"/>
    <s v="Divorced"/>
    <n v="7119"/>
    <n v="21214"/>
    <n v="4"/>
    <s v="Y"/>
    <x v="1"/>
    <n v="15"/>
    <n v="3"/>
    <n v="3"/>
    <n v="80"/>
    <n v="1"/>
    <n v="9"/>
    <n v="2"/>
    <n v="3"/>
    <n v="3"/>
    <n v="2"/>
    <n v="1"/>
    <n v="2"/>
    <x v="1"/>
    <n v="1"/>
    <x v="2"/>
    <x v="2"/>
    <s v="2-5 Years"/>
    <s v="Very High"/>
    <s v="Better"/>
  </r>
  <r>
    <x v="10"/>
    <s v="Yes"/>
    <s v="Travel_Rarely"/>
    <n v="1204"/>
    <x v="0"/>
    <n v="4"/>
    <n v="3"/>
    <s v="Technical Degree"/>
    <n v="1"/>
    <n v="1100"/>
    <n v="4"/>
    <x v="1"/>
    <n v="86"/>
    <n v="3"/>
    <n v="3"/>
    <x v="0"/>
    <n v="1"/>
    <s v="Single"/>
    <n v="9582"/>
    <n v="10333"/>
    <n v="0"/>
    <s v="Y"/>
    <x v="0"/>
    <n v="22"/>
    <n v="4"/>
    <n v="1"/>
    <n v="80"/>
    <n v="0"/>
    <n v="9"/>
    <n v="2"/>
    <n v="3"/>
    <n v="8"/>
    <n v="7"/>
    <n v="4"/>
    <n v="7"/>
    <x v="0"/>
    <n v="0"/>
    <x v="0"/>
    <x v="2"/>
    <s v="6-10 Years"/>
    <s v="Low"/>
    <s v="Better"/>
  </r>
  <r>
    <x v="3"/>
    <s v="Yes"/>
    <s v="Travel_Frequently"/>
    <n v="827"/>
    <x v="1"/>
    <n v="29"/>
    <n v="4"/>
    <s v="Medical"/>
    <n v="1"/>
    <n v="1101"/>
    <n v="1"/>
    <x v="0"/>
    <n v="54"/>
    <n v="2"/>
    <n v="2"/>
    <x v="1"/>
    <n v="3"/>
    <s v="Single"/>
    <n v="4508"/>
    <n v="3129"/>
    <n v="1"/>
    <s v="Y"/>
    <x v="1"/>
    <n v="22"/>
    <n v="4"/>
    <n v="2"/>
    <n v="80"/>
    <n v="0"/>
    <n v="14"/>
    <n v="4"/>
    <n v="3"/>
    <n v="13"/>
    <n v="7"/>
    <n v="3"/>
    <n v="8"/>
    <x v="0"/>
    <n v="0"/>
    <x v="2"/>
    <x v="0"/>
    <s v="10+ Years"/>
    <s v="High"/>
    <s v="Better"/>
  </r>
  <r>
    <x v="14"/>
    <s v="No"/>
    <s v="Travel_Rarely"/>
    <n v="895"/>
    <x v="1"/>
    <n v="15"/>
    <n v="2"/>
    <s v="Life Sciences"/>
    <n v="1"/>
    <n v="1102"/>
    <n v="1"/>
    <x v="1"/>
    <n v="50"/>
    <n v="3"/>
    <n v="1"/>
    <x v="2"/>
    <n v="3"/>
    <s v="Divorced"/>
    <n v="2207"/>
    <n v="22482"/>
    <n v="1"/>
    <s v="Y"/>
    <x v="1"/>
    <n v="16"/>
    <n v="3"/>
    <n v="4"/>
    <n v="80"/>
    <n v="1"/>
    <n v="4"/>
    <n v="5"/>
    <n v="2"/>
    <n v="4"/>
    <n v="2"/>
    <n v="2"/>
    <n v="2"/>
    <x v="1"/>
    <n v="1"/>
    <x v="2"/>
    <x v="1"/>
    <s v="2-5 Years"/>
    <s v="High"/>
    <s v="Good"/>
  </r>
  <r>
    <x v="13"/>
    <s v="No"/>
    <s v="Travel_Frequently"/>
    <n v="618"/>
    <x v="1"/>
    <n v="3"/>
    <n v="1"/>
    <s v="Life Sciences"/>
    <n v="1"/>
    <n v="1103"/>
    <n v="1"/>
    <x v="1"/>
    <n v="45"/>
    <n v="3"/>
    <n v="2"/>
    <x v="4"/>
    <n v="4"/>
    <s v="Single"/>
    <n v="7756"/>
    <n v="22266"/>
    <n v="0"/>
    <s v="Y"/>
    <x v="1"/>
    <n v="17"/>
    <n v="3"/>
    <n v="3"/>
    <n v="80"/>
    <n v="0"/>
    <n v="7"/>
    <n v="1"/>
    <n v="2"/>
    <n v="6"/>
    <n v="2"/>
    <n v="0"/>
    <n v="4"/>
    <x v="1"/>
    <n v="1"/>
    <x v="2"/>
    <x v="2"/>
    <s v="6-10 Years"/>
    <s v="Very High"/>
    <s v="Good"/>
  </r>
  <r>
    <x v="2"/>
    <s v="No"/>
    <s v="Travel_Rarely"/>
    <n v="309"/>
    <x v="0"/>
    <n v="10"/>
    <n v="4"/>
    <s v="Life Sciences"/>
    <n v="1"/>
    <n v="1105"/>
    <n v="4"/>
    <x v="0"/>
    <n v="88"/>
    <n v="2"/>
    <n v="2"/>
    <x v="0"/>
    <n v="4"/>
    <s v="Divorced"/>
    <n v="6694"/>
    <n v="24223"/>
    <n v="2"/>
    <s v="Y"/>
    <x v="0"/>
    <n v="14"/>
    <n v="3"/>
    <n v="3"/>
    <n v="80"/>
    <n v="3"/>
    <n v="8"/>
    <n v="5"/>
    <n v="3"/>
    <n v="1"/>
    <n v="0"/>
    <n v="0"/>
    <n v="0"/>
    <x v="1"/>
    <n v="1"/>
    <x v="0"/>
    <x v="0"/>
    <s v="0-1 Years"/>
    <s v="Very High"/>
    <s v="Better"/>
  </r>
  <r>
    <x v="36"/>
    <s v="Yes"/>
    <s v="Travel_Rarely"/>
    <n v="1219"/>
    <x v="1"/>
    <n v="4"/>
    <n v="1"/>
    <s v="Technical Degree"/>
    <n v="1"/>
    <n v="1106"/>
    <n v="4"/>
    <x v="1"/>
    <n v="32"/>
    <n v="3"/>
    <n v="1"/>
    <x v="2"/>
    <n v="4"/>
    <s v="Married"/>
    <n v="3691"/>
    <n v="4605"/>
    <n v="1"/>
    <s v="Y"/>
    <x v="0"/>
    <n v="15"/>
    <n v="3"/>
    <n v="2"/>
    <n v="80"/>
    <n v="1"/>
    <n v="7"/>
    <n v="3"/>
    <n v="4"/>
    <n v="7"/>
    <n v="7"/>
    <n v="5"/>
    <n v="6"/>
    <x v="0"/>
    <n v="0"/>
    <x v="2"/>
    <x v="0"/>
    <s v="6-10 Years"/>
    <s v="Very High"/>
    <s v="Best"/>
  </r>
  <r>
    <x v="25"/>
    <s v="Yes"/>
    <s v="Travel_Rarely"/>
    <n v="1330"/>
    <x v="1"/>
    <n v="21"/>
    <n v="3"/>
    <s v="Medical"/>
    <n v="1"/>
    <n v="1107"/>
    <n v="1"/>
    <x v="1"/>
    <n v="37"/>
    <n v="3"/>
    <n v="1"/>
    <x v="2"/>
    <n v="3"/>
    <s v="Divorced"/>
    <n v="2377"/>
    <n v="19373"/>
    <n v="1"/>
    <s v="Y"/>
    <x v="1"/>
    <n v="20"/>
    <n v="4"/>
    <n v="3"/>
    <n v="80"/>
    <n v="1"/>
    <n v="1"/>
    <n v="0"/>
    <n v="2"/>
    <n v="1"/>
    <n v="1"/>
    <n v="0"/>
    <n v="0"/>
    <x v="0"/>
    <n v="0"/>
    <x v="2"/>
    <x v="1"/>
    <s v="0-1 Years"/>
    <s v="High"/>
    <s v="Good"/>
  </r>
  <r>
    <x v="3"/>
    <s v="Yes"/>
    <s v="Travel_Rarely"/>
    <n v="1017"/>
    <x v="1"/>
    <n v="25"/>
    <n v="3"/>
    <s v="Medical"/>
    <n v="1"/>
    <n v="1108"/>
    <n v="1"/>
    <x v="1"/>
    <n v="55"/>
    <n v="2"/>
    <n v="1"/>
    <x v="1"/>
    <n v="2"/>
    <s v="Single"/>
    <n v="2313"/>
    <n v="2993"/>
    <n v="4"/>
    <s v="Y"/>
    <x v="0"/>
    <n v="20"/>
    <n v="4"/>
    <n v="2"/>
    <n v="80"/>
    <n v="0"/>
    <n v="5"/>
    <n v="0"/>
    <n v="3"/>
    <n v="2"/>
    <n v="2"/>
    <n v="2"/>
    <n v="2"/>
    <x v="0"/>
    <n v="0"/>
    <x v="2"/>
    <x v="1"/>
    <s v="2-5 Years"/>
    <s v="Medium"/>
    <s v="Better"/>
  </r>
  <r>
    <x v="19"/>
    <s v="No"/>
    <s v="Travel_Rarely"/>
    <n v="469"/>
    <x v="1"/>
    <n v="2"/>
    <n v="2"/>
    <s v="Medical"/>
    <n v="1"/>
    <n v="1109"/>
    <n v="4"/>
    <x v="1"/>
    <n v="35"/>
    <n v="3"/>
    <n v="4"/>
    <x v="5"/>
    <n v="1"/>
    <s v="Married"/>
    <n v="17665"/>
    <n v="14399"/>
    <n v="0"/>
    <s v="Y"/>
    <x v="1"/>
    <n v="17"/>
    <n v="3"/>
    <n v="4"/>
    <n v="80"/>
    <n v="1"/>
    <n v="23"/>
    <n v="3"/>
    <n v="3"/>
    <n v="22"/>
    <n v="6"/>
    <n v="13"/>
    <n v="7"/>
    <x v="1"/>
    <n v="1"/>
    <x v="0"/>
    <x v="2"/>
    <s v="10+ Years"/>
    <s v="Low"/>
    <s v="Better"/>
  </r>
  <r>
    <x v="14"/>
    <s v="Yes"/>
    <s v="Travel_Frequently"/>
    <n v="1009"/>
    <x v="1"/>
    <n v="1"/>
    <n v="3"/>
    <s v="Medical"/>
    <n v="1"/>
    <n v="1111"/>
    <n v="1"/>
    <x v="1"/>
    <n v="45"/>
    <n v="2"/>
    <n v="1"/>
    <x v="2"/>
    <n v="2"/>
    <s v="Divorced"/>
    <n v="2596"/>
    <n v="7160"/>
    <n v="1"/>
    <s v="Y"/>
    <x v="1"/>
    <n v="15"/>
    <n v="3"/>
    <n v="1"/>
    <n v="80"/>
    <n v="2"/>
    <n v="1"/>
    <n v="2"/>
    <n v="3"/>
    <n v="1"/>
    <n v="0"/>
    <n v="0"/>
    <n v="0"/>
    <x v="0"/>
    <n v="0"/>
    <x v="2"/>
    <x v="1"/>
    <s v="0-1 Years"/>
    <s v="Medium"/>
    <s v="Better"/>
  </r>
  <r>
    <x v="24"/>
    <s v="Yes"/>
    <s v="Travel_Frequently"/>
    <n v="959"/>
    <x v="0"/>
    <n v="1"/>
    <n v="4"/>
    <s v="Other"/>
    <n v="1"/>
    <n v="1113"/>
    <n v="4"/>
    <x v="1"/>
    <n v="81"/>
    <n v="3"/>
    <n v="2"/>
    <x v="0"/>
    <n v="3"/>
    <s v="Single"/>
    <n v="4728"/>
    <n v="17251"/>
    <n v="3"/>
    <s v="Y"/>
    <x v="0"/>
    <n v="14"/>
    <n v="3"/>
    <n v="4"/>
    <n v="80"/>
    <n v="0"/>
    <n v="5"/>
    <n v="4"/>
    <n v="3"/>
    <n v="0"/>
    <n v="0"/>
    <n v="0"/>
    <n v="0"/>
    <x v="0"/>
    <n v="0"/>
    <x v="1"/>
    <x v="0"/>
    <s v="0-1 Years"/>
    <s v="High"/>
    <s v="Better"/>
  </r>
  <r>
    <x v="3"/>
    <s v="No"/>
    <s v="Travel_Frequently"/>
    <n v="970"/>
    <x v="0"/>
    <n v="7"/>
    <n v="3"/>
    <s v="Life Sciences"/>
    <n v="1"/>
    <n v="1114"/>
    <n v="4"/>
    <x v="0"/>
    <n v="30"/>
    <n v="3"/>
    <n v="2"/>
    <x v="0"/>
    <n v="2"/>
    <s v="Married"/>
    <n v="4302"/>
    <n v="13401"/>
    <n v="0"/>
    <s v="Y"/>
    <x v="1"/>
    <n v="17"/>
    <n v="3"/>
    <n v="3"/>
    <n v="80"/>
    <n v="1"/>
    <n v="4"/>
    <n v="3"/>
    <n v="3"/>
    <n v="3"/>
    <n v="2"/>
    <n v="0"/>
    <n v="2"/>
    <x v="1"/>
    <n v="1"/>
    <x v="2"/>
    <x v="0"/>
    <s v="2-5 Years"/>
    <s v="Medium"/>
    <s v="Better"/>
  </r>
  <r>
    <x v="13"/>
    <s v="No"/>
    <s v="Non-Travel"/>
    <n v="697"/>
    <x v="1"/>
    <n v="3"/>
    <n v="4"/>
    <s v="Life Sciences"/>
    <n v="1"/>
    <n v="1115"/>
    <n v="3"/>
    <x v="1"/>
    <n v="40"/>
    <n v="2"/>
    <n v="1"/>
    <x v="1"/>
    <n v="4"/>
    <s v="Married"/>
    <n v="2979"/>
    <n v="22478"/>
    <n v="3"/>
    <s v="Y"/>
    <x v="1"/>
    <n v="17"/>
    <n v="3"/>
    <n v="4"/>
    <n v="80"/>
    <n v="3"/>
    <n v="6"/>
    <n v="2"/>
    <n v="3"/>
    <n v="0"/>
    <n v="0"/>
    <n v="0"/>
    <n v="0"/>
    <x v="1"/>
    <n v="1"/>
    <x v="2"/>
    <x v="1"/>
    <s v="0-1 Years"/>
    <s v="Very High"/>
    <s v="Better"/>
  </r>
  <r>
    <x v="26"/>
    <s v="No"/>
    <s v="Non-Travel"/>
    <n v="1262"/>
    <x v="1"/>
    <n v="1"/>
    <n v="4"/>
    <s v="Medical"/>
    <n v="1"/>
    <n v="1116"/>
    <n v="1"/>
    <x v="1"/>
    <n v="35"/>
    <n v="4"/>
    <n v="4"/>
    <x v="5"/>
    <n v="4"/>
    <s v="Single"/>
    <n v="16885"/>
    <n v="16154"/>
    <n v="2"/>
    <s v="Y"/>
    <x v="1"/>
    <n v="22"/>
    <n v="4"/>
    <n v="3"/>
    <n v="80"/>
    <n v="0"/>
    <n v="27"/>
    <n v="3"/>
    <n v="2"/>
    <n v="5"/>
    <n v="4"/>
    <n v="2"/>
    <n v="1"/>
    <x v="1"/>
    <n v="1"/>
    <x v="1"/>
    <x v="2"/>
    <s v="2-5 Years"/>
    <s v="Very High"/>
    <s v="Good"/>
  </r>
  <r>
    <x v="28"/>
    <s v="No"/>
    <s v="Non-Travel"/>
    <n v="1050"/>
    <x v="0"/>
    <n v="9"/>
    <n v="4"/>
    <s v="Life Sciences"/>
    <n v="1"/>
    <n v="1117"/>
    <n v="2"/>
    <x v="0"/>
    <n v="65"/>
    <n v="2"/>
    <n v="2"/>
    <x v="0"/>
    <n v="3"/>
    <s v="Married"/>
    <n v="5593"/>
    <n v="17970"/>
    <n v="1"/>
    <s v="Y"/>
    <x v="1"/>
    <n v="13"/>
    <n v="3"/>
    <n v="4"/>
    <n v="80"/>
    <n v="1"/>
    <n v="15"/>
    <n v="2"/>
    <n v="3"/>
    <n v="15"/>
    <n v="10"/>
    <n v="4"/>
    <n v="12"/>
    <x v="1"/>
    <n v="1"/>
    <x v="1"/>
    <x v="0"/>
    <s v="10+ Years"/>
    <s v="High"/>
    <s v="Better"/>
  </r>
  <r>
    <x v="39"/>
    <s v="No"/>
    <s v="Travel_Rarely"/>
    <n v="994"/>
    <x v="1"/>
    <n v="7"/>
    <n v="4"/>
    <s v="Life Sciences"/>
    <n v="1"/>
    <n v="1118"/>
    <n v="2"/>
    <x v="1"/>
    <n v="87"/>
    <n v="3"/>
    <n v="3"/>
    <x v="4"/>
    <n v="2"/>
    <s v="Single"/>
    <n v="10445"/>
    <n v="15322"/>
    <n v="7"/>
    <s v="Y"/>
    <x v="1"/>
    <n v="19"/>
    <n v="3"/>
    <n v="4"/>
    <n v="80"/>
    <n v="0"/>
    <n v="18"/>
    <n v="4"/>
    <n v="3"/>
    <n v="8"/>
    <n v="6"/>
    <n v="4"/>
    <n v="0"/>
    <x v="1"/>
    <n v="1"/>
    <x v="1"/>
    <x v="2"/>
    <s v="6-10 Years"/>
    <s v="Medium"/>
    <s v="Better"/>
  </r>
  <r>
    <x v="8"/>
    <s v="No"/>
    <s v="Travel_Rarely"/>
    <n v="770"/>
    <x v="0"/>
    <n v="10"/>
    <n v="4"/>
    <s v="Marketing"/>
    <n v="1"/>
    <n v="1119"/>
    <n v="3"/>
    <x v="1"/>
    <n v="73"/>
    <n v="2"/>
    <n v="3"/>
    <x v="0"/>
    <n v="3"/>
    <s v="Divorced"/>
    <n v="8740"/>
    <n v="5569"/>
    <n v="0"/>
    <s v="Y"/>
    <x v="0"/>
    <n v="14"/>
    <n v="3"/>
    <n v="2"/>
    <n v="80"/>
    <n v="2"/>
    <n v="9"/>
    <n v="2"/>
    <n v="3"/>
    <n v="8"/>
    <n v="7"/>
    <n v="2"/>
    <n v="7"/>
    <x v="1"/>
    <n v="1"/>
    <x v="0"/>
    <x v="2"/>
    <s v="6-10 Years"/>
    <s v="High"/>
    <s v="Better"/>
  </r>
  <r>
    <x v="11"/>
    <s v="No"/>
    <s v="Travel_Rarely"/>
    <n v="1107"/>
    <x v="1"/>
    <n v="28"/>
    <n v="4"/>
    <s v="Life Sciences"/>
    <n v="1"/>
    <n v="1120"/>
    <n v="3"/>
    <x v="0"/>
    <n v="93"/>
    <n v="3"/>
    <n v="1"/>
    <x v="1"/>
    <n v="4"/>
    <s v="Divorced"/>
    <n v="2514"/>
    <n v="26968"/>
    <n v="4"/>
    <s v="Y"/>
    <x v="1"/>
    <n v="22"/>
    <n v="4"/>
    <n v="1"/>
    <n v="80"/>
    <n v="1"/>
    <n v="11"/>
    <n v="1"/>
    <n v="3"/>
    <n v="7"/>
    <n v="5"/>
    <n v="1"/>
    <n v="7"/>
    <x v="1"/>
    <n v="1"/>
    <x v="2"/>
    <x v="1"/>
    <s v="6-10 Years"/>
    <s v="Very High"/>
    <s v="Better"/>
  </r>
  <r>
    <x v="14"/>
    <s v="No"/>
    <s v="Travel_Rarely"/>
    <n v="950"/>
    <x v="1"/>
    <n v="3"/>
    <n v="3"/>
    <s v="Medical"/>
    <n v="1"/>
    <n v="1121"/>
    <n v="4"/>
    <x v="0"/>
    <n v="93"/>
    <n v="3"/>
    <n v="3"/>
    <x v="3"/>
    <n v="2"/>
    <s v="Divorced"/>
    <n v="7655"/>
    <n v="8039"/>
    <n v="0"/>
    <s v="Y"/>
    <x v="1"/>
    <n v="17"/>
    <n v="3"/>
    <n v="2"/>
    <n v="80"/>
    <n v="3"/>
    <n v="10"/>
    <n v="3"/>
    <n v="2"/>
    <n v="9"/>
    <n v="7"/>
    <n v="1"/>
    <n v="7"/>
    <x v="1"/>
    <n v="1"/>
    <x v="2"/>
    <x v="2"/>
    <s v="6-10 Years"/>
    <s v="Medium"/>
    <s v="Good"/>
  </r>
  <r>
    <x v="21"/>
    <s v="No"/>
    <s v="Travel_Rarely"/>
    <n v="406"/>
    <x v="0"/>
    <n v="3"/>
    <n v="1"/>
    <s v="Marketing"/>
    <n v="1"/>
    <n v="1124"/>
    <n v="1"/>
    <x v="1"/>
    <n v="52"/>
    <n v="3"/>
    <n v="4"/>
    <x v="5"/>
    <n v="3"/>
    <s v="Married"/>
    <n v="17465"/>
    <n v="15596"/>
    <n v="3"/>
    <s v="Y"/>
    <x v="1"/>
    <n v="12"/>
    <n v="3"/>
    <n v="4"/>
    <n v="80"/>
    <n v="1"/>
    <n v="23"/>
    <n v="3"/>
    <n v="3"/>
    <n v="12"/>
    <n v="9"/>
    <n v="4"/>
    <n v="9"/>
    <x v="1"/>
    <n v="1"/>
    <x v="1"/>
    <x v="2"/>
    <s v="10+ Years"/>
    <s v="High"/>
    <s v="Better"/>
  </r>
  <r>
    <x v="8"/>
    <s v="No"/>
    <s v="Travel_Rarely"/>
    <n v="130"/>
    <x v="0"/>
    <n v="2"/>
    <n v="2"/>
    <s v="Marketing"/>
    <n v="1"/>
    <n v="1125"/>
    <n v="4"/>
    <x v="1"/>
    <n v="32"/>
    <n v="3"/>
    <n v="3"/>
    <x v="0"/>
    <n v="2"/>
    <s v="Single"/>
    <n v="7351"/>
    <n v="20619"/>
    <n v="7"/>
    <s v="Y"/>
    <x v="1"/>
    <n v="16"/>
    <n v="3"/>
    <n v="3"/>
    <n v="80"/>
    <n v="0"/>
    <n v="10"/>
    <n v="2"/>
    <n v="3"/>
    <n v="1"/>
    <n v="0"/>
    <n v="0"/>
    <n v="0"/>
    <x v="1"/>
    <n v="1"/>
    <x v="0"/>
    <x v="2"/>
    <s v="0-1 Years"/>
    <s v="Medium"/>
    <s v="Better"/>
  </r>
  <r>
    <x v="23"/>
    <s v="No"/>
    <s v="Travel_Frequently"/>
    <n v="1082"/>
    <x v="1"/>
    <n v="27"/>
    <n v="3"/>
    <s v="Life Sciences"/>
    <n v="1"/>
    <n v="1126"/>
    <n v="3"/>
    <x v="0"/>
    <n v="83"/>
    <n v="3"/>
    <n v="3"/>
    <x v="3"/>
    <n v="1"/>
    <s v="Married"/>
    <n v="10820"/>
    <n v="11535"/>
    <n v="8"/>
    <s v="Y"/>
    <x v="1"/>
    <n v="11"/>
    <n v="3"/>
    <n v="3"/>
    <n v="80"/>
    <n v="1"/>
    <n v="18"/>
    <n v="1"/>
    <n v="3"/>
    <n v="8"/>
    <n v="7"/>
    <n v="0"/>
    <n v="1"/>
    <x v="1"/>
    <n v="1"/>
    <x v="0"/>
    <x v="2"/>
    <s v="6-10 Years"/>
    <s v="Low"/>
    <s v="Better"/>
  </r>
  <r>
    <x v="22"/>
    <s v="Yes"/>
    <s v="Travel_Frequently"/>
    <n v="203"/>
    <x v="1"/>
    <n v="2"/>
    <n v="3"/>
    <s v="Life Sciences"/>
    <n v="1"/>
    <n v="1127"/>
    <n v="1"/>
    <x v="1"/>
    <n v="84"/>
    <n v="3"/>
    <n v="4"/>
    <x v="4"/>
    <n v="4"/>
    <s v="Divorced"/>
    <n v="12169"/>
    <n v="13547"/>
    <n v="7"/>
    <s v="Y"/>
    <x v="1"/>
    <n v="11"/>
    <n v="3"/>
    <n v="4"/>
    <n v="80"/>
    <n v="3"/>
    <n v="21"/>
    <n v="4"/>
    <n v="3"/>
    <n v="18"/>
    <n v="7"/>
    <n v="11"/>
    <n v="5"/>
    <x v="0"/>
    <n v="0"/>
    <x v="0"/>
    <x v="2"/>
    <s v="10+ Years"/>
    <s v="Very High"/>
    <s v="Better"/>
  </r>
  <r>
    <x v="32"/>
    <s v="No"/>
    <s v="Travel_Rarely"/>
    <n v="1308"/>
    <x v="1"/>
    <n v="14"/>
    <n v="3"/>
    <s v="Medical"/>
    <n v="1"/>
    <n v="1128"/>
    <n v="3"/>
    <x v="1"/>
    <n v="44"/>
    <n v="2"/>
    <n v="5"/>
    <x v="7"/>
    <n v="3"/>
    <s v="Single"/>
    <n v="19626"/>
    <n v="17544"/>
    <n v="1"/>
    <s v="Y"/>
    <x v="1"/>
    <n v="14"/>
    <n v="3"/>
    <n v="1"/>
    <n v="80"/>
    <n v="0"/>
    <n v="21"/>
    <n v="2"/>
    <n v="4"/>
    <n v="20"/>
    <n v="7"/>
    <n v="4"/>
    <n v="9"/>
    <x v="1"/>
    <n v="1"/>
    <x v="0"/>
    <x v="2"/>
    <s v="10+ Years"/>
    <s v="High"/>
    <s v="Best"/>
  </r>
  <r>
    <x v="18"/>
    <s v="No"/>
    <s v="Travel_Rarely"/>
    <n v="984"/>
    <x v="1"/>
    <n v="1"/>
    <n v="1"/>
    <s v="Technical Degree"/>
    <n v="1"/>
    <n v="1131"/>
    <n v="4"/>
    <x v="0"/>
    <n v="70"/>
    <n v="2"/>
    <n v="1"/>
    <x v="1"/>
    <n v="2"/>
    <s v="Single"/>
    <n v="2070"/>
    <n v="25326"/>
    <n v="1"/>
    <s v="Y"/>
    <x v="0"/>
    <n v="11"/>
    <n v="3"/>
    <n v="3"/>
    <n v="80"/>
    <n v="0"/>
    <n v="2"/>
    <n v="6"/>
    <n v="4"/>
    <n v="2"/>
    <n v="2"/>
    <n v="2"/>
    <n v="2"/>
    <x v="1"/>
    <n v="1"/>
    <x v="4"/>
    <x v="1"/>
    <s v="2-5 Years"/>
    <s v="Medium"/>
    <s v="Best"/>
  </r>
  <r>
    <x v="22"/>
    <s v="No"/>
    <s v="Non-Travel"/>
    <n v="439"/>
    <x v="1"/>
    <n v="9"/>
    <n v="3"/>
    <s v="Life Sciences"/>
    <n v="1"/>
    <n v="1132"/>
    <n v="3"/>
    <x v="1"/>
    <n v="70"/>
    <n v="3"/>
    <n v="2"/>
    <x v="2"/>
    <n v="2"/>
    <s v="Single"/>
    <n v="6782"/>
    <n v="8770"/>
    <n v="9"/>
    <s v="Y"/>
    <x v="1"/>
    <n v="15"/>
    <n v="3"/>
    <n v="3"/>
    <n v="80"/>
    <n v="0"/>
    <n v="9"/>
    <n v="2"/>
    <n v="2"/>
    <n v="5"/>
    <n v="4"/>
    <n v="0"/>
    <n v="3"/>
    <x v="1"/>
    <n v="1"/>
    <x v="0"/>
    <x v="0"/>
    <s v="2-5 Years"/>
    <s v="Medium"/>
    <s v="Good"/>
  </r>
  <r>
    <x v="9"/>
    <s v="No"/>
    <s v="Non-Travel"/>
    <n v="217"/>
    <x v="1"/>
    <n v="18"/>
    <n v="4"/>
    <s v="Life Sciences"/>
    <n v="1"/>
    <n v="1133"/>
    <n v="1"/>
    <x v="1"/>
    <n v="78"/>
    <n v="3"/>
    <n v="2"/>
    <x v="3"/>
    <n v="4"/>
    <s v="Single"/>
    <n v="7779"/>
    <n v="23238"/>
    <n v="2"/>
    <s v="Y"/>
    <x v="1"/>
    <n v="20"/>
    <n v="4"/>
    <n v="1"/>
    <n v="80"/>
    <n v="0"/>
    <n v="18"/>
    <n v="0"/>
    <n v="3"/>
    <n v="11"/>
    <n v="9"/>
    <n v="0"/>
    <n v="9"/>
    <x v="1"/>
    <n v="1"/>
    <x v="0"/>
    <x v="2"/>
    <s v="10+ Years"/>
    <s v="Very High"/>
    <s v="Better"/>
  </r>
  <r>
    <x v="12"/>
    <s v="No"/>
    <s v="Travel_Frequently"/>
    <n v="793"/>
    <x v="0"/>
    <n v="20"/>
    <n v="3"/>
    <s v="Life Sciences"/>
    <n v="1"/>
    <n v="1135"/>
    <n v="3"/>
    <x v="1"/>
    <n v="67"/>
    <n v="4"/>
    <n v="1"/>
    <x v="6"/>
    <n v="4"/>
    <s v="Married"/>
    <n v="2791"/>
    <n v="21981"/>
    <n v="0"/>
    <s v="Y"/>
    <x v="1"/>
    <n v="12"/>
    <n v="3"/>
    <n v="1"/>
    <n v="80"/>
    <n v="1"/>
    <n v="3"/>
    <n v="4"/>
    <n v="3"/>
    <n v="2"/>
    <n v="2"/>
    <n v="2"/>
    <n v="2"/>
    <x v="1"/>
    <n v="1"/>
    <x v="2"/>
    <x v="1"/>
    <s v="2-5 Years"/>
    <s v="Very High"/>
    <s v="Better"/>
  </r>
  <r>
    <x v="14"/>
    <s v="No"/>
    <s v="Travel_Rarely"/>
    <n v="1451"/>
    <x v="1"/>
    <n v="2"/>
    <n v="1"/>
    <s v="Life Sciences"/>
    <n v="1"/>
    <n v="1136"/>
    <n v="1"/>
    <x v="1"/>
    <n v="67"/>
    <n v="2"/>
    <n v="1"/>
    <x v="1"/>
    <n v="2"/>
    <s v="Married"/>
    <n v="3201"/>
    <n v="19911"/>
    <n v="0"/>
    <s v="Y"/>
    <x v="1"/>
    <n v="17"/>
    <n v="3"/>
    <n v="1"/>
    <n v="80"/>
    <n v="0"/>
    <n v="6"/>
    <n v="2"/>
    <n v="1"/>
    <n v="5"/>
    <n v="3"/>
    <n v="0"/>
    <n v="4"/>
    <x v="1"/>
    <n v="1"/>
    <x v="2"/>
    <x v="0"/>
    <s v="2-5 Years"/>
    <s v="Medium"/>
    <s v="Bad"/>
  </r>
  <r>
    <x v="10"/>
    <s v="No"/>
    <s v="Travel_Frequently"/>
    <n v="1182"/>
    <x v="0"/>
    <n v="11"/>
    <n v="2"/>
    <s v="Marketing"/>
    <n v="1"/>
    <n v="1137"/>
    <n v="4"/>
    <x v="1"/>
    <n v="54"/>
    <n v="3"/>
    <n v="2"/>
    <x v="0"/>
    <n v="4"/>
    <s v="Divorced"/>
    <n v="4968"/>
    <n v="18500"/>
    <n v="1"/>
    <s v="Y"/>
    <x v="1"/>
    <n v="11"/>
    <n v="3"/>
    <n v="4"/>
    <n v="80"/>
    <n v="1"/>
    <n v="5"/>
    <n v="3"/>
    <n v="3"/>
    <n v="5"/>
    <n v="2"/>
    <n v="0"/>
    <n v="2"/>
    <x v="1"/>
    <n v="1"/>
    <x v="0"/>
    <x v="0"/>
    <s v="2-5 Years"/>
    <s v="Very High"/>
    <s v="Better"/>
  </r>
  <r>
    <x v="1"/>
    <s v="No"/>
    <s v="Travel_Rarely"/>
    <n v="174"/>
    <x v="0"/>
    <n v="8"/>
    <n v="4"/>
    <s v="Technical Degree"/>
    <n v="1"/>
    <n v="1138"/>
    <n v="4"/>
    <x v="1"/>
    <n v="56"/>
    <n v="2"/>
    <n v="4"/>
    <x v="0"/>
    <n v="2"/>
    <s v="Married"/>
    <n v="13120"/>
    <n v="11879"/>
    <n v="6"/>
    <s v="Y"/>
    <x v="1"/>
    <n v="17"/>
    <n v="3"/>
    <n v="2"/>
    <n v="80"/>
    <n v="1"/>
    <n v="22"/>
    <n v="3"/>
    <n v="3"/>
    <n v="9"/>
    <n v="8"/>
    <n v="2"/>
    <n v="3"/>
    <x v="1"/>
    <n v="1"/>
    <x v="1"/>
    <x v="2"/>
    <s v="6-10 Years"/>
    <s v="Medium"/>
    <s v="Better"/>
  </r>
  <r>
    <x v="13"/>
    <s v="No"/>
    <s v="Travel_Frequently"/>
    <n v="1003"/>
    <x v="1"/>
    <n v="2"/>
    <n v="2"/>
    <s v="Life Sciences"/>
    <n v="1"/>
    <n v="1140"/>
    <n v="4"/>
    <x v="1"/>
    <n v="95"/>
    <n v="3"/>
    <n v="2"/>
    <x v="3"/>
    <n v="3"/>
    <s v="Single"/>
    <n v="4033"/>
    <n v="15834"/>
    <n v="2"/>
    <s v="Y"/>
    <x v="1"/>
    <n v="11"/>
    <n v="3"/>
    <n v="4"/>
    <n v="80"/>
    <n v="0"/>
    <n v="5"/>
    <n v="3"/>
    <n v="2"/>
    <n v="3"/>
    <n v="2"/>
    <n v="0"/>
    <n v="2"/>
    <x v="1"/>
    <n v="1"/>
    <x v="2"/>
    <x v="0"/>
    <s v="2-5 Years"/>
    <s v="High"/>
    <s v="Good"/>
  </r>
  <r>
    <x v="11"/>
    <s v="No"/>
    <s v="Travel_Frequently"/>
    <n v="490"/>
    <x v="1"/>
    <n v="10"/>
    <n v="3"/>
    <s v="Life Sciences"/>
    <n v="1"/>
    <n v="1143"/>
    <n v="4"/>
    <x v="0"/>
    <n v="61"/>
    <n v="3"/>
    <n v="1"/>
    <x v="1"/>
    <n v="2"/>
    <s v="Divorced"/>
    <n v="3291"/>
    <n v="17940"/>
    <n v="0"/>
    <s v="Y"/>
    <x v="1"/>
    <n v="14"/>
    <n v="3"/>
    <n v="4"/>
    <n v="80"/>
    <n v="2"/>
    <n v="8"/>
    <n v="2"/>
    <n v="2"/>
    <n v="7"/>
    <n v="5"/>
    <n v="1"/>
    <n v="1"/>
    <x v="1"/>
    <n v="1"/>
    <x v="2"/>
    <x v="0"/>
    <s v="6-10 Years"/>
    <s v="Medium"/>
    <s v="Good"/>
  </r>
  <r>
    <x v="19"/>
    <s v="No"/>
    <s v="Travel_Rarely"/>
    <n v="188"/>
    <x v="1"/>
    <n v="29"/>
    <n v="3"/>
    <s v="Medical"/>
    <n v="1"/>
    <n v="1148"/>
    <n v="2"/>
    <x v="1"/>
    <n v="56"/>
    <n v="1"/>
    <n v="2"/>
    <x v="2"/>
    <n v="4"/>
    <s v="Single"/>
    <n v="4272"/>
    <n v="9558"/>
    <n v="4"/>
    <s v="Y"/>
    <x v="1"/>
    <n v="19"/>
    <n v="3"/>
    <n v="1"/>
    <n v="80"/>
    <n v="0"/>
    <n v="16"/>
    <n v="3"/>
    <n v="3"/>
    <n v="1"/>
    <n v="0"/>
    <n v="0"/>
    <n v="0"/>
    <x v="1"/>
    <n v="1"/>
    <x v="0"/>
    <x v="0"/>
    <s v="0-1 Years"/>
    <s v="Very High"/>
    <s v="Better"/>
  </r>
  <r>
    <x v="11"/>
    <s v="No"/>
    <s v="Travel_Rarely"/>
    <n v="718"/>
    <x v="1"/>
    <n v="8"/>
    <n v="1"/>
    <s v="Medical"/>
    <n v="1"/>
    <n v="1150"/>
    <n v="2"/>
    <x v="1"/>
    <n v="79"/>
    <n v="2"/>
    <n v="2"/>
    <x v="3"/>
    <n v="4"/>
    <s v="Married"/>
    <n v="5056"/>
    <n v="17689"/>
    <n v="1"/>
    <s v="Y"/>
    <x v="0"/>
    <n v="15"/>
    <n v="3"/>
    <n v="3"/>
    <n v="80"/>
    <n v="1"/>
    <n v="10"/>
    <n v="2"/>
    <n v="2"/>
    <n v="10"/>
    <n v="7"/>
    <n v="1"/>
    <n v="2"/>
    <x v="1"/>
    <n v="1"/>
    <x v="2"/>
    <x v="0"/>
    <s v="6-10 Years"/>
    <s v="Very High"/>
    <s v="Good"/>
  </r>
  <r>
    <x v="8"/>
    <s v="No"/>
    <s v="Travel_Rarely"/>
    <n v="433"/>
    <x v="2"/>
    <n v="1"/>
    <n v="3"/>
    <s v="Human Resources"/>
    <n v="1"/>
    <n v="1152"/>
    <n v="3"/>
    <x v="1"/>
    <n v="37"/>
    <n v="4"/>
    <n v="1"/>
    <x v="8"/>
    <n v="3"/>
    <s v="Married"/>
    <n v="2844"/>
    <n v="6004"/>
    <n v="1"/>
    <s v="Y"/>
    <x v="1"/>
    <n v="13"/>
    <n v="3"/>
    <n v="4"/>
    <n v="80"/>
    <n v="1"/>
    <n v="7"/>
    <n v="2"/>
    <n v="4"/>
    <n v="7"/>
    <n v="6"/>
    <n v="5"/>
    <n v="0"/>
    <x v="1"/>
    <n v="1"/>
    <x v="0"/>
    <x v="1"/>
    <s v="6-10 Years"/>
    <s v="High"/>
    <s v="Best"/>
  </r>
  <r>
    <x v="14"/>
    <s v="No"/>
    <s v="Travel_Frequently"/>
    <n v="773"/>
    <x v="1"/>
    <n v="6"/>
    <n v="3"/>
    <s v="Life Sciences"/>
    <n v="1"/>
    <n v="1154"/>
    <n v="3"/>
    <x v="1"/>
    <n v="39"/>
    <n v="2"/>
    <n v="1"/>
    <x v="1"/>
    <n v="3"/>
    <s v="Divorced"/>
    <n v="2703"/>
    <n v="22088"/>
    <n v="1"/>
    <s v="Y"/>
    <x v="0"/>
    <n v="14"/>
    <n v="3"/>
    <n v="4"/>
    <n v="80"/>
    <n v="1"/>
    <n v="3"/>
    <n v="2"/>
    <n v="3"/>
    <n v="3"/>
    <n v="1"/>
    <n v="0"/>
    <n v="2"/>
    <x v="1"/>
    <n v="1"/>
    <x v="2"/>
    <x v="1"/>
    <s v="2-5 Years"/>
    <s v="High"/>
    <s v="Better"/>
  </r>
  <r>
    <x v="41"/>
    <s v="Yes"/>
    <s v="Non-Travel"/>
    <n v="247"/>
    <x v="1"/>
    <n v="8"/>
    <n v="1"/>
    <s v="Medical"/>
    <n v="1"/>
    <n v="1156"/>
    <n v="3"/>
    <x v="1"/>
    <n v="80"/>
    <n v="3"/>
    <n v="1"/>
    <x v="2"/>
    <n v="3"/>
    <s v="Single"/>
    <n v="1904"/>
    <n v="13556"/>
    <n v="1"/>
    <s v="Y"/>
    <x v="1"/>
    <n v="12"/>
    <n v="3"/>
    <n v="4"/>
    <n v="80"/>
    <n v="0"/>
    <n v="0"/>
    <n v="0"/>
    <n v="3"/>
    <n v="0"/>
    <n v="0"/>
    <n v="0"/>
    <n v="0"/>
    <x v="0"/>
    <n v="0"/>
    <x v="4"/>
    <x v="1"/>
    <s v="0-1 Years"/>
    <s v="High"/>
    <s v="Better"/>
  </r>
  <r>
    <x v="3"/>
    <s v="Yes"/>
    <s v="Travel_Rarely"/>
    <n v="603"/>
    <x v="0"/>
    <n v="9"/>
    <n v="4"/>
    <s v="Marketing"/>
    <n v="1"/>
    <n v="1157"/>
    <n v="1"/>
    <x v="0"/>
    <n v="77"/>
    <n v="3"/>
    <n v="2"/>
    <x v="0"/>
    <n v="1"/>
    <s v="Single"/>
    <n v="8224"/>
    <n v="18385"/>
    <n v="0"/>
    <s v="Y"/>
    <x v="0"/>
    <n v="17"/>
    <n v="3"/>
    <n v="1"/>
    <n v="80"/>
    <n v="0"/>
    <n v="6"/>
    <n v="3"/>
    <n v="3"/>
    <n v="5"/>
    <n v="2"/>
    <n v="0"/>
    <n v="3"/>
    <x v="0"/>
    <n v="0"/>
    <x v="2"/>
    <x v="2"/>
    <s v="2-5 Years"/>
    <s v="Low"/>
    <s v="Better"/>
  </r>
  <r>
    <x v="0"/>
    <s v="No"/>
    <s v="Travel_Rarely"/>
    <n v="167"/>
    <x v="1"/>
    <n v="12"/>
    <n v="4"/>
    <s v="Life Sciences"/>
    <n v="1"/>
    <n v="1158"/>
    <n v="2"/>
    <x v="1"/>
    <n v="46"/>
    <n v="3"/>
    <n v="1"/>
    <x v="2"/>
    <n v="4"/>
    <s v="Married"/>
    <n v="4766"/>
    <n v="9051"/>
    <n v="3"/>
    <s v="Y"/>
    <x v="0"/>
    <n v="11"/>
    <n v="3"/>
    <n v="1"/>
    <n v="80"/>
    <n v="1"/>
    <n v="6"/>
    <n v="4"/>
    <n v="3"/>
    <n v="1"/>
    <n v="0"/>
    <n v="0"/>
    <n v="0"/>
    <x v="1"/>
    <n v="1"/>
    <x v="0"/>
    <x v="0"/>
    <s v="0-1 Years"/>
    <s v="Very High"/>
    <s v="Better"/>
  </r>
  <r>
    <x v="12"/>
    <s v="Yes"/>
    <s v="Travel_Frequently"/>
    <n v="874"/>
    <x v="1"/>
    <n v="15"/>
    <n v="3"/>
    <s v="Medical"/>
    <n v="1"/>
    <n v="1160"/>
    <n v="3"/>
    <x v="1"/>
    <n v="72"/>
    <n v="3"/>
    <n v="1"/>
    <x v="2"/>
    <n v="3"/>
    <s v="Married"/>
    <n v="2610"/>
    <n v="6233"/>
    <n v="1"/>
    <s v="Y"/>
    <x v="1"/>
    <n v="12"/>
    <n v="3"/>
    <n v="3"/>
    <n v="80"/>
    <n v="1"/>
    <n v="2"/>
    <n v="5"/>
    <n v="2"/>
    <n v="2"/>
    <n v="2"/>
    <n v="2"/>
    <n v="2"/>
    <x v="0"/>
    <n v="0"/>
    <x v="2"/>
    <x v="1"/>
    <s v="2-5 Years"/>
    <s v="High"/>
    <s v="Good"/>
  </r>
  <r>
    <x v="2"/>
    <s v="No"/>
    <s v="Travel_Rarely"/>
    <n v="367"/>
    <x v="1"/>
    <n v="25"/>
    <n v="2"/>
    <s v="Medical"/>
    <n v="1"/>
    <n v="1161"/>
    <n v="3"/>
    <x v="0"/>
    <n v="52"/>
    <n v="2"/>
    <n v="2"/>
    <x v="4"/>
    <n v="4"/>
    <s v="Divorced"/>
    <n v="5731"/>
    <n v="17171"/>
    <n v="7"/>
    <s v="Y"/>
    <x v="1"/>
    <n v="13"/>
    <n v="3"/>
    <n v="3"/>
    <n v="80"/>
    <n v="2"/>
    <n v="9"/>
    <n v="2"/>
    <n v="3"/>
    <n v="6"/>
    <n v="2"/>
    <n v="1"/>
    <n v="3"/>
    <x v="1"/>
    <n v="1"/>
    <x v="0"/>
    <x v="0"/>
    <s v="6-10 Years"/>
    <s v="Very High"/>
    <s v="Better"/>
  </r>
  <r>
    <x v="4"/>
    <s v="No"/>
    <s v="Travel_Rarely"/>
    <n v="199"/>
    <x v="1"/>
    <n v="6"/>
    <n v="3"/>
    <s v="Life Sciences"/>
    <n v="1"/>
    <n v="1162"/>
    <n v="4"/>
    <x v="1"/>
    <n v="55"/>
    <n v="2"/>
    <n v="1"/>
    <x v="1"/>
    <n v="3"/>
    <s v="Married"/>
    <n v="2539"/>
    <n v="7950"/>
    <n v="1"/>
    <s v="Y"/>
    <x v="1"/>
    <n v="13"/>
    <n v="3"/>
    <n v="3"/>
    <n v="80"/>
    <n v="1"/>
    <n v="4"/>
    <n v="0"/>
    <n v="3"/>
    <n v="4"/>
    <n v="2"/>
    <n v="2"/>
    <n v="2"/>
    <x v="1"/>
    <n v="1"/>
    <x v="2"/>
    <x v="1"/>
    <s v="2-5 Years"/>
    <s v="High"/>
    <s v="Better"/>
  </r>
  <r>
    <x v="13"/>
    <s v="No"/>
    <s v="Travel_Rarely"/>
    <n v="1400"/>
    <x v="0"/>
    <n v="9"/>
    <n v="1"/>
    <s v="Life Sciences"/>
    <n v="1"/>
    <n v="1163"/>
    <n v="2"/>
    <x v="0"/>
    <n v="70"/>
    <n v="3"/>
    <n v="2"/>
    <x v="0"/>
    <n v="3"/>
    <s v="Married"/>
    <n v="5714"/>
    <n v="5829"/>
    <n v="1"/>
    <s v="Y"/>
    <x v="1"/>
    <n v="20"/>
    <n v="4"/>
    <n v="1"/>
    <n v="80"/>
    <n v="0"/>
    <n v="6"/>
    <n v="3"/>
    <n v="2"/>
    <n v="6"/>
    <n v="5"/>
    <n v="1"/>
    <n v="3"/>
    <x v="1"/>
    <n v="1"/>
    <x v="2"/>
    <x v="0"/>
    <s v="6-10 Years"/>
    <s v="High"/>
    <s v="Good"/>
  </r>
  <r>
    <x v="10"/>
    <s v="No"/>
    <s v="Travel_Rarely"/>
    <n v="528"/>
    <x v="2"/>
    <n v="8"/>
    <n v="4"/>
    <s v="Technical Degree"/>
    <n v="1"/>
    <n v="1164"/>
    <n v="3"/>
    <x v="1"/>
    <n v="100"/>
    <n v="3"/>
    <n v="1"/>
    <x v="8"/>
    <n v="3"/>
    <s v="Single"/>
    <n v="4323"/>
    <n v="7108"/>
    <n v="1"/>
    <s v="Y"/>
    <x v="1"/>
    <n v="17"/>
    <n v="3"/>
    <n v="2"/>
    <n v="80"/>
    <n v="0"/>
    <n v="6"/>
    <n v="2"/>
    <n v="1"/>
    <n v="5"/>
    <n v="4"/>
    <n v="1"/>
    <n v="4"/>
    <x v="1"/>
    <n v="1"/>
    <x v="0"/>
    <x v="0"/>
    <s v="2-5 Years"/>
    <s v="High"/>
    <s v="Bad"/>
  </r>
  <r>
    <x v="11"/>
    <s v="Yes"/>
    <s v="Travel_Rarely"/>
    <n v="408"/>
    <x v="0"/>
    <n v="23"/>
    <n v="1"/>
    <s v="Life Sciences"/>
    <n v="1"/>
    <n v="1165"/>
    <n v="4"/>
    <x v="0"/>
    <n v="45"/>
    <n v="2"/>
    <n v="3"/>
    <x v="0"/>
    <n v="1"/>
    <s v="Married"/>
    <n v="7336"/>
    <n v="11162"/>
    <n v="1"/>
    <s v="Y"/>
    <x v="1"/>
    <n v="13"/>
    <n v="3"/>
    <n v="1"/>
    <n v="80"/>
    <n v="1"/>
    <n v="11"/>
    <n v="3"/>
    <n v="1"/>
    <n v="11"/>
    <n v="8"/>
    <n v="3"/>
    <n v="10"/>
    <x v="0"/>
    <n v="0"/>
    <x v="2"/>
    <x v="2"/>
    <s v="10+ Years"/>
    <s v="Low"/>
    <s v="Bad"/>
  </r>
  <r>
    <x v="32"/>
    <s v="No"/>
    <s v="Travel_Frequently"/>
    <n v="593"/>
    <x v="1"/>
    <n v="9"/>
    <n v="4"/>
    <s v="Medical"/>
    <n v="1"/>
    <n v="1166"/>
    <n v="2"/>
    <x v="0"/>
    <n v="88"/>
    <n v="3"/>
    <n v="3"/>
    <x v="7"/>
    <n v="3"/>
    <s v="Single"/>
    <n v="13499"/>
    <n v="13782"/>
    <n v="9"/>
    <s v="Y"/>
    <x v="1"/>
    <n v="17"/>
    <n v="3"/>
    <n v="3"/>
    <n v="80"/>
    <n v="0"/>
    <n v="20"/>
    <n v="3"/>
    <n v="2"/>
    <n v="18"/>
    <n v="7"/>
    <n v="2"/>
    <n v="13"/>
    <x v="1"/>
    <n v="1"/>
    <x v="0"/>
    <x v="2"/>
    <s v="10+ Years"/>
    <s v="High"/>
    <s v="Good"/>
  </r>
  <r>
    <x v="19"/>
    <s v="Yes"/>
    <s v="Travel_Frequently"/>
    <n v="481"/>
    <x v="0"/>
    <n v="12"/>
    <n v="3"/>
    <s v="Life Sciences"/>
    <n v="1"/>
    <n v="1167"/>
    <n v="3"/>
    <x v="1"/>
    <n v="44"/>
    <n v="3"/>
    <n v="4"/>
    <x v="0"/>
    <n v="1"/>
    <s v="Single"/>
    <n v="13758"/>
    <n v="2447"/>
    <n v="0"/>
    <s v="Y"/>
    <x v="0"/>
    <n v="12"/>
    <n v="3"/>
    <n v="2"/>
    <n v="80"/>
    <n v="0"/>
    <n v="22"/>
    <n v="2"/>
    <n v="2"/>
    <n v="21"/>
    <n v="9"/>
    <n v="13"/>
    <n v="14"/>
    <x v="0"/>
    <n v="0"/>
    <x v="0"/>
    <x v="2"/>
    <s v="10+ Years"/>
    <s v="Low"/>
    <s v="Good"/>
  </r>
  <r>
    <x v="19"/>
    <s v="No"/>
    <s v="Travel_Rarely"/>
    <n v="647"/>
    <x v="0"/>
    <n v="4"/>
    <n v="4"/>
    <s v="Marketing"/>
    <n v="1"/>
    <n v="1171"/>
    <n v="2"/>
    <x v="1"/>
    <n v="45"/>
    <n v="3"/>
    <n v="2"/>
    <x v="0"/>
    <n v="1"/>
    <s v="Single"/>
    <n v="5155"/>
    <n v="2253"/>
    <n v="7"/>
    <s v="Y"/>
    <x v="1"/>
    <n v="13"/>
    <n v="3"/>
    <n v="4"/>
    <n v="80"/>
    <n v="0"/>
    <n v="9"/>
    <n v="3"/>
    <n v="4"/>
    <n v="6"/>
    <n v="4"/>
    <n v="1"/>
    <n v="5"/>
    <x v="1"/>
    <n v="1"/>
    <x v="0"/>
    <x v="0"/>
    <s v="6-10 Years"/>
    <s v="Low"/>
    <s v="Best"/>
  </r>
  <r>
    <x v="10"/>
    <s v="No"/>
    <s v="Travel_Rarely"/>
    <n v="982"/>
    <x v="1"/>
    <n v="1"/>
    <n v="4"/>
    <s v="Medical"/>
    <n v="1"/>
    <n v="1172"/>
    <n v="4"/>
    <x v="1"/>
    <n v="58"/>
    <n v="2"/>
    <n v="1"/>
    <x v="2"/>
    <n v="3"/>
    <s v="Married"/>
    <n v="2258"/>
    <n v="16340"/>
    <n v="6"/>
    <s v="Y"/>
    <x v="1"/>
    <n v="12"/>
    <n v="3"/>
    <n v="2"/>
    <n v="80"/>
    <n v="1"/>
    <n v="10"/>
    <n v="2"/>
    <n v="3"/>
    <n v="8"/>
    <n v="0"/>
    <n v="1"/>
    <n v="7"/>
    <x v="1"/>
    <n v="1"/>
    <x v="0"/>
    <x v="1"/>
    <s v="6-10 Years"/>
    <s v="High"/>
    <s v="Better"/>
  </r>
  <r>
    <x v="17"/>
    <s v="No"/>
    <s v="Travel_Rarely"/>
    <n v="477"/>
    <x v="1"/>
    <n v="24"/>
    <n v="3"/>
    <s v="Medical"/>
    <n v="1"/>
    <n v="1173"/>
    <n v="4"/>
    <x v="1"/>
    <n v="49"/>
    <n v="3"/>
    <n v="1"/>
    <x v="2"/>
    <n v="2"/>
    <s v="Single"/>
    <n v="3597"/>
    <n v="6409"/>
    <n v="8"/>
    <s v="Y"/>
    <x v="1"/>
    <n v="22"/>
    <n v="4"/>
    <n v="4"/>
    <n v="80"/>
    <n v="0"/>
    <n v="6"/>
    <n v="2"/>
    <n v="3"/>
    <n v="4"/>
    <n v="3"/>
    <n v="1"/>
    <n v="2"/>
    <x v="1"/>
    <n v="1"/>
    <x v="4"/>
    <x v="0"/>
    <s v="2-5 Years"/>
    <s v="Medium"/>
    <s v="Better"/>
  </r>
  <r>
    <x v="14"/>
    <s v="Yes"/>
    <s v="Travel_Rarely"/>
    <n v="1485"/>
    <x v="1"/>
    <n v="12"/>
    <n v="1"/>
    <s v="Life Sciences"/>
    <n v="1"/>
    <n v="1175"/>
    <n v="3"/>
    <x v="0"/>
    <n v="79"/>
    <n v="3"/>
    <n v="1"/>
    <x v="2"/>
    <n v="4"/>
    <s v="Married"/>
    <n v="2515"/>
    <n v="22955"/>
    <n v="1"/>
    <s v="Y"/>
    <x v="0"/>
    <n v="11"/>
    <n v="3"/>
    <n v="4"/>
    <n v="80"/>
    <n v="0"/>
    <n v="1"/>
    <n v="4"/>
    <n v="2"/>
    <n v="1"/>
    <n v="1"/>
    <n v="0"/>
    <n v="0"/>
    <x v="0"/>
    <n v="0"/>
    <x v="2"/>
    <x v="1"/>
    <s v="0-1 Years"/>
    <s v="Very High"/>
    <s v="Good"/>
  </r>
  <r>
    <x v="25"/>
    <s v="No"/>
    <s v="Travel_Rarely"/>
    <n v="1384"/>
    <x v="1"/>
    <n v="3"/>
    <n v="4"/>
    <s v="Medical"/>
    <n v="1"/>
    <n v="1177"/>
    <n v="1"/>
    <x v="1"/>
    <n v="82"/>
    <n v="4"/>
    <n v="1"/>
    <x v="2"/>
    <n v="4"/>
    <s v="Married"/>
    <n v="4420"/>
    <n v="13421"/>
    <n v="1"/>
    <s v="Y"/>
    <x v="1"/>
    <n v="22"/>
    <n v="4"/>
    <n v="2"/>
    <n v="80"/>
    <n v="1"/>
    <n v="8"/>
    <n v="2"/>
    <n v="3"/>
    <n v="8"/>
    <n v="7"/>
    <n v="0"/>
    <n v="7"/>
    <x v="1"/>
    <n v="1"/>
    <x v="2"/>
    <x v="0"/>
    <s v="6-10 Years"/>
    <s v="Very High"/>
    <s v="Better"/>
  </r>
  <r>
    <x v="7"/>
    <s v="No"/>
    <s v="Travel_Rarely"/>
    <n v="852"/>
    <x v="0"/>
    <n v="10"/>
    <n v="3"/>
    <s v="Marketing"/>
    <n v="1"/>
    <n v="1179"/>
    <n v="3"/>
    <x v="1"/>
    <n v="72"/>
    <n v="2"/>
    <n v="2"/>
    <x v="0"/>
    <n v="3"/>
    <s v="Married"/>
    <n v="6578"/>
    <n v="2706"/>
    <n v="1"/>
    <s v="Y"/>
    <x v="1"/>
    <n v="18"/>
    <n v="3"/>
    <n v="1"/>
    <n v="80"/>
    <n v="1"/>
    <n v="10"/>
    <n v="3"/>
    <n v="3"/>
    <n v="10"/>
    <n v="3"/>
    <n v="1"/>
    <n v="4"/>
    <x v="1"/>
    <n v="1"/>
    <x v="2"/>
    <x v="0"/>
    <s v="6-10 Years"/>
    <s v="High"/>
    <s v="Better"/>
  </r>
  <r>
    <x v="32"/>
    <s v="No"/>
    <s v="Travel_Frequently"/>
    <n v="902"/>
    <x v="1"/>
    <n v="26"/>
    <n v="2"/>
    <s v="Medical"/>
    <n v="1"/>
    <n v="1180"/>
    <n v="3"/>
    <x v="0"/>
    <n v="92"/>
    <n v="2"/>
    <n v="2"/>
    <x v="1"/>
    <n v="4"/>
    <s v="Married"/>
    <n v="4422"/>
    <n v="21203"/>
    <n v="3"/>
    <s v="Y"/>
    <x v="0"/>
    <n v="13"/>
    <n v="3"/>
    <n v="4"/>
    <n v="80"/>
    <n v="1"/>
    <n v="16"/>
    <n v="3"/>
    <n v="1"/>
    <n v="1"/>
    <n v="1"/>
    <n v="0"/>
    <n v="0"/>
    <x v="1"/>
    <n v="1"/>
    <x v="0"/>
    <x v="0"/>
    <s v="0-1 Years"/>
    <s v="Very High"/>
    <s v="Bad"/>
  </r>
  <r>
    <x v="10"/>
    <s v="No"/>
    <s v="Travel_Rarely"/>
    <n v="819"/>
    <x v="1"/>
    <n v="2"/>
    <n v="3"/>
    <s v="Life Sciences"/>
    <n v="1"/>
    <n v="1182"/>
    <n v="3"/>
    <x v="1"/>
    <n v="44"/>
    <n v="2"/>
    <n v="3"/>
    <x v="3"/>
    <n v="2"/>
    <s v="Divorced"/>
    <n v="10274"/>
    <n v="19588"/>
    <n v="2"/>
    <s v="Y"/>
    <x v="1"/>
    <n v="18"/>
    <n v="3"/>
    <n v="2"/>
    <n v="80"/>
    <n v="1"/>
    <n v="15"/>
    <n v="2"/>
    <n v="4"/>
    <n v="7"/>
    <n v="7"/>
    <n v="6"/>
    <n v="4"/>
    <x v="1"/>
    <n v="1"/>
    <x v="0"/>
    <x v="2"/>
    <s v="6-10 Years"/>
    <s v="Medium"/>
    <s v="Best"/>
  </r>
  <r>
    <x v="13"/>
    <s v="No"/>
    <s v="Travel_Frequently"/>
    <n v="669"/>
    <x v="1"/>
    <n v="1"/>
    <n v="3"/>
    <s v="Medical"/>
    <n v="1"/>
    <n v="1184"/>
    <n v="4"/>
    <x v="1"/>
    <n v="97"/>
    <n v="2"/>
    <n v="2"/>
    <x v="4"/>
    <n v="1"/>
    <s v="Single"/>
    <n v="5343"/>
    <n v="25755"/>
    <n v="0"/>
    <s v="Y"/>
    <x v="1"/>
    <n v="20"/>
    <n v="4"/>
    <n v="3"/>
    <n v="80"/>
    <n v="0"/>
    <n v="14"/>
    <n v="3"/>
    <n v="3"/>
    <n v="13"/>
    <n v="9"/>
    <n v="4"/>
    <n v="9"/>
    <x v="1"/>
    <n v="1"/>
    <x v="2"/>
    <x v="0"/>
    <s v="10+ Years"/>
    <s v="Low"/>
    <s v="Better"/>
  </r>
  <r>
    <x v="10"/>
    <s v="No"/>
    <s v="Travel_Frequently"/>
    <n v="636"/>
    <x v="1"/>
    <n v="4"/>
    <n v="4"/>
    <s v="Other"/>
    <n v="1"/>
    <n v="1185"/>
    <n v="4"/>
    <x v="1"/>
    <n v="47"/>
    <n v="2"/>
    <n v="1"/>
    <x v="2"/>
    <n v="4"/>
    <s v="Married"/>
    <n v="2376"/>
    <n v="26537"/>
    <n v="1"/>
    <s v="Y"/>
    <x v="1"/>
    <n v="13"/>
    <n v="3"/>
    <n v="2"/>
    <n v="80"/>
    <n v="1"/>
    <n v="2"/>
    <n v="2"/>
    <n v="4"/>
    <n v="2"/>
    <n v="2"/>
    <n v="2"/>
    <n v="2"/>
    <x v="1"/>
    <n v="1"/>
    <x v="0"/>
    <x v="1"/>
    <s v="2-5 Years"/>
    <s v="Very High"/>
    <s v="Best"/>
  </r>
  <r>
    <x v="23"/>
    <s v="Yes"/>
    <s v="Travel_Rarely"/>
    <n v="1372"/>
    <x v="0"/>
    <n v="9"/>
    <n v="3"/>
    <s v="Marketing"/>
    <n v="1"/>
    <n v="1188"/>
    <n v="1"/>
    <x v="0"/>
    <n v="85"/>
    <n v="1"/>
    <n v="2"/>
    <x v="0"/>
    <n v="3"/>
    <s v="Single"/>
    <n v="5346"/>
    <n v="9489"/>
    <n v="8"/>
    <s v="Y"/>
    <x v="1"/>
    <n v="13"/>
    <n v="3"/>
    <n v="2"/>
    <n v="80"/>
    <n v="0"/>
    <n v="7"/>
    <n v="2"/>
    <n v="2"/>
    <n v="4"/>
    <n v="3"/>
    <n v="1"/>
    <n v="3"/>
    <x v="0"/>
    <n v="0"/>
    <x v="0"/>
    <x v="0"/>
    <s v="2-5 Years"/>
    <s v="High"/>
    <s v="Good"/>
  </r>
  <r>
    <x v="5"/>
    <s v="No"/>
    <s v="Non-Travel"/>
    <n v="862"/>
    <x v="0"/>
    <n v="2"/>
    <n v="1"/>
    <s v="Life Sciences"/>
    <n v="1"/>
    <n v="1190"/>
    <n v="3"/>
    <x v="0"/>
    <n v="76"/>
    <n v="3"/>
    <n v="1"/>
    <x v="6"/>
    <n v="1"/>
    <s v="Divorced"/>
    <n v="2827"/>
    <n v="14947"/>
    <n v="1"/>
    <s v="Y"/>
    <x v="1"/>
    <n v="12"/>
    <n v="3"/>
    <n v="3"/>
    <n v="80"/>
    <n v="3"/>
    <n v="1"/>
    <n v="3"/>
    <n v="3"/>
    <n v="1"/>
    <n v="0"/>
    <n v="0"/>
    <n v="0"/>
    <x v="1"/>
    <n v="1"/>
    <x v="2"/>
    <x v="1"/>
    <s v="0-1 Years"/>
    <s v="Low"/>
    <s v="Better"/>
  </r>
  <r>
    <x v="29"/>
    <s v="No"/>
    <s v="Travel_Rarely"/>
    <n v="718"/>
    <x v="1"/>
    <n v="4"/>
    <n v="4"/>
    <s v="Technical Degree"/>
    <n v="1"/>
    <n v="1191"/>
    <n v="4"/>
    <x v="0"/>
    <n v="92"/>
    <n v="3"/>
    <n v="5"/>
    <x v="5"/>
    <n v="1"/>
    <s v="Divorced"/>
    <n v="19943"/>
    <n v="18575"/>
    <n v="4"/>
    <s v="Y"/>
    <x v="1"/>
    <n v="13"/>
    <n v="3"/>
    <n v="4"/>
    <n v="80"/>
    <n v="1"/>
    <n v="28"/>
    <n v="2"/>
    <n v="3"/>
    <n v="5"/>
    <n v="2"/>
    <n v="4"/>
    <n v="2"/>
    <x v="1"/>
    <n v="1"/>
    <x v="3"/>
    <x v="2"/>
    <s v="2-5 Years"/>
    <s v="Low"/>
    <s v="Better"/>
  </r>
  <r>
    <x v="11"/>
    <s v="No"/>
    <s v="Travel_Rarely"/>
    <n v="1401"/>
    <x v="1"/>
    <n v="6"/>
    <n v="1"/>
    <s v="Medical"/>
    <n v="1"/>
    <n v="1192"/>
    <n v="2"/>
    <x v="0"/>
    <n v="54"/>
    <n v="3"/>
    <n v="1"/>
    <x v="2"/>
    <n v="4"/>
    <s v="Married"/>
    <n v="3131"/>
    <n v="26342"/>
    <n v="1"/>
    <s v="Y"/>
    <x v="1"/>
    <n v="13"/>
    <n v="3"/>
    <n v="1"/>
    <n v="80"/>
    <n v="1"/>
    <n v="10"/>
    <n v="5"/>
    <n v="3"/>
    <n v="10"/>
    <n v="8"/>
    <n v="0"/>
    <n v="8"/>
    <x v="1"/>
    <n v="1"/>
    <x v="2"/>
    <x v="0"/>
    <s v="6-10 Years"/>
    <s v="Very High"/>
    <s v="Better"/>
  </r>
  <r>
    <x v="37"/>
    <s v="No"/>
    <s v="Travel_Rarely"/>
    <n v="645"/>
    <x v="1"/>
    <n v="9"/>
    <n v="2"/>
    <s v="Life Sciences"/>
    <n v="1"/>
    <n v="1193"/>
    <n v="3"/>
    <x v="1"/>
    <n v="54"/>
    <n v="3"/>
    <n v="1"/>
    <x v="1"/>
    <n v="1"/>
    <s v="Single"/>
    <n v="2552"/>
    <n v="7172"/>
    <n v="1"/>
    <s v="Y"/>
    <x v="1"/>
    <n v="25"/>
    <n v="4"/>
    <n v="3"/>
    <n v="80"/>
    <n v="0"/>
    <n v="1"/>
    <n v="4"/>
    <n v="3"/>
    <n v="1"/>
    <n v="1"/>
    <n v="0"/>
    <n v="0"/>
    <x v="1"/>
    <n v="1"/>
    <x v="4"/>
    <x v="1"/>
    <s v="0-1 Years"/>
    <s v="Low"/>
    <s v="Better"/>
  </r>
  <r>
    <x v="28"/>
    <s v="No"/>
    <s v="Travel_Rarely"/>
    <n v="1457"/>
    <x v="1"/>
    <n v="7"/>
    <n v="3"/>
    <s v="Medical"/>
    <n v="1"/>
    <n v="1195"/>
    <n v="1"/>
    <x v="0"/>
    <n v="83"/>
    <n v="3"/>
    <n v="1"/>
    <x v="1"/>
    <n v="3"/>
    <s v="Married"/>
    <n v="4477"/>
    <n v="20100"/>
    <n v="4"/>
    <s v="Y"/>
    <x v="0"/>
    <n v="19"/>
    <n v="3"/>
    <n v="3"/>
    <n v="80"/>
    <n v="1"/>
    <n v="7"/>
    <n v="2"/>
    <n v="2"/>
    <n v="3"/>
    <n v="2"/>
    <n v="0"/>
    <n v="2"/>
    <x v="1"/>
    <n v="1"/>
    <x v="1"/>
    <x v="0"/>
    <s v="2-5 Years"/>
    <s v="High"/>
    <s v="Good"/>
  </r>
  <r>
    <x v="2"/>
    <s v="No"/>
    <s v="Travel_Rarely"/>
    <n v="977"/>
    <x v="1"/>
    <n v="1"/>
    <n v="3"/>
    <s v="Life Sciences"/>
    <n v="1"/>
    <n v="1196"/>
    <n v="4"/>
    <x v="0"/>
    <n v="56"/>
    <n v="2"/>
    <n v="2"/>
    <x v="3"/>
    <n v="4"/>
    <s v="Married"/>
    <n v="6474"/>
    <n v="9961"/>
    <n v="1"/>
    <s v="Y"/>
    <x v="1"/>
    <n v="13"/>
    <n v="3"/>
    <n v="2"/>
    <n v="80"/>
    <n v="1"/>
    <n v="14"/>
    <n v="2"/>
    <n v="2"/>
    <n v="14"/>
    <n v="8"/>
    <n v="3"/>
    <n v="11"/>
    <x v="1"/>
    <n v="1"/>
    <x v="0"/>
    <x v="0"/>
    <s v="10+ Years"/>
    <s v="Very High"/>
    <s v="Good"/>
  </r>
  <r>
    <x v="35"/>
    <s v="No"/>
    <s v="Travel_Rarely"/>
    <n v="805"/>
    <x v="1"/>
    <n v="3"/>
    <n v="3"/>
    <s v="Life Sciences"/>
    <n v="1"/>
    <n v="1198"/>
    <n v="1"/>
    <x v="1"/>
    <n v="87"/>
    <n v="2"/>
    <n v="1"/>
    <x v="2"/>
    <n v="3"/>
    <s v="Single"/>
    <n v="3033"/>
    <n v="12828"/>
    <n v="1"/>
    <s v="Y"/>
    <x v="1"/>
    <n v="12"/>
    <n v="3"/>
    <n v="1"/>
    <n v="80"/>
    <n v="0"/>
    <n v="2"/>
    <n v="2"/>
    <n v="2"/>
    <n v="2"/>
    <n v="2"/>
    <n v="1"/>
    <n v="2"/>
    <x v="1"/>
    <n v="1"/>
    <x v="4"/>
    <x v="0"/>
    <s v="2-5 Years"/>
    <s v="High"/>
    <s v="Good"/>
  </r>
  <r>
    <x v="20"/>
    <s v="Yes"/>
    <s v="Travel_Rarely"/>
    <n v="1097"/>
    <x v="1"/>
    <n v="10"/>
    <n v="4"/>
    <s v="Life Sciences"/>
    <n v="1"/>
    <n v="1200"/>
    <n v="3"/>
    <x v="1"/>
    <n v="96"/>
    <n v="3"/>
    <n v="1"/>
    <x v="1"/>
    <n v="3"/>
    <s v="Single"/>
    <n v="2936"/>
    <n v="10826"/>
    <n v="1"/>
    <s v="Y"/>
    <x v="0"/>
    <n v="11"/>
    <n v="3"/>
    <n v="3"/>
    <n v="80"/>
    <n v="0"/>
    <n v="6"/>
    <n v="4"/>
    <n v="3"/>
    <n v="6"/>
    <n v="4"/>
    <n v="0"/>
    <n v="2"/>
    <x v="0"/>
    <n v="0"/>
    <x v="0"/>
    <x v="1"/>
    <s v="6-10 Years"/>
    <s v="High"/>
    <s v="Better"/>
  </r>
  <r>
    <x v="16"/>
    <s v="No"/>
    <s v="Travel_Rarely"/>
    <n v="1223"/>
    <x v="1"/>
    <n v="7"/>
    <n v="2"/>
    <s v="Medical"/>
    <n v="1"/>
    <n v="1201"/>
    <n v="4"/>
    <x v="0"/>
    <n v="50"/>
    <n v="3"/>
    <n v="5"/>
    <x v="5"/>
    <n v="3"/>
    <s v="Divorced"/>
    <n v="18606"/>
    <n v="18640"/>
    <n v="3"/>
    <s v="Y"/>
    <x v="1"/>
    <n v="18"/>
    <n v="3"/>
    <n v="2"/>
    <n v="80"/>
    <n v="1"/>
    <n v="26"/>
    <n v="6"/>
    <n v="3"/>
    <n v="7"/>
    <n v="7"/>
    <n v="4"/>
    <n v="7"/>
    <x v="1"/>
    <n v="1"/>
    <x v="1"/>
    <x v="2"/>
    <s v="6-10 Years"/>
    <s v="High"/>
    <s v="Better"/>
  </r>
  <r>
    <x v="11"/>
    <s v="No"/>
    <s v="Travel_Rarely"/>
    <n v="942"/>
    <x v="1"/>
    <n v="15"/>
    <n v="1"/>
    <s v="Life Sciences"/>
    <n v="1"/>
    <n v="1202"/>
    <n v="2"/>
    <x v="0"/>
    <n v="69"/>
    <n v="1"/>
    <n v="1"/>
    <x v="1"/>
    <n v="4"/>
    <s v="Married"/>
    <n v="2168"/>
    <n v="26933"/>
    <n v="0"/>
    <s v="Y"/>
    <x v="0"/>
    <n v="18"/>
    <n v="3"/>
    <n v="1"/>
    <n v="80"/>
    <n v="1"/>
    <n v="6"/>
    <n v="2"/>
    <n v="2"/>
    <n v="5"/>
    <n v="4"/>
    <n v="1"/>
    <n v="3"/>
    <x v="1"/>
    <n v="1"/>
    <x v="2"/>
    <x v="1"/>
    <s v="2-5 Years"/>
    <s v="Very High"/>
    <s v="Good"/>
  </r>
  <r>
    <x v="15"/>
    <s v="Yes"/>
    <s v="Travel_Frequently"/>
    <n v="1256"/>
    <x v="1"/>
    <n v="3"/>
    <n v="4"/>
    <s v="Life Sciences"/>
    <n v="1"/>
    <n v="1203"/>
    <n v="3"/>
    <x v="1"/>
    <n v="48"/>
    <n v="2"/>
    <n v="1"/>
    <x v="1"/>
    <n v="4"/>
    <s v="Married"/>
    <n v="2853"/>
    <n v="4223"/>
    <n v="0"/>
    <s v="Y"/>
    <x v="0"/>
    <n v="11"/>
    <n v="3"/>
    <n v="2"/>
    <n v="80"/>
    <n v="1"/>
    <n v="1"/>
    <n v="5"/>
    <n v="3"/>
    <n v="0"/>
    <n v="0"/>
    <n v="0"/>
    <n v="0"/>
    <x v="0"/>
    <n v="0"/>
    <x v="4"/>
    <x v="1"/>
    <s v="0-1 Years"/>
    <s v="Very High"/>
    <s v="Better"/>
  </r>
  <r>
    <x v="21"/>
    <s v="No"/>
    <s v="Travel_Rarely"/>
    <n v="1402"/>
    <x v="0"/>
    <n v="2"/>
    <n v="3"/>
    <s v="Marketing"/>
    <n v="1"/>
    <n v="1204"/>
    <n v="3"/>
    <x v="0"/>
    <n v="69"/>
    <n v="3"/>
    <n v="4"/>
    <x v="5"/>
    <n v="1"/>
    <s v="Married"/>
    <n v="17048"/>
    <n v="24097"/>
    <n v="8"/>
    <s v="Y"/>
    <x v="1"/>
    <n v="23"/>
    <n v="4"/>
    <n v="1"/>
    <n v="80"/>
    <n v="0"/>
    <n v="28"/>
    <n v="2"/>
    <n v="3"/>
    <n v="26"/>
    <n v="15"/>
    <n v="15"/>
    <n v="9"/>
    <x v="1"/>
    <n v="1"/>
    <x v="1"/>
    <x v="2"/>
    <s v="10+ Years"/>
    <s v="Low"/>
    <s v="Better"/>
  </r>
  <r>
    <x v="20"/>
    <s v="No"/>
    <s v="Non-Travel"/>
    <n v="111"/>
    <x v="1"/>
    <n v="17"/>
    <n v="3"/>
    <s v="Life Sciences"/>
    <n v="1"/>
    <n v="1206"/>
    <n v="4"/>
    <x v="1"/>
    <n v="74"/>
    <n v="1"/>
    <n v="1"/>
    <x v="1"/>
    <n v="3"/>
    <s v="Single"/>
    <n v="2290"/>
    <n v="4279"/>
    <n v="2"/>
    <s v="Y"/>
    <x v="1"/>
    <n v="13"/>
    <n v="3"/>
    <n v="4"/>
    <n v="80"/>
    <n v="0"/>
    <n v="6"/>
    <n v="3"/>
    <n v="3"/>
    <n v="0"/>
    <n v="0"/>
    <n v="0"/>
    <n v="0"/>
    <x v="1"/>
    <n v="1"/>
    <x v="0"/>
    <x v="1"/>
    <s v="0-1 Years"/>
    <s v="High"/>
    <s v="Better"/>
  </r>
  <r>
    <x v="3"/>
    <s v="No"/>
    <s v="Travel_Rarely"/>
    <n v="147"/>
    <x v="2"/>
    <n v="2"/>
    <n v="3"/>
    <s v="Human Resources"/>
    <n v="1"/>
    <n v="1207"/>
    <n v="2"/>
    <x v="1"/>
    <n v="99"/>
    <n v="3"/>
    <n v="1"/>
    <x v="8"/>
    <n v="3"/>
    <s v="Married"/>
    <n v="3600"/>
    <n v="8429"/>
    <n v="1"/>
    <s v="Y"/>
    <x v="1"/>
    <n v="13"/>
    <n v="3"/>
    <n v="4"/>
    <n v="80"/>
    <n v="1"/>
    <n v="5"/>
    <n v="2"/>
    <n v="3"/>
    <n v="5"/>
    <n v="4"/>
    <n v="1"/>
    <n v="4"/>
    <x v="1"/>
    <n v="1"/>
    <x v="2"/>
    <x v="0"/>
    <s v="2-5 Years"/>
    <s v="High"/>
    <s v="Better"/>
  </r>
  <r>
    <x v="0"/>
    <s v="Yes"/>
    <s v="Non-Travel"/>
    <n v="906"/>
    <x v="1"/>
    <n v="5"/>
    <n v="2"/>
    <s v="Life Sciences"/>
    <n v="1"/>
    <n v="1210"/>
    <n v="1"/>
    <x v="1"/>
    <n v="95"/>
    <n v="2"/>
    <n v="1"/>
    <x v="1"/>
    <n v="1"/>
    <s v="Divorced"/>
    <n v="2107"/>
    <n v="20293"/>
    <n v="6"/>
    <s v="Y"/>
    <x v="1"/>
    <n v="17"/>
    <n v="3"/>
    <n v="1"/>
    <n v="80"/>
    <n v="1"/>
    <n v="5"/>
    <n v="2"/>
    <n v="1"/>
    <n v="1"/>
    <n v="0"/>
    <n v="0"/>
    <n v="0"/>
    <x v="0"/>
    <n v="0"/>
    <x v="0"/>
    <x v="1"/>
    <s v="0-1 Years"/>
    <s v="Low"/>
    <s v="Bad"/>
  </r>
  <r>
    <x v="7"/>
    <s v="No"/>
    <s v="Travel_Rarely"/>
    <n v="1329"/>
    <x v="0"/>
    <n v="29"/>
    <n v="4"/>
    <s v="Life Sciences"/>
    <n v="1"/>
    <n v="1211"/>
    <n v="3"/>
    <x v="1"/>
    <n v="61"/>
    <n v="3"/>
    <n v="2"/>
    <x v="0"/>
    <n v="1"/>
    <s v="Divorced"/>
    <n v="4115"/>
    <n v="13192"/>
    <n v="8"/>
    <s v="Y"/>
    <x v="1"/>
    <n v="19"/>
    <n v="3"/>
    <n v="3"/>
    <n v="80"/>
    <n v="3"/>
    <n v="8"/>
    <n v="3"/>
    <n v="3"/>
    <n v="4"/>
    <n v="3"/>
    <n v="0"/>
    <n v="3"/>
    <x v="1"/>
    <n v="1"/>
    <x v="2"/>
    <x v="0"/>
    <s v="2-5 Years"/>
    <s v="Low"/>
    <s v="Better"/>
  </r>
  <r>
    <x v="32"/>
    <s v="No"/>
    <s v="Travel_Frequently"/>
    <n v="1184"/>
    <x v="0"/>
    <n v="2"/>
    <n v="4"/>
    <s v="Medical"/>
    <n v="1"/>
    <n v="1212"/>
    <n v="2"/>
    <x v="1"/>
    <n v="62"/>
    <n v="3"/>
    <n v="2"/>
    <x v="0"/>
    <n v="2"/>
    <s v="Married"/>
    <n v="4327"/>
    <n v="25440"/>
    <n v="5"/>
    <s v="Y"/>
    <x v="1"/>
    <n v="12"/>
    <n v="3"/>
    <n v="4"/>
    <n v="80"/>
    <n v="3"/>
    <n v="5"/>
    <n v="2"/>
    <n v="3"/>
    <n v="0"/>
    <n v="0"/>
    <n v="0"/>
    <n v="0"/>
    <x v="1"/>
    <n v="1"/>
    <x v="0"/>
    <x v="0"/>
    <s v="0-1 Years"/>
    <s v="Medium"/>
    <s v="Better"/>
  </r>
  <r>
    <x v="24"/>
    <s v="No"/>
    <s v="Travel_Frequently"/>
    <n v="1421"/>
    <x v="1"/>
    <n v="2"/>
    <n v="3"/>
    <s v="Medical"/>
    <n v="1"/>
    <n v="1215"/>
    <n v="4"/>
    <x v="0"/>
    <n v="30"/>
    <n v="3"/>
    <n v="4"/>
    <x v="5"/>
    <n v="1"/>
    <s v="Married"/>
    <n v="17856"/>
    <n v="9490"/>
    <n v="2"/>
    <s v="Y"/>
    <x v="1"/>
    <n v="22"/>
    <n v="4"/>
    <n v="3"/>
    <n v="80"/>
    <n v="1"/>
    <n v="32"/>
    <n v="3"/>
    <n v="3"/>
    <n v="2"/>
    <n v="2"/>
    <n v="2"/>
    <n v="2"/>
    <x v="1"/>
    <n v="1"/>
    <x v="1"/>
    <x v="2"/>
    <s v="2-5 Years"/>
    <s v="Low"/>
    <s v="Better"/>
  </r>
  <r>
    <x v="14"/>
    <s v="No"/>
    <s v="Travel_Rarely"/>
    <n v="1179"/>
    <x v="1"/>
    <n v="19"/>
    <n v="4"/>
    <s v="Medical"/>
    <n v="1"/>
    <n v="1216"/>
    <n v="4"/>
    <x v="1"/>
    <n v="78"/>
    <n v="2"/>
    <n v="1"/>
    <x v="2"/>
    <n v="1"/>
    <s v="Married"/>
    <n v="3196"/>
    <n v="12449"/>
    <n v="1"/>
    <s v="Y"/>
    <x v="1"/>
    <n v="12"/>
    <n v="3"/>
    <n v="3"/>
    <n v="80"/>
    <n v="3"/>
    <n v="6"/>
    <n v="2"/>
    <n v="3"/>
    <n v="6"/>
    <n v="5"/>
    <n v="3"/>
    <n v="3"/>
    <x v="1"/>
    <n v="1"/>
    <x v="2"/>
    <x v="0"/>
    <s v="6-10 Years"/>
    <s v="Low"/>
    <s v="Better"/>
  </r>
  <r>
    <x v="21"/>
    <s v="No"/>
    <s v="Travel_Rarely"/>
    <n v="1450"/>
    <x v="1"/>
    <n v="15"/>
    <n v="2"/>
    <s v="Life Sciences"/>
    <n v="1"/>
    <n v="1217"/>
    <n v="4"/>
    <x v="1"/>
    <n v="52"/>
    <n v="3"/>
    <n v="5"/>
    <x v="7"/>
    <n v="2"/>
    <s v="Married"/>
    <n v="19081"/>
    <n v="10849"/>
    <n v="5"/>
    <s v="Y"/>
    <x v="1"/>
    <n v="11"/>
    <n v="3"/>
    <n v="1"/>
    <n v="80"/>
    <n v="1"/>
    <n v="25"/>
    <n v="2"/>
    <n v="3"/>
    <n v="4"/>
    <n v="2"/>
    <n v="0"/>
    <n v="3"/>
    <x v="1"/>
    <n v="1"/>
    <x v="1"/>
    <x v="2"/>
    <s v="2-5 Years"/>
    <s v="Medium"/>
    <s v="Better"/>
  </r>
  <r>
    <x v="10"/>
    <s v="No"/>
    <s v="Travel_Rarely"/>
    <n v="1361"/>
    <x v="0"/>
    <n v="17"/>
    <n v="4"/>
    <s v="Life Sciences"/>
    <n v="1"/>
    <n v="1218"/>
    <n v="3"/>
    <x v="1"/>
    <n v="94"/>
    <n v="3"/>
    <n v="2"/>
    <x v="0"/>
    <n v="1"/>
    <s v="Married"/>
    <n v="8966"/>
    <n v="21026"/>
    <n v="3"/>
    <s v="Y"/>
    <x v="0"/>
    <n v="15"/>
    <n v="3"/>
    <n v="4"/>
    <n v="80"/>
    <n v="3"/>
    <n v="15"/>
    <n v="2"/>
    <n v="3"/>
    <n v="7"/>
    <n v="7"/>
    <n v="1"/>
    <n v="7"/>
    <x v="1"/>
    <n v="1"/>
    <x v="0"/>
    <x v="2"/>
    <s v="6-10 Years"/>
    <s v="Low"/>
    <s v="Better"/>
  </r>
  <r>
    <x v="17"/>
    <s v="Yes"/>
    <s v="Travel_Rarely"/>
    <n v="984"/>
    <x v="1"/>
    <n v="17"/>
    <n v="2"/>
    <s v="Life Sciences"/>
    <n v="1"/>
    <n v="1219"/>
    <n v="4"/>
    <x v="0"/>
    <n v="97"/>
    <n v="3"/>
    <n v="1"/>
    <x v="2"/>
    <n v="2"/>
    <s v="Married"/>
    <n v="2210"/>
    <n v="3372"/>
    <n v="1"/>
    <s v="Y"/>
    <x v="1"/>
    <n v="13"/>
    <n v="3"/>
    <n v="1"/>
    <n v="80"/>
    <n v="1"/>
    <n v="1"/>
    <n v="3"/>
    <n v="1"/>
    <n v="1"/>
    <n v="0"/>
    <n v="0"/>
    <n v="0"/>
    <x v="0"/>
    <n v="0"/>
    <x v="4"/>
    <x v="1"/>
    <s v="0-1 Years"/>
    <s v="Medium"/>
    <s v="Bad"/>
  </r>
  <r>
    <x v="3"/>
    <s v="No"/>
    <s v="Travel_Frequently"/>
    <n v="1146"/>
    <x v="0"/>
    <n v="25"/>
    <n v="3"/>
    <s v="Medical"/>
    <n v="1"/>
    <n v="1220"/>
    <n v="2"/>
    <x v="0"/>
    <n v="82"/>
    <n v="3"/>
    <n v="2"/>
    <x v="0"/>
    <n v="3"/>
    <s v="Married"/>
    <n v="4539"/>
    <n v="4905"/>
    <n v="1"/>
    <s v="Y"/>
    <x v="1"/>
    <n v="12"/>
    <n v="3"/>
    <n v="1"/>
    <n v="80"/>
    <n v="1"/>
    <n v="10"/>
    <n v="3"/>
    <n v="2"/>
    <n v="10"/>
    <n v="7"/>
    <n v="0"/>
    <n v="1"/>
    <x v="1"/>
    <n v="1"/>
    <x v="2"/>
    <x v="0"/>
    <s v="6-10 Years"/>
    <s v="High"/>
    <s v="Good"/>
  </r>
  <r>
    <x v="9"/>
    <s v="No"/>
    <s v="Travel_Rarely"/>
    <n v="917"/>
    <x v="1"/>
    <n v="6"/>
    <n v="4"/>
    <s v="Life Sciences"/>
    <n v="1"/>
    <n v="1221"/>
    <n v="3"/>
    <x v="1"/>
    <n v="60"/>
    <n v="1"/>
    <n v="1"/>
    <x v="2"/>
    <n v="3"/>
    <s v="Divorced"/>
    <n v="2741"/>
    <n v="6865"/>
    <n v="1"/>
    <s v="Y"/>
    <x v="1"/>
    <n v="14"/>
    <n v="3"/>
    <n v="3"/>
    <n v="80"/>
    <n v="1"/>
    <n v="7"/>
    <n v="4"/>
    <n v="3"/>
    <n v="7"/>
    <n v="7"/>
    <n v="1"/>
    <n v="7"/>
    <x v="1"/>
    <n v="1"/>
    <x v="0"/>
    <x v="1"/>
    <s v="6-10 Years"/>
    <s v="High"/>
    <s v="Better"/>
  </r>
  <r>
    <x v="7"/>
    <s v="No"/>
    <s v="Travel_Rarely"/>
    <n v="853"/>
    <x v="1"/>
    <n v="7"/>
    <n v="4"/>
    <s v="Life Sciences"/>
    <n v="1"/>
    <n v="1224"/>
    <n v="3"/>
    <x v="1"/>
    <n v="49"/>
    <n v="3"/>
    <n v="2"/>
    <x v="2"/>
    <n v="3"/>
    <s v="Divorced"/>
    <n v="3491"/>
    <n v="11309"/>
    <n v="1"/>
    <s v="Y"/>
    <x v="1"/>
    <n v="13"/>
    <n v="3"/>
    <n v="1"/>
    <n v="80"/>
    <n v="3"/>
    <n v="10"/>
    <n v="4"/>
    <n v="2"/>
    <n v="10"/>
    <n v="7"/>
    <n v="8"/>
    <n v="9"/>
    <x v="1"/>
    <n v="1"/>
    <x v="2"/>
    <x v="0"/>
    <s v="6-10 Years"/>
    <s v="High"/>
    <s v="Good"/>
  </r>
  <r>
    <x v="20"/>
    <s v="No"/>
    <s v="Travel_Rarely"/>
    <n v="200"/>
    <x v="1"/>
    <n v="29"/>
    <n v="4"/>
    <s v="Other"/>
    <n v="1"/>
    <n v="1225"/>
    <n v="4"/>
    <x v="1"/>
    <n v="32"/>
    <n v="3"/>
    <n v="2"/>
    <x v="1"/>
    <n v="4"/>
    <s v="Single"/>
    <n v="4541"/>
    <n v="7744"/>
    <n v="1"/>
    <s v="Y"/>
    <x v="1"/>
    <n v="25"/>
    <n v="4"/>
    <n v="2"/>
    <n v="80"/>
    <n v="0"/>
    <n v="20"/>
    <n v="3"/>
    <n v="3"/>
    <n v="20"/>
    <n v="11"/>
    <n v="13"/>
    <n v="17"/>
    <x v="1"/>
    <n v="1"/>
    <x v="0"/>
    <x v="0"/>
    <s v="10+ Years"/>
    <s v="Very High"/>
    <s v="Better"/>
  </r>
  <r>
    <x v="35"/>
    <s v="No"/>
    <s v="Travel_Rarely"/>
    <n v="654"/>
    <x v="0"/>
    <n v="21"/>
    <n v="3"/>
    <s v="Marketing"/>
    <n v="1"/>
    <n v="1226"/>
    <n v="3"/>
    <x v="1"/>
    <n v="43"/>
    <n v="4"/>
    <n v="1"/>
    <x v="6"/>
    <n v="4"/>
    <s v="Single"/>
    <n v="2678"/>
    <n v="5050"/>
    <n v="1"/>
    <s v="Y"/>
    <x v="1"/>
    <n v="17"/>
    <n v="3"/>
    <n v="4"/>
    <n v="80"/>
    <n v="0"/>
    <n v="2"/>
    <n v="2"/>
    <n v="3"/>
    <n v="2"/>
    <n v="1"/>
    <n v="2"/>
    <n v="2"/>
    <x v="1"/>
    <n v="1"/>
    <x v="4"/>
    <x v="1"/>
    <s v="2-5 Years"/>
    <s v="Very High"/>
    <s v="Better"/>
  </r>
  <r>
    <x v="21"/>
    <s v="No"/>
    <s v="Travel_Rarely"/>
    <n v="150"/>
    <x v="1"/>
    <n v="2"/>
    <n v="4"/>
    <s v="Technical Degree"/>
    <n v="1"/>
    <n v="1228"/>
    <n v="4"/>
    <x v="1"/>
    <n v="60"/>
    <n v="3"/>
    <n v="2"/>
    <x v="3"/>
    <n v="4"/>
    <s v="Divorced"/>
    <n v="7379"/>
    <n v="17433"/>
    <n v="2"/>
    <s v="Y"/>
    <x v="1"/>
    <n v="11"/>
    <n v="3"/>
    <n v="3"/>
    <n v="80"/>
    <n v="1"/>
    <n v="12"/>
    <n v="3"/>
    <n v="2"/>
    <n v="6"/>
    <n v="3"/>
    <n v="1"/>
    <n v="4"/>
    <x v="1"/>
    <n v="1"/>
    <x v="1"/>
    <x v="2"/>
    <s v="6-10 Years"/>
    <s v="Very High"/>
    <s v="Good"/>
  </r>
  <r>
    <x v="19"/>
    <s v="No"/>
    <s v="Non-Travel"/>
    <n v="179"/>
    <x v="2"/>
    <n v="2"/>
    <n v="5"/>
    <s v="Medical"/>
    <n v="1"/>
    <n v="1231"/>
    <n v="4"/>
    <x v="1"/>
    <n v="79"/>
    <n v="4"/>
    <n v="2"/>
    <x v="8"/>
    <n v="1"/>
    <s v="Married"/>
    <n v="6272"/>
    <n v="12858"/>
    <n v="7"/>
    <s v="Y"/>
    <x v="1"/>
    <n v="16"/>
    <n v="3"/>
    <n v="1"/>
    <n v="80"/>
    <n v="1"/>
    <n v="10"/>
    <n v="3"/>
    <n v="4"/>
    <n v="4"/>
    <n v="3"/>
    <n v="0"/>
    <n v="3"/>
    <x v="1"/>
    <n v="1"/>
    <x v="0"/>
    <x v="0"/>
    <s v="2-5 Years"/>
    <s v="Low"/>
    <s v="Best"/>
  </r>
  <r>
    <x v="42"/>
    <s v="No"/>
    <s v="Travel_Rarely"/>
    <n v="696"/>
    <x v="0"/>
    <n v="7"/>
    <n v="4"/>
    <s v="Marketing"/>
    <n v="1"/>
    <n v="1233"/>
    <n v="2"/>
    <x v="1"/>
    <n v="52"/>
    <n v="4"/>
    <n v="2"/>
    <x v="0"/>
    <n v="4"/>
    <s v="Divorced"/>
    <n v="5220"/>
    <n v="10893"/>
    <n v="0"/>
    <s v="Y"/>
    <x v="0"/>
    <n v="18"/>
    <n v="3"/>
    <n v="2"/>
    <n v="80"/>
    <n v="1"/>
    <n v="12"/>
    <n v="3"/>
    <n v="3"/>
    <n v="11"/>
    <n v="7"/>
    <n v="1"/>
    <n v="9"/>
    <x v="1"/>
    <n v="1"/>
    <x v="3"/>
    <x v="0"/>
    <s v="10+ Years"/>
    <s v="Very High"/>
    <s v="Better"/>
  </r>
  <r>
    <x v="5"/>
    <s v="No"/>
    <s v="Travel_Frequently"/>
    <n v="116"/>
    <x v="1"/>
    <n v="13"/>
    <n v="3"/>
    <s v="Other"/>
    <n v="1"/>
    <n v="1234"/>
    <n v="3"/>
    <x v="0"/>
    <n v="77"/>
    <n v="2"/>
    <n v="1"/>
    <x v="2"/>
    <n v="2"/>
    <s v="Married"/>
    <n v="2743"/>
    <n v="7331"/>
    <n v="1"/>
    <s v="Y"/>
    <x v="1"/>
    <n v="20"/>
    <n v="4"/>
    <n v="3"/>
    <n v="80"/>
    <n v="1"/>
    <n v="2"/>
    <n v="2"/>
    <n v="3"/>
    <n v="2"/>
    <n v="2"/>
    <n v="2"/>
    <n v="2"/>
    <x v="1"/>
    <n v="1"/>
    <x v="2"/>
    <x v="1"/>
    <s v="2-5 Years"/>
    <s v="Medium"/>
    <s v="Better"/>
  </r>
  <r>
    <x v="5"/>
    <s v="No"/>
    <s v="Travel_Frequently"/>
    <n v="1316"/>
    <x v="1"/>
    <n v="2"/>
    <n v="2"/>
    <s v="Life Sciences"/>
    <n v="1"/>
    <n v="1235"/>
    <n v="4"/>
    <x v="0"/>
    <n v="38"/>
    <n v="3"/>
    <n v="2"/>
    <x v="1"/>
    <n v="3"/>
    <s v="Single"/>
    <n v="4998"/>
    <n v="2338"/>
    <n v="4"/>
    <s v="Y"/>
    <x v="0"/>
    <n v="14"/>
    <n v="3"/>
    <n v="4"/>
    <n v="80"/>
    <n v="0"/>
    <n v="10"/>
    <n v="2"/>
    <n v="3"/>
    <n v="8"/>
    <n v="7"/>
    <n v="0"/>
    <n v="7"/>
    <x v="1"/>
    <n v="1"/>
    <x v="2"/>
    <x v="0"/>
    <s v="6-10 Years"/>
    <s v="High"/>
    <s v="Better"/>
  </r>
  <r>
    <x v="9"/>
    <s v="No"/>
    <s v="Travel_Rarely"/>
    <n v="363"/>
    <x v="1"/>
    <n v="1"/>
    <n v="3"/>
    <s v="Technical Degree"/>
    <n v="1"/>
    <n v="1237"/>
    <n v="3"/>
    <x v="0"/>
    <n v="77"/>
    <n v="1"/>
    <n v="3"/>
    <x v="3"/>
    <n v="1"/>
    <s v="Divorced"/>
    <n v="10252"/>
    <n v="4235"/>
    <n v="2"/>
    <s v="Y"/>
    <x v="0"/>
    <n v="21"/>
    <n v="4"/>
    <n v="3"/>
    <n v="80"/>
    <n v="1"/>
    <n v="17"/>
    <n v="2"/>
    <n v="3"/>
    <n v="7"/>
    <n v="7"/>
    <n v="7"/>
    <n v="7"/>
    <x v="1"/>
    <n v="1"/>
    <x v="0"/>
    <x v="2"/>
    <s v="6-10 Years"/>
    <s v="Low"/>
    <s v="Better"/>
  </r>
  <r>
    <x v="3"/>
    <s v="No"/>
    <s v="Travel_Rarely"/>
    <n v="117"/>
    <x v="1"/>
    <n v="9"/>
    <n v="3"/>
    <s v="Medical"/>
    <n v="1"/>
    <n v="1238"/>
    <n v="1"/>
    <x v="1"/>
    <n v="60"/>
    <n v="3"/>
    <n v="1"/>
    <x v="1"/>
    <n v="4"/>
    <s v="Married"/>
    <n v="2781"/>
    <n v="6311"/>
    <n v="0"/>
    <s v="Y"/>
    <x v="1"/>
    <n v="13"/>
    <n v="3"/>
    <n v="2"/>
    <n v="80"/>
    <n v="1"/>
    <n v="15"/>
    <n v="5"/>
    <n v="3"/>
    <n v="14"/>
    <n v="10"/>
    <n v="4"/>
    <n v="10"/>
    <x v="1"/>
    <n v="1"/>
    <x v="2"/>
    <x v="1"/>
    <s v="10+ Years"/>
    <s v="Very High"/>
    <s v="Better"/>
  </r>
  <r>
    <x v="32"/>
    <s v="No"/>
    <s v="Travel_Rarely"/>
    <n v="107"/>
    <x v="0"/>
    <n v="10"/>
    <n v="3"/>
    <s v="Technical Degree"/>
    <n v="1"/>
    <n v="1239"/>
    <n v="2"/>
    <x v="0"/>
    <n v="84"/>
    <n v="2"/>
    <n v="2"/>
    <x v="0"/>
    <n v="2"/>
    <s v="Divorced"/>
    <n v="6852"/>
    <n v="11591"/>
    <n v="7"/>
    <s v="Y"/>
    <x v="1"/>
    <n v="12"/>
    <n v="3"/>
    <n v="2"/>
    <n v="80"/>
    <n v="1"/>
    <n v="7"/>
    <n v="2"/>
    <n v="4"/>
    <n v="5"/>
    <n v="1"/>
    <n v="1"/>
    <n v="3"/>
    <x v="1"/>
    <n v="1"/>
    <x v="0"/>
    <x v="0"/>
    <s v="2-5 Years"/>
    <s v="Medium"/>
    <s v="Best"/>
  </r>
  <r>
    <x v="36"/>
    <s v="No"/>
    <s v="Travel_Rarely"/>
    <n v="1356"/>
    <x v="0"/>
    <n v="10"/>
    <n v="4"/>
    <s v="Life Sciences"/>
    <n v="1"/>
    <n v="1240"/>
    <n v="3"/>
    <x v="1"/>
    <n v="57"/>
    <n v="3"/>
    <n v="2"/>
    <x v="0"/>
    <n v="4"/>
    <s v="Single"/>
    <n v="4950"/>
    <n v="20623"/>
    <n v="0"/>
    <s v="Y"/>
    <x v="1"/>
    <n v="14"/>
    <n v="3"/>
    <n v="2"/>
    <n v="80"/>
    <n v="0"/>
    <n v="5"/>
    <n v="4"/>
    <n v="3"/>
    <n v="4"/>
    <n v="3"/>
    <n v="1"/>
    <n v="1"/>
    <x v="1"/>
    <n v="1"/>
    <x v="2"/>
    <x v="0"/>
    <s v="2-5 Years"/>
    <s v="Very High"/>
    <s v="Better"/>
  </r>
  <r>
    <x v="7"/>
    <s v="No"/>
    <s v="Travel_Rarely"/>
    <n v="1465"/>
    <x v="1"/>
    <n v="1"/>
    <n v="3"/>
    <s v="Medical"/>
    <n v="1"/>
    <n v="1241"/>
    <n v="4"/>
    <x v="1"/>
    <n v="63"/>
    <n v="3"/>
    <n v="1"/>
    <x v="1"/>
    <n v="2"/>
    <s v="Married"/>
    <n v="3579"/>
    <n v="9369"/>
    <n v="0"/>
    <s v="Y"/>
    <x v="0"/>
    <n v="21"/>
    <n v="4"/>
    <n v="1"/>
    <n v="80"/>
    <n v="1"/>
    <n v="12"/>
    <n v="2"/>
    <n v="3"/>
    <n v="11"/>
    <n v="9"/>
    <n v="5"/>
    <n v="7"/>
    <x v="1"/>
    <n v="1"/>
    <x v="2"/>
    <x v="0"/>
    <s v="10+ Years"/>
    <s v="Medium"/>
    <s v="Better"/>
  </r>
  <r>
    <x v="19"/>
    <s v="No"/>
    <s v="Travel_Frequently"/>
    <n v="458"/>
    <x v="1"/>
    <n v="26"/>
    <n v="5"/>
    <s v="Medical"/>
    <n v="1"/>
    <n v="1242"/>
    <n v="1"/>
    <x v="0"/>
    <n v="60"/>
    <n v="3"/>
    <n v="3"/>
    <x v="7"/>
    <n v="1"/>
    <s v="Married"/>
    <n v="13191"/>
    <n v="23281"/>
    <n v="3"/>
    <s v="Y"/>
    <x v="0"/>
    <n v="17"/>
    <n v="3"/>
    <n v="3"/>
    <n v="80"/>
    <n v="0"/>
    <n v="20"/>
    <n v="6"/>
    <n v="3"/>
    <n v="1"/>
    <n v="0"/>
    <n v="0"/>
    <n v="0"/>
    <x v="1"/>
    <n v="1"/>
    <x v="0"/>
    <x v="2"/>
    <s v="0-1 Years"/>
    <s v="Low"/>
    <s v="Better"/>
  </r>
  <r>
    <x v="10"/>
    <s v="No"/>
    <s v="Non-Travel"/>
    <n v="1212"/>
    <x v="0"/>
    <n v="8"/>
    <n v="2"/>
    <s v="Marketing"/>
    <n v="1"/>
    <n v="1243"/>
    <n v="3"/>
    <x v="0"/>
    <n v="78"/>
    <n v="2"/>
    <n v="3"/>
    <x v="0"/>
    <n v="4"/>
    <s v="Married"/>
    <n v="10377"/>
    <n v="13755"/>
    <n v="4"/>
    <s v="Y"/>
    <x v="0"/>
    <n v="11"/>
    <n v="3"/>
    <n v="2"/>
    <n v="80"/>
    <n v="1"/>
    <n v="16"/>
    <n v="6"/>
    <n v="2"/>
    <n v="13"/>
    <n v="2"/>
    <n v="4"/>
    <n v="12"/>
    <x v="1"/>
    <n v="1"/>
    <x v="0"/>
    <x v="2"/>
    <s v="10+ Years"/>
    <s v="Very High"/>
    <s v="Good"/>
  </r>
  <r>
    <x v="4"/>
    <s v="No"/>
    <s v="Travel_Rarely"/>
    <n v="1103"/>
    <x v="1"/>
    <n v="14"/>
    <n v="3"/>
    <s v="Life Sciences"/>
    <n v="1"/>
    <n v="1244"/>
    <n v="1"/>
    <x v="1"/>
    <n v="42"/>
    <n v="3"/>
    <n v="1"/>
    <x v="1"/>
    <n v="1"/>
    <s v="Married"/>
    <n v="2235"/>
    <n v="14377"/>
    <n v="1"/>
    <s v="Y"/>
    <x v="0"/>
    <n v="14"/>
    <n v="3"/>
    <n v="4"/>
    <n v="80"/>
    <n v="2"/>
    <n v="9"/>
    <n v="3"/>
    <n v="2"/>
    <n v="9"/>
    <n v="7"/>
    <n v="6"/>
    <n v="8"/>
    <x v="1"/>
    <n v="1"/>
    <x v="2"/>
    <x v="1"/>
    <s v="6-10 Years"/>
    <s v="Low"/>
    <s v="Good"/>
  </r>
  <r>
    <x v="33"/>
    <s v="No"/>
    <s v="Travel_Frequently"/>
    <n v="966"/>
    <x v="1"/>
    <n v="1"/>
    <n v="4"/>
    <s v="Life Sciences"/>
    <n v="1"/>
    <n v="1245"/>
    <n v="4"/>
    <x v="0"/>
    <n v="53"/>
    <n v="3"/>
    <n v="3"/>
    <x v="3"/>
    <n v="3"/>
    <s v="Divorced"/>
    <n v="10502"/>
    <n v="9659"/>
    <n v="7"/>
    <s v="Y"/>
    <x v="1"/>
    <n v="17"/>
    <n v="3"/>
    <n v="1"/>
    <n v="80"/>
    <n v="1"/>
    <n v="33"/>
    <n v="2"/>
    <n v="1"/>
    <n v="5"/>
    <n v="4"/>
    <n v="1"/>
    <n v="4"/>
    <x v="1"/>
    <n v="1"/>
    <x v="1"/>
    <x v="2"/>
    <s v="2-5 Years"/>
    <s v="High"/>
    <s v="Bad"/>
  </r>
  <r>
    <x v="20"/>
    <s v="No"/>
    <s v="Travel_Rarely"/>
    <n v="1117"/>
    <x v="1"/>
    <n v="2"/>
    <n v="1"/>
    <s v="Life Sciences"/>
    <n v="1"/>
    <n v="1246"/>
    <n v="1"/>
    <x v="0"/>
    <n v="72"/>
    <n v="4"/>
    <n v="1"/>
    <x v="1"/>
    <n v="4"/>
    <s v="Married"/>
    <n v="2011"/>
    <n v="19982"/>
    <n v="1"/>
    <s v="Y"/>
    <x v="1"/>
    <n v="13"/>
    <n v="3"/>
    <n v="4"/>
    <n v="80"/>
    <n v="1"/>
    <n v="10"/>
    <n v="5"/>
    <n v="3"/>
    <n v="10"/>
    <n v="5"/>
    <n v="7"/>
    <n v="7"/>
    <x v="1"/>
    <n v="1"/>
    <x v="0"/>
    <x v="1"/>
    <s v="6-10 Years"/>
    <s v="Very High"/>
    <s v="Better"/>
  </r>
  <r>
    <x v="37"/>
    <s v="Yes"/>
    <s v="Non-Travel"/>
    <n v="504"/>
    <x v="1"/>
    <n v="10"/>
    <n v="3"/>
    <s v="Medical"/>
    <n v="1"/>
    <n v="1248"/>
    <n v="1"/>
    <x v="0"/>
    <n v="96"/>
    <n v="2"/>
    <n v="1"/>
    <x v="1"/>
    <n v="2"/>
    <s v="Single"/>
    <n v="1859"/>
    <n v="6148"/>
    <n v="1"/>
    <s v="Y"/>
    <x v="0"/>
    <n v="25"/>
    <n v="4"/>
    <n v="2"/>
    <n v="80"/>
    <n v="0"/>
    <n v="1"/>
    <n v="2"/>
    <n v="4"/>
    <n v="1"/>
    <n v="1"/>
    <n v="0"/>
    <n v="0"/>
    <x v="0"/>
    <n v="0"/>
    <x v="4"/>
    <x v="1"/>
    <s v="0-1 Years"/>
    <s v="Medium"/>
    <s v="Best"/>
  </r>
  <r>
    <x v="11"/>
    <s v="No"/>
    <s v="Travel_Rarely"/>
    <n v="1010"/>
    <x v="1"/>
    <n v="1"/>
    <n v="3"/>
    <s v="Life Sciences"/>
    <n v="1"/>
    <n v="1249"/>
    <n v="1"/>
    <x v="0"/>
    <n v="97"/>
    <n v="3"/>
    <n v="1"/>
    <x v="1"/>
    <n v="4"/>
    <s v="Divorced"/>
    <n v="3760"/>
    <n v="5598"/>
    <n v="1"/>
    <s v="Y"/>
    <x v="1"/>
    <n v="15"/>
    <n v="3"/>
    <n v="1"/>
    <n v="80"/>
    <n v="3"/>
    <n v="3"/>
    <n v="5"/>
    <n v="3"/>
    <n v="3"/>
    <n v="2"/>
    <n v="1"/>
    <n v="2"/>
    <x v="1"/>
    <n v="1"/>
    <x v="2"/>
    <x v="0"/>
    <s v="2-5 Years"/>
    <s v="Very High"/>
    <s v="Better"/>
  </r>
  <r>
    <x v="33"/>
    <s v="No"/>
    <s v="Travel_Rarely"/>
    <n v="685"/>
    <x v="1"/>
    <n v="3"/>
    <n v="3"/>
    <s v="Life Sciences"/>
    <n v="1"/>
    <n v="1250"/>
    <n v="4"/>
    <x v="1"/>
    <n v="85"/>
    <n v="3"/>
    <n v="4"/>
    <x v="7"/>
    <n v="4"/>
    <s v="Married"/>
    <n v="17779"/>
    <n v="23474"/>
    <n v="3"/>
    <s v="Y"/>
    <x v="1"/>
    <n v="14"/>
    <n v="3"/>
    <n v="1"/>
    <n v="80"/>
    <n v="0"/>
    <n v="36"/>
    <n v="2"/>
    <n v="3"/>
    <n v="10"/>
    <n v="9"/>
    <n v="0"/>
    <n v="9"/>
    <x v="1"/>
    <n v="1"/>
    <x v="1"/>
    <x v="2"/>
    <s v="6-10 Years"/>
    <s v="Very High"/>
    <s v="Better"/>
  </r>
  <r>
    <x v="12"/>
    <s v="No"/>
    <s v="Travel_Rarely"/>
    <n v="1332"/>
    <x v="1"/>
    <n v="11"/>
    <n v="2"/>
    <s v="Medical"/>
    <n v="1"/>
    <n v="1251"/>
    <n v="3"/>
    <x v="1"/>
    <n v="80"/>
    <n v="3"/>
    <n v="2"/>
    <x v="4"/>
    <n v="1"/>
    <s v="Married"/>
    <n v="6833"/>
    <n v="17089"/>
    <n v="1"/>
    <s v="Y"/>
    <x v="0"/>
    <n v="12"/>
    <n v="3"/>
    <n v="4"/>
    <n v="80"/>
    <n v="0"/>
    <n v="6"/>
    <n v="2"/>
    <n v="2"/>
    <n v="6"/>
    <n v="5"/>
    <n v="0"/>
    <n v="1"/>
    <x v="1"/>
    <n v="1"/>
    <x v="2"/>
    <x v="0"/>
    <s v="6-10 Years"/>
    <s v="Low"/>
    <s v="Good"/>
  </r>
  <r>
    <x v="12"/>
    <s v="No"/>
    <s v="Travel_Rarely"/>
    <n v="1062"/>
    <x v="1"/>
    <n v="24"/>
    <n v="3"/>
    <s v="Medical"/>
    <n v="1"/>
    <n v="1252"/>
    <n v="3"/>
    <x v="0"/>
    <n v="96"/>
    <n v="2"/>
    <n v="2"/>
    <x v="4"/>
    <n v="1"/>
    <s v="Single"/>
    <n v="6812"/>
    <n v="17198"/>
    <n v="1"/>
    <s v="Y"/>
    <x v="1"/>
    <n v="19"/>
    <n v="3"/>
    <n v="2"/>
    <n v="80"/>
    <n v="0"/>
    <n v="10"/>
    <n v="2"/>
    <n v="3"/>
    <n v="10"/>
    <n v="9"/>
    <n v="1"/>
    <n v="8"/>
    <x v="1"/>
    <n v="1"/>
    <x v="2"/>
    <x v="0"/>
    <s v="6-10 Years"/>
    <s v="Low"/>
    <s v="Better"/>
  </r>
  <r>
    <x v="6"/>
    <s v="No"/>
    <s v="Travel_Rarely"/>
    <n v="326"/>
    <x v="0"/>
    <n v="3"/>
    <n v="3"/>
    <s v="Life Sciences"/>
    <n v="1"/>
    <n v="1254"/>
    <n v="3"/>
    <x v="0"/>
    <n v="48"/>
    <n v="2"/>
    <n v="2"/>
    <x v="0"/>
    <n v="4"/>
    <s v="Single"/>
    <n v="5171"/>
    <n v="16490"/>
    <n v="5"/>
    <s v="Y"/>
    <x v="1"/>
    <n v="17"/>
    <n v="3"/>
    <n v="4"/>
    <n v="80"/>
    <n v="0"/>
    <n v="13"/>
    <n v="2"/>
    <n v="3"/>
    <n v="6"/>
    <n v="1"/>
    <n v="0"/>
    <n v="5"/>
    <x v="1"/>
    <n v="1"/>
    <x v="3"/>
    <x v="0"/>
    <s v="6-10 Years"/>
    <s v="Very High"/>
    <s v="Better"/>
  </r>
  <r>
    <x v="23"/>
    <s v="No"/>
    <s v="Travel_Rarely"/>
    <n v="920"/>
    <x v="1"/>
    <n v="3"/>
    <n v="3"/>
    <s v="Life Sciences"/>
    <n v="1"/>
    <n v="1255"/>
    <n v="3"/>
    <x v="1"/>
    <n v="96"/>
    <n v="1"/>
    <n v="5"/>
    <x v="7"/>
    <n v="4"/>
    <s v="Married"/>
    <n v="19740"/>
    <n v="18625"/>
    <n v="3"/>
    <s v="Y"/>
    <x v="1"/>
    <n v="14"/>
    <n v="3"/>
    <n v="2"/>
    <n v="80"/>
    <n v="1"/>
    <n v="25"/>
    <n v="2"/>
    <n v="3"/>
    <n v="8"/>
    <n v="7"/>
    <n v="0"/>
    <n v="7"/>
    <x v="1"/>
    <n v="1"/>
    <x v="0"/>
    <x v="2"/>
    <s v="6-10 Years"/>
    <s v="Very High"/>
    <s v="Better"/>
  </r>
  <r>
    <x v="1"/>
    <s v="No"/>
    <s v="Travel_Rarely"/>
    <n v="1098"/>
    <x v="1"/>
    <n v="4"/>
    <n v="2"/>
    <s v="Medical"/>
    <n v="1"/>
    <n v="1256"/>
    <n v="1"/>
    <x v="1"/>
    <n v="85"/>
    <n v="2"/>
    <n v="5"/>
    <x v="5"/>
    <n v="3"/>
    <s v="Married"/>
    <n v="18711"/>
    <n v="12124"/>
    <n v="2"/>
    <s v="Y"/>
    <x v="1"/>
    <n v="13"/>
    <n v="3"/>
    <n v="3"/>
    <n v="80"/>
    <n v="1"/>
    <n v="23"/>
    <n v="2"/>
    <n v="4"/>
    <n v="1"/>
    <n v="0"/>
    <n v="0"/>
    <n v="0"/>
    <x v="1"/>
    <n v="1"/>
    <x v="1"/>
    <x v="2"/>
    <s v="0-1 Years"/>
    <s v="High"/>
    <s v="Best"/>
  </r>
  <r>
    <x v="9"/>
    <s v="No"/>
    <s v="Travel_Frequently"/>
    <n v="469"/>
    <x v="1"/>
    <n v="3"/>
    <n v="3"/>
    <s v="Technical Degree"/>
    <n v="1"/>
    <n v="1257"/>
    <n v="3"/>
    <x v="1"/>
    <n v="46"/>
    <n v="3"/>
    <n v="1"/>
    <x v="1"/>
    <n v="2"/>
    <s v="Married"/>
    <n v="3692"/>
    <n v="9256"/>
    <n v="1"/>
    <s v="Y"/>
    <x v="1"/>
    <n v="12"/>
    <n v="3"/>
    <n v="3"/>
    <n v="80"/>
    <n v="0"/>
    <n v="12"/>
    <n v="2"/>
    <n v="2"/>
    <n v="11"/>
    <n v="10"/>
    <n v="0"/>
    <n v="7"/>
    <x v="1"/>
    <n v="1"/>
    <x v="0"/>
    <x v="0"/>
    <s v="10+ Years"/>
    <s v="Medium"/>
    <s v="Good"/>
  </r>
  <r>
    <x v="26"/>
    <s v="No"/>
    <s v="Travel_Rarely"/>
    <n v="969"/>
    <x v="1"/>
    <n v="2"/>
    <n v="2"/>
    <s v="Technical Degree"/>
    <n v="1"/>
    <n v="1258"/>
    <n v="4"/>
    <x v="1"/>
    <n v="76"/>
    <n v="4"/>
    <n v="1"/>
    <x v="2"/>
    <n v="2"/>
    <s v="Single"/>
    <n v="2559"/>
    <n v="16620"/>
    <n v="5"/>
    <s v="Y"/>
    <x v="1"/>
    <n v="11"/>
    <n v="3"/>
    <n v="3"/>
    <n v="80"/>
    <n v="0"/>
    <n v="7"/>
    <n v="4"/>
    <n v="2"/>
    <n v="1"/>
    <n v="0"/>
    <n v="0"/>
    <n v="0"/>
    <x v="1"/>
    <n v="1"/>
    <x v="1"/>
    <x v="1"/>
    <s v="0-1 Years"/>
    <s v="Medium"/>
    <s v="Good"/>
  </r>
  <r>
    <x v="4"/>
    <s v="No"/>
    <s v="Travel_Rarely"/>
    <n v="1167"/>
    <x v="1"/>
    <n v="4"/>
    <n v="2"/>
    <s v="Life Sciences"/>
    <n v="1"/>
    <n v="1259"/>
    <n v="1"/>
    <x v="1"/>
    <n v="76"/>
    <n v="3"/>
    <n v="1"/>
    <x v="1"/>
    <n v="3"/>
    <s v="Divorced"/>
    <n v="2517"/>
    <n v="3208"/>
    <n v="1"/>
    <s v="Y"/>
    <x v="1"/>
    <n v="11"/>
    <n v="3"/>
    <n v="2"/>
    <n v="80"/>
    <n v="3"/>
    <n v="5"/>
    <n v="2"/>
    <n v="3"/>
    <n v="5"/>
    <n v="3"/>
    <n v="0"/>
    <n v="3"/>
    <x v="1"/>
    <n v="1"/>
    <x v="2"/>
    <x v="1"/>
    <s v="2-5 Years"/>
    <s v="High"/>
    <s v="Better"/>
  </r>
  <r>
    <x v="11"/>
    <s v="No"/>
    <s v="Travel_Rarely"/>
    <n v="1329"/>
    <x v="1"/>
    <n v="7"/>
    <n v="3"/>
    <s v="Life Sciences"/>
    <n v="1"/>
    <n v="1260"/>
    <n v="3"/>
    <x v="1"/>
    <n v="82"/>
    <n v="3"/>
    <n v="2"/>
    <x v="4"/>
    <n v="4"/>
    <s v="Divorced"/>
    <n v="6623"/>
    <n v="4204"/>
    <n v="1"/>
    <s v="Y"/>
    <x v="0"/>
    <n v="11"/>
    <n v="3"/>
    <n v="2"/>
    <n v="80"/>
    <n v="2"/>
    <n v="6"/>
    <n v="2"/>
    <n v="3"/>
    <n v="6"/>
    <n v="0"/>
    <n v="1"/>
    <n v="0"/>
    <x v="1"/>
    <n v="1"/>
    <x v="2"/>
    <x v="0"/>
    <s v="6-10 Years"/>
    <s v="Very High"/>
    <s v="Better"/>
  </r>
  <r>
    <x v="26"/>
    <s v="No"/>
    <s v="Travel_Rarely"/>
    <n v="715"/>
    <x v="1"/>
    <n v="1"/>
    <n v="3"/>
    <s v="Life Sciences"/>
    <n v="1"/>
    <n v="1263"/>
    <n v="4"/>
    <x v="1"/>
    <n v="76"/>
    <n v="2"/>
    <n v="5"/>
    <x v="7"/>
    <n v="4"/>
    <s v="Single"/>
    <n v="18265"/>
    <n v="8733"/>
    <n v="6"/>
    <s v="Y"/>
    <x v="1"/>
    <n v="12"/>
    <n v="3"/>
    <n v="3"/>
    <n v="80"/>
    <n v="0"/>
    <n v="25"/>
    <n v="3"/>
    <n v="4"/>
    <n v="1"/>
    <n v="0"/>
    <n v="0"/>
    <n v="0"/>
    <x v="1"/>
    <n v="1"/>
    <x v="1"/>
    <x v="2"/>
    <s v="0-1 Years"/>
    <s v="Very High"/>
    <s v="Best"/>
  </r>
  <r>
    <x v="11"/>
    <s v="No"/>
    <s v="Travel_Rarely"/>
    <n v="694"/>
    <x v="1"/>
    <n v="1"/>
    <n v="3"/>
    <s v="Life Sciences"/>
    <n v="1"/>
    <n v="1264"/>
    <n v="4"/>
    <x v="0"/>
    <n v="87"/>
    <n v="2"/>
    <n v="4"/>
    <x v="7"/>
    <n v="4"/>
    <s v="Divorced"/>
    <n v="16124"/>
    <n v="3423"/>
    <n v="3"/>
    <s v="Y"/>
    <x v="1"/>
    <n v="14"/>
    <n v="3"/>
    <n v="2"/>
    <n v="80"/>
    <n v="2"/>
    <n v="9"/>
    <n v="2"/>
    <n v="2"/>
    <n v="7"/>
    <n v="7"/>
    <n v="1"/>
    <n v="7"/>
    <x v="1"/>
    <n v="1"/>
    <x v="2"/>
    <x v="2"/>
    <s v="6-10 Years"/>
    <s v="Very High"/>
    <s v="Good"/>
  </r>
  <r>
    <x v="13"/>
    <s v="No"/>
    <s v="Travel_Rarely"/>
    <n v="1320"/>
    <x v="1"/>
    <n v="20"/>
    <n v="3"/>
    <s v="Technical Degree"/>
    <n v="1"/>
    <n v="1265"/>
    <n v="3"/>
    <x v="0"/>
    <n v="89"/>
    <n v="4"/>
    <n v="1"/>
    <x v="1"/>
    <n v="3"/>
    <s v="Married"/>
    <n v="2585"/>
    <n v="21643"/>
    <n v="0"/>
    <s v="Y"/>
    <x v="1"/>
    <n v="17"/>
    <n v="3"/>
    <n v="4"/>
    <n v="80"/>
    <n v="0"/>
    <n v="2"/>
    <n v="5"/>
    <n v="2"/>
    <n v="1"/>
    <n v="0"/>
    <n v="0"/>
    <n v="0"/>
    <x v="1"/>
    <n v="1"/>
    <x v="2"/>
    <x v="1"/>
    <s v="0-1 Years"/>
    <s v="High"/>
    <s v="Good"/>
  </r>
  <r>
    <x v="20"/>
    <s v="No"/>
    <s v="Travel_Rarely"/>
    <n v="1099"/>
    <x v="0"/>
    <n v="5"/>
    <n v="3"/>
    <s v="Marketing"/>
    <n v="1"/>
    <n v="1267"/>
    <n v="2"/>
    <x v="1"/>
    <n v="88"/>
    <n v="3"/>
    <n v="5"/>
    <x v="5"/>
    <n v="2"/>
    <s v="Married"/>
    <n v="18213"/>
    <n v="8751"/>
    <n v="7"/>
    <s v="Y"/>
    <x v="1"/>
    <n v="11"/>
    <n v="3"/>
    <n v="3"/>
    <n v="80"/>
    <n v="1"/>
    <n v="26"/>
    <n v="5"/>
    <n v="3"/>
    <n v="22"/>
    <n v="9"/>
    <n v="3"/>
    <n v="10"/>
    <x v="1"/>
    <n v="1"/>
    <x v="0"/>
    <x v="2"/>
    <s v="10+ Years"/>
    <s v="Medium"/>
    <s v="Better"/>
  </r>
  <r>
    <x v="3"/>
    <s v="No"/>
    <s v="Travel_Rarely"/>
    <n v="536"/>
    <x v="0"/>
    <n v="10"/>
    <n v="5"/>
    <s v="Marketing"/>
    <n v="1"/>
    <n v="1268"/>
    <n v="4"/>
    <x v="1"/>
    <n v="82"/>
    <n v="4"/>
    <n v="3"/>
    <x v="0"/>
    <n v="3"/>
    <s v="Divorced"/>
    <n v="8380"/>
    <n v="21708"/>
    <n v="0"/>
    <s v="Y"/>
    <x v="0"/>
    <n v="14"/>
    <n v="3"/>
    <n v="4"/>
    <n v="80"/>
    <n v="2"/>
    <n v="10"/>
    <n v="3"/>
    <n v="3"/>
    <n v="9"/>
    <n v="8"/>
    <n v="0"/>
    <n v="8"/>
    <x v="1"/>
    <n v="1"/>
    <x v="2"/>
    <x v="2"/>
    <s v="6-10 Years"/>
    <s v="High"/>
    <s v="Better"/>
  </r>
  <r>
    <x v="37"/>
    <s v="No"/>
    <s v="Travel_Rarely"/>
    <n v="265"/>
    <x v="1"/>
    <n v="25"/>
    <n v="3"/>
    <s v="Life Sciences"/>
    <n v="1"/>
    <n v="1269"/>
    <n v="2"/>
    <x v="0"/>
    <n v="57"/>
    <n v="4"/>
    <n v="1"/>
    <x v="1"/>
    <n v="4"/>
    <s v="Single"/>
    <n v="2994"/>
    <n v="21221"/>
    <n v="1"/>
    <s v="Y"/>
    <x v="0"/>
    <n v="12"/>
    <n v="3"/>
    <n v="4"/>
    <n v="80"/>
    <n v="0"/>
    <n v="1"/>
    <n v="2"/>
    <n v="3"/>
    <n v="1"/>
    <n v="0"/>
    <n v="0"/>
    <n v="1"/>
    <x v="1"/>
    <n v="1"/>
    <x v="4"/>
    <x v="1"/>
    <s v="0-1 Years"/>
    <s v="Very High"/>
    <s v="Better"/>
  </r>
  <r>
    <x v="30"/>
    <s v="No"/>
    <s v="Travel_Rarely"/>
    <n v="373"/>
    <x v="1"/>
    <n v="1"/>
    <n v="2"/>
    <s v="Life Sciences"/>
    <n v="1"/>
    <n v="1270"/>
    <n v="4"/>
    <x v="1"/>
    <n v="47"/>
    <n v="3"/>
    <n v="1"/>
    <x v="1"/>
    <n v="3"/>
    <s v="Married"/>
    <n v="1223"/>
    <n v="16901"/>
    <n v="1"/>
    <s v="Y"/>
    <x v="1"/>
    <n v="22"/>
    <n v="4"/>
    <n v="4"/>
    <n v="80"/>
    <n v="1"/>
    <n v="1"/>
    <n v="2"/>
    <n v="3"/>
    <n v="1"/>
    <n v="0"/>
    <n v="0"/>
    <n v="1"/>
    <x v="1"/>
    <n v="1"/>
    <x v="4"/>
    <x v="1"/>
    <s v="0-1 Years"/>
    <s v="High"/>
    <s v="Better"/>
  </r>
  <r>
    <x v="36"/>
    <s v="Yes"/>
    <s v="Travel_Frequently"/>
    <n v="599"/>
    <x v="0"/>
    <n v="24"/>
    <n v="1"/>
    <s v="Life Sciences"/>
    <n v="1"/>
    <n v="1273"/>
    <n v="3"/>
    <x v="1"/>
    <n v="73"/>
    <n v="1"/>
    <n v="1"/>
    <x v="6"/>
    <n v="4"/>
    <s v="Single"/>
    <n v="1118"/>
    <n v="8040"/>
    <n v="1"/>
    <s v="Y"/>
    <x v="0"/>
    <n v="14"/>
    <n v="3"/>
    <n v="4"/>
    <n v="80"/>
    <n v="0"/>
    <n v="1"/>
    <n v="4"/>
    <n v="3"/>
    <n v="1"/>
    <n v="0"/>
    <n v="1"/>
    <n v="0"/>
    <x v="0"/>
    <n v="0"/>
    <x v="2"/>
    <x v="1"/>
    <s v="0-1 Years"/>
    <s v="Very High"/>
    <s v="Better"/>
  </r>
  <r>
    <x v="25"/>
    <s v="No"/>
    <s v="Travel_Rarely"/>
    <n v="583"/>
    <x v="1"/>
    <n v="4"/>
    <n v="2"/>
    <s v="Life Sciences"/>
    <n v="1"/>
    <n v="1275"/>
    <n v="3"/>
    <x v="1"/>
    <n v="53"/>
    <n v="3"/>
    <n v="1"/>
    <x v="1"/>
    <n v="4"/>
    <s v="Single"/>
    <n v="2875"/>
    <n v="9973"/>
    <n v="1"/>
    <s v="Y"/>
    <x v="0"/>
    <n v="20"/>
    <n v="4"/>
    <n v="2"/>
    <n v="80"/>
    <n v="0"/>
    <n v="8"/>
    <n v="2"/>
    <n v="2"/>
    <n v="8"/>
    <n v="5"/>
    <n v="2"/>
    <n v="2"/>
    <x v="1"/>
    <n v="1"/>
    <x v="2"/>
    <x v="1"/>
    <s v="6-10 Years"/>
    <s v="Very High"/>
    <s v="Good"/>
  </r>
  <r>
    <x v="28"/>
    <s v="Yes"/>
    <s v="Travel_Rarely"/>
    <n v="1449"/>
    <x v="0"/>
    <n v="2"/>
    <n v="3"/>
    <s v="Marketing"/>
    <n v="1"/>
    <n v="1277"/>
    <n v="1"/>
    <x v="0"/>
    <n v="94"/>
    <n v="1"/>
    <n v="5"/>
    <x v="5"/>
    <n v="2"/>
    <s v="Single"/>
    <n v="18824"/>
    <n v="2493"/>
    <n v="2"/>
    <s v="Y"/>
    <x v="0"/>
    <n v="16"/>
    <n v="3"/>
    <n v="1"/>
    <n v="80"/>
    <n v="0"/>
    <n v="26"/>
    <n v="2"/>
    <n v="3"/>
    <n v="24"/>
    <n v="10"/>
    <n v="1"/>
    <n v="11"/>
    <x v="0"/>
    <n v="0"/>
    <x v="1"/>
    <x v="2"/>
    <s v="10+ Years"/>
    <s v="Medium"/>
    <s v="Better"/>
  </r>
  <r>
    <x v="27"/>
    <s v="No"/>
    <s v="Non-Travel"/>
    <n v="177"/>
    <x v="1"/>
    <n v="8"/>
    <n v="1"/>
    <s v="Medical"/>
    <n v="1"/>
    <n v="1278"/>
    <n v="4"/>
    <x v="1"/>
    <n v="37"/>
    <n v="2"/>
    <n v="4"/>
    <x v="4"/>
    <n v="2"/>
    <s v="Divorced"/>
    <n v="13577"/>
    <n v="25592"/>
    <n v="1"/>
    <s v="Y"/>
    <x v="0"/>
    <n v="15"/>
    <n v="3"/>
    <n v="4"/>
    <n v="80"/>
    <n v="1"/>
    <n v="34"/>
    <n v="3"/>
    <n v="3"/>
    <n v="33"/>
    <n v="9"/>
    <n v="15"/>
    <n v="0"/>
    <x v="1"/>
    <n v="1"/>
    <x v="3"/>
    <x v="2"/>
    <s v="10+ Years"/>
    <s v="Medium"/>
    <s v="Better"/>
  </r>
  <r>
    <x v="18"/>
    <s v="Yes"/>
    <s v="Travel_Frequently"/>
    <n v="251"/>
    <x v="1"/>
    <n v="10"/>
    <n v="2"/>
    <s v="Life Sciences"/>
    <n v="1"/>
    <n v="1279"/>
    <n v="1"/>
    <x v="0"/>
    <n v="45"/>
    <n v="2"/>
    <n v="1"/>
    <x v="2"/>
    <n v="3"/>
    <s v="Single"/>
    <n v="2625"/>
    <n v="25308"/>
    <n v="1"/>
    <s v="Y"/>
    <x v="1"/>
    <n v="20"/>
    <n v="4"/>
    <n v="3"/>
    <n v="80"/>
    <n v="0"/>
    <n v="2"/>
    <n v="2"/>
    <n v="1"/>
    <n v="2"/>
    <n v="2"/>
    <n v="2"/>
    <n v="2"/>
    <x v="0"/>
    <n v="0"/>
    <x v="4"/>
    <x v="1"/>
    <s v="2-5 Years"/>
    <s v="High"/>
    <s v="Bad"/>
  </r>
  <r>
    <x v="21"/>
    <s v="No"/>
    <s v="Travel_Rarely"/>
    <n v="168"/>
    <x v="0"/>
    <n v="4"/>
    <n v="2"/>
    <s v="Marketing"/>
    <n v="1"/>
    <n v="1280"/>
    <n v="4"/>
    <x v="0"/>
    <n v="33"/>
    <n v="2"/>
    <n v="5"/>
    <x v="5"/>
    <n v="2"/>
    <s v="Married"/>
    <n v="18789"/>
    <n v="9946"/>
    <n v="2"/>
    <s v="Y"/>
    <x v="1"/>
    <n v="14"/>
    <n v="3"/>
    <n v="3"/>
    <n v="80"/>
    <n v="1"/>
    <n v="26"/>
    <n v="2"/>
    <n v="3"/>
    <n v="11"/>
    <n v="4"/>
    <n v="0"/>
    <n v="8"/>
    <x v="1"/>
    <n v="1"/>
    <x v="1"/>
    <x v="2"/>
    <s v="10+ Years"/>
    <s v="Medium"/>
    <s v="Better"/>
  </r>
  <r>
    <x v="13"/>
    <s v="No"/>
    <s v="Travel_Rarely"/>
    <n v="131"/>
    <x v="0"/>
    <n v="2"/>
    <n v="3"/>
    <s v="Marketing"/>
    <n v="1"/>
    <n v="1281"/>
    <n v="3"/>
    <x v="0"/>
    <n v="86"/>
    <n v="3"/>
    <n v="2"/>
    <x v="0"/>
    <n v="1"/>
    <s v="Single"/>
    <n v="4538"/>
    <n v="6039"/>
    <n v="0"/>
    <s v="Y"/>
    <x v="0"/>
    <n v="12"/>
    <n v="3"/>
    <n v="4"/>
    <n v="80"/>
    <n v="0"/>
    <n v="4"/>
    <n v="3"/>
    <n v="3"/>
    <n v="3"/>
    <n v="2"/>
    <n v="0"/>
    <n v="2"/>
    <x v="1"/>
    <n v="1"/>
    <x v="2"/>
    <x v="0"/>
    <s v="2-5 Years"/>
    <s v="Low"/>
    <s v="Better"/>
  </r>
  <r>
    <x v="31"/>
    <s v="No"/>
    <s v="Travel_Frequently"/>
    <n v="237"/>
    <x v="0"/>
    <n v="9"/>
    <n v="3"/>
    <s v="Life Sciences"/>
    <n v="1"/>
    <n v="1282"/>
    <n v="4"/>
    <x v="1"/>
    <n v="83"/>
    <n v="3"/>
    <n v="5"/>
    <x v="5"/>
    <n v="2"/>
    <s v="Divorced"/>
    <n v="19847"/>
    <n v="19196"/>
    <n v="4"/>
    <s v="Y"/>
    <x v="0"/>
    <n v="24"/>
    <n v="4"/>
    <n v="1"/>
    <n v="80"/>
    <n v="1"/>
    <n v="31"/>
    <n v="5"/>
    <n v="2"/>
    <n v="29"/>
    <n v="10"/>
    <n v="11"/>
    <n v="10"/>
    <x v="1"/>
    <n v="1"/>
    <x v="1"/>
    <x v="2"/>
    <s v="10+ Years"/>
    <s v="Medium"/>
    <s v="Good"/>
  </r>
  <r>
    <x v="6"/>
    <s v="No"/>
    <s v="Travel_Rarely"/>
    <n v="1429"/>
    <x v="1"/>
    <n v="18"/>
    <n v="4"/>
    <s v="Medical"/>
    <n v="1"/>
    <n v="1283"/>
    <n v="4"/>
    <x v="1"/>
    <n v="67"/>
    <n v="3"/>
    <n v="3"/>
    <x v="3"/>
    <n v="4"/>
    <s v="Single"/>
    <n v="10512"/>
    <n v="20002"/>
    <n v="6"/>
    <s v="Y"/>
    <x v="1"/>
    <n v="12"/>
    <n v="3"/>
    <n v="4"/>
    <n v="80"/>
    <n v="0"/>
    <n v="25"/>
    <n v="6"/>
    <n v="2"/>
    <n v="9"/>
    <n v="7"/>
    <n v="5"/>
    <n v="4"/>
    <x v="1"/>
    <n v="1"/>
    <x v="3"/>
    <x v="2"/>
    <s v="6-10 Years"/>
    <s v="Very High"/>
    <s v="Good"/>
  </r>
  <r>
    <x v="13"/>
    <s v="No"/>
    <s v="Travel_Frequently"/>
    <n v="135"/>
    <x v="1"/>
    <n v="19"/>
    <n v="3"/>
    <s v="Medical"/>
    <n v="1"/>
    <n v="1285"/>
    <n v="3"/>
    <x v="0"/>
    <n v="46"/>
    <n v="3"/>
    <n v="2"/>
    <x v="2"/>
    <n v="2"/>
    <s v="Divorced"/>
    <n v="4444"/>
    <n v="22534"/>
    <n v="4"/>
    <s v="Y"/>
    <x v="1"/>
    <n v="13"/>
    <n v="3"/>
    <n v="3"/>
    <n v="80"/>
    <n v="2"/>
    <n v="15"/>
    <n v="2"/>
    <n v="4"/>
    <n v="11"/>
    <n v="8"/>
    <n v="5"/>
    <n v="10"/>
    <x v="1"/>
    <n v="1"/>
    <x v="2"/>
    <x v="0"/>
    <s v="10+ Years"/>
    <s v="Medium"/>
    <s v="Best"/>
  </r>
  <r>
    <x v="14"/>
    <s v="No"/>
    <s v="Travel_Frequently"/>
    <n v="791"/>
    <x v="1"/>
    <n v="1"/>
    <n v="4"/>
    <s v="Medical"/>
    <n v="1"/>
    <n v="1286"/>
    <n v="4"/>
    <x v="1"/>
    <n v="44"/>
    <n v="3"/>
    <n v="1"/>
    <x v="2"/>
    <n v="3"/>
    <s v="Single"/>
    <n v="2154"/>
    <n v="6842"/>
    <n v="0"/>
    <s v="Y"/>
    <x v="0"/>
    <n v="11"/>
    <n v="3"/>
    <n v="3"/>
    <n v="80"/>
    <n v="0"/>
    <n v="5"/>
    <n v="2"/>
    <n v="2"/>
    <n v="4"/>
    <n v="2"/>
    <n v="0"/>
    <n v="2"/>
    <x v="1"/>
    <n v="1"/>
    <x v="2"/>
    <x v="1"/>
    <s v="2-5 Years"/>
    <s v="High"/>
    <s v="Good"/>
  </r>
  <r>
    <x v="20"/>
    <s v="No"/>
    <s v="Travel_Rarely"/>
    <n v="1199"/>
    <x v="1"/>
    <n v="4"/>
    <n v="2"/>
    <s v="Life Sciences"/>
    <n v="1"/>
    <n v="1288"/>
    <n v="3"/>
    <x v="1"/>
    <n v="92"/>
    <n v="4"/>
    <n v="5"/>
    <x v="5"/>
    <n v="1"/>
    <s v="Divorced"/>
    <n v="19190"/>
    <n v="17477"/>
    <n v="1"/>
    <s v="Y"/>
    <x v="1"/>
    <n v="14"/>
    <n v="3"/>
    <n v="4"/>
    <n v="80"/>
    <n v="2"/>
    <n v="26"/>
    <n v="4"/>
    <n v="2"/>
    <n v="25"/>
    <n v="9"/>
    <n v="14"/>
    <n v="13"/>
    <x v="1"/>
    <n v="1"/>
    <x v="0"/>
    <x v="2"/>
    <s v="10+ Years"/>
    <s v="Low"/>
    <s v="Good"/>
  </r>
  <r>
    <x v="13"/>
    <s v="No"/>
    <s v="Travel_Frequently"/>
    <n v="648"/>
    <x v="2"/>
    <n v="11"/>
    <n v="3"/>
    <s v="Life Sciences"/>
    <n v="1"/>
    <n v="1289"/>
    <n v="3"/>
    <x v="1"/>
    <n v="56"/>
    <n v="2"/>
    <n v="2"/>
    <x v="8"/>
    <n v="2"/>
    <s v="Married"/>
    <n v="4490"/>
    <n v="21833"/>
    <n v="4"/>
    <s v="Y"/>
    <x v="1"/>
    <n v="11"/>
    <n v="3"/>
    <n v="4"/>
    <n v="80"/>
    <n v="2"/>
    <n v="14"/>
    <n v="5"/>
    <n v="4"/>
    <n v="10"/>
    <n v="9"/>
    <n v="1"/>
    <n v="8"/>
    <x v="1"/>
    <n v="1"/>
    <x v="2"/>
    <x v="0"/>
    <s v="6-10 Years"/>
    <s v="Medium"/>
    <s v="Best"/>
  </r>
  <r>
    <x v="10"/>
    <s v="No"/>
    <s v="Travel_Rarely"/>
    <n v="735"/>
    <x v="1"/>
    <n v="6"/>
    <n v="1"/>
    <s v="Life Sciences"/>
    <n v="1"/>
    <n v="1291"/>
    <n v="3"/>
    <x v="1"/>
    <n v="66"/>
    <n v="3"/>
    <n v="1"/>
    <x v="1"/>
    <n v="3"/>
    <s v="Married"/>
    <n v="3506"/>
    <n v="6020"/>
    <n v="0"/>
    <s v="Y"/>
    <x v="0"/>
    <n v="14"/>
    <n v="3"/>
    <n v="4"/>
    <n v="80"/>
    <n v="0"/>
    <n v="4"/>
    <n v="3"/>
    <n v="3"/>
    <n v="3"/>
    <n v="2"/>
    <n v="2"/>
    <n v="2"/>
    <x v="1"/>
    <n v="1"/>
    <x v="0"/>
    <x v="0"/>
    <s v="2-5 Years"/>
    <s v="High"/>
    <s v="Better"/>
  </r>
  <r>
    <x v="19"/>
    <s v="No"/>
    <s v="Travel_Rarely"/>
    <n v="603"/>
    <x v="1"/>
    <n v="7"/>
    <n v="4"/>
    <s v="Medical"/>
    <n v="1"/>
    <n v="1292"/>
    <n v="2"/>
    <x v="0"/>
    <n v="78"/>
    <n v="4"/>
    <n v="2"/>
    <x v="1"/>
    <n v="2"/>
    <s v="Married"/>
    <n v="2372"/>
    <n v="5628"/>
    <n v="6"/>
    <s v="Y"/>
    <x v="0"/>
    <n v="16"/>
    <n v="3"/>
    <n v="4"/>
    <n v="80"/>
    <n v="0"/>
    <n v="18"/>
    <n v="2"/>
    <n v="3"/>
    <n v="1"/>
    <n v="0"/>
    <n v="0"/>
    <n v="0"/>
    <x v="1"/>
    <n v="1"/>
    <x v="0"/>
    <x v="1"/>
    <s v="0-1 Years"/>
    <s v="Medium"/>
    <s v="Better"/>
  </r>
  <r>
    <x v="23"/>
    <s v="No"/>
    <s v="Travel_Rarely"/>
    <n v="531"/>
    <x v="0"/>
    <n v="4"/>
    <n v="4"/>
    <s v="Marketing"/>
    <n v="1"/>
    <n v="1293"/>
    <n v="4"/>
    <x v="0"/>
    <n v="56"/>
    <n v="2"/>
    <n v="3"/>
    <x v="0"/>
    <n v="4"/>
    <s v="Single"/>
    <n v="10231"/>
    <n v="20364"/>
    <n v="3"/>
    <s v="Y"/>
    <x v="1"/>
    <n v="14"/>
    <n v="3"/>
    <n v="4"/>
    <n v="80"/>
    <n v="0"/>
    <n v="23"/>
    <n v="3"/>
    <n v="4"/>
    <n v="21"/>
    <n v="7"/>
    <n v="15"/>
    <n v="17"/>
    <x v="1"/>
    <n v="1"/>
    <x v="0"/>
    <x v="2"/>
    <s v="10+ Years"/>
    <s v="Very High"/>
    <s v="Best"/>
  </r>
  <r>
    <x v="9"/>
    <s v="No"/>
    <s v="Travel_Rarely"/>
    <n v="429"/>
    <x v="1"/>
    <n v="2"/>
    <n v="4"/>
    <s v="Life Sciences"/>
    <n v="1"/>
    <n v="1294"/>
    <n v="3"/>
    <x v="0"/>
    <n v="53"/>
    <n v="3"/>
    <n v="2"/>
    <x v="3"/>
    <n v="2"/>
    <s v="Single"/>
    <n v="5410"/>
    <n v="2323"/>
    <n v="9"/>
    <s v="Y"/>
    <x v="0"/>
    <n v="11"/>
    <n v="3"/>
    <n v="4"/>
    <n v="80"/>
    <n v="0"/>
    <n v="18"/>
    <n v="2"/>
    <n v="3"/>
    <n v="16"/>
    <n v="14"/>
    <n v="5"/>
    <n v="12"/>
    <x v="1"/>
    <n v="1"/>
    <x v="0"/>
    <x v="0"/>
    <s v="10+ Years"/>
    <s v="Medium"/>
    <s v="Better"/>
  </r>
  <r>
    <x v="20"/>
    <s v="Yes"/>
    <s v="Travel_Rarely"/>
    <n v="621"/>
    <x v="1"/>
    <n v="15"/>
    <n v="3"/>
    <s v="Medical"/>
    <n v="1"/>
    <n v="1295"/>
    <n v="1"/>
    <x v="0"/>
    <n v="73"/>
    <n v="3"/>
    <n v="3"/>
    <x v="4"/>
    <n v="4"/>
    <s v="Married"/>
    <n v="7978"/>
    <n v="14075"/>
    <n v="1"/>
    <s v="Y"/>
    <x v="1"/>
    <n v="11"/>
    <n v="3"/>
    <n v="4"/>
    <n v="80"/>
    <n v="1"/>
    <n v="10"/>
    <n v="2"/>
    <n v="3"/>
    <n v="10"/>
    <n v="7"/>
    <n v="0"/>
    <n v="5"/>
    <x v="0"/>
    <n v="0"/>
    <x v="0"/>
    <x v="2"/>
    <s v="6-10 Years"/>
    <s v="Very High"/>
    <s v="Better"/>
  </r>
  <r>
    <x v="14"/>
    <s v="No"/>
    <s v="Travel_Frequently"/>
    <n v="193"/>
    <x v="1"/>
    <n v="2"/>
    <n v="3"/>
    <s v="Life Sciences"/>
    <n v="1"/>
    <n v="1296"/>
    <n v="4"/>
    <x v="1"/>
    <n v="52"/>
    <n v="2"/>
    <n v="1"/>
    <x v="2"/>
    <n v="4"/>
    <s v="Married"/>
    <n v="3867"/>
    <n v="14222"/>
    <n v="1"/>
    <s v="Y"/>
    <x v="0"/>
    <n v="12"/>
    <n v="3"/>
    <n v="2"/>
    <n v="80"/>
    <n v="1"/>
    <n v="2"/>
    <n v="2"/>
    <n v="3"/>
    <n v="2"/>
    <n v="2"/>
    <n v="2"/>
    <n v="2"/>
    <x v="1"/>
    <n v="1"/>
    <x v="2"/>
    <x v="0"/>
    <s v="2-5 Years"/>
    <s v="Very High"/>
    <s v="Better"/>
  </r>
  <r>
    <x v="31"/>
    <s v="No"/>
    <s v="Travel_Frequently"/>
    <n v="968"/>
    <x v="1"/>
    <n v="6"/>
    <n v="2"/>
    <s v="Medical"/>
    <n v="1"/>
    <n v="1297"/>
    <n v="2"/>
    <x v="0"/>
    <n v="40"/>
    <n v="2"/>
    <n v="1"/>
    <x v="2"/>
    <n v="3"/>
    <s v="Single"/>
    <n v="2838"/>
    <n v="4257"/>
    <n v="0"/>
    <s v="Y"/>
    <x v="1"/>
    <n v="14"/>
    <n v="3"/>
    <n v="2"/>
    <n v="80"/>
    <n v="0"/>
    <n v="8"/>
    <n v="6"/>
    <n v="2"/>
    <n v="7"/>
    <n v="0"/>
    <n v="7"/>
    <n v="7"/>
    <x v="1"/>
    <n v="1"/>
    <x v="1"/>
    <x v="1"/>
    <s v="6-10 Years"/>
    <s v="High"/>
    <s v="Good"/>
  </r>
  <r>
    <x v="7"/>
    <s v="No"/>
    <s v="Non-Travel"/>
    <n v="879"/>
    <x v="1"/>
    <n v="9"/>
    <n v="2"/>
    <s v="Medical"/>
    <n v="1"/>
    <n v="1298"/>
    <n v="3"/>
    <x v="0"/>
    <n v="72"/>
    <n v="3"/>
    <n v="2"/>
    <x v="3"/>
    <n v="3"/>
    <s v="Single"/>
    <n v="4695"/>
    <n v="12858"/>
    <n v="7"/>
    <s v="Y"/>
    <x v="0"/>
    <n v="18"/>
    <n v="3"/>
    <n v="3"/>
    <n v="80"/>
    <n v="0"/>
    <n v="10"/>
    <n v="3"/>
    <n v="3"/>
    <n v="8"/>
    <n v="4"/>
    <n v="1"/>
    <n v="7"/>
    <x v="1"/>
    <n v="1"/>
    <x v="2"/>
    <x v="0"/>
    <s v="6-10 Years"/>
    <s v="High"/>
    <s v="Better"/>
  </r>
  <r>
    <x v="11"/>
    <s v="Yes"/>
    <s v="Travel_Rarely"/>
    <n v="806"/>
    <x v="1"/>
    <n v="7"/>
    <n v="3"/>
    <s v="Technical Degree"/>
    <n v="1"/>
    <n v="1299"/>
    <n v="2"/>
    <x v="0"/>
    <n v="39"/>
    <n v="3"/>
    <n v="1"/>
    <x v="2"/>
    <n v="3"/>
    <s v="Divorced"/>
    <n v="3339"/>
    <n v="17285"/>
    <n v="3"/>
    <s v="Y"/>
    <x v="0"/>
    <n v="13"/>
    <n v="3"/>
    <n v="1"/>
    <n v="80"/>
    <n v="2"/>
    <n v="10"/>
    <n v="2"/>
    <n v="3"/>
    <n v="7"/>
    <n v="7"/>
    <n v="7"/>
    <n v="7"/>
    <x v="0"/>
    <n v="0"/>
    <x v="2"/>
    <x v="0"/>
    <s v="6-10 Years"/>
    <s v="High"/>
    <s v="Better"/>
  </r>
  <r>
    <x v="14"/>
    <s v="No"/>
    <s v="Travel_Rarely"/>
    <n v="640"/>
    <x v="1"/>
    <n v="1"/>
    <n v="3"/>
    <s v="Technical Degree"/>
    <n v="1"/>
    <n v="1301"/>
    <n v="4"/>
    <x v="1"/>
    <n v="84"/>
    <n v="3"/>
    <n v="1"/>
    <x v="1"/>
    <n v="1"/>
    <s v="Single"/>
    <n v="2080"/>
    <n v="4732"/>
    <n v="2"/>
    <s v="Y"/>
    <x v="1"/>
    <n v="11"/>
    <n v="3"/>
    <n v="2"/>
    <n v="80"/>
    <n v="0"/>
    <n v="5"/>
    <n v="2"/>
    <n v="2"/>
    <n v="3"/>
    <n v="2"/>
    <n v="1"/>
    <n v="2"/>
    <x v="1"/>
    <n v="1"/>
    <x v="2"/>
    <x v="1"/>
    <s v="2-5 Years"/>
    <s v="Low"/>
    <s v="Good"/>
  </r>
  <r>
    <x v="36"/>
    <s v="No"/>
    <s v="Travel_Rarely"/>
    <n v="266"/>
    <x v="1"/>
    <n v="1"/>
    <n v="3"/>
    <s v="Medical"/>
    <n v="1"/>
    <n v="1303"/>
    <n v="4"/>
    <x v="0"/>
    <n v="40"/>
    <n v="3"/>
    <n v="1"/>
    <x v="1"/>
    <n v="2"/>
    <s v="Single"/>
    <n v="2096"/>
    <n v="18830"/>
    <n v="1"/>
    <s v="Y"/>
    <x v="1"/>
    <n v="18"/>
    <n v="3"/>
    <n v="4"/>
    <n v="80"/>
    <n v="0"/>
    <n v="2"/>
    <n v="3"/>
    <n v="2"/>
    <n v="2"/>
    <n v="2"/>
    <n v="2"/>
    <n v="1"/>
    <x v="1"/>
    <n v="1"/>
    <x v="2"/>
    <x v="1"/>
    <s v="2-5 Years"/>
    <s v="Medium"/>
    <s v="Good"/>
  </r>
  <r>
    <x v="5"/>
    <s v="No"/>
    <s v="Travel_Rarely"/>
    <n v="604"/>
    <x v="0"/>
    <n v="8"/>
    <n v="3"/>
    <s v="Medical"/>
    <n v="1"/>
    <n v="1304"/>
    <n v="3"/>
    <x v="1"/>
    <n v="56"/>
    <n v="4"/>
    <n v="2"/>
    <x v="0"/>
    <n v="4"/>
    <s v="Married"/>
    <n v="6209"/>
    <n v="11693"/>
    <n v="1"/>
    <s v="Y"/>
    <x v="1"/>
    <n v="15"/>
    <n v="3"/>
    <n v="3"/>
    <n v="80"/>
    <n v="2"/>
    <n v="10"/>
    <n v="4"/>
    <n v="4"/>
    <n v="10"/>
    <n v="7"/>
    <n v="0"/>
    <n v="8"/>
    <x v="1"/>
    <n v="1"/>
    <x v="2"/>
    <x v="0"/>
    <s v="6-10 Years"/>
    <s v="Very High"/>
    <s v="Best"/>
  </r>
  <r>
    <x v="28"/>
    <s v="No"/>
    <s v="Travel_Frequently"/>
    <n v="364"/>
    <x v="1"/>
    <n v="25"/>
    <n v="3"/>
    <s v="Medical"/>
    <n v="1"/>
    <n v="1306"/>
    <n v="2"/>
    <x v="0"/>
    <n v="83"/>
    <n v="3"/>
    <n v="5"/>
    <x v="5"/>
    <n v="2"/>
    <s v="Single"/>
    <n v="18061"/>
    <n v="13035"/>
    <n v="3"/>
    <s v="Y"/>
    <x v="1"/>
    <n v="22"/>
    <n v="4"/>
    <n v="3"/>
    <n v="80"/>
    <n v="0"/>
    <n v="22"/>
    <n v="4"/>
    <n v="3"/>
    <n v="0"/>
    <n v="0"/>
    <n v="0"/>
    <n v="0"/>
    <x v="1"/>
    <n v="1"/>
    <x v="1"/>
    <x v="2"/>
    <s v="0-1 Years"/>
    <s v="Medium"/>
    <s v="Better"/>
  </r>
  <r>
    <x v="22"/>
    <s v="No"/>
    <s v="Travel_Rarely"/>
    <n v="412"/>
    <x v="1"/>
    <n v="13"/>
    <n v="4"/>
    <s v="Medical"/>
    <n v="1"/>
    <n v="1307"/>
    <n v="3"/>
    <x v="0"/>
    <n v="94"/>
    <n v="2"/>
    <n v="4"/>
    <x v="5"/>
    <n v="2"/>
    <s v="Divorced"/>
    <n v="17123"/>
    <n v="17334"/>
    <n v="6"/>
    <s v="Y"/>
    <x v="0"/>
    <n v="13"/>
    <n v="3"/>
    <n v="4"/>
    <n v="80"/>
    <n v="2"/>
    <n v="21"/>
    <n v="4"/>
    <n v="3"/>
    <n v="19"/>
    <n v="9"/>
    <n v="15"/>
    <n v="2"/>
    <x v="1"/>
    <n v="1"/>
    <x v="0"/>
    <x v="2"/>
    <s v="10+ Years"/>
    <s v="Medium"/>
    <s v="Better"/>
  </r>
  <r>
    <x v="34"/>
    <s v="No"/>
    <s v="Travel_Rarely"/>
    <n v="848"/>
    <x v="1"/>
    <n v="23"/>
    <n v="4"/>
    <s v="Life Sciences"/>
    <n v="1"/>
    <n v="1308"/>
    <n v="1"/>
    <x v="1"/>
    <n v="88"/>
    <n v="3"/>
    <n v="1"/>
    <x v="1"/>
    <n v="3"/>
    <s v="Divorced"/>
    <n v="2372"/>
    <n v="26076"/>
    <n v="1"/>
    <s v="Y"/>
    <x v="1"/>
    <n v="12"/>
    <n v="3"/>
    <n v="4"/>
    <n v="80"/>
    <n v="2"/>
    <n v="2"/>
    <n v="3"/>
    <n v="3"/>
    <n v="2"/>
    <n v="2"/>
    <n v="2"/>
    <n v="2"/>
    <x v="1"/>
    <n v="1"/>
    <x v="3"/>
    <x v="1"/>
    <s v="2-5 Years"/>
    <s v="High"/>
    <s v="Better"/>
  </r>
  <r>
    <x v="5"/>
    <s v="Yes"/>
    <s v="Travel_Rarely"/>
    <n v="1089"/>
    <x v="1"/>
    <n v="7"/>
    <n v="2"/>
    <s v="Life Sciences"/>
    <n v="1"/>
    <n v="1309"/>
    <n v="4"/>
    <x v="1"/>
    <n v="79"/>
    <n v="3"/>
    <n v="2"/>
    <x v="2"/>
    <n v="3"/>
    <s v="Married"/>
    <n v="4883"/>
    <n v="22845"/>
    <n v="1"/>
    <s v="Y"/>
    <x v="1"/>
    <n v="18"/>
    <n v="3"/>
    <n v="1"/>
    <n v="80"/>
    <n v="1"/>
    <n v="10"/>
    <n v="3"/>
    <n v="3"/>
    <n v="10"/>
    <n v="4"/>
    <n v="1"/>
    <n v="1"/>
    <x v="0"/>
    <n v="0"/>
    <x v="2"/>
    <x v="0"/>
    <s v="6-10 Years"/>
    <s v="High"/>
    <s v="Better"/>
  </r>
  <r>
    <x v="22"/>
    <s v="Yes"/>
    <s v="Travel_Rarely"/>
    <n v="360"/>
    <x v="1"/>
    <n v="23"/>
    <n v="3"/>
    <s v="Medical"/>
    <n v="1"/>
    <n v="1310"/>
    <n v="3"/>
    <x v="1"/>
    <n v="93"/>
    <n v="3"/>
    <n v="1"/>
    <x v="1"/>
    <n v="1"/>
    <s v="Single"/>
    <n v="3904"/>
    <n v="22154"/>
    <n v="0"/>
    <s v="Y"/>
    <x v="1"/>
    <n v="13"/>
    <n v="3"/>
    <n v="1"/>
    <n v="80"/>
    <n v="0"/>
    <n v="6"/>
    <n v="2"/>
    <n v="3"/>
    <n v="5"/>
    <n v="2"/>
    <n v="0"/>
    <n v="3"/>
    <x v="0"/>
    <n v="0"/>
    <x v="0"/>
    <x v="0"/>
    <s v="2-5 Years"/>
    <s v="Low"/>
    <s v="Better"/>
  </r>
  <r>
    <x v="7"/>
    <s v="No"/>
    <s v="Travel_Rarely"/>
    <n v="1138"/>
    <x v="1"/>
    <n v="6"/>
    <n v="3"/>
    <s v="Technical Degree"/>
    <n v="1"/>
    <n v="1311"/>
    <n v="1"/>
    <x v="0"/>
    <n v="48"/>
    <n v="2"/>
    <n v="2"/>
    <x v="2"/>
    <n v="4"/>
    <s v="Married"/>
    <n v="4627"/>
    <n v="23631"/>
    <n v="0"/>
    <s v="Y"/>
    <x v="1"/>
    <n v="12"/>
    <n v="3"/>
    <n v="1"/>
    <n v="80"/>
    <n v="1"/>
    <n v="10"/>
    <n v="6"/>
    <n v="3"/>
    <n v="9"/>
    <n v="2"/>
    <n v="6"/>
    <n v="7"/>
    <x v="1"/>
    <n v="1"/>
    <x v="2"/>
    <x v="0"/>
    <s v="6-10 Years"/>
    <s v="Very High"/>
    <s v="Better"/>
  </r>
  <r>
    <x v="9"/>
    <s v="No"/>
    <s v="Travel_Rarely"/>
    <n v="325"/>
    <x v="1"/>
    <n v="10"/>
    <n v="4"/>
    <s v="Technical Degree"/>
    <n v="1"/>
    <n v="1312"/>
    <n v="4"/>
    <x v="0"/>
    <n v="63"/>
    <n v="3"/>
    <n v="3"/>
    <x v="4"/>
    <n v="3"/>
    <s v="Married"/>
    <n v="7094"/>
    <n v="5747"/>
    <n v="3"/>
    <s v="Y"/>
    <x v="1"/>
    <n v="12"/>
    <n v="3"/>
    <n v="1"/>
    <n v="80"/>
    <n v="0"/>
    <n v="10"/>
    <n v="0"/>
    <n v="3"/>
    <n v="7"/>
    <n v="7"/>
    <n v="1"/>
    <n v="7"/>
    <x v="1"/>
    <n v="1"/>
    <x v="0"/>
    <x v="2"/>
    <s v="6-10 Years"/>
    <s v="High"/>
    <s v="Better"/>
  </r>
  <r>
    <x v="21"/>
    <s v="No"/>
    <s v="Travel_Rarely"/>
    <n v="991"/>
    <x v="2"/>
    <n v="1"/>
    <n v="2"/>
    <s v="Life Sciences"/>
    <n v="1"/>
    <n v="1314"/>
    <n v="4"/>
    <x v="0"/>
    <n v="44"/>
    <n v="3"/>
    <n v="1"/>
    <x v="8"/>
    <n v="1"/>
    <s v="Single"/>
    <n v="3423"/>
    <n v="22957"/>
    <n v="6"/>
    <s v="Y"/>
    <x v="1"/>
    <n v="12"/>
    <n v="3"/>
    <n v="3"/>
    <n v="80"/>
    <n v="0"/>
    <n v="10"/>
    <n v="3"/>
    <n v="4"/>
    <n v="7"/>
    <n v="6"/>
    <n v="5"/>
    <n v="7"/>
    <x v="1"/>
    <n v="1"/>
    <x v="1"/>
    <x v="0"/>
    <s v="6-10 Years"/>
    <s v="Low"/>
    <s v="Best"/>
  </r>
  <r>
    <x v="14"/>
    <s v="No"/>
    <s v="Non-Travel"/>
    <n v="1476"/>
    <x v="1"/>
    <n v="1"/>
    <n v="3"/>
    <s v="Life Sciences"/>
    <n v="1"/>
    <n v="1315"/>
    <n v="3"/>
    <x v="0"/>
    <n v="55"/>
    <n v="1"/>
    <n v="2"/>
    <x v="2"/>
    <n v="4"/>
    <s v="Married"/>
    <n v="6674"/>
    <n v="16392"/>
    <n v="0"/>
    <s v="Y"/>
    <x v="1"/>
    <n v="11"/>
    <n v="3"/>
    <n v="1"/>
    <n v="80"/>
    <n v="3"/>
    <n v="10"/>
    <n v="6"/>
    <n v="3"/>
    <n v="9"/>
    <n v="8"/>
    <n v="7"/>
    <n v="5"/>
    <x v="1"/>
    <n v="1"/>
    <x v="2"/>
    <x v="0"/>
    <s v="6-10 Years"/>
    <s v="Very High"/>
    <s v="Better"/>
  </r>
  <r>
    <x v="24"/>
    <s v="No"/>
    <s v="Travel_Rarely"/>
    <n v="1322"/>
    <x v="1"/>
    <n v="28"/>
    <n v="3"/>
    <s v="Life Sciences"/>
    <n v="1"/>
    <n v="1317"/>
    <n v="4"/>
    <x v="0"/>
    <n v="43"/>
    <n v="3"/>
    <n v="4"/>
    <x v="7"/>
    <n v="1"/>
    <s v="Married"/>
    <n v="16880"/>
    <n v="22422"/>
    <n v="4"/>
    <s v="Y"/>
    <x v="0"/>
    <n v="11"/>
    <n v="3"/>
    <n v="2"/>
    <n v="80"/>
    <n v="0"/>
    <n v="25"/>
    <n v="2"/>
    <n v="3"/>
    <n v="3"/>
    <n v="2"/>
    <n v="1"/>
    <n v="2"/>
    <x v="1"/>
    <n v="1"/>
    <x v="1"/>
    <x v="2"/>
    <s v="2-5 Years"/>
    <s v="Low"/>
    <s v="Better"/>
  </r>
  <r>
    <x v="32"/>
    <s v="Yes"/>
    <s v="Travel_Rarely"/>
    <n v="299"/>
    <x v="0"/>
    <n v="25"/>
    <n v="4"/>
    <s v="Marketing"/>
    <n v="1"/>
    <n v="1318"/>
    <n v="4"/>
    <x v="1"/>
    <n v="57"/>
    <n v="2"/>
    <n v="3"/>
    <x v="0"/>
    <n v="2"/>
    <s v="Single"/>
    <n v="9094"/>
    <n v="17235"/>
    <n v="2"/>
    <s v="Y"/>
    <x v="0"/>
    <n v="12"/>
    <n v="3"/>
    <n v="3"/>
    <n v="80"/>
    <n v="0"/>
    <n v="9"/>
    <n v="2"/>
    <n v="3"/>
    <n v="5"/>
    <n v="4"/>
    <n v="1"/>
    <n v="0"/>
    <x v="0"/>
    <n v="0"/>
    <x v="0"/>
    <x v="2"/>
    <s v="2-5 Years"/>
    <s v="Medium"/>
    <s v="Better"/>
  </r>
  <r>
    <x v="39"/>
    <s v="Yes"/>
    <s v="Travel_Rarely"/>
    <n v="1030"/>
    <x v="0"/>
    <n v="5"/>
    <n v="3"/>
    <s v="Life Sciences"/>
    <n v="1"/>
    <n v="1319"/>
    <n v="2"/>
    <x v="1"/>
    <n v="64"/>
    <n v="3"/>
    <n v="3"/>
    <x v="0"/>
    <n v="2"/>
    <s v="Single"/>
    <n v="8446"/>
    <n v="21534"/>
    <n v="9"/>
    <s v="Y"/>
    <x v="0"/>
    <n v="19"/>
    <n v="3"/>
    <n v="3"/>
    <n v="80"/>
    <n v="0"/>
    <n v="10"/>
    <n v="2"/>
    <n v="2"/>
    <n v="8"/>
    <n v="7"/>
    <n v="7"/>
    <n v="7"/>
    <x v="0"/>
    <n v="0"/>
    <x v="1"/>
    <x v="2"/>
    <s v="6-10 Years"/>
    <s v="Medium"/>
    <s v="Good"/>
  </r>
  <r>
    <x v="7"/>
    <s v="No"/>
    <s v="Travel_Rarely"/>
    <n v="634"/>
    <x v="1"/>
    <n v="17"/>
    <n v="4"/>
    <s v="Medical"/>
    <n v="1"/>
    <n v="1321"/>
    <n v="2"/>
    <x v="0"/>
    <n v="95"/>
    <n v="3"/>
    <n v="3"/>
    <x v="5"/>
    <n v="1"/>
    <s v="Married"/>
    <n v="11916"/>
    <n v="25927"/>
    <n v="1"/>
    <s v="Y"/>
    <x v="0"/>
    <n v="23"/>
    <n v="4"/>
    <n v="4"/>
    <n v="80"/>
    <n v="2"/>
    <n v="9"/>
    <n v="2"/>
    <n v="3"/>
    <n v="9"/>
    <n v="1"/>
    <n v="0"/>
    <n v="8"/>
    <x v="1"/>
    <n v="1"/>
    <x v="2"/>
    <x v="2"/>
    <s v="6-10 Years"/>
    <s v="Low"/>
    <s v="Better"/>
  </r>
  <r>
    <x v="22"/>
    <s v="No"/>
    <s v="Travel_Rarely"/>
    <n v="524"/>
    <x v="1"/>
    <n v="18"/>
    <n v="2"/>
    <s v="Life Sciences"/>
    <n v="1"/>
    <n v="1322"/>
    <n v="1"/>
    <x v="1"/>
    <n v="32"/>
    <n v="3"/>
    <n v="2"/>
    <x v="3"/>
    <n v="3"/>
    <s v="Single"/>
    <n v="4534"/>
    <n v="13352"/>
    <n v="0"/>
    <s v="Y"/>
    <x v="1"/>
    <n v="11"/>
    <n v="3"/>
    <n v="1"/>
    <n v="80"/>
    <n v="0"/>
    <n v="9"/>
    <n v="6"/>
    <n v="3"/>
    <n v="8"/>
    <n v="7"/>
    <n v="1"/>
    <n v="7"/>
    <x v="1"/>
    <n v="1"/>
    <x v="0"/>
    <x v="0"/>
    <s v="6-10 Years"/>
    <s v="High"/>
    <s v="Better"/>
  </r>
  <r>
    <x v="12"/>
    <s v="No"/>
    <s v="Non-Travel"/>
    <n v="587"/>
    <x v="0"/>
    <n v="2"/>
    <n v="4"/>
    <s v="Life Sciences"/>
    <n v="1"/>
    <n v="1324"/>
    <n v="4"/>
    <x v="0"/>
    <n v="57"/>
    <n v="3"/>
    <n v="3"/>
    <x v="0"/>
    <n v="3"/>
    <s v="Divorced"/>
    <n v="9852"/>
    <n v="8935"/>
    <n v="1"/>
    <s v="Y"/>
    <x v="0"/>
    <n v="19"/>
    <n v="3"/>
    <n v="1"/>
    <n v="80"/>
    <n v="1"/>
    <n v="10"/>
    <n v="5"/>
    <n v="2"/>
    <n v="10"/>
    <n v="8"/>
    <n v="9"/>
    <n v="6"/>
    <x v="1"/>
    <n v="1"/>
    <x v="2"/>
    <x v="2"/>
    <s v="6-10 Years"/>
    <s v="High"/>
    <s v="Good"/>
  </r>
  <r>
    <x v="0"/>
    <s v="No"/>
    <s v="Non-Travel"/>
    <n v="256"/>
    <x v="0"/>
    <n v="10"/>
    <n v="2"/>
    <s v="Medical"/>
    <n v="1"/>
    <n v="1329"/>
    <n v="3"/>
    <x v="1"/>
    <n v="40"/>
    <n v="1"/>
    <n v="2"/>
    <x v="0"/>
    <n v="2"/>
    <s v="Single"/>
    <n v="6151"/>
    <n v="22074"/>
    <n v="1"/>
    <s v="Y"/>
    <x v="1"/>
    <n v="13"/>
    <n v="3"/>
    <n v="1"/>
    <n v="80"/>
    <n v="0"/>
    <n v="19"/>
    <n v="4"/>
    <n v="3"/>
    <n v="19"/>
    <n v="2"/>
    <n v="11"/>
    <n v="9"/>
    <x v="1"/>
    <n v="1"/>
    <x v="0"/>
    <x v="0"/>
    <s v="10+ Years"/>
    <s v="Medium"/>
    <s v="Better"/>
  </r>
  <r>
    <x v="12"/>
    <s v="Yes"/>
    <s v="Travel_Frequently"/>
    <n v="1060"/>
    <x v="0"/>
    <n v="1"/>
    <n v="3"/>
    <s v="Life Sciences"/>
    <n v="1"/>
    <n v="1331"/>
    <n v="4"/>
    <x v="0"/>
    <n v="54"/>
    <n v="3"/>
    <n v="1"/>
    <x v="6"/>
    <n v="2"/>
    <s v="Single"/>
    <n v="2302"/>
    <n v="8319"/>
    <n v="1"/>
    <s v="Y"/>
    <x v="0"/>
    <n v="11"/>
    <n v="3"/>
    <n v="1"/>
    <n v="80"/>
    <n v="0"/>
    <n v="3"/>
    <n v="2"/>
    <n v="4"/>
    <n v="3"/>
    <n v="2"/>
    <n v="2"/>
    <n v="2"/>
    <x v="0"/>
    <n v="0"/>
    <x v="2"/>
    <x v="1"/>
    <s v="2-5 Years"/>
    <s v="Medium"/>
    <s v="Best"/>
  </r>
  <r>
    <x v="20"/>
    <s v="Yes"/>
    <s v="Travel_Rarely"/>
    <n v="935"/>
    <x v="1"/>
    <n v="3"/>
    <n v="3"/>
    <s v="Life Sciences"/>
    <n v="1"/>
    <n v="1333"/>
    <n v="1"/>
    <x v="1"/>
    <n v="89"/>
    <n v="3"/>
    <n v="1"/>
    <x v="2"/>
    <n v="1"/>
    <s v="Married"/>
    <n v="2362"/>
    <n v="14669"/>
    <n v="4"/>
    <s v="Y"/>
    <x v="1"/>
    <n v="12"/>
    <n v="3"/>
    <n v="3"/>
    <n v="80"/>
    <n v="0"/>
    <n v="10"/>
    <n v="4"/>
    <n v="4"/>
    <n v="3"/>
    <n v="2"/>
    <n v="1"/>
    <n v="2"/>
    <x v="0"/>
    <n v="0"/>
    <x v="0"/>
    <x v="1"/>
    <s v="2-5 Years"/>
    <s v="Low"/>
    <s v="Best"/>
  </r>
  <r>
    <x v="19"/>
    <s v="No"/>
    <s v="Non-Travel"/>
    <n v="495"/>
    <x v="1"/>
    <n v="2"/>
    <n v="1"/>
    <s v="Life Sciences"/>
    <n v="1"/>
    <n v="1334"/>
    <n v="3"/>
    <x v="1"/>
    <n v="37"/>
    <n v="3"/>
    <n v="4"/>
    <x v="5"/>
    <n v="3"/>
    <s v="Married"/>
    <n v="17861"/>
    <n v="26582"/>
    <n v="0"/>
    <s v="Y"/>
    <x v="0"/>
    <n v="13"/>
    <n v="3"/>
    <n v="4"/>
    <n v="80"/>
    <n v="0"/>
    <n v="21"/>
    <n v="3"/>
    <n v="2"/>
    <n v="20"/>
    <n v="8"/>
    <n v="2"/>
    <n v="10"/>
    <x v="1"/>
    <n v="1"/>
    <x v="0"/>
    <x v="2"/>
    <s v="10+ Years"/>
    <s v="High"/>
    <s v="Good"/>
  </r>
  <r>
    <x v="27"/>
    <s v="No"/>
    <s v="Travel_Rarely"/>
    <n v="282"/>
    <x v="1"/>
    <n v="2"/>
    <n v="2"/>
    <s v="Medical"/>
    <n v="1"/>
    <n v="1336"/>
    <n v="4"/>
    <x v="0"/>
    <n v="58"/>
    <n v="1"/>
    <n v="5"/>
    <x v="5"/>
    <n v="3"/>
    <s v="Married"/>
    <n v="19187"/>
    <n v="6992"/>
    <n v="4"/>
    <s v="Y"/>
    <x v="1"/>
    <n v="14"/>
    <n v="3"/>
    <n v="4"/>
    <n v="80"/>
    <n v="1"/>
    <n v="23"/>
    <n v="5"/>
    <n v="3"/>
    <n v="19"/>
    <n v="9"/>
    <n v="9"/>
    <n v="11"/>
    <x v="1"/>
    <n v="1"/>
    <x v="3"/>
    <x v="2"/>
    <s v="10+ Years"/>
    <s v="High"/>
    <s v="Better"/>
  </r>
  <r>
    <x v="29"/>
    <s v="No"/>
    <s v="Travel_Rarely"/>
    <n v="206"/>
    <x v="2"/>
    <n v="8"/>
    <n v="4"/>
    <s v="Life Sciences"/>
    <n v="1"/>
    <n v="1338"/>
    <n v="4"/>
    <x v="1"/>
    <n v="99"/>
    <n v="3"/>
    <n v="5"/>
    <x v="5"/>
    <n v="2"/>
    <s v="Single"/>
    <n v="19717"/>
    <n v="4022"/>
    <n v="6"/>
    <s v="Y"/>
    <x v="1"/>
    <n v="14"/>
    <n v="3"/>
    <n v="1"/>
    <n v="80"/>
    <n v="0"/>
    <n v="36"/>
    <n v="4"/>
    <n v="3"/>
    <n v="7"/>
    <n v="3"/>
    <n v="7"/>
    <n v="7"/>
    <x v="1"/>
    <n v="1"/>
    <x v="3"/>
    <x v="2"/>
    <s v="6-10 Years"/>
    <s v="Medium"/>
    <s v="Better"/>
  </r>
  <r>
    <x v="32"/>
    <s v="No"/>
    <s v="Non-Travel"/>
    <n v="458"/>
    <x v="1"/>
    <n v="16"/>
    <n v="2"/>
    <s v="Life Sciences"/>
    <n v="1"/>
    <n v="1340"/>
    <n v="3"/>
    <x v="1"/>
    <n v="74"/>
    <n v="3"/>
    <n v="1"/>
    <x v="1"/>
    <n v="3"/>
    <s v="Divorced"/>
    <n v="3544"/>
    <n v="8532"/>
    <n v="9"/>
    <s v="Y"/>
    <x v="1"/>
    <n v="16"/>
    <n v="3"/>
    <n v="2"/>
    <n v="80"/>
    <n v="1"/>
    <n v="6"/>
    <n v="0"/>
    <n v="3"/>
    <n v="4"/>
    <n v="2"/>
    <n v="0"/>
    <n v="0"/>
    <x v="1"/>
    <n v="1"/>
    <x v="0"/>
    <x v="0"/>
    <s v="2-5 Years"/>
    <s v="High"/>
    <s v="Better"/>
  </r>
  <r>
    <x v="13"/>
    <s v="No"/>
    <s v="Travel_Rarely"/>
    <n v="943"/>
    <x v="1"/>
    <n v="9"/>
    <n v="3"/>
    <s v="Life Sciences"/>
    <n v="1"/>
    <n v="1344"/>
    <n v="4"/>
    <x v="1"/>
    <n v="86"/>
    <n v="3"/>
    <n v="3"/>
    <x v="4"/>
    <n v="4"/>
    <s v="Divorced"/>
    <n v="8500"/>
    <n v="5494"/>
    <n v="0"/>
    <s v="Y"/>
    <x v="1"/>
    <n v="11"/>
    <n v="3"/>
    <n v="4"/>
    <n v="80"/>
    <n v="1"/>
    <n v="10"/>
    <n v="0"/>
    <n v="2"/>
    <n v="9"/>
    <n v="7"/>
    <n v="1"/>
    <n v="6"/>
    <x v="1"/>
    <n v="1"/>
    <x v="2"/>
    <x v="2"/>
    <s v="6-10 Years"/>
    <s v="Very High"/>
    <s v="Good"/>
  </r>
  <r>
    <x v="32"/>
    <s v="No"/>
    <s v="Travel_Rarely"/>
    <n v="523"/>
    <x v="1"/>
    <n v="2"/>
    <n v="3"/>
    <s v="Life Sciences"/>
    <n v="1"/>
    <n v="1346"/>
    <n v="3"/>
    <x v="1"/>
    <n v="98"/>
    <n v="3"/>
    <n v="2"/>
    <x v="1"/>
    <n v="4"/>
    <s v="Single"/>
    <n v="4661"/>
    <n v="22455"/>
    <n v="1"/>
    <s v="Y"/>
    <x v="1"/>
    <n v="13"/>
    <n v="3"/>
    <n v="3"/>
    <n v="80"/>
    <n v="0"/>
    <n v="9"/>
    <n v="4"/>
    <n v="3"/>
    <n v="9"/>
    <n v="8"/>
    <n v="8"/>
    <n v="8"/>
    <x v="1"/>
    <n v="1"/>
    <x v="0"/>
    <x v="0"/>
    <s v="6-10 Years"/>
    <s v="Very High"/>
    <s v="Better"/>
  </r>
  <r>
    <x v="0"/>
    <s v="No"/>
    <s v="Travel_Frequently"/>
    <n v="1018"/>
    <x v="0"/>
    <n v="1"/>
    <n v="3"/>
    <s v="Marketing"/>
    <n v="1"/>
    <n v="1349"/>
    <n v="3"/>
    <x v="0"/>
    <n v="66"/>
    <n v="3"/>
    <n v="2"/>
    <x v="0"/>
    <n v="1"/>
    <s v="Divorced"/>
    <n v="4103"/>
    <n v="4297"/>
    <n v="0"/>
    <s v="Y"/>
    <x v="1"/>
    <n v="17"/>
    <n v="3"/>
    <n v="4"/>
    <n v="80"/>
    <n v="1"/>
    <n v="10"/>
    <n v="2"/>
    <n v="3"/>
    <n v="9"/>
    <n v="3"/>
    <n v="1"/>
    <n v="7"/>
    <x v="1"/>
    <n v="1"/>
    <x v="0"/>
    <x v="0"/>
    <s v="6-10 Years"/>
    <s v="Low"/>
    <s v="Better"/>
  </r>
  <r>
    <x v="10"/>
    <s v="No"/>
    <s v="Travel_Frequently"/>
    <n v="482"/>
    <x v="1"/>
    <n v="4"/>
    <n v="4"/>
    <s v="Life Sciences"/>
    <n v="1"/>
    <n v="1350"/>
    <n v="3"/>
    <x v="1"/>
    <n v="87"/>
    <n v="3"/>
    <n v="2"/>
    <x v="1"/>
    <n v="3"/>
    <s v="Single"/>
    <n v="4249"/>
    <n v="2690"/>
    <n v="1"/>
    <s v="Y"/>
    <x v="0"/>
    <n v="11"/>
    <n v="3"/>
    <n v="2"/>
    <n v="80"/>
    <n v="0"/>
    <n v="9"/>
    <n v="3"/>
    <n v="3"/>
    <n v="9"/>
    <n v="6"/>
    <n v="1"/>
    <n v="1"/>
    <x v="1"/>
    <n v="1"/>
    <x v="0"/>
    <x v="0"/>
    <s v="6-10 Years"/>
    <s v="High"/>
    <s v="Better"/>
  </r>
  <r>
    <x v="31"/>
    <s v="No"/>
    <s v="Travel_Rarely"/>
    <n v="770"/>
    <x v="2"/>
    <n v="5"/>
    <n v="3"/>
    <s v="Life Sciences"/>
    <n v="1"/>
    <n v="1352"/>
    <n v="3"/>
    <x v="1"/>
    <n v="84"/>
    <n v="3"/>
    <n v="4"/>
    <x v="5"/>
    <n v="2"/>
    <s v="Divorced"/>
    <n v="14026"/>
    <n v="17588"/>
    <n v="1"/>
    <s v="Y"/>
    <x v="0"/>
    <n v="11"/>
    <n v="3"/>
    <n v="2"/>
    <n v="80"/>
    <n v="1"/>
    <n v="33"/>
    <n v="2"/>
    <n v="3"/>
    <n v="33"/>
    <n v="9"/>
    <n v="0"/>
    <n v="10"/>
    <x v="1"/>
    <n v="1"/>
    <x v="1"/>
    <x v="2"/>
    <s v="10+ Years"/>
    <s v="Medium"/>
    <s v="Better"/>
  </r>
  <r>
    <x v="8"/>
    <s v="No"/>
    <s v="Travel_Rarely"/>
    <n v="1009"/>
    <x v="0"/>
    <n v="2"/>
    <n v="2"/>
    <s v="Life Sciences"/>
    <n v="1"/>
    <n v="1355"/>
    <n v="2"/>
    <x v="0"/>
    <n v="31"/>
    <n v="3"/>
    <n v="2"/>
    <x v="0"/>
    <n v="1"/>
    <s v="Divorced"/>
    <n v="6893"/>
    <n v="19461"/>
    <n v="3"/>
    <s v="Y"/>
    <x v="1"/>
    <n v="15"/>
    <n v="3"/>
    <n v="4"/>
    <n v="80"/>
    <n v="1"/>
    <n v="11"/>
    <n v="3"/>
    <n v="3"/>
    <n v="7"/>
    <n v="7"/>
    <n v="1"/>
    <n v="7"/>
    <x v="1"/>
    <n v="1"/>
    <x v="0"/>
    <x v="0"/>
    <s v="6-10 Years"/>
    <s v="Low"/>
    <s v="Better"/>
  </r>
  <r>
    <x v="13"/>
    <s v="No"/>
    <s v="Travel_Rarely"/>
    <n v="507"/>
    <x v="0"/>
    <n v="15"/>
    <n v="2"/>
    <s v="Medical"/>
    <n v="1"/>
    <n v="1356"/>
    <n v="3"/>
    <x v="0"/>
    <n v="66"/>
    <n v="3"/>
    <n v="2"/>
    <x v="0"/>
    <n v="1"/>
    <s v="Single"/>
    <n v="6125"/>
    <n v="23553"/>
    <n v="1"/>
    <s v="Y"/>
    <x v="1"/>
    <n v="12"/>
    <n v="3"/>
    <n v="4"/>
    <n v="80"/>
    <n v="0"/>
    <n v="10"/>
    <n v="6"/>
    <n v="4"/>
    <n v="10"/>
    <n v="8"/>
    <n v="9"/>
    <n v="6"/>
    <x v="1"/>
    <n v="1"/>
    <x v="2"/>
    <x v="0"/>
    <s v="6-10 Years"/>
    <s v="Low"/>
    <s v="Best"/>
  </r>
  <r>
    <x v="36"/>
    <s v="No"/>
    <s v="Travel_Rarely"/>
    <n v="882"/>
    <x v="1"/>
    <n v="19"/>
    <n v="1"/>
    <s v="Medical"/>
    <n v="1"/>
    <n v="1358"/>
    <n v="4"/>
    <x v="1"/>
    <n v="67"/>
    <n v="3"/>
    <n v="1"/>
    <x v="2"/>
    <n v="4"/>
    <s v="Married"/>
    <n v="3669"/>
    <n v="9075"/>
    <n v="3"/>
    <s v="Y"/>
    <x v="1"/>
    <n v="11"/>
    <n v="3"/>
    <n v="3"/>
    <n v="80"/>
    <n v="3"/>
    <n v="7"/>
    <n v="6"/>
    <n v="2"/>
    <n v="3"/>
    <n v="2"/>
    <n v="1"/>
    <n v="2"/>
    <x v="1"/>
    <n v="1"/>
    <x v="2"/>
    <x v="0"/>
    <s v="2-5 Years"/>
    <s v="Very High"/>
    <s v="Good"/>
  </r>
  <r>
    <x v="34"/>
    <s v="Yes"/>
    <s v="Travel_Rarely"/>
    <n v="601"/>
    <x v="1"/>
    <n v="7"/>
    <n v="4"/>
    <s v="Medical"/>
    <n v="1"/>
    <n v="1360"/>
    <n v="3"/>
    <x v="0"/>
    <n v="53"/>
    <n v="2"/>
    <n v="3"/>
    <x v="3"/>
    <n v="1"/>
    <s v="Married"/>
    <n v="10008"/>
    <n v="12023"/>
    <n v="7"/>
    <s v="Y"/>
    <x v="0"/>
    <n v="14"/>
    <n v="3"/>
    <n v="4"/>
    <n v="80"/>
    <n v="0"/>
    <n v="31"/>
    <n v="0"/>
    <n v="2"/>
    <n v="10"/>
    <n v="9"/>
    <n v="5"/>
    <n v="9"/>
    <x v="0"/>
    <n v="0"/>
    <x v="3"/>
    <x v="2"/>
    <s v="6-10 Years"/>
    <s v="Low"/>
    <s v="Good"/>
  </r>
  <r>
    <x v="32"/>
    <s v="No"/>
    <s v="Travel_Rarely"/>
    <n v="329"/>
    <x v="1"/>
    <n v="1"/>
    <n v="4"/>
    <s v="Life Sciences"/>
    <n v="1"/>
    <n v="1361"/>
    <n v="2"/>
    <x v="1"/>
    <n v="88"/>
    <n v="3"/>
    <n v="1"/>
    <x v="2"/>
    <n v="2"/>
    <s v="Married"/>
    <n v="2387"/>
    <n v="6762"/>
    <n v="3"/>
    <s v="Y"/>
    <x v="1"/>
    <n v="22"/>
    <n v="4"/>
    <n v="3"/>
    <n v="80"/>
    <n v="1"/>
    <n v="7"/>
    <n v="3"/>
    <n v="3"/>
    <n v="4"/>
    <n v="2"/>
    <n v="0"/>
    <n v="3"/>
    <x v="1"/>
    <n v="1"/>
    <x v="0"/>
    <x v="1"/>
    <s v="2-5 Years"/>
    <s v="Medium"/>
    <s v="Better"/>
  </r>
  <r>
    <x v="9"/>
    <s v="No"/>
    <s v="Travel_Frequently"/>
    <n v="607"/>
    <x v="0"/>
    <n v="7"/>
    <n v="3"/>
    <s v="Marketing"/>
    <n v="1"/>
    <n v="1362"/>
    <n v="1"/>
    <x v="0"/>
    <n v="83"/>
    <n v="4"/>
    <n v="2"/>
    <x v="0"/>
    <n v="1"/>
    <s v="Married"/>
    <n v="4639"/>
    <n v="2261"/>
    <n v="2"/>
    <s v="Y"/>
    <x v="1"/>
    <n v="16"/>
    <n v="3"/>
    <n v="4"/>
    <n v="80"/>
    <n v="1"/>
    <n v="17"/>
    <n v="2"/>
    <n v="2"/>
    <n v="15"/>
    <n v="7"/>
    <n v="6"/>
    <n v="13"/>
    <x v="1"/>
    <n v="1"/>
    <x v="0"/>
    <x v="0"/>
    <s v="10+ Years"/>
    <s v="Low"/>
    <s v="Good"/>
  </r>
  <r>
    <x v="26"/>
    <s v="No"/>
    <s v="Travel_Rarely"/>
    <n v="855"/>
    <x v="1"/>
    <n v="4"/>
    <n v="3"/>
    <s v="Life Sciences"/>
    <n v="1"/>
    <n v="1363"/>
    <n v="4"/>
    <x v="1"/>
    <n v="54"/>
    <n v="3"/>
    <n v="3"/>
    <x v="3"/>
    <n v="4"/>
    <s v="Single"/>
    <n v="7898"/>
    <n v="18706"/>
    <n v="1"/>
    <s v="Y"/>
    <x v="1"/>
    <n v="11"/>
    <n v="3"/>
    <n v="3"/>
    <n v="80"/>
    <n v="0"/>
    <n v="11"/>
    <n v="2"/>
    <n v="3"/>
    <n v="10"/>
    <n v="9"/>
    <n v="0"/>
    <n v="8"/>
    <x v="1"/>
    <n v="1"/>
    <x v="1"/>
    <x v="2"/>
    <s v="6-10 Years"/>
    <s v="Very High"/>
    <s v="Better"/>
  </r>
  <r>
    <x v="4"/>
    <s v="No"/>
    <s v="Travel_Rarely"/>
    <n v="1291"/>
    <x v="0"/>
    <n v="11"/>
    <n v="3"/>
    <s v="Medical"/>
    <n v="1"/>
    <n v="1364"/>
    <n v="3"/>
    <x v="0"/>
    <n v="98"/>
    <n v="4"/>
    <n v="1"/>
    <x v="6"/>
    <n v="4"/>
    <s v="Married"/>
    <n v="2534"/>
    <n v="6527"/>
    <n v="8"/>
    <s v="Y"/>
    <x v="1"/>
    <n v="14"/>
    <n v="3"/>
    <n v="2"/>
    <n v="80"/>
    <n v="1"/>
    <n v="5"/>
    <n v="4"/>
    <n v="3"/>
    <n v="1"/>
    <n v="0"/>
    <n v="0"/>
    <n v="0"/>
    <x v="1"/>
    <n v="1"/>
    <x v="2"/>
    <x v="1"/>
    <s v="0-1 Years"/>
    <s v="Very High"/>
    <s v="Better"/>
  </r>
  <r>
    <x v="31"/>
    <s v="No"/>
    <s v="Travel_Rarely"/>
    <n v="1405"/>
    <x v="1"/>
    <n v="11"/>
    <n v="2"/>
    <s v="Technical Degree"/>
    <n v="1"/>
    <n v="1367"/>
    <n v="4"/>
    <x v="0"/>
    <n v="82"/>
    <n v="2"/>
    <n v="4"/>
    <x v="3"/>
    <n v="2"/>
    <s v="Single"/>
    <n v="13142"/>
    <n v="24439"/>
    <n v="3"/>
    <s v="Y"/>
    <x v="1"/>
    <n v="16"/>
    <n v="3"/>
    <n v="2"/>
    <n v="80"/>
    <n v="0"/>
    <n v="29"/>
    <n v="1"/>
    <n v="2"/>
    <n v="5"/>
    <n v="2"/>
    <n v="0"/>
    <n v="3"/>
    <x v="1"/>
    <n v="1"/>
    <x v="1"/>
    <x v="2"/>
    <s v="2-5 Years"/>
    <s v="Medium"/>
    <s v="Good"/>
  </r>
  <r>
    <x v="41"/>
    <s v="No"/>
    <s v="Non-Travel"/>
    <n v="1124"/>
    <x v="1"/>
    <n v="1"/>
    <n v="3"/>
    <s v="Life Sciences"/>
    <n v="1"/>
    <n v="1368"/>
    <n v="4"/>
    <x v="0"/>
    <n v="97"/>
    <n v="3"/>
    <n v="1"/>
    <x v="2"/>
    <n v="4"/>
    <s v="Single"/>
    <n v="1611"/>
    <n v="19305"/>
    <n v="1"/>
    <s v="Y"/>
    <x v="1"/>
    <n v="15"/>
    <n v="3"/>
    <n v="3"/>
    <n v="80"/>
    <n v="0"/>
    <n v="0"/>
    <n v="5"/>
    <n v="4"/>
    <n v="0"/>
    <n v="0"/>
    <n v="0"/>
    <n v="0"/>
    <x v="1"/>
    <n v="1"/>
    <x v="4"/>
    <x v="1"/>
    <s v="0-1 Years"/>
    <s v="Very High"/>
    <s v="Best"/>
  </r>
  <r>
    <x v="10"/>
    <s v="No"/>
    <s v="Travel_Rarely"/>
    <n v="817"/>
    <x v="1"/>
    <n v="1"/>
    <n v="3"/>
    <s v="Medical"/>
    <n v="1"/>
    <n v="1369"/>
    <n v="4"/>
    <x v="0"/>
    <n v="60"/>
    <n v="2"/>
    <n v="2"/>
    <x v="2"/>
    <n v="4"/>
    <s v="Married"/>
    <n v="5363"/>
    <n v="10846"/>
    <n v="0"/>
    <s v="Y"/>
    <x v="1"/>
    <n v="12"/>
    <n v="3"/>
    <n v="2"/>
    <n v="80"/>
    <n v="1"/>
    <n v="10"/>
    <n v="0"/>
    <n v="3"/>
    <n v="9"/>
    <n v="7"/>
    <n v="0"/>
    <n v="0"/>
    <x v="1"/>
    <n v="1"/>
    <x v="0"/>
    <x v="0"/>
    <s v="6-10 Years"/>
    <s v="Very High"/>
    <s v="Better"/>
  </r>
  <r>
    <x v="4"/>
    <s v="No"/>
    <s v="Travel_Frequently"/>
    <n v="793"/>
    <x v="0"/>
    <n v="2"/>
    <n v="1"/>
    <s v="Life Sciences"/>
    <n v="1"/>
    <n v="1371"/>
    <n v="4"/>
    <x v="1"/>
    <n v="43"/>
    <n v="1"/>
    <n v="2"/>
    <x v="0"/>
    <n v="4"/>
    <s v="Single"/>
    <n v="5071"/>
    <n v="20392"/>
    <n v="3"/>
    <s v="Y"/>
    <x v="1"/>
    <n v="20"/>
    <n v="4"/>
    <n v="2"/>
    <n v="80"/>
    <n v="0"/>
    <n v="8"/>
    <n v="3"/>
    <n v="3"/>
    <n v="6"/>
    <n v="2"/>
    <n v="0"/>
    <n v="0"/>
    <x v="1"/>
    <n v="1"/>
    <x v="2"/>
    <x v="0"/>
    <s v="6-10 Years"/>
    <s v="Very High"/>
    <s v="Better"/>
  </r>
  <r>
    <x v="27"/>
    <s v="Yes"/>
    <s v="Travel_Rarely"/>
    <n v="267"/>
    <x v="0"/>
    <n v="13"/>
    <n v="4"/>
    <s v="Marketing"/>
    <n v="1"/>
    <n v="1372"/>
    <n v="1"/>
    <x v="1"/>
    <n v="85"/>
    <n v="4"/>
    <n v="4"/>
    <x v="0"/>
    <n v="3"/>
    <s v="Single"/>
    <n v="13695"/>
    <n v="9277"/>
    <n v="6"/>
    <s v="Y"/>
    <x v="0"/>
    <n v="17"/>
    <n v="3"/>
    <n v="3"/>
    <n v="80"/>
    <n v="0"/>
    <n v="24"/>
    <n v="2"/>
    <n v="2"/>
    <n v="19"/>
    <n v="7"/>
    <n v="3"/>
    <n v="8"/>
    <x v="0"/>
    <n v="0"/>
    <x v="3"/>
    <x v="2"/>
    <s v="10+ Years"/>
    <s v="High"/>
    <s v="Good"/>
  </r>
  <r>
    <x v="29"/>
    <s v="No"/>
    <s v="Travel_Rarely"/>
    <n v="1369"/>
    <x v="1"/>
    <n v="23"/>
    <n v="3"/>
    <s v="Life Sciences"/>
    <n v="1"/>
    <n v="1373"/>
    <n v="4"/>
    <x v="1"/>
    <n v="68"/>
    <n v="3"/>
    <n v="4"/>
    <x v="3"/>
    <n v="2"/>
    <s v="Married"/>
    <n v="13402"/>
    <n v="18235"/>
    <n v="4"/>
    <s v="Y"/>
    <x v="0"/>
    <n v="12"/>
    <n v="3"/>
    <n v="1"/>
    <n v="80"/>
    <n v="1"/>
    <n v="33"/>
    <n v="0"/>
    <n v="3"/>
    <n v="19"/>
    <n v="16"/>
    <n v="15"/>
    <n v="9"/>
    <x v="1"/>
    <n v="1"/>
    <x v="3"/>
    <x v="2"/>
    <s v="10+ Years"/>
    <s v="Medium"/>
    <s v="Better"/>
  </r>
  <r>
    <x v="13"/>
    <s v="No"/>
    <s v="Non-Travel"/>
    <n v="999"/>
    <x v="1"/>
    <n v="26"/>
    <n v="1"/>
    <s v="Technical Degree"/>
    <n v="1"/>
    <n v="1374"/>
    <n v="1"/>
    <x v="0"/>
    <n v="92"/>
    <n v="2"/>
    <n v="1"/>
    <x v="1"/>
    <n v="3"/>
    <s v="Divorced"/>
    <n v="2029"/>
    <n v="15891"/>
    <n v="1"/>
    <s v="Y"/>
    <x v="1"/>
    <n v="20"/>
    <n v="4"/>
    <n v="3"/>
    <n v="80"/>
    <n v="3"/>
    <n v="5"/>
    <n v="2"/>
    <n v="3"/>
    <n v="5"/>
    <n v="4"/>
    <n v="0"/>
    <n v="0"/>
    <x v="1"/>
    <n v="1"/>
    <x v="2"/>
    <x v="1"/>
    <s v="2-5 Years"/>
    <s v="High"/>
    <s v="Better"/>
  </r>
  <r>
    <x v="32"/>
    <s v="No"/>
    <s v="Travel_Rarely"/>
    <n v="1202"/>
    <x v="1"/>
    <n v="2"/>
    <n v="1"/>
    <s v="Medical"/>
    <n v="1"/>
    <n v="1375"/>
    <n v="2"/>
    <x v="0"/>
    <n v="89"/>
    <n v="4"/>
    <n v="2"/>
    <x v="4"/>
    <n v="3"/>
    <s v="Divorced"/>
    <n v="6377"/>
    <n v="13888"/>
    <n v="5"/>
    <s v="Y"/>
    <x v="1"/>
    <n v="20"/>
    <n v="4"/>
    <n v="2"/>
    <n v="80"/>
    <n v="3"/>
    <n v="15"/>
    <n v="0"/>
    <n v="3"/>
    <n v="12"/>
    <n v="11"/>
    <n v="11"/>
    <n v="8"/>
    <x v="1"/>
    <n v="1"/>
    <x v="0"/>
    <x v="0"/>
    <s v="10+ Years"/>
    <s v="High"/>
    <s v="Better"/>
  </r>
  <r>
    <x v="13"/>
    <s v="No"/>
    <s v="Travel_Rarely"/>
    <n v="285"/>
    <x v="1"/>
    <n v="29"/>
    <n v="3"/>
    <s v="Medical"/>
    <n v="1"/>
    <n v="1377"/>
    <n v="2"/>
    <x v="1"/>
    <n v="86"/>
    <n v="3"/>
    <n v="2"/>
    <x v="2"/>
    <n v="3"/>
    <s v="Married"/>
    <n v="5429"/>
    <n v="17491"/>
    <n v="4"/>
    <s v="Y"/>
    <x v="1"/>
    <n v="13"/>
    <n v="3"/>
    <n v="1"/>
    <n v="80"/>
    <n v="2"/>
    <n v="10"/>
    <n v="1"/>
    <n v="3"/>
    <n v="8"/>
    <n v="7"/>
    <n v="7"/>
    <n v="7"/>
    <x v="1"/>
    <n v="1"/>
    <x v="2"/>
    <x v="0"/>
    <s v="6-10 Years"/>
    <s v="High"/>
    <s v="Better"/>
  </r>
  <r>
    <x v="12"/>
    <s v="Yes"/>
    <s v="Travel_Frequently"/>
    <n v="703"/>
    <x v="0"/>
    <n v="2"/>
    <n v="3"/>
    <s v="Life Sciences"/>
    <n v="1"/>
    <n v="1379"/>
    <n v="3"/>
    <x v="0"/>
    <n v="90"/>
    <n v="2"/>
    <n v="1"/>
    <x v="6"/>
    <n v="4"/>
    <s v="Single"/>
    <n v="2785"/>
    <n v="11882"/>
    <n v="7"/>
    <s v="Y"/>
    <x v="1"/>
    <n v="14"/>
    <n v="3"/>
    <n v="3"/>
    <n v="80"/>
    <n v="0"/>
    <n v="3"/>
    <n v="3"/>
    <n v="4"/>
    <n v="1"/>
    <n v="0"/>
    <n v="0"/>
    <n v="0"/>
    <x v="0"/>
    <n v="0"/>
    <x v="2"/>
    <x v="1"/>
    <s v="0-1 Years"/>
    <s v="Very High"/>
    <s v="Best"/>
  </r>
  <r>
    <x v="10"/>
    <s v="Yes"/>
    <s v="Travel_Frequently"/>
    <n v="662"/>
    <x v="0"/>
    <n v="18"/>
    <n v="4"/>
    <s v="Marketing"/>
    <n v="1"/>
    <n v="1380"/>
    <n v="4"/>
    <x v="0"/>
    <n v="67"/>
    <n v="3"/>
    <n v="2"/>
    <x v="0"/>
    <n v="3"/>
    <s v="Married"/>
    <n v="4614"/>
    <n v="23288"/>
    <n v="0"/>
    <s v="Y"/>
    <x v="0"/>
    <n v="18"/>
    <n v="3"/>
    <n v="3"/>
    <n v="80"/>
    <n v="1"/>
    <n v="5"/>
    <n v="0"/>
    <n v="2"/>
    <n v="4"/>
    <n v="2"/>
    <n v="3"/>
    <n v="2"/>
    <x v="0"/>
    <n v="0"/>
    <x v="0"/>
    <x v="0"/>
    <s v="2-5 Years"/>
    <s v="High"/>
    <s v="Good"/>
  </r>
  <r>
    <x v="8"/>
    <s v="No"/>
    <s v="Travel_Frequently"/>
    <n v="693"/>
    <x v="1"/>
    <n v="7"/>
    <n v="3"/>
    <s v="Life Sciences"/>
    <n v="1"/>
    <n v="1382"/>
    <n v="4"/>
    <x v="1"/>
    <n v="57"/>
    <n v="4"/>
    <n v="1"/>
    <x v="1"/>
    <n v="3"/>
    <s v="Divorced"/>
    <n v="2610"/>
    <n v="15748"/>
    <n v="1"/>
    <s v="Y"/>
    <x v="1"/>
    <n v="11"/>
    <n v="3"/>
    <n v="4"/>
    <n v="80"/>
    <n v="3"/>
    <n v="4"/>
    <n v="2"/>
    <n v="3"/>
    <n v="4"/>
    <n v="2"/>
    <n v="0"/>
    <n v="3"/>
    <x v="1"/>
    <n v="1"/>
    <x v="0"/>
    <x v="1"/>
    <s v="2-5 Years"/>
    <s v="High"/>
    <s v="Better"/>
  </r>
  <r>
    <x v="13"/>
    <s v="No"/>
    <s v="Travel_Rarely"/>
    <n v="404"/>
    <x v="1"/>
    <n v="2"/>
    <n v="4"/>
    <s v="Technical Degree"/>
    <n v="1"/>
    <n v="1383"/>
    <n v="3"/>
    <x v="0"/>
    <n v="98"/>
    <n v="3"/>
    <n v="2"/>
    <x v="4"/>
    <n v="4"/>
    <s v="Single"/>
    <n v="6687"/>
    <n v="6163"/>
    <n v="1"/>
    <s v="Y"/>
    <x v="1"/>
    <n v="11"/>
    <n v="3"/>
    <n v="4"/>
    <n v="80"/>
    <n v="0"/>
    <n v="14"/>
    <n v="2"/>
    <n v="4"/>
    <n v="14"/>
    <n v="11"/>
    <n v="4"/>
    <n v="11"/>
    <x v="1"/>
    <n v="1"/>
    <x v="2"/>
    <x v="0"/>
    <s v="10+ Years"/>
    <s v="Very High"/>
    <s v="Best"/>
  </r>
  <r>
    <x v="14"/>
    <s v="No"/>
    <s v="Travel_Rarely"/>
    <n v="736"/>
    <x v="0"/>
    <n v="26"/>
    <n v="3"/>
    <s v="Life Sciences"/>
    <n v="1"/>
    <n v="1387"/>
    <n v="3"/>
    <x v="1"/>
    <n v="48"/>
    <n v="2"/>
    <n v="2"/>
    <x v="0"/>
    <n v="1"/>
    <s v="Married"/>
    <n v="4724"/>
    <n v="24232"/>
    <n v="1"/>
    <s v="Y"/>
    <x v="1"/>
    <n v="11"/>
    <n v="3"/>
    <n v="3"/>
    <n v="80"/>
    <n v="1"/>
    <n v="5"/>
    <n v="0"/>
    <n v="3"/>
    <n v="5"/>
    <n v="3"/>
    <n v="0"/>
    <n v="4"/>
    <x v="1"/>
    <n v="1"/>
    <x v="2"/>
    <x v="0"/>
    <s v="2-5 Years"/>
    <s v="Low"/>
    <s v="Better"/>
  </r>
  <r>
    <x v="12"/>
    <s v="Yes"/>
    <s v="Travel_Rarely"/>
    <n v="330"/>
    <x v="1"/>
    <n v="22"/>
    <n v="4"/>
    <s v="Medical"/>
    <n v="1"/>
    <n v="1389"/>
    <n v="4"/>
    <x v="1"/>
    <n v="98"/>
    <n v="3"/>
    <n v="2"/>
    <x v="3"/>
    <n v="3"/>
    <s v="Married"/>
    <n v="6179"/>
    <n v="21057"/>
    <n v="1"/>
    <s v="Y"/>
    <x v="0"/>
    <n v="15"/>
    <n v="3"/>
    <n v="4"/>
    <n v="80"/>
    <n v="2"/>
    <n v="10"/>
    <n v="3"/>
    <n v="2"/>
    <n v="10"/>
    <n v="2"/>
    <n v="6"/>
    <n v="7"/>
    <x v="0"/>
    <n v="0"/>
    <x v="2"/>
    <x v="0"/>
    <s v="6-10 Years"/>
    <s v="High"/>
    <s v="Good"/>
  </r>
  <r>
    <x v="22"/>
    <s v="No"/>
    <s v="Travel_Rarely"/>
    <n v="1498"/>
    <x v="0"/>
    <n v="21"/>
    <n v="4"/>
    <s v="Life Sciences"/>
    <n v="1"/>
    <n v="1390"/>
    <n v="1"/>
    <x v="1"/>
    <n v="44"/>
    <n v="2"/>
    <n v="2"/>
    <x v="0"/>
    <n v="4"/>
    <s v="Married"/>
    <n v="6120"/>
    <n v="3567"/>
    <n v="3"/>
    <s v="Y"/>
    <x v="0"/>
    <n v="12"/>
    <n v="3"/>
    <n v="4"/>
    <n v="80"/>
    <n v="2"/>
    <n v="8"/>
    <n v="2"/>
    <n v="4"/>
    <n v="5"/>
    <n v="4"/>
    <n v="1"/>
    <n v="4"/>
    <x v="1"/>
    <n v="1"/>
    <x v="0"/>
    <x v="0"/>
    <s v="2-5 Years"/>
    <s v="Very High"/>
    <s v="Best"/>
  </r>
  <r>
    <x v="31"/>
    <s v="No"/>
    <s v="Travel_Frequently"/>
    <n v="541"/>
    <x v="0"/>
    <n v="2"/>
    <n v="3"/>
    <s v="Marketing"/>
    <n v="1"/>
    <n v="1391"/>
    <n v="2"/>
    <x v="1"/>
    <n v="52"/>
    <n v="3"/>
    <n v="3"/>
    <x v="0"/>
    <n v="2"/>
    <s v="Married"/>
    <n v="10596"/>
    <n v="15395"/>
    <n v="2"/>
    <s v="Y"/>
    <x v="1"/>
    <n v="11"/>
    <n v="3"/>
    <n v="2"/>
    <n v="80"/>
    <n v="0"/>
    <n v="14"/>
    <n v="5"/>
    <n v="3"/>
    <n v="4"/>
    <n v="2"/>
    <n v="3"/>
    <n v="2"/>
    <x v="1"/>
    <n v="1"/>
    <x v="1"/>
    <x v="2"/>
    <s v="2-5 Years"/>
    <s v="Medium"/>
    <s v="Better"/>
  </r>
  <r>
    <x v="0"/>
    <s v="No"/>
    <s v="Travel_Frequently"/>
    <n v="1200"/>
    <x v="1"/>
    <n v="22"/>
    <n v="3"/>
    <s v="Life Sciences"/>
    <n v="1"/>
    <n v="1392"/>
    <n v="4"/>
    <x v="0"/>
    <n v="75"/>
    <n v="3"/>
    <n v="2"/>
    <x v="1"/>
    <n v="4"/>
    <s v="Divorced"/>
    <n v="5467"/>
    <n v="13953"/>
    <n v="3"/>
    <s v="Y"/>
    <x v="0"/>
    <n v="14"/>
    <n v="3"/>
    <n v="1"/>
    <n v="80"/>
    <n v="2"/>
    <n v="12"/>
    <n v="4"/>
    <n v="2"/>
    <n v="6"/>
    <n v="2"/>
    <n v="3"/>
    <n v="3"/>
    <x v="1"/>
    <n v="1"/>
    <x v="0"/>
    <x v="0"/>
    <s v="6-10 Years"/>
    <s v="Very High"/>
    <s v="Good"/>
  </r>
  <r>
    <x v="2"/>
    <s v="No"/>
    <s v="Travel_Rarely"/>
    <n v="1439"/>
    <x v="1"/>
    <n v="4"/>
    <n v="1"/>
    <s v="Life Sciences"/>
    <n v="1"/>
    <n v="1394"/>
    <n v="3"/>
    <x v="1"/>
    <n v="54"/>
    <n v="3"/>
    <n v="1"/>
    <x v="1"/>
    <n v="3"/>
    <s v="Married"/>
    <n v="2996"/>
    <n v="5182"/>
    <n v="7"/>
    <s v="Y"/>
    <x v="0"/>
    <n v="15"/>
    <n v="3"/>
    <n v="4"/>
    <n v="80"/>
    <n v="0"/>
    <n v="8"/>
    <n v="2"/>
    <n v="3"/>
    <n v="6"/>
    <n v="4"/>
    <n v="1"/>
    <n v="3"/>
    <x v="1"/>
    <n v="1"/>
    <x v="0"/>
    <x v="1"/>
    <s v="6-10 Years"/>
    <s v="High"/>
    <s v="Better"/>
  </r>
  <r>
    <x v="3"/>
    <s v="No"/>
    <s v="Travel_Frequently"/>
    <n v="1111"/>
    <x v="0"/>
    <n v="5"/>
    <n v="1"/>
    <s v="Life Sciences"/>
    <n v="1"/>
    <n v="1395"/>
    <n v="2"/>
    <x v="1"/>
    <n v="61"/>
    <n v="3"/>
    <n v="2"/>
    <x v="0"/>
    <n v="4"/>
    <s v="Married"/>
    <n v="9998"/>
    <n v="19293"/>
    <n v="6"/>
    <s v="Y"/>
    <x v="1"/>
    <n v="13"/>
    <n v="3"/>
    <n v="1"/>
    <n v="80"/>
    <n v="0"/>
    <n v="8"/>
    <n v="2"/>
    <n v="4"/>
    <n v="5"/>
    <n v="4"/>
    <n v="1"/>
    <n v="2"/>
    <x v="1"/>
    <n v="1"/>
    <x v="2"/>
    <x v="2"/>
    <s v="2-5 Years"/>
    <s v="Very High"/>
    <s v="Best"/>
  </r>
  <r>
    <x v="5"/>
    <s v="No"/>
    <s v="Travel_Rarely"/>
    <n v="499"/>
    <x v="0"/>
    <n v="2"/>
    <n v="1"/>
    <s v="Marketing"/>
    <n v="1"/>
    <n v="1396"/>
    <n v="3"/>
    <x v="1"/>
    <n v="36"/>
    <n v="3"/>
    <n v="2"/>
    <x v="0"/>
    <n v="2"/>
    <s v="Married"/>
    <n v="4078"/>
    <n v="20497"/>
    <n v="0"/>
    <s v="Y"/>
    <x v="0"/>
    <n v="13"/>
    <n v="3"/>
    <n v="1"/>
    <n v="80"/>
    <n v="3"/>
    <n v="4"/>
    <n v="3"/>
    <n v="2"/>
    <n v="3"/>
    <n v="2"/>
    <n v="1"/>
    <n v="2"/>
    <x v="1"/>
    <n v="1"/>
    <x v="2"/>
    <x v="0"/>
    <s v="2-5 Years"/>
    <s v="Medium"/>
    <s v="Good"/>
  </r>
  <r>
    <x v="22"/>
    <s v="No"/>
    <s v="Non-Travel"/>
    <n v="1485"/>
    <x v="1"/>
    <n v="25"/>
    <n v="2"/>
    <s v="Life Sciences"/>
    <n v="1"/>
    <n v="1397"/>
    <n v="3"/>
    <x v="1"/>
    <n v="71"/>
    <n v="3"/>
    <n v="3"/>
    <x v="4"/>
    <n v="3"/>
    <s v="Married"/>
    <n v="10920"/>
    <n v="3449"/>
    <n v="3"/>
    <s v="Y"/>
    <x v="1"/>
    <n v="21"/>
    <n v="4"/>
    <n v="2"/>
    <n v="80"/>
    <n v="1"/>
    <n v="13"/>
    <n v="2"/>
    <n v="3"/>
    <n v="6"/>
    <n v="4"/>
    <n v="0"/>
    <n v="5"/>
    <x v="1"/>
    <n v="1"/>
    <x v="0"/>
    <x v="2"/>
    <s v="6-10 Years"/>
    <s v="High"/>
    <s v="Better"/>
  </r>
  <r>
    <x v="36"/>
    <s v="No"/>
    <s v="Travel_Rarely"/>
    <n v="1372"/>
    <x v="0"/>
    <n v="18"/>
    <n v="1"/>
    <s v="Life Sciences"/>
    <n v="1"/>
    <n v="1399"/>
    <n v="1"/>
    <x v="1"/>
    <n v="93"/>
    <n v="4"/>
    <n v="2"/>
    <x v="0"/>
    <n v="3"/>
    <s v="Married"/>
    <n v="6232"/>
    <n v="12477"/>
    <n v="2"/>
    <s v="Y"/>
    <x v="1"/>
    <n v="11"/>
    <n v="3"/>
    <n v="2"/>
    <n v="80"/>
    <n v="0"/>
    <n v="6"/>
    <n v="3"/>
    <n v="2"/>
    <n v="3"/>
    <n v="2"/>
    <n v="1"/>
    <n v="2"/>
    <x v="1"/>
    <n v="1"/>
    <x v="2"/>
    <x v="0"/>
    <s v="2-5 Years"/>
    <s v="High"/>
    <s v="Good"/>
  </r>
  <r>
    <x v="39"/>
    <s v="No"/>
    <s v="Travel_Frequently"/>
    <n v="322"/>
    <x v="1"/>
    <n v="28"/>
    <n v="2"/>
    <s v="Medical"/>
    <n v="1"/>
    <n v="1401"/>
    <n v="4"/>
    <x v="0"/>
    <n v="59"/>
    <n v="4"/>
    <n v="4"/>
    <x v="3"/>
    <n v="3"/>
    <s v="Married"/>
    <n v="13247"/>
    <n v="9731"/>
    <n v="2"/>
    <s v="Y"/>
    <x v="0"/>
    <n v="11"/>
    <n v="3"/>
    <n v="2"/>
    <n v="80"/>
    <n v="1"/>
    <n v="24"/>
    <n v="3"/>
    <n v="2"/>
    <n v="5"/>
    <n v="3"/>
    <n v="0"/>
    <n v="2"/>
    <x v="1"/>
    <n v="1"/>
    <x v="1"/>
    <x v="2"/>
    <s v="2-5 Years"/>
    <s v="High"/>
    <s v="Good"/>
  </r>
  <r>
    <x v="23"/>
    <s v="No"/>
    <s v="Travel_Rarely"/>
    <n v="930"/>
    <x v="1"/>
    <n v="6"/>
    <n v="3"/>
    <s v="Medical"/>
    <n v="1"/>
    <n v="1402"/>
    <n v="1"/>
    <x v="0"/>
    <n v="73"/>
    <n v="2"/>
    <n v="2"/>
    <x v="1"/>
    <n v="3"/>
    <s v="Single"/>
    <n v="4081"/>
    <n v="20003"/>
    <n v="1"/>
    <s v="Y"/>
    <x v="0"/>
    <n v="14"/>
    <n v="3"/>
    <n v="1"/>
    <n v="80"/>
    <n v="0"/>
    <n v="20"/>
    <n v="3"/>
    <n v="1"/>
    <n v="20"/>
    <n v="7"/>
    <n v="1"/>
    <n v="8"/>
    <x v="1"/>
    <n v="1"/>
    <x v="0"/>
    <x v="0"/>
    <s v="10+ Years"/>
    <s v="High"/>
    <s v="Bad"/>
  </r>
  <r>
    <x v="4"/>
    <s v="No"/>
    <s v="Travel_Rarely"/>
    <n v="205"/>
    <x v="0"/>
    <n v="10"/>
    <n v="3"/>
    <s v="Marketing"/>
    <n v="1"/>
    <n v="1403"/>
    <n v="4"/>
    <x v="0"/>
    <n v="98"/>
    <n v="2"/>
    <n v="2"/>
    <x v="0"/>
    <n v="4"/>
    <s v="Married"/>
    <n v="5769"/>
    <n v="7100"/>
    <n v="1"/>
    <s v="Y"/>
    <x v="0"/>
    <n v="11"/>
    <n v="3"/>
    <n v="4"/>
    <n v="80"/>
    <n v="0"/>
    <n v="6"/>
    <n v="3"/>
    <n v="3"/>
    <n v="6"/>
    <n v="2"/>
    <n v="4"/>
    <n v="4"/>
    <x v="1"/>
    <n v="1"/>
    <x v="2"/>
    <x v="0"/>
    <s v="6-10 Years"/>
    <s v="Very High"/>
    <s v="Better"/>
  </r>
  <r>
    <x v="4"/>
    <s v="Yes"/>
    <s v="Travel_Rarely"/>
    <n v="135"/>
    <x v="1"/>
    <n v="17"/>
    <n v="4"/>
    <s v="Life Sciences"/>
    <n v="1"/>
    <n v="1405"/>
    <n v="4"/>
    <x v="0"/>
    <n v="51"/>
    <n v="3"/>
    <n v="1"/>
    <x v="1"/>
    <n v="3"/>
    <s v="Single"/>
    <n v="2394"/>
    <n v="25681"/>
    <n v="1"/>
    <s v="Y"/>
    <x v="0"/>
    <n v="13"/>
    <n v="3"/>
    <n v="4"/>
    <n v="80"/>
    <n v="0"/>
    <n v="8"/>
    <n v="2"/>
    <n v="3"/>
    <n v="8"/>
    <n v="2"/>
    <n v="7"/>
    <n v="7"/>
    <x v="0"/>
    <n v="0"/>
    <x v="2"/>
    <x v="1"/>
    <s v="6-10 Years"/>
    <s v="High"/>
    <s v="Better"/>
  </r>
  <r>
    <x v="25"/>
    <s v="No"/>
    <s v="Travel_Rarely"/>
    <n v="683"/>
    <x v="1"/>
    <n v="2"/>
    <n v="1"/>
    <s v="Medical"/>
    <n v="1"/>
    <n v="1407"/>
    <n v="1"/>
    <x v="1"/>
    <n v="36"/>
    <n v="2"/>
    <n v="1"/>
    <x v="1"/>
    <n v="4"/>
    <s v="Single"/>
    <n v="3904"/>
    <n v="4050"/>
    <n v="0"/>
    <s v="Y"/>
    <x v="1"/>
    <n v="12"/>
    <n v="3"/>
    <n v="4"/>
    <n v="80"/>
    <n v="0"/>
    <n v="5"/>
    <n v="2"/>
    <n v="3"/>
    <n v="4"/>
    <n v="3"/>
    <n v="1"/>
    <n v="1"/>
    <x v="1"/>
    <n v="1"/>
    <x v="2"/>
    <x v="0"/>
    <s v="2-5 Years"/>
    <s v="Very High"/>
    <s v="Better"/>
  </r>
  <r>
    <x v="19"/>
    <s v="No"/>
    <s v="Travel_Rarely"/>
    <n v="1147"/>
    <x v="2"/>
    <n v="10"/>
    <n v="3"/>
    <s v="Human Resources"/>
    <n v="1"/>
    <n v="1408"/>
    <n v="3"/>
    <x v="0"/>
    <n v="31"/>
    <n v="3"/>
    <n v="4"/>
    <x v="5"/>
    <n v="1"/>
    <s v="Married"/>
    <n v="16799"/>
    <n v="16616"/>
    <n v="0"/>
    <s v="Y"/>
    <x v="1"/>
    <n v="14"/>
    <n v="3"/>
    <n v="3"/>
    <n v="80"/>
    <n v="1"/>
    <n v="21"/>
    <n v="5"/>
    <n v="3"/>
    <n v="20"/>
    <n v="7"/>
    <n v="0"/>
    <n v="9"/>
    <x v="1"/>
    <n v="1"/>
    <x v="0"/>
    <x v="2"/>
    <s v="10+ Years"/>
    <s v="Low"/>
    <s v="Better"/>
  </r>
  <r>
    <x v="39"/>
    <s v="No"/>
    <s v="Travel_Rarely"/>
    <n v="258"/>
    <x v="1"/>
    <n v="8"/>
    <n v="4"/>
    <s v="Other"/>
    <n v="1"/>
    <n v="1409"/>
    <n v="3"/>
    <x v="0"/>
    <n v="54"/>
    <n v="3"/>
    <n v="1"/>
    <x v="2"/>
    <n v="1"/>
    <s v="Married"/>
    <n v="2950"/>
    <n v="17363"/>
    <n v="9"/>
    <s v="Y"/>
    <x v="1"/>
    <n v="13"/>
    <n v="3"/>
    <n v="3"/>
    <n v="80"/>
    <n v="0"/>
    <n v="12"/>
    <n v="2"/>
    <n v="1"/>
    <n v="5"/>
    <n v="4"/>
    <n v="0"/>
    <n v="4"/>
    <x v="1"/>
    <n v="1"/>
    <x v="1"/>
    <x v="1"/>
    <s v="2-5 Years"/>
    <s v="Low"/>
    <s v="Bad"/>
  </r>
  <r>
    <x v="2"/>
    <s v="No"/>
    <s v="Travel_Rarely"/>
    <n v="1462"/>
    <x v="1"/>
    <n v="11"/>
    <n v="3"/>
    <s v="Medical"/>
    <n v="1"/>
    <n v="1411"/>
    <n v="1"/>
    <x v="0"/>
    <n v="94"/>
    <n v="3"/>
    <n v="1"/>
    <x v="2"/>
    <n v="3"/>
    <s v="Single"/>
    <n v="3629"/>
    <n v="19106"/>
    <n v="4"/>
    <s v="Y"/>
    <x v="1"/>
    <n v="18"/>
    <n v="3"/>
    <n v="1"/>
    <n v="80"/>
    <n v="0"/>
    <n v="8"/>
    <n v="6"/>
    <n v="3"/>
    <n v="3"/>
    <n v="2"/>
    <n v="0"/>
    <n v="2"/>
    <x v="1"/>
    <n v="1"/>
    <x v="0"/>
    <x v="0"/>
    <s v="2-5 Years"/>
    <s v="High"/>
    <s v="Better"/>
  </r>
  <r>
    <x v="10"/>
    <s v="No"/>
    <s v="Travel_Frequently"/>
    <n v="200"/>
    <x v="1"/>
    <n v="18"/>
    <n v="2"/>
    <s v="Life Sciences"/>
    <n v="1"/>
    <n v="1412"/>
    <n v="3"/>
    <x v="1"/>
    <n v="60"/>
    <n v="3"/>
    <n v="3"/>
    <x v="3"/>
    <n v="4"/>
    <s v="Single"/>
    <n v="9362"/>
    <n v="19944"/>
    <n v="2"/>
    <s v="Y"/>
    <x v="1"/>
    <n v="11"/>
    <n v="3"/>
    <n v="3"/>
    <n v="80"/>
    <n v="0"/>
    <n v="10"/>
    <n v="2"/>
    <n v="3"/>
    <n v="2"/>
    <n v="2"/>
    <n v="2"/>
    <n v="2"/>
    <x v="1"/>
    <n v="1"/>
    <x v="0"/>
    <x v="2"/>
    <s v="2-5 Years"/>
    <s v="Very High"/>
    <s v="Better"/>
  </r>
  <r>
    <x v="36"/>
    <s v="No"/>
    <s v="Travel_Rarely"/>
    <n v="949"/>
    <x v="1"/>
    <n v="1"/>
    <n v="3"/>
    <s v="Technical Degree"/>
    <n v="1"/>
    <n v="1415"/>
    <n v="1"/>
    <x v="1"/>
    <n v="81"/>
    <n v="3"/>
    <n v="1"/>
    <x v="2"/>
    <n v="4"/>
    <s v="Married"/>
    <n v="3229"/>
    <n v="4910"/>
    <n v="4"/>
    <s v="Y"/>
    <x v="1"/>
    <n v="11"/>
    <n v="3"/>
    <n v="2"/>
    <n v="80"/>
    <n v="1"/>
    <n v="7"/>
    <n v="2"/>
    <n v="2"/>
    <n v="3"/>
    <n v="2"/>
    <n v="0"/>
    <n v="2"/>
    <x v="1"/>
    <n v="1"/>
    <x v="2"/>
    <x v="0"/>
    <s v="2-5 Years"/>
    <s v="Very High"/>
    <s v="Good"/>
  </r>
  <r>
    <x v="25"/>
    <s v="No"/>
    <s v="Travel_Rarely"/>
    <n v="652"/>
    <x v="1"/>
    <n v="7"/>
    <n v="3"/>
    <s v="Other"/>
    <n v="1"/>
    <n v="1417"/>
    <n v="3"/>
    <x v="1"/>
    <n v="100"/>
    <n v="4"/>
    <n v="1"/>
    <x v="2"/>
    <n v="1"/>
    <s v="Single"/>
    <n v="3578"/>
    <n v="23577"/>
    <n v="0"/>
    <s v="Y"/>
    <x v="1"/>
    <n v="12"/>
    <n v="3"/>
    <n v="4"/>
    <n v="80"/>
    <n v="0"/>
    <n v="8"/>
    <n v="2"/>
    <n v="3"/>
    <n v="7"/>
    <n v="7"/>
    <n v="0"/>
    <n v="7"/>
    <x v="1"/>
    <n v="1"/>
    <x v="2"/>
    <x v="0"/>
    <s v="6-10 Years"/>
    <s v="Low"/>
    <s v="Better"/>
  </r>
  <r>
    <x v="11"/>
    <s v="No"/>
    <s v="Travel_Rarely"/>
    <n v="332"/>
    <x v="2"/>
    <n v="17"/>
    <n v="3"/>
    <s v="Other"/>
    <n v="1"/>
    <n v="1419"/>
    <n v="2"/>
    <x v="1"/>
    <n v="51"/>
    <n v="2"/>
    <n v="3"/>
    <x v="8"/>
    <n v="1"/>
    <s v="Single"/>
    <n v="7988"/>
    <n v="9769"/>
    <n v="1"/>
    <s v="Y"/>
    <x v="1"/>
    <n v="13"/>
    <n v="3"/>
    <n v="1"/>
    <n v="80"/>
    <n v="0"/>
    <n v="10"/>
    <n v="3"/>
    <n v="2"/>
    <n v="10"/>
    <n v="9"/>
    <n v="0"/>
    <n v="9"/>
    <x v="1"/>
    <n v="1"/>
    <x v="2"/>
    <x v="2"/>
    <s v="6-10 Years"/>
    <s v="Low"/>
    <s v="Good"/>
  </r>
  <r>
    <x v="1"/>
    <s v="Yes"/>
    <s v="Travel_Frequently"/>
    <n v="1475"/>
    <x v="1"/>
    <n v="28"/>
    <n v="2"/>
    <s v="Life Sciences"/>
    <n v="1"/>
    <n v="1420"/>
    <n v="1"/>
    <x v="1"/>
    <n v="97"/>
    <n v="2"/>
    <n v="2"/>
    <x v="2"/>
    <n v="1"/>
    <s v="Single"/>
    <n v="4284"/>
    <n v="22710"/>
    <n v="3"/>
    <s v="Y"/>
    <x v="1"/>
    <n v="20"/>
    <n v="4"/>
    <n v="1"/>
    <n v="80"/>
    <n v="0"/>
    <n v="20"/>
    <n v="2"/>
    <n v="3"/>
    <n v="4"/>
    <n v="3"/>
    <n v="1"/>
    <n v="3"/>
    <x v="0"/>
    <n v="0"/>
    <x v="1"/>
    <x v="0"/>
    <s v="2-5 Years"/>
    <s v="Low"/>
    <s v="Better"/>
  </r>
  <r>
    <x v="11"/>
    <s v="Yes"/>
    <s v="Travel_Frequently"/>
    <n v="337"/>
    <x v="1"/>
    <n v="14"/>
    <n v="1"/>
    <s v="Other"/>
    <n v="1"/>
    <n v="1421"/>
    <n v="3"/>
    <x v="0"/>
    <n v="84"/>
    <n v="3"/>
    <n v="3"/>
    <x v="4"/>
    <n v="4"/>
    <s v="Single"/>
    <n v="7553"/>
    <n v="22930"/>
    <n v="0"/>
    <s v="Y"/>
    <x v="0"/>
    <n v="12"/>
    <n v="3"/>
    <n v="1"/>
    <n v="80"/>
    <n v="0"/>
    <n v="9"/>
    <n v="1"/>
    <n v="3"/>
    <n v="8"/>
    <n v="7"/>
    <n v="7"/>
    <n v="7"/>
    <x v="0"/>
    <n v="0"/>
    <x v="2"/>
    <x v="2"/>
    <s v="6-10 Years"/>
    <s v="Very High"/>
    <s v="Better"/>
  </r>
  <r>
    <x v="33"/>
    <s v="No"/>
    <s v="Travel_Rarely"/>
    <n v="971"/>
    <x v="1"/>
    <n v="1"/>
    <n v="3"/>
    <s v="Medical"/>
    <n v="1"/>
    <n v="1422"/>
    <n v="4"/>
    <x v="0"/>
    <n v="54"/>
    <n v="3"/>
    <n v="4"/>
    <x v="7"/>
    <n v="4"/>
    <s v="Single"/>
    <n v="17328"/>
    <n v="5652"/>
    <n v="6"/>
    <s v="Y"/>
    <x v="1"/>
    <n v="19"/>
    <n v="3"/>
    <n v="4"/>
    <n v="80"/>
    <n v="0"/>
    <n v="29"/>
    <n v="3"/>
    <n v="2"/>
    <n v="20"/>
    <n v="7"/>
    <n v="12"/>
    <n v="7"/>
    <x v="1"/>
    <n v="1"/>
    <x v="1"/>
    <x v="2"/>
    <s v="10+ Years"/>
    <s v="Very High"/>
    <s v="Good"/>
  </r>
  <r>
    <x v="34"/>
    <s v="No"/>
    <s v="Travel_Rarely"/>
    <n v="1055"/>
    <x v="1"/>
    <n v="1"/>
    <n v="3"/>
    <s v="Medical"/>
    <n v="1"/>
    <n v="1423"/>
    <n v="4"/>
    <x v="0"/>
    <n v="76"/>
    <n v="3"/>
    <n v="5"/>
    <x v="7"/>
    <n v="1"/>
    <s v="Married"/>
    <n v="19701"/>
    <n v="22456"/>
    <n v="3"/>
    <s v="Y"/>
    <x v="0"/>
    <n v="21"/>
    <n v="4"/>
    <n v="3"/>
    <n v="80"/>
    <n v="1"/>
    <n v="32"/>
    <n v="3"/>
    <n v="3"/>
    <n v="9"/>
    <n v="8"/>
    <n v="1"/>
    <n v="5"/>
    <x v="1"/>
    <n v="1"/>
    <x v="3"/>
    <x v="2"/>
    <s v="6-10 Years"/>
    <s v="Low"/>
    <s v="Better"/>
  </r>
  <r>
    <x v="27"/>
    <s v="No"/>
    <s v="Travel_Rarely"/>
    <n v="1136"/>
    <x v="1"/>
    <n v="1"/>
    <n v="4"/>
    <s v="Medical"/>
    <n v="1"/>
    <n v="1424"/>
    <n v="2"/>
    <x v="1"/>
    <n v="81"/>
    <n v="4"/>
    <n v="4"/>
    <x v="7"/>
    <n v="4"/>
    <s v="Divorced"/>
    <n v="14732"/>
    <n v="12414"/>
    <n v="2"/>
    <s v="Y"/>
    <x v="1"/>
    <n v="13"/>
    <n v="3"/>
    <n v="4"/>
    <n v="80"/>
    <n v="2"/>
    <n v="31"/>
    <n v="4"/>
    <n v="4"/>
    <n v="7"/>
    <n v="7"/>
    <n v="0"/>
    <n v="0"/>
    <x v="1"/>
    <n v="1"/>
    <x v="3"/>
    <x v="2"/>
    <s v="6-10 Years"/>
    <s v="Very High"/>
    <s v="Best"/>
  </r>
  <r>
    <x v="9"/>
    <s v="No"/>
    <s v="Travel_Rarely"/>
    <n v="1174"/>
    <x v="0"/>
    <n v="3"/>
    <n v="4"/>
    <s v="Marketing"/>
    <n v="1"/>
    <n v="1425"/>
    <n v="1"/>
    <x v="0"/>
    <n v="99"/>
    <n v="3"/>
    <n v="2"/>
    <x v="0"/>
    <n v="2"/>
    <s v="Single"/>
    <n v="9278"/>
    <n v="20763"/>
    <n v="3"/>
    <s v="Y"/>
    <x v="0"/>
    <n v="16"/>
    <n v="3"/>
    <n v="4"/>
    <n v="80"/>
    <n v="0"/>
    <n v="15"/>
    <n v="3"/>
    <n v="3"/>
    <n v="5"/>
    <n v="4"/>
    <n v="0"/>
    <n v="1"/>
    <x v="1"/>
    <n v="1"/>
    <x v="0"/>
    <x v="2"/>
    <s v="2-5 Years"/>
    <s v="Medium"/>
    <s v="Better"/>
  </r>
  <r>
    <x v="12"/>
    <s v="Yes"/>
    <s v="Travel_Frequently"/>
    <n v="667"/>
    <x v="0"/>
    <n v="1"/>
    <n v="4"/>
    <s v="Life Sciences"/>
    <n v="1"/>
    <n v="1427"/>
    <n v="2"/>
    <x v="0"/>
    <n v="50"/>
    <n v="1"/>
    <n v="1"/>
    <x v="6"/>
    <n v="3"/>
    <s v="Single"/>
    <n v="1359"/>
    <n v="16154"/>
    <n v="1"/>
    <s v="Y"/>
    <x v="1"/>
    <n v="12"/>
    <n v="3"/>
    <n v="2"/>
    <n v="80"/>
    <n v="0"/>
    <n v="1"/>
    <n v="3"/>
    <n v="3"/>
    <n v="1"/>
    <n v="0"/>
    <n v="0"/>
    <n v="0"/>
    <x v="0"/>
    <n v="0"/>
    <x v="2"/>
    <x v="1"/>
    <s v="0-1 Years"/>
    <s v="High"/>
    <s v="Better"/>
  </r>
  <r>
    <x v="7"/>
    <s v="No"/>
    <s v="Travel_Rarely"/>
    <n v="855"/>
    <x v="0"/>
    <n v="7"/>
    <n v="4"/>
    <s v="Marketing"/>
    <n v="1"/>
    <n v="1428"/>
    <n v="4"/>
    <x v="0"/>
    <n v="73"/>
    <n v="3"/>
    <n v="2"/>
    <x v="0"/>
    <n v="1"/>
    <s v="Divorced"/>
    <n v="4779"/>
    <n v="12761"/>
    <n v="7"/>
    <s v="Y"/>
    <x v="1"/>
    <n v="14"/>
    <n v="3"/>
    <n v="2"/>
    <n v="80"/>
    <n v="2"/>
    <n v="8"/>
    <n v="3"/>
    <n v="3"/>
    <n v="3"/>
    <n v="2"/>
    <n v="0"/>
    <n v="2"/>
    <x v="1"/>
    <n v="1"/>
    <x v="2"/>
    <x v="0"/>
    <s v="2-5 Years"/>
    <s v="Low"/>
    <s v="Better"/>
  </r>
  <r>
    <x v="12"/>
    <s v="No"/>
    <s v="Travel_Rarely"/>
    <n v="182"/>
    <x v="1"/>
    <n v="8"/>
    <n v="5"/>
    <s v="Life Sciences"/>
    <n v="1"/>
    <n v="1430"/>
    <n v="1"/>
    <x v="0"/>
    <n v="93"/>
    <n v="3"/>
    <n v="4"/>
    <x v="7"/>
    <n v="2"/>
    <s v="Single"/>
    <n v="16422"/>
    <n v="8847"/>
    <n v="3"/>
    <s v="Y"/>
    <x v="1"/>
    <n v="11"/>
    <n v="3"/>
    <n v="3"/>
    <n v="80"/>
    <n v="0"/>
    <n v="9"/>
    <n v="3"/>
    <n v="4"/>
    <n v="3"/>
    <n v="2"/>
    <n v="1"/>
    <n v="0"/>
    <x v="1"/>
    <n v="1"/>
    <x v="2"/>
    <x v="2"/>
    <s v="2-5 Years"/>
    <s v="Medium"/>
    <s v="Best"/>
  </r>
  <r>
    <x v="13"/>
    <s v="No"/>
    <s v="Travel_Frequently"/>
    <n v="560"/>
    <x v="1"/>
    <n v="1"/>
    <n v="4"/>
    <s v="Other"/>
    <n v="1"/>
    <n v="1431"/>
    <n v="4"/>
    <x v="1"/>
    <n v="91"/>
    <n v="3"/>
    <n v="1"/>
    <x v="1"/>
    <n v="1"/>
    <s v="Divorced"/>
    <n v="2996"/>
    <n v="20284"/>
    <n v="5"/>
    <s v="Y"/>
    <x v="1"/>
    <n v="14"/>
    <n v="3"/>
    <n v="3"/>
    <n v="80"/>
    <n v="2"/>
    <n v="10"/>
    <n v="2"/>
    <n v="3"/>
    <n v="4"/>
    <n v="3"/>
    <n v="1"/>
    <n v="3"/>
    <x v="1"/>
    <n v="1"/>
    <x v="2"/>
    <x v="1"/>
    <s v="2-5 Years"/>
    <s v="Low"/>
    <s v="Better"/>
  </r>
  <r>
    <x v="12"/>
    <s v="Yes"/>
    <s v="Travel_Rarely"/>
    <n v="202"/>
    <x v="1"/>
    <n v="8"/>
    <n v="3"/>
    <s v="Life Sciences"/>
    <n v="1"/>
    <n v="1433"/>
    <n v="1"/>
    <x v="0"/>
    <n v="34"/>
    <n v="2"/>
    <n v="1"/>
    <x v="1"/>
    <n v="2"/>
    <s v="Single"/>
    <n v="1261"/>
    <n v="22262"/>
    <n v="1"/>
    <s v="Y"/>
    <x v="1"/>
    <n v="12"/>
    <n v="3"/>
    <n v="3"/>
    <n v="80"/>
    <n v="0"/>
    <n v="1"/>
    <n v="3"/>
    <n v="4"/>
    <n v="1"/>
    <n v="0"/>
    <n v="0"/>
    <n v="0"/>
    <x v="0"/>
    <n v="0"/>
    <x v="2"/>
    <x v="1"/>
    <s v="0-1 Years"/>
    <s v="Medium"/>
    <s v="Best"/>
  </r>
  <r>
    <x v="4"/>
    <s v="No"/>
    <s v="Travel_Rarely"/>
    <n v="1377"/>
    <x v="1"/>
    <n v="11"/>
    <n v="1"/>
    <s v="Life Sciences"/>
    <n v="1"/>
    <n v="1434"/>
    <n v="2"/>
    <x v="1"/>
    <n v="91"/>
    <n v="3"/>
    <n v="1"/>
    <x v="2"/>
    <n v="1"/>
    <s v="Married"/>
    <n v="2099"/>
    <n v="7679"/>
    <n v="0"/>
    <s v="Y"/>
    <x v="1"/>
    <n v="14"/>
    <n v="3"/>
    <n v="2"/>
    <n v="80"/>
    <n v="0"/>
    <n v="6"/>
    <n v="3"/>
    <n v="4"/>
    <n v="5"/>
    <n v="0"/>
    <n v="1"/>
    <n v="4"/>
    <x v="1"/>
    <n v="1"/>
    <x v="2"/>
    <x v="1"/>
    <s v="2-5 Years"/>
    <s v="Low"/>
    <s v="Best"/>
  </r>
  <r>
    <x v="9"/>
    <s v="No"/>
    <s v="Travel_Rarely"/>
    <n v="172"/>
    <x v="1"/>
    <n v="4"/>
    <n v="4"/>
    <s v="Life Sciences"/>
    <n v="1"/>
    <n v="1435"/>
    <n v="1"/>
    <x v="1"/>
    <n v="37"/>
    <n v="2"/>
    <n v="2"/>
    <x v="2"/>
    <n v="4"/>
    <s v="Single"/>
    <n v="5810"/>
    <n v="22604"/>
    <n v="1"/>
    <s v="Y"/>
    <x v="1"/>
    <n v="16"/>
    <n v="3"/>
    <n v="3"/>
    <n v="80"/>
    <n v="0"/>
    <n v="10"/>
    <n v="2"/>
    <n v="2"/>
    <n v="10"/>
    <n v="4"/>
    <n v="1"/>
    <n v="8"/>
    <x v="1"/>
    <n v="1"/>
    <x v="0"/>
    <x v="0"/>
    <s v="6-10 Years"/>
    <s v="Very High"/>
    <s v="Good"/>
  </r>
  <r>
    <x v="9"/>
    <s v="No"/>
    <s v="Travel_Rarely"/>
    <n v="329"/>
    <x v="0"/>
    <n v="16"/>
    <n v="4"/>
    <s v="Marketing"/>
    <n v="1"/>
    <n v="1436"/>
    <n v="3"/>
    <x v="0"/>
    <n v="98"/>
    <n v="2"/>
    <n v="2"/>
    <x v="0"/>
    <n v="1"/>
    <s v="Married"/>
    <n v="5647"/>
    <n v="13494"/>
    <n v="4"/>
    <s v="Y"/>
    <x v="1"/>
    <n v="13"/>
    <n v="3"/>
    <n v="1"/>
    <n v="80"/>
    <n v="2"/>
    <n v="11"/>
    <n v="3"/>
    <n v="2"/>
    <n v="3"/>
    <n v="2"/>
    <n v="0"/>
    <n v="2"/>
    <x v="1"/>
    <n v="1"/>
    <x v="0"/>
    <x v="0"/>
    <s v="2-5 Years"/>
    <s v="Low"/>
    <s v="Good"/>
  </r>
  <r>
    <x v="40"/>
    <s v="No"/>
    <s v="Travel_Rarely"/>
    <n v="465"/>
    <x v="1"/>
    <n v="1"/>
    <n v="3"/>
    <s v="Technical Degree"/>
    <n v="1"/>
    <n v="1438"/>
    <n v="1"/>
    <x v="1"/>
    <n v="74"/>
    <n v="3"/>
    <n v="1"/>
    <x v="1"/>
    <n v="4"/>
    <s v="Married"/>
    <n v="3420"/>
    <n v="10205"/>
    <n v="7"/>
    <s v="Y"/>
    <x v="1"/>
    <n v="12"/>
    <n v="3"/>
    <n v="3"/>
    <n v="80"/>
    <n v="1"/>
    <n v="17"/>
    <n v="2"/>
    <n v="2"/>
    <n v="6"/>
    <n v="5"/>
    <n v="1"/>
    <n v="2"/>
    <x v="1"/>
    <n v="1"/>
    <x v="1"/>
    <x v="0"/>
    <s v="6-10 Years"/>
    <s v="Very High"/>
    <s v="Good"/>
  </r>
  <r>
    <x v="36"/>
    <s v="Yes"/>
    <s v="Travel_Rarely"/>
    <n v="383"/>
    <x v="0"/>
    <n v="9"/>
    <n v="2"/>
    <s v="Life Sciences"/>
    <n v="1"/>
    <n v="1439"/>
    <n v="1"/>
    <x v="1"/>
    <n v="68"/>
    <n v="2"/>
    <n v="1"/>
    <x v="6"/>
    <n v="1"/>
    <s v="Married"/>
    <n v="4400"/>
    <n v="15182"/>
    <n v="3"/>
    <s v="Y"/>
    <x v="1"/>
    <n v="12"/>
    <n v="3"/>
    <n v="1"/>
    <n v="80"/>
    <n v="0"/>
    <n v="6"/>
    <n v="2"/>
    <n v="3"/>
    <n v="3"/>
    <n v="2"/>
    <n v="2"/>
    <n v="2"/>
    <x v="0"/>
    <n v="0"/>
    <x v="2"/>
    <x v="0"/>
    <s v="2-5 Years"/>
    <s v="Low"/>
    <s v="Better"/>
  </r>
  <r>
    <x v="2"/>
    <s v="No"/>
    <s v="Non-Travel"/>
    <n v="1413"/>
    <x v="1"/>
    <n v="5"/>
    <n v="2"/>
    <s v="Technical Degree"/>
    <n v="1"/>
    <n v="1440"/>
    <n v="3"/>
    <x v="1"/>
    <n v="84"/>
    <n v="4"/>
    <n v="1"/>
    <x v="2"/>
    <n v="3"/>
    <s v="Single"/>
    <n v="3500"/>
    <n v="25470"/>
    <n v="0"/>
    <s v="Y"/>
    <x v="1"/>
    <n v="14"/>
    <n v="3"/>
    <n v="1"/>
    <n v="80"/>
    <n v="0"/>
    <n v="7"/>
    <n v="2"/>
    <n v="1"/>
    <n v="6"/>
    <n v="5"/>
    <n v="1"/>
    <n v="3"/>
    <x v="1"/>
    <n v="1"/>
    <x v="0"/>
    <x v="0"/>
    <s v="6-10 Years"/>
    <s v="High"/>
    <s v="Bad"/>
  </r>
  <r>
    <x v="29"/>
    <s v="No"/>
    <s v="Travel_Rarely"/>
    <n v="1255"/>
    <x v="1"/>
    <n v="1"/>
    <n v="2"/>
    <s v="Life Sciences"/>
    <n v="1"/>
    <n v="1441"/>
    <n v="1"/>
    <x v="0"/>
    <n v="90"/>
    <n v="3"/>
    <n v="1"/>
    <x v="1"/>
    <n v="1"/>
    <s v="Married"/>
    <n v="2066"/>
    <n v="10494"/>
    <n v="2"/>
    <s v="Y"/>
    <x v="1"/>
    <n v="22"/>
    <n v="4"/>
    <n v="4"/>
    <n v="80"/>
    <n v="1"/>
    <n v="5"/>
    <n v="3"/>
    <n v="4"/>
    <n v="3"/>
    <n v="2"/>
    <n v="1"/>
    <n v="0"/>
    <x v="1"/>
    <n v="1"/>
    <x v="3"/>
    <x v="1"/>
    <s v="2-5 Years"/>
    <s v="Low"/>
    <s v="Best"/>
  </r>
  <r>
    <x v="40"/>
    <s v="No"/>
    <s v="Travel_Rarely"/>
    <n v="359"/>
    <x v="1"/>
    <n v="2"/>
    <n v="4"/>
    <s v="Medical"/>
    <n v="1"/>
    <n v="1443"/>
    <n v="1"/>
    <x v="0"/>
    <n v="82"/>
    <n v="3"/>
    <n v="4"/>
    <x v="7"/>
    <n v="3"/>
    <s v="Married"/>
    <n v="17169"/>
    <n v="26703"/>
    <n v="3"/>
    <s v="Y"/>
    <x v="1"/>
    <n v="19"/>
    <n v="3"/>
    <n v="2"/>
    <n v="80"/>
    <n v="2"/>
    <n v="26"/>
    <n v="2"/>
    <n v="4"/>
    <n v="20"/>
    <n v="17"/>
    <n v="5"/>
    <n v="6"/>
    <x v="1"/>
    <n v="1"/>
    <x v="1"/>
    <x v="2"/>
    <s v="10+ Years"/>
    <s v="High"/>
    <s v="Best"/>
  </r>
  <r>
    <x v="17"/>
    <s v="No"/>
    <s v="Travel_Rarely"/>
    <n v="1476"/>
    <x v="0"/>
    <n v="4"/>
    <n v="1"/>
    <s v="Medical"/>
    <n v="1"/>
    <n v="1445"/>
    <n v="4"/>
    <x v="0"/>
    <n v="42"/>
    <n v="3"/>
    <n v="2"/>
    <x v="0"/>
    <n v="3"/>
    <s v="Married"/>
    <n v="4162"/>
    <n v="15211"/>
    <n v="1"/>
    <s v="Y"/>
    <x v="0"/>
    <n v="12"/>
    <n v="3"/>
    <n v="3"/>
    <n v="80"/>
    <n v="2"/>
    <n v="5"/>
    <n v="3"/>
    <n v="3"/>
    <n v="5"/>
    <n v="4"/>
    <n v="0"/>
    <n v="3"/>
    <x v="1"/>
    <n v="1"/>
    <x v="4"/>
    <x v="0"/>
    <s v="2-5 Years"/>
    <s v="High"/>
    <s v="Better"/>
  </r>
  <r>
    <x v="5"/>
    <s v="No"/>
    <s v="Travel_Rarely"/>
    <n v="601"/>
    <x v="0"/>
    <n v="7"/>
    <n v="5"/>
    <s v="Marketing"/>
    <n v="1"/>
    <n v="1446"/>
    <n v="4"/>
    <x v="1"/>
    <n v="97"/>
    <n v="3"/>
    <n v="2"/>
    <x v="0"/>
    <n v="4"/>
    <s v="Married"/>
    <n v="9204"/>
    <n v="23343"/>
    <n v="4"/>
    <s v="Y"/>
    <x v="1"/>
    <n v="12"/>
    <n v="3"/>
    <n v="3"/>
    <n v="80"/>
    <n v="1"/>
    <n v="7"/>
    <n v="3"/>
    <n v="2"/>
    <n v="4"/>
    <n v="3"/>
    <n v="0"/>
    <n v="3"/>
    <x v="1"/>
    <n v="1"/>
    <x v="2"/>
    <x v="2"/>
    <s v="2-5 Years"/>
    <s v="Very High"/>
    <s v="Good"/>
  </r>
  <r>
    <x v="13"/>
    <s v="No"/>
    <s v="Travel_Rarely"/>
    <n v="401"/>
    <x v="1"/>
    <n v="1"/>
    <n v="3"/>
    <s v="Life Sciences"/>
    <n v="1"/>
    <n v="1447"/>
    <n v="4"/>
    <x v="0"/>
    <n v="86"/>
    <n v="2"/>
    <n v="1"/>
    <x v="2"/>
    <n v="2"/>
    <s v="Married"/>
    <n v="3294"/>
    <n v="3708"/>
    <n v="5"/>
    <s v="Y"/>
    <x v="1"/>
    <n v="17"/>
    <n v="3"/>
    <n v="1"/>
    <n v="80"/>
    <n v="1"/>
    <n v="7"/>
    <n v="2"/>
    <n v="2"/>
    <n v="5"/>
    <n v="4"/>
    <n v="0"/>
    <n v="2"/>
    <x v="1"/>
    <n v="1"/>
    <x v="2"/>
    <x v="0"/>
    <s v="2-5 Years"/>
    <s v="Medium"/>
    <s v="Good"/>
  </r>
  <r>
    <x v="0"/>
    <s v="No"/>
    <s v="Travel_Rarely"/>
    <n v="1283"/>
    <x v="1"/>
    <n v="5"/>
    <n v="5"/>
    <s v="Medical"/>
    <n v="1"/>
    <n v="1448"/>
    <n v="2"/>
    <x v="1"/>
    <n v="90"/>
    <n v="4"/>
    <n v="1"/>
    <x v="1"/>
    <n v="3"/>
    <s v="Married"/>
    <n v="2127"/>
    <n v="5561"/>
    <n v="2"/>
    <s v="Y"/>
    <x v="0"/>
    <n v="12"/>
    <n v="3"/>
    <n v="1"/>
    <n v="80"/>
    <n v="0"/>
    <n v="7"/>
    <n v="5"/>
    <n v="2"/>
    <n v="4"/>
    <n v="2"/>
    <n v="0"/>
    <n v="3"/>
    <x v="1"/>
    <n v="1"/>
    <x v="0"/>
    <x v="1"/>
    <s v="2-5 Years"/>
    <s v="High"/>
    <s v="Good"/>
  </r>
  <r>
    <x v="32"/>
    <s v="No"/>
    <s v="Non-Travel"/>
    <n v="663"/>
    <x v="1"/>
    <n v="9"/>
    <n v="4"/>
    <s v="Other"/>
    <n v="1"/>
    <n v="1449"/>
    <n v="3"/>
    <x v="1"/>
    <n v="81"/>
    <n v="3"/>
    <n v="2"/>
    <x v="2"/>
    <n v="3"/>
    <s v="Divorced"/>
    <n v="3975"/>
    <n v="23099"/>
    <n v="3"/>
    <s v="Y"/>
    <x v="1"/>
    <n v="11"/>
    <n v="3"/>
    <n v="3"/>
    <n v="80"/>
    <n v="2"/>
    <n v="11"/>
    <n v="2"/>
    <n v="4"/>
    <n v="8"/>
    <n v="7"/>
    <n v="0"/>
    <n v="7"/>
    <x v="1"/>
    <n v="1"/>
    <x v="0"/>
    <x v="0"/>
    <s v="6-10 Years"/>
    <s v="High"/>
    <s v="Best"/>
  </r>
  <r>
    <x v="12"/>
    <s v="No"/>
    <s v="Travel_Rarely"/>
    <n v="326"/>
    <x v="0"/>
    <n v="8"/>
    <n v="2"/>
    <s v="Life Sciences"/>
    <n v="1"/>
    <n v="1453"/>
    <n v="1"/>
    <x v="1"/>
    <n v="31"/>
    <n v="3"/>
    <n v="3"/>
    <x v="0"/>
    <n v="4"/>
    <s v="Divorced"/>
    <n v="10793"/>
    <n v="8386"/>
    <n v="1"/>
    <s v="Y"/>
    <x v="1"/>
    <n v="18"/>
    <n v="3"/>
    <n v="1"/>
    <n v="80"/>
    <n v="1"/>
    <n v="13"/>
    <n v="5"/>
    <n v="3"/>
    <n v="13"/>
    <n v="7"/>
    <n v="9"/>
    <n v="9"/>
    <x v="1"/>
    <n v="1"/>
    <x v="2"/>
    <x v="2"/>
    <s v="10+ Years"/>
    <s v="Very High"/>
    <s v="Better"/>
  </r>
  <r>
    <x v="21"/>
    <s v="Yes"/>
    <s v="Travel_Rarely"/>
    <n v="377"/>
    <x v="0"/>
    <n v="9"/>
    <n v="3"/>
    <s v="Marketing"/>
    <n v="1"/>
    <n v="1457"/>
    <n v="1"/>
    <x v="1"/>
    <n v="52"/>
    <n v="3"/>
    <n v="3"/>
    <x v="0"/>
    <n v="4"/>
    <s v="Divorced"/>
    <n v="10096"/>
    <n v="15986"/>
    <n v="4"/>
    <s v="Y"/>
    <x v="1"/>
    <n v="11"/>
    <n v="3"/>
    <n v="1"/>
    <n v="80"/>
    <n v="1"/>
    <n v="28"/>
    <n v="1"/>
    <n v="4"/>
    <n v="7"/>
    <n v="7"/>
    <n v="4"/>
    <n v="3"/>
    <x v="0"/>
    <n v="0"/>
    <x v="1"/>
    <x v="2"/>
    <s v="6-10 Years"/>
    <s v="Very High"/>
    <s v="Best"/>
  </r>
  <r>
    <x v="22"/>
    <s v="Yes"/>
    <s v="Non-Travel"/>
    <n v="592"/>
    <x v="1"/>
    <n v="2"/>
    <n v="3"/>
    <s v="Life Sciences"/>
    <n v="1"/>
    <n v="1458"/>
    <n v="1"/>
    <x v="0"/>
    <n v="54"/>
    <n v="2"/>
    <n v="1"/>
    <x v="2"/>
    <n v="1"/>
    <s v="Single"/>
    <n v="3646"/>
    <n v="17181"/>
    <n v="2"/>
    <s v="Y"/>
    <x v="0"/>
    <n v="23"/>
    <n v="4"/>
    <n v="2"/>
    <n v="80"/>
    <n v="0"/>
    <n v="11"/>
    <n v="2"/>
    <n v="4"/>
    <n v="1"/>
    <n v="0"/>
    <n v="0"/>
    <n v="0"/>
    <x v="0"/>
    <n v="0"/>
    <x v="0"/>
    <x v="0"/>
    <s v="0-1 Years"/>
    <s v="Low"/>
    <s v="Best"/>
  </r>
  <r>
    <x v="12"/>
    <s v="Yes"/>
    <s v="Travel_Frequently"/>
    <n v="1445"/>
    <x v="1"/>
    <n v="1"/>
    <n v="5"/>
    <s v="Life Sciences"/>
    <n v="1"/>
    <n v="1459"/>
    <n v="3"/>
    <x v="0"/>
    <n v="100"/>
    <n v="4"/>
    <n v="3"/>
    <x v="3"/>
    <n v="2"/>
    <s v="Single"/>
    <n v="7446"/>
    <n v="8931"/>
    <n v="1"/>
    <s v="Y"/>
    <x v="1"/>
    <n v="11"/>
    <n v="3"/>
    <n v="1"/>
    <n v="80"/>
    <n v="0"/>
    <n v="10"/>
    <n v="2"/>
    <n v="3"/>
    <n v="10"/>
    <n v="8"/>
    <n v="4"/>
    <n v="7"/>
    <x v="0"/>
    <n v="0"/>
    <x v="2"/>
    <x v="2"/>
    <s v="6-10 Years"/>
    <s v="Medium"/>
    <s v="Better"/>
  </r>
  <r>
    <x v="28"/>
    <s v="No"/>
    <s v="Travel_Rarely"/>
    <n v="1038"/>
    <x v="1"/>
    <n v="20"/>
    <n v="3"/>
    <s v="Medical"/>
    <n v="1"/>
    <n v="1460"/>
    <n v="2"/>
    <x v="1"/>
    <n v="95"/>
    <n v="1"/>
    <n v="3"/>
    <x v="4"/>
    <n v="1"/>
    <s v="Divorced"/>
    <n v="10851"/>
    <n v="19863"/>
    <n v="2"/>
    <s v="Y"/>
    <x v="0"/>
    <n v="18"/>
    <n v="3"/>
    <n v="2"/>
    <n v="80"/>
    <n v="1"/>
    <n v="24"/>
    <n v="2"/>
    <n v="3"/>
    <n v="7"/>
    <n v="7"/>
    <n v="0"/>
    <n v="7"/>
    <x v="1"/>
    <n v="1"/>
    <x v="1"/>
    <x v="2"/>
    <s v="6-10 Years"/>
    <s v="Low"/>
    <s v="Better"/>
  </r>
  <r>
    <x v="12"/>
    <s v="No"/>
    <s v="Travel_Rarely"/>
    <n v="1398"/>
    <x v="2"/>
    <n v="8"/>
    <n v="2"/>
    <s v="Medical"/>
    <n v="1"/>
    <n v="1461"/>
    <n v="4"/>
    <x v="0"/>
    <n v="96"/>
    <n v="4"/>
    <n v="1"/>
    <x v="8"/>
    <n v="2"/>
    <s v="Single"/>
    <n v="2109"/>
    <n v="24609"/>
    <n v="9"/>
    <s v="Y"/>
    <x v="1"/>
    <n v="18"/>
    <n v="3"/>
    <n v="4"/>
    <n v="80"/>
    <n v="0"/>
    <n v="8"/>
    <n v="3"/>
    <n v="3"/>
    <n v="3"/>
    <n v="2"/>
    <n v="0"/>
    <n v="2"/>
    <x v="1"/>
    <n v="1"/>
    <x v="2"/>
    <x v="1"/>
    <s v="2-5 Years"/>
    <s v="Medium"/>
    <s v="Better"/>
  </r>
  <r>
    <x v="12"/>
    <s v="Yes"/>
    <s v="Travel_Frequently"/>
    <n v="523"/>
    <x v="1"/>
    <n v="2"/>
    <n v="3"/>
    <s v="Life Sciences"/>
    <n v="1"/>
    <n v="1464"/>
    <n v="2"/>
    <x v="1"/>
    <n v="94"/>
    <n v="3"/>
    <n v="1"/>
    <x v="2"/>
    <n v="4"/>
    <s v="Married"/>
    <n v="3722"/>
    <n v="21081"/>
    <n v="6"/>
    <s v="Y"/>
    <x v="0"/>
    <n v="13"/>
    <n v="3"/>
    <n v="3"/>
    <n v="80"/>
    <n v="1"/>
    <n v="7"/>
    <n v="2"/>
    <n v="1"/>
    <n v="2"/>
    <n v="2"/>
    <n v="2"/>
    <n v="2"/>
    <x v="0"/>
    <n v="0"/>
    <x v="2"/>
    <x v="0"/>
    <s v="2-5 Years"/>
    <s v="Very High"/>
    <s v="Bad"/>
  </r>
  <r>
    <x v="28"/>
    <s v="No"/>
    <s v="Travel_Rarely"/>
    <n v="1448"/>
    <x v="1"/>
    <n v="29"/>
    <n v="3"/>
    <s v="Technical Degree"/>
    <n v="1"/>
    <n v="1465"/>
    <n v="2"/>
    <x v="1"/>
    <n v="55"/>
    <n v="3"/>
    <n v="3"/>
    <x v="3"/>
    <n v="4"/>
    <s v="Married"/>
    <n v="9380"/>
    <n v="14720"/>
    <n v="4"/>
    <s v="Y"/>
    <x v="0"/>
    <n v="18"/>
    <n v="3"/>
    <n v="4"/>
    <n v="80"/>
    <n v="2"/>
    <n v="10"/>
    <n v="4"/>
    <n v="4"/>
    <n v="3"/>
    <n v="1"/>
    <n v="1"/>
    <n v="2"/>
    <x v="1"/>
    <n v="1"/>
    <x v="1"/>
    <x v="2"/>
    <s v="2-5 Years"/>
    <s v="Very High"/>
    <s v="Best"/>
  </r>
  <r>
    <x v="26"/>
    <s v="No"/>
    <s v="Travel_Rarely"/>
    <n v="1221"/>
    <x v="0"/>
    <n v="7"/>
    <n v="3"/>
    <s v="Marketing"/>
    <n v="1"/>
    <n v="1466"/>
    <n v="3"/>
    <x v="1"/>
    <n v="96"/>
    <n v="3"/>
    <n v="2"/>
    <x v="0"/>
    <n v="1"/>
    <s v="Divorced"/>
    <n v="5486"/>
    <n v="24795"/>
    <n v="4"/>
    <s v="Y"/>
    <x v="1"/>
    <n v="11"/>
    <n v="3"/>
    <n v="1"/>
    <n v="80"/>
    <n v="3"/>
    <n v="15"/>
    <n v="3"/>
    <n v="3"/>
    <n v="2"/>
    <n v="2"/>
    <n v="2"/>
    <n v="2"/>
    <x v="1"/>
    <n v="1"/>
    <x v="1"/>
    <x v="0"/>
    <s v="2-5 Years"/>
    <s v="Low"/>
    <s v="Better"/>
  </r>
  <r>
    <x v="13"/>
    <s v="Yes"/>
    <s v="Travel_Rarely"/>
    <n v="1107"/>
    <x v="2"/>
    <n v="9"/>
    <n v="4"/>
    <s v="Technical Degree"/>
    <n v="1"/>
    <n v="1467"/>
    <n v="1"/>
    <x v="0"/>
    <n v="52"/>
    <n v="3"/>
    <n v="1"/>
    <x v="8"/>
    <n v="3"/>
    <s v="Married"/>
    <n v="2742"/>
    <n v="3072"/>
    <n v="1"/>
    <s v="Y"/>
    <x v="1"/>
    <n v="15"/>
    <n v="3"/>
    <n v="4"/>
    <n v="80"/>
    <n v="0"/>
    <n v="2"/>
    <n v="0"/>
    <n v="3"/>
    <n v="2"/>
    <n v="2"/>
    <n v="2"/>
    <n v="2"/>
    <x v="0"/>
    <n v="0"/>
    <x v="2"/>
    <x v="1"/>
    <s v="2-5 Years"/>
    <s v="High"/>
    <s v="Better"/>
  </r>
  <r>
    <x v="32"/>
    <s v="No"/>
    <s v="Non-Travel"/>
    <n v="218"/>
    <x v="1"/>
    <n v="8"/>
    <n v="1"/>
    <s v="Medical"/>
    <n v="1"/>
    <n v="1468"/>
    <n v="4"/>
    <x v="1"/>
    <n v="55"/>
    <n v="2"/>
    <n v="3"/>
    <x v="7"/>
    <n v="2"/>
    <s v="Divorced"/>
    <n v="13757"/>
    <n v="25178"/>
    <n v="2"/>
    <s v="Y"/>
    <x v="1"/>
    <n v="11"/>
    <n v="3"/>
    <n v="3"/>
    <n v="80"/>
    <n v="1"/>
    <n v="16"/>
    <n v="5"/>
    <n v="3"/>
    <n v="9"/>
    <n v="8"/>
    <n v="4"/>
    <n v="8"/>
    <x v="1"/>
    <n v="1"/>
    <x v="0"/>
    <x v="2"/>
    <s v="6-10 Years"/>
    <s v="Medium"/>
    <s v="Better"/>
  </r>
  <r>
    <x v="14"/>
    <s v="No"/>
    <s v="Travel_Rarely"/>
    <n v="866"/>
    <x v="0"/>
    <n v="5"/>
    <n v="3"/>
    <s v="Medical"/>
    <n v="1"/>
    <n v="1469"/>
    <n v="4"/>
    <x v="1"/>
    <n v="84"/>
    <n v="3"/>
    <n v="2"/>
    <x v="0"/>
    <n v="1"/>
    <s v="Single"/>
    <n v="8463"/>
    <n v="23490"/>
    <n v="0"/>
    <s v="Y"/>
    <x v="1"/>
    <n v="18"/>
    <n v="3"/>
    <n v="4"/>
    <n v="80"/>
    <n v="0"/>
    <n v="6"/>
    <n v="4"/>
    <n v="3"/>
    <n v="5"/>
    <n v="4"/>
    <n v="1"/>
    <n v="3"/>
    <x v="1"/>
    <n v="1"/>
    <x v="2"/>
    <x v="2"/>
    <s v="2-5 Years"/>
    <s v="Low"/>
    <s v="Better"/>
  </r>
  <r>
    <x v="20"/>
    <s v="No"/>
    <s v="Non-Travel"/>
    <n v="981"/>
    <x v="1"/>
    <n v="5"/>
    <n v="3"/>
    <s v="Life Sciences"/>
    <n v="1"/>
    <n v="1471"/>
    <n v="3"/>
    <x v="1"/>
    <n v="90"/>
    <n v="2"/>
    <n v="1"/>
    <x v="2"/>
    <n v="3"/>
    <s v="Single"/>
    <n v="3162"/>
    <n v="7973"/>
    <n v="3"/>
    <s v="Y"/>
    <x v="1"/>
    <n v="14"/>
    <n v="3"/>
    <n v="4"/>
    <n v="80"/>
    <n v="0"/>
    <n v="7"/>
    <n v="5"/>
    <n v="3"/>
    <n v="5"/>
    <n v="2"/>
    <n v="0"/>
    <n v="3"/>
    <x v="1"/>
    <n v="1"/>
    <x v="0"/>
    <x v="0"/>
    <s v="2-5 Years"/>
    <s v="High"/>
    <s v="Better"/>
  </r>
  <r>
    <x v="16"/>
    <s v="No"/>
    <s v="Travel_Rarely"/>
    <n v="447"/>
    <x v="1"/>
    <n v="2"/>
    <n v="3"/>
    <s v="Medical"/>
    <n v="1"/>
    <n v="1472"/>
    <n v="4"/>
    <x v="1"/>
    <n v="39"/>
    <n v="4"/>
    <n v="4"/>
    <x v="7"/>
    <n v="2"/>
    <s v="Single"/>
    <n v="16598"/>
    <n v="19764"/>
    <n v="4"/>
    <s v="Y"/>
    <x v="1"/>
    <n v="12"/>
    <n v="3"/>
    <n v="2"/>
    <n v="80"/>
    <n v="0"/>
    <n v="35"/>
    <n v="2"/>
    <n v="2"/>
    <n v="9"/>
    <n v="8"/>
    <n v="8"/>
    <n v="8"/>
    <x v="1"/>
    <n v="1"/>
    <x v="1"/>
    <x v="2"/>
    <s v="6-10 Years"/>
    <s v="Medium"/>
    <s v="Good"/>
  </r>
  <r>
    <x v="1"/>
    <s v="No"/>
    <s v="Travel_Rarely"/>
    <n v="1495"/>
    <x v="1"/>
    <n v="5"/>
    <n v="4"/>
    <s v="Technical Degree"/>
    <n v="1"/>
    <n v="1473"/>
    <n v="1"/>
    <x v="1"/>
    <n v="96"/>
    <n v="3"/>
    <n v="2"/>
    <x v="4"/>
    <n v="3"/>
    <s v="Married"/>
    <n v="6651"/>
    <n v="21534"/>
    <n v="2"/>
    <s v="Y"/>
    <x v="1"/>
    <n v="14"/>
    <n v="3"/>
    <n v="2"/>
    <n v="80"/>
    <n v="1"/>
    <n v="20"/>
    <n v="0"/>
    <n v="2"/>
    <n v="3"/>
    <n v="2"/>
    <n v="1"/>
    <n v="2"/>
    <x v="1"/>
    <n v="1"/>
    <x v="1"/>
    <x v="0"/>
    <s v="2-5 Years"/>
    <s v="High"/>
    <s v="Good"/>
  </r>
  <r>
    <x v="32"/>
    <s v="No"/>
    <s v="Travel_Rarely"/>
    <n v="896"/>
    <x v="1"/>
    <n v="2"/>
    <n v="3"/>
    <s v="Medical"/>
    <n v="1"/>
    <n v="1474"/>
    <n v="3"/>
    <x v="1"/>
    <n v="68"/>
    <n v="3"/>
    <n v="1"/>
    <x v="1"/>
    <n v="3"/>
    <s v="Divorced"/>
    <n v="2345"/>
    <n v="8045"/>
    <n v="2"/>
    <s v="Y"/>
    <x v="1"/>
    <n v="14"/>
    <n v="3"/>
    <n v="3"/>
    <n v="80"/>
    <n v="1"/>
    <n v="8"/>
    <n v="3"/>
    <n v="4"/>
    <n v="3"/>
    <n v="1"/>
    <n v="1"/>
    <n v="2"/>
    <x v="1"/>
    <n v="1"/>
    <x v="0"/>
    <x v="1"/>
    <s v="2-5 Years"/>
    <s v="High"/>
    <s v="Best"/>
  </r>
  <r>
    <x v="20"/>
    <s v="No"/>
    <s v="Travel_Rarely"/>
    <n v="1467"/>
    <x v="1"/>
    <n v="20"/>
    <n v="3"/>
    <s v="Life Sciences"/>
    <n v="1"/>
    <n v="1475"/>
    <n v="4"/>
    <x v="1"/>
    <n v="49"/>
    <n v="3"/>
    <n v="1"/>
    <x v="1"/>
    <n v="2"/>
    <s v="Single"/>
    <n v="3420"/>
    <n v="21158"/>
    <n v="1"/>
    <s v="Y"/>
    <x v="1"/>
    <n v="13"/>
    <n v="3"/>
    <n v="3"/>
    <n v="80"/>
    <n v="0"/>
    <n v="6"/>
    <n v="3"/>
    <n v="2"/>
    <n v="5"/>
    <n v="2"/>
    <n v="1"/>
    <n v="3"/>
    <x v="1"/>
    <n v="1"/>
    <x v="0"/>
    <x v="0"/>
    <s v="2-5 Years"/>
    <s v="Medium"/>
    <s v="Good"/>
  </r>
  <r>
    <x v="3"/>
    <s v="No"/>
    <s v="Travel_Frequently"/>
    <n v="430"/>
    <x v="0"/>
    <n v="7"/>
    <n v="3"/>
    <s v="Medical"/>
    <n v="1"/>
    <n v="1477"/>
    <n v="4"/>
    <x v="1"/>
    <n v="54"/>
    <n v="3"/>
    <n v="2"/>
    <x v="0"/>
    <n v="1"/>
    <s v="Married"/>
    <n v="4373"/>
    <n v="17456"/>
    <n v="0"/>
    <s v="Y"/>
    <x v="1"/>
    <n v="14"/>
    <n v="3"/>
    <n v="1"/>
    <n v="80"/>
    <n v="2"/>
    <n v="5"/>
    <n v="2"/>
    <n v="3"/>
    <n v="4"/>
    <n v="3"/>
    <n v="0"/>
    <n v="3"/>
    <x v="1"/>
    <n v="1"/>
    <x v="2"/>
    <x v="0"/>
    <s v="2-5 Years"/>
    <s v="Low"/>
    <s v="Better"/>
  </r>
  <r>
    <x v="13"/>
    <s v="No"/>
    <s v="Travel_Rarely"/>
    <n v="1326"/>
    <x v="0"/>
    <n v="3"/>
    <n v="3"/>
    <s v="Other"/>
    <n v="1"/>
    <n v="1478"/>
    <n v="4"/>
    <x v="1"/>
    <n v="81"/>
    <n v="1"/>
    <n v="2"/>
    <x v="0"/>
    <n v="1"/>
    <s v="Single"/>
    <n v="4759"/>
    <n v="15891"/>
    <n v="3"/>
    <s v="Y"/>
    <x v="1"/>
    <n v="18"/>
    <n v="3"/>
    <n v="4"/>
    <n v="80"/>
    <n v="0"/>
    <n v="15"/>
    <n v="2"/>
    <n v="3"/>
    <n v="13"/>
    <n v="9"/>
    <n v="3"/>
    <n v="12"/>
    <x v="1"/>
    <n v="1"/>
    <x v="2"/>
    <x v="0"/>
    <s v="10+ Years"/>
    <s v="Low"/>
    <s v="Better"/>
  </r>
  <r>
    <x v="7"/>
    <s v="No"/>
    <s v="Travel_Rarely"/>
    <n v="1358"/>
    <x v="0"/>
    <n v="16"/>
    <n v="1"/>
    <s v="Life Sciences"/>
    <n v="1"/>
    <n v="1479"/>
    <n v="4"/>
    <x v="1"/>
    <n v="96"/>
    <n v="3"/>
    <n v="2"/>
    <x v="0"/>
    <n v="3"/>
    <s v="Married"/>
    <n v="5301"/>
    <n v="2939"/>
    <n v="8"/>
    <s v="Y"/>
    <x v="1"/>
    <n v="15"/>
    <n v="3"/>
    <n v="3"/>
    <n v="80"/>
    <n v="2"/>
    <n v="4"/>
    <n v="2"/>
    <n v="2"/>
    <n v="2"/>
    <n v="1"/>
    <n v="2"/>
    <n v="2"/>
    <x v="1"/>
    <n v="1"/>
    <x v="2"/>
    <x v="0"/>
    <s v="2-5 Years"/>
    <s v="High"/>
    <s v="Good"/>
  </r>
  <r>
    <x v="19"/>
    <s v="No"/>
    <s v="Travel_Frequently"/>
    <n v="748"/>
    <x v="1"/>
    <n v="9"/>
    <n v="2"/>
    <s v="Medical"/>
    <n v="1"/>
    <n v="1480"/>
    <n v="1"/>
    <x v="0"/>
    <n v="74"/>
    <n v="3"/>
    <n v="1"/>
    <x v="2"/>
    <n v="4"/>
    <s v="Single"/>
    <n v="3673"/>
    <n v="16458"/>
    <n v="1"/>
    <s v="Y"/>
    <x v="1"/>
    <n v="13"/>
    <n v="3"/>
    <n v="3"/>
    <n v="80"/>
    <n v="0"/>
    <n v="12"/>
    <n v="3"/>
    <n v="3"/>
    <n v="12"/>
    <n v="9"/>
    <n v="5"/>
    <n v="8"/>
    <x v="1"/>
    <n v="1"/>
    <x v="0"/>
    <x v="0"/>
    <s v="10+ Years"/>
    <s v="Very High"/>
    <s v="Better"/>
  </r>
  <r>
    <x v="20"/>
    <s v="No"/>
    <s v="Travel_Frequently"/>
    <n v="383"/>
    <x v="0"/>
    <n v="1"/>
    <n v="5"/>
    <s v="Marketing"/>
    <n v="1"/>
    <n v="1481"/>
    <n v="1"/>
    <x v="0"/>
    <n v="79"/>
    <n v="3"/>
    <n v="2"/>
    <x v="0"/>
    <n v="3"/>
    <s v="Married"/>
    <n v="4768"/>
    <n v="9282"/>
    <n v="7"/>
    <s v="Y"/>
    <x v="1"/>
    <n v="12"/>
    <n v="3"/>
    <n v="3"/>
    <n v="80"/>
    <n v="1"/>
    <n v="11"/>
    <n v="4"/>
    <n v="2"/>
    <n v="1"/>
    <n v="0"/>
    <n v="0"/>
    <n v="0"/>
    <x v="1"/>
    <n v="1"/>
    <x v="0"/>
    <x v="0"/>
    <s v="0-1 Years"/>
    <s v="High"/>
    <s v="Good"/>
  </r>
  <r>
    <x v="7"/>
    <s v="No"/>
    <s v="Non-Travel"/>
    <n v="990"/>
    <x v="1"/>
    <n v="7"/>
    <n v="3"/>
    <s v="Technical Degree"/>
    <n v="1"/>
    <n v="1482"/>
    <n v="3"/>
    <x v="1"/>
    <n v="64"/>
    <n v="3"/>
    <n v="1"/>
    <x v="1"/>
    <n v="3"/>
    <s v="Divorced"/>
    <n v="1274"/>
    <n v="7152"/>
    <n v="1"/>
    <s v="Y"/>
    <x v="1"/>
    <n v="13"/>
    <n v="3"/>
    <n v="2"/>
    <n v="80"/>
    <n v="2"/>
    <n v="1"/>
    <n v="2"/>
    <n v="2"/>
    <n v="1"/>
    <n v="0"/>
    <n v="0"/>
    <n v="0"/>
    <x v="1"/>
    <n v="1"/>
    <x v="2"/>
    <x v="1"/>
    <s v="0-1 Years"/>
    <s v="High"/>
    <s v="Good"/>
  </r>
  <r>
    <x v="38"/>
    <s v="No"/>
    <s v="Travel_Rarely"/>
    <n v="405"/>
    <x v="1"/>
    <n v="1"/>
    <n v="2"/>
    <s v="Life Sciences"/>
    <n v="1"/>
    <n v="1483"/>
    <n v="2"/>
    <x v="1"/>
    <n v="93"/>
    <n v="4"/>
    <n v="2"/>
    <x v="1"/>
    <n v="3"/>
    <s v="Married"/>
    <n v="4900"/>
    <n v="2721"/>
    <n v="0"/>
    <s v="Y"/>
    <x v="1"/>
    <n v="24"/>
    <n v="4"/>
    <n v="1"/>
    <n v="80"/>
    <n v="1"/>
    <n v="13"/>
    <n v="2"/>
    <n v="2"/>
    <n v="12"/>
    <n v="9"/>
    <n v="2"/>
    <n v="8"/>
    <x v="1"/>
    <n v="1"/>
    <x v="3"/>
    <x v="0"/>
    <s v="10+ Years"/>
    <s v="High"/>
    <s v="Good"/>
  </r>
  <r>
    <x v="1"/>
    <s v="No"/>
    <s v="Travel_Rarely"/>
    <n v="1490"/>
    <x v="1"/>
    <n v="7"/>
    <n v="4"/>
    <s v="Life Sciences"/>
    <n v="1"/>
    <n v="1484"/>
    <n v="3"/>
    <x v="1"/>
    <n v="35"/>
    <n v="3"/>
    <n v="3"/>
    <x v="4"/>
    <n v="2"/>
    <s v="Divorced"/>
    <n v="10466"/>
    <n v="20948"/>
    <n v="3"/>
    <s v="Y"/>
    <x v="1"/>
    <n v="14"/>
    <n v="3"/>
    <n v="2"/>
    <n v="80"/>
    <n v="2"/>
    <n v="29"/>
    <n v="3"/>
    <n v="3"/>
    <n v="8"/>
    <n v="7"/>
    <n v="0"/>
    <n v="7"/>
    <x v="1"/>
    <n v="1"/>
    <x v="1"/>
    <x v="2"/>
    <s v="6-10 Years"/>
    <s v="Medium"/>
    <s v="Better"/>
  </r>
  <r>
    <x v="13"/>
    <s v="No"/>
    <s v="Travel_Frequently"/>
    <n v="829"/>
    <x v="1"/>
    <n v="15"/>
    <n v="3"/>
    <s v="Medical"/>
    <n v="1"/>
    <n v="1485"/>
    <n v="2"/>
    <x v="1"/>
    <n v="71"/>
    <n v="3"/>
    <n v="4"/>
    <x v="7"/>
    <n v="1"/>
    <s v="Divorced"/>
    <n v="17007"/>
    <n v="11929"/>
    <n v="7"/>
    <s v="Y"/>
    <x v="1"/>
    <n v="14"/>
    <n v="3"/>
    <n v="4"/>
    <n v="80"/>
    <n v="2"/>
    <n v="16"/>
    <n v="3"/>
    <n v="2"/>
    <n v="14"/>
    <n v="8"/>
    <n v="6"/>
    <n v="9"/>
    <x v="1"/>
    <n v="1"/>
    <x v="2"/>
    <x v="2"/>
    <s v="10+ Years"/>
    <s v="Low"/>
    <s v="Good"/>
  </r>
  <r>
    <x v="14"/>
    <s v="Yes"/>
    <s v="Travel_Frequently"/>
    <n v="1496"/>
    <x v="0"/>
    <n v="1"/>
    <n v="3"/>
    <s v="Technical Degree"/>
    <n v="1"/>
    <n v="1486"/>
    <n v="1"/>
    <x v="1"/>
    <n v="92"/>
    <n v="3"/>
    <n v="1"/>
    <x v="6"/>
    <n v="3"/>
    <s v="Married"/>
    <n v="2909"/>
    <n v="15747"/>
    <n v="3"/>
    <s v="Y"/>
    <x v="1"/>
    <n v="15"/>
    <n v="3"/>
    <n v="4"/>
    <n v="80"/>
    <n v="1"/>
    <n v="5"/>
    <n v="3"/>
    <n v="4"/>
    <n v="3"/>
    <n v="2"/>
    <n v="1"/>
    <n v="2"/>
    <x v="0"/>
    <n v="0"/>
    <x v="2"/>
    <x v="1"/>
    <s v="2-5 Years"/>
    <s v="High"/>
    <s v="Best"/>
  </r>
  <r>
    <x v="11"/>
    <s v="Yes"/>
    <s v="Travel_Frequently"/>
    <n v="115"/>
    <x v="0"/>
    <n v="13"/>
    <n v="3"/>
    <s v="Technical Degree"/>
    <n v="1"/>
    <n v="1487"/>
    <n v="1"/>
    <x v="0"/>
    <n v="51"/>
    <n v="3"/>
    <n v="2"/>
    <x v="0"/>
    <n v="2"/>
    <s v="Single"/>
    <n v="5765"/>
    <n v="17485"/>
    <n v="5"/>
    <s v="Y"/>
    <x v="1"/>
    <n v="11"/>
    <n v="3"/>
    <n v="1"/>
    <n v="80"/>
    <n v="0"/>
    <n v="7"/>
    <n v="4"/>
    <n v="1"/>
    <n v="5"/>
    <n v="3"/>
    <n v="0"/>
    <n v="0"/>
    <x v="0"/>
    <n v="0"/>
    <x v="2"/>
    <x v="0"/>
    <s v="2-5 Years"/>
    <s v="Medium"/>
    <s v="Bad"/>
  </r>
  <r>
    <x v="13"/>
    <s v="Yes"/>
    <s v="Travel_Rarely"/>
    <n v="790"/>
    <x v="0"/>
    <n v="24"/>
    <n v="4"/>
    <s v="Medical"/>
    <n v="1"/>
    <n v="1489"/>
    <n v="1"/>
    <x v="0"/>
    <n v="40"/>
    <n v="2"/>
    <n v="2"/>
    <x v="0"/>
    <n v="2"/>
    <s v="Single"/>
    <n v="4599"/>
    <n v="7815"/>
    <n v="0"/>
    <s v="Y"/>
    <x v="0"/>
    <n v="23"/>
    <n v="4"/>
    <n v="3"/>
    <n v="80"/>
    <n v="0"/>
    <n v="16"/>
    <n v="2"/>
    <n v="4"/>
    <n v="15"/>
    <n v="9"/>
    <n v="10"/>
    <n v="10"/>
    <x v="0"/>
    <n v="0"/>
    <x v="2"/>
    <x v="0"/>
    <s v="10+ Years"/>
    <s v="Medium"/>
    <s v="Best"/>
  </r>
  <r>
    <x v="10"/>
    <s v="No"/>
    <s v="Travel_Rarely"/>
    <n v="660"/>
    <x v="0"/>
    <n v="7"/>
    <n v="1"/>
    <s v="Life Sciences"/>
    <n v="1"/>
    <n v="1492"/>
    <n v="4"/>
    <x v="1"/>
    <n v="76"/>
    <n v="3"/>
    <n v="1"/>
    <x v="6"/>
    <n v="3"/>
    <s v="Married"/>
    <n v="2404"/>
    <n v="16192"/>
    <n v="1"/>
    <s v="Y"/>
    <x v="1"/>
    <n v="13"/>
    <n v="3"/>
    <n v="1"/>
    <n v="80"/>
    <n v="1"/>
    <n v="1"/>
    <n v="3"/>
    <n v="3"/>
    <n v="1"/>
    <n v="0"/>
    <n v="0"/>
    <n v="0"/>
    <x v="1"/>
    <n v="1"/>
    <x v="0"/>
    <x v="1"/>
    <s v="0-1 Years"/>
    <s v="High"/>
    <s v="Better"/>
  </r>
  <r>
    <x v="17"/>
    <s v="Yes"/>
    <s v="Travel_Frequently"/>
    <n v="381"/>
    <x v="1"/>
    <n v="9"/>
    <n v="3"/>
    <s v="Medical"/>
    <n v="1"/>
    <n v="1494"/>
    <n v="2"/>
    <x v="1"/>
    <n v="89"/>
    <n v="3"/>
    <n v="1"/>
    <x v="2"/>
    <n v="1"/>
    <s v="Single"/>
    <n v="3172"/>
    <n v="16998"/>
    <n v="2"/>
    <s v="Y"/>
    <x v="0"/>
    <n v="11"/>
    <n v="3"/>
    <n v="3"/>
    <n v="80"/>
    <n v="0"/>
    <n v="4"/>
    <n v="2"/>
    <n v="2"/>
    <n v="0"/>
    <n v="0"/>
    <n v="0"/>
    <n v="0"/>
    <x v="0"/>
    <n v="0"/>
    <x v="4"/>
    <x v="0"/>
    <s v="0-1 Years"/>
    <s v="Low"/>
    <s v="Good"/>
  </r>
  <r>
    <x v="17"/>
    <s v="No"/>
    <s v="Non-Travel"/>
    <n v="830"/>
    <x v="0"/>
    <n v="13"/>
    <n v="2"/>
    <s v="Life Sciences"/>
    <n v="1"/>
    <n v="1495"/>
    <n v="4"/>
    <x v="0"/>
    <n v="78"/>
    <n v="3"/>
    <n v="1"/>
    <x v="6"/>
    <n v="2"/>
    <s v="Married"/>
    <n v="2033"/>
    <n v="7103"/>
    <n v="1"/>
    <s v="Y"/>
    <x v="1"/>
    <n v="13"/>
    <n v="3"/>
    <n v="3"/>
    <n v="80"/>
    <n v="1"/>
    <n v="1"/>
    <n v="2"/>
    <n v="3"/>
    <n v="1"/>
    <n v="0"/>
    <n v="0"/>
    <n v="0"/>
    <x v="1"/>
    <n v="1"/>
    <x v="4"/>
    <x v="1"/>
    <s v="0-1 Years"/>
    <s v="Medium"/>
    <s v="Better"/>
  </r>
  <r>
    <x v="20"/>
    <s v="No"/>
    <s v="Travel_Frequently"/>
    <n v="1193"/>
    <x v="1"/>
    <n v="2"/>
    <n v="1"/>
    <s v="Medical"/>
    <n v="1"/>
    <n v="1496"/>
    <n v="2"/>
    <x v="1"/>
    <n v="86"/>
    <n v="3"/>
    <n v="3"/>
    <x v="3"/>
    <n v="3"/>
    <s v="Single"/>
    <n v="10209"/>
    <n v="19719"/>
    <n v="5"/>
    <s v="Y"/>
    <x v="0"/>
    <n v="18"/>
    <n v="3"/>
    <n v="2"/>
    <n v="80"/>
    <n v="0"/>
    <n v="16"/>
    <n v="2"/>
    <n v="2"/>
    <n v="2"/>
    <n v="2"/>
    <n v="2"/>
    <n v="2"/>
    <x v="1"/>
    <n v="1"/>
    <x v="0"/>
    <x v="2"/>
    <s v="2-5 Years"/>
    <s v="High"/>
    <s v="Good"/>
  </r>
  <r>
    <x v="11"/>
    <s v="No"/>
    <s v="Travel_Rarely"/>
    <n v="1246"/>
    <x v="0"/>
    <n v="19"/>
    <n v="3"/>
    <s v="Life Sciences"/>
    <n v="1"/>
    <n v="1497"/>
    <n v="3"/>
    <x v="1"/>
    <n v="77"/>
    <n v="2"/>
    <n v="2"/>
    <x v="0"/>
    <n v="3"/>
    <s v="Divorced"/>
    <n v="8620"/>
    <n v="23757"/>
    <n v="1"/>
    <s v="Y"/>
    <x v="1"/>
    <n v="14"/>
    <n v="3"/>
    <n v="3"/>
    <n v="80"/>
    <n v="2"/>
    <n v="10"/>
    <n v="3"/>
    <n v="3"/>
    <n v="10"/>
    <n v="7"/>
    <n v="0"/>
    <n v="4"/>
    <x v="1"/>
    <n v="1"/>
    <x v="2"/>
    <x v="2"/>
    <s v="6-10 Years"/>
    <s v="High"/>
    <s v="Better"/>
  </r>
  <r>
    <x v="7"/>
    <s v="No"/>
    <s v="Travel_Rarely"/>
    <n v="330"/>
    <x v="2"/>
    <n v="1"/>
    <n v="3"/>
    <s v="Life Sciences"/>
    <n v="1"/>
    <n v="1499"/>
    <n v="3"/>
    <x v="1"/>
    <n v="46"/>
    <n v="3"/>
    <n v="1"/>
    <x v="8"/>
    <n v="3"/>
    <s v="Divorced"/>
    <n v="2064"/>
    <n v="15428"/>
    <n v="0"/>
    <s v="Y"/>
    <x v="1"/>
    <n v="21"/>
    <n v="4"/>
    <n v="1"/>
    <n v="80"/>
    <n v="1"/>
    <n v="6"/>
    <n v="3"/>
    <n v="4"/>
    <n v="5"/>
    <n v="3"/>
    <n v="1"/>
    <n v="3"/>
    <x v="1"/>
    <n v="1"/>
    <x v="2"/>
    <x v="1"/>
    <s v="2-5 Years"/>
    <s v="High"/>
    <s v="Best"/>
  </r>
  <r>
    <x v="27"/>
    <s v="No"/>
    <s v="Travel_Rarely"/>
    <n v="1229"/>
    <x v="1"/>
    <n v="4"/>
    <n v="4"/>
    <s v="Life Sciences"/>
    <n v="1"/>
    <n v="1501"/>
    <n v="4"/>
    <x v="1"/>
    <n v="30"/>
    <n v="3"/>
    <n v="2"/>
    <x v="4"/>
    <n v="3"/>
    <s v="Married"/>
    <n v="4035"/>
    <n v="16143"/>
    <n v="0"/>
    <s v="Y"/>
    <x v="0"/>
    <n v="16"/>
    <n v="3"/>
    <n v="2"/>
    <n v="80"/>
    <n v="0"/>
    <n v="4"/>
    <n v="2"/>
    <n v="3"/>
    <n v="3"/>
    <n v="2"/>
    <n v="1"/>
    <n v="2"/>
    <x v="1"/>
    <n v="1"/>
    <x v="3"/>
    <x v="0"/>
    <s v="2-5 Years"/>
    <s v="High"/>
    <s v="Better"/>
  </r>
  <r>
    <x v="3"/>
    <s v="No"/>
    <s v="Travel_Rarely"/>
    <n v="1099"/>
    <x v="1"/>
    <n v="4"/>
    <n v="4"/>
    <s v="Medical"/>
    <n v="1"/>
    <n v="1502"/>
    <n v="1"/>
    <x v="0"/>
    <n v="82"/>
    <n v="2"/>
    <n v="1"/>
    <x v="2"/>
    <n v="2"/>
    <s v="Married"/>
    <n v="3838"/>
    <n v="8192"/>
    <n v="8"/>
    <s v="Y"/>
    <x v="1"/>
    <n v="11"/>
    <n v="3"/>
    <n v="4"/>
    <n v="80"/>
    <n v="0"/>
    <n v="8"/>
    <n v="5"/>
    <n v="3"/>
    <n v="5"/>
    <n v="4"/>
    <n v="0"/>
    <n v="2"/>
    <x v="1"/>
    <n v="1"/>
    <x v="2"/>
    <x v="0"/>
    <s v="2-5 Years"/>
    <s v="Medium"/>
    <s v="Better"/>
  </r>
  <r>
    <x v="40"/>
    <s v="No"/>
    <s v="Travel_Rarely"/>
    <n v="571"/>
    <x v="0"/>
    <n v="14"/>
    <n v="3"/>
    <s v="Medical"/>
    <n v="1"/>
    <n v="1503"/>
    <n v="3"/>
    <x v="0"/>
    <n v="78"/>
    <n v="3"/>
    <n v="2"/>
    <x v="0"/>
    <n v="3"/>
    <s v="Married"/>
    <n v="4591"/>
    <n v="24200"/>
    <n v="3"/>
    <s v="Y"/>
    <x v="0"/>
    <n v="17"/>
    <n v="3"/>
    <n v="3"/>
    <n v="80"/>
    <n v="1"/>
    <n v="11"/>
    <n v="4"/>
    <n v="2"/>
    <n v="5"/>
    <n v="4"/>
    <n v="1"/>
    <n v="2"/>
    <x v="1"/>
    <n v="1"/>
    <x v="1"/>
    <x v="0"/>
    <s v="2-5 Years"/>
    <s v="High"/>
    <s v="Good"/>
  </r>
  <r>
    <x v="14"/>
    <s v="Yes"/>
    <s v="Travel_Frequently"/>
    <n v="289"/>
    <x v="1"/>
    <n v="2"/>
    <n v="2"/>
    <s v="Medical"/>
    <n v="1"/>
    <n v="1504"/>
    <n v="3"/>
    <x v="1"/>
    <n v="38"/>
    <n v="2"/>
    <n v="1"/>
    <x v="2"/>
    <n v="1"/>
    <s v="Single"/>
    <n v="2561"/>
    <n v="5355"/>
    <n v="7"/>
    <s v="Y"/>
    <x v="1"/>
    <n v="11"/>
    <n v="3"/>
    <n v="3"/>
    <n v="80"/>
    <n v="0"/>
    <n v="8"/>
    <n v="2"/>
    <n v="2"/>
    <n v="0"/>
    <n v="0"/>
    <n v="0"/>
    <n v="0"/>
    <x v="0"/>
    <n v="0"/>
    <x v="2"/>
    <x v="1"/>
    <s v="0-1 Years"/>
    <s v="Low"/>
    <s v="Good"/>
  </r>
  <r>
    <x v="14"/>
    <s v="No"/>
    <s v="Travel_Rarely"/>
    <n v="1423"/>
    <x v="1"/>
    <n v="1"/>
    <n v="3"/>
    <s v="Life Sciences"/>
    <n v="1"/>
    <n v="1506"/>
    <n v="1"/>
    <x v="1"/>
    <n v="72"/>
    <n v="2"/>
    <n v="1"/>
    <x v="1"/>
    <n v="3"/>
    <s v="Divorced"/>
    <n v="1563"/>
    <n v="12530"/>
    <n v="1"/>
    <s v="Y"/>
    <x v="1"/>
    <n v="14"/>
    <n v="3"/>
    <n v="4"/>
    <n v="80"/>
    <n v="1"/>
    <n v="1"/>
    <n v="2"/>
    <n v="1"/>
    <n v="1"/>
    <n v="0"/>
    <n v="0"/>
    <n v="0"/>
    <x v="1"/>
    <n v="1"/>
    <x v="2"/>
    <x v="1"/>
    <s v="0-1 Years"/>
    <s v="High"/>
    <s v="Bad"/>
  </r>
  <r>
    <x v="14"/>
    <s v="No"/>
    <s v="Travel_Frequently"/>
    <n v="467"/>
    <x v="0"/>
    <n v="7"/>
    <n v="3"/>
    <s v="Life Sciences"/>
    <n v="1"/>
    <n v="1507"/>
    <n v="3"/>
    <x v="1"/>
    <n v="55"/>
    <n v="3"/>
    <n v="2"/>
    <x v="0"/>
    <n v="1"/>
    <s v="Single"/>
    <n v="4898"/>
    <n v="11827"/>
    <n v="0"/>
    <s v="Y"/>
    <x v="1"/>
    <n v="14"/>
    <n v="3"/>
    <n v="4"/>
    <n v="80"/>
    <n v="0"/>
    <n v="5"/>
    <n v="5"/>
    <n v="3"/>
    <n v="4"/>
    <n v="2"/>
    <n v="1"/>
    <n v="3"/>
    <x v="1"/>
    <n v="1"/>
    <x v="2"/>
    <x v="0"/>
    <s v="2-5 Years"/>
    <s v="Low"/>
    <s v="Better"/>
  </r>
  <r>
    <x v="1"/>
    <s v="No"/>
    <s v="Travel_Rarely"/>
    <n v="271"/>
    <x v="1"/>
    <n v="3"/>
    <n v="2"/>
    <s v="Medical"/>
    <n v="1"/>
    <n v="1509"/>
    <n v="3"/>
    <x v="0"/>
    <n v="43"/>
    <n v="2"/>
    <n v="2"/>
    <x v="2"/>
    <n v="1"/>
    <s v="Married"/>
    <n v="4789"/>
    <n v="23070"/>
    <n v="4"/>
    <s v="Y"/>
    <x v="1"/>
    <n v="25"/>
    <n v="4"/>
    <n v="1"/>
    <n v="80"/>
    <n v="1"/>
    <n v="10"/>
    <n v="3"/>
    <n v="3"/>
    <n v="3"/>
    <n v="2"/>
    <n v="1"/>
    <n v="2"/>
    <x v="1"/>
    <n v="1"/>
    <x v="1"/>
    <x v="0"/>
    <s v="2-5 Years"/>
    <s v="Low"/>
    <s v="Better"/>
  </r>
  <r>
    <x v="11"/>
    <s v="No"/>
    <s v="Travel_Frequently"/>
    <n v="410"/>
    <x v="1"/>
    <n v="2"/>
    <n v="1"/>
    <s v="Life Sciences"/>
    <n v="1"/>
    <n v="1513"/>
    <n v="4"/>
    <x v="0"/>
    <n v="97"/>
    <n v="3"/>
    <n v="1"/>
    <x v="2"/>
    <n v="2"/>
    <s v="Married"/>
    <n v="3180"/>
    <n v="4668"/>
    <n v="0"/>
    <s v="Y"/>
    <x v="1"/>
    <n v="13"/>
    <n v="3"/>
    <n v="3"/>
    <n v="80"/>
    <n v="3"/>
    <n v="4"/>
    <n v="3"/>
    <n v="3"/>
    <n v="3"/>
    <n v="2"/>
    <n v="0"/>
    <n v="2"/>
    <x v="1"/>
    <n v="1"/>
    <x v="2"/>
    <x v="0"/>
    <s v="2-5 Years"/>
    <s v="Medium"/>
    <s v="Better"/>
  </r>
  <r>
    <x v="14"/>
    <s v="No"/>
    <s v="Travel_Rarely"/>
    <n v="1083"/>
    <x v="1"/>
    <n v="29"/>
    <n v="1"/>
    <s v="Life Sciences"/>
    <n v="1"/>
    <n v="1514"/>
    <n v="3"/>
    <x v="1"/>
    <n v="96"/>
    <n v="1"/>
    <n v="2"/>
    <x v="3"/>
    <n v="2"/>
    <s v="Married"/>
    <n v="6549"/>
    <n v="3173"/>
    <n v="1"/>
    <s v="Y"/>
    <x v="1"/>
    <n v="14"/>
    <n v="3"/>
    <n v="2"/>
    <n v="80"/>
    <n v="2"/>
    <n v="8"/>
    <n v="2"/>
    <n v="2"/>
    <n v="8"/>
    <n v="6"/>
    <n v="1"/>
    <n v="7"/>
    <x v="1"/>
    <n v="1"/>
    <x v="2"/>
    <x v="0"/>
    <s v="6-10 Years"/>
    <s v="Medium"/>
    <s v="Good"/>
  </r>
  <r>
    <x v="3"/>
    <s v="No"/>
    <s v="Travel_Rarely"/>
    <n v="516"/>
    <x v="1"/>
    <n v="8"/>
    <n v="5"/>
    <s v="Life Sciences"/>
    <n v="1"/>
    <n v="1515"/>
    <n v="4"/>
    <x v="1"/>
    <n v="69"/>
    <n v="3"/>
    <n v="2"/>
    <x v="4"/>
    <n v="3"/>
    <s v="Single"/>
    <n v="6388"/>
    <n v="22049"/>
    <n v="2"/>
    <s v="Y"/>
    <x v="0"/>
    <n v="17"/>
    <n v="3"/>
    <n v="1"/>
    <n v="80"/>
    <n v="0"/>
    <n v="14"/>
    <n v="6"/>
    <n v="3"/>
    <n v="0"/>
    <n v="0"/>
    <n v="0"/>
    <n v="0"/>
    <x v="1"/>
    <n v="1"/>
    <x v="2"/>
    <x v="0"/>
    <s v="0-1 Years"/>
    <s v="High"/>
    <s v="Better"/>
  </r>
  <r>
    <x v="5"/>
    <s v="No"/>
    <s v="Travel_Rarely"/>
    <n v="495"/>
    <x v="1"/>
    <n v="10"/>
    <n v="3"/>
    <s v="Medical"/>
    <n v="1"/>
    <n v="1516"/>
    <n v="3"/>
    <x v="1"/>
    <n v="64"/>
    <n v="3"/>
    <n v="3"/>
    <x v="5"/>
    <n v="4"/>
    <s v="Single"/>
    <n v="11244"/>
    <n v="21072"/>
    <n v="2"/>
    <s v="Y"/>
    <x v="1"/>
    <n v="25"/>
    <n v="4"/>
    <n v="2"/>
    <n v="80"/>
    <n v="0"/>
    <n v="10"/>
    <n v="5"/>
    <n v="4"/>
    <n v="5"/>
    <n v="2"/>
    <n v="0"/>
    <n v="0"/>
    <x v="1"/>
    <n v="1"/>
    <x v="2"/>
    <x v="2"/>
    <s v="2-5 Years"/>
    <s v="Very High"/>
    <s v="Best"/>
  </r>
  <r>
    <x v="33"/>
    <s v="No"/>
    <s v="Travel_Frequently"/>
    <n v="1050"/>
    <x v="1"/>
    <n v="11"/>
    <n v="4"/>
    <s v="Medical"/>
    <n v="1"/>
    <n v="1520"/>
    <n v="2"/>
    <x v="0"/>
    <n v="87"/>
    <n v="3"/>
    <n v="4"/>
    <x v="5"/>
    <n v="4"/>
    <s v="Divorced"/>
    <n v="16032"/>
    <n v="24456"/>
    <n v="3"/>
    <s v="Y"/>
    <x v="1"/>
    <n v="20"/>
    <n v="4"/>
    <n v="1"/>
    <n v="80"/>
    <n v="1"/>
    <n v="26"/>
    <n v="2"/>
    <n v="3"/>
    <n v="14"/>
    <n v="9"/>
    <n v="1"/>
    <n v="12"/>
    <x v="1"/>
    <n v="1"/>
    <x v="1"/>
    <x v="2"/>
    <s v="10+ Years"/>
    <s v="Very High"/>
    <s v="Better"/>
  </r>
  <r>
    <x v="11"/>
    <s v="Yes"/>
    <s v="Travel_Rarely"/>
    <n v="224"/>
    <x v="1"/>
    <n v="1"/>
    <n v="4"/>
    <s v="Technical Degree"/>
    <n v="1"/>
    <n v="1522"/>
    <n v="1"/>
    <x v="1"/>
    <n v="100"/>
    <n v="2"/>
    <n v="1"/>
    <x v="1"/>
    <n v="1"/>
    <s v="Single"/>
    <n v="2362"/>
    <n v="7568"/>
    <n v="6"/>
    <s v="Y"/>
    <x v="1"/>
    <n v="13"/>
    <n v="3"/>
    <n v="3"/>
    <n v="80"/>
    <n v="0"/>
    <n v="11"/>
    <n v="2"/>
    <n v="1"/>
    <n v="9"/>
    <n v="7"/>
    <n v="0"/>
    <n v="7"/>
    <x v="0"/>
    <n v="0"/>
    <x v="2"/>
    <x v="1"/>
    <s v="6-10 Years"/>
    <s v="Low"/>
    <s v="Bad"/>
  </r>
  <r>
    <x v="20"/>
    <s v="No"/>
    <s v="Travel_Rarely"/>
    <n v="136"/>
    <x v="1"/>
    <n v="28"/>
    <n v="3"/>
    <s v="Life Sciences"/>
    <n v="1"/>
    <n v="1523"/>
    <n v="4"/>
    <x v="1"/>
    <n v="32"/>
    <n v="3"/>
    <n v="4"/>
    <x v="7"/>
    <n v="1"/>
    <s v="Married"/>
    <n v="16328"/>
    <n v="22074"/>
    <n v="3"/>
    <s v="Y"/>
    <x v="1"/>
    <n v="13"/>
    <n v="3"/>
    <n v="3"/>
    <n v="80"/>
    <n v="1"/>
    <n v="24"/>
    <n v="1"/>
    <n v="4"/>
    <n v="20"/>
    <n v="6"/>
    <n v="14"/>
    <n v="17"/>
    <x v="1"/>
    <n v="1"/>
    <x v="0"/>
    <x v="2"/>
    <s v="10+ Years"/>
    <s v="Low"/>
    <s v="Best"/>
  </r>
  <r>
    <x v="22"/>
    <s v="No"/>
    <s v="Travel_Rarely"/>
    <n v="1089"/>
    <x v="1"/>
    <n v="6"/>
    <n v="3"/>
    <s v="Life Sciences"/>
    <n v="1"/>
    <n v="1525"/>
    <n v="2"/>
    <x v="0"/>
    <n v="32"/>
    <n v="3"/>
    <n v="3"/>
    <x v="3"/>
    <n v="2"/>
    <s v="Single"/>
    <n v="8376"/>
    <n v="9150"/>
    <n v="4"/>
    <s v="Y"/>
    <x v="1"/>
    <n v="18"/>
    <n v="3"/>
    <n v="4"/>
    <n v="80"/>
    <n v="0"/>
    <n v="9"/>
    <n v="3"/>
    <n v="3"/>
    <n v="2"/>
    <n v="0"/>
    <n v="2"/>
    <n v="2"/>
    <x v="1"/>
    <n v="1"/>
    <x v="0"/>
    <x v="2"/>
    <s v="2-5 Years"/>
    <s v="Medium"/>
    <s v="Better"/>
  </r>
  <r>
    <x v="21"/>
    <s v="No"/>
    <s v="Travel_Rarely"/>
    <n v="228"/>
    <x v="0"/>
    <n v="3"/>
    <n v="3"/>
    <s v="Life Sciences"/>
    <n v="1"/>
    <n v="1527"/>
    <n v="3"/>
    <x v="0"/>
    <n v="51"/>
    <n v="3"/>
    <n v="4"/>
    <x v="5"/>
    <n v="2"/>
    <s v="Married"/>
    <n v="16606"/>
    <n v="11380"/>
    <n v="8"/>
    <s v="Y"/>
    <x v="1"/>
    <n v="12"/>
    <n v="3"/>
    <n v="4"/>
    <n v="80"/>
    <n v="1"/>
    <n v="23"/>
    <n v="2"/>
    <n v="4"/>
    <n v="13"/>
    <n v="12"/>
    <n v="5"/>
    <n v="1"/>
    <x v="1"/>
    <n v="1"/>
    <x v="1"/>
    <x v="2"/>
    <s v="10+ Years"/>
    <s v="Medium"/>
    <s v="Best"/>
  </r>
  <r>
    <x v="10"/>
    <s v="No"/>
    <s v="Travel_Rarely"/>
    <n v="1029"/>
    <x v="1"/>
    <n v="16"/>
    <n v="3"/>
    <s v="Life Sciences"/>
    <n v="1"/>
    <n v="1529"/>
    <n v="4"/>
    <x v="0"/>
    <n v="91"/>
    <n v="2"/>
    <n v="3"/>
    <x v="4"/>
    <n v="2"/>
    <s v="Single"/>
    <n v="8606"/>
    <n v="21195"/>
    <n v="1"/>
    <s v="Y"/>
    <x v="1"/>
    <n v="19"/>
    <n v="3"/>
    <n v="4"/>
    <n v="80"/>
    <n v="0"/>
    <n v="11"/>
    <n v="3"/>
    <n v="1"/>
    <n v="11"/>
    <n v="8"/>
    <n v="3"/>
    <n v="3"/>
    <x v="1"/>
    <n v="1"/>
    <x v="0"/>
    <x v="2"/>
    <s v="10+ Years"/>
    <s v="Medium"/>
    <s v="Bad"/>
  </r>
  <r>
    <x v="30"/>
    <s v="No"/>
    <s v="Travel_Rarely"/>
    <n v="507"/>
    <x v="1"/>
    <n v="20"/>
    <n v="1"/>
    <s v="Life Sciences"/>
    <n v="1"/>
    <n v="1533"/>
    <n v="1"/>
    <x v="1"/>
    <n v="97"/>
    <n v="3"/>
    <n v="2"/>
    <x v="2"/>
    <n v="3"/>
    <s v="Single"/>
    <n v="2272"/>
    <n v="24812"/>
    <n v="0"/>
    <s v="Y"/>
    <x v="1"/>
    <n v="14"/>
    <n v="3"/>
    <n v="2"/>
    <n v="80"/>
    <n v="0"/>
    <n v="5"/>
    <n v="2"/>
    <n v="3"/>
    <n v="4"/>
    <n v="3"/>
    <n v="1"/>
    <n v="2"/>
    <x v="1"/>
    <n v="1"/>
    <x v="4"/>
    <x v="1"/>
    <s v="2-5 Years"/>
    <s v="High"/>
    <s v="Better"/>
  </r>
  <r>
    <x v="32"/>
    <s v="Yes"/>
    <s v="Travel_Rarely"/>
    <n v="676"/>
    <x v="1"/>
    <n v="9"/>
    <n v="4"/>
    <s v="Life Sciences"/>
    <n v="1"/>
    <n v="1534"/>
    <n v="4"/>
    <x v="1"/>
    <n v="86"/>
    <n v="3"/>
    <n v="1"/>
    <x v="2"/>
    <n v="1"/>
    <s v="Single"/>
    <n v="2018"/>
    <n v="21831"/>
    <n v="3"/>
    <s v="Y"/>
    <x v="1"/>
    <n v="14"/>
    <n v="3"/>
    <n v="2"/>
    <n v="80"/>
    <n v="0"/>
    <n v="15"/>
    <n v="3"/>
    <n v="1"/>
    <n v="5"/>
    <n v="4"/>
    <n v="1"/>
    <n v="0"/>
    <x v="0"/>
    <n v="0"/>
    <x v="0"/>
    <x v="1"/>
    <s v="2-5 Years"/>
    <s v="Low"/>
    <s v="Bad"/>
  </r>
  <r>
    <x v="13"/>
    <s v="No"/>
    <s v="Travel_Rarely"/>
    <n v="971"/>
    <x v="0"/>
    <n v="1"/>
    <n v="3"/>
    <s v="Technical Degree"/>
    <n v="1"/>
    <n v="1535"/>
    <n v="4"/>
    <x v="1"/>
    <n v="64"/>
    <n v="2"/>
    <n v="3"/>
    <x v="0"/>
    <n v="3"/>
    <s v="Married"/>
    <n v="7083"/>
    <n v="12288"/>
    <n v="1"/>
    <s v="Y"/>
    <x v="0"/>
    <n v="14"/>
    <n v="3"/>
    <n v="4"/>
    <n v="80"/>
    <n v="0"/>
    <n v="10"/>
    <n v="3"/>
    <n v="3"/>
    <n v="10"/>
    <n v="9"/>
    <n v="8"/>
    <n v="6"/>
    <x v="1"/>
    <n v="1"/>
    <x v="2"/>
    <x v="2"/>
    <s v="6-10 Years"/>
    <s v="High"/>
    <s v="Better"/>
  </r>
  <r>
    <x v="12"/>
    <s v="Yes"/>
    <s v="Travel_Frequently"/>
    <n v="561"/>
    <x v="1"/>
    <n v="3"/>
    <n v="3"/>
    <s v="Life Sciences"/>
    <n v="1"/>
    <n v="1537"/>
    <n v="4"/>
    <x v="0"/>
    <n v="33"/>
    <n v="3"/>
    <n v="1"/>
    <x v="1"/>
    <n v="3"/>
    <s v="Single"/>
    <n v="4084"/>
    <n v="4156"/>
    <n v="1"/>
    <s v="Y"/>
    <x v="1"/>
    <n v="12"/>
    <n v="3"/>
    <n v="1"/>
    <n v="80"/>
    <n v="0"/>
    <n v="7"/>
    <n v="2"/>
    <n v="1"/>
    <n v="7"/>
    <n v="2"/>
    <n v="7"/>
    <n v="7"/>
    <x v="0"/>
    <n v="0"/>
    <x v="2"/>
    <x v="0"/>
    <s v="6-10 Years"/>
    <s v="High"/>
    <s v="Bad"/>
  </r>
  <r>
    <x v="24"/>
    <s v="No"/>
    <s v="Travel_Frequently"/>
    <n v="333"/>
    <x v="1"/>
    <n v="22"/>
    <n v="5"/>
    <s v="Medical"/>
    <n v="1"/>
    <n v="1539"/>
    <n v="3"/>
    <x v="1"/>
    <n v="88"/>
    <n v="1"/>
    <n v="4"/>
    <x v="7"/>
    <n v="4"/>
    <s v="Single"/>
    <n v="14411"/>
    <n v="24450"/>
    <n v="1"/>
    <s v="Y"/>
    <x v="0"/>
    <n v="13"/>
    <n v="3"/>
    <n v="4"/>
    <n v="80"/>
    <n v="0"/>
    <n v="32"/>
    <n v="2"/>
    <n v="3"/>
    <n v="32"/>
    <n v="6"/>
    <n v="13"/>
    <n v="9"/>
    <x v="1"/>
    <n v="1"/>
    <x v="1"/>
    <x v="2"/>
    <s v="10+ Years"/>
    <s v="Very High"/>
    <s v="Better"/>
  </r>
  <r>
    <x v="13"/>
    <s v="No"/>
    <s v="Travel_Rarely"/>
    <n v="1440"/>
    <x v="0"/>
    <n v="7"/>
    <n v="2"/>
    <s v="Technical Degree"/>
    <n v="1"/>
    <n v="1541"/>
    <n v="2"/>
    <x v="1"/>
    <n v="55"/>
    <n v="3"/>
    <n v="1"/>
    <x v="6"/>
    <n v="3"/>
    <s v="Married"/>
    <n v="2308"/>
    <n v="4944"/>
    <n v="0"/>
    <s v="Y"/>
    <x v="0"/>
    <n v="25"/>
    <n v="4"/>
    <n v="2"/>
    <n v="80"/>
    <n v="1"/>
    <n v="12"/>
    <n v="4"/>
    <n v="3"/>
    <n v="11"/>
    <n v="10"/>
    <n v="5"/>
    <n v="7"/>
    <x v="1"/>
    <n v="1"/>
    <x v="2"/>
    <x v="1"/>
    <s v="10+ Years"/>
    <s v="High"/>
    <s v="Better"/>
  </r>
  <r>
    <x v="19"/>
    <s v="No"/>
    <s v="Travel_Rarely"/>
    <n v="1210"/>
    <x v="1"/>
    <n v="2"/>
    <n v="3"/>
    <s v="Medical"/>
    <n v="1"/>
    <n v="1542"/>
    <n v="3"/>
    <x v="1"/>
    <n v="68"/>
    <n v="2"/>
    <n v="1"/>
    <x v="2"/>
    <n v="2"/>
    <s v="Married"/>
    <n v="4841"/>
    <n v="24052"/>
    <n v="4"/>
    <s v="Y"/>
    <x v="1"/>
    <n v="14"/>
    <n v="3"/>
    <n v="2"/>
    <n v="80"/>
    <n v="1"/>
    <n v="4"/>
    <n v="3"/>
    <n v="3"/>
    <n v="1"/>
    <n v="0"/>
    <n v="0"/>
    <n v="0"/>
    <x v="1"/>
    <n v="1"/>
    <x v="0"/>
    <x v="0"/>
    <s v="0-1 Years"/>
    <s v="Medium"/>
    <s v="Better"/>
  </r>
  <r>
    <x v="2"/>
    <s v="No"/>
    <s v="Travel_Rarely"/>
    <n v="674"/>
    <x v="1"/>
    <n v="13"/>
    <n v="3"/>
    <s v="Medical"/>
    <n v="1"/>
    <n v="1543"/>
    <n v="1"/>
    <x v="1"/>
    <n v="47"/>
    <n v="3"/>
    <n v="2"/>
    <x v="1"/>
    <n v="4"/>
    <s v="Married"/>
    <n v="4285"/>
    <n v="3031"/>
    <n v="1"/>
    <s v="Y"/>
    <x v="1"/>
    <n v="17"/>
    <n v="3"/>
    <n v="1"/>
    <n v="80"/>
    <n v="0"/>
    <n v="10"/>
    <n v="2"/>
    <n v="3"/>
    <n v="10"/>
    <n v="8"/>
    <n v="3"/>
    <n v="7"/>
    <x v="1"/>
    <n v="1"/>
    <x v="0"/>
    <x v="0"/>
    <s v="6-10 Years"/>
    <s v="Very High"/>
    <s v="Better"/>
  </r>
  <r>
    <x v="11"/>
    <s v="No"/>
    <s v="Travel_Rarely"/>
    <n v="441"/>
    <x v="1"/>
    <n v="8"/>
    <n v="1"/>
    <s v="Other"/>
    <n v="1"/>
    <n v="1544"/>
    <n v="3"/>
    <x v="0"/>
    <n v="39"/>
    <n v="1"/>
    <n v="2"/>
    <x v="4"/>
    <n v="1"/>
    <s v="Married"/>
    <n v="9715"/>
    <n v="7288"/>
    <n v="3"/>
    <s v="Y"/>
    <x v="1"/>
    <n v="13"/>
    <n v="3"/>
    <n v="3"/>
    <n v="80"/>
    <n v="1"/>
    <n v="9"/>
    <n v="3"/>
    <n v="3"/>
    <n v="7"/>
    <n v="7"/>
    <n v="0"/>
    <n v="7"/>
    <x v="1"/>
    <n v="1"/>
    <x v="2"/>
    <x v="2"/>
    <s v="6-10 Years"/>
    <s v="Low"/>
    <s v="Better"/>
  </r>
  <r>
    <x v="3"/>
    <s v="No"/>
    <s v="Travel_Rarely"/>
    <n v="575"/>
    <x v="1"/>
    <n v="25"/>
    <n v="3"/>
    <s v="Life Sciences"/>
    <n v="1"/>
    <n v="1545"/>
    <n v="4"/>
    <x v="1"/>
    <n v="44"/>
    <n v="2"/>
    <n v="2"/>
    <x v="3"/>
    <n v="2"/>
    <s v="Single"/>
    <n v="4320"/>
    <n v="24152"/>
    <n v="1"/>
    <s v="Y"/>
    <x v="1"/>
    <n v="13"/>
    <n v="3"/>
    <n v="4"/>
    <n v="80"/>
    <n v="0"/>
    <n v="5"/>
    <n v="2"/>
    <n v="3"/>
    <n v="5"/>
    <n v="3"/>
    <n v="0"/>
    <n v="2"/>
    <x v="1"/>
    <n v="1"/>
    <x v="2"/>
    <x v="0"/>
    <s v="2-5 Years"/>
    <s v="Medium"/>
    <s v="Better"/>
  </r>
  <r>
    <x v="28"/>
    <s v="No"/>
    <s v="Travel_Rarely"/>
    <n v="950"/>
    <x v="1"/>
    <n v="28"/>
    <n v="3"/>
    <s v="Technical Degree"/>
    <n v="1"/>
    <n v="1546"/>
    <n v="4"/>
    <x v="1"/>
    <n v="97"/>
    <n v="3"/>
    <n v="1"/>
    <x v="1"/>
    <n v="4"/>
    <s v="Married"/>
    <n v="2132"/>
    <n v="4585"/>
    <n v="4"/>
    <s v="Y"/>
    <x v="1"/>
    <n v="20"/>
    <n v="4"/>
    <n v="4"/>
    <n v="80"/>
    <n v="1"/>
    <n v="8"/>
    <n v="3"/>
    <n v="3"/>
    <n v="5"/>
    <n v="4"/>
    <n v="0"/>
    <n v="3"/>
    <x v="1"/>
    <n v="1"/>
    <x v="1"/>
    <x v="1"/>
    <s v="2-5 Years"/>
    <s v="Very High"/>
    <s v="Better"/>
  </r>
  <r>
    <x v="19"/>
    <s v="No"/>
    <s v="Travel_Frequently"/>
    <n v="288"/>
    <x v="1"/>
    <n v="2"/>
    <n v="3"/>
    <s v="Life Sciences"/>
    <n v="1"/>
    <n v="1547"/>
    <n v="4"/>
    <x v="1"/>
    <n v="40"/>
    <n v="3"/>
    <n v="3"/>
    <x v="4"/>
    <n v="4"/>
    <s v="Married"/>
    <n v="10124"/>
    <n v="18611"/>
    <n v="2"/>
    <s v="Y"/>
    <x v="0"/>
    <n v="14"/>
    <n v="3"/>
    <n v="3"/>
    <n v="80"/>
    <n v="1"/>
    <n v="24"/>
    <n v="3"/>
    <n v="1"/>
    <n v="20"/>
    <n v="8"/>
    <n v="13"/>
    <n v="9"/>
    <x v="1"/>
    <n v="1"/>
    <x v="0"/>
    <x v="2"/>
    <s v="10+ Years"/>
    <s v="Very High"/>
    <s v="Bad"/>
  </r>
  <r>
    <x v="32"/>
    <s v="No"/>
    <s v="Travel_Rarely"/>
    <n v="1342"/>
    <x v="0"/>
    <n v="9"/>
    <n v="2"/>
    <s v="Medical"/>
    <n v="1"/>
    <n v="1548"/>
    <n v="1"/>
    <x v="1"/>
    <n v="47"/>
    <n v="3"/>
    <n v="2"/>
    <x v="0"/>
    <n v="1"/>
    <s v="Married"/>
    <n v="5473"/>
    <n v="19345"/>
    <n v="0"/>
    <s v="Y"/>
    <x v="1"/>
    <n v="12"/>
    <n v="3"/>
    <n v="4"/>
    <n v="80"/>
    <n v="0"/>
    <n v="9"/>
    <n v="5"/>
    <n v="4"/>
    <n v="8"/>
    <n v="4"/>
    <n v="7"/>
    <n v="1"/>
    <x v="1"/>
    <n v="1"/>
    <x v="0"/>
    <x v="0"/>
    <s v="6-10 Years"/>
    <s v="Low"/>
    <s v="Best"/>
  </r>
  <r>
    <x v="3"/>
    <s v="No"/>
    <s v="Travel_Rarely"/>
    <n v="589"/>
    <x v="1"/>
    <n v="28"/>
    <n v="4"/>
    <s v="Life Sciences"/>
    <n v="1"/>
    <n v="1549"/>
    <n v="2"/>
    <x v="1"/>
    <n v="79"/>
    <n v="3"/>
    <n v="2"/>
    <x v="2"/>
    <n v="3"/>
    <s v="Married"/>
    <n v="5207"/>
    <n v="22949"/>
    <n v="1"/>
    <s v="Y"/>
    <x v="0"/>
    <n v="12"/>
    <n v="3"/>
    <n v="2"/>
    <n v="80"/>
    <n v="1"/>
    <n v="15"/>
    <n v="3"/>
    <n v="3"/>
    <n v="15"/>
    <n v="14"/>
    <n v="5"/>
    <n v="7"/>
    <x v="1"/>
    <n v="1"/>
    <x v="2"/>
    <x v="0"/>
    <s v="10+ Years"/>
    <s v="High"/>
    <s v="Better"/>
  </r>
  <r>
    <x v="32"/>
    <s v="No"/>
    <s v="Travel_Rarely"/>
    <n v="898"/>
    <x v="2"/>
    <n v="6"/>
    <n v="2"/>
    <s v="Medical"/>
    <n v="1"/>
    <n v="1550"/>
    <n v="3"/>
    <x v="1"/>
    <n v="38"/>
    <n v="3"/>
    <n v="4"/>
    <x v="5"/>
    <n v="4"/>
    <s v="Single"/>
    <n v="16437"/>
    <n v="17381"/>
    <n v="1"/>
    <s v="Y"/>
    <x v="0"/>
    <n v="21"/>
    <n v="4"/>
    <n v="4"/>
    <n v="80"/>
    <n v="0"/>
    <n v="21"/>
    <n v="2"/>
    <n v="3"/>
    <n v="21"/>
    <n v="7"/>
    <n v="7"/>
    <n v="7"/>
    <x v="1"/>
    <n v="1"/>
    <x v="0"/>
    <x v="2"/>
    <s v="10+ Years"/>
    <s v="Very High"/>
    <s v="Better"/>
  </r>
  <r>
    <x v="17"/>
    <s v="No"/>
    <s v="Travel_Rarely"/>
    <n v="350"/>
    <x v="1"/>
    <n v="21"/>
    <n v="2"/>
    <s v="Technical Degree"/>
    <n v="1"/>
    <n v="1551"/>
    <n v="3"/>
    <x v="1"/>
    <n v="57"/>
    <n v="2"/>
    <n v="1"/>
    <x v="2"/>
    <n v="1"/>
    <s v="Divorced"/>
    <n v="2296"/>
    <n v="10036"/>
    <n v="0"/>
    <s v="Y"/>
    <x v="1"/>
    <n v="14"/>
    <n v="3"/>
    <n v="2"/>
    <n v="80"/>
    <n v="3"/>
    <n v="2"/>
    <n v="3"/>
    <n v="3"/>
    <n v="1"/>
    <n v="1"/>
    <n v="0"/>
    <n v="0"/>
    <x v="1"/>
    <n v="1"/>
    <x v="4"/>
    <x v="1"/>
    <s v="0-1 Years"/>
    <s v="Low"/>
    <s v="Better"/>
  </r>
  <r>
    <x v="32"/>
    <s v="No"/>
    <s v="Non-Travel"/>
    <n v="1142"/>
    <x v="1"/>
    <n v="8"/>
    <n v="2"/>
    <s v="Life Sciences"/>
    <n v="1"/>
    <n v="1552"/>
    <n v="4"/>
    <x v="1"/>
    <n v="72"/>
    <n v="3"/>
    <n v="2"/>
    <x v="4"/>
    <n v="4"/>
    <s v="Divorced"/>
    <n v="4069"/>
    <n v="8841"/>
    <n v="3"/>
    <s v="Y"/>
    <x v="0"/>
    <n v="18"/>
    <n v="3"/>
    <n v="3"/>
    <n v="80"/>
    <n v="0"/>
    <n v="8"/>
    <n v="2"/>
    <n v="3"/>
    <n v="2"/>
    <n v="2"/>
    <n v="2"/>
    <n v="2"/>
    <x v="1"/>
    <n v="1"/>
    <x v="0"/>
    <x v="0"/>
    <s v="2-5 Years"/>
    <s v="Very High"/>
    <s v="Better"/>
  </r>
  <r>
    <x v="28"/>
    <s v="No"/>
    <s v="Travel_Rarely"/>
    <n v="538"/>
    <x v="1"/>
    <n v="1"/>
    <n v="4"/>
    <s v="Technical Degree"/>
    <n v="1"/>
    <n v="1553"/>
    <n v="1"/>
    <x v="1"/>
    <n v="66"/>
    <n v="3"/>
    <n v="3"/>
    <x v="4"/>
    <n v="2"/>
    <s v="Divorced"/>
    <n v="7441"/>
    <n v="20933"/>
    <n v="1"/>
    <s v="Y"/>
    <x v="1"/>
    <n v="12"/>
    <n v="3"/>
    <n v="1"/>
    <n v="80"/>
    <n v="3"/>
    <n v="10"/>
    <n v="4"/>
    <n v="3"/>
    <n v="10"/>
    <n v="8"/>
    <n v="7"/>
    <n v="7"/>
    <x v="1"/>
    <n v="1"/>
    <x v="1"/>
    <x v="2"/>
    <s v="6-10 Years"/>
    <s v="Medium"/>
    <s v="Better"/>
  </r>
  <r>
    <x v="10"/>
    <s v="No"/>
    <s v="Travel_Rarely"/>
    <n v="1402"/>
    <x v="0"/>
    <n v="28"/>
    <n v="4"/>
    <s v="Life Sciences"/>
    <n v="1"/>
    <n v="1554"/>
    <n v="2"/>
    <x v="0"/>
    <n v="98"/>
    <n v="2"/>
    <n v="1"/>
    <x v="6"/>
    <n v="3"/>
    <s v="Married"/>
    <n v="2430"/>
    <n v="26204"/>
    <n v="0"/>
    <s v="Y"/>
    <x v="1"/>
    <n v="23"/>
    <n v="4"/>
    <n v="1"/>
    <n v="80"/>
    <n v="2"/>
    <n v="6"/>
    <n v="5"/>
    <n v="3"/>
    <n v="5"/>
    <n v="3"/>
    <n v="4"/>
    <n v="2"/>
    <x v="1"/>
    <n v="1"/>
    <x v="0"/>
    <x v="1"/>
    <s v="2-5 Years"/>
    <s v="High"/>
    <s v="Better"/>
  </r>
  <r>
    <x v="5"/>
    <s v="No"/>
    <s v="Travel_Rarely"/>
    <n v="824"/>
    <x v="1"/>
    <n v="5"/>
    <n v="2"/>
    <s v="Life Sciences"/>
    <n v="1"/>
    <n v="1555"/>
    <n v="4"/>
    <x v="0"/>
    <n v="67"/>
    <n v="2"/>
    <n v="2"/>
    <x v="1"/>
    <n v="2"/>
    <s v="Married"/>
    <n v="5878"/>
    <n v="15624"/>
    <n v="3"/>
    <s v="Y"/>
    <x v="1"/>
    <n v="12"/>
    <n v="3"/>
    <n v="1"/>
    <n v="80"/>
    <n v="1"/>
    <n v="12"/>
    <n v="2"/>
    <n v="3"/>
    <n v="7"/>
    <n v="1"/>
    <n v="2"/>
    <n v="5"/>
    <x v="1"/>
    <n v="1"/>
    <x v="2"/>
    <x v="0"/>
    <s v="6-10 Years"/>
    <s v="Medium"/>
    <s v="Better"/>
  </r>
  <r>
    <x v="9"/>
    <s v="No"/>
    <s v="Travel_Rarely"/>
    <n v="1157"/>
    <x v="0"/>
    <n v="2"/>
    <n v="4"/>
    <s v="Life Sciences"/>
    <n v="1"/>
    <n v="1556"/>
    <n v="3"/>
    <x v="1"/>
    <n v="70"/>
    <n v="3"/>
    <n v="1"/>
    <x v="6"/>
    <n v="4"/>
    <s v="Single"/>
    <n v="2644"/>
    <n v="17001"/>
    <n v="3"/>
    <s v="Y"/>
    <x v="0"/>
    <n v="21"/>
    <n v="4"/>
    <n v="4"/>
    <n v="80"/>
    <n v="0"/>
    <n v="7"/>
    <n v="3"/>
    <n v="2"/>
    <n v="3"/>
    <n v="2"/>
    <n v="1"/>
    <n v="2"/>
    <x v="1"/>
    <n v="1"/>
    <x v="0"/>
    <x v="1"/>
    <s v="2-5 Years"/>
    <s v="Very High"/>
    <s v="Good"/>
  </r>
  <r>
    <x v="26"/>
    <s v="No"/>
    <s v="Travel_Rarely"/>
    <n v="492"/>
    <x v="0"/>
    <n v="16"/>
    <n v="4"/>
    <s v="Life Sciences"/>
    <n v="1"/>
    <n v="1557"/>
    <n v="3"/>
    <x v="0"/>
    <n v="96"/>
    <n v="3"/>
    <n v="2"/>
    <x v="0"/>
    <n v="3"/>
    <s v="Divorced"/>
    <n v="6439"/>
    <n v="13693"/>
    <n v="8"/>
    <s v="Y"/>
    <x v="1"/>
    <n v="14"/>
    <n v="3"/>
    <n v="3"/>
    <n v="80"/>
    <n v="1"/>
    <n v="18"/>
    <n v="2"/>
    <n v="3"/>
    <n v="8"/>
    <n v="7"/>
    <n v="7"/>
    <n v="7"/>
    <x v="1"/>
    <n v="1"/>
    <x v="1"/>
    <x v="0"/>
    <s v="6-10 Years"/>
    <s v="High"/>
    <s v="Better"/>
  </r>
  <r>
    <x v="11"/>
    <s v="No"/>
    <s v="Travel_Rarely"/>
    <n v="598"/>
    <x v="1"/>
    <n v="9"/>
    <n v="3"/>
    <s v="Life Sciences"/>
    <n v="1"/>
    <n v="1558"/>
    <n v="3"/>
    <x v="1"/>
    <n v="91"/>
    <n v="4"/>
    <n v="1"/>
    <x v="1"/>
    <n v="3"/>
    <s v="Married"/>
    <n v="2451"/>
    <n v="22376"/>
    <n v="6"/>
    <s v="Y"/>
    <x v="1"/>
    <n v="18"/>
    <n v="3"/>
    <n v="1"/>
    <n v="80"/>
    <n v="2"/>
    <n v="5"/>
    <n v="2"/>
    <n v="2"/>
    <n v="1"/>
    <n v="0"/>
    <n v="0"/>
    <n v="0"/>
    <x v="1"/>
    <n v="1"/>
    <x v="2"/>
    <x v="1"/>
    <s v="0-1 Years"/>
    <s v="High"/>
    <s v="Good"/>
  </r>
  <r>
    <x v="3"/>
    <s v="No"/>
    <s v="Travel_Rarely"/>
    <n v="1242"/>
    <x v="0"/>
    <n v="8"/>
    <n v="4"/>
    <s v="Life Sciences"/>
    <n v="1"/>
    <n v="1560"/>
    <n v="1"/>
    <x v="1"/>
    <n v="46"/>
    <n v="3"/>
    <n v="2"/>
    <x v="0"/>
    <n v="1"/>
    <s v="Married"/>
    <n v="6392"/>
    <n v="10589"/>
    <n v="2"/>
    <s v="Y"/>
    <x v="1"/>
    <n v="13"/>
    <n v="3"/>
    <n v="4"/>
    <n v="80"/>
    <n v="1"/>
    <n v="8"/>
    <n v="6"/>
    <n v="1"/>
    <n v="2"/>
    <n v="2"/>
    <n v="2"/>
    <n v="2"/>
    <x v="1"/>
    <n v="1"/>
    <x v="2"/>
    <x v="0"/>
    <s v="2-5 Years"/>
    <s v="Low"/>
    <s v="Bad"/>
  </r>
  <r>
    <x v="7"/>
    <s v="Yes"/>
    <s v="Travel_Rarely"/>
    <n v="740"/>
    <x v="0"/>
    <n v="1"/>
    <n v="3"/>
    <s v="Life Sciences"/>
    <n v="1"/>
    <n v="1562"/>
    <n v="2"/>
    <x v="1"/>
    <n v="64"/>
    <n v="2"/>
    <n v="2"/>
    <x v="0"/>
    <n v="1"/>
    <s v="Married"/>
    <n v="9714"/>
    <n v="5323"/>
    <n v="1"/>
    <s v="Y"/>
    <x v="1"/>
    <n v="11"/>
    <n v="3"/>
    <n v="4"/>
    <n v="80"/>
    <n v="1"/>
    <n v="10"/>
    <n v="4"/>
    <n v="3"/>
    <n v="10"/>
    <n v="8"/>
    <n v="6"/>
    <n v="7"/>
    <x v="0"/>
    <n v="0"/>
    <x v="2"/>
    <x v="2"/>
    <s v="6-10 Years"/>
    <s v="Low"/>
    <s v="Better"/>
  </r>
  <r>
    <x v="8"/>
    <s v="No"/>
    <s v="Travel_Frequently"/>
    <n v="888"/>
    <x v="2"/>
    <n v="10"/>
    <n v="4"/>
    <s v="Human Resources"/>
    <n v="1"/>
    <n v="1563"/>
    <n v="3"/>
    <x v="1"/>
    <n v="71"/>
    <n v="3"/>
    <n v="2"/>
    <x v="8"/>
    <n v="3"/>
    <s v="Married"/>
    <n v="6077"/>
    <n v="14814"/>
    <n v="3"/>
    <s v="Y"/>
    <x v="1"/>
    <n v="11"/>
    <n v="3"/>
    <n v="3"/>
    <n v="80"/>
    <n v="0"/>
    <n v="10"/>
    <n v="2"/>
    <n v="3"/>
    <n v="6"/>
    <n v="3"/>
    <n v="1"/>
    <n v="2"/>
    <x v="1"/>
    <n v="1"/>
    <x v="0"/>
    <x v="0"/>
    <s v="6-10 Years"/>
    <s v="High"/>
    <s v="Better"/>
  </r>
  <r>
    <x v="10"/>
    <s v="No"/>
    <s v="Travel_Rarely"/>
    <n v="992"/>
    <x v="1"/>
    <n v="1"/>
    <n v="3"/>
    <s v="Medical"/>
    <n v="1"/>
    <n v="1564"/>
    <n v="4"/>
    <x v="1"/>
    <n v="68"/>
    <n v="2"/>
    <n v="1"/>
    <x v="2"/>
    <n v="1"/>
    <s v="Single"/>
    <n v="2450"/>
    <n v="21731"/>
    <n v="1"/>
    <s v="Y"/>
    <x v="1"/>
    <n v="19"/>
    <n v="3"/>
    <n v="2"/>
    <n v="80"/>
    <n v="0"/>
    <n v="3"/>
    <n v="3"/>
    <n v="3"/>
    <n v="3"/>
    <n v="0"/>
    <n v="1"/>
    <n v="2"/>
    <x v="1"/>
    <n v="1"/>
    <x v="0"/>
    <x v="1"/>
    <s v="2-5 Years"/>
    <s v="Low"/>
    <s v="Better"/>
  </r>
  <r>
    <x v="7"/>
    <s v="No"/>
    <s v="Travel_Rarely"/>
    <n v="1288"/>
    <x v="0"/>
    <n v="29"/>
    <n v="4"/>
    <s v="Technical Degree"/>
    <n v="1"/>
    <n v="1568"/>
    <n v="3"/>
    <x v="1"/>
    <n v="33"/>
    <n v="3"/>
    <n v="3"/>
    <x v="0"/>
    <n v="2"/>
    <s v="Married"/>
    <n v="9250"/>
    <n v="17799"/>
    <n v="3"/>
    <s v="Y"/>
    <x v="1"/>
    <n v="12"/>
    <n v="3"/>
    <n v="2"/>
    <n v="80"/>
    <n v="1"/>
    <n v="9"/>
    <n v="3"/>
    <n v="3"/>
    <n v="4"/>
    <n v="2"/>
    <n v="1"/>
    <n v="3"/>
    <x v="1"/>
    <n v="1"/>
    <x v="2"/>
    <x v="2"/>
    <s v="2-5 Years"/>
    <s v="Medium"/>
    <s v="Better"/>
  </r>
  <r>
    <x v="10"/>
    <s v="Yes"/>
    <s v="Travel_Rarely"/>
    <n v="104"/>
    <x v="1"/>
    <n v="2"/>
    <n v="3"/>
    <s v="Life Sciences"/>
    <n v="1"/>
    <n v="1569"/>
    <n v="1"/>
    <x v="0"/>
    <n v="69"/>
    <n v="3"/>
    <n v="1"/>
    <x v="2"/>
    <n v="1"/>
    <s v="Divorced"/>
    <n v="2074"/>
    <n v="26619"/>
    <n v="1"/>
    <s v="Y"/>
    <x v="0"/>
    <n v="12"/>
    <n v="3"/>
    <n v="4"/>
    <n v="80"/>
    <n v="1"/>
    <n v="1"/>
    <n v="2"/>
    <n v="3"/>
    <n v="1"/>
    <n v="0"/>
    <n v="0"/>
    <n v="0"/>
    <x v="0"/>
    <n v="0"/>
    <x v="0"/>
    <x v="1"/>
    <s v="0-1 Years"/>
    <s v="Low"/>
    <s v="Better"/>
  </r>
  <r>
    <x v="16"/>
    <s v="Yes"/>
    <s v="Travel_Rarely"/>
    <n v="607"/>
    <x v="1"/>
    <n v="2"/>
    <n v="5"/>
    <s v="Technical Degree"/>
    <n v="1"/>
    <n v="1572"/>
    <n v="3"/>
    <x v="0"/>
    <n v="78"/>
    <n v="2"/>
    <n v="3"/>
    <x v="3"/>
    <n v="4"/>
    <s v="Married"/>
    <n v="10169"/>
    <n v="14618"/>
    <n v="0"/>
    <s v="Y"/>
    <x v="1"/>
    <n v="16"/>
    <n v="3"/>
    <n v="2"/>
    <n v="80"/>
    <n v="1"/>
    <n v="34"/>
    <n v="4"/>
    <n v="3"/>
    <n v="33"/>
    <n v="7"/>
    <n v="1"/>
    <n v="9"/>
    <x v="0"/>
    <n v="0"/>
    <x v="1"/>
    <x v="2"/>
    <s v="10+ Years"/>
    <s v="Very High"/>
    <s v="Better"/>
  </r>
  <r>
    <x v="8"/>
    <s v="Yes"/>
    <s v="Travel_Rarely"/>
    <n v="903"/>
    <x v="1"/>
    <n v="2"/>
    <n v="3"/>
    <s v="Medical"/>
    <n v="1"/>
    <n v="1573"/>
    <n v="3"/>
    <x v="1"/>
    <n v="81"/>
    <n v="3"/>
    <n v="2"/>
    <x v="3"/>
    <n v="2"/>
    <s v="Married"/>
    <n v="4855"/>
    <n v="7653"/>
    <n v="4"/>
    <s v="Y"/>
    <x v="1"/>
    <n v="11"/>
    <n v="3"/>
    <n v="1"/>
    <n v="80"/>
    <n v="2"/>
    <n v="7"/>
    <n v="2"/>
    <n v="3"/>
    <n v="5"/>
    <n v="2"/>
    <n v="1"/>
    <n v="4"/>
    <x v="0"/>
    <n v="0"/>
    <x v="0"/>
    <x v="0"/>
    <s v="2-5 Years"/>
    <s v="Medium"/>
    <s v="Better"/>
  </r>
  <r>
    <x v="5"/>
    <s v="No"/>
    <s v="Non-Travel"/>
    <n v="1200"/>
    <x v="1"/>
    <n v="1"/>
    <n v="4"/>
    <s v="Technical Degree"/>
    <n v="1"/>
    <n v="1574"/>
    <n v="4"/>
    <x v="1"/>
    <n v="62"/>
    <n v="3"/>
    <n v="2"/>
    <x v="1"/>
    <n v="1"/>
    <s v="Married"/>
    <n v="4087"/>
    <n v="25174"/>
    <n v="4"/>
    <s v="Y"/>
    <x v="1"/>
    <n v="14"/>
    <n v="3"/>
    <n v="2"/>
    <n v="80"/>
    <n v="1"/>
    <n v="9"/>
    <n v="3"/>
    <n v="2"/>
    <n v="6"/>
    <n v="5"/>
    <n v="1"/>
    <n v="2"/>
    <x v="1"/>
    <n v="1"/>
    <x v="2"/>
    <x v="0"/>
    <s v="6-10 Years"/>
    <s v="Low"/>
    <s v="Good"/>
  </r>
  <r>
    <x v="26"/>
    <s v="No"/>
    <s v="Travel_Rarely"/>
    <n v="1108"/>
    <x v="1"/>
    <n v="15"/>
    <n v="4"/>
    <s v="Other"/>
    <n v="1"/>
    <n v="1576"/>
    <n v="3"/>
    <x v="0"/>
    <n v="65"/>
    <n v="3"/>
    <n v="1"/>
    <x v="1"/>
    <n v="1"/>
    <s v="Married"/>
    <n v="2367"/>
    <n v="16530"/>
    <n v="8"/>
    <s v="Y"/>
    <x v="1"/>
    <n v="12"/>
    <n v="3"/>
    <n v="4"/>
    <n v="80"/>
    <n v="1"/>
    <n v="10"/>
    <n v="3"/>
    <n v="2"/>
    <n v="8"/>
    <n v="2"/>
    <n v="7"/>
    <n v="6"/>
    <x v="1"/>
    <n v="1"/>
    <x v="1"/>
    <x v="1"/>
    <s v="6-10 Years"/>
    <s v="Low"/>
    <s v="Good"/>
  </r>
  <r>
    <x v="13"/>
    <s v="No"/>
    <s v="Travel_Rarely"/>
    <n v="479"/>
    <x v="1"/>
    <n v="7"/>
    <n v="4"/>
    <s v="Medical"/>
    <n v="1"/>
    <n v="1577"/>
    <n v="1"/>
    <x v="1"/>
    <n v="35"/>
    <n v="3"/>
    <n v="1"/>
    <x v="1"/>
    <n v="4"/>
    <s v="Single"/>
    <n v="2972"/>
    <n v="22061"/>
    <n v="1"/>
    <s v="Y"/>
    <x v="1"/>
    <n v="13"/>
    <n v="3"/>
    <n v="3"/>
    <n v="80"/>
    <n v="0"/>
    <n v="1"/>
    <n v="4"/>
    <n v="1"/>
    <n v="1"/>
    <n v="0"/>
    <n v="0"/>
    <n v="0"/>
    <x v="1"/>
    <n v="1"/>
    <x v="2"/>
    <x v="1"/>
    <s v="0-1 Years"/>
    <s v="Very High"/>
    <s v="Bad"/>
  </r>
  <r>
    <x v="27"/>
    <s v="No"/>
    <s v="Travel_Rarely"/>
    <n v="685"/>
    <x v="0"/>
    <n v="26"/>
    <n v="5"/>
    <s v="Marketing"/>
    <n v="1"/>
    <n v="1578"/>
    <n v="3"/>
    <x v="1"/>
    <n v="60"/>
    <n v="2"/>
    <n v="5"/>
    <x v="5"/>
    <n v="4"/>
    <s v="Married"/>
    <n v="19586"/>
    <n v="23037"/>
    <n v="1"/>
    <s v="Y"/>
    <x v="1"/>
    <n v="21"/>
    <n v="4"/>
    <n v="3"/>
    <n v="80"/>
    <n v="1"/>
    <n v="36"/>
    <n v="3"/>
    <n v="3"/>
    <n v="36"/>
    <n v="6"/>
    <n v="2"/>
    <n v="13"/>
    <x v="1"/>
    <n v="1"/>
    <x v="3"/>
    <x v="2"/>
    <s v="10+ Years"/>
    <s v="Very High"/>
    <s v="Better"/>
  </r>
  <r>
    <x v="13"/>
    <s v="No"/>
    <s v="Travel_Rarely"/>
    <n v="1351"/>
    <x v="1"/>
    <n v="1"/>
    <n v="4"/>
    <s v="Life Sciences"/>
    <n v="1"/>
    <n v="1580"/>
    <n v="2"/>
    <x v="1"/>
    <n v="45"/>
    <n v="3"/>
    <n v="2"/>
    <x v="1"/>
    <n v="4"/>
    <s v="Married"/>
    <n v="5484"/>
    <n v="13008"/>
    <n v="9"/>
    <s v="Y"/>
    <x v="1"/>
    <n v="17"/>
    <n v="3"/>
    <n v="2"/>
    <n v="80"/>
    <n v="1"/>
    <n v="9"/>
    <n v="3"/>
    <n v="2"/>
    <n v="2"/>
    <n v="2"/>
    <n v="2"/>
    <n v="1"/>
    <x v="1"/>
    <n v="1"/>
    <x v="2"/>
    <x v="0"/>
    <s v="2-5 Years"/>
    <s v="Very High"/>
    <s v="Good"/>
  </r>
  <r>
    <x v="25"/>
    <s v="No"/>
    <s v="Travel_Rarely"/>
    <n v="474"/>
    <x v="1"/>
    <n v="3"/>
    <n v="3"/>
    <s v="Life Sciences"/>
    <n v="1"/>
    <n v="1581"/>
    <n v="1"/>
    <x v="0"/>
    <n v="89"/>
    <n v="3"/>
    <n v="1"/>
    <x v="1"/>
    <n v="4"/>
    <s v="Married"/>
    <n v="2061"/>
    <n v="11133"/>
    <n v="1"/>
    <s v="Y"/>
    <x v="1"/>
    <n v="21"/>
    <n v="4"/>
    <n v="1"/>
    <n v="80"/>
    <n v="0"/>
    <n v="1"/>
    <n v="5"/>
    <n v="3"/>
    <n v="1"/>
    <n v="0"/>
    <n v="0"/>
    <n v="0"/>
    <x v="1"/>
    <n v="1"/>
    <x v="2"/>
    <x v="1"/>
    <s v="0-1 Years"/>
    <s v="Very High"/>
    <s v="Better"/>
  </r>
  <r>
    <x v="8"/>
    <s v="No"/>
    <s v="Travel_Rarely"/>
    <n v="1245"/>
    <x v="0"/>
    <n v="14"/>
    <n v="3"/>
    <s v="Life Sciences"/>
    <n v="1"/>
    <n v="1582"/>
    <n v="3"/>
    <x v="1"/>
    <n v="80"/>
    <n v="3"/>
    <n v="2"/>
    <x v="0"/>
    <n v="2"/>
    <s v="Married"/>
    <n v="9924"/>
    <n v="12355"/>
    <n v="0"/>
    <s v="Y"/>
    <x v="1"/>
    <n v="11"/>
    <n v="3"/>
    <n v="4"/>
    <n v="80"/>
    <n v="1"/>
    <n v="10"/>
    <n v="3"/>
    <n v="3"/>
    <n v="9"/>
    <n v="8"/>
    <n v="7"/>
    <n v="7"/>
    <x v="1"/>
    <n v="1"/>
    <x v="0"/>
    <x v="2"/>
    <s v="6-10 Years"/>
    <s v="Medium"/>
    <s v="Better"/>
  </r>
  <r>
    <x v="8"/>
    <s v="No"/>
    <s v="Travel_Rarely"/>
    <n v="437"/>
    <x v="0"/>
    <n v="16"/>
    <n v="3"/>
    <s v="Life Sciences"/>
    <n v="1"/>
    <n v="1583"/>
    <n v="2"/>
    <x v="0"/>
    <n v="90"/>
    <n v="3"/>
    <n v="2"/>
    <x v="0"/>
    <n v="2"/>
    <s v="Single"/>
    <n v="4198"/>
    <n v="16379"/>
    <n v="2"/>
    <s v="Y"/>
    <x v="1"/>
    <n v="12"/>
    <n v="3"/>
    <n v="2"/>
    <n v="80"/>
    <n v="0"/>
    <n v="8"/>
    <n v="5"/>
    <n v="4"/>
    <n v="3"/>
    <n v="2"/>
    <n v="1"/>
    <n v="2"/>
    <x v="1"/>
    <n v="1"/>
    <x v="0"/>
    <x v="0"/>
    <s v="2-5 Years"/>
    <s v="Medium"/>
    <s v="Best"/>
  </r>
  <r>
    <x v="9"/>
    <s v="No"/>
    <s v="Travel_Rarely"/>
    <n v="884"/>
    <x v="0"/>
    <n v="1"/>
    <n v="4"/>
    <s v="Life Sciences"/>
    <n v="1"/>
    <n v="1585"/>
    <n v="2"/>
    <x v="0"/>
    <n v="73"/>
    <n v="3"/>
    <n v="2"/>
    <x v="0"/>
    <n v="3"/>
    <s v="Single"/>
    <n v="6815"/>
    <n v="21447"/>
    <n v="6"/>
    <s v="Y"/>
    <x v="1"/>
    <n v="13"/>
    <n v="3"/>
    <n v="1"/>
    <n v="80"/>
    <n v="0"/>
    <n v="15"/>
    <n v="5"/>
    <n v="3"/>
    <n v="1"/>
    <n v="0"/>
    <n v="0"/>
    <n v="0"/>
    <x v="1"/>
    <n v="1"/>
    <x v="0"/>
    <x v="0"/>
    <s v="0-1 Years"/>
    <s v="High"/>
    <s v="Better"/>
  </r>
  <r>
    <x v="11"/>
    <s v="No"/>
    <s v="Travel_Rarely"/>
    <n v="1370"/>
    <x v="1"/>
    <n v="3"/>
    <n v="1"/>
    <s v="Medical"/>
    <n v="1"/>
    <n v="1586"/>
    <n v="2"/>
    <x v="1"/>
    <n v="87"/>
    <n v="3"/>
    <n v="1"/>
    <x v="2"/>
    <n v="1"/>
    <s v="Single"/>
    <n v="4723"/>
    <n v="16213"/>
    <n v="1"/>
    <s v="Y"/>
    <x v="0"/>
    <n v="18"/>
    <n v="3"/>
    <n v="4"/>
    <n v="80"/>
    <n v="0"/>
    <n v="10"/>
    <n v="3"/>
    <n v="3"/>
    <n v="10"/>
    <n v="9"/>
    <n v="1"/>
    <n v="5"/>
    <x v="1"/>
    <n v="1"/>
    <x v="2"/>
    <x v="0"/>
    <s v="6-10 Years"/>
    <s v="Low"/>
    <s v="Better"/>
  </r>
  <r>
    <x v="10"/>
    <s v="No"/>
    <s v="Travel_Rarely"/>
    <n v="670"/>
    <x v="1"/>
    <n v="10"/>
    <n v="4"/>
    <s v="Medical"/>
    <n v="1"/>
    <n v="1587"/>
    <n v="1"/>
    <x v="0"/>
    <n v="51"/>
    <n v="3"/>
    <n v="2"/>
    <x v="4"/>
    <n v="3"/>
    <s v="Single"/>
    <n v="6142"/>
    <n v="4223"/>
    <n v="3"/>
    <s v="Y"/>
    <x v="0"/>
    <n v="16"/>
    <n v="3"/>
    <n v="3"/>
    <n v="80"/>
    <n v="0"/>
    <n v="10"/>
    <n v="4"/>
    <n v="3"/>
    <n v="5"/>
    <n v="2"/>
    <n v="0"/>
    <n v="4"/>
    <x v="1"/>
    <n v="1"/>
    <x v="0"/>
    <x v="0"/>
    <s v="2-5 Years"/>
    <s v="High"/>
    <s v="Better"/>
  </r>
  <r>
    <x v="22"/>
    <s v="No"/>
    <s v="Travel_Rarely"/>
    <n v="1462"/>
    <x v="0"/>
    <n v="6"/>
    <n v="3"/>
    <s v="Medical"/>
    <n v="1"/>
    <n v="1588"/>
    <n v="4"/>
    <x v="1"/>
    <n v="38"/>
    <n v="4"/>
    <n v="3"/>
    <x v="0"/>
    <n v="3"/>
    <s v="Married"/>
    <n v="8237"/>
    <n v="4658"/>
    <n v="2"/>
    <s v="Y"/>
    <x v="1"/>
    <n v="11"/>
    <n v="3"/>
    <n v="1"/>
    <n v="80"/>
    <n v="1"/>
    <n v="11"/>
    <n v="3"/>
    <n v="3"/>
    <n v="7"/>
    <n v="6"/>
    <n v="7"/>
    <n v="6"/>
    <x v="1"/>
    <n v="1"/>
    <x v="0"/>
    <x v="2"/>
    <s v="6-10 Years"/>
    <s v="High"/>
    <s v="Better"/>
  </r>
  <r>
    <x v="11"/>
    <s v="No"/>
    <s v="Travel_Frequently"/>
    <n v="995"/>
    <x v="1"/>
    <n v="2"/>
    <n v="1"/>
    <s v="Life Sciences"/>
    <n v="1"/>
    <n v="1590"/>
    <n v="1"/>
    <x v="1"/>
    <n v="87"/>
    <n v="3"/>
    <n v="2"/>
    <x v="4"/>
    <n v="4"/>
    <s v="Divorced"/>
    <n v="8853"/>
    <n v="24483"/>
    <n v="1"/>
    <s v="Y"/>
    <x v="1"/>
    <n v="19"/>
    <n v="3"/>
    <n v="4"/>
    <n v="80"/>
    <n v="1"/>
    <n v="6"/>
    <n v="0"/>
    <n v="4"/>
    <n v="6"/>
    <n v="4"/>
    <n v="1"/>
    <n v="3"/>
    <x v="1"/>
    <n v="1"/>
    <x v="2"/>
    <x v="2"/>
    <s v="6-10 Years"/>
    <s v="Very High"/>
    <s v="Best"/>
  </r>
  <r>
    <x v="24"/>
    <s v="No"/>
    <s v="Travel_Rarely"/>
    <n v="264"/>
    <x v="0"/>
    <n v="9"/>
    <n v="3"/>
    <s v="Marketing"/>
    <n v="1"/>
    <n v="1591"/>
    <n v="3"/>
    <x v="1"/>
    <n v="59"/>
    <n v="3"/>
    <n v="5"/>
    <x v="5"/>
    <n v="3"/>
    <s v="Married"/>
    <n v="19331"/>
    <n v="19519"/>
    <n v="4"/>
    <s v="Y"/>
    <x v="0"/>
    <n v="16"/>
    <n v="3"/>
    <n v="3"/>
    <n v="80"/>
    <n v="1"/>
    <n v="27"/>
    <n v="2"/>
    <n v="3"/>
    <n v="1"/>
    <n v="0"/>
    <n v="0"/>
    <n v="0"/>
    <x v="1"/>
    <n v="1"/>
    <x v="1"/>
    <x v="2"/>
    <s v="0-1 Years"/>
    <s v="High"/>
    <s v="Better"/>
  </r>
  <r>
    <x v="30"/>
    <s v="No"/>
    <s v="Travel_Rarely"/>
    <n v="977"/>
    <x v="1"/>
    <n v="10"/>
    <n v="3"/>
    <s v="Technical Degree"/>
    <n v="1"/>
    <n v="1592"/>
    <n v="4"/>
    <x v="1"/>
    <n v="45"/>
    <n v="4"/>
    <n v="1"/>
    <x v="1"/>
    <n v="3"/>
    <s v="Married"/>
    <n v="2073"/>
    <n v="12826"/>
    <n v="2"/>
    <s v="Y"/>
    <x v="1"/>
    <n v="16"/>
    <n v="3"/>
    <n v="4"/>
    <n v="80"/>
    <n v="1"/>
    <n v="4"/>
    <n v="2"/>
    <n v="3"/>
    <n v="2"/>
    <n v="2"/>
    <n v="2"/>
    <n v="2"/>
    <x v="1"/>
    <n v="1"/>
    <x v="4"/>
    <x v="1"/>
    <s v="2-5 Years"/>
    <s v="High"/>
    <s v="Better"/>
  </r>
  <r>
    <x v="9"/>
    <s v="No"/>
    <s v="Travel_Frequently"/>
    <n v="1302"/>
    <x v="1"/>
    <n v="6"/>
    <n v="4"/>
    <s v="Life Sciences"/>
    <n v="1"/>
    <n v="1594"/>
    <n v="1"/>
    <x v="1"/>
    <n v="80"/>
    <n v="4"/>
    <n v="2"/>
    <x v="2"/>
    <n v="1"/>
    <s v="Married"/>
    <n v="5562"/>
    <n v="19711"/>
    <n v="3"/>
    <s v="Y"/>
    <x v="0"/>
    <n v="13"/>
    <n v="3"/>
    <n v="4"/>
    <n v="80"/>
    <n v="1"/>
    <n v="9"/>
    <n v="3"/>
    <n v="3"/>
    <n v="3"/>
    <n v="2"/>
    <n v="0"/>
    <n v="2"/>
    <x v="1"/>
    <n v="1"/>
    <x v="0"/>
    <x v="0"/>
    <s v="2-5 Years"/>
    <s v="Low"/>
    <s v="Better"/>
  </r>
  <r>
    <x v="19"/>
    <s v="No"/>
    <s v="Travel_Rarely"/>
    <n v="1059"/>
    <x v="1"/>
    <n v="9"/>
    <n v="2"/>
    <s v="Other"/>
    <n v="1"/>
    <n v="1595"/>
    <n v="4"/>
    <x v="1"/>
    <n v="93"/>
    <n v="2"/>
    <n v="5"/>
    <x v="5"/>
    <n v="4"/>
    <s v="Single"/>
    <n v="19613"/>
    <n v="26362"/>
    <n v="8"/>
    <s v="Y"/>
    <x v="1"/>
    <n v="22"/>
    <n v="4"/>
    <n v="4"/>
    <n v="80"/>
    <n v="0"/>
    <n v="24"/>
    <n v="2"/>
    <n v="3"/>
    <n v="1"/>
    <n v="0"/>
    <n v="0"/>
    <n v="1"/>
    <x v="1"/>
    <n v="1"/>
    <x v="0"/>
    <x v="2"/>
    <s v="0-1 Years"/>
    <s v="Very High"/>
    <s v="Better"/>
  </r>
  <r>
    <x v="10"/>
    <s v="No"/>
    <s v="Travel_Rarely"/>
    <n v="750"/>
    <x v="1"/>
    <n v="28"/>
    <n v="3"/>
    <s v="Life Sciences"/>
    <n v="1"/>
    <n v="1596"/>
    <n v="2"/>
    <x v="1"/>
    <n v="46"/>
    <n v="4"/>
    <n v="2"/>
    <x v="2"/>
    <n v="3"/>
    <s v="Married"/>
    <n v="3407"/>
    <n v="25348"/>
    <n v="1"/>
    <s v="Y"/>
    <x v="1"/>
    <n v="17"/>
    <n v="3"/>
    <n v="4"/>
    <n v="80"/>
    <n v="2"/>
    <n v="10"/>
    <n v="3"/>
    <n v="2"/>
    <n v="10"/>
    <n v="9"/>
    <n v="6"/>
    <n v="8"/>
    <x v="1"/>
    <n v="1"/>
    <x v="0"/>
    <x v="0"/>
    <s v="6-10 Years"/>
    <s v="High"/>
    <s v="Good"/>
  </r>
  <r>
    <x v="13"/>
    <s v="No"/>
    <s v="Travel_Frequently"/>
    <n v="653"/>
    <x v="1"/>
    <n v="10"/>
    <n v="4"/>
    <s v="Technical Degree"/>
    <n v="1"/>
    <n v="1597"/>
    <n v="4"/>
    <x v="1"/>
    <n v="92"/>
    <n v="2"/>
    <n v="2"/>
    <x v="4"/>
    <n v="3"/>
    <s v="Married"/>
    <n v="5063"/>
    <n v="15332"/>
    <n v="1"/>
    <s v="Y"/>
    <x v="1"/>
    <n v="14"/>
    <n v="3"/>
    <n v="2"/>
    <n v="80"/>
    <n v="1"/>
    <n v="8"/>
    <n v="3"/>
    <n v="2"/>
    <n v="8"/>
    <n v="2"/>
    <n v="7"/>
    <n v="7"/>
    <x v="1"/>
    <n v="1"/>
    <x v="2"/>
    <x v="0"/>
    <s v="6-10 Years"/>
    <s v="High"/>
    <s v="Good"/>
  </r>
  <r>
    <x v="32"/>
    <s v="No"/>
    <s v="Travel_Rarely"/>
    <n v="118"/>
    <x v="0"/>
    <n v="14"/>
    <n v="2"/>
    <s v="Life Sciences"/>
    <n v="1"/>
    <n v="1598"/>
    <n v="4"/>
    <x v="0"/>
    <n v="84"/>
    <n v="3"/>
    <n v="2"/>
    <x v="0"/>
    <n v="1"/>
    <s v="Married"/>
    <n v="4639"/>
    <n v="11262"/>
    <n v="1"/>
    <s v="Y"/>
    <x v="1"/>
    <n v="15"/>
    <n v="3"/>
    <n v="3"/>
    <n v="80"/>
    <n v="1"/>
    <n v="5"/>
    <n v="2"/>
    <n v="3"/>
    <n v="5"/>
    <n v="4"/>
    <n v="1"/>
    <n v="2"/>
    <x v="1"/>
    <n v="1"/>
    <x v="0"/>
    <x v="0"/>
    <s v="2-5 Years"/>
    <s v="Low"/>
    <s v="Better"/>
  </r>
  <r>
    <x v="23"/>
    <s v="No"/>
    <s v="Travel_Rarely"/>
    <n v="990"/>
    <x v="1"/>
    <n v="27"/>
    <n v="3"/>
    <s v="Technical Degree"/>
    <n v="1"/>
    <n v="1599"/>
    <n v="4"/>
    <x v="1"/>
    <n v="87"/>
    <n v="4"/>
    <n v="1"/>
    <x v="2"/>
    <n v="2"/>
    <s v="Divorced"/>
    <n v="4876"/>
    <n v="5855"/>
    <n v="5"/>
    <s v="Y"/>
    <x v="1"/>
    <n v="12"/>
    <n v="3"/>
    <n v="3"/>
    <n v="80"/>
    <n v="1"/>
    <n v="8"/>
    <n v="0"/>
    <n v="3"/>
    <n v="6"/>
    <n v="4"/>
    <n v="0"/>
    <n v="2"/>
    <x v="1"/>
    <n v="1"/>
    <x v="0"/>
    <x v="0"/>
    <s v="6-10 Years"/>
    <s v="Medium"/>
    <s v="Better"/>
  </r>
  <r>
    <x v="10"/>
    <s v="No"/>
    <s v="Travel_Rarely"/>
    <n v="1349"/>
    <x v="1"/>
    <n v="7"/>
    <n v="2"/>
    <s v="Life Sciences"/>
    <n v="1"/>
    <n v="1601"/>
    <n v="3"/>
    <x v="1"/>
    <n v="63"/>
    <n v="2"/>
    <n v="1"/>
    <x v="2"/>
    <n v="4"/>
    <s v="Married"/>
    <n v="2690"/>
    <n v="7713"/>
    <n v="1"/>
    <s v="Y"/>
    <x v="1"/>
    <n v="18"/>
    <n v="3"/>
    <n v="4"/>
    <n v="80"/>
    <n v="1"/>
    <n v="1"/>
    <n v="5"/>
    <n v="2"/>
    <n v="1"/>
    <n v="0"/>
    <n v="0"/>
    <n v="1"/>
    <x v="1"/>
    <n v="1"/>
    <x v="0"/>
    <x v="1"/>
    <s v="0-1 Years"/>
    <s v="Very High"/>
    <s v="Good"/>
  </r>
  <r>
    <x v="21"/>
    <s v="No"/>
    <s v="Travel_Rarely"/>
    <n v="563"/>
    <x v="0"/>
    <n v="1"/>
    <n v="4"/>
    <s v="Life Sciences"/>
    <n v="1"/>
    <n v="1602"/>
    <n v="4"/>
    <x v="1"/>
    <n v="56"/>
    <n v="4"/>
    <n v="4"/>
    <x v="5"/>
    <n v="1"/>
    <s v="Single"/>
    <n v="17567"/>
    <n v="3156"/>
    <n v="1"/>
    <s v="Y"/>
    <x v="1"/>
    <n v="15"/>
    <n v="3"/>
    <n v="2"/>
    <n v="80"/>
    <n v="0"/>
    <n v="27"/>
    <n v="5"/>
    <n v="1"/>
    <n v="26"/>
    <n v="0"/>
    <n v="0"/>
    <n v="12"/>
    <x v="1"/>
    <n v="1"/>
    <x v="1"/>
    <x v="2"/>
    <s v="10+ Years"/>
    <s v="Low"/>
    <s v="Bad"/>
  </r>
  <r>
    <x v="14"/>
    <s v="Yes"/>
    <s v="Travel_Rarely"/>
    <n v="329"/>
    <x v="1"/>
    <n v="24"/>
    <n v="3"/>
    <s v="Medical"/>
    <n v="1"/>
    <n v="1604"/>
    <n v="3"/>
    <x v="1"/>
    <n v="51"/>
    <n v="3"/>
    <n v="1"/>
    <x v="2"/>
    <n v="2"/>
    <s v="Married"/>
    <n v="2408"/>
    <n v="7324"/>
    <n v="1"/>
    <s v="Y"/>
    <x v="0"/>
    <n v="17"/>
    <n v="3"/>
    <n v="3"/>
    <n v="80"/>
    <n v="3"/>
    <n v="1"/>
    <n v="3"/>
    <n v="3"/>
    <n v="1"/>
    <n v="1"/>
    <n v="0"/>
    <n v="0"/>
    <x v="0"/>
    <n v="0"/>
    <x v="2"/>
    <x v="1"/>
    <s v="0-1 Years"/>
    <s v="Medium"/>
    <s v="Better"/>
  </r>
  <r>
    <x v="15"/>
    <s v="No"/>
    <s v="Non-Travel"/>
    <n v="457"/>
    <x v="1"/>
    <n v="26"/>
    <n v="2"/>
    <s v="Other"/>
    <n v="1"/>
    <n v="1605"/>
    <n v="2"/>
    <x v="0"/>
    <n v="85"/>
    <n v="2"/>
    <n v="1"/>
    <x v="1"/>
    <n v="3"/>
    <s v="Married"/>
    <n v="2814"/>
    <n v="10293"/>
    <n v="1"/>
    <s v="Y"/>
    <x v="0"/>
    <n v="14"/>
    <n v="3"/>
    <n v="2"/>
    <n v="80"/>
    <n v="0"/>
    <n v="4"/>
    <n v="2"/>
    <n v="2"/>
    <n v="4"/>
    <n v="2"/>
    <n v="1"/>
    <n v="3"/>
    <x v="1"/>
    <n v="1"/>
    <x v="4"/>
    <x v="1"/>
    <s v="2-5 Years"/>
    <s v="High"/>
    <s v="Good"/>
  </r>
  <r>
    <x v="24"/>
    <s v="No"/>
    <s v="Travel_Frequently"/>
    <n v="1234"/>
    <x v="1"/>
    <n v="20"/>
    <n v="5"/>
    <s v="Medical"/>
    <n v="1"/>
    <n v="1606"/>
    <n v="2"/>
    <x v="1"/>
    <n v="41"/>
    <n v="3"/>
    <n v="4"/>
    <x v="4"/>
    <n v="3"/>
    <s v="Married"/>
    <n v="11245"/>
    <n v="20689"/>
    <n v="2"/>
    <s v="Y"/>
    <x v="0"/>
    <n v="15"/>
    <n v="3"/>
    <n v="3"/>
    <n v="80"/>
    <n v="1"/>
    <n v="32"/>
    <n v="3"/>
    <n v="3"/>
    <n v="30"/>
    <n v="8"/>
    <n v="12"/>
    <n v="13"/>
    <x v="1"/>
    <n v="1"/>
    <x v="1"/>
    <x v="2"/>
    <s v="10+ Years"/>
    <s v="High"/>
    <s v="Better"/>
  </r>
  <r>
    <x v="5"/>
    <s v="No"/>
    <s v="Travel_Rarely"/>
    <n v="634"/>
    <x v="1"/>
    <n v="5"/>
    <n v="4"/>
    <s v="Other"/>
    <n v="1"/>
    <n v="1607"/>
    <n v="2"/>
    <x v="0"/>
    <n v="35"/>
    <n v="4"/>
    <n v="1"/>
    <x v="1"/>
    <n v="4"/>
    <s v="Married"/>
    <n v="3312"/>
    <n v="18783"/>
    <n v="3"/>
    <s v="Y"/>
    <x v="1"/>
    <n v="17"/>
    <n v="3"/>
    <n v="4"/>
    <n v="80"/>
    <n v="2"/>
    <n v="6"/>
    <n v="3"/>
    <n v="3"/>
    <n v="3"/>
    <n v="2"/>
    <n v="0"/>
    <n v="2"/>
    <x v="1"/>
    <n v="1"/>
    <x v="2"/>
    <x v="0"/>
    <s v="2-5 Years"/>
    <s v="Very High"/>
    <s v="Better"/>
  </r>
  <r>
    <x v="20"/>
    <s v="No"/>
    <s v="Travel_Rarely"/>
    <n v="1313"/>
    <x v="1"/>
    <n v="7"/>
    <n v="3"/>
    <s v="Medical"/>
    <n v="1"/>
    <n v="1608"/>
    <n v="2"/>
    <x v="0"/>
    <n v="31"/>
    <n v="3"/>
    <n v="5"/>
    <x v="7"/>
    <n v="4"/>
    <s v="Divorced"/>
    <n v="19049"/>
    <n v="3549"/>
    <n v="0"/>
    <s v="Y"/>
    <x v="0"/>
    <n v="14"/>
    <n v="3"/>
    <n v="4"/>
    <n v="80"/>
    <n v="1"/>
    <n v="23"/>
    <n v="4"/>
    <n v="2"/>
    <n v="22"/>
    <n v="7"/>
    <n v="1"/>
    <n v="10"/>
    <x v="1"/>
    <n v="1"/>
    <x v="0"/>
    <x v="2"/>
    <s v="10+ Years"/>
    <s v="Very High"/>
    <s v="Good"/>
  </r>
  <r>
    <x v="7"/>
    <s v="No"/>
    <s v="Travel_Rarely"/>
    <n v="241"/>
    <x v="1"/>
    <n v="7"/>
    <n v="3"/>
    <s v="Medical"/>
    <n v="1"/>
    <n v="1609"/>
    <n v="2"/>
    <x v="1"/>
    <n v="48"/>
    <n v="2"/>
    <n v="1"/>
    <x v="1"/>
    <n v="2"/>
    <s v="Married"/>
    <n v="2141"/>
    <n v="5348"/>
    <n v="1"/>
    <s v="Y"/>
    <x v="1"/>
    <n v="12"/>
    <n v="3"/>
    <n v="2"/>
    <n v="80"/>
    <n v="1"/>
    <n v="6"/>
    <n v="3"/>
    <n v="2"/>
    <n v="6"/>
    <n v="4"/>
    <n v="1"/>
    <n v="1"/>
    <x v="1"/>
    <n v="1"/>
    <x v="2"/>
    <x v="1"/>
    <s v="6-10 Years"/>
    <s v="Medium"/>
    <s v="Good"/>
  </r>
  <r>
    <x v="28"/>
    <s v="No"/>
    <s v="Travel_Rarely"/>
    <n v="1015"/>
    <x v="1"/>
    <n v="5"/>
    <n v="5"/>
    <s v="Medical"/>
    <n v="1"/>
    <n v="1611"/>
    <n v="3"/>
    <x v="0"/>
    <n v="50"/>
    <n v="1"/>
    <n v="2"/>
    <x v="2"/>
    <n v="1"/>
    <s v="Single"/>
    <n v="5769"/>
    <n v="23447"/>
    <n v="1"/>
    <s v="Y"/>
    <x v="0"/>
    <n v="14"/>
    <n v="3"/>
    <n v="1"/>
    <n v="80"/>
    <n v="0"/>
    <n v="10"/>
    <n v="3"/>
    <n v="3"/>
    <n v="10"/>
    <n v="7"/>
    <n v="1"/>
    <n v="4"/>
    <x v="1"/>
    <n v="1"/>
    <x v="1"/>
    <x v="0"/>
    <s v="6-10 Years"/>
    <s v="Low"/>
    <s v="Better"/>
  </r>
  <r>
    <x v="28"/>
    <s v="No"/>
    <s v="Non-Travel"/>
    <n v="336"/>
    <x v="0"/>
    <n v="26"/>
    <n v="3"/>
    <s v="Marketing"/>
    <n v="1"/>
    <n v="1612"/>
    <n v="1"/>
    <x v="1"/>
    <n v="52"/>
    <n v="2"/>
    <n v="2"/>
    <x v="0"/>
    <n v="1"/>
    <s v="Married"/>
    <n v="4385"/>
    <n v="24162"/>
    <n v="1"/>
    <s v="Y"/>
    <x v="1"/>
    <n v="15"/>
    <n v="3"/>
    <n v="1"/>
    <n v="80"/>
    <n v="1"/>
    <n v="10"/>
    <n v="2"/>
    <n v="3"/>
    <n v="10"/>
    <n v="7"/>
    <n v="4"/>
    <n v="5"/>
    <x v="1"/>
    <n v="1"/>
    <x v="1"/>
    <x v="0"/>
    <s v="6-10 Years"/>
    <s v="Low"/>
    <s v="Better"/>
  </r>
  <r>
    <x v="12"/>
    <s v="No"/>
    <s v="Travel_Frequently"/>
    <n v="715"/>
    <x v="0"/>
    <n v="2"/>
    <n v="4"/>
    <s v="Other"/>
    <n v="1"/>
    <n v="1613"/>
    <n v="4"/>
    <x v="1"/>
    <n v="54"/>
    <n v="3"/>
    <n v="2"/>
    <x v="0"/>
    <n v="1"/>
    <s v="Single"/>
    <n v="5332"/>
    <n v="21602"/>
    <n v="7"/>
    <s v="Y"/>
    <x v="1"/>
    <n v="13"/>
    <n v="3"/>
    <n v="4"/>
    <n v="80"/>
    <n v="0"/>
    <n v="10"/>
    <n v="3"/>
    <n v="3"/>
    <n v="5"/>
    <n v="2"/>
    <n v="0"/>
    <n v="3"/>
    <x v="1"/>
    <n v="1"/>
    <x v="2"/>
    <x v="0"/>
    <s v="2-5 Years"/>
    <s v="Low"/>
    <s v="Better"/>
  </r>
  <r>
    <x v="9"/>
    <s v="No"/>
    <s v="Travel_Rarely"/>
    <n v="559"/>
    <x v="1"/>
    <n v="12"/>
    <n v="4"/>
    <s v="Life Sciences"/>
    <n v="1"/>
    <n v="1614"/>
    <n v="3"/>
    <x v="0"/>
    <n v="76"/>
    <n v="3"/>
    <n v="2"/>
    <x v="3"/>
    <n v="3"/>
    <s v="Married"/>
    <n v="4663"/>
    <n v="12421"/>
    <n v="9"/>
    <s v="Y"/>
    <x v="0"/>
    <n v="12"/>
    <n v="3"/>
    <n v="2"/>
    <n v="80"/>
    <n v="2"/>
    <n v="7"/>
    <n v="2"/>
    <n v="3"/>
    <n v="3"/>
    <n v="2"/>
    <n v="1"/>
    <n v="1"/>
    <x v="1"/>
    <n v="1"/>
    <x v="0"/>
    <x v="0"/>
    <s v="2-5 Years"/>
    <s v="High"/>
    <s v="Better"/>
  </r>
  <r>
    <x v="13"/>
    <s v="No"/>
    <s v="Travel_Frequently"/>
    <n v="426"/>
    <x v="1"/>
    <n v="10"/>
    <n v="4"/>
    <s v="Life Sciences"/>
    <n v="1"/>
    <n v="1615"/>
    <n v="3"/>
    <x v="1"/>
    <n v="42"/>
    <n v="4"/>
    <n v="2"/>
    <x v="3"/>
    <n v="4"/>
    <s v="Divorced"/>
    <n v="4724"/>
    <n v="17000"/>
    <n v="1"/>
    <s v="Y"/>
    <x v="1"/>
    <n v="13"/>
    <n v="3"/>
    <n v="1"/>
    <n v="80"/>
    <n v="1"/>
    <n v="9"/>
    <n v="3"/>
    <n v="3"/>
    <n v="9"/>
    <n v="7"/>
    <n v="7"/>
    <n v="2"/>
    <x v="1"/>
    <n v="1"/>
    <x v="2"/>
    <x v="0"/>
    <s v="6-10 Years"/>
    <s v="Very High"/>
    <s v="Better"/>
  </r>
  <r>
    <x v="1"/>
    <s v="No"/>
    <s v="Travel_Rarely"/>
    <n v="722"/>
    <x v="1"/>
    <n v="25"/>
    <n v="4"/>
    <s v="Life Sciences"/>
    <n v="1"/>
    <n v="1617"/>
    <n v="3"/>
    <x v="0"/>
    <n v="84"/>
    <n v="3"/>
    <n v="1"/>
    <x v="2"/>
    <n v="1"/>
    <s v="Married"/>
    <n v="3211"/>
    <n v="22102"/>
    <n v="1"/>
    <s v="Y"/>
    <x v="1"/>
    <n v="14"/>
    <n v="3"/>
    <n v="4"/>
    <n v="80"/>
    <n v="1"/>
    <n v="10"/>
    <n v="3"/>
    <n v="2"/>
    <n v="9"/>
    <n v="6"/>
    <n v="1"/>
    <n v="4"/>
    <x v="1"/>
    <n v="1"/>
    <x v="1"/>
    <x v="0"/>
    <s v="6-10 Years"/>
    <s v="Low"/>
    <s v="Good"/>
  </r>
  <r>
    <x v="22"/>
    <s v="No"/>
    <s v="Travel_Rarely"/>
    <n v="1387"/>
    <x v="1"/>
    <n v="10"/>
    <n v="5"/>
    <s v="Medical"/>
    <n v="1"/>
    <n v="1618"/>
    <n v="2"/>
    <x v="1"/>
    <n v="76"/>
    <n v="3"/>
    <n v="2"/>
    <x v="3"/>
    <n v="1"/>
    <s v="Married"/>
    <n v="5377"/>
    <n v="3835"/>
    <n v="2"/>
    <s v="Y"/>
    <x v="1"/>
    <n v="13"/>
    <n v="3"/>
    <n v="4"/>
    <n v="80"/>
    <n v="3"/>
    <n v="10"/>
    <n v="3"/>
    <n v="3"/>
    <n v="7"/>
    <n v="7"/>
    <n v="7"/>
    <n v="7"/>
    <x v="1"/>
    <n v="1"/>
    <x v="0"/>
    <x v="0"/>
    <s v="6-10 Years"/>
    <s v="Low"/>
    <s v="Better"/>
  </r>
  <r>
    <x v="4"/>
    <s v="No"/>
    <s v="Travel_Rarely"/>
    <n v="1302"/>
    <x v="1"/>
    <n v="19"/>
    <n v="3"/>
    <s v="Other"/>
    <n v="1"/>
    <n v="1619"/>
    <n v="4"/>
    <x v="1"/>
    <n v="67"/>
    <n v="2"/>
    <n v="1"/>
    <x v="2"/>
    <n v="1"/>
    <s v="Divorced"/>
    <n v="4066"/>
    <n v="16290"/>
    <n v="1"/>
    <s v="Y"/>
    <x v="1"/>
    <n v="11"/>
    <n v="3"/>
    <n v="1"/>
    <n v="80"/>
    <n v="2"/>
    <n v="7"/>
    <n v="3"/>
    <n v="3"/>
    <n v="7"/>
    <n v="7"/>
    <n v="0"/>
    <n v="7"/>
    <x v="1"/>
    <n v="1"/>
    <x v="2"/>
    <x v="0"/>
    <s v="6-10 Years"/>
    <s v="Low"/>
    <s v="Better"/>
  </r>
  <r>
    <x v="10"/>
    <s v="No"/>
    <s v="Travel_Rarely"/>
    <n v="819"/>
    <x v="1"/>
    <n v="18"/>
    <n v="5"/>
    <s v="Life Sciences"/>
    <n v="1"/>
    <n v="1621"/>
    <n v="2"/>
    <x v="1"/>
    <n v="48"/>
    <n v="4"/>
    <n v="2"/>
    <x v="1"/>
    <n v="1"/>
    <s v="Married"/>
    <n v="5208"/>
    <n v="26312"/>
    <n v="1"/>
    <s v="Y"/>
    <x v="1"/>
    <n v="11"/>
    <n v="3"/>
    <n v="4"/>
    <n v="80"/>
    <n v="0"/>
    <n v="16"/>
    <n v="2"/>
    <n v="3"/>
    <n v="16"/>
    <n v="15"/>
    <n v="1"/>
    <n v="10"/>
    <x v="1"/>
    <n v="1"/>
    <x v="0"/>
    <x v="0"/>
    <s v="10+ Years"/>
    <s v="Low"/>
    <s v="Better"/>
  </r>
  <r>
    <x v="14"/>
    <s v="No"/>
    <s v="Travel_Rarely"/>
    <n v="580"/>
    <x v="1"/>
    <n v="27"/>
    <n v="3"/>
    <s v="Medical"/>
    <n v="1"/>
    <n v="1622"/>
    <n v="2"/>
    <x v="0"/>
    <n v="39"/>
    <n v="1"/>
    <n v="2"/>
    <x v="3"/>
    <n v="1"/>
    <s v="Divorced"/>
    <n v="4877"/>
    <n v="20460"/>
    <n v="0"/>
    <s v="Y"/>
    <x v="1"/>
    <n v="21"/>
    <n v="4"/>
    <n v="2"/>
    <n v="80"/>
    <n v="1"/>
    <n v="6"/>
    <n v="5"/>
    <n v="2"/>
    <n v="5"/>
    <n v="3"/>
    <n v="0"/>
    <n v="0"/>
    <x v="1"/>
    <n v="1"/>
    <x v="2"/>
    <x v="0"/>
    <s v="2-5 Years"/>
    <s v="Low"/>
    <s v="Good"/>
  </r>
  <r>
    <x v="18"/>
    <s v="No"/>
    <s v="Travel_Rarely"/>
    <n v="546"/>
    <x v="1"/>
    <n v="5"/>
    <n v="1"/>
    <s v="Medical"/>
    <n v="1"/>
    <n v="1623"/>
    <n v="3"/>
    <x v="1"/>
    <n v="97"/>
    <n v="3"/>
    <n v="1"/>
    <x v="1"/>
    <n v="4"/>
    <s v="Single"/>
    <n v="3117"/>
    <n v="26009"/>
    <n v="1"/>
    <s v="Y"/>
    <x v="1"/>
    <n v="18"/>
    <n v="3"/>
    <n v="3"/>
    <n v="80"/>
    <n v="0"/>
    <n v="3"/>
    <n v="2"/>
    <n v="3"/>
    <n v="2"/>
    <n v="2"/>
    <n v="2"/>
    <n v="2"/>
    <x v="1"/>
    <n v="1"/>
    <x v="4"/>
    <x v="0"/>
    <s v="2-5 Years"/>
    <s v="Very High"/>
    <s v="Better"/>
  </r>
  <r>
    <x v="41"/>
    <s v="Yes"/>
    <s v="Travel_Frequently"/>
    <n v="544"/>
    <x v="0"/>
    <n v="3"/>
    <n v="2"/>
    <s v="Medical"/>
    <n v="1"/>
    <n v="1624"/>
    <n v="2"/>
    <x v="0"/>
    <n v="70"/>
    <n v="3"/>
    <n v="1"/>
    <x v="6"/>
    <n v="4"/>
    <s v="Single"/>
    <n v="1569"/>
    <n v="18420"/>
    <n v="1"/>
    <s v="Y"/>
    <x v="0"/>
    <n v="12"/>
    <n v="3"/>
    <n v="3"/>
    <n v="80"/>
    <n v="0"/>
    <n v="0"/>
    <n v="2"/>
    <n v="4"/>
    <n v="0"/>
    <n v="0"/>
    <n v="0"/>
    <n v="0"/>
    <x v="0"/>
    <n v="0"/>
    <x v="4"/>
    <x v="1"/>
    <s v="0-1 Years"/>
    <s v="Very High"/>
    <s v="Best"/>
  </r>
  <r>
    <x v="40"/>
    <s v="No"/>
    <s v="Travel_Rarely"/>
    <n v="1176"/>
    <x v="2"/>
    <n v="26"/>
    <n v="4"/>
    <s v="Life Sciences"/>
    <n v="1"/>
    <n v="1625"/>
    <n v="4"/>
    <x v="0"/>
    <n v="98"/>
    <n v="3"/>
    <n v="5"/>
    <x v="5"/>
    <n v="3"/>
    <s v="Married"/>
    <n v="19658"/>
    <n v="5220"/>
    <n v="3"/>
    <s v="Y"/>
    <x v="1"/>
    <n v="11"/>
    <n v="3"/>
    <n v="3"/>
    <n v="80"/>
    <n v="1"/>
    <n v="27"/>
    <n v="2"/>
    <n v="3"/>
    <n v="5"/>
    <n v="2"/>
    <n v="1"/>
    <n v="0"/>
    <x v="1"/>
    <n v="1"/>
    <x v="1"/>
    <x v="2"/>
    <s v="2-5 Years"/>
    <s v="High"/>
    <s v="Better"/>
  </r>
  <r>
    <x v="22"/>
    <s v="No"/>
    <s v="Travel_Rarely"/>
    <n v="170"/>
    <x v="1"/>
    <n v="3"/>
    <n v="2"/>
    <s v="Medical"/>
    <n v="1"/>
    <n v="1627"/>
    <n v="3"/>
    <x v="1"/>
    <n v="76"/>
    <n v="2"/>
    <n v="2"/>
    <x v="2"/>
    <n v="3"/>
    <s v="Divorced"/>
    <n v="3069"/>
    <n v="10302"/>
    <n v="0"/>
    <s v="Y"/>
    <x v="1"/>
    <n v="15"/>
    <n v="3"/>
    <n v="4"/>
    <n v="80"/>
    <n v="1"/>
    <n v="11"/>
    <n v="3"/>
    <n v="3"/>
    <n v="10"/>
    <n v="8"/>
    <n v="0"/>
    <n v="7"/>
    <x v="1"/>
    <n v="1"/>
    <x v="0"/>
    <x v="0"/>
    <s v="6-10 Years"/>
    <s v="High"/>
    <s v="Better"/>
  </r>
  <r>
    <x v="32"/>
    <s v="No"/>
    <s v="Travel_Rarely"/>
    <n v="884"/>
    <x v="1"/>
    <n v="15"/>
    <n v="3"/>
    <s v="Life Sciences"/>
    <n v="1"/>
    <n v="1628"/>
    <n v="1"/>
    <x v="0"/>
    <n v="80"/>
    <n v="2"/>
    <n v="3"/>
    <x v="3"/>
    <n v="3"/>
    <s v="Married"/>
    <n v="10435"/>
    <n v="25800"/>
    <n v="1"/>
    <s v="Y"/>
    <x v="1"/>
    <n v="13"/>
    <n v="3"/>
    <n v="4"/>
    <n v="80"/>
    <n v="2"/>
    <n v="18"/>
    <n v="2"/>
    <n v="3"/>
    <n v="18"/>
    <n v="15"/>
    <n v="14"/>
    <n v="12"/>
    <x v="1"/>
    <n v="1"/>
    <x v="0"/>
    <x v="2"/>
    <s v="10+ Years"/>
    <s v="High"/>
    <s v="Better"/>
  </r>
  <r>
    <x v="10"/>
    <s v="No"/>
    <s v="Non-Travel"/>
    <n v="208"/>
    <x v="1"/>
    <n v="8"/>
    <n v="4"/>
    <s v="Life Sciences"/>
    <n v="1"/>
    <n v="1630"/>
    <n v="3"/>
    <x v="0"/>
    <n v="52"/>
    <n v="3"/>
    <n v="2"/>
    <x v="4"/>
    <n v="3"/>
    <s v="Married"/>
    <n v="4148"/>
    <n v="12250"/>
    <n v="1"/>
    <s v="Y"/>
    <x v="1"/>
    <n v="12"/>
    <n v="3"/>
    <n v="4"/>
    <n v="80"/>
    <n v="1"/>
    <n v="15"/>
    <n v="5"/>
    <n v="3"/>
    <n v="14"/>
    <n v="11"/>
    <n v="2"/>
    <n v="9"/>
    <x v="1"/>
    <n v="1"/>
    <x v="0"/>
    <x v="0"/>
    <s v="10+ Years"/>
    <s v="High"/>
    <s v="Better"/>
  </r>
  <r>
    <x v="2"/>
    <s v="No"/>
    <s v="Travel_Rarely"/>
    <n v="671"/>
    <x v="1"/>
    <n v="19"/>
    <n v="3"/>
    <s v="Life Sciences"/>
    <n v="1"/>
    <n v="1631"/>
    <n v="3"/>
    <x v="1"/>
    <n v="85"/>
    <n v="3"/>
    <n v="2"/>
    <x v="3"/>
    <n v="3"/>
    <s v="Married"/>
    <n v="5768"/>
    <n v="26493"/>
    <n v="3"/>
    <s v="Y"/>
    <x v="1"/>
    <n v="17"/>
    <n v="3"/>
    <n v="1"/>
    <n v="80"/>
    <n v="3"/>
    <n v="9"/>
    <n v="2"/>
    <n v="2"/>
    <n v="4"/>
    <n v="3"/>
    <n v="0"/>
    <n v="2"/>
    <x v="1"/>
    <n v="1"/>
    <x v="0"/>
    <x v="0"/>
    <s v="2-5 Years"/>
    <s v="High"/>
    <s v="Good"/>
  </r>
  <r>
    <x v="22"/>
    <s v="No"/>
    <s v="Travel_Frequently"/>
    <n v="711"/>
    <x v="1"/>
    <n v="4"/>
    <n v="3"/>
    <s v="Medical"/>
    <n v="1"/>
    <n v="1633"/>
    <n v="1"/>
    <x v="0"/>
    <n v="81"/>
    <n v="3"/>
    <n v="2"/>
    <x v="3"/>
    <n v="3"/>
    <s v="Single"/>
    <n v="5042"/>
    <n v="3140"/>
    <n v="0"/>
    <s v="Y"/>
    <x v="1"/>
    <n v="13"/>
    <n v="3"/>
    <n v="4"/>
    <n v="80"/>
    <n v="0"/>
    <n v="10"/>
    <n v="2"/>
    <n v="1"/>
    <n v="9"/>
    <n v="2"/>
    <n v="3"/>
    <n v="8"/>
    <x v="1"/>
    <n v="1"/>
    <x v="0"/>
    <x v="0"/>
    <s v="6-10 Years"/>
    <s v="High"/>
    <s v="Bad"/>
  </r>
  <r>
    <x v="28"/>
    <s v="No"/>
    <s v="Travel_Rarely"/>
    <n v="1329"/>
    <x v="1"/>
    <n v="2"/>
    <n v="2"/>
    <s v="Other"/>
    <n v="1"/>
    <n v="1635"/>
    <n v="4"/>
    <x v="0"/>
    <n v="59"/>
    <n v="2"/>
    <n v="2"/>
    <x v="3"/>
    <n v="4"/>
    <s v="Divorced"/>
    <n v="5770"/>
    <n v="5388"/>
    <n v="1"/>
    <s v="Y"/>
    <x v="1"/>
    <n v="19"/>
    <n v="3"/>
    <n v="1"/>
    <n v="80"/>
    <n v="2"/>
    <n v="10"/>
    <n v="3"/>
    <n v="3"/>
    <n v="10"/>
    <n v="7"/>
    <n v="3"/>
    <n v="9"/>
    <x v="1"/>
    <n v="1"/>
    <x v="1"/>
    <x v="0"/>
    <s v="6-10 Years"/>
    <s v="Very High"/>
    <s v="Better"/>
  </r>
  <r>
    <x v="8"/>
    <s v="No"/>
    <s v="Travel_Rarely"/>
    <n v="397"/>
    <x v="1"/>
    <n v="2"/>
    <n v="2"/>
    <s v="Medical"/>
    <n v="1"/>
    <n v="1638"/>
    <n v="4"/>
    <x v="0"/>
    <n v="54"/>
    <n v="2"/>
    <n v="3"/>
    <x v="3"/>
    <n v="3"/>
    <s v="Married"/>
    <n v="7756"/>
    <n v="14199"/>
    <n v="3"/>
    <s v="Y"/>
    <x v="0"/>
    <n v="19"/>
    <n v="3"/>
    <n v="4"/>
    <n v="80"/>
    <n v="1"/>
    <n v="10"/>
    <n v="6"/>
    <n v="4"/>
    <n v="5"/>
    <n v="4"/>
    <n v="0"/>
    <n v="2"/>
    <x v="1"/>
    <n v="1"/>
    <x v="0"/>
    <x v="2"/>
    <s v="2-5 Years"/>
    <s v="High"/>
    <s v="Best"/>
  </r>
  <r>
    <x v="10"/>
    <s v="Yes"/>
    <s v="Travel_Rarely"/>
    <n v="737"/>
    <x v="0"/>
    <n v="10"/>
    <n v="3"/>
    <s v="Medical"/>
    <n v="1"/>
    <n v="1639"/>
    <n v="4"/>
    <x v="1"/>
    <n v="55"/>
    <n v="2"/>
    <n v="3"/>
    <x v="0"/>
    <n v="1"/>
    <s v="Married"/>
    <n v="10306"/>
    <n v="21530"/>
    <n v="9"/>
    <s v="Y"/>
    <x v="1"/>
    <n v="17"/>
    <n v="3"/>
    <n v="3"/>
    <n v="80"/>
    <n v="0"/>
    <n v="15"/>
    <n v="3"/>
    <n v="3"/>
    <n v="13"/>
    <n v="12"/>
    <n v="6"/>
    <n v="0"/>
    <x v="0"/>
    <n v="0"/>
    <x v="0"/>
    <x v="2"/>
    <s v="10+ Years"/>
    <s v="Low"/>
    <s v="Better"/>
  </r>
  <r>
    <x v="2"/>
    <s v="No"/>
    <s v="Travel_Rarely"/>
    <n v="1470"/>
    <x v="1"/>
    <n v="10"/>
    <n v="3"/>
    <s v="Medical"/>
    <n v="1"/>
    <n v="1640"/>
    <n v="2"/>
    <x v="0"/>
    <n v="71"/>
    <n v="3"/>
    <n v="1"/>
    <x v="1"/>
    <n v="2"/>
    <s v="Married"/>
    <n v="3936"/>
    <n v="9953"/>
    <n v="1"/>
    <s v="Y"/>
    <x v="1"/>
    <n v="11"/>
    <n v="3"/>
    <n v="1"/>
    <n v="80"/>
    <n v="1"/>
    <n v="8"/>
    <n v="2"/>
    <n v="1"/>
    <n v="8"/>
    <n v="4"/>
    <n v="7"/>
    <n v="7"/>
    <x v="1"/>
    <n v="1"/>
    <x v="0"/>
    <x v="0"/>
    <s v="6-10 Years"/>
    <s v="Medium"/>
    <s v="Bad"/>
  </r>
  <r>
    <x v="32"/>
    <s v="No"/>
    <s v="Travel_Rarely"/>
    <n v="448"/>
    <x v="1"/>
    <n v="16"/>
    <n v="3"/>
    <s v="Life Sciences"/>
    <n v="1"/>
    <n v="1641"/>
    <n v="3"/>
    <x v="0"/>
    <n v="84"/>
    <n v="3"/>
    <n v="3"/>
    <x v="3"/>
    <n v="4"/>
    <s v="Single"/>
    <n v="7945"/>
    <n v="19948"/>
    <n v="6"/>
    <s v="Y"/>
    <x v="0"/>
    <n v="15"/>
    <n v="3"/>
    <n v="4"/>
    <n v="80"/>
    <n v="0"/>
    <n v="18"/>
    <n v="2"/>
    <n v="2"/>
    <n v="4"/>
    <n v="2"/>
    <n v="3"/>
    <n v="3"/>
    <x v="1"/>
    <n v="1"/>
    <x v="0"/>
    <x v="2"/>
    <s v="2-5 Years"/>
    <s v="Very High"/>
    <s v="Good"/>
  </r>
  <r>
    <x v="20"/>
    <s v="No"/>
    <s v="Travel_Frequently"/>
    <n v="602"/>
    <x v="2"/>
    <n v="1"/>
    <n v="5"/>
    <s v="Human Resources"/>
    <n v="1"/>
    <n v="1642"/>
    <n v="1"/>
    <x v="1"/>
    <n v="37"/>
    <n v="3"/>
    <n v="2"/>
    <x v="8"/>
    <n v="4"/>
    <s v="Married"/>
    <n v="5743"/>
    <n v="10503"/>
    <n v="4"/>
    <s v="Y"/>
    <x v="0"/>
    <n v="11"/>
    <n v="3"/>
    <n v="3"/>
    <n v="80"/>
    <n v="0"/>
    <n v="14"/>
    <n v="3"/>
    <n v="3"/>
    <n v="10"/>
    <n v="7"/>
    <n v="0"/>
    <n v="2"/>
    <x v="1"/>
    <n v="1"/>
    <x v="0"/>
    <x v="0"/>
    <s v="6-10 Years"/>
    <s v="Very High"/>
    <s v="Better"/>
  </r>
  <r>
    <x v="26"/>
    <s v="No"/>
    <s v="Travel_Frequently"/>
    <n v="365"/>
    <x v="1"/>
    <n v="4"/>
    <n v="5"/>
    <s v="Medical"/>
    <n v="1"/>
    <n v="1644"/>
    <n v="3"/>
    <x v="1"/>
    <n v="89"/>
    <n v="2"/>
    <n v="4"/>
    <x v="5"/>
    <n v="4"/>
    <s v="Married"/>
    <n v="15202"/>
    <n v="5602"/>
    <n v="2"/>
    <s v="Y"/>
    <x v="1"/>
    <n v="25"/>
    <n v="4"/>
    <n v="2"/>
    <n v="80"/>
    <n v="1"/>
    <n v="23"/>
    <n v="3"/>
    <n v="3"/>
    <n v="2"/>
    <n v="2"/>
    <n v="2"/>
    <n v="2"/>
    <x v="1"/>
    <n v="1"/>
    <x v="1"/>
    <x v="2"/>
    <s v="2-5 Years"/>
    <s v="Very High"/>
    <s v="Better"/>
  </r>
  <r>
    <x v="10"/>
    <s v="Yes"/>
    <s v="Travel_Rarely"/>
    <n v="763"/>
    <x v="0"/>
    <n v="15"/>
    <n v="2"/>
    <s v="Medical"/>
    <n v="1"/>
    <n v="1645"/>
    <n v="1"/>
    <x v="1"/>
    <n v="59"/>
    <n v="1"/>
    <n v="2"/>
    <x v="0"/>
    <n v="4"/>
    <s v="Divorced"/>
    <n v="5440"/>
    <n v="22098"/>
    <n v="6"/>
    <s v="Y"/>
    <x v="0"/>
    <n v="14"/>
    <n v="3"/>
    <n v="4"/>
    <n v="80"/>
    <n v="2"/>
    <n v="7"/>
    <n v="2"/>
    <n v="2"/>
    <n v="2"/>
    <n v="2"/>
    <n v="2"/>
    <n v="2"/>
    <x v="0"/>
    <n v="0"/>
    <x v="0"/>
    <x v="0"/>
    <s v="2-5 Years"/>
    <s v="Very High"/>
    <s v="Good"/>
  </r>
  <r>
    <x v="17"/>
    <s v="No"/>
    <s v="Travel_Frequently"/>
    <n v="567"/>
    <x v="1"/>
    <n v="2"/>
    <n v="1"/>
    <s v="Technical Degree"/>
    <n v="1"/>
    <n v="1646"/>
    <n v="1"/>
    <x v="0"/>
    <n v="32"/>
    <n v="3"/>
    <n v="1"/>
    <x v="1"/>
    <n v="4"/>
    <s v="Single"/>
    <n v="3760"/>
    <n v="17218"/>
    <n v="1"/>
    <s v="Y"/>
    <x v="0"/>
    <n v="13"/>
    <n v="3"/>
    <n v="3"/>
    <n v="80"/>
    <n v="0"/>
    <n v="6"/>
    <n v="2"/>
    <n v="3"/>
    <n v="6"/>
    <n v="3"/>
    <n v="1"/>
    <n v="3"/>
    <x v="1"/>
    <n v="1"/>
    <x v="4"/>
    <x v="0"/>
    <s v="6-10 Years"/>
    <s v="Very High"/>
    <s v="Better"/>
  </r>
  <r>
    <x v="4"/>
    <s v="No"/>
    <s v="Travel_Rarely"/>
    <n v="486"/>
    <x v="1"/>
    <n v="8"/>
    <n v="3"/>
    <s v="Medical"/>
    <n v="1"/>
    <n v="1647"/>
    <n v="2"/>
    <x v="0"/>
    <n v="86"/>
    <n v="4"/>
    <n v="1"/>
    <x v="1"/>
    <n v="3"/>
    <s v="Married"/>
    <n v="3517"/>
    <n v="22490"/>
    <n v="7"/>
    <s v="Y"/>
    <x v="1"/>
    <n v="17"/>
    <n v="3"/>
    <n v="1"/>
    <n v="80"/>
    <n v="0"/>
    <n v="5"/>
    <n v="0"/>
    <n v="3"/>
    <n v="3"/>
    <n v="2"/>
    <n v="0"/>
    <n v="2"/>
    <x v="1"/>
    <n v="1"/>
    <x v="2"/>
    <x v="0"/>
    <s v="2-5 Years"/>
    <s v="High"/>
    <s v="Better"/>
  </r>
  <r>
    <x v="4"/>
    <s v="No"/>
    <s v="Travel_Frequently"/>
    <n v="591"/>
    <x v="1"/>
    <n v="2"/>
    <n v="3"/>
    <s v="Medical"/>
    <n v="1"/>
    <n v="1648"/>
    <n v="4"/>
    <x v="1"/>
    <n v="87"/>
    <n v="3"/>
    <n v="1"/>
    <x v="1"/>
    <n v="4"/>
    <s v="Single"/>
    <n v="2580"/>
    <n v="6297"/>
    <n v="2"/>
    <s v="Y"/>
    <x v="1"/>
    <n v="13"/>
    <n v="3"/>
    <n v="3"/>
    <n v="80"/>
    <n v="0"/>
    <n v="6"/>
    <n v="0"/>
    <n v="2"/>
    <n v="4"/>
    <n v="2"/>
    <n v="1"/>
    <n v="2"/>
    <x v="1"/>
    <n v="1"/>
    <x v="2"/>
    <x v="1"/>
    <s v="2-5 Years"/>
    <s v="Very High"/>
    <s v="Good"/>
  </r>
  <r>
    <x v="32"/>
    <s v="Yes"/>
    <s v="Travel_Rarely"/>
    <n v="1329"/>
    <x v="1"/>
    <n v="7"/>
    <n v="3"/>
    <s v="Life Sciences"/>
    <n v="1"/>
    <n v="1649"/>
    <n v="1"/>
    <x v="1"/>
    <n v="73"/>
    <n v="3"/>
    <n v="1"/>
    <x v="2"/>
    <n v="1"/>
    <s v="Single"/>
    <n v="2166"/>
    <n v="3339"/>
    <n v="3"/>
    <s v="Y"/>
    <x v="0"/>
    <n v="14"/>
    <n v="3"/>
    <n v="2"/>
    <n v="80"/>
    <n v="0"/>
    <n v="10"/>
    <n v="3"/>
    <n v="1"/>
    <n v="4"/>
    <n v="2"/>
    <n v="0"/>
    <n v="3"/>
    <x v="0"/>
    <n v="0"/>
    <x v="0"/>
    <x v="1"/>
    <s v="2-5 Years"/>
    <s v="Low"/>
    <s v="Bad"/>
  </r>
  <r>
    <x v="11"/>
    <s v="No"/>
    <s v="Travel_Rarely"/>
    <n v="469"/>
    <x v="0"/>
    <n v="10"/>
    <n v="3"/>
    <s v="Medical"/>
    <n v="1"/>
    <n v="1650"/>
    <n v="3"/>
    <x v="1"/>
    <n v="42"/>
    <n v="2"/>
    <n v="2"/>
    <x v="0"/>
    <n v="3"/>
    <s v="Single"/>
    <n v="5869"/>
    <n v="23413"/>
    <n v="9"/>
    <s v="Y"/>
    <x v="1"/>
    <n v="11"/>
    <n v="3"/>
    <n v="3"/>
    <n v="80"/>
    <n v="0"/>
    <n v="8"/>
    <n v="2"/>
    <n v="3"/>
    <n v="5"/>
    <n v="2"/>
    <n v="1"/>
    <n v="4"/>
    <x v="1"/>
    <n v="1"/>
    <x v="2"/>
    <x v="0"/>
    <s v="2-5 Years"/>
    <s v="High"/>
    <s v="Better"/>
  </r>
  <r>
    <x v="9"/>
    <s v="No"/>
    <s v="Travel_Rarely"/>
    <n v="711"/>
    <x v="1"/>
    <n v="5"/>
    <n v="4"/>
    <s v="Life Sciences"/>
    <n v="1"/>
    <n v="1651"/>
    <n v="2"/>
    <x v="0"/>
    <n v="42"/>
    <n v="3"/>
    <n v="3"/>
    <x v="4"/>
    <n v="1"/>
    <s v="Married"/>
    <n v="8008"/>
    <n v="22792"/>
    <n v="4"/>
    <s v="Y"/>
    <x v="1"/>
    <n v="12"/>
    <n v="3"/>
    <n v="3"/>
    <n v="80"/>
    <n v="2"/>
    <n v="9"/>
    <n v="6"/>
    <n v="3"/>
    <n v="3"/>
    <n v="2"/>
    <n v="0"/>
    <n v="2"/>
    <x v="1"/>
    <n v="1"/>
    <x v="0"/>
    <x v="2"/>
    <s v="2-5 Years"/>
    <s v="Low"/>
    <s v="Better"/>
  </r>
  <r>
    <x v="36"/>
    <s v="No"/>
    <s v="Travel_Frequently"/>
    <n v="772"/>
    <x v="1"/>
    <n v="2"/>
    <n v="1"/>
    <s v="Life Sciences"/>
    <n v="1"/>
    <n v="1653"/>
    <n v="4"/>
    <x v="1"/>
    <n v="77"/>
    <n v="4"/>
    <n v="2"/>
    <x v="3"/>
    <n v="3"/>
    <s v="Divorced"/>
    <n v="5206"/>
    <n v="4973"/>
    <n v="1"/>
    <s v="Y"/>
    <x v="1"/>
    <n v="17"/>
    <n v="3"/>
    <n v="3"/>
    <n v="80"/>
    <n v="2"/>
    <n v="7"/>
    <n v="6"/>
    <n v="3"/>
    <n v="7"/>
    <n v="7"/>
    <n v="0"/>
    <n v="7"/>
    <x v="1"/>
    <n v="1"/>
    <x v="2"/>
    <x v="0"/>
    <s v="6-10 Years"/>
    <s v="High"/>
    <s v="Better"/>
  </r>
  <r>
    <x v="22"/>
    <s v="No"/>
    <s v="Travel_Rarely"/>
    <n v="492"/>
    <x v="1"/>
    <n v="12"/>
    <n v="3"/>
    <s v="Medical"/>
    <n v="1"/>
    <n v="1654"/>
    <n v="4"/>
    <x v="1"/>
    <n v="66"/>
    <n v="3"/>
    <n v="2"/>
    <x v="3"/>
    <n v="2"/>
    <s v="Married"/>
    <n v="5295"/>
    <n v="7693"/>
    <n v="4"/>
    <s v="Y"/>
    <x v="1"/>
    <n v="21"/>
    <n v="4"/>
    <n v="3"/>
    <n v="80"/>
    <n v="0"/>
    <n v="7"/>
    <n v="3"/>
    <n v="3"/>
    <n v="5"/>
    <n v="4"/>
    <n v="1"/>
    <n v="0"/>
    <x v="1"/>
    <n v="1"/>
    <x v="0"/>
    <x v="0"/>
    <s v="2-5 Years"/>
    <s v="Medium"/>
    <s v="Better"/>
  </r>
  <r>
    <x v="1"/>
    <s v="No"/>
    <s v="Travel_Rarely"/>
    <n v="301"/>
    <x v="1"/>
    <n v="22"/>
    <n v="4"/>
    <s v="Other"/>
    <n v="1"/>
    <n v="1655"/>
    <n v="1"/>
    <x v="0"/>
    <n v="72"/>
    <n v="3"/>
    <n v="4"/>
    <x v="7"/>
    <n v="2"/>
    <s v="Married"/>
    <n v="16413"/>
    <n v="3498"/>
    <n v="3"/>
    <s v="Y"/>
    <x v="1"/>
    <n v="16"/>
    <n v="3"/>
    <n v="2"/>
    <n v="80"/>
    <n v="2"/>
    <n v="27"/>
    <n v="2"/>
    <n v="3"/>
    <n v="4"/>
    <n v="2"/>
    <n v="1"/>
    <n v="2"/>
    <x v="1"/>
    <n v="1"/>
    <x v="1"/>
    <x v="2"/>
    <s v="2-5 Years"/>
    <s v="Medium"/>
    <s v="Better"/>
  </r>
  <r>
    <x v="24"/>
    <s v="No"/>
    <s v="Travel_Rarely"/>
    <n v="813"/>
    <x v="1"/>
    <n v="17"/>
    <n v="5"/>
    <s v="Life Sciences"/>
    <n v="1"/>
    <n v="1656"/>
    <n v="4"/>
    <x v="0"/>
    <n v="50"/>
    <n v="2"/>
    <n v="3"/>
    <x v="7"/>
    <n v="1"/>
    <s v="Divorced"/>
    <n v="13269"/>
    <n v="21981"/>
    <n v="5"/>
    <s v="Y"/>
    <x v="1"/>
    <n v="15"/>
    <n v="3"/>
    <n v="3"/>
    <n v="80"/>
    <n v="3"/>
    <n v="19"/>
    <n v="3"/>
    <n v="3"/>
    <n v="14"/>
    <n v="11"/>
    <n v="1"/>
    <n v="11"/>
    <x v="1"/>
    <n v="1"/>
    <x v="1"/>
    <x v="2"/>
    <s v="10+ Years"/>
    <s v="Low"/>
    <s v="Better"/>
  </r>
  <r>
    <x v="35"/>
    <s v="No"/>
    <s v="Travel_Rarely"/>
    <n v="1141"/>
    <x v="0"/>
    <n v="2"/>
    <n v="3"/>
    <s v="Medical"/>
    <n v="1"/>
    <n v="1657"/>
    <n v="3"/>
    <x v="0"/>
    <n v="31"/>
    <n v="3"/>
    <n v="1"/>
    <x v="6"/>
    <n v="3"/>
    <s v="Single"/>
    <n v="2783"/>
    <n v="13251"/>
    <n v="1"/>
    <s v="Y"/>
    <x v="1"/>
    <n v="19"/>
    <n v="3"/>
    <n v="1"/>
    <n v="80"/>
    <n v="0"/>
    <n v="2"/>
    <n v="3"/>
    <n v="3"/>
    <n v="2"/>
    <n v="2"/>
    <n v="2"/>
    <n v="2"/>
    <x v="1"/>
    <n v="1"/>
    <x v="4"/>
    <x v="1"/>
    <s v="2-5 Years"/>
    <s v="High"/>
    <s v="Better"/>
  </r>
  <r>
    <x v="13"/>
    <s v="No"/>
    <s v="Travel_Rarely"/>
    <n v="1130"/>
    <x v="1"/>
    <n v="3"/>
    <n v="3"/>
    <s v="Life Sciences"/>
    <n v="1"/>
    <n v="1658"/>
    <n v="4"/>
    <x v="0"/>
    <n v="66"/>
    <n v="3"/>
    <n v="2"/>
    <x v="1"/>
    <n v="2"/>
    <s v="Divorced"/>
    <n v="5433"/>
    <n v="19332"/>
    <n v="1"/>
    <s v="Y"/>
    <x v="1"/>
    <n v="12"/>
    <n v="3"/>
    <n v="3"/>
    <n v="80"/>
    <n v="1"/>
    <n v="11"/>
    <n v="2"/>
    <n v="3"/>
    <n v="11"/>
    <n v="8"/>
    <n v="7"/>
    <n v="9"/>
    <x v="1"/>
    <n v="1"/>
    <x v="2"/>
    <x v="0"/>
    <s v="10+ Years"/>
    <s v="Medium"/>
    <s v="Better"/>
  </r>
  <r>
    <x v="9"/>
    <s v="No"/>
    <s v="Travel_Rarely"/>
    <n v="311"/>
    <x v="1"/>
    <n v="7"/>
    <n v="3"/>
    <s v="Life Sciences"/>
    <n v="1"/>
    <n v="1659"/>
    <n v="1"/>
    <x v="1"/>
    <n v="77"/>
    <n v="3"/>
    <n v="1"/>
    <x v="2"/>
    <n v="2"/>
    <s v="Single"/>
    <n v="2013"/>
    <n v="10950"/>
    <n v="2"/>
    <s v="Y"/>
    <x v="1"/>
    <n v="11"/>
    <n v="3"/>
    <n v="3"/>
    <n v="80"/>
    <n v="0"/>
    <n v="15"/>
    <n v="4"/>
    <n v="3"/>
    <n v="4"/>
    <n v="3"/>
    <n v="1"/>
    <n v="3"/>
    <x v="1"/>
    <n v="1"/>
    <x v="0"/>
    <x v="1"/>
    <s v="2-5 Years"/>
    <s v="Medium"/>
    <s v="Better"/>
  </r>
  <r>
    <x v="1"/>
    <s v="No"/>
    <s v="Travel_Rarely"/>
    <n v="465"/>
    <x v="1"/>
    <n v="6"/>
    <n v="1"/>
    <s v="Life Sciences"/>
    <n v="1"/>
    <n v="1661"/>
    <n v="3"/>
    <x v="0"/>
    <n v="41"/>
    <n v="2"/>
    <n v="4"/>
    <x v="4"/>
    <n v="3"/>
    <s v="Married"/>
    <n v="13966"/>
    <n v="11652"/>
    <n v="2"/>
    <s v="Y"/>
    <x v="0"/>
    <n v="19"/>
    <n v="3"/>
    <n v="2"/>
    <n v="80"/>
    <n v="1"/>
    <n v="30"/>
    <n v="3"/>
    <n v="3"/>
    <n v="15"/>
    <n v="11"/>
    <n v="2"/>
    <n v="12"/>
    <x v="1"/>
    <n v="1"/>
    <x v="1"/>
    <x v="2"/>
    <s v="10+ Years"/>
    <s v="High"/>
    <s v="Better"/>
  </r>
  <r>
    <x v="9"/>
    <s v="No"/>
    <s v="Non-Travel"/>
    <n v="894"/>
    <x v="1"/>
    <n v="1"/>
    <n v="4"/>
    <s v="Medical"/>
    <n v="1"/>
    <n v="1662"/>
    <n v="4"/>
    <x v="0"/>
    <n v="33"/>
    <n v="2"/>
    <n v="2"/>
    <x v="3"/>
    <n v="3"/>
    <s v="Married"/>
    <n v="4374"/>
    <n v="15411"/>
    <n v="0"/>
    <s v="Y"/>
    <x v="1"/>
    <n v="15"/>
    <n v="3"/>
    <n v="3"/>
    <n v="80"/>
    <n v="0"/>
    <n v="4"/>
    <n v="6"/>
    <n v="3"/>
    <n v="3"/>
    <n v="2"/>
    <n v="1"/>
    <n v="2"/>
    <x v="1"/>
    <n v="1"/>
    <x v="0"/>
    <x v="0"/>
    <s v="2-5 Years"/>
    <s v="High"/>
    <s v="Better"/>
  </r>
  <r>
    <x v="9"/>
    <s v="No"/>
    <s v="Travel_Rarely"/>
    <n v="1040"/>
    <x v="1"/>
    <n v="3"/>
    <n v="2"/>
    <s v="Life Sciences"/>
    <n v="1"/>
    <n v="1664"/>
    <n v="4"/>
    <x v="1"/>
    <n v="79"/>
    <n v="4"/>
    <n v="2"/>
    <x v="4"/>
    <n v="1"/>
    <s v="Divorced"/>
    <n v="6842"/>
    <n v="26308"/>
    <n v="6"/>
    <s v="Y"/>
    <x v="1"/>
    <n v="20"/>
    <n v="4"/>
    <n v="1"/>
    <n v="80"/>
    <n v="1"/>
    <n v="13"/>
    <n v="3"/>
    <n v="3"/>
    <n v="5"/>
    <n v="4"/>
    <n v="0"/>
    <n v="4"/>
    <x v="1"/>
    <n v="1"/>
    <x v="0"/>
    <x v="0"/>
    <s v="2-5 Years"/>
    <s v="Low"/>
    <s v="Better"/>
  </r>
  <r>
    <x v="33"/>
    <s v="No"/>
    <s v="Travel_Rarely"/>
    <n v="584"/>
    <x v="1"/>
    <n v="22"/>
    <n v="5"/>
    <s v="Medical"/>
    <n v="1"/>
    <n v="1665"/>
    <n v="2"/>
    <x v="0"/>
    <n v="91"/>
    <n v="3"/>
    <n v="4"/>
    <x v="5"/>
    <n v="3"/>
    <s v="Married"/>
    <n v="17426"/>
    <n v="18685"/>
    <n v="3"/>
    <s v="Y"/>
    <x v="1"/>
    <n v="25"/>
    <n v="4"/>
    <n v="3"/>
    <n v="80"/>
    <n v="1"/>
    <n v="36"/>
    <n v="6"/>
    <n v="3"/>
    <n v="10"/>
    <n v="8"/>
    <n v="4"/>
    <n v="7"/>
    <x v="1"/>
    <n v="1"/>
    <x v="1"/>
    <x v="2"/>
    <s v="6-10 Years"/>
    <s v="High"/>
    <s v="Better"/>
  </r>
  <r>
    <x v="23"/>
    <s v="No"/>
    <s v="Travel_Rarely"/>
    <n v="1291"/>
    <x v="1"/>
    <n v="15"/>
    <n v="2"/>
    <s v="Life Sciences"/>
    <n v="1"/>
    <n v="1666"/>
    <n v="3"/>
    <x v="1"/>
    <n v="65"/>
    <n v="2"/>
    <n v="4"/>
    <x v="7"/>
    <n v="3"/>
    <s v="Married"/>
    <n v="17603"/>
    <n v="3525"/>
    <n v="1"/>
    <s v="Y"/>
    <x v="1"/>
    <n v="24"/>
    <n v="4"/>
    <n v="1"/>
    <n v="80"/>
    <n v="1"/>
    <n v="14"/>
    <n v="3"/>
    <n v="3"/>
    <n v="14"/>
    <n v="10"/>
    <n v="6"/>
    <n v="11"/>
    <x v="1"/>
    <n v="1"/>
    <x v="0"/>
    <x v="2"/>
    <s v="10+ Years"/>
    <s v="High"/>
    <s v="Better"/>
  </r>
  <r>
    <x v="10"/>
    <s v="Yes"/>
    <s v="Travel_Frequently"/>
    <n v="880"/>
    <x v="0"/>
    <n v="12"/>
    <n v="4"/>
    <s v="Other"/>
    <n v="1"/>
    <n v="1667"/>
    <n v="4"/>
    <x v="1"/>
    <n v="36"/>
    <n v="3"/>
    <n v="2"/>
    <x v="0"/>
    <n v="4"/>
    <s v="Single"/>
    <n v="4581"/>
    <n v="10414"/>
    <n v="3"/>
    <s v="Y"/>
    <x v="0"/>
    <n v="24"/>
    <n v="4"/>
    <n v="1"/>
    <n v="80"/>
    <n v="0"/>
    <n v="13"/>
    <n v="2"/>
    <n v="4"/>
    <n v="11"/>
    <n v="9"/>
    <n v="6"/>
    <n v="7"/>
    <x v="0"/>
    <n v="0"/>
    <x v="0"/>
    <x v="0"/>
    <s v="10+ Years"/>
    <s v="Very High"/>
    <s v="Best"/>
  </r>
  <r>
    <x v="8"/>
    <s v="No"/>
    <s v="Travel_Frequently"/>
    <n v="1189"/>
    <x v="1"/>
    <n v="1"/>
    <n v="3"/>
    <s v="Life Sciences"/>
    <n v="1"/>
    <n v="1668"/>
    <n v="4"/>
    <x v="1"/>
    <n v="90"/>
    <n v="3"/>
    <n v="2"/>
    <x v="1"/>
    <n v="4"/>
    <s v="Married"/>
    <n v="4735"/>
    <n v="9867"/>
    <n v="7"/>
    <s v="Y"/>
    <x v="1"/>
    <n v="15"/>
    <n v="3"/>
    <n v="4"/>
    <n v="80"/>
    <n v="2"/>
    <n v="19"/>
    <n v="4"/>
    <n v="4"/>
    <n v="13"/>
    <n v="11"/>
    <n v="2"/>
    <n v="9"/>
    <x v="1"/>
    <n v="1"/>
    <x v="0"/>
    <x v="0"/>
    <s v="10+ Years"/>
    <s v="Very High"/>
    <s v="Best"/>
  </r>
  <r>
    <x v="11"/>
    <s v="No"/>
    <s v="Travel_Rarely"/>
    <n v="991"/>
    <x v="0"/>
    <n v="5"/>
    <n v="3"/>
    <s v="Medical"/>
    <n v="1"/>
    <n v="1669"/>
    <n v="1"/>
    <x v="1"/>
    <n v="43"/>
    <n v="2"/>
    <n v="2"/>
    <x v="0"/>
    <n v="2"/>
    <s v="Divorced"/>
    <n v="4187"/>
    <n v="3356"/>
    <n v="1"/>
    <s v="Y"/>
    <x v="0"/>
    <n v="13"/>
    <n v="3"/>
    <n v="2"/>
    <n v="80"/>
    <n v="1"/>
    <n v="10"/>
    <n v="3"/>
    <n v="2"/>
    <n v="10"/>
    <n v="0"/>
    <n v="0"/>
    <n v="9"/>
    <x v="1"/>
    <n v="1"/>
    <x v="2"/>
    <x v="0"/>
    <s v="6-10 Years"/>
    <s v="Medium"/>
    <s v="Good"/>
  </r>
  <r>
    <x v="3"/>
    <s v="No"/>
    <s v="Travel_Rarely"/>
    <n v="392"/>
    <x v="0"/>
    <n v="2"/>
    <n v="4"/>
    <s v="Medical"/>
    <n v="1"/>
    <n v="1670"/>
    <n v="4"/>
    <x v="1"/>
    <n v="93"/>
    <n v="3"/>
    <n v="2"/>
    <x v="0"/>
    <n v="4"/>
    <s v="Divorced"/>
    <n v="5505"/>
    <n v="3921"/>
    <n v="1"/>
    <s v="Y"/>
    <x v="1"/>
    <n v="14"/>
    <n v="3"/>
    <n v="3"/>
    <n v="80"/>
    <n v="2"/>
    <n v="6"/>
    <n v="5"/>
    <n v="3"/>
    <n v="6"/>
    <n v="2"/>
    <n v="0"/>
    <n v="4"/>
    <x v="1"/>
    <n v="1"/>
    <x v="2"/>
    <x v="0"/>
    <s v="6-10 Years"/>
    <s v="Very High"/>
    <s v="Better"/>
  </r>
  <r>
    <x v="5"/>
    <s v="No"/>
    <s v="Travel_Rarely"/>
    <n v="977"/>
    <x v="1"/>
    <n v="2"/>
    <n v="3"/>
    <s v="Medical"/>
    <n v="1"/>
    <n v="1671"/>
    <n v="4"/>
    <x v="1"/>
    <n v="45"/>
    <n v="3"/>
    <n v="2"/>
    <x v="1"/>
    <n v="2"/>
    <s v="Divorced"/>
    <n v="5470"/>
    <n v="25518"/>
    <n v="0"/>
    <s v="Y"/>
    <x v="1"/>
    <n v="13"/>
    <n v="3"/>
    <n v="3"/>
    <n v="80"/>
    <n v="2"/>
    <n v="10"/>
    <n v="4"/>
    <n v="2"/>
    <n v="9"/>
    <n v="5"/>
    <n v="1"/>
    <n v="6"/>
    <x v="1"/>
    <n v="1"/>
    <x v="2"/>
    <x v="0"/>
    <s v="6-10 Years"/>
    <s v="Medium"/>
    <s v="Good"/>
  </r>
  <r>
    <x v="12"/>
    <s v="No"/>
    <s v="Travel_Rarely"/>
    <n v="1112"/>
    <x v="0"/>
    <n v="5"/>
    <n v="4"/>
    <s v="Life Sciences"/>
    <n v="1"/>
    <n v="1673"/>
    <n v="1"/>
    <x v="0"/>
    <n v="67"/>
    <n v="3"/>
    <n v="2"/>
    <x v="0"/>
    <n v="4"/>
    <s v="Married"/>
    <n v="5476"/>
    <n v="22589"/>
    <n v="1"/>
    <s v="Y"/>
    <x v="1"/>
    <n v="11"/>
    <n v="3"/>
    <n v="1"/>
    <n v="80"/>
    <n v="2"/>
    <n v="10"/>
    <n v="2"/>
    <n v="3"/>
    <n v="10"/>
    <n v="0"/>
    <n v="0"/>
    <n v="2"/>
    <x v="1"/>
    <n v="1"/>
    <x v="2"/>
    <x v="0"/>
    <s v="6-10 Years"/>
    <s v="Very High"/>
    <s v="Better"/>
  </r>
  <r>
    <x v="1"/>
    <s v="No"/>
    <s v="Travel_Rarely"/>
    <n v="464"/>
    <x v="1"/>
    <n v="16"/>
    <n v="3"/>
    <s v="Medical"/>
    <n v="1"/>
    <n v="1674"/>
    <n v="4"/>
    <x v="0"/>
    <n v="74"/>
    <n v="3"/>
    <n v="1"/>
    <x v="2"/>
    <n v="1"/>
    <s v="Divorced"/>
    <n v="2587"/>
    <n v="24941"/>
    <n v="4"/>
    <s v="Y"/>
    <x v="0"/>
    <n v="16"/>
    <n v="3"/>
    <n v="2"/>
    <n v="80"/>
    <n v="1"/>
    <n v="17"/>
    <n v="2"/>
    <n v="2"/>
    <n v="2"/>
    <n v="2"/>
    <n v="2"/>
    <n v="2"/>
    <x v="1"/>
    <n v="1"/>
    <x v="1"/>
    <x v="1"/>
    <s v="2-5 Years"/>
    <s v="Low"/>
    <s v="Good"/>
  </r>
  <r>
    <x v="8"/>
    <s v="No"/>
    <s v="Travel_Frequently"/>
    <n v="148"/>
    <x v="1"/>
    <n v="2"/>
    <n v="3"/>
    <s v="Medical"/>
    <n v="1"/>
    <n v="1675"/>
    <n v="4"/>
    <x v="0"/>
    <n v="42"/>
    <n v="2"/>
    <n v="1"/>
    <x v="2"/>
    <n v="2"/>
    <s v="Single"/>
    <n v="2440"/>
    <n v="23826"/>
    <n v="1"/>
    <s v="Y"/>
    <x v="1"/>
    <n v="22"/>
    <n v="4"/>
    <n v="2"/>
    <n v="80"/>
    <n v="0"/>
    <n v="4"/>
    <n v="3"/>
    <n v="3"/>
    <n v="4"/>
    <n v="3"/>
    <n v="3"/>
    <n v="3"/>
    <x v="1"/>
    <n v="1"/>
    <x v="0"/>
    <x v="1"/>
    <s v="2-5 Years"/>
    <s v="Medium"/>
    <s v="Better"/>
  </r>
  <r>
    <x v="40"/>
    <s v="No"/>
    <s v="Travel_Rarely"/>
    <n v="1225"/>
    <x v="0"/>
    <n v="2"/>
    <n v="4"/>
    <s v="Life Sciences"/>
    <n v="1"/>
    <n v="1676"/>
    <n v="2"/>
    <x v="0"/>
    <n v="47"/>
    <n v="4"/>
    <n v="4"/>
    <x v="5"/>
    <n v="2"/>
    <s v="Divorced"/>
    <n v="15972"/>
    <n v="21086"/>
    <n v="6"/>
    <s v="Y"/>
    <x v="1"/>
    <n v="14"/>
    <n v="3"/>
    <n v="3"/>
    <n v="80"/>
    <n v="3"/>
    <n v="29"/>
    <n v="2"/>
    <n v="3"/>
    <n v="3"/>
    <n v="2"/>
    <n v="1"/>
    <n v="2"/>
    <x v="1"/>
    <n v="1"/>
    <x v="1"/>
    <x v="2"/>
    <s v="2-5 Years"/>
    <s v="Medium"/>
    <s v="Better"/>
  </r>
  <r>
    <x v="1"/>
    <s v="No"/>
    <s v="Travel_Rarely"/>
    <n v="809"/>
    <x v="1"/>
    <n v="1"/>
    <n v="3"/>
    <s v="Life Sciences"/>
    <n v="1"/>
    <n v="1677"/>
    <n v="3"/>
    <x v="1"/>
    <n v="36"/>
    <n v="3"/>
    <n v="4"/>
    <x v="5"/>
    <n v="3"/>
    <s v="Single"/>
    <n v="15379"/>
    <n v="22384"/>
    <n v="4"/>
    <s v="Y"/>
    <x v="1"/>
    <n v="14"/>
    <n v="3"/>
    <n v="1"/>
    <n v="80"/>
    <n v="0"/>
    <n v="23"/>
    <n v="2"/>
    <n v="3"/>
    <n v="8"/>
    <n v="7"/>
    <n v="0"/>
    <n v="0"/>
    <x v="1"/>
    <n v="1"/>
    <x v="1"/>
    <x v="2"/>
    <s v="6-10 Years"/>
    <s v="High"/>
    <s v="Better"/>
  </r>
  <r>
    <x v="0"/>
    <s v="No"/>
    <s v="Travel_Rarely"/>
    <n v="1206"/>
    <x v="0"/>
    <n v="23"/>
    <n v="2"/>
    <s v="Life Sciences"/>
    <n v="1"/>
    <n v="1678"/>
    <n v="4"/>
    <x v="1"/>
    <n v="80"/>
    <n v="3"/>
    <n v="3"/>
    <x v="0"/>
    <n v="3"/>
    <s v="Single"/>
    <n v="7082"/>
    <n v="11591"/>
    <n v="3"/>
    <s v="Y"/>
    <x v="0"/>
    <n v="16"/>
    <n v="3"/>
    <n v="4"/>
    <n v="80"/>
    <n v="0"/>
    <n v="21"/>
    <n v="2"/>
    <n v="3"/>
    <n v="2"/>
    <n v="0"/>
    <n v="0"/>
    <n v="2"/>
    <x v="1"/>
    <n v="1"/>
    <x v="0"/>
    <x v="2"/>
    <s v="2-5 Years"/>
    <s v="High"/>
    <s v="Better"/>
  </r>
  <r>
    <x v="35"/>
    <s v="No"/>
    <s v="Travel_Rarely"/>
    <n v="727"/>
    <x v="0"/>
    <n v="9"/>
    <n v="1"/>
    <s v="Life Sciences"/>
    <n v="1"/>
    <n v="1680"/>
    <n v="4"/>
    <x v="1"/>
    <n v="54"/>
    <n v="3"/>
    <n v="1"/>
    <x v="6"/>
    <n v="1"/>
    <s v="Single"/>
    <n v="2728"/>
    <n v="21082"/>
    <n v="1"/>
    <s v="Y"/>
    <x v="1"/>
    <n v="11"/>
    <n v="3"/>
    <n v="1"/>
    <n v="80"/>
    <n v="0"/>
    <n v="2"/>
    <n v="3"/>
    <n v="3"/>
    <n v="2"/>
    <n v="2"/>
    <n v="0"/>
    <n v="2"/>
    <x v="1"/>
    <n v="1"/>
    <x v="4"/>
    <x v="1"/>
    <s v="2-5 Years"/>
    <s v="Low"/>
    <s v="Better"/>
  </r>
  <r>
    <x v="3"/>
    <s v="No"/>
    <s v="Non-Travel"/>
    <n v="530"/>
    <x v="0"/>
    <n v="16"/>
    <n v="3"/>
    <s v="Life Sciences"/>
    <n v="1"/>
    <n v="1681"/>
    <n v="3"/>
    <x v="0"/>
    <n v="36"/>
    <n v="3"/>
    <n v="2"/>
    <x v="0"/>
    <n v="4"/>
    <s v="Divorced"/>
    <n v="5368"/>
    <n v="16130"/>
    <n v="1"/>
    <s v="Y"/>
    <x v="0"/>
    <n v="25"/>
    <n v="4"/>
    <n v="3"/>
    <n v="80"/>
    <n v="1"/>
    <n v="7"/>
    <n v="2"/>
    <n v="3"/>
    <n v="6"/>
    <n v="5"/>
    <n v="1"/>
    <n v="2"/>
    <x v="1"/>
    <n v="1"/>
    <x v="2"/>
    <x v="0"/>
    <s v="6-10 Years"/>
    <s v="Very High"/>
    <s v="Better"/>
  </r>
  <r>
    <x v="9"/>
    <s v="No"/>
    <s v="Travel_Rarely"/>
    <n v="1351"/>
    <x v="1"/>
    <n v="26"/>
    <n v="4"/>
    <s v="Life Sciences"/>
    <n v="1"/>
    <n v="1682"/>
    <n v="1"/>
    <x v="1"/>
    <n v="80"/>
    <n v="3"/>
    <n v="2"/>
    <x v="4"/>
    <n v="3"/>
    <s v="Married"/>
    <n v="5347"/>
    <n v="7419"/>
    <n v="6"/>
    <s v="Y"/>
    <x v="1"/>
    <n v="14"/>
    <n v="3"/>
    <n v="2"/>
    <n v="80"/>
    <n v="2"/>
    <n v="10"/>
    <n v="2"/>
    <n v="2"/>
    <n v="3"/>
    <n v="2"/>
    <n v="0"/>
    <n v="2"/>
    <x v="1"/>
    <n v="1"/>
    <x v="0"/>
    <x v="0"/>
    <s v="2-5 Years"/>
    <s v="High"/>
    <s v="Good"/>
  </r>
  <r>
    <x v="20"/>
    <s v="No"/>
    <s v="Travel_Rarely"/>
    <n v="528"/>
    <x v="2"/>
    <n v="1"/>
    <n v="3"/>
    <s v="Life Sciences"/>
    <n v="1"/>
    <n v="1683"/>
    <n v="3"/>
    <x v="0"/>
    <n v="44"/>
    <n v="3"/>
    <n v="1"/>
    <x v="8"/>
    <n v="4"/>
    <s v="Divorced"/>
    <n v="3195"/>
    <n v="4167"/>
    <n v="4"/>
    <s v="Y"/>
    <x v="0"/>
    <n v="18"/>
    <n v="3"/>
    <n v="1"/>
    <n v="80"/>
    <n v="3"/>
    <n v="8"/>
    <n v="2"/>
    <n v="3"/>
    <n v="2"/>
    <n v="2"/>
    <n v="2"/>
    <n v="2"/>
    <x v="1"/>
    <n v="1"/>
    <x v="0"/>
    <x v="0"/>
    <s v="2-5 Years"/>
    <s v="Very High"/>
    <s v="Better"/>
  </r>
  <r>
    <x v="30"/>
    <s v="Yes"/>
    <s v="Travel_Rarely"/>
    <n v="1320"/>
    <x v="1"/>
    <n v="8"/>
    <n v="1"/>
    <s v="Medical"/>
    <n v="1"/>
    <n v="1684"/>
    <n v="4"/>
    <x v="1"/>
    <n v="93"/>
    <n v="2"/>
    <n v="1"/>
    <x v="2"/>
    <n v="3"/>
    <s v="Single"/>
    <n v="3989"/>
    <n v="20586"/>
    <n v="1"/>
    <s v="Y"/>
    <x v="0"/>
    <n v="11"/>
    <n v="3"/>
    <n v="1"/>
    <n v="80"/>
    <n v="0"/>
    <n v="5"/>
    <n v="2"/>
    <n v="3"/>
    <n v="5"/>
    <n v="4"/>
    <n v="1"/>
    <n v="2"/>
    <x v="0"/>
    <n v="0"/>
    <x v="4"/>
    <x v="0"/>
    <s v="2-5 Years"/>
    <s v="High"/>
    <s v="Better"/>
  </r>
  <r>
    <x v="8"/>
    <s v="No"/>
    <s v="Travel_Rarely"/>
    <n v="1495"/>
    <x v="1"/>
    <n v="4"/>
    <n v="2"/>
    <s v="Medical"/>
    <n v="1"/>
    <n v="1687"/>
    <n v="4"/>
    <x v="0"/>
    <n v="87"/>
    <n v="3"/>
    <n v="1"/>
    <x v="2"/>
    <n v="3"/>
    <s v="Married"/>
    <n v="3306"/>
    <n v="26176"/>
    <n v="7"/>
    <s v="Y"/>
    <x v="1"/>
    <n v="19"/>
    <n v="3"/>
    <n v="4"/>
    <n v="80"/>
    <n v="1"/>
    <n v="7"/>
    <n v="5"/>
    <n v="2"/>
    <n v="0"/>
    <n v="0"/>
    <n v="0"/>
    <n v="0"/>
    <x v="1"/>
    <n v="1"/>
    <x v="0"/>
    <x v="0"/>
    <s v="0-1 Years"/>
    <s v="High"/>
    <s v="Good"/>
  </r>
  <r>
    <x v="16"/>
    <s v="No"/>
    <s v="Travel_Rarely"/>
    <n v="1395"/>
    <x v="1"/>
    <n v="24"/>
    <n v="4"/>
    <s v="Medical"/>
    <n v="1"/>
    <n v="1689"/>
    <n v="2"/>
    <x v="1"/>
    <n v="48"/>
    <n v="4"/>
    <n v="3"/>
    <x v="4"/>
    <n v="4"/>
    <s v="Married"/>
    <n v="7005"/>
    <n v="3458"/>
    <n v="3"/>
    <s v="Y"/>
    <x v="1"/>
    <n v="15"/>
    <n v="3"/>
    <n v="3"/>
    <n v="80"/>
    <n v="0"/>
    <n v="11"/>
    <n v="2"/>
    <n v="3"/>
    <n v="4"/>
    <n v="3"/>
    <n v="1"/>
    <n v="2"/>
    <x v="1"/>
    <n v="1"/>
    <x v="1"/>
    <x v="2"/>
    <s v="2-5 Years"/>
    <s v="Very High"/>
    <s v="Better"/>
  </r>
  <r>
    <x v="26"/>
    <s v="Yes"/>
    <s v="Travel_Frequently"/>
    <n v="708"/>
    <x v="0"/>
    <n v="7"/>
    <n v="2"/>
    <s v="Medical"/>
    <n v="1"/>
    <n v="1691"/>
    <n v="4"/>
    <x v="0"/>
    <n v="95"/>
    <n v="3"/>
    <n v="1"/>
    <x v="6"/>
    <n v="3"/>
    <s v="Married"/>
    <n v="2655"/>
    <n v="11740"/>
    <n v="2"/>
    <s v="Y"/>
    <x v="0"/>
    <n v="11"/>
    <n v="3"/>
    <n v="3"/>
    <n v="80"/>
    <n v="2"/>
    <n v="19"/>
    <n v="3"/>
    <n v="3"/>
    <n v="9"/>
    <n v="7"/>
    <n v="7"/>
    <n v="7"/>
    <x v="0"/>
    <n v="0"/>
    <x v="1"/>
    <x v="1"/>
    <s v="6-10 Years"/>
    <s v="High"/>
    <s v="Better"/>
  </r>
  <r>
    <x v="5"/>
    <s v="Yes"/>
    <s v="Travel_Rarely"/>
    <n v="1259"/>
    <x v="1"/>
    <n v="2"/>
    <n v="4"/>
    <s v="Life Sciences"/>
    <n v="1"/>
    <n v="1692"/>
    <n v="4"/>
    <x v="1"/>
    <n v="95"/>
    <n v="3"/>
    <n v="1"/>
    <x v="2"/>
    <n v="2"/>
    <s v="Single"/>
    <n v="1393"/>
    <n v="24852"/>
    <n v="1"/>
    <s v="Y"/>
    <x v="1"/>
    <n v="12"/>
    <n v="3"/>
    <n v="1"/>
    <n v="80"/>
    <n v="0"/>
    <n v="1"/>
    <n v="2"/>
    <n v="3"/>
    <n v="1"/>
    <n v="0"/>
    <n v="0"/>
    <n v="0"/>
    <x v="0"/>
    <n v="0"/>
    <x v="2"/>
    <x v="1"/>
    <s v="0-1 Years"/>
    <s v="Medium"/>
    <s v="Better"/>
  </r>
  <r>
    <x v="25"/>
    <s v="No"/>
    <s v="Non-Travel"/>
    <n v="786"/>
    <x v="1"/>
    <n v="7"/>
    <n v="3"/>
    <s v="Medical"/>
    <n v="1"/>
    <n v="1693"/>
    <n v="4"/>
    <x v="1"/>
    <n v="76"/>
    <n v="3"/>
    <n v="1"/>
    <x v="2"/>
    <n v="4"/>
    <s v="Single"/>
    <n v="2570"/>
    <n v="11925"/>
    <n v="1"/>
    <s v="Y"/>
    <x v="1"/>
    <n v="20"/>
    <n v="4"/>
    <n v="3"/>
    <n v="80"/>
    <n v="0"/>
    <n v="7"/>
    <n v="5"/>
    <n v="3"/>
    <n v="7"/>
    <n v="7"/>
    <n v="5"/>
    <n v="7"/>
    <x v="1"/>
    <n v="1"/>
    <x v="2"/>
    <x v="1"/>
    <s v="6-10 Years"/>
    <s v="Very High"/>
    <s v="Better"/>
  </r>
  <r>
    <x v="27"/>
    <s v="No"/>
    <s v="Travel_Rarely"/>
    <n v="1441"/>
    <x v="1"/>
    <n v="22"/>
    <n v="3"/>
    <s v="Technical Degree"/>
    <n v="1"/>
    <n v="1694"/>
    <n v="1"/>
    <x v="1"/>
    <n v="94"/>
    <n v="2"/>
    <n v="1"/>
    <x v="1"/>
    <n v="2"/>
    <s v="Divorced"/>
    <n v="3537"/>
    <n v="23737"/>
    <n v="5"/>
    <s v="Y"/>
    <x v="1"/>
    <n v="12"/>
    <n v="3"/>
    <n v="4"/>
    <n v="80"/>
    <n v="1"/>
    <n v="8"/>
    <n v="1"/>
    <n v="3"/>
    <n v="4"/>
    <n v="2"/>
    <n v="1"/>
    <n v="2"/>
    <x v="1"/>
    <n v="1"/>
    <x v="3"/>
    <x v="0"/>
    <s v="2-5 Years"/>
    <s v="Medium"/>
    <s v="Better"/>
  </r>
  <r>
    <x v="13"/>
    <s v="No"/>
    <s v="Travel_Rarely"/>
    <n v="1157"/>
    <x v="1"/>
    <n v="5"/>
    <n v="2"/>
    <s v="Medical"/>
    <n v="1"/>
    <n v="1696"/>
    <n v="2"/>
    <x v="1"/>
    <n v="57"/>
    <n v="2"/>
    <n v="2"/>
    <x v="2"/>
    <n v="4"/>
    <s v="Married"/>
    <n v="3986"/>
    <n v="11912"/>
    <n v="1"/>
    <s v="Y"/>
    <x v="1"/>
    <n v="14"/>
    <n v="3"/>
    <n v="3"/>
    <n v="80"/>
    <n v="1"/>
    <n v="15"/>
    <n v="3"/>
    <n v="4"/>
    <n v="15"/>
    <n v="10"/>
    <n v="4"/>
    <n v="13"/>
    <x v="1"/>
    <n v="1"/>
    <x v="2"/>
    <x v="0"/>
    <s v="10+ Years"/>
    <s v="Very High"/>
    <s v="Best"/>
  </r>
  <r>
    <x v="42"/>
    <s v="No"/>
    <s v="Travel_Rarely"/>
    <n v="370"/>
    <x v="1"/>
    <n v="1"/>
    <n v="4"/>
    <s v="Medical"/>
    <n v="1"/>
    <n v="1697"/>
    <n v="3"/>
    <x v="1"/>
    <n v="92"/>
    <n v="1"/>
    <n v="3"/>
    <x v="4"/>
    <n v="4"/>
    <s v="Divorced"/>
    <n v="10883"/>
    <n v="20467"/>
    <n v="3"/>
    <s v="Y"/>
    <x v="1"/>
    <n v="20"/>
    <n v="4"/>
    <n v="3"/>
    <n v="80"/>
    <n v="1"/>
    <n v="19"/>
    <n v="2"/>
    <n v="4"/>
    <n v="1"/>
    <n v="0"/>
    <n v="0"/>
    <n v="0"/>
    <x v="1"/>
    <n v="1"/>
    <x v="3"/>
    <x v="2"/>
    <s v="0-1 Years"/>
    <s v="Very High"/>
    <s v="Best"/>
  </r>
  <r>
    <x v="3"/>
    <s v="No"/>
    <s v="Travel_Rarely"/>
    <n v="267"/>
    <x v="1"/>
    <n v="21"/>
    <n v="3"/>
    <s v="Medical"/>
    <n v="1"/>
    <n v="1698"/>
    <n v="2"/>
    <x v="1"/>
    <n v="79"/>
    <n v="4"/>
    <n v="1"/>
    <x v="2"/>
    <n v="2"/>
    <s v="Married"/>
    <n v="2028"/>
    <n v="13637"/>
    <n v="1"/>
    <s v="Y"/>
    <x v="1"/>
    <n v="18"/>
    <n v="3"/>
    <n v="4"/>
    <n v="80"/>
    <n v="3"/>
    <n v="14"/>
    <n v="6"/>
    <n v="3"/>
    <n v="14"/>
    <n v="11"/>
    <n v="2"/>
    <n v="13"/>
    <x v="1"/>
    <n v="1"/>
    <x v="2"/>
    <x v="1"/>
    <s v="10+ Years"/>
    <s v="Medium"/>
    <s v="Better"/>
  </r>
  <r>
    <x v="2"/>
    <s v="No"/>
    <s v="Travel_Frequently"/>
    <n v="1278"/>
    <x v="0"/>
    <n v="1"/>
    <n v="4"/>
    <s v="Medical"/>
    <n v="1"/>
    <n v="1700"/>
    <n v="3"/>
    <x v="1"/>
    <n v="31"/>
    <n v="1"/>
    <n v="2"/>
    <x v="0"/>
    <n v="4"/>
    <s v="Divorced"/>
    <n v="9525"/>
    <n v="7677"/>
    <n v="1"/>
    <s v="Y"/>
    <x v="1"/>
    <n v="14"/>
    <n v="3"/>
    <n v="3"/>
    <n v="80"/>
    <n v="2"/>
    <n v="6"/>
    <n v="2"/>
    <n v="2"/>
    <n v="6"/>
    <n v="3"/>
    <n v="1"/>
    <n v="3"/>
    <x v="1"/>
    <n v="1"/>
    <x v="0"/>
    <x v="2"/>
    <s v="6-10 Years"/>
    <s v="Very High"/>
    <s v="Good"/>
  </r>
  <r>
    <x v="13"/>
    <s v="No"/>
    <s v="Travel_Rarely"/>
    <n v="678"/>
    <x v="1"/>
    <n v="19"/>
    <n v="3"/>
    <s v="Life Sciences"/>
    <n v="1"/>
    <n v="1701"/>
    <n v="2"/>
    <x v="0"/>
    <n v="35"/>
    <n v="2"/>
    <n v="1"/>
    <x v="1"/>
    <n v="4"/>
    <s v="Married"/>
    <n v="2929"/>
    <n v="20338"/>
    <n v="1"/>
    <s v="Y"/>
    <x v="1"/>
    <n v="12"/>
    <n v="3"/>
    <n v="2"/>
    <n v="80"/>
    <n v="0"/>
    <n v="10"/>
    <n v="3"/>
    <n v="3"/>
    <n v="10"/>
    <n v="9"/>
    <n v="8"/>
    <n v="7"/>
    <x v="1"/>
    <n v="1"/>
    <x v="2"/>
    <x v="1"/>
    <s v="6-10 Years"/>
    <s v="Very High"/>
    <s v="Better"/>
  </r>
  <r>
    <x v="30"/>
    <s v="Yes"/>
    <s v="Travel_Rarely"/>
    <n v="427"/>
    <x v="0"/>
    <n v="7"/>
    <n v="3"/>
    <s v="Life Sciences"/>
    <n v="1"/>
    <n v="1702"/>
    <n v="3"/>
    <x v="1"/>
    <n v="99"/>
    <n v="3"/>
    <n v="1"/>
    <x v="6"/>
    <n v="4"/>
    <s v="Divorced"/>
    <n v="2275"/>
    <n v="25103"/>
    <n v="1"/>
    <s v="Y"/>
    <x v="0"/>
    <n v="21"/>
    <n v="4"/>
    <n v="2"/>
    <n v="80"/>
    <n v="1"/>
    <n v="3"/>
    <n v="2"/>
    <n v="3"/>
    <n v="3"/>
    <n v="2"/>
    <n v="0"/>
    <n v="2"/>
    <x v="0"/>
    <n v="0"/>
    <x v="4"/>
    <x v="1"/>
    <s v="2-5 Years"/>
    <s v="Very High"/>
    <s v="Better"/>
  </r>
  <r>
    <x v="20"/>
    <s v="No"/>
    <s v="Travel_Rarely"/>
    <n v="921"/>
    <x v="1"/>
    <n v="2"/>
    <n v="3"/>
    <s v="Life Sciences"/>
    <n v="1"/>
    <n v="1703"/>
    <n v="3"/>
    <x v="0"/>
    <n v="96"/>
    <n v="4"/>
    <n v="3"/>
    <x v="4"/>
    <n v="4"/>
    <s v="Married"/>
    <n v="7879"/>
    <n v="14810"/>
    <n v="1"/>
    <s v="Y"/>
    <x v="0"/>
    <n v="19"/>
    <n v="3"/>
    <n v="2"/>
    <n v="80"/>
    <n v="1"/>
    <n v="9"/>
    <n v="2"/>
    <n v="3"/>
    <n v="8"/>
    <n v="7"/>
    <n v="6"/>
    <n v="7"/>
    <x v="1"/>
    <n v="1"/>
    <x v="0"/>
    <x v="2"/>
    <s v="6-10 Years"/>
    <s v="Very High"/>
    <s v="Better"/>
  </r>
  <r>
    <x v="10"/>
    <s v="No"/>
    <s v="Travel_Frequently"/>
    <n v="146"/>
    <x v="1"/>
    <n v="2"/>
    <n v="4"/>
    <s v="Medical"/>
    <n v="1"/>
    <n v="1704"/>
    <n v="1"/>
    <x v="1"/>
    <n v="79"/>
    <n v="2"/>
    <n v="1"/>
    <x v="1"/>
    <n v="4"/>
    <s v="Single"/>
    <n v="4930"/>
    <n v="13970"/>
    <n v="0"/>
    <s v="Y"/>
    <x v="0"/>
    <n v="14"/>
    <n v="3"/>
    <n v="3"/>
    <n v="80"/>
    <n v="0"/>
    <n v="6"/>
    <n v="2"/>
    <n v="4"/>
    <n v="5"/>
    <n v="4"/>
    <n v="1"/>
    <n v="4"/>
    <x v="1"/>
    <n v="1"/>
    <x v="0"/>
    <x v="0"/>
    <s v="2-5 Years"/>
    <s v="Very High"/>
    <s v="Best"/>
  </r>
  <r>
    <x v="23"/>
    <s v="No"/>
    <s v="Travel_Rarely"/>
    <n v="1179"/>
    <x v="0"/>
    <n v="2"/>
    <n v="3"/>
    <s v="Medical"/>
    <n v="1"/>
    <n v="1706"/>
    <n v="4"/>
    <x v="1"/>
    <n v="73"/>
    <n v="3"/>
    <n v="2"/>
    <x v="0"/>
    <n v="4"/>
    <s v="Married"/>
    <n v="7847"/>
    <n v="6069"/>
    <n v="1"/>
    <s v="Y"/>
    <x v="0"/>
    <n v="17"/>
    <n v="3"/>
    <n v="1"/>
    <n v="80"/>
    <n v="1"/>
    <n v="10"/>
    <n v="3"/>
    <n v="3"/>
    <n v="10"/>
    <n v="9"/>
    <n v="8"/>
    <n v="8"/>
    <x v="1"/>
    <n v="1"/>
    <x v="0"/>
    <x v="2"/>
    <s v="6-10 Years"/>
    <s v="Very High"/>
    <s v="Better"/>
  </r>
  <r>
    <x v="17"/>
    <s v="No"/>
    <s v="Travel_Rarely"/>
    <n v="581"/>
    <x v="1"/>
    <n v="9"/>
    <n v="3"/>
    <s v="Medical"/>
    <n v="1"/>
    <n v="1707"/>
    <n v="3"/>
    <x v="1"/>
    <n v="62"/>
    <n v="4"/>
    <n v="1"/>
    <x v="1"/>
    <n v="3"/>
    <s v="Married"/>
    <n v="4401"/>
    <n v="17616"/>
    <n v="1"/>
    <s v="Y"/>
    <x v="1"/>
    <n v="16"/>
    <n v="3"/>
    <n v="4"/>
    <n v="80"/>
    <n v="1"/>
    <n v="5"/>
    <n v="1"/>
    <n v="3"/>
    <n v="5"/>
    <n v="3"/>
    <n v="0"/>
    <n v="4"/>
    <x v="1"/>
    <n v="1"/>
    <x v="4"/>
    <x v="0"/>
    <s v="2-5 Years"/>
    <s v="High"/>
    <s v="Better"/>
  </r>
  <r>
    <x v="0"/>
    <s v="No"/>
    <s v="Travel_Rarely"/>
    <n v="918"/>
    <x v="0"/>
    <n v="6"/>
    <n v="3"/>
    <s v="Marketing"/>
    <n v="1"/>
    <n v="1708"/>
    <n v="4"/>
    <x v="1"/>
    <n v="35"/>
    <n v="3"/>
    <n v="3"/>
    <x v="0"/>
    <n v="3"/>
    <s v="Single"/>
    <n v="9241"/>
    <n v="15869"/>
    <n v="1"/>
    <s v="Y"/>
    <x v="1"/>
    <n v="12"/>
    <n v="3"/>
    <n v="2"/>
    <n v="80"/>
    <n v="0"/>
    <n v="10"/>
    <n v="3"/>
    <n v="3"/>
    <n v="10"/>
    <n v="8"/>
    <n v="8"/>
    <n v="7"/>
    <x v="1"/>
    <n v="1"/>
    <x v="0"/>
    <x v="2"/>
    <s v="6-10 Years"/>
    <s v="High"/>
    <s v="Better"/>
  </r>
  <r>
    <x v="11"/>
    <s v="No"/>
    <s v="Travel_Rarely"/>
    <n v="1082"/>
    <x v="1"/>
    <n v="9"/>
    <n v="4"/>
    <s v="Medical"/>
    <n v="1"/>
    <n v="1709"/>
    <n v="4"/>
    <x v="0"/>
    <n v="43"/>
    <n v="3"/>
    <n v="1"/>
    <x v="2"/>
    <n v="3"/>
    <s v="Married"/>
    <n v="2974"/>
    <n v="25412"/>
    <n v="9"/>
    <s v="Y"/>
    <x v="1"/>
    <n v="17"/>
    <n v="3"/>
    <n v="3"/>
    <n v="80"/>
    <n v="1"/>
    <n v="9"/>
    <n v="2"/>
    <n v="3"/>
    <n v="5"/>
    <n v="3"/>
    <n v="1"/>
    <n v="2"/>
    <x v="1"/>
    <n v="1"/>
    <x v="2"/>
    <x v="1"/>
    <s v="2-5 Years"/>
    <s v="High"/>
    <s v="Better"/>
  </r>
  <r>
    <x v="9"/>
    <s v="No"/>
    <s v="Travel_Rarely"/>
    <n v="530"/>
    <x v="0"/>
    <n v="2"/>
    <n v="4"/>
    <s v="Life Sciences"/>
    <n v="1"/>
    <n v="1710"/>
    <n v="3"/>
    <x v="0"/>
    <n v="51"/>
    <n v="3"/>
    <n v="2"/>
    <x v="6"/>
    <n v="4"/>
    <s v="Single"/>
    <n v="4502"/>
    <n v="7439"/>
    <n v="3"/>
    <s v="Y"/>
    <x v="1"/>
    <n v="15"/>
    <n v="3"/>
    <n v="3"/>
    <n v="80"/>
    <n v="0"/>
    <n v="17"/>
    <n v="2"/>
    <n v="2"/>
    <n v="13"/>
    <n v="7"/>
    <n v="6"/>
    <n v="7"/>
    <x v="1"/>
    <n v="1"/>
    <x v="0"/>
    <x v="0"/>
    <s v="10+ Years"/>
    <s v="Very High"/>
    <s v="Good"/>
  </r>
  <r>
    <x v="28"/>
    <s v="No"/>
    <s v="Non-Travel"/>
    <n v="1238"/>
    <x v="1"/>
    <n v="1"/>
    <n v="1"/>
    <s v="Life Sciences"/>
    <n v="1"/>
    <n v="1712"/>
    <n v="3"/>
    <x v="1"/>
    <n v="74"/>
    <n v="2"/>
    <n v="3"/>
    <x v="4"/>
    <n v="3"/>
    <s v="Married"/>
    <n v="10748"/>
    <n v="3395"/>
    <n v="3"/>
    <s v="Y"/>
    <x v="1"/>
    <n v="23"/>
    <n v="4"/>
    <n v="4"/>
    <n v="80"/>
    <n v="1"/>
    <n v="25"/>
    <n v="3"/>
    <n v="2"/>
    <n v="23"/>
    <n v="15"/>
    <n v="14"/>
    <n v="4"/>
    <x v="1"/>
    <n v="1"/>
    <x v="1"/>
    <x v="2"/>
    <s v="10+ Years"/>
    <s v="High"/>
    <s v="Good"/>
  </r>
  <r>
    <x v="17"/>
    <s v="Yes"/>
    <s v="Travel_Rarely"/>
    <n v="240"/>
    <x v="2"/>
    <n v="22"/>
    <n v="1"/>
    <s v="Human Resources"/>
    <n v="1"/>
    <n v="1714"/>
    <n v="4"/>
    <x v="1"/>
    <n v="58"/>
    <n v="1"/>
    <n v="1"/>
    <x v="8"/>
    <n v="3"/>
    <s v="Married"/>
    <n v="1555"/>
    <n v="11585"/>
    <n v="1"/>
    <s v="Y"/>
    <x v="1"/>
    <n v="11"/>
    <n v="3"/>
    <n v="3"/>
    <n v="80"/>
    <n v="1"/>
    <n v="1"/>
    <n v="2"/>
    <n v="3"/>
    <n v="1"/>
    <n v="0"/>
    <n v="0"/>
    <n v="0"/>
    <x v="0"/>
    <n v="0"/>
    <x v="4"/>
    <x v="1"/>
    <s v="0-1 Years"/>
    <s v="High"/>
    <s v="Better"/>
  </r>
  <r>
    <x v="40"/>
    <s v="Yes"/>
    <s v="Travel_Frequently"/>
    <n v="1093"/>
    <x v="0"/>
    <n v="9"/>
    <n v="3"/>
    <s v="Life Sciences"/>
    <n v="1"/>
    <n v="1716"/>
    <n v="3"/>
    <x v="1"/>
    <n v="82"/>
    <n v="1"/>
    <n v="4"/>
    <x v="0"/>
    <n v="3"/>
    <s v="Married"/>
    <n v="12936"/>
    <n v="24164"/>
    <n v="7"/>
    <s v="Y"/>
    <x v="1"/>
    <n v="11"/>
    <n v="3"/>
    <n v="3"/>
    <n v="80"/>
    <n v="0"/>
    <n v="25"/>
    <n v="3"/>
    <n v="1"/>
    <n v="23"/>
    <n v="5"/>
    <n v="14"/>
    <n v="10"/>
    <x v="0"/>
    <n v="0"/>
    <x v="1"/>
    <x v="2"/>
    <s v="10+ Years"/>
    <s v="High"/>
    <s v="Bad"/>
  </r>
  <r>
    <x v="25"/>
    <s v="No"/>
    <s v="Travel_Rarely"/>
    <n v="390"/>
    <x v="1"/>
    <n v="17"/>
    <n v="4"/>
    <s v="Medical"/>
    <n v="1"/>
    <n v="1718"/>
    <n v="4"/>
    <x v="1"/>
    <n v="62"/>
    <n v="1"/>
    <n v="1"/>
    <x v="2"/>
    <n v="3"/>
    <s v="Married"/>
    <n v="2305"/>
    <n v="6217"/>
    <n v="1"/>
    <s v="Y"/>
    <x v="1"/>
    <n v="15"/>
    <n v="3"/>
    <n v="3"/>
    <n v="80"/>
    <n v="3"/>
    <n v="3"/>
    <n v="3"/>
    <n v="4"/>
    <n v="3"/>
    <n v="2"/>
    <n v="0"/>
    <n v="2"/>
    <x v="1"/>
    <n v="1"/>
    <x v="2"/>
    <x v="1"/>
    <s v="2-5 Years"/>
    <s v="High"/>
    <s v="Best"/>
  </r>
  <r>
    <x v="28"/>
    <s v="No"/>
    <s v="Travel_Rarely"/>
    <n v="1005"/>
    <x v="1"/>
    <n v="28"/>
    <n v="2"/>
    <s v="Technical Degree"/>
    <n v="1"/>
    <n v="1719"/>
    <n v="4"/>
    <x v="0"/>
    <n v="48"/>
    <n v="2"/>
    <n v="4"/>
    <x v="7"/>
    <n v="2"/>
    <s v="Single"/>
    <n v="16704"/>
    <n v="17119"/>
    <n v="1"/>
    <s v="Y"/>
    <x v="1"/>
    <n v="11"/>
    <n v="3"/>
    <n v="3"/>
    <n v="80"/>
    <n v="0"/>
    <n v="21"/>
    <n v="2"/>
    <n v="3"/>
    <n v="21"/>
    <n v="6"/>
    <n v="8"/>
    <n v="6"/>
    <x v="1"/>
    <n v="1"/>
    <x v="1"/>
    <x v="2"/>
    <s v="10+ Years"/>
    <s v="Medium"/>
    <s v="Better"/>
  </r>
  <r>
    <x v="5"/>
    <s v="No"/>
    <s v="Travel_Frequently"/>
    <n v="585"/>
    <x v="1"/>
    <n v="10"/>
    <n v="3"/>
    <s v="Life Sciences"/>
    <n v="1"/>
    <n v="1720"/>
    <n v="1"/>
    <x v="1"/>
    <n v="56"/>
    <n v="3"/>
    <n v="1"/>
    <x v="1"/>
    <n v="3"/>
    <s v="Married"/>
    <n v="3433"/>
    <n v="17360"/>
    <n v="6"/>
    <s v="Y"/>
    <x v="1"/>
    <n v="13"/>
    <n v="3"/>
    <n v="1"/>
    <n v="80"/>
    <n v="1"/>
    <n v="10"/>
    <n v="3"/>
    <n v="2"/>
    <n v="5"/>
    <n v="2"/>
    <n v="1"/>
    <n v="3"/>
    <x v="1"/>
    <n v="1"/>
    <x v="2"/>
    <x v="0"/>
    <s v="2-5 Years"/>
    <s v="High"/>
    <s v="Good"/>
  </r>
  <r>
    <x v="12"/>
    <s v="No"/>
    <s v="Travel_Rarely"/>
    <n v="741"/>
    <x v="1"/>
    <n v="2"/>
    <n v="4"/>
    <s v="Life Sciences"/>
    <n v="1"/>
    <n v="1721"/>
    <n v="2"/>
    <x v="1"/>
    <n v="69"/>
    <n v="3"/>
    <n v="1"/>
    <x v="2"/>
    <n v="3"/>
    <s v="Married"/>
    <n v="3477"/>
    <n v="18103"/>
    <n v="1"/>
    <s v="Y"/>
    <x v="1"/>
    <n v="14"/>
    <n v="3"/>
    <n v="4"/>
    <n v="80"/>
    <n v="1"/>
    <n v="6"/>
    <n v="2"/>
    <n v="4"/>
    <n v="5"/>
    <n v="2"/>
    <n v="0"/>
    <n v="3"/>
    <x v="1"/>
    <n v="1"/>
    <x v="2"/>
    <x v="0"/>
    <s v="2-5 Years"/>
    <s v="High"/>
    <s v="Best"/>
  </r>
  <r>
    <x v="0"/>
    <s v="No"/>
    <s v="Non-Travel"/>
    <n v="552"/>
    <x v="2"/>
    <n v="4"/>
    <n v="3"/>
    <s v="Human Resources"/>
    <n v="1"/>
    <n v="1722"/>
    <n v="3"/>
    <x v="1"/>
    <n v="60"/>
    <n v="1"/>
    <n v="2"/>
    <x v="8"/>
    <n v="2"/>
    <s v="Married"/>
    <n v="6430"/>
    <n v="20794"/>
    <n v="6"/>
    <s v="Y"/>
    <x v="1"/>
    <n v="19"/>
    <n v="3"/>
    <n v="2"/>
    <n v="80"/>
    <n v="1"/>
    <n v="10"/>
    <n v="4"/>
    <n v="3"/>
    <n v="3"/>
    <n v="2"/>
    <n v="1"/>
    <n v="2"/>
    <x v="1"/>
    <n v="1"/>
    <x v="0"/>
    <x v="0"/>
    <s v="2-5 Years"/>
    <s v="Medium"/>
    <s v="Better"/>
  </r>
  <r>
    <x v="32"/>
    <s v="No"/>
    <s v="Travel_Rarely"/>
    <n v="369"/>
    <x v="1"/>
    <n v="8"/>
    <n v="2"/>
    <s v="Life Sciences"/>
    <n v="1"/>
    <n v="1724"/>
    <n v="2"/>
    <x v="0"/>
    <n v="92"/>
    <n v="3"/>
    <n v="2"/>
    <x v="3"/>
    <n v="1"/>
    <s v="Married"/>
    <n v="6516"/>
    <n v="5041"/>
    <n v="2"/>
    <s v="Y"/>
    <x v="0"/>
    <n v="16"/>
    <n v="3"/>
    <n v="2"/>
    <n v="80"/>
    <n v="1"/>
    <n v="18"/>
    <n v="3"/>
    <n v="3"/>
    <n v="1"/>
    <n v="0"/>
    <n v="0"/>
    <n v="0"/>
    <x v="1"/>
    <n v="1"/>
    <x v="0"/>
    <x v="0"/>
    <s v="0-1 Years"/>
    <s v="Low"/>
    <s v="Better"/>
  </r>
  <r>
    <x v="17"/>
    <s v="No"/>
    <s v="Travel_Rarely"/>
    <n v="506"/>
    <x v="1"/>
    <n v="29"/>
    <n v="1"/>
    <s v="Medical"/>
    <n v="1"/>
    <n v="1725"/>
    <n v="2"/>
    <x v="1"/>
    <n v="91"/>
    <n v="3"/>
    <n v="1"/>
    <x v="2"/>
    <n v="1"/>
    <s v="Divorced"/>
    <n v="3907"/>
    <n v="3622"/>
    <n v="1"/>
    <s v="Y"/>
    <x v="1"/>
    <n v="13"/>
    <n v="3"/>
    <n v="2"/>
    <n v="80"/>
    <n v="3"/>
    <n v="6"/>
    <n v="2"/>
    <n v="4"/>
    <n v="6"/>
    <n v="2"/>
    <n v="1"/>
    <n v="2"/>
    <x v="1"/>
    <n v="1"/>
    <x v="4"/>
    <x v="0"/>
    <s v="6-10 Years"/>
    <s v="Low"/>
    <s v="Best"/>
  </r>
  <r>
    <x v="21"/>
    <s v="No"/>
    <s v="Travel_Rarely"/>
    <n v="717"/>
    <x v="1"/>
    <n v="13"/>
    <n v="4"/>
    <s v="Life Sciences"/>
    <n v="1"/>
    <n v="1727"/>
    <n v="3"/>
    <x v="1"/>
    <n v="34"/>
    <n v="3"/>
    <n v="2"/>
    <x v="4"/>
    <n v="2"/>
    <s v="Single"/>
    <n v="5562"/>
    <n v="9697"/>
    <n v="6"/>
    <s v="Y"/>
    <x v="1"/>
    <n v="14"/>
    <n v="3"/>
    <n v="4"/>
    <n v="80"/>
    <n v="0"/>
    <n v="19"/>
    <n v="3"/>
    <n v="3"/>
    <n v="10"/>
    <n v="7"/>
    <n v="0"/>
    <n v="9"/>
    <x v="1"/>
    <n v="1"/>
    <x v="1"/>
    <x v="0"/>
    <s v="6-10 Years"/>
    <s v="Medium"/>
    <s v="Better"/>
  </r>
  <r>
    <x v="10"/>
    <s v="No"/>
    <s v="Travel_Rarely"/>
    <n v="1370"/>
    <x v="1"/>
    <n v="27"/>
    <n v="4"/>
    <s v="Life Sciences"/>
    <n v="1"/>
    <n v="1728"/>
    <n v="4"/>
    <x v="1"/>
    <n v="49"/>
    <n v="3"/>
    <n v="2"/>
    <x v="3"/>
    <n v="3"/>
    <s v="Married"/>
    <n v="6883"/>
    <n v="5151"/>
    <n v="2"/>
    <s v="Y"/>
    <x v="1"/>
    <n v="16"/>
    <n v="3"/>
    <n v="2"/>
    <n v="80"/>
    <n v="1"/>
    <n v="17"/>
    <n v="3"/>
    <n v="3"/>
    <n v="7"/>
    <n v="7"/>
    <n v="0"/>
    <n v="7"/>
    <x v="1"/>
    <n v="1"/>
    <x v="0"/>
    <x v="0"/>
    <s v="6-10 Years"/>
    <s v="High"/>
    <s v="Better"/>
  </r>
  <r>
    <x v="7"/>
    <s v="No"/>
    <s v="Travel_Rarely"/>
    <n v="793"/>
    <x v="1"/>
    <n v="16"/>
    <n v="1"/>
    <s v="Life Sciences"/>
    <n v="1"/>
    <n v="1729"/>
    <n v="2"/>
    <x v="1"/>
    <n v="33"/>
    <n v="3"/>
    <n v="1"/>
    <x v="1"/>
    <n v="4"/>
    <s v="Married"/>
    <n v="2862"/>
    <n v="3811"/>
    <n v="1"/>
    <s v="Y"/>
    <x v="1"/>
    <n v="12"/>
    <n v="3"/>
    <n v="2"/>
    <n v="80"/>
    <n v="1"/>
    <n v="10"/>
    <n v="2"/>
    <n v="2"/>
    <n v="10"/>
    <n v="0"/>
    <n v="0"/>
    <n v="8"/>
    <x v="1"/>
    <n v="1"/>
    <x v="2"/>
    <x v="1"/>
    <s v="6-10 Years"/>
    <s v="Very High"/>
    <s v="Good"/>
  </r>
  <r>
    <x v="40"/>
    <s v="No"/>
    <s v="Non-Travel"/>
    <n v="543"/>
    <x v="0"/>
    <n v="2"/>
    <n v="4"/>
    <s v="Marketing"/>
    <n v="1"/>
    <n v="1731"/>
    <n v="3"/>
    <x v="1"/>
    <n v="87"/>
    <n v="3"/>
    <n v="2"/>
    <x v="0"/>
    <n v="2"/>
    <s v="Married"/>
    <n v="4978"/>
    <n v="3536"/>
    <n v="7"/>
    <s v="Y"/>
    <x v="1"/>
    <n v="11"/>
    <n v="3"/>
    <n v="4"/>
    <n v="80"/>
    <n v="1"/>
    <n v="4"/>
    <n v="3"/>
    <n v="1"/>
    <n v="1"/>
    <n v="0"/>
    <n v="0"/>
    <n v="0"/>
    <x v="1"/>
    <n v="1"/>
    <x v="1"/>
    <x v="0"/>
    <s v="0-1 Years"/>
    <s v="Medium"/>
    <s v="Bad"/>
  </r>
  <r>
    <x v="21"/>
    <s v="No"/>
    <s v="Travel_Rarely"/>
    <n v="1277"/>
    <x v="0"/>
    <n v="2"/>
    <n v="3"/>
    <s v="Life Sciences"/>
    <n v="1"/>
    <n v="1732"/>
    <n v="3"/>
    <x v="1"/>
    <n v="74"/>
    <n v="3"/>
    <n v="3"/>
    <x v="0"/>
    <n v="4"/>
    <s v="Divorced"/>
    <n v="10368"/>
    <n v="5596"/>
    <n v="4"/>
    <s v="Y"/>
    <x v="0"/>
    <n v="12"/>
    <n v="3"/>
    <n v="2"/>
    <n v="80"/>
    <n v="1"/>
    <n v="13"/>
    <n v="5"/>
    <n v="2"/>
    <n v="10"/>
    <n v="6"/>
    <n v="0"/>
    <n v="3"/>
    <x v="1"/>
    <n v="1"/>
    <x v="1"/>
    <x v="2"/>
    <s v="6-10 Years"/>
    <s v="Very High"/>
    <s v="Good"/>
  </r>
  <r>
    <x v="9"/>
    <s v="Yes"/>
    <s v="Travel_Rarely"/>
    <n v="1456"/>
    <x v="0"/>
    <n v="13"/>
    <n v="5"/>
    <s v="Marketing"/>
    <n v="1"/>
    <n v="1733"/>
    <n v="2"/>
    <x v="1"/>
    <n v="96"/>
    <n v="2"/>
    <n v="2"/>
    <x v="0"/>
    <n v="1"/>
    <s v="Divorced"/>
    <n v="6134"/>
    <n v="8658"/>
    <n v="5"/>
    <s v="Y"/>
    <x v="0"/>
    <n v="13"/>
    <n v="3"/>
    <n v="2"/>
    <n v="80"/>
    <n v="3"/>
    <n v="16"/>
    <n v="3"/>
    <n v="3"/>
    <n v="2"/>
    <n v="2"/>
    <n v="2"/>
    <n v="2"/>
    <x v="0"/>
    <n v="0"/>
    <x v="0"/>
    <x v="0"/>
    <s v="2-5 Years"/>
    <s v="Low"/>
    <s v="Better"/>
  </r>
  <r>
    <x v="5"/>
    <s v="Yes"/>
    <s v="Travel_Rarely"/>
    <n v="964"/>
    <x v="0"/>
    <n v="1"/>
    <n v="2"/>
    <s v="Life Sciences"/>
    <n v="1"/>
    <n v="1734"/>
    <n v="1"/>
    <x v="1"/>
    <n v="34"/>
    <n v="1"/>
    <n v="2"/>
    <x v="0"/>
    <n v="2"/>
    <s v="Single"/>
    <n v="6735"/>
    <n v="12147"/>
    <n v="6"/>
    <s v="Y"/>
    <x v="1"/>
    <n v="15"/>
    <n v="3"/>
    <n v="2"/>
    <n v="80"/>
    <n v="0"/>
    <n v="10"/>
    <n v="2"/>
    <n v="3"/>
    <n v="0"/>
    <n v="0"/>
    <n v="0"/>
    <n v="0"/>
    <x v="0"/>
    <n v="0"/>
    <x v="2"/>
    <x v="0"/>
    <s v="0-1 Years"/>
    <s v="Medium"/>
    <s v="Better"/>
  </r>
  <r>
    <x v="30"/>
    <s v="No"/>
    <s v="Travel_Rarely"/>
    <n v="160"/>
    <x v="1"/>
    <n v="4"/>
    <n v="1"/>
    <s v="Medical"/>
    <n v="1"/>
    <n v="1735"/>
    <n v="3"/>
    <x v="0"/>
    <n v="51"/>
    <n v="3"/>
    <n v="1"/>
    <x v="2"/>
    <n v="2"/>
    <s v="Single"/>
    <n v="3295"/>
    <n v="12862"/>
    <n v="1"/>
    <s v="Y"/>
    <x v="1"/>
    <n v="13"/>
    <n v="3"/>
    <n v="3"/>
    <n v="80"/>
    <n v="0"/>
    <n v="3"/>
    <n v="3"/>
    <n v="1"/>
    <n v="3"/>
    <n v="2"/>
    <n v="1"/>
    <n v="2"/>
    <x v="1"/>
    <n v="1"/>
    <x v="4"/>
    <x v="0"/>
    <s v="2-5 Years"/>
    <s v="Medium"/>
    <s v="Bad"/>
  </r>
  <r>
    <x v="12"/>
    <s v="No"/>
    <s v="Travel_Frequently"/>
    <n v="163"/>
    <x v="1"/>
    <n v="24"/>
    <n v="1"/>
    <s v="Technical Degree"/>
    <n v="1"/>
    <n v="1736"/>
    <n v="4"/>
    <x v="0"/>
    <n v="30"/>
    <n v="3"/>
    <n v="2"/>
    <x v="3"/>
    <n v="4"/>
    <s v="Single"/>
    <n v="5238"/>
    <n v="6670"/>
    <n v="2"/>
    <s v="Y"/>
    <x v="1"/>
    <n v="20"/>
    <n v="4"/>
    <n v="4"/>
    <n v="80"/>
    <n v="0"/>
    <n v="9"/>
    <n v="3"/>
    <n v="2"/>
    <n v="5"/>
    <n v="4"/>
    <n v="1"/>
    <n v="4"/>
    <x v="1"/>
    <n v="1"/>
    <x v="2"/>
    <x v="0"/>
    <s v="2-5 Years"/>
    <s v="Very High"/>
    <s v="Good"/>
  </r>
  <r>
    <x v="22"/>
    <s v="No"/>
    <s v="Non-Travel"/>
    <n v="792"/>
    <x v="1"/>
    <n v="1"/>
    <n v="3"/>
    <s v="Life Sciences"/>
    <n v="1"/>
    <n v="1737"/>
    <n v="4"/>
    <x v="1"/>
    <n v="77"/>
    <n v="3"/>
    <n v="2"/>
    <x v="2"/>
    <n v="4"/>
    <s v="Married"/>
    <n v="6472"/>
    <n v="8989"/>
    <n v="1"/>
    <s v="Y"/>
    <x v="0"/>
    <n v="15"/>
    <n v="3"/>
    <n v="4"/>
    <n v="80"/>
    <n v="1"/>
    <n v="9"/>
    <n v="2"/>
    <n v="3"/>
    <n v="9"/>
    <n v="8"/>
    <n v="5"/>
    <n v="8"/>
    <x v="1"/>
    <n v="1"/>
    <x v="0"/>
    <x v="0"/>
    <s v="6-10 Years"/>
    <s v="Very High"/>
    <s v="Better"/>
  </r>
  <r>
    <x v="5"/>
    <s v="No"/>
    <s v="Travel_Rarely"/>
    <n v="371"/>
    <x v="0"/>
    <n v="19"/>
    <n v="3"/>
    <s v="Life Sciences"/>
    <n v="1"/>
    <n v="1739"/>
    <n v="4"/>
    <x v="1"/>
    <n v="80"/>
    <n v="1"/>
    <n v="3"/>
    <x v="0"/>
    <n v="3"/>
    <s v="Married"/>
    <n v="9610"/>
    <n v="3840"/>
    <n v="3"/>
    <s v="Y"/>
    <x v="1"/>
    <n v="13"/>
    <n v="3"/>
    <n v="3"/>
    <n v="80"/>
    <n v="1"/>
    <n v="10"/>
    <n v="2"/>
    <n v="1"/>
    <n v="4"/>
    <n v="3"/>
    <n v="0"/>
    <n v="2"/>
    <x v="1"/>
    <n v="1"/>
    <x v="2"/>
    <x v="2"/>
    <s v="2-5 Years"/>
    <s v="High"/>
    <s v="Bad"/>
  </r>
  <r>
    <x v="32"/>
    <s v="No"/>
    <s v="Travel_Rarely"/>
    <n v="611"/>
    <x v="0"/>
    <n v="7"/>
    <n v="4"/>
    <s v="Medical"/>
    <n v="1"/>
    <n v="1740"/>
    <n v="2"/>
    <x v="1"/>
    <n v="88"/>
    <n v="3"/>
    <n v="5"/>
    <x v="5"/>
    <n v="2"/>
    <s v="Single"/>
    <n v="19833"/>
    <n v="4349"/>
    <n v="1"/>
    <s v="Y"/>
    <x v="1"/>
    <n v="14"/>
    <n v="3"/>
    <n v="2"/>
    <n v="80"/>
    <n v="0"/>
    <n v="21"/>
    <n v="3"/>
    <n v="2"/>
    <n v="21"/>
    <n v="8"/>
    <n v="12"/>
    <n v="8"/>
    <x v="1"/>
    <n v="1"/>
    <x v="0"/>
    <x v="2"/>
    <s v="10+ Years"/>
    <s v="Medium"/>
    <s v="Good"/>
  </r>
  <r>
    <x v="28"/>
    <s v="No"/>
    <s v="Travel_Rarely"/>
    <n v="176"/>
    <x v="2"/>
    <n v="4"/>
    <n v="3"/>
    <s v="Life Sciences"/>
    <n v="1"/>
    <n v="1744"/>
    <n v="3"/>
    <x v="0"/>
    <n v="56"/>
    <n v="1"/>
    <n v="3"/>
    <x v="8"/>
    <n v="3"/>
    <s v="Married"/>
    <n v="9756"/>
    <n v="6595"/>
    <n v="4"/>
    <s v="Y"/>
    <x v="1"/>
    <n v="21"/>
    <n v="4"/>
    <n v="3"/>
    <n v="80"/>
    <n v="2"/>
    <n v="9"/>
    <n v="2"/>
    <n v="4"/>
    <n v="5"/>
    <n v="0"/>
    <n v="0"/>
    <n v="3"/>
    <x v="1"/>
    <n v="1"/>
    <x v="1"/>
    <x v="2"/>
    <s v="2-5 Years"/>
    <s v="High"/>
    <s v="Best"/>
  </r>
  <r>
    <x v="7"/>
    <s v="No"/>
    <s v="Travel_Frequently"/>
    <n v="1312"/>
    <x v="1"/>
    <n v="2"/>
    <n v="4"/>
    <s v="Technical Degree"/>
    <n v="1"/>
    <n v="1745"/>
    <n v="4"/>
    <x v="0"/>
    <n v="78"/>
    <n v="2"/>
    <n v="1"/>
    <x v="1"/>
    <n v="1"/>
    <s v="Single"/>
    <n v="4968"/>
    <n v="26427"/>
    <n v="0"/>
    <s v="Y"/>
    <x v="1"/>
    <n v="16"/>
    <n v="3"/>
    <n v="4"/>
    <n v="80"/>
    <n v="0"/>
    <n v="10"/>
    <n v="2"/>
    <n v="3"/>
    <n v="9"/>
    <n v="7"/>
    <n v="0"/>
    <n v="7"/>
    <x v="1"/>
    <n v="1"/>
    <x v="2"/>
    <x v="0"/>
    <s v="6-10 Years"/>
    <s v="Low"/>
    <s v="Better"/>
  </r>
  <r>
    <x v="17"/>
    <s v="No"/>
    <s v="Travel_Frequently"/>
    <n v="897"/>
    <x v="2"/>
    <n v="10"/>
    <n v="3"/>
    <s v="Medical"/>
    <n v="1"/>
    <n v="1746"/>
    <n v="1"/>
    <x v="1"/>
    <n v="59"/>
    <n v="3"/>
    <n v="1"/>
    <x v="8"/>
    <n v="4"/>
    <s v="Married"/>
    <n v="2145"/>
    <n v="2097"/>
    <n v="0"/>
    <s v="Y"/>
    <x v="1"/>
    <n v="14"/>
    <n v="3"/>
    <n v="4"/>
    <n v="80"/>
    <n v="1"/>
    <n v="3"/>
    <n v="2"/>
    <n v="3"/>
    <n v="2"/>
    <n v="2"/>
    <n v="2"/>
    <n v="1"/>
    <x v="1"/>
    <n v="1"/>
    <x v="4"/>
    <x v="1"/>
    <s v="2-5 Years"/>
    <s v="Very High"/>
    <s v="Better"/>
  </r>
  <r>
    <x v="7"/>
    <s v="Yes"/>
    <s v="Travel_Frequently"/>
    <n v="600"/>
    <x v="2"/>
    <n v="8"/>
    <n v="3"/>
    <s v="Human Resources"/>
    <n v="1"/>
    <n v="1747"/>
    <n v="3"/>
    <x v="0"/>
    <n v="66"/>
    <n v="2"/>
    <n v="1"/>
    <x v="8"/>
    <n v="4"/>
    <s v="Divorced"/>
    <n v="2180"/>
    <n v="9732"/>
    <n v="6"/>
    <s v="Y"/>
    <x v="1"/>
    <n v="11"/>
    <n v="3"/>
    <n v="3"/>
    <n v="80"/>
    <n v="1"/>
    <n v="6"/>
    <n v="0"/>
    <n v="2"/>
    <n v="4"/>
    <n v="2"/>
    <n v="1"/>
    <n v="2"/>
    <x v="0"/>
    <n v="0"/>
    <x v="2"/>
    <x v="1"/>
    <s v="2-5 Years"/>
    <s v="Very High"/>
    <s v="Good"/>
  </r>
  <r>
    <x v="12"/>
    <s v="No"/>
    <s v="Travel_Rarely"/>
    <n v="1003"/>
    <x v="0"/>
    <n v="5"/>
    <n v="3"/>
    <s v="Technical Degree"/>
    <n v="1"/>
    <n v="1749"/>
    <n v="1"/>
    <x v="1"/>
    <n v="51"/>
    <n v="3"/>
    <n v="2"/>
    <x v="0"/>
    <n v="3"/>
    <s v="Married"/>
    <n v="8346"/>
    <n v="20943"/>
    <n v="1"/>
    <s v="Y"/>
    <x v="1"/>
    <n v="19"/>
    <n v="3"/>
    <n v="3"/>
    <n v="80"/>
    <n v="1"/>
    <n v="6"/>
    <n v="3"/>
    <n v="3"/>
    <n v="5"/>
    <n v="2"/>
    <n v="0"/>
    <n v="2"/>
    <x v="1"/>
    <n v="1"/>
    <x v="2"/>
    <x v="2"/>
    <s v="2-5 Years"/>
    <s v="High"/>
    <s v="Better"/>
  </r>
  <r>
    <x v="4"/>
    <s v="No"/>
    <s v="Travel_Rarely"/>
    <n v="1054"/>
    <x v="1"/>
    <n v="8"/>
    <n v="3"/>
    <s v="Medical"/>
    <n v="1"/>
    <n v="1751"/>
    <n v="3"/>
    <x v="0"/>
    <n v="67"/>
    <n v="3"/>
    <n v="1"/>
    <x v="1"/>
    <n v="4"/>
    <s v="Single"/>
    <n v="3445"/>
    <n v="6152"/>
    <n v="1"/>
    <s v="Y"/>
    <x v="1"/>
    <n v="11"/>
    <n v="3"/>
    <n v="3"/>
    <n v="80"/>
    <n v="0"/>
    <n v="6"/>
    <n v="5"/>
    <n v="2"/>
    <n v="6"/>
    <n v="2"/>
    <n v="1"/>
    <n v="4"/>
    <x v="1"/>
    <n v="1"/>
    <x v="2"/>
    <x v="0"/>
    <s v="6-10 Years"/>
    <s v="Very High"/>
    <s v="Good"/>
  </r>
  <r>
    <x v="11"/>
    <s v="Yes"/>
    <s v="Travel_Rarely"/>
    <n v="428"/>
    <x v="0"/>
    <n v="9"/>
    <n v="3"/>
    <s v="Marketing"/>
    <n v="1"/>
    <n v="1752"/>
    <n v="2"/>
    <x v="0"/>
    <n v="52"/>
    <n v="1"/>
    <n v="1"/>
    <x v="6"/>
    <n v="2"/>
    <s v="Single"/>
    <n v="2760"/>
    <n v="14630"/>
    <n v="1"/>
    <s v="Y"/>
    <x v="1"/>
    <n v="13"/>
    <n v="3"/>
    <n v="3"/>
    <n v="80"/>
    <n v="0"/>
    <n v="2"/>
    <n v="3"/>
    <n v="3"/>
    <n v="2"/>
    <n v="2"/>
    <n v="2"/>
    <n v="2"/>
    <x v="0"/>
    <n v="0"/>
    <x v="2"/>
    <x v="1"/>
    <s v="2-5 Years"/>
    <s v="Medium"/>
    <s v="Better"/>
  </r>
  <r>
    <x v="11"/>
    <s v="No"/>
    <s v="Travel_Frequently"/>
    <n v="461"/>
    <x v="1"/>
    <n v="1"/>
    <n v="3"/>
    <s v="Life Sciences"/>
    <n v="1"/>
    <n v="1753"/>
    <n v="4"/>
    <x v="1"/>
    <n v="70"/>
    <n v="4"/>
    <n v="2"/>
    <x v="4"/>
    <n v="3"/>
    <s v="Single"/>
    <n v="6294"/>
    <n v="23060"/>
    <n v="8"/>
    <s v="Y"/>
    <x v="0"/>
    <n v="12"/>
    <n v="3"/>
    <n v="4"/>
    <n v="80"/>
    <n v="0"/>
    <n v="10"/>
    <n v="5"/>
    <n v="4"/>
    <n v="3"/>
    <n v="2"/>
    <n v="0"/>
    <n v="2"/>
    <x v="1"/>
    <n v="1"/>
    <x v="2"/>
    <x v="0"/>
    <s v="2-5 Years"/>
    <s v="High"/>
    <s v="Best"/>
  </r>
  <r>
    <x v="7"/>
    <s v="No"/>
    <s v="Travel_Rarely"/>
    <n v="979"/>
    <x v="0"/>
    <n v="15"/>
    <n v="2"/>
    <s v="Marketing"/>
    <n v="1"/>
    <n v="1754"/>
    <n v="3"/>
    <x v="1"/>
    <n v="94"/>
    <n v="2"/>
    <n v="3"/>
    <x v="0"/>
    <n v="1"/>
    <s v="Divorced"/>
    <n v="7140"/>
    <n v="3088"/>
    <n v="2"/>
    <s v="Y"/>
    <x v="1"/>
    <n v="11"/>
    <n v="3"/>
    <n v="1"/>
    <n v="80"/>
    <n v="1"/>
    <n v="12"/>
    <n v="2"/>
    <n v="3"/>
    <n v="7"/>
    <n v="7"/>
    <n v="1"/>
    <n v="7"/>
    <x v="1"/>
    <n v="1"/>
    <x v="2"/>
    <x v="2"/>
    <s v="6-10 Years"/>
    <s v="Low"/>
    <s v="Better"/>
  </r>
  <r>
    <x v="13"/>
    <s v="No"/>
    <s v="Travel_Rarely"/>
    <n v="181"/>
    <x v="1"/>
    <n v="2"/>
    <n v="4"/>
    <s v="Medical"/>
    <n v="1"/>
    <n v="1755"/>
    <n v="4"/>
    <x v="1"/>
    <n v="97"/>
    <n v="4"/>
    <n v="1"/>
    <x v="1"/>
    <n v="4"/>
    <s v="Married"/>
    <n v="2932"/>
    <n v="5586"/>
    <n v="0"/>
    <s v="Y"/>
    <x v="0"/>
    <n v="14"/>
    <n v="3"/>
    <n v="1"/>
    <n v="80"/>
    <n v="3"/>
    <n v="6"/>
    <n v="3"/>
    <n v="3"/>
    <n v="5"/>
    <n v="0"/>
    <n v="1"/>
    <n v="2"/>
    <x v="1"/>
    <n v="1"/>
    <x v="2"/>
    <x v="1"/>
    <s v="2-5 Years"/>
    <s v="Very High"/>
    <s v="Better"/>
  </r>
  <r>
    <x v="3"/>
    <s v="No"/>
    <s v="Non-Travel"/>
    <n v="1283"/>
    <x v="0"/>
    <n v="2"/>
    <n v="3"/>
    <s v="Marketing"/>
    <n v="1"/>
    <n v="1756"/>
    <n v="4"/>
    <x v="0"/>
    <n v="62"/>
    <n v="3"/>
    <n v="2"/>
    <x v="0"/>
    <n v="2"/>
    <s v="Single"/>
    <n v="5147"/>
    <n v="10697"/>
    <n v="8"/>
    <s v="Y"/>
    <x v="1"/>
    <n v="15"/>
    <n v="3"/>
    <n v="4"/>
    <n v="80"/>
    <n v="0"/>
    <n v="13"/>
    <n v="2"/>
    <n v="2"/>
    <n v="11"/>
    <n v="7"/>
    <n v="1"/>
    <n v="7"/>
    <x v="1"/>
    <n v="1"/>
    <x v="2"/>
    <x v="0"/>
    <s v="10+ Years"/>
    <s v="Medium"/>
    <s v="Good"/>
  </r>
  <r>
    <x v="1"/>
    <s v="No"/>
    <s v="Travel_Rarely"/>
    <n v="1313"/>
    <x v="0"/>
    <n v="11"/>
    <n v="4"/>
    <s v="Marketing"/>
    <n v="1"/>
    <n v="1757"/>
    <n v="4"/>
    <x v="0"/>
    <n v="80"/>
    <n v="3"/>
    <n v="2"/>
    <x v="0"/>
    <n v="4"/>
    <s v="Single"/>
    <n v="4507"/>
    <n v="8191"/>
    <n v="3"/>
    <s v="Y"/>
    <x v="1"/>
    <n v="12"/>
    <n v="3"/>
    <n v="3"/>
    <n v="80"/>
    <n v="0"/>
    <n v="8"/>
    <n v="1"/>
    <n v="4"/>
    <n v="5"/>
    <n v="1"/>
    <n v="0"/>
    <n v="4"/>
    <x v="1"/>
    <n v="1"/>
    <x v="1"/>
    <x v="0"/>
    <s v="2-5 Years"/>
    <s v="Very High"/>
    <s v="Best"/>
  </r>
  <r>
    <x v="3"/>
    <s v="Yes"/>
    <s v="Travel_Rarely"/>
    <n v="211"/>
    <x v="0"/>
    <n v="16"/>
    <n v="3"/>
    <s v="Life Sciences"/>
    <n v="1"/>
    <n v="1758"/>
    <n v="1"/>
    <x v="0"/>
    <n v="74"/>
    <n v="3"/>
    <n v="3"/>
    <x v="0"/>
    <n v="1"/>
    <s v="Single"/>
    <n v="8564"/>
    <n v="10092"/>
    <n v="2"/>
    <s v="Y"/>
    <x v="0"/>
    <n v="20"/>
    <n v="4"/>
    <n v="3"/>
    <n v="80"/>
    <n v="0"/>
    <n v="11"/>
    <n v="2"/>
    <n v="2"/>
    <n v="0"/>
    <n v="0"/>
    <n v="0"/>
    <n v="0"/>
    <x v="0"/>
    <n v="0"/>
    <x v="2"/>
    <x v="2"/>
    <s v="0-1 Years"/>
    <s v="Low"/>
    <s v="Good"/>
  </r>
  <r>
    <x v="8"/>
    <s v="No"/>
    <s v="Travel_Frequently"/>
    <n v="594"/>
    <x v="1"/>
    <n v="2"/>
    <n v="2"/>
    <s v="Medical"/>
    <n v="1"/>
    <n v="1760"/>
    <n v="3"/>
    <x v="0"/>
    <n v="75"/>
    <n v="2"/>
    <n v="1"/>
    <x v="2"/>
    <n v="2"/>
    <s v="Married"/>
    <n v="2468"/>
    <n v="15963"/>
    <n v="4"/>
    <s v="Y"/>
    <x v="1"/>
    <n v="14"/>
    <n v="3"/>
    <n v="2"/>
    <n v="80"/>
    <n v="1"/>
    <n v="9"/>
    <n v="4"/>
    <n v="2"/>
    <n v="6"/>
    <n v="1"/>
    <n v="0"/>
    <n v="5"/>
    <x v="1"/>
    <n v="1"/>
    <x v="0"/>
    <x v="1"/>
    <s v="6-10 Years"/>
    <s v="Medium"/>
    <s v="Good"/>
  </r>
  <r>
    <x v="12"/>
    <s v="Yes"/>
    <s v="Travel_Rarely"/>
    <n v="1079"/>
    <x v="0"/>
    <n v="16"/>
    <n v="4"/>
    <s v="Marketing"/>
    <n v="1"/>
    <n v="1761"/>
    <n v="1"/>
    <x v="1"/>
    <n v="70"/>
    <n v="3"/>
    <n v="3"/>
    <x v="0"/>
    <n v="3"/>
    <s v="Married"/>
    <n v="8161"/>
    <n v="19002"/>
    <n v="2"/>
    <s v="Y"/>
    <x v="1"/>
    <n v="13"/>
    <n v="3"/>
    <n v="1"/>
    <n v="80"/>
    <n v="3"/>
    <n v="10"/>
    <n v="2"/>
    <n v="3"/>
    <n v="1"/>
    <n v="0"/>
    <n v="0"/>
    <n v="0"/>
    <x v="0"/>
    <n v="0"/>
    <x v="2"/>
    <x v="2"/>
    <s v="0-1 Years"/>
    <s v="High"/>
    <s v="Better"/>
  </r>
  <r>
    <x v="11"/>
    <s v="No"/>
    <s v="Travel_Rarely"/>
    <n v="590"/>
    <x v="1"/>
    <n v="4"/>
    <n v="3"/>
    <s v="Technical Degree"/>
    <n v="1"/>
    <n v="1762"/>
    <n v="4"/>
    <x v="0"/>
    <n v="91"/>
    <n v="2"/>
    <n v="1"/>
    <x v="1"/>
    <n v="1"/>
    <s v="Divorced"/>
    <n v="2109"/>
    <n v="10007"/>
    <n v="1"/>
    <s v="Y"/>
    <x v="1"/>
    <n v="13"/>
    <n v="3"/>
    <n v="3"/>
    <n v="80"/>
    <n v="1"/>
    <n v="1"/>
    <n v="2"/>
    <n v="3"/>
    <n v="1"/>
    <n v="0"/>
    <n v="0"/>
    <n v="0"/>
    <x v="1"/>
    <n v="1"/>
    <x v="2"/>
    <x v="1"/>
    <s v="0-1 Years"/>
    <s v="Low"/>
    <s v="Better"/>
  </r>
  <r>
    <x v="7"/>
    <s v="No"/>
    <s v="Travel_Rarely"/>
    <n v="305"/>
    <x v="1"/>
    <n v="16"/>
    <n v="3"/>
    <s v="Life Sciences"/>
    <n v="1"/>
    <n v="1763"/>
    <n v="3"/>
    <x v="1"/>
    <n v="58"/>
    <n v="4"/>
    <n v="2"/>
    <x v="4"/>
    <n v="3"/>
    <s v="Married"/>
    <n v="5294"/>
    <n v="9128"/>
    <n v="3"/>
    <s v="Y"/>
    <x v="1"/>
    <n v="16"/>
    <n v="3"/>
    <n v="3"/>
    <n v="80"/>
    <n v="1"/>
    <n v="10"/>
    <n v="3"/>
    <n v="3"/>
    <n v="7"/>
    <n v="0"/>
    <n v="1"/>
    <n v="7"/>
    <x v="1"/>
    <n v="1"/>
    <x v="2"/>
    <x v="0"/>
    <s v="6-10 Years"/>
    <s v="High"/>
    <s v="Better"/>
  </r>
  <r>
    <x v="5"/>
    <s v="No"/>
    <s v="Non-Travel"/>
    <n v="953"/>
    <x v="1"/>
    <n v="5"/>
    <n v="4"/>
    <s v="Technical Degree"/>
    <n v="1"/>
    <n v="1764"/>
    <n v="2"/>
    <x v="1"/>
    <n v="65"/>
    <n v="3"/>
    <n v="1"/>
    <x v="1"/>
    <n v="2"/>
    <s v="Single"/>
    <n v="2718"/>
    <n v="17674"/>
    <n v="2"/>
    <s v="Y"/>
    <x v="1"/>
    <n v="14"/>
    <n v="3"/>
    <n v="2"/>
    <n v="80"/>
    <n v="0"/>
    <n v="12"/>
    <n v="3"/>
    <n v="3"/>
    <n v="7"/>
    <n v="7"/>
    <n v="0"/>
    <n v="7"/>
    <x v="1"/>
    <n v="1"/>
    <x v="2"/>
    <x v="1"/>
    <s v="6-10 Years"/>
    <s v="Medium"/>
    <s v="Better"/>
  </r>
  <r>
    <x v="8"/>
    <s v="No"/>
    <s v="Travel_Rarely"/>
    <n v="833"/>
    <x v="1"/>
    <n v="18"/>
    <n v="3"/>
    <s v="Medical"/>
    <n v="1"/>
    <n v="1766"/>
    <n v="2"/>
    <x v="1"/>
    <n v="60"/>
    <n v="1"/>
    <n v="2"/>
    <x v="4"/>
    <n v="4"/>
    <s v="Married"/>
    <n v="5811"/>
    <n v="24539"/>
    <n v="3"/>
    <s v="Y"/>
    <x v="0"/>
    <n v="16"/>
    <n v="3"/>
    <n v="3"/>
    <n v="80"/>
    <n v="1"/>
    <n v="15"/>
    <n v="2"/>
    <n v="3"/>
    <n v="1"/>
    <n v="0"/>
    <n v="1"/>
    <n v="0"/>
    <x v="1"/>
    <n v="1"/>
    <x v="0"/>
    <x v="0"/>
    <s v="0-1 Years"/>
    <s v="Very High"/>
    <s v="Better"/>
  </r>
  <r>
    <x v="23"/>
    <s v="Yes"/>
    <s v="Travel_Frequently"/>
    <n v="807"/>
    <x v="1"/>
    <n v="17"/>
    <n v="3"/>
    <s v="Technical Degree"/>
    <n v="1"/>
    <n v="1767"/>
    <n v="3"/>
    <x v="1"/>
    <n v="38"/>
    <n v="2"/>
    <n v="1"/>
    <x v="1"/>
    <n v="3"/>
    <s v="Married"/>
    <n v="2437"/>
    <n v="15587"/>
    <n v="9"/>
    <s v="Y"/>
    <x v="0"/>
    <n v="16"/>
    <n v="3"/>
    <n v="4"/>
    <n v="80"/>
    <n v="1"/>
    <n v="6"/>
    <n v="4"/>
    <n v="3"/>
    <n v="1"/>
    <n v="0"/>
    <n v="0"/>
    <n v="0"/>
    <x v="0"/>
    <n v="0"/>
    <x v="0"/>
    <x v="1"/>
    <s v="0-1 Years"/>
    <s v="High"/>
    <s v="Better"/>
  </r>
  <r>
    <x v="19"/>
    <s v="No"/>
    <s v="Travel_Rarely"/>
    <n v="855"/>
    <x v="1"/>
    <n v="12"/>
    <n v="3"/>
    <s v="Medical"/>
    <n v="1"/>
    <n v="1768"/>
    <n v="2"/>
    <x v="1"/>
    <n v="57"/>
    <n v="3"/>
    <n v="1"/>
    <x v="2"/>
    <n v="2"/>
    <s v="Divorced"/>
    <n v="2766"/>
    <n v="8952"/>
    <n v="8"/>
    <s v="Y"/>
    <x v="1"/>
    <n v="22"/>
    <n v="4"/>
    <n v="2"/>
    <n v="80"/>
    <n v="3"/>
    <n v="7"/>
    <n v="6"/>
    <n v="2"/>
    <n v="5"/>
    <n v="3"/>
    <n v="0"/>
    <n v="4"/>
    <x v="1"/>
    <n v="1"/>
    <x v="0"/>
    <x v="1"/>
    <s v="2-5 Years"/>
    <s v="Medium"/>
    <s v="Good"/>
  </r>
  <r>
    <x v="27"/>
    <s v="No"/>
    <s v="Travel_Rarely"/>
    <n v="478"/>
    <x v="1"/>
    <n v="2"/>
    <n v="3"/>
    <s v="Medical"/>
    <n v="1"/>
    <n v="1770"/>
    <n v="3"/>
    <x v="1"/>
    <n v="60"/>
    <n v="2"/>
    <n v="5"/>
    <x v="7"/>
    <n v="1"/>
    <s v="Married"/>
    <n v="19038"/>
    <n v="19805"/>
    <n v="8"/>
    <s v="Y"/>
    <x v="1"/>
    <n v="12"/>
    <n v="3"/>
    <n v="2"/>
    <n v="80"/>
    <n v="3"/>
    <n v="34"/>
    <n v="2"/>
    <n v="3"/>
    <n v="1"/>
    <n v="0"/>
    <n v="0"/>
    <n v="0"/>
    <x v="1"/>
    <n v="1"/>
    <x v="3"/>
    <x v="2"/>
    <s v="0-1 Years"/>
    <s v="Low"/>
    <s v="Better"/>
  </r>
  <r>
    <x v="3"/>
    <s v="No"/>
    <s v="Non-Travel"/>
    <n v="775"/>
    <x v="1"/>
    <n v="4"/>
    <n v="3"/>
    <s v="Technical Degree"/>
    <n v="1"/>
    <n v="1771"/>
    <n v="4"/>
    <x v="1"/>
    <n v="90"/>
    <n v="3"/>
    <n v="2"/>
    <x v="1"/>
    <n v="2"/>
    <s v="Divorced"/>
    <n v="3055"/>
    <n v="6194"/>
    <n v="5"/>
    <s v="Y"/>
    <x v="1"/>
    <n v="15"/>
    <n v="3"/>
    <n v="4"/>
    <n v="80"/>
    <n v="2"/>
    <n v="11"/>
    <n v="2"/>
    <n v="2"/>
    <n v="9"/>
    <n v="8"/>
    <n v="1"/>
    <n v="7"/>
    <x v="1"/>
    <n v="1"/>
    <x v="2"/>
    <x v="0"/>
    <s v="6-10 Years"/>
    <s v="Medium"/>
    <s v="Good"/>
  </r>
  <r>
    <x v="0"/>
    <s v="No"/>
    <s v="Travel_Rarely"/>
    <n v="548"/>
    <x v="1"/>
    <n v="9"/>
    <n v="4"/>
    <s v="Life Sciences"/>
    <n v="1"/>
    <n v="1772"/>
    <n v="3"/>
    <x v="1"/>
    <n v="94"/>
    <n v="3"/>
    <n v="1"/>
    <x v="2"/>
    <n v="1"/>
    <s v="Divorced"/>
    <n v="2289"/>
    <n v="20520"/>
    <n v="1"/>
    <s v="Y"/>
    <x v="1"/>
    <n v="20"/>
    <n v="4"/>
    <n v="2"/>
    <n v="80"/>
    <n v="2"/>
    <n v="5"/>
    <n v="2"/>
    <n v="3"/>
    <n v="5"/>
    <n v="3"/>
    <n v="0"/>
    <n v="4"/>
    <x v="1"/>
    <n v="1"/>
    <x v="0"/>
    <x v="1"/>
    <s v="2-5 Years"/>
    <s v="Low"/>
    <s v="Better"/>
  </r>
  <r>
    <x v="13"/>
    <s v="No"/>
    <s v="Non-Travel"/>
    <n v="1375"/>
    <x v="0"/>
    <n v="10"/>
    <n v="3"/>
    <s v="Life Sciences"/>
    <n v="1"/>
    <n v="1774"/>
    <n v="4"/>
    <x v="1"/>
    <n v="87"/>
    <n v="3"/>
    <n v="2"/>
    <x v="0"/>
    <n v="3"/>
    <s v="Divorced"/>
    <n v="4001"/>
    <n v="12313"/>
    <n v="1"/>
    <s v="Y"/>
    <x v="0"/>
    <n v="14"/>
    <n v="3"/>
    <n v="3"/>
    <n v="80"/>
    <n v="1"/>
    <n v="15"/>
    <n v="3"/>
    <n v="3"/>
    <n v="15"/>
    <n v="14"/>
    <n v="0"/>
    <n v="7"/>
    <x v="1"/>
    <n v="1"/>
    <x v="2"/>
    <x v="0"/>
    <s v="10+ Years"/>
    <s v="High"/>
    <s v="Better"/>
  </r>
  <r>
    <x v="16"/>
    <s v="No"/>
    <s v="Non-Travel"/>
    <n v="661"/>
    <x v="1"/>
    <n v="1"/>
    <n v="4"/>
    <s v="Medical"/>
    <n v="1"/>
    <n v="1775"/>
    <n v="1"/>
    <x v="0"/>
    <n v="60"/>
    <n v="2"/>
    <n v="4"/>
    <x v="3"/>
    <n v="3"/>
    <s v="Married"/>
    <n v="12965"/>
    <n v="22308"/>
    <n v="4"/>
    <s v="Y"/>
    <x v="0"/>
    <n v="20"/>
    <n v="4"/>
    <n v="4"/>
    <n v="80"/>
    <n v="3"/>
    <n v="27"/>
    <n v="2"/>
    <n v="2"/>
    <n v="3"/>
    <n v="2"/>
    <n v="0"/>
    <n v="2"/>
    <x v="1"/>
    <n v="1"/>
    <x v="1"/>
    <x v="2"/>
    <s v="2-5 Years"/>
    <s v="High"/>
    <s v="Good"/>
  </r>
  <r>
    <x v="23"/>
    <s v="No"/>
    <s v="Travel_Rarely"/>
    <n v="244"/>
    <x v="2"/>
    <n v="2"/>
    <n v="3"/>
    <s v="Life Sciences"/>
    <n v="1"/>
    <n v="1778"/>
    <n v="2"/>
    <x v="1"/>
    <n v="97"/>
    <n v="3"/>
    <n v="1"/>
    <x v="8"/>
    <n v="4"/>
    <s v="Single"/>
    <n v="3539"/>
    <n v="5033"/>
    <n v="0"/>
    <s v="Y"/>
    <x v="1"/>
    <n v="13"/>
    <n v="3"/>
    <n v="2"/>
    <n v="80"/>
    <n v="0"/>
    <n v="10"/>
    <n v="5"/>
    <n v="3"/>
    <n v="9"/>
    <n v="7"/>
    <n v="1"/>
    <n v="8"/>
    <x v="1"/>
    <n v="1"/>
    <x v="0"/>
    <x v="0"/>
    <s v="6-10 Years"/>
    <s v="Very High"/>
    <s v="Better"/>
  </r>
  <r>
    <x v="13"/>
    <s v="No"/>
    <s v="Travel_Rarely"/>
    <n v="511"/>
    <x v="0"/>
    <n v="3"/>
    <n v="2"/>
    <s v="Life Sciences"/>
    <n v="1"/>
    <n v="1779"/>
    <n v="4"/>
    <x v="0"/>
    <n v="32"/>
    <n v="1"/>
    <n v="2"/>
    <x v="0"/>
    <n v="4"/>
    <s v="Single"/>
    <n v="6029"/>
    <n v="25353"/>
    <n v="5"/>
    <s v="Y"/>
    <x v="1"/>
    <n v="12"/>
    <n v="3"/>
    <n v="1"/>
    <n v="80"/>
    <n v="0"/>
    <n v="6"/>
    <n v="3"/>
    <n v="3"/>
    <n v="2"/>
    <n v="2"/>
    <n v="2"/>
    <n v="2"/>
    <x v="1"/>
    <n v="1"/>
    <x v="2"/>
    <x v="0"/>
    <s v="2-5 Years"/>
    <s v="Very High"/>
    <s v="Better"/>
  </r>
  <r>
    <x v="18"/>
    <s v="Yes"/>
    <s v="Travel_Rarely"/>
    <n v="337"/>
    <x v="0"/>
    <n v="7"/>
    <n v="1"/>
    <s v="Marketing"/>
    <n v="1"/>
    <n v="1780"/>
    <n v="2"/>
    <x v="1"/>
    <n v="31"/>
    <n v="3"/>
    <n v="1"/>
    <x v="6"/>
    <n v="2"/>
    <s v="Single"/>
    <n v="2679"/>
    <n v="4567"/>
    <n v="1"/>
    <s v="Y"/>
    <x v="1"/>
    <n v="13"/>
    <n v="3"/>
    <n v="2"/>
    <n v="80"/>
    <n v="0"/>
    <n v="1"/>
    <n v="3"/>
    <n v="3"/>
    <n v="1"/>
    <n v="0"/>
    <n v="1"/>
    <n v="0"/>
    <x v="0"/>
    <n v="0"/>
    <x v="4"/>
    <x v="1"/>
    <s v="0-1 Years"/>
    <s v="Medium"/>
    <s v="Better"/>
  </r>
  <r>
    <x v="8"/>
    <s v="No"/>
    <s v="Travel_Rarely"/>
    <n v="1153"/>
    <x v="1"/>
    <n v="6"/>
    <n v="2"/>
    <s v="Other"/>
    <n v="1"/>
    <n v="1782"/>
    <n v="4"/>
    <x v="0"/>
    <n v="40"/>
    <n v="2"/>
    <n v="1"/>
    <x v="2"/>
    <n v="3"/>
    <s v="Married"/>
    <n v="3702"/>
    <n v="16376"/>
    <n v="1"/>
    <s v="Y"/>
    <x v="1"/>
    <n v="11"/>
    <n v="3"/>
    <n v="2"/>
    <n v="80"/>
    <n v="1"/>
    <n v="5"/>
    <n v="3"/>
    <n v="3"/>
    <n v="5"/>
    <n v="4"/>
    <n v="0"/>
    <n v="4"/>
    <x v="1"/>
    <n v="1"/>
    <x v="0"/>
    <x v="0"/>
    <s v="2-5 Years"/>
    <s v="High"/>
    <s v="Better"/>
  </r>
  <r>
    <x v="15"/>
    <s v="Yes"/>
    <s v="Travel_Rarely"/>
    <n v="1294"/>
    <x v="1"/>
    <n v="8"/>
    <n v="1"/>
    <s v="Medical"/>
    <n v="1"/>
    <n v="1783"/>
    <n v="3"/>
    <x v="0"/>
    <n v="79"/>
    <n v="3"/>
    <n v="1"/>
    <x v="2"/>
    <n v="1"/>
    <s v="Married"/>
    <n v="2398"/>
    <n v="15999"/>
    <n v="1"/>
    <s v="Y"/>
    <x v="0"/>
    <n v="17"/>
    <n v="3"/>
    <n v="3"/>
    <n v="80"/>
    <n v="0"/>
    <n v="1"/>
    <n v="6"/>
    <n v="3"/>
    <n v="1"/>
    <n v="0"/>
    <n v="0"/>
    <n v="0"/>
    <x v="0"/>
    <n v="0"/>
    <x v="4"/>
    <x v="1"/>
    <s v="0-1 Years"/>
    <s v="Low"/>
    <s v="Better"/>
  </r>
  <r>
    <x v="12"/>
    <s v="No"/>
    <s v="Travel_Rarely"/>
    <n v="196"/>
    <x v="0"/>
    <n v="29"/>
    <n v="4"/>
    <s v="Marketing"/>
    <n v="1"/>
    <n v="1784"/>
    <n v="1"/>
    <x v="0"/>
    <n v="91"/>
    <n v="2"/>
    <n v="2"/>
    <x v="0"/>
    <n v="4"/>
    <s v="Married"/>
    <n v="5468"/>
    <n v="13402"/>
    <n v="1"/>
    <s v="Y"/>
    <x v="1"/>
    <n v="14"/>
    <n v="3"/>
    <n v="1"/>
    <n v="80"/>
    <n v="2"/>
    <n v="13"/>
    <n v="3"/>
    <n v="3"/>
    <n v="12"/>
    <n v="7"/>
    <n v="5"/>
    <n v="7"/>
    <x v="1"/>
    <n v="1"/>
    <x v="2"/>
    <x v="0"/>
    <s v="10+ Years"/>
    <s v="Very High"/>
    <s v="Better"/>
  </r>
  <r>
    <x v="31"/>
    <s v="No"/>
    <s v="Travel_Rarely"/>
    <n v="942"/>
    <x v="1"/>
    <n v="3"/>
    <n v="3"/>
    <s v="Technical Degree"/>
    <n v="1"/>
    <n v="1786"/>
    <n v="1"/>
    <x v="0"/>
    <n v="53"/>
    <n v="3"/>
    <n v="3"/>
    <x v="5"/>
    <n v="3"/>
    <s v="Married"/>
    <n v="13116"/>
    <n v="22984"/>
    <n v="2"/>
    <s v="Y"/>
    <x v="1"/>
    <n v="11"/>
    <n v="3"/>
    <n v="4"/>
    <n v="80"/>
    <n v="0"/>
    <n v="15"/>
    <n v="2"/>
    <n v="3"/>
    <n v="2"/>
    <n v="2"/>
    <n v="2"/>
    <n v="2"/>
    <x v="1"/>
    <n v="1"/>
    <x v="1"/>
    <x v="2"/>
    <s v="2-5 Years"/>
    <s v="High"/>
    <s v="Better"/>
  </r>
  <r>
    <x v="2"/>
    <s v="No"/>
    <s v="Travel_Rarely"/>
    <n v="589"/>
    <x v="0"/>
    <n v="9"/>
    <n v="2"/>
    <s v="Marketing"/>
    <n v="1"/>
    <n v="1787"/>
    <n v="2"/>
    <x v="1"/>
    <n v="46"/>
    <n v="2"/>
    <n v="2"/>
    <x v="0"/>
    <n v="2"/>
    <s v="Married"/>
    <n v="4189"/>
    <n v="8800"/>
    <n v="1"/>
    <s v="Y"/>
    <x v="1"/>
    <n v="14"/>
    <n v="3"/>
    <n v="1"/>
    <n v="80"/>
    <n v="2"/>
    <n v="5"/>
    <n v="2"/>
    <n v="3"/>
    <n v="5"/>
    <n v="2"/>
    <n v="0"/>
    <n v="3"/>
    <x v="1"/>
    <n v="1"/>
    <x v="0"/>
    <x v="0"/>
    <s v="2-5 Years"/>
    <s v="Medium"/>
    <s v="Better"/>
  </r>
  <r>
    <x v="21"/>
    <s v="No"/>
    <s v="Travel_Rarely"/>
    <n v="734"/>
    <x v="1"/>
    <n v="2"/>
    <n v="4"/>
    <s v="Medical"/>
    <n v="1"/>
    <n v="1789"/>
    <n v="3"/>
    <x v="1"/>
    <n v="46"/>
    <n v="3"/>
    <n v="5"/>
    <x v="7"/>
    <n v="4"/>
    <s v="Divorced"/>
    <n v="19328"/>
    <n v="14218"/>
    <n v="7"/>
    <s v="Y"/>
    <x v="0"/>
    <n v="17"/>
    <n v="3"/>
    <n v="3"/>
    <n v="80"/>
    <n v="1"/>
    <n v="24"/>
    <n v="3"/>
    <n v="3"/>
    <n v="2"/>
    <n v="1"/>
    <n v="2"/>
    <n v="2"/>
    <x v="1"/>
    <n v="1"/>
    <x v="1"/>
    <x v="2"/>
    <s v="2-5 Years"/>
    <s v="Very High"/>
    <s v="Better"/>
  </r>
  <r>
    <x v="9"/>
    <s v="No"/>
    <s v="Travel_Rarely"/>
    <n v="1383"/>
    <x v="1"/>
    <n v="10"/>
    <n v="3"/>
    <s v="Life Sciences"/>
    <n v="1"/>
    <n v="1790"/>
    <n v="4"/>
    <x v="1"/>
    <n v="90"/>
    <n v="3"/>
    <n v="3"/>
    <x v="4"/>
    <n v="1"/>
    <s v="Married"/>
    <n v="8321"/>
    <n v="25949"/>
    <n v="7"/>
    <s v="Y"/>
    <x v="0"/>
    <n v="13"/>
    <n v="3"/>
    <n v="4"/>
    <n v="80"/>
    <n v="1"/>
    <n v="15"/>
    <n v="1"/>
    <n v="3"/>
    <n v="12"/>
    <n v="8"/>
    <n v="5"/>
    <n v="7"/>
    <x v="1"/>
    <n v="1"/>
    <x v="0"/>
    <x v="2"/>
    <s v="10+ Years"/>
    <s v="Low"/>
    <s v="Better"/>
  </r>
  <r>
    <x v="20"/>
    <s v="Yes"/>
    <s v="Travel_Frequently"/>
    <n v="429"/>
    <x v="1"/>
    <n v="1"/>
    <n v="2"/>
    <s v="Medical"/>
    <n v="1"/>
    <n v="1792"/>
    <n v="3"/>
    <x v="1"/>
    <n v="99"/>
    <n v="3"/>
    <n v="1"/>
    <x v="1"/>
    <n v="2"/>
    <s v="Divorced"/>
    <n v="2342"/>
    <n v="11092"/>
    <n v="1"/>
    <s v="Y"/>
    <x v="0"/>
    <n v="12"/>
    <n v="3"/>
    <n v="3"/>
    <n v="80"/>
    <n v="3"/>
    <n v="6"/>
    <n v="2"/>
    <n v="2"/>
    <n v="5"/>
    <n v="3"/>
    <n v="2"/>
    <n v="3"/>
    <x v="0"/>
    <n v="0"/>
    <x v="0"/>
    <x v="1"/>
    <s v="2-5 Years"/>
    <s v="Medium"/>
    <s v="Good"/>
  </r>
  <r>
    <x v="2"/>
    <s v="No"/>
    <s v="Travel_Rarely"/>
    <n v="1239"/>
    <x v="2"/>
    <n v="8"/>
    <n v="2"/>
    <s v="Other"/>
    <n v="1"/>
    <n v="1794"/>
    <n v="3"/>
    <x v="1"/>
    <n v="89"/>
    <n v="3"/>
    <n v="2"/>
    <x v="8"/>
    <n v="2"/>
    <s v="Divorced"/>
    <n v="4071"/>
    <n v="12832"/>
    <n v="2"/>
    <s v="Y"/>
    <x v="1"/>
    <n v="13"/>
    <n v="3"/>
    <n v="3"/>
    <n v="80"/>
    <n v="0"/>
    <n v="19"/>
    <n v="4"/>
    <n v="2"/>
    <n v="10"/>
    <n v="0"/>
    <n v="4"/>
    <n v="7"/>
    <x v="1"/>
    <n v="1"/>
    <x v="0"/>
    <x v="0"/>
    <s v="6-10 Years"/>
    <s v="Medium"/>
    <s v="Good"/>
  </r>
  <r>
    <x v="10"/>
    <s v="Yes"/>
    <s v="Travel_Rarely"/>
    <n v="303"/>
    <x v="0"/>
    <n v="27"/>
    <n v="3"/>
    <s v="Life Sciences"/>
    <n v="1"/>
    <n v="1797"/>
    <n v="3"/>
    <x v="1"/>
    <n v="84"/>
    <n v="3"/>
    <n v="2"/>
    <x v="0"/>
    <n v="4"/>
    <s v="Single"/>
    <n v="5813"/>
    <n v="13492"/>
    <n v="1"/>
    <s v="Y"/>
    <x v="0"/>
    <n v="18"/>
    <n v="3"/>
    <n v="4"/>
    <n v="80"/>
    <n v="0"/>
    <n v="10"/>
    <n v="2"/>
    <n v="3"/>
    <n v="10"/>
    <n v="7"/>
    <n v="7"/>
    <n v="7"/>
    <x v="0"/>
    <n v="0"/>
    <x v="0"/>
    <x v="0"/>
    <s v="6-10 Years"/>
    <s v="Very High"/>
    <s v="Better"/>
  </r>
  <r>
    <x v="3"/>
    <s v="No"/>
    <s v="Travel_Rarely"/>
    <n v="867"/>
    <x v="1"/>
    <n v="8"/>
    <n v="4"/>
    <s v="Life Sciences"/>
    <n v="1"/>
    <n v="1798"/>
    <n v="4"/>
    <x v="1"/>
    <n v="90"/>
    <n v="4"/>
    <n v="1"/>
    <x v="1"/>
    <n v="1"/>
    <s v="Married"/>
    <n v="3143"/>
    <n v="6076"/>
    <n v="6"/>
    <s v="Y"/>
    <x v="1"/>
    <n v="19"/>
    <n v="3"/>
    <n v="2"/>
    <n v="80"/>
    <n v="1"/>
    <n v="14"/>
    <n v="1"/>
    <n v="3"/>
    <n v="10"/>
    <n v="8"/>
    <n v="7"/>
    <n v="6"/>
    <x v="1"/>
    <n v="1"/>
    <x v="2"/>
    <x v="0"/>
    <s v="6-10 Years"/>
    <s v="Low"/>
    <s v="Better"/>
  </r>
  <r>
    <x v="14"/>
    <s v="No"/>
    <s v="Travel_Rarely"/>
    <n v="1181"/>
    <x v="1"/>
    <n v="1"/>
    <n v="3"/>
    <s v="Life Sciences"/>
    <n v="1"/>
    <n v="1799"/>
    <n v="3"/>
    <x v="1"/>
    <n v="82"/>
    <n v="3"/>
    <n v="1"/>
    <x v="1"/>
    <n v="4"/>
    <s v="Married"/>
    <n v="2044"/>
    <n v="5531"/>
    <n v="1"/>
    <s v="Y"/>
    <x v="1"/>
    <n v="11"/>
    <n v="3"/>
    <n v="3"/>
    <n v="80"/>
    <n v="1"/>
    <n v="5"/>
    <n v="6"/>
    <n v="4"/>
    <n v="5"/>
    <n v="3"/>
    <n v="0"/>
    <n v="3"/>
    <x v="1"/>
    <n v="1"/>
    <x v="2"/>
    <x v="1"/>
    <s v="2-5 Years"/>
    <s v="Very High"/>
    <s v="Best"/>
  </r>
  <r>
    <x v="22"/>
    <s v="No"/>
    <s v="Travel_Rarely"/>
    <n v="1253"/>
    <x v="1"/>
    <n v="10"/>
    <n v="1"/>
    <s v="Medical"/>
    <n v="1"/>
    <n v="1800"/>
    <n v="3"/>
    <x v="1"/>
    <n v="65"/>
    <n v="3"/>
    <n v="3"/>
    <x v="7"/>
    <n v="3"/>
    <s v="Single"/>
    <n v="13464"/>
    <n v="7914"/>
    <n v="7"/>
    <s v="Y"/>
    <x v="1"/>
    <n v="21"/>
    <n v="4"/>
    <n v="3"/>
    <n v="80"/>
    <n v="0"/>
    <n v="9"/>
    <n v="3"/>
    <n v="3"/>
    <n v="4"/>
    <n v="3"/>
    <n v="2"/>
    <n v="2"/>
    <x v="1"/>
    <n v="1"/>
    <x v="0"/>
    <x v="2"/>
    <s v="2-5 Years"/>
    <s v="High"/>
    <s v="Better"/>
  </r>
  <r>
    <x v="21"/>
    <s v="No"/>
    <s v="Non-Travel"/>
    <n v="849"/>
    <x v="0"/>
    <n v="26"/>
    <n v="2"/>
    <s v="Life Sciences"/>
    <n v="1"/>
    <n v="1801"/>
    <n v="2"/>
    <x v="1"/>
    <n v="98"/>
    <n v="2"/>
    <n v="2"/>
    <x v="0"/>
    <n v="2"/>
    <s v="Single"/>
    <n v="7991"/>
    <n v="25166"/>
    <n v="8"/>
    <s v="Y"/>
    <x v="1"/>
    <n v="15"/>
    <n v="3"/>
    <n v="3"/>
    <n v="80"/>
    <n v="0"/>
    <n v="6"/>
    <n v="3"/>
    <n v="3"/>
    <n v="2"/>
    <n v="2"/>
    <n v="2"/>
    <n v="2"/>
    <x v="1"/>
    <n v="1"/>
    <x v="1"/>
    <x v="2"/>
    <s v="2-5 Years"/>
    <s v="Medium"/>
    <s v="Better"/>
  </r>
  <r>
    <x v="32"/>
    <s v="No"/>
    <s v="Travel_Rarely"/>
    <n v="616"/>
    <x v="1"/>
    <n v="2"/>
    <n v="2"/>
    <s v="Life Sciences"/>
    <n v="1"/>
    <n v="1802"/>
    <n v="3"/>
    <x v="0"/>
    <n v="99"/>
    <n v="3"/>
    <n v="1"/>
    <x v="2"/>
    <n v="1"/>
    <s v="Married"/>
    <n v="3377"/>
    <n v="25605"/>
    <n v="4"/>
    <s v="Y"/>
    <x v="1"/>
    <n v="17"/>
    <n v="3"/>
    <n v="4"/>
    <n v="80"/>
    <n v="1"/>
    <n v="7"/>
    <n v="5"/>
    <n v="2"/>
    <n v="4"/>
    <n v="3"/>
    <n v="0"/>
    <n v="2"/>
    <x v="1"/>
    <n v="1"/>
    <x v="0"/>
    <x v="0"/>
    <s v="2-5 Years"/>
    <s v="Low"/>
    <s v="Good"/>
  </r>
  <r>
    <x v="19"/>
    <s v="No"/>
    <s v="Travel_Rarely"/>
    <n v="1128"/>
    <x v="1"/>
    <n v="13"/>
    <n v="3"/>
    <s v="Medical"/>
    <n v="1"/>
    <n v="1803"/>
    <n v="2"/>
    <x v="1"/>
    <n v="95"/>
    <n v="4"/>
    <n v="2"/>
    <x v="4"/>
    <n v="1"/>
    <s v="Married"/>
    <n v="5538"/>
    <n v="5696"/>
    <n v="5"/>
    <s v="Y"/>
    <x v="1"/>
    <n v="18"/>
    <n v="3"/>
    <n v="3"/>
    <n v="80"/>
    <n v="2"/>
    <n v="10"/>
    <n v="2"/>
    <n v="2"/>
    <n v="0"/>
    <n v="0"/>
    <n v="0"/>
    <n v="0"/>
    <x v="1"/>
    <n v="1"/>
    <x v="0"/>
    <x v="0"/>
    <s v="0-1 Years"/>
    <s v="Low"/>
    <s v="Good"/>
  </r>
  <r>
    <x v="10"/>
    <s v="No"/>
    <s v="Non-Travel"/>
    <n v="1180"/>
    <x v="1"/>
    <n v="2"/>
    <n v="2"/>
    <s v="Medical"/>
    <n v="1"/>
    <n v="1804"/>
    <n v="2"/>
    <x v="1"/>
    <n v="90"/>
    <n v="3"/>
    <n v="2"/>
    <x v="3"/>
    <n v="4"/>
    <s v="Divorced"/>
    <n v="5762"/>
    <n v="24442"/>
    <n v="2"/>
    <s v="Y"/>
    <x v="1"/>
    <n v="14"/>
    <n v="3"/>
    <n v="3"/>
    <n v="80"/>
    <n v="1"/>
    <n v="15"/>
    <n v="6"/>
    <n v="3"/>
    <n v="7"/>
    <n v="7"/>
    <n v="1"/>
    <n v="7"/>
    <x v="1"/>
    <n v="1"/>
    <x v="0"/>
    <x v="0"/>
    <s v="6-10 Years"/>
    <s v="Very High"/>
    <s v="Better"/>
  </r>
  <r>
    <x v="8"/>
    <s v="No"/>
    <s v="Non-Travel"/>
    <n v="1336"/>
    <x v="2"/>
    <n v="2"/>
    <n v="3"/>
    <s v="Human Resources"/>
    <n v="1"/>
    <n v="1805"/>
    <n v="1"/>
    <x v="1"/>
    <n v="100"/>
    <n v="3"/>
    <n v="1"/>
    <x v="8"/>
    <n v="2"/>
    <s v="Divorced"/>
    <n v="2592"/>
    <n v="7129"/>
    <n v="5"/>
    <s v="Y"/>
    <x v="1"/>
    <n v="13"/>
    <n v="3"/>
    <n v="4"/>
    <n v="80"/>
    <n v="3"/>
    <n v="13"/>
    <n v="3"/>
    <n v="3"/>
    <n v="11"/>
    <n v="10"/>
    <n v="3"/>
    <n v="8"/>
    <x v="1"/>
    <n v="1"/>
    <x v="0"/>
    <x v="1"/>
    <s v="10+ Years"/>
    <s v="Medium"/>
    <s v="Better"/>
  </r>
  <r>
    <x v="13"/>
    <s v="Yes"/>
    <s v="Travel_Frequently"/>
    <n v="234"/>
    <x v="1"/>
    <n v="9"/>
    <n v="4"/>
    <s v="Life Sciences"/>
    <n v="1"/>
    <n v="1807"/>
    <n v="4"/>
    <x v="1"/>
    <n v="93"/>
    <n v="3"/>
    <n v="2"/>
    <x v="2"/>
    <n v="1"/>
    <s v="Married"/>
    <n v="5346"/>
    <n v="6208"/>
    <n v="4"/>
    <s v="Y"/>
    <x v="1"/>
    <n v="17"/>
    <n v="3"/>
    <n v="3"/>
    <n v="80"/>
    <n v="1"/>
    <n v="11"/>
    <n v="3"/>
    <n v="2"/>
    <n v="7"/>
    <n v="1"/>
    <n v="0"/>
    <n v="7"/>
    <x v="0"/>
    <n v="0"/>
    <x v="2"/>
    <x v="0"/>
    <s v="6-10 Years"/>
    <s v="Low"/>
    <s v="Good"/>
  </r>
  <r>
    <x v="2"/>
    <s v="Yes"/>
    <s v="Travel_Rarely"/>
    <n v="370"/>
    <x v="1"/>
    <n v="10"/>
    <n v="4"/>
    <s v="Medical"/>
    <n v="1"/>
    <n v="1809"/>
    <n v="4"/>
    <x v="1"/>
    <n v="58"/>
    <n v="3"/>
    <n v="2"/>
    <x v="3"/>
    <n v="1"/>
    <s v="Single"/>
    <n v="4213"/>
    <n v="4992"/>
    <n v="1"/>
    <s v="Y"/>
    <x v="1"/>
    <n v="15"/>
    <n v="3"/>
    <n v="2"/>
    <n v="80"/>
    <n v="0"/>
    <n v="10"/>
    <n v="4"/>
    <n v="1"/>
    <n v="10"/>
    <n v="3"/>
    <n v="0"/>
    <n v="8"/>
    <x v="0"/>
    <n v="0"/>
    <x v="0"/>
    <x v="0"/>
    <s v="6-10 Years"/>
    <s v="Low"/>
    <s v="Bad"/>
  </r>
  <r>
    <x v="22"/>
    <s v="No"/>
    <s v="Travel_Frequently"/>
    <n v="766"/>
    <x v="0"/>
    <n v="20"/>
    <n v="3"/>
    <s v="Life Sciences"/>
    <n v="1"/>
    <n v="1812"/>
    <n v="3"/>
    <x v="1"/>
    <n v="83"/>
    <n v="3"/>
    <n v="2"/>
    <x v="0"/>
    <n v="4"/>
    <s v="Divorced"/>
    <n v="4127"/>
    <n v="19188"/>
    <n v="2"/>
    <s v="Y"/>
    <x v="1"/>
    <n v="18"/>
    <n v="3"/>
    <n v="4"/>
    <n v="80"/>
    <n v="1"/>
    <n v="7"/>
    <n v="6"/>
    <n v="3"/>
    <n v="2"/>
    <n v="1"/>
    <n v="2"/>
    <n v="2"/>
    <x v="1"/>
    <n v="1"/>
    <x v="0"/>
    <x v="0"/>
    <s v="2-5 Years"/>
    <s v="Very High"/>
    <s v="Better"/>
  </r>
  <r>
    <x v="23"/>
    <s v="No"/>
    <s v="Non-Travel"/>
    <n v="343"/>
    <x v="1"/>
    <n v="9"/>
    <n v="3"/>
    <s v="Life Sciences"/>
    <n v="1"/>
    <n v="1813"/>
    <n v="1"/>
    <x v="1"/>
    <n v="52"/>
    <n v="3"/>
    <n v="1"/>
    <x v="1"/>
    <n v="3"/>
    <s v="Single"/>
    <n v="2438"/>
    <n v="24978"/>
    <n v="4"/>
    <s v="Y"/>
    <x v="1"/>
    <n v="13"/>
    <n v="3"/>
    <n v="3"/>
    <n v="80"/>
    <n v="0"/>
    <n v="7"/>
    <n v="2"/>
    <n v="2"/>
    <n v="3"/>
    <n v="2"/>
    <n v="1"/>
    <n v="2"/>
    <x v="1"/>
    <n v="1"/>
    <x v="0"/>
    <x v="1"/>
    <s v="2-5 Years"/>
    <s v="High"/>
    <s v="Good"/>
  </r>
  <r>
    <x v="0"/>
    <s v="No"/>
    <s v="Travel_Rarely"/>
    <n v="447"/>
    <x v="1"/>
    <n v="5"/>
    <n v="3"/>
    <s v="Life Sciences"/>
    <n v="1"/>
    <n v="1814"/>
    <n v="2"/>
    <x v="1"/>
    <n v="85"/>
    <n v="4"/>
    <n v="2"/>
    <x v="4"/>
    <n v="2"/>
    <s v="Single"/>
    <n v="6870"/>
    <n v="15530"/>
    <n v="3"/>
    <s v="Y"/>
    <x v="1"/>
    <n v="12"/>
    <n v="3"/>
    <n v="1"/>
    <n v="80"/>
    <n v="0"/>
    <n v="11"/>
    <n v="3"/>
    <n v="1"/>
    <n v="3"/>
    <n v="2"/>
    <n v="1"/>
    <n v="2"/>
    <x v="1"/>
    <n v="1"/>
    <x v="0"/>
    <x v="0"/>
    <s v="2-5 Years"/>
    <s v="Medium"/>
    <s v="Bad"/>
  </r>
  <r>
    <x v="0"/>
    <s v="No"/>
    <s v="Travel_Rarely"/>
    <n v="796"/>
    <x v="0"/>
    <n v="4"/>
    <n v="1"/>
    <s v="Marketing"/>
    <n v="1"/>
    <n v="1815"/>
    <n v="3"/>
    <x v="0"/>
    <n v="81"/>
    <n v="3"/>
    <n v="3"/>
    <x v="0"/>
    <n v="3"/>
    <s v="Divorced"/>
    <n v="10447"/>
    <n v="26458"/>
    <n v="0"/>
    <s v="Y"/>
    <x v="0"/>
    <n v="13"/>
    <n v="3"/>
    <n v="4"/>
    <n v="80"/>
    <n v="1"/>
    <n v="23"/>
    <n v="3"/>
    <n v="4"/>
    <n v="22"/>
    <n v="14"/>
    <n v="13"/>
    <n v="5"/>
    <x v="1"/>
    <n v="1"/>
    <x v="0"/>
    <x v="2"/>
    <s v="10+ Years"/>
    <s v="High"/>
    <s v="Best"/>
  </r>
  <r>
    <x v="7"/>
    <s v="No"/>
    <s v="Travel_Rarely"/>
    <n v="1092"/>
    <x v="1"/>
    <n v="10"/>
    <n v="3"/>
    <s v="Medical"/>
    <n v="1"/>
    <n v="1816"/>
    <n v="1"/>
    <x v="0"/>
    <n v="64"/>
    <n v="3"/>
    <n v="3"/>
    <x v="3"/>
    <n v="3"/>
    <s v="Single"/>
    <n v="9667"/>
    <n v="2739"/>
    <n v="9"/>
    <s v="Y"/>
    <x v="1"/>
    <n v="14"/>
    <n v="3"/>
    <n v="2"/>
    <n v="80"/>
    <n v="0"/>
    <n v="9"/>
    <n v="3"/>
    <n v="3"/>
    <n v="7"/>
    <n v="7"/>
    <n v="0"/>
    <n v="2"/>
    <x v="1"/>
    <n v="1"/>
    <x v="2"/>
    <x v="2"/>
    <s v="6-10 Years"/>
    <s v="High"/>
    <s v="Better"/>
  </r>
  <r>
    <x v="25"/>
    <s v="Yes"/>
    <s v="Travel_Rarely"/>
    <n v="920"/>
    <x v="2"/>
    <n v="20"/>
    <n v="2"/>
    <s v="Medical"/>
    <n v="1"/>
    <n v="1818"/>
    <n v="4"/>
    <x v="0"/>
    <n v="69"/>
    <n v="3"/>
    <n v="1"/>
    <x v="8"/>
    <n v="2"/>
    <s v="Married"/>
    <n v="2148"/>
    <n v="6889"/>
    <n v="0"/>
    <s v="Y"/>
    <x v="0"/>
    <n v="11"/>
    <n v="3"/>
    <n v="3"/>
    <n v="80"/>
    <n v="0"/>
    <n v="6"/>
    <n v="3"/>
    <n v="3"/>
    <n v="5"/>
    <n v="1"/>
    <n v="1"/>
    <n v="4"/>
    <x v="0"/>
    <n v="0"/>
    <x v="2"/>
    <x v="1"/>
    <s v="2-5 Years"/>
    <s v="Medium"/>
    <s v="Better"/>
  </r>
  <r>
    <x v="21"/>
    <s v="Yes"/>
    <s v="Travel_Rarely"/>
    <n v="261"/>
    <x v="1"/>
    <n v="21"/>
    <n v="2"/>
    <s v="Medical"/>
    <n v="1"/>
    <n v="1821"/>
    <n v="4"/>
    <x v="0"/>
    <n v="66"/>
    <n v="3"/>
    <n v="2"/>
    <x v="4"/>
    <n v="2"/>
    <s v="Married"/>
    <n v="8926"/>
    <n v="10842"/>
    <n v="4"/>
    <s v="Y"/>
    <x v="1"/>
    <n v="22"/>
    <n v="4"/>
    <n v="4"/>
    <n v="80"/>
    <n v="1"/>
    <n v="13"/>
    <n v="2"/>
    <n v="4"/>
    <n v="9"/>
    <n v="7"/>
    <n v="3"/>
    <n v="7"/>
    <x v="0"/>
    <n v="0"/>
    <x v="1"/>
    <x v="2"/>
    <s v="6-10 Years"/>
    <s v="Medium"/>
    <s v="Best"/>
  </r>
  <r>
    <x v="32"/>
    <s v="No"/>
    <s v="Travel_Rarely"/>
    <n v="1194"/>
    <x v="1"/>
    <n v="1"/>
    <n v="3"/>
    <s v="Life Sciences"/>
    <n v="1"/>
    <n v="1822"/>
    <n v="3"/>
    <x v="0"/>
    <n v="52"/>
    <n v="3"/>
    <n v="2"/>
    <x v="4"/>
    <n v="4"/>
    <s v="Divorced"/>
    <n v="6513"/>
    <n v="9060"/>
    <n v="4"/>
    <s v="Y"/>
    <x v="1"/>
    <n v="17"/>
    <n v="3"/>
    <n v="4"/>
    <n v="80"/>
    <n v="1"/>
    <n v="12"/>
    <n v="3"/>
    <n v="3"/>
    <n v="5"/>
    <n v="3"/>
    <n v="0"/>
    <n v="3"/>
    <x v="1"/>
    <n v="1"/>
    <x v="0"/>
    <x v="0"/>
    <s v="2-5 Years"/>
    <s v="Very High"/>
    <s v="Better"/>
  </r>
  <r>
    <x v="13"/>
    <s v="No"/>
    <s v="Travel_Rarely"/>
    <n v="810"/>
    <x v="0"/>
    <n v="8"/>
    <n v="2"/>
    <s v="Technical Degree"/>
    <n v="1"/>
    <n v="1823"/>
    <n v="2"/>
    <x v="1"/>
    <n v="92"/>
    <n v="4"/>
    <n v="2"/>
    <x v="0"/>
    <n v="3"/>
    <s v="Married"/>
    <n v="6799"/>
    <n v="22128"/>
    <n v="1"/>
    <s v="Y"/>
    <x v="1"/>
    <n v="21"/>
    <n v="4"/>
    <n v="3"/>
    <n v="80"/>
    <n v="2"/>
    <n v="10"/>
    <n v="5"/>
    <n v="3"/>
    <n v="10"/>
    <n v="8"/>
    <n v="4"/>
    <n v="8"/>
    <x v="1"/>
    <n v="1"/>
    <x v="2"/>
    <x v="0"/>
    <s v="6-10 Years"/>
    <s v="High"/>
    <s v="Better"/>
  </r>
  <r>
    <x v="34"/>
    <s v="No"/>
    <s v="Non-Travel"/>
    <n v="350"/>
    <x v="0"/>
    <n v="2"/>
    <n v="3"/>
    <s v="Medical"/>
    <n v="1"/>
    <n v="1824"/>
    <n v="2"/>
    <x v="1"/>
    <n v="52"/>
    <n v="3"/>
    <n v="4"/>
    <x v="5"/>
    <n v="2"/>
    <s v="Divorced"/>
    <n v="16291"/>
    <n v="22577"/>
    <n v="4"/>
    <s v="Y"/>
    <x v="1"/>
    <n v="22"/>
    <n v="4"/>
    <n v="4"/>
    <n v="80"/>
    <n v="1"/>
    <n v="37"/>
    <n v="0"/>
    <n v="2"/>
    <n v="16"/>
    <n v="9"/>
    <n v="14"/>
    <n v="14"/>
    <x v="1"/>
    <n v="1"/>
    <x v="3"/>
    <x v="2"/>
    <s v="10+ Years"/>
    <s v="Medium"/>
    <s v="Good"/>
  </r>
  <r>
    <x v="10"/>
    <s v="No"/>
    <s v="Travel_Rarely"/>
    <n v="185"/>
    <x v="1"/>
    <n v="23"/>
    <n v="4"/>
    <s v="Medical"/>
    <n v="1"/>
    <n v="1826"/>
    <n v="2"/>
    <x v="1"/>
    <n v="91"/>
    <n v="1"/>
    <n v="1"/>
    <x v="2"/>
    <n v="3"/>
    <s v="Married"/>
    <n v="2705"/>
    <n v="9696"/>
    <n v="0"/>
    <s v="Y"/>
    <x v="1"/>
    <n v="16"/>
    <n v="3"/>
    <n v="2"/>
    <n v="80"/>
    <n v="1"/>
    <n v="6"/>
    <n v="2"/>
    <n v="4"/>
    <n v="5"/>
    <n v="4"/>
    <n v="0"/>
    <n v="3"/>
    <x v="1"/>
    <n v="1"/>
    <x v="0"/>
    <x v="1"/>
    <s v="2-5 Years"/>
    <s v="High"/>
    <s v="Best"/>
  </r>
  <r>
    <x v="40"/>
    <s v="No"/>
    <s v="Travel_Rarely"/>
    <n v="1001"/>
    <x v="1"/>
    <n v="4"/>
    <n v="3"/>
    <s v="Life Sciences"/>
    <n v="1"/>
    <n v="1827"/>
    <n v="3"/>
    <x v="0"/>
    <n v="92"/>
    <n v="2"/>
    <n v="3"/>
    <x v="3"/>
    <n v="2"/>
    <s v="Divorced"/>
    <n v="10333"/>
    <n v="19271"/>
    <n v="8"/>
    <s v="Y"/>
    <x v="0"/>
    <n v="12"/>
    <n v="3"/>
    <n v="3"/>
    <n v="80"/>
    <n v="1"/>
    <n v="28"/>
    <n v="4"/>
    <n v="3"/>
    <n v="22"/>
    <n v="11"/>
    <n v="14"/>
    <n v="10"/>
    <x v="1"/>
    <n v="1"/>
    <x v="1"/>
    <x v="2"/>
    <s v="10+ Years"/>
    <s v="Medium"/>
    <s v="Better"/>
  </r>
  <r>
    <x v="32"/>
    <s v="No"/>
    <s v="Travel_Rarely"/>
    <n v="750"/>
    <x v="1"/>
    <n v="12"/>
    <n v="3"/>
    <s v="Life Sciences"/>
    <n v="1"/>
    <n v="1829"/>
    <n v="2"/>
    <x v="0"/>
    <n v="47"/>
    <n v="3"/>
    <n v="2"/>
    <x v="4"/>
    <n v="1"/>
    <s v="Divorced"/>
    <n v="4448"/>
    <n v="10748"/>
    <n v="2"/>
    <s v="Y"/>
    <x v="1"/>
    <n v="12"/>
    <n v="3"/>
    <n v="2"/>
    <n v="80"/>
    <n v="1"/>
    <n v="15"/>
    <n v="3"/>
    <n v="3"/>
    <n v="7"/>
    <n v="4"/>
    <n v="7"/>
    <n v="7"/>
    <x v="1"/>
    <n v="1"/>
    <x v="0"/>
    <x v="0"/>
    <s v="6-10 Years"/>
    <s v="Low"/>
    <s v="Better"/>
  </r>
  <r>
    <x v="33"/>
    <s v="No"/>
    <s v="Travel_Rarely"/>
    <n v="431"/>
    <x v="1"/>
    <n v="7"/>
    <n v="4"/>
    <s v="Medical"/>
    <n v="1"/>
    <n v="1830"/>
    <n v="4"/>
    <x v="0"/>
    <n v="68"/>
    <n v="3"/>
    <n v="2"/>
    <x v="1"/>
    <n v="4"/>
    <s v="Married"/>
    <n v="6854"/>
    <n v="15696"/>
    <n v="4"/>
    <s v="Y"/>
    <x v="1"/>
    <n v="15"/>
    <n v="3"/>
    <n v="2"/>
    <n v="80"/>
    <n v="1"/>
    <n v="14"/>
    <n v="2"/>
    <n v="2"/>
    <n v="7"/>
    <n v="1"/>
    <n v="1"/>
    <n v="7"/>
    <x v="1"/>
    <n v="1"/>
    <x v="1"/>
    <x v="0"/>
    <s v="6-10 Years"/>
    <s v="Very High"/>
    <s v="Good"/>
  </r>
  <r>
    <x v="12"/>
    <s v="No"/>
    <s v="Travel_Frequently"/>
    <n v="1125"/>
    <x v="0"/>
    <n v="7"/>
    <n v="4"/>
    <s v="Marketing"/>
    <n v="1"/>
    <n v="1833"/>
    <n v="1"/>
    <x v="0"/>
    <n v="68"/>
    <n v="3"/>
    <n v="3"/>
    <x v="0"/>
    <n v="1"/>
    <s v="Married"/>
    <n v="9637"/>
    <n v="8277"/>
    <n v="2"/>
    <s v="Y"/>
    <x v="1"/>
    <n v="14"/>
    <n v="3"/>
    <n v="4"/>
    <n v="80"/>
    <n v="2"/>
    <n v="9"/>
    <n v="3"/>
    <n v="3"/>
    <n v="3"/>
    <n v="2"/>
    <n v="2"/>
    <n v="2"/>
    <x v="1"/>
    <n v="1"/>
    <x v="2"/>
    <x v="2"/>
    <s v="2-5 Years"/>
    <s v="Low"/>
    <s v="Better"/>
  </r>
  <r>
    <x v="14"/>
    <s v="No"/>
    <s v="Travel_Rarely"/>
    <n v="1217"/>
    <x v="1"/>
    <n v="1"/>
    <n v="3"/>
    <s v="Medical"/>
    <n v="1"/>
    <n v="1834"/>
    <n v="3"/>
    <x v="0"/>
    <n v="67"/>
    <n v="3"/>
    <n v="1"/>
    <x v="1"/>
    <n v="1"/>
    <s v="Married"/>
    <n v="3591"/>
    <n v="12719"/>
    <n v="1"/>
    <s v="Y"/>
    <x v="1"/>
    <n v="25"/>
    <n v="4"/>
    <n v="3"/>
    <n v="80"/>
    <n v="1"/>
    <n v="3"/>
    <n v="3"/>
    <n v="3"/>
    <n v="3"/>
    <n v="2"/>
    <n v="1"/>
    <n v="2"/>
    <x v="1"/>
    <n v="1"/>
    <x v="2"/>
    <x v="0"/>
    <s v="2-5 Years"/>
    <s v="Low"/>
    <s v="Better"/>
  </r>
  <r>
    <x v="8"/>
    <s v="No"/>
    <s v="Travel_Rarely"/>
    <n v="723"/>
    <x v="0"/>
    <n v="2"/>
    <n v="4"/>
    <s v="Marketing"/>
    <n v="1"/>
    <n v="1835"/>
    <n v="2"/>
    <x v="0"/>
    <n v="77"/>
    <n v="1"/>
    <n v="2"/>
    <x v="6"/>
    <n v="4"/>
    <s v="Married"/>
    <n v="5405"/>
    <n v="4244"/>
    <n v="2"/>
    <s v="Y"/>
    <x v="0"/>
    <n v="20"/>
    <n v="4"/>
    <n v="1"/>
    <n v="80"/>
    <n v="2"/>
    <n v="20"/>
    <n v="4"/>
    <n v="2"/>
    <n v="4"/>
    <n v="2"/>
    <n v="0"/>
    <n v="3"/>
    <x v="1"/>
    <n v="1"/>
    <x v="0"/>
    <x v="0"/>
    <s v="2-5 Years"/>
    <s v="Very High"/>
    <s v="Good"/>
  </r>
  <r>
    <x v="25"/>
    <s v="No"/>
    <s v="Travel_Rarely"/>
    <n v="572"/>
    <x v="0"/>
    <n v="10"/>
    <n v="3"/>
    <s v="Medical"/>
    <n v="1"/>
    <n v="1836"/>
    <n v="3"/>
    <x v="1"/>
    <n v="46"/>
    <n v="3"/>
    <n v="2"/>
    <x v="0"/>
    <n v="4"/>
    <s v="Single"/>
    <n v="4684"/>
    <n v="9125"/>
    <n v="1"/>
    <s v="Y"/>
    <x v="1"/>
    <n v="13"/>
    <n v="3"/>
    <n v="1"/>
    <n v="80"/>
    <n v="0"/>
    <n v="5"/>
    <n v="4"/>
    <n v="3"/>
    <n v="5"/>
    <n v="3"/>
    <n v="1"/>
    <n v="2"/>
    <x v="1"/>
    <n v="1"/>
    <x v="2"/>
    <x v="0"/>
    <s v="2-5 Years"/>
    <s v="Very High"/>
    <s v="Better"/>
  </r>
  <r>
    <x v="34"/>
    <s v="No"/>
    <s v="Travel_Frequently"/>
    <n v="1216"/>
    <x v="1"/>
    <n v="15"/>
    <n v="4"/>
    <s v="Life Sciences"/>
    <n v="1"/>
    <n v="1837"/>
    <n v="1"/>
    <x v="1"/>
    <n v="87"/>
    <n v="3"/>
    <n v="4"/>
    <x v="7"/>
    <n v="3"/>
    <s v="Married"/>
    <n v="15787"/>
    <n v="21624"/>
    <n v="2"/>
    <s v="Y"/>
    <x v="0"/>
    <n v="14"/>
    <n v="3"/>
    <n v="2"/>
    <n v="80"/>
    <n v="0"/>
    <n v="23"/>
    <n v="3"/>
    <n v="3"/>
    <n v="2"/>
    <n v="2"/>
    <n v="2"/>
    <n v="2"/>
    <x v="1"/>
    <n v="1"/>
    <x v="3"/>
    <x v="2"/>
    <s v="2-5 Years"/>
    <s v="High"/>
    <s v="Better"/>
  </r>
  <r>
    <x v="41"/>
    <s v="No"/>
    <s v="Non-Travel"/>
    <n v="1431"/>
    <x v="1"/>
    <n v="14"/>
    <n v="3"/>
    <s v="Medical"/>
    <n v="1"/>
    <n v="1839"/>
    <n v="2"/>
    <x v="0"/>
    <n v="33"/>
    <n v="3"/>
    <n v="1"/>
    <x v="1"/>
    <n v="3"/>
    <s v="Single"/>
    <n v="1514"/>
    <n v="8018"/>
    <n v="1"/>
    <s v="Y"/>
    <x v="1"/>
    <n v="16"/>
    <n v="3"/>
    <n v="3"/>
    <n v="80"/>
    <n v="0"/>
    <n v="0"/>
    <n v="4"/>
    <n v="1"/>
    <n v="0"/>
    <n v="0"/>
    <n v="0"/>
    <n v="0"/>
    <x v="1"/>
    <n v="1"/>
    <x v="4"/>
    <x v="1"/>
    <s v="0-1 Years"/>
    <s v="High"/>
    <s v="Bad"/>
  </r>
  <r>
    <x v="12"/>
    <s v="Yes"/>
    <s v="Travel_Rarely"/>
    <n v="359"/>
    <x v="2"/>
    <n v="18"/>
    <n v="5"/>
    <s v="Human Resources"/>
    <n v="1"/>
    <n v="1842"/>
    <n v="4"/>
    <x v="1"/>
    <n v="89"/>
    <n v="4"/>
    <n v="1"/>
    <x v="8"/>
    <n v="1"/>
    <s v="Married"/>
    <n v="2956"/>
    <n v="21495"/>
    <n v="0"/>
    <s v="Y"/>
    <x v="1"/>
    <n v="17"/>
    <n v="3"/>
    <n v="3"/>
    <n v="80"/>
    <n v="0"/>
    <n v="2"/>
    <n v="4"/>
    <n v="3"/>
    <n v="1"/>
    <n v="0"/>
    <n v="0"/>
    <n v="0"/>
    <x v="0"/>
    <n v="0"/>
    <x v="2"/>
    <x v="1"/>
    <s v="0-1 Years"/>
    <s v="Low"/>
    <s v="Better"/>
  </r>
  <r>
    <x v="11"/>
    <s v="Yes"/>
    <s v="Travel_Rarely"/>
    <n v="350"/>
    <x v="2"/>
    <n v="13"/>
    <n v="3"/>
    <s v="Human Resources"/>
    <n v="1"/>
    <n v="1844"/>
    <n v="1"/>
    <x v="1"/>
    <n v="56"/>
    <n v="2"/>
    <n v="1"/>
    <x v="8"/>
    <n v="1"/>
    <s v="Divorced"/>
    <n v="2335"/>
    <n v="3157"/>
    <n v="4"/>
    <s v="Y"/>
    <x v="0"/>
    <n v="15"/>
    <n v="3"/>
    <n v="4"/>
    <n v="80"/>
    <n v="3"/>
    <n v="4"/>
    <n v="3"/>
    <n v="3"/>
    <n v="2"/>
    <n v="2"/>
    <n v="2"/>
    <n v="0"/>
    <x v="0"/>
    <n v="0"/>
    <x v="2"/>
    <x v="1"/>
    <s v="2-5 Years"/>
    <s v="Low"/>
    <s v="Better"/>
  </r>
  <r>
    <x v="28"/>
    <s v="No"/>
    <s v="Non-Travel"/>
    <n v="589"/>
    <x v="0"/>
    <n v="2"/>
    <n v="4"/>
    <s v="Life Sciences"/>
    <n v="1"/>
    <n v="1845"/>
    <n v="3"/>
    <x v="0"/>
    <n v="67"/>
    <n v="3"/>
    <n v="2"/>
    <x v="0"/>
    <n v="3"/>
    <s v="Married"/>
    <n v="5154"/>
    <n v="19665"/>
    <n v="4"/>
    <s v="Y"/>
    <x v="1"/>
    <n v="22"/>
    <n v="4"/>
    <n v="2"/>
    <n v="80"/>
    <n v="2"/>
    <n v="10"/>
    <n v="3"/>
    <n v="4"/>
    <n v="8"/>
    <n v="7"/>
    <n v="5"/>
    <n v="7"/>
    <x v="1"/>
    <n v="1"/>
    <x v="1"/>
    <x v="0"/>
    <s v="6-10 Years"/>
    <s v="High"/>
    <s v="Best"/>
  </r>
  <r>
    <x v="9"/>
    <s v="No"/>
    <s v="Travel_Rarely"/>
    <n v="430"/>
    <x v="1"/>
    <n v="2"/>
    <n v="4"/>
    <s v="Other"/>
    <n v="1"/>
    <n v="1847"/>
    <n v="4"/>
    <x v="0"/>
    <n v="73"/>
    <n v="3"/>
    <n v="2"/>
    <x v="1"/>
    <n v="2"/>
    <s v="Married"/>
    <n v="6962"/>
    <n v="19573"/>
    <n v="4"/>
    <s v="Y"/>
    <x v="0"/>
    <n v="22"/>
    <n v="4"/>
    <n v="4"/>
    <n v="80"/>
    <n v="1"/>
    <n v="15"/>
    <n v="2"/>
    <n v="3"/>
    <n v="1"/>
    <n v="0"/>
    <n v="0"/>
    <n v="0"/>
    <x v="1"/>
    <n v="1"/>
    <x v="0"/>
    <x v="0"/>
    <s v="0-1 Years"/>
    <s v="Medium"/>
    <s v="Better"/>
  </r>
  <r>
    <x v="23"/>
    <s v="No"/>
    <s v="Travel_Frequently"/>
    <n v="1422"/>
    <x v="0"/>
    <n v="2"/>
    <n v="4"/>
    <s v="Life Sciences"/>
    <n v="1"/>
    <n v="1849"/>
    <n v="1"/>
    <x v="1"/>
    <n v="92"/>
    <n v="3"/>
    <n v="2"/>
    <x v="0"/>
    <n v="4"/>
    <s v="Married"/>
    <n v="5675"/>
    <n v="19246"/>
    <n v="1"/>
    <s v="Y"/>
    <x v="1"/>
    <n v="20"/>
    <n v="4"/>
    <n v="3"/>
    <n v="80"/>
    <n v="1"/>
    <n v="7"/>
    <n v="5"/>
    <n v="3"/>
    <n v="7"/>
    <n v="7"/>
    <n v="7"/>
    <n v="7"/>
    <x v="1"/>
    <n v="1"/>
    <x v="0"/>
    <x v="0"/>
    <s v="6-10 Years"/>
    <s v="Very High"/>
    <s v="Better"/>
  </r>
  <r>
    <x v="4"/>
    <s v="No"/>
    <s v="Travel_Frequently"/>
    <n v="1297"/>
    <x v="1"/>
    <n v="5"/>
    <n v="2"/>
    <s v="Life Sciences"/>
    <n v="1"/>
    <n v="1850"/>
    <n v="4"/>
    <x v="0"/>
    <n v="53"/>
    <n v="3"/>
    <n v="1"/>
    <x v="2"/>
    <n v="4"/>
    <s v="Single"/>
    <n v="2379"/>
    <n v="19826"/>
    <n v="0"/>
    <s v="Y"/>
    <x v="0"/>
    <n v="14"/>
    <n v="3"/>
    <n v="3"/>
    <n v="80"/>
    <n v="0"/>
    <n v="6"/>
    <n v="3"/>
    <n v="2"/>
    <n v="5"/>
    <n v="4"/>
    <n v="0"/>
    <n v="2"/>
    <x v="1"/>
    <n v="1"/>
    <x v="2"/>
    <x v="1"/>
    <s v="2-5 Years"/>
    <s v="Very High"/>
    <s v="Good"/>
  </r>
  <r>
    <x v="11"/>
    <s v="No"/>
    <s v="Travel_Frequently"/>
    <n v="574"/>
    <x v="1"/>
    <n v="20"/>
    <n v="1"/>
    <s v="Medical"/>
    <n v="1"/>
    <n v="1852"/>
    <n v="4"/>
    <x v="1"/>
    <n v="40"/>
    <n v="3"/>
    <n v="1"/>
    <x v="2"/>
    <n v="4"/>
    <s v="Married"/>
    <n v="3812"/>
    <n v="7003"/>
    <n v="1"/>
    <s v="Y"/>
    <x v="1"/>
    <n v="13"/>
    <n v="3"/>
    <n v="2"/>
    <n v="80"/>
    <n v="0"/>
    <n v="11"/>
    <n v="3"/>
    <n v="4"/>
    <n v="11"/>
    <n v="8"/>
    <n v="3"/>
    <n v="10"/>
    <x v="1"/>
    <n v="1"/>
    <x v="2"/>
    <x v="0"/>
    <s v="10+ Years"/>
    <s v="Very High"/>
    <s v="Best"/>
  </r>
  <r>
    <x v="5"/>
    <s v="No"/>
    <s v="Travel_Frequently"/>
    <n v="1318"/>
    <x v="0"/>
    <n v="10"/>
    <n v="4"/>
    <s v="Marketing"/>
    <n v="1"/>
    <n v="1853"/>
    <n v="4"/>
    <x v="1"/>
    <n v="79"/>
    <n v="3"/>
    <n v="2"/>
    <x v="0"/>
    <n v="4"/>
    <s v="Single"/>
    <n v="4648"/>
    <n v="26075"/>
    <n v="8"/>
    <s v="Y"/>
    <x v="1"/>
    <n v="13"/>
    <n v="3"/>
    <n v="3"/>
    <n v="80"/>
    <n v="0"/>
    <n v="4"/>
    <n v="2"/>
    <n v="4"/>
    <n v="0"/>
    <n v="0"/>
    <n v="0"/>
    <n v="0"/>
    <x v="1"/>
    <n v="1"/>
    <x v="2"/>
    <x v="0"/>
    <s v="0-1 Years"/>
    <s v="Very High"/>
    <s v="Best"/>
  </r>
  <r>
    <x v="19"/>
    <s v="No"/>
    <s v="Non-Travel"/>
    <n v="355"/>
    <x v="1"/>
    <n v="10"/>
    <n v="4"/>
    <s v="Technical Degree"/>
    <n v="1"/>
    <n v="1854"/>
    <n v="3"/>
    <x v="1"/>
    <n v="38"/>
    <n v="3"/>
    <n v="1"/>
    <x v="1"/>
    <n v="3"/>
    <s v="Married"/>
    <n v="2936"/>
    <n v="6161"/>
    <n v="3"/>
    <s v="Y"/>
    <x v="1"/>
    <n v="22"/>
    <n v="4"/>
    <n v="2"/>
    <n v="80"/>
    <n v="2"/>
    <n v="10"/>
    <n v="1"/>
    <n v="2"/>
    <n v="6"/>
    <n v="3"/>
    <n v="3"/>
    <n v="3"/>
    <x v="1"/>
    <n v="1"/>
    <x v="0"/>
    <x v="1"/>
    <s v="6-10 Years"/>
    <s v="High"/>
    <s v="Good"/>
  </r>
  <r>
    <x v="40"/>
    <s v="No"/>
    <s v="Travel_Rarely"/>
    <n v="207"/>
    <x v="1"/>
    <n v="9"/>
    <n v="4"/>
    <s v="Life Sciences"/>
    <n v="1"/>
    <n v="1856"/>
    <n v="2"/>
    <x v="0"/>
    <n v="64"/>
    <n v="3"/>
    <n v="1"/>
    <x v="2"/>
    <n v="3"/>
    <s v="Single"/>
    <n v="2105"/>
    <n v="5411"/>
    <n v="4"/>
    <s v="Y"/>
    <x v="1"/>
    <n v="12"/>
    <n v="3"/>
    <n v="3"/>
    <n v="80"/>
    <n v="0"/>
    <n v="7"/>
    <n v="2"/>
    <n v="3"/>
    <n v="2"/>
    <n v="2"/>
    <n v="2"/>
    <n v="0"/>
    <x v="1"/>
    <n v="1"/>
    <x v="1"/>
    <x v="1"/>
    <s v="2-5 Years"/>
    <s v="High"/>
    <s v="Better"/>
  </r>
  <r>
    <x v="21"/>
    <s v="No"/>
    <s v="Travel_Rarely"/>
    <n v="706"/>
    <x v="1"/>
    <n v="2"/>
    <n v="2"/>
    <s v="Life Sciences"/>
    <n v="1"/>
    <n v="1857"/>
    <n v="4"/>
    <x v="1"/>
    <n v="82"/>
    <n v="3"/>
    <n v="3"/>
    <x v="3"/>
    <n v="4"/>
    <s v="Divorced"/>
    <n v="8578"/>
    <n v="19989"/>
    <n v="3"/>
    <s v="Y"/>
    <x v="1"/>
    <n v="14"/>
    <n v="3"/>
    <n v="3"/>
    <n v="80"/>
    <n v="1"/>
    <n v="12"/>
    <n v="4"/>
    <n v="2"/>
    <n v="9"/>
    <n v="8"/>
    <n v="4"/>
    <n v="7"/>
    <x v="1"/>
    <n v="1"/>
    <x v="1"/>
    <x v="2"/>
    <s v="6-10 Years"/>
    <s v="Very High"/>
    <s v="Good"/>
  </r>
  <r>
    <x v="14"/>
    <s v="No"/>
    <s v="Non-Travel"/>
    <n v="280"/>
    <x v="2"/>
    <n v="1"/>
    <n v="2"/>
    <s v="Life Sciences"/>
    <n v="1"/>
    <n v="1858"/>
    <n v="3"/>
    <x v="1"/>
    <n v="43"/>
    <n v="3"/>
    <n v="1"/>
    <x v="8"/>
    <n v="4"/>
    <s v="Divorced"/>
    <n v="2706"/>
    <n v="10494"/>
    <n v="1"/>
    <s v="Y"/>
    <x v="1"/>
    <n v="15"/>
    <n v="3"/>
    <n v="2"/>
    <n v="80"/>
    <n v="1"/>
    <n v="3"/>
    <n v="2"/>
    <n v="3"/>
    <n v="3"/>
    <n v="2"/>
    <n v="2"/>
    <n v="2"/>
    <x v="1"/>
    <n v="1"/>
    <x v="2"/>
    <x v="1"/>
    <s v="2-5 Years"/>
    <s v="Very High"/>
    <s v="Better"/>
  </r>
  <r>
    <x v="11"/>
    <s v="No"/>
    <s v="Travel_Rarely"/>
    <n v="726"/>
    <x v="1"/>
    <n v="29"/>
    <n v="1"/>
    <s v="Life Sciences"/>
    <n v="1"/>
    <n v="1859"/>
    <n v="4"/>
    <x v="1"/>
    <n v="93"/>
    <n v="1"/>
    <n v="2"/>
    <x v="4"/>
    <n v="3"/>
    <s v="Divorced"/>
    <n v="6384"/>
    <n v="21143"/>
    <n v="8"/>
    <s v="Y"/>
    <x v="1"/>
    <n v="17"/>
    <n v="3"/>
    <n v="4"/>
    <n v="80"/>
    <n v="2"/>
    <n v="11"/>
    <n v="3"/>
    <n v="3"/>
    <n v="7"/>
    <n v="0"/>
    <n v="1"/>
    <n v="6"/>
    <x v="1"/>
    <n v="1"/>
    <x v="2"/>
    <x v="0"/>
    <s v="6-10 Years"/>
    <s v="High"/>
    <s v="Better"/>
  </r>
  <r>
    <x v="19"/>
    <s v="No"/>
    <s v="Travel_Rarely"/>
    <n v="1142"/>
    <x v="1"/>
    <n v="8"/>
    <n v="3"/>
    <s v="Life Sciences"/>
    <n v="1"/>
    <n v="1860"/>
    <n v="4"/>
    <x v="1"/>
    <n v="81"/>
    <n v="3"/>
    <n v="1"/>
    <x v="2"/>
    <n v="3"/>
    <s v="Single"/>
    <n v="3968"/>
    <n v="13624"/>
    <n v="4"/>
    <s v="Y"/>
    <x v="1"/>
    <n v="13"/>
    <n v="3"/>
    <n v="4"/>
    <n v="80"/>
    <n v="0"/>
    <n v="8"/>
    <n v="3"/>
    <n v="3"/>
    <n v="0"/>
    <n v="0"/>
    <n v="0"/>
    <n v="0"/>
    <x v="1"/>
    <n v="1"/>
    <x v="0"/>
    <x v="0"/>
    <s v="0-1 Years"/>
    <s v="High"/>
    <s v="Better"/>
  </r>
  <r>
    <x v="5"/>
    <s v="Yes"/>
    <s v="Travel_Rarely"/>
    <n v="414"/>
    <x v="0"/>
    <n v="2"/>
    <n v="4"/>
    <s v="Marketing"/>
    <n v="1"/>
    <n v="1862"/>
    <n v="3"/>
    <x v="1"/>
    <n v="82"/>
    <n v="2"/>
    <n v="2"/>
    <x v="0"/>
    <n v="2"/>
    <s v="Single"/>
    <n v="9907"/>
    <n v="26186"/>
    <n v="7"/>
    <s v="Y"/>
    <x v="0"/>
    <n v="12"/>
    <n v="3"/>
    <n v="3"/>
    <n v="80"/>
    <n v="0"/>
    <n v="7"/>
    <n v="3"/>
    <n v="2"/>
    <n v="2"/>
    <n v="2"/>
    <n v="2"/>
    <n v="2"/>
    <x v="0"/>
    <n v="0"/>
    <x v="2"/>
    <x v="2"/>
    <s v="2-5 Years"/>
    <s v="Medium"/>
    <s v="Good"/>
  </r>
  <r>
    <x v="21"/>
    <s v="No"/>
    <s v="Travel_Rarely"/>
    <n v="1319"/>
    <x v="0"/>
    <n v="3"/>
    <n v="3"/>
    <s v="Technical Degree"/>
    <n v="1"/>
    <n v="1863"/>
    <n v="1"/>
    <x v="0"/>
    <n v="45"/>
    <n v="4"/>
    <n v="4"/>
    <x v="0"/>
    <n v="1"/>
    <s v="Divorced"/>
    <n v="13225"/>
    <n v="7739"/>
    <n v="2"/>
    <s v="Y"/>
    <x v="1"/>
    <n v="12"/>
    <n v="3"/>
    <n v="4"/>
    <n v="80"/>
    <n v="1"/>
    <n v="25"/>
    <n v="5"/>
    <n v="3"/>
    <n v="19"/>
    <n v="17"/>
    <n v="2"/>
    <n v="8"/>
    <x v="1"/>
    <n v="1"/>
    <x v="1"/>
    <x v="2"/>
    <s v="10+ Years"/>
    <s v="Low"/>
    <s v="Better"/>
  </r>
  <r>
    <x v="4"/>
    <s v="No"/>
    <s v="Travel_Rarely"/>
    <n v="728"/>
    <x v="0"/>
    <n v="23"/>
    <n v="1"/>
    <s v="Medical"/>
    <n v="1"/>
    <n v="1864"/>
    <n v="2"/>
    <x v="0"/>
    <n v="36"/>
    <n v="2"/>
    <n v="2"/>
    <x v="6"/>
    <n v="3"/>
    <s v="Married"/>
    <n v="3540"/>
    <n v="7018"/>
    <n v="1"/>
    <s v="Y"/>
    <x v="1"/>
    <n v="21"/>
    <n v="4"/>
    <n v="4"/>
    <n v="80"/>
    <n v="1"/>
    <n v="9"/>
    <n v="5"/>
    <n v="3"/>
    <n v="9"/>
    <n v="8"/>
    <n v="5"/>
    <n v="8"/>
    <x v="1"/>
    <n v="1"/>
    <x v="2"/>
    <x v="0"/>
    <s v="6-10 Years"/>
    <s v="High"/>
    <s v="Better"/>
  </r>
  <r>
    <x v="11"/>
    <s v="No"/>
    <s v="Travel_Rarely"/>
    <n v="352"/>
    <x v="2"/>
    <n v="6"/>
    <n v="1"/>
    <s v="Medical"/>
    <n v="1"/>
    <n v="1865"/>
    <n v="4"/>
    <x v="1"/>
    <n v="87"/>
    <n v="2"/>
    <n v="1"/>
    <x v="8"/>
    <n v="2"/>
    <s v="Married"/>
    <n v="2804"/>
    <n v="15434"/>
    <n v="1"/>
    <s v="Y"/>
    <x v="1"/>
    <n v="11"/>
    <n v="3"/>
    <n v="4"/>
    <n v="80"/>
    <n v="0"/>
    <n v="1"/>
    <n v="3"/>
    <n v="3"/>
    <n v="1"/>
    <n v="0"/>
    <n v="0"/>
    <n v="0"/>
    <x v="1"/>
    <n v="1"/>
    <x v="2"/>
    <x v="1"/>
    <s v="0-1 Years"/>
    <s v="Medium"/>
    <s v="Better"/>
  </r>
  <r>
    <x v="23"/>
    <s v="No"/>
    <s v="Travel_Rarely"/>
    <n v="823"/>
    <x v="1"/>
    <n v="6"/>
    <n v="3"/>
    <s v="Medical"/>
    <n v="1"/>
    <n v="1866"/>
    <n v="1"/>
    <x v="0"/>
    <n v="81"/>
    <n v="2"/>
    <n v="5"/>
    <x v="5"/>
    <n v="3"/>
    <s v="Married"/>
    <n v="19392"/>
    <n v="22539"/>
    <n v="7"/>
    <s v="Y"/>
    <x v="1"/>
    <n v="13"/>
    <n v="3"/>
    <n v="4"/>
    <n v="80"/>
    <n v="0"/>
    <n v="21"/>
    <n v="2"/>
    <n v="3"/>
    <n v="16"/>
    <n v="12"/>
    <n v="6"/>
    <n v="14"/>
    <x v="1"/>
    <n v="1"/>
    <x v="0"/>
    <x v="2"/>
    <s v="10+ Years"/>
    <s v="High"/>
    <s v="Better"/>
  </r>
  <r>
    <x v="26"/>
    <s v="No"/>
    <s v="Travel_Rarely"/>
    <n v="1224"/>
    <x v="1"/>
    <n v="10"/>
    <n v="3"/>
    <s v="Life Sciences"/>
    <n v="1"/>
    <n v="1867"/>
    <n v="4"/>
    <x v="1"/>
    <n v="91"/>
    <n v="2"/>
    <n v="5"/>
    <x v="7"/>
    <n v="2"/>
    <s v="Married"/>
    <n v="19665"/>
    <n v="13583"/>
    <n v="4"/>
    <s v="Y"/>
    <x v="1"/>
    <n v="12"/>
    <n v="3"/>
    <n v="4"/>
    <n v="80"/>
    <n v="0"/>
    <n v="29"/>
    <n v="3"/>
    <n v="3"/>
    <n v="22"/>
    <n v="10"/>
    <n v="12"/>
    <n v="9"/>
    <x v="1"/>
    <n v="1"/>
    <x v="1"/>
    <x v="2"/>
    <s v="10+ Years"/>
    <s v="Medium"/>
    <s v="Better"/>
  </r>
  <r>
    <x v="11"/>
    <s v="Yes"/>
    <s v="Travel_Frequently"/>
    <n v="459"/>
    <x v="1"/>
    <n v="24"/>
    <n v="2"/>
    <s v="Life Sciences"/>
    <n v="1"/>
    <n v="1868"/>
    <n v="4"/>
    <x v="1"/>
    <n v="73"/>
    <n v="2"/>
    <n v="1"/>
    <x v="1"/>
    <n v="4"/>
    <s v="Single"/>
    <n v="2439"/>
    <n v="14753"/>
    <n v="1"/>
    <s v="Y"/>
    <x v="0"/>
    <n v="24"/>
    <n v="4"/>
    <n v="2"/>
    <n v="80"/>
    <n v="0"/>
    <n v="1"/>
    <n v="3"/>
    <n v="2"/>
    <n v="1"/>
    <n v="0"/>
    <n v="1"/>
    <n v="0"/>
    <x v="0"/>
    <n v="0"/>
    <x v="2"/>
    <x v="1"/>
    <s v="0-1 Years"/>
    <s v="Very High"/>
    <s v="Good"/>
  </r>
  <r>
    <x v="21"/>
    <s v="Yes"/>
    <s v="Travel_Rarely"/>
    <n v="1254"/>
    <x v="0"/>
    <n v="10"/>
    <n v="3"/>
    <s v="Life Sciences"/>
    <n v="1"/>
    <n v="1869"/>
    <n v="3"/>
    <x v="0"/>
    <n v="64"/>
    <n v="3"/>
    <n v="3"/>
    <x v="0"/>
    <n v="2"/>
    <s v="Married"/>
    <n v="7314"/>
    <n v="14011"/>
    <n v="5"/>
    <s v="Y"/>
    <x v="1"/>
    <n v="21"/>
    <n v="4"/>
    <n v="3"/>
    <n v="80"/>
    <n v="3"/>
    <n v="14"/>
    <n v="2"/>
    <n v="3"/>
    <n v="8"/>
    <n v="7"/>
    <n v="0"/>
    <n v="7"/>
    <x v="0"/>
    <n v="0"/>
    <x v="1"/>
    <x v="2"/>
    <s v="6-10 Years"/>
    <s v="Medium"/>
    <s v="Better"/>
  </r>
  <r>
    <x v="4"/>
    <s v="No"/>
    <s v="Travel_Frequently"/>
    <n v="1131"/>
    <x v="1"/>
    <n v="15"/>
    <n v="3"/>
    <s v="Life Sciences"/>
    <n v="1"/>
    <n v="1870"/>
    <n v="4"/>
    <x v="0"/>
    <n v="77"/>
    <n v="2"/>
    <n v="1"/>
    <x v="1"/>
    <n v="1"/>
    <s v="Married"/>
    <n v="4774"/>
    <n v="23844"/>
    <n v="0"/>
    <s v="Y"/>
    <x v="1"/>
    <n v="19"/>
    <n v="3"/>
    <n v="4"/>
    <n v="80"/>
    <n v="1"/>
    <n v="8"/>
    <n v="2"/>
    <n v="2"/>
    <n v="7"/>
    <n v="6"/>
    <n v="7"/>
    <n v="3"/>
    <x v="1"/>
    <n v="1"/>
    <x v="2"/>
    <x v="0"/>
    <s v="6-10 Years"/>
    <s v="Low"/>
    <s v="Good"/>
  </r>
  <r>
    <x v="22"/>
    <s v="No"/>
    <s v="Travel_Rarely"/>
    <n v="835"/>
    <x v="1"/>
    <n v="19"/>
    <n v="4"/>
    <s v="Other"/>
    <n v="1"/>
    <n v="1871"/>
    <n v="4"/>
    <x v="1"/>
    <n v="41"/>
    <n v="3"/>
    <n v="2"/>
    <x v="1"/>
    <n v="4"/>
    <s v="Divorced"/>
    <n v="3902"/>
    <n v="5141"/>
    <n v="8"/>
    <s v="Y"/>
    <x v="1"/>
    <n v="14"/>
    <n v="3"/>
    <n v="2"/>
    <n v="80"/>
    <n v="3"/>
    <n v="7"/>
    <n v="2"/>
    <n v="3"/>
    <n v="2"/>
    <n v="2"/>
    <n v="2"/>
    <n v="2"/>
    <x v="1"/>
    <n v="1"/>
    <x v="0"/>
    <x v="0"/>
    <s v="2-5 Years"/>
    <s v="Very High"/>
    <s v="Better"/>
  </r>
  <r>
    <x v="27"/>
    <s v="No"/>
    <s v="Travel_Rarely"/>
    <n v="836"/>
    <x v="1"/>
    <n v="2"/>
    <n v="4"/>
    <s v="Technical Degree"/>
    <n v="1"/>
    <n v="1873"/>
    <n v="2"/>
    <x v="1"/>
    <n v="98"/>
    <n v="2"/>
    <n v="1"/>
    <x v="1"/>
    <n v="4"/>
    <s v="Married"/>
    <n v="2662"/>
    <n v="7975"/>
    <n v="8"/>
    <s v="Y"/>
    <x v="1"/>
    <n v="20"/>
    <n v="4"/>
    <n v="2"/>
    <n v="80"/>
    <n v="1"/>
    <n v="19"/>
    <n v="2"/>
    <n v="4"/>
    <n v="5"/>
    <n v="2"/>
    <n v="0"/>
    <n v="4"/>
    <x v="1"/>
    <n v="1"/>
    <x v="3"/>
    <x v="1"/>
    <s v="2-5 Years"/>
    <s v="Very High"/>
    <s v="Best"/>
  </r>
  <r>
    <x v="14"/>
    <s v="No"/>
    <s v="Travel_Rarely"/>
    <n v="1172"/>
    <x v="0"/>
    <n v="3"/>
    <n v="3"/>
    <s v="Medical"/>
    <n v="1"/>
    <n v="1875"/>
    <n v="2"/>
    <x v="0"/>
    <n v="78"/>
    <n v="3"/>
    <n v="1"/>
    <x v="6"/>
    <n v="2"/>
    <s v="Married"/>
    <n v="2856"/>
    <n v="3692"/>
    <n v="1"/>
    <s v="Y"/>
    <x v="1"/>
    <n v="19"/>
    <n v="3"/>
    <n v="4"/>
    <n v="80"/>
    <n v="1"/>
    <n v="1"/>
    <n v="3"/>
    <n v="3"/>
    <n v="1"/>
    <n v="0"/>
    <n v="0"/>
    <n v="0"/>
    <x v="1"/>
    <n v="1"/>
    <x v="2"/>
    <x v="1"/>
    <s v="0-1 Years"/>
    <s v="Medium"/>
    <s v="Better"/>
  </r>
  <r>
    <x v="7"/>
    <s v="Yes"/>
    <s v="Travel_Rarely"/>
    <n v="945"/>
    <x v="0"/>
    <n v="9"/>
    <n v="3"/>
    <s v="Medical"/>
    <n v="1"/>
    <n v="1876"/>
    <n v="2"/>
    <x v="1"/>
    <n v="89"/>
    <n v="3"/>
    <n v="1"/>
    <x v="6"/>
    <n v="4"/>
    <s v="Single"/>
    <n v="1081"/>
    <n v="16019"/>
    <n v="1"/>
    <s v="Y"/>
    <x v="1"/>
    <n v="13"/>
    <n v="3"/>
    <n v="3"/>
    <n v="80"/>
    <n v="0"/>
    <n v="1"/>
    <n v="3"/>
    <n v="2"/>
    <n v="1"/>
    <n v="0"/>
    <n v="0"/>
    <n v="0"/>
    <x v="0"/>
    <n v="0"/>
    <x v="2"/>
    <x v="1"/>
    <s v="0-1 Years"/>
    <s v="Very High"/>
    <s v="Good"/>
  </r>
  <r>
    <x v="15"/>
    <s v="Yes"/>
    <s v="Travel_Rarely"/>
    <n v="391"/>
    <x v="1"/>
    <n v="7"/>
    <n v="1"/>
    <s v="Life Sciences"/>
    <n v="1"/>
    <n v="1878"/>
    <n v="4"/>
    <x v="1"/>
    <n v="75"/>
    <n v="3"/>
    <n v="1"/>
    <x v="1"/>
    <n v="2"/>
    <s v="Single"/>
    <n v="2472"/>
    <n v="26092"/>
    <n v="1"/>
    <s v="Y"/>
    <x v="0"/>
    <n v="23"/>
    <n v="4"/>
    <n v="1"/>
    <n v="80"/>
    <n v="0"/>
    <n v="1"/>
    <n v="2"/>
    <n v="3"/>
    <n v="1"/>
    <n v="0"/>
    <n v="0"/>
    <n v="0"/>
    <x v="0"/>
    <n v="0"/>
    <x v="4"/>
    <x v="1"/>
    <s v="0-1 Years"/>
    <s v="Medium"/>
    <s v="Better"/>
  </r>
  <r>
    <x v="9"/>
    <s v="No"/>
    <s v="Travel_Rarely"/>
    <n v="1266"/>
    <x v="0"/>
    <n v="10"/>
    <n v="4"/>
    <s v="Technical Degree"/>
    <n v="1"/>
    <n v="1880"/>
    <n v="2"/>
    <x v="0"/>
    <n v="63"/>
    <n v="2"/>
    <n v="2"/>
    <x v="0"/>
    <n v="3"/>
    <s v="Married"/>
    <n v="5673"/>
    <n v="6060"/>
    <n v="1"/>
    <s v="Y"/>
    <x v="0"/>
    <n v="13"/>
    <n v="3"/>
    <n v="1"/>
    <n v="80"/>
    <n v="1"/>
    <n v="10"/>
    <n v="4"/>
    <n v="3"/>
    <n v="10"/>
    <n v="9"/>
    <n v="1"/>
    <n v="7"/>
    <x v="1"/>
    <n v="1"/>
    <x v="0"/>
    <x v="0"/>
    <s v="6-10 Years"/>
    <s v="High"/>
    <s v="Better"/>
  </r>
  <r>
    <x v="12"/>
    <s v="No"/>
    <s v="Travel_Rarely"/>
    <n v="311"/>
    <x v="1"/>
    <n v="20"/>
    <n v="3"/>
    <s v="Life Sciences"/>
    <n v="1"/>
    <n v="1881"/>
    <n v="2"/>
    <x v="1"/>
    <n v="89"/>
    <n v="3"/>
    <n v="2"/>
    <x v="2"/>
    <n v="3"/>
    <s v="Divorced"/>
    <n v="4197"/>
    <n v="18624"/>
    <n v="1"/>
    <s v="Y"/>
    <x v="1"/>
    <n v="11"/>
    <n v="3"/>
    <n v="1"/>
    <n v="80"/>
    <n v="1"/>
    <n v="10"/>
    <n v="2"/>
    <n v="3"/>
    <n v="10"/>
    <n v="8"/>
    <n v="0"/>
    <n v="2"/>
    <x v="1"/>
    <n v="1"/>
    <x v="2"/>
    <x v="0"/>
    <s v="6-10 Years"/>
    <s v="High"/>
    <s v="Better"/>
  </r>
  <r>
    <x v="13"/>
    <s v="No"/>
    <s v="Travel_Rarely"/>
    <n v="1480"/>
    <x v="0"/>
    <n v="4"/>
    <n v="3"/>
    <s v="Life Sciences"/>
    <n v="1"/>
    <n v="1882"/>
    <n v="3"/>
    <x v="1"/>
    <n v="64"/>
    <n v="3"/>
    <n v="3"/>
    <x v="0"/>
    <n v="4"/>
    <s v="Married"/>
    <n v="9713"/>
    <n v="24444"/>
    <n v="2"/>
    <s v="Y"/>
    <x v="0"/>
    <n v="13"/>
    <n v="3"/>
    <n v="4"/>
    <n v="80"/>
    <n v="3"/>
    <n v="9"/>
    <n v="3"/>
    <n v="3"/>
    <n v="5"/>
    <n v="3"/>
    <n v="1"/>
    <n v="0"/>
    <x v="1"/>
    <n v="1"/>
    <x v="2"/>
    <x v="2"/>
    <s v="2-5 Years"/>
    <s v="Very High"/>
    <s v="Better"/>
  </r>
  <r>
    <x v="11"/>
    <s v="No"/>
    <s v="Travel_Rarely"/>
    <n v="592"/>
    <x v="1"/>
    <n v="7"/>
    <n v="3"/>
    <s v="Life Sciences"/>
    <n v="1"/>
    <n v="1883"/>
    <n v="4"/>
    <x v="1"/>
    <n v="59"/>
    <n v="3"/>
    <n v="1"/>
    <x v="2"/>
    <n v="1"/>
    <s v="Single"/>
    <n v="2062"/>
    <n v="19384"/>
    <n v="3"/>
    <s v="Y"/>
    <x v="1"/>
    <n v="14"/>
    <n v="3"/>
    <n v="2"/>
    <n v="80"/>
    <n v="0"/>
    <n v="11"/>
    <n v="2"/>
    <n v="3"/>
    <n v="3"/>
    <n v="2"/>
    <n v="1"/>
    <n v="2"/>
    <x v="1"/>
    <n v="1"/>
    <x v="2"/>
    <x v="1"/>
    <s v="2-5 Years"/>
    <s v="Low"/>
    <s v="Better"/>
  </r>
  <r>
    <x v="2"/>
    <s v="No"/>
    <s v="Travel_Rarely"/>
    <n v="783"/>
    <x v="1"/>
    <n v="7"/>
    <n v="4"/>
    <s v="Medical"/>
    <n v="1"/>
    <n v="1885"/>
    <n v="4"/>
    <x v="1"/>
    <n v="78"/>
    <n v="3"/>
    <n v="2"/>
    <x v="1"/>
    <n v="1"/>
    <s v="Married"/>
    <n v="4284"/>
    <n v="13588"/>
    <n v="5"/>
    <s v="Y"/>
    <x v="0"/>
    <n v="22"/>
    <n v="4"/>
    <n v="3"/>
    <n v="80"/>
    <n v="1"/>
    <n v="16"/>
    <n v="2"/>
    <n v="3"/>
    <n v="5"/>
    <n v="3"/>
    <n v="0"/>
    <n v="4"/>
    <x v="1"/>
    <n v="1"/>
    <x v="0"/>
    <x v="0"/>
    <s v="2-5 Years"/>
    <s v="Low"/>
    <s v="Better"/>
  </r>
  <r>
    <x v="10"/>
    <s v="No"/>
    <s v="Travel_Rarely"/>
    <n v="219"/>
    <x v="1"/>
    <n v="16"/>
    <n v="2"/>
    <s v="Other"/>
    <n v="1"/>
    <n v="1886"/>
    <n v="4"/>
    <x v="0"/>
    <n v="44"/>
    <n v="2"/>
    <n v="2"/>
    <x v="3"/>
    <n v="2"/>
    <s v="Married"/>
    <n v="4788"/>
    <n v="25388"/>
    <n v="0"/>
    <s v="Y"/>
    <x v="0"/>
    <n v="11"/>
    <n v="3"/>
    <n v="4"/>
    <n v="80"/>
    <n v="0"/>
    <n v="4"/>
    <n v="2"/>
    <n v="3"/>
    <n v="3"/>
    <n v="2"/>
    <n v="0"/>
    <n v="2"/>
    <x v="1"/>
    <n v="1"/>
    <x v="0"/>
    <x v="0"/>
    <s v="2-5 Years"/>
    <s v="Medium"/>
    <s v="Better"/>
  </r>
  <r>
    <x v="28"/>
    <s v="No"/>
    <s v="Travel_Rarely"/>
    <n v="556"/>
    <x v="1"/>
    <n v="25"/>
    <n v="2"/>
    <s v="Life Sciences"/>
    <n v="1"/>
    <n v="1888"/>
    <n v="2"/>
    <x v="0"/>
    <n v="93"/>
    <n v="2"/>
    <n v="2"/>
    <x v="3"/>
    <n v="4"/>
    <s v="Married"/>
    <n v="5906"/>
    <n v="23888"/>
    <n v="0"/>
    <s v="Y"/>
    <x v="1"/>
    <n v="13"/>
    <n v="3"/>
    <n v="4"/>
    <n v="80"/>
    <n v="2"/>
    <n v="10"/>
    <n v="2"/>
    <n v="2"/>
    <n v="9"/>
    <n v="8"/>
    <n v="3"/>
    <n v="8"/>
    <x v="1"/>
    <n v="1"/>
    <x v="1"/>
    <x v="0"/>
    <s v="6-10 Years"/>
    <s v="Very High"/>
    <s v="Good"/>
  </r>
  <r>
    <x v="9"/>
    <s v="No"/>
    <s v="Travel_Frequently"/>
    <n v="1213"/>
    <x v="2"/>
    <n v="2"/>
    <n v="1"/>
    <s v="Human Resources"/>
    <n v="1"/>
    <n v="1890"/>
    <n v="2"/>
    <x v="1"/>
    <n v="94"/>
    <n v="2"/>
    <n v="2"/>
    <x v="8"/>
    <n v="4"/>
    <s v="Single"/>
    <n v="3886"/>
    <n v="4223"/>
    <n v="1"/>
    <s v="Y"/>
    <x v="1"/>
    <n v="21"/>
    <n v="4"/>
    <n v="4"/>
    <n v="80"/>
    <n v="0"/>
    <n v="10"/>
    <n v="2"/>
    <n v="2"/>
    <n v="10"/>
    <n v="1"/>
    <n v="0"/>
    <n v="8"/>
    <x v="1"/>
    <n v="1"/>
    <x v="0"/>
    <x v="0"/>
    <s v="6-10 Years"/>
    <s v="Very High"/>
    <s v="Good"/>
  </r>
  <r>
    <x v="32"/>
    <s v="No"/>
    <s v="Travel_Rarely"/>
    <n v="1137"/>
    <x v="1"/>
    <n v="1"/>
    <n v="4"/>
    <s v="Life Sciences"/>
    <n v="1"/>
    <n v="1892"/>
    <n v="1"/>
    <x v="1"/>
    <n v="98"/>
    <n v="3"/>
    <n v="4"/>
    <x v="5"/>
    <n v="1"/>
    <s v="Divorced"/>
    <n v="16823"/>
    <n v="18991"/>
    <n v="2"/>
    <s v="Y"/>
    <x v="1"/>
    <n v="11"/>
    <n v="3"/>
    <n v="1"/>
    <n v="80"/>
    <n v="1"/>
    <n v="22"/>
    <n v="3"/>
    <n v="3"/>
    <n v="19"/>
    <n v="7"/>
    <n v="11"/>
    <n v="16"/>
    <x v="1"/>
    <n v="1"/>
    <x v="0"/>
    <x v="2"/>
    <s v="10+ Years"/>
    <s v="Low"/>
    <s v="Better"/>
  </r>
  <r>
    <x v="25"/>
    <s v="No"/>
    <s v="Travel_Rarely"/>
    <n v="482"/>
    <x v="1"/>
    <n v="1"/>
    <n v="2"/>
    <s v="Life Sciences"/>
    <n v="1"/>
    <n v="1893"/>
    <n v="2"/>
    <x v="0"/>
    <n v="90"/>
    <n v="2"/>
    <n v="1"/>
    <x v="1"/>
    <n v="3"/>
    <s v="Married"/>
    <n v="2933"/>
    <n v="14908"/>
    <n v="1"/>
    <s v="Y"/>
    <x v="0"/>
    <n v="13"/>
    <n v="3"/>
    <n v="3"/>
    <n v="80"/>
    <n v="1"/>
    <n v="1"/>
    <n v="3"/>
    <n v="2"/>
    <n v="1"/>
    <n v="0"/>
    <n v="1"/>
    <n v="0"/>
    <x v="1"/>
    <n v="1"/>
    <x v="2"/>
    <x v="1"/>
    <s v="0-1 Years"/>
    <s v="High"/>
    <s v="Good"/>
  </r>
  <r>
    <x v="4"/>
    <s v="No"/>
    <s v="Travel_Rarely"/>
    <n v="511"/>
    <x v="0"/>
    <n v="2"/>
    <n v="2"/>
    <s v="Medical"/>
    <n v="1"/>
    <n v="1898"/>
    <n v="1"/>
    <x v="0"/>
    <n v="89"/>
    <n v="4"/>
    <n v="2"/>
    <x v="0"/>
    <n v="3"/>
    <s v="Single"/>
    <n v="6500"/>
    <n v="26997"/>
    <n v="0"/>
    <s v="Y"/>
    <x v="1"/>
    <n v="14"/>
    <n v="3"/>
    <n v="2"/>
    <n v="80"/>
    <n v="0"/>
    <n v="9"/>
    <n v="5"/>
    <n v="2"/>
    <n v="8"/>
    <n v="7"/>
    <n v="0"/>
    <n v="7"/>
    <x v="1"/>
    <n v="1"/>
    <x v="2"/>
    <x v="0"/>
    <s v="6-10 Years"/>
    <s v="High"/>
    <s v="Good"/>
  </r>
  <r>
    <x v="26"/>
    <s v="No"/>
    <s v="Travel_Frequently"/>
    <n v="117"/>
    <x v="1"/>
    <n v="22"/>
    <n v="3"/>
    <s v="Medical"/>
    <n v="1"/>
    <n v="1900"/>
    <n v="4"/>
    <x v="0"/>
    <n v="58"/>
    <n v="3"/>
    <n v="4"/>
    <x v="5"/>
    <n v="4"/>
    <s v="Divorced"/>
    <n v="17174"/>
    <n v="2437"/>
    <n v="3"/>
    <s v="Y"/>
    <x v="1"/>
    <n v="11"/>
    <n v="3"/>
    <n v="2"/>
    <n v="80"/>
    <n v="1"/>
    <n v="24"/>
    <n v="3"/>
    <n v="3"/>
    <n v="22"/>
    <n v="17"/>
    <n v="4"/>
    <n v="7"/>
    <x v="1"/>
    <n v="1"/>
    <x v="1"/>
    <x v="2"/>
    <s v="10+ Years"/>
    <s v="Very High"/>
    <s v="Better"/>
  </r>
  <r>
    <x v="20"/>
    <s v="No"/>
    <s v="Travel_Rarely"/>
    <n v="170"/>
    <x v="1"/>
    <n v="1"/>
    <n v="4"/>
    <s v="Life Sciences"/>
    <n v="1"/>
    <n v="1903"/>
    <n v="2"/>
    <x v="1"/>
    <n v="78"/>
    <n v="4"/>
    <n v="2"/>
    <x v="4"/>
    <n v="1"/>
    <s v="Married"/>
    <n v="5033"/>
    <n v="9364"/>
    <n v="2"/>
    <s v="Y"/>
    <x v="1"/>
    <n v="15"/>
    <n v="3"/>
    <n v="4"/>
    <n v="80"/>
    <n v="1"/>
    <n v="10"/>
    <n v="5"/>
    <n v="3"/>
    <n v="2"/>
    <n v="0"/>
    <n v="2"/>
    <n v="2"/>
    <x v="1"/>
    <n v="1"/>
    <x v="0"/>
    <x v="0"/>
    <s v="2-5 Years"/>
    <s v="Low"/>
    <s v="Better"/>
  </r>
  <r>
    <x v="13"/>
    <s v="Yes"/>
    <s v="Non-Travel"/>
    <n v="967"/>
    <x v="1"/>
    <n v="16"/>
    <n v="4"/>
    <s v="Technical Degree"/>
    <n v="1"/>
    <n v="1905"/>
    <n v="4"/>
    <x v="1"/>
    <n v="85"/>
    <n v="1"/>
    <n v="1"/>
    <x v="1"/>
    <n v="1"/>
    <s v="Married"/>
    <n v="2307"/>
    <n v="14460"/>
    <n v="1"/>
    <s v="Y"/>
    <x v="0"/>
    <n v="23"/>
    <n v="4"/>
    <n v="2"/>
    <n v="80"/>
    <n v="1"/>
    <n v="5"/>
    <n v="2"/>
    <n v="3"/>
    <n v="5"/>
    <n v="2"/>
    <n v="3"/>
    <n v="0"/>
    <x v="0"/>
    <n v="0"/>
    <x v="2"/>
    <x v="1"/>
    <s v="2-5 Years"/>
    <s v="Low"/>
    <s v="Better"/>
  </r>
  <r>
    <x v="29"/>
    <s v="Yes"/>
    <s v="Travel_Rarely"/>
    <n v="1162"/>
    <x v="1"/>
    <n v="24"/>
    <n v="2"/>
    <s v="Life Sciences"/>
    <n v="1"/>
    <n v="1907"/>
    <n v="1"/>
    <x v="1"/>
    <n v="97"/>
    <n v="3"/>
    <n v="1"/>
    <x v="2"/>
    <n v="4"/>
    <s v="Single"/>
    <n v="2587"/>
    <n v="10261"/>
    <n v="1"/>
    <s v="Y"/>
    <x v="1"/>
    <n v="16"/>
    <n v="3"/>
    <n v="4"/>
    <n v="80"/>
    <n v="0"/>
    <n v="5"/>
    <n v="3"/>
    <n v="3"/>
    <n v="4"/>
    <n v="2"/>
    <n v="1"/>
    <n v="0"/>
    <x v="0"/>
    <n v="0"/>
    <x v="3"/>
    <x v="1"/>
    <s v="2-5 Years"/>
    <s v="Very High"/>
    <s v="Better"/>
  </r>
  <r>
    <x v="9"/>
    <s v="No"/>
    <s v="Travel_Rarely"/>
    <n v="335"/>
    <x v="0"/>
    <n v="17"/>
    <n v="2"/>
    <s v="Marketing"/>
    <n v="1"/>
    <n v="1908"/>
    <n v="3"/>
    <x v="1"/>
    <n v="33"/>
    <n v="2"/>
    <n v="2"/>
    <x v="0"/>
    <n v="2"/>
    <s v="Married"/>
    <n v="5507"/>
    <n v="16822"/>
    <n v="2"/>
    <s v="Y"/>
    <x v="1"/>
    <n v="16"/>
    <n v="3"/>
    <n v="3"/>
    <n v="80"/>
    <n v="2"/>
    <n v="12"/>
    <n v="1"/>
    <n v="1"/>
    <n v="4"/>
    <n v="2"/>
    <n v="1"/>
    <n v="3"/>
    <x v="1"/>
    <n v="1"/>
    <x v="0"/>
    <x v="0"/>
    <s v="2-5 Years"/>
    <s v="Medium"/>
    <s v="Bad"/>
  </r>
  <r>
    <x v="0"/>
    <s v="No"/>
    <s v="Travel_Rarely"/>
    <n v="337"/>
    <x v="0"/>
    <n v="8"/>
    <n v="3"/>
    <s v="Marketing"/>
    <n v="1"/>
    <n v="1909"/>
    <n v="3"/>
    <x v="0"/>
    <n v="54"/>
    <n v="3"/>
    <n v="2"/>
    <x v="0"/>
    <n v="2"/>
    <s v="Married"/>
    <n v="4393"/>
    <n v="26841"/>
    <n v="5"/>
    <s v="Y"/>
    <x v="1"/>
    <n v="21"/>
    <n v="4"/>
    <n v="3"/>
    <n v="80"/>
    <n v="1"/>
    <n v="14"/>
    <n v="3"/>
    <n v="3"/>
    <n v="5"/>
    <n v="4"/>
    <n v="1"/>
    <n v="4"/>
    <x v="1"/>
    <n v="1"/>
    <x v="0"/>
    <x v="0"/>
    <s v="2-5 Years"/>
    <s v="Medium"/>
    <s v="Better"/>
  </r>
  <r>
    <x v="19"/>
    <s v="No"/>
    <s v="Travel_Rarely"/>
    <n v="1396"/>
    <x v="1"/>
    <n v="6"/>
    <n v="3"/>
    <s v="Medical"/>
    <n v="1"/>
    <n v="1911"/>
    <n v="3"/>
    <x v="1"/>
    <n v="83"/>
    <n v="3"/>
    <n v="3"/>
    <x v="7"/>
    <n v="1"/>
    <s v="Married"/>
    <n v="13348"/>
    <n v="14842"/>
    <n v="9"/>
    <s v="Y"/>
    <x v="1"/>
    <n v="13"/>
    <n v="3"/>
    <n v="2"/>
    <n v="80"/>
    <n v="1"/>
    <n v="18"/>
    <n v="3"/>
    <n v="4"/>
    <n v="13"/>
    <n v="7"/>
    <n v="5"/>
    <n v="7"/>
    <x v="1"/>
    <n v="1"/>
    <x v="0"/>
    <x v="2"/>
    <s v="10+ Years"/>
    <s v="Low"/>
    <s v="Best"/>
  </r>
  <r>
    <x v="12"/>
    <s v="No"/>
    <s v="Travel_Rarely"/>
    <n v="1079"/>
    <x v="0"/>
    <n v="10"/>
    <n v="2"/>
    <s v="Medical"/>
    <n v="1"/>
    <n v="1912"/>
    <n v="3"/>
    <x v="0"/>
    <n v="86"/>
    <n v="3"/>
    <n v="2"/>
    <x v="0"/>
    <n v="4"/>
    <s v="Divorced"/>
    <n v="6583"/>
    <n v="20115"/>
    <n v="2"/>
    <s v="Y"/>
    <x v="0"/>
    <n v="11"/>
    <n v="3"/>
    <n v="4"/>
    <n v="80"/>
    <n v="1"/>
    <n v="8"/>
    <n v="2"/>
    <n v="3"/>
    <n v="5"/>
    <n v="2"/>
    <n v="1"/>
    <n v="4"/>
    <x v="1"/>
    <n v="1"/>
    <x v="2"/>
    <x v="0"/>
    <s v="2-5 Years"/>
    <s v="Very High"/>
    <s v="Better"/>
  </r>
  <r>
    <x v="13"/>
    <s v="No"/>
    <s v="Travel_Rarely"/>
    <n v="735"/>
    <x v="0"/>
    <n v="3"/>
    <n v="1"/>
    <s v="Medical"/>
    <n v="1"/>
    <n v="1915"/>
    <n v="4"/>
    <x v="0"/>
    <n v="75"/>
    <n v="2"/>
    <n v="2"/>
    <x v="0"/>
    <n v="4"/>
    <s v="Married"/>
    <n v="8103"/>
    <n v="16495"/>
    <n v="3"/>
    <s v="Y"/>
    <x v="0"/>
    <n v="12"/>
    <n v="3"/>
    <n v="3"/>
    <n v="80"/>
    <n v="0"/>
    <n v="9"/>
    <n v="3"/>
    <n v="2"/>
    <n v="4"/>
    <n v="2"/>
    <n v="0"/>
    <n v="1"/>
    <x v="1"/>
    <n v="1"/>
    <x v="2"/>
    <x v="2"/>
    <s v="2-5 Years"/>
    <s v="Very High"/>
    <s v="Good"/>
  </r>
  <r>
    <x v="12"/>
    <s v="No"/>
    <s v="Travel_Rarely"/>
    <n v="471"/>
    <x v="1"/>
    <n v="4"/>
    <n v="3"/>
    <s v="Medical"/>
    <n v="1"/>
    <n v="1916"/>
    <n v="1"/>
    <x v="0"/>
    <n v="62"/>
    <n v="4"/>
    <n v="1"/>
    <x v="2"/>
    <n v="3"/>
    <s v="Divorced"/>
    <n v="3978"/>
    <n v="16031"/>
    <n v="8"/>
    <s v="Y"/>
    <x v="1"/>
    <n v="12"/>
    <n v="3"/>
    <n v="2"/>
    <n v="80"/>
    <n v="1"/>
    <n v="4"/>
    <n v="0"/>
    <n v="2"/>
    <n v="2"/>
    <n v="2"/>
    <n v="2"/>
    <n v="2"/>
    <x v="1"/>
    <n v="1"/>
    <x v="2"/>
    <x v="0"/>
    <s v="2-5 Years"/>
    <s v="High"/>
    <s v="Good"/>
  </r>
  <r>
    <x v="25"/>
    <s v="No"/>
    <s v="Travel_Frequently"/>
    <n v="1096"/>
    <x v="1"/>
    <n v="6"/>
    <n v="3"/>
    <s v="Other"/>
    <n v="1"/>
    <n v="1918"/>
    <n v="3"/>
    <x v="1"/>
    <n v="61"/>
    <n v="4"/>
    <n v="1"/>
    <x v="2"/>
    <n v="4"/>
    <s v="Married"/>
    <n v="2544"/>
    <n v="7102"/>
    <n v="0"/>
    <s v="Y"/>
    <x v="1"/>
    <n v="18"/>
    <n v="3"/>
    <n v="1"/>
    <n v="80"/>
    <n v="1"/>
    <n v="8"/>
    <n v="3"/>
    <n v="3"/>
    <n v="7"/>
    <n v="7"/>
    <n v="7"/>
    <n v="7"/>
    <x v="1"/>
    <n v="1"/>
    <x v="2"/>
    <x v="1"/>
    <s v="6-10 Years"/>
    <s v="Very High"/>
    <s v="Better"/>
  </r>
  <r>
    <x v="28"/>
    <s v="No"/>
    <s v="Travel_Frequently"/>
    <n v="1297"/>
    <x v="1"/>
    <n v="1"/>
    <n v="4"/>
    <s v="Medical"/>
    <n v="1"/>
    <n v="1922"/>
    <n v="2"/>
    <x v="1"/>
    <n v="44"/>
    <n v="3"/>
    <n v="2"/>
    <x v="4"/>
    <n v="3"/>
    <s v="Single"/>
    <n v="5399"/>
    <n v="14511"/>
    <n v="4"/>
    <s v="Y"/>
    <x v="1"/>
    <n v="12"/>
    <n v="3"/>
    <n v="3"/>
    <n v="80"/>
    <n v="0"/>
    <n v="12"/>
    <n v="3"/>
    <n v="3"/>
    <n v="4"/>
    <n v="2"/>
    <n v="0"/>
    <n v="3"/>
    <x v="1"/>
    <n v="1"/>
    <x v="1"/>
    <x v="0"/>
    <s v="2-5 Years"/>
    <s v="High"/>
    <s v="Better"/>
  </r>
  <r>
    <x v="3"/>
    <s v="No"/>
    <s v="Travel_Rarely"/>
    <n v="217"/>
    <x v="0"/>
    <n v="10"/>
    <n v="4"/>
    <s v="Marketing"/>
    <n v="1"/>
    <n v="1924"/>
    <n v="2"/>
    <x v="1"/>
    <n v="43"/>
    <n v="3"/>
    <n v="2"/>
    <x v="0"/>
    <n v="3"/>
    <s v="Single"/>
    <n v="5487"/>
    <n v="10410"/>
    <n v="1"/>
    <s v="Y"/>
    <x v="1"/>
    <n v="14"/>
    <n v="3"/>
    <n v="2"/>
    <n v="80"/>
    <n v="0"/>
    <n v="10"/>
    <n v="2"/>
    <n v="2"/>
    <n v="10"/>
    <n v="4"/>
    <n v="0"/>
    <n v="9"/>
    <x v="1"/>
    <n v="1"/>
    <x v="2"/>
    <x v="0"/>
    <s v="6-10 Years"/>
    <s v="High"/>
    <s v="Good"/>
  </r>
  <r>
    <x v="14"/>
    <s v="No"/>
    <s v="Travel_Frequently"/>
    <n v="783"/>
    <x v="0"/>
    <n v="1"/>
    <n v="2"/>
    <s v="Life Sciences"/>
    <n v="1"/>
    <n v="1927"/>
    <n v="3"/>
    <x v="1"/>
    <n v="42"/>
    <n v="2"/>
    <n v="2"/>
    <x v="0"/>
    <n v="4"/>
    <s v="Married"/>
    <n v="6834"/>
    <n v="19255"/>
    <n v="1"/>
    <s v="Y"/>
    <x v="0"/>
    <n v="12"/>
    <n v="3"/>
    <n v="3"/>
    <n v="80"/>
    <n v="1"/>
    <n v="7"/>
    <n v="2"/>
    <n v="3"/>
    <n v="7"/>
    <n v="7"/>
    <n v="0"/>
    <n v="7"/>
    <x v="1"/>
    <n v="1"/>
    <x v="2"/>
    <x v="0"/>
    <s v="6-10 Years"/>
    <s v="Very High"/>
    <s v="Better"/>
  </r>
  <r>
    <x v="11"/>
    <s v="Yes"/>
    <s v="Travel_Frequently"/>
    <n v="746"/>
    <x v="0"/>
    <n v="24"/>
    <n v="3"/>
    <s v="Technical Degree"/>
    <n v="1"/>
    <n v="1928"/>
    <n v="3"/>
    <x v="1"/>
    <n v="45"/>
    <n v="4"/>
    <n v="1"/>
    <x v="6"/>
    <n v="1"/>
    <s v="Single"/>
    <n v="1091"/>
    <n v="10642"/>
    <n v="1"/>
    <s v="Y"/>
    <x v="1"/>
    <n v="17"/>
    <n v="3"/>
    <n v="4"/>
    <n v="80"/>
    <n v="0"/>
    <n v="1"/>
    <n v="3"/>
    <n v="3"/>
    <n v="1"/>
    <n v="0"/>
    <n v="0"/>
    <n v="0"/>
    <x v="0"/>
    <n v="0"/>
    <x v="2"/>
    <x v="1"/>
    <s v="0-1 Years"/>
    <s v="Low"/>
    <s v="Better"/>
  </r>
  <r>
    <x v="22"/>
    <s v="No"/>
    <s v="Non-Travel"/>
    <n v="1251"/>
    <x v="0"/>
    <n v="21"/>
    <n v="4"/>
    <s v="Life Sciences"/>
    <n v="1"/>
    <n v="1929"/>
    <n v="1"/>
    <x v="0"/>
    <n v="32"/>
    <n v="1"/>
    <n v="2"/>
    <x v="0"/>
    <n v="3"/>
    <s v="Married"/>
    <n v="5736"/>
    <n v="3987"/>
    <n v="6"/>
    <s v="Y"/>
    <x v="1"/>
    <n v="19"/>
    <n v="3"/>
    <n v="3"/>
    <n v="80"/>
    <n v="1"/>
    <n v="10"/>
    <n v="1"/>
    <n v="3"/>
    <n v="3"/>
    <n v="2"/>
    <n v="1"/>
    <n v="2"/>
    <x v="1"/>
    <n v="1"/>
    <x v="0"/>
    <x v="0"/>
    <s v="2-5 Years"/>
    <s v="High"/>
    <s v="Better"/>
  </r>
  <r>
    <x v="4"/>
    <s v="No"/>
    <s v="Travel_Rarely"/>
    <n v="1354"/>
    <x v="1"/>
    <n v="2"/>
    <n v="4"/>
    <s v="Technical Degree"/>
    <n v="1"/>
    <n v="1931"/>
    <n v="2"/>
    <x v="1"/>
    <n v="41"/>
    <n v="3"/>
    <n v="1"/>
    <x v="1"/>
    <n v="2"/>
    <s v="Married"/>
    <n v="2226"/>
    <n v="6073"/>
    <n v="1"/>
    <s v="Y"/>
    <x v="1"/>
    <n v="11"/>
    <n v="3"/>
    <n v="3"/>
    <n v="80"/>
    <n v="1"/>
    <n v="6"/>
    <n v="3"/>
    <n v="2"/>
    <n v="5"/>
    <n v="3"/>
    <n v="1"/>
    <n v="2"/>
    <x v="1"/>
    <n v="1"/>
    <x v="2"/>
    <x v="1"/>
    <s v="2-5 Years"/>
    <s v="Medium"/>
    <s v="Good"/>
  </r>
  <r>
    <x v="13"/>
    <s v="No"/>
    <s v="Travel_Frequently"/>
    <n v="735"/>
    <x v="1"/>
    <n v="22"/>
    <n v="4"/>
    <s v="Other"/>
    <n v="1"/>
    <n v="1932"/>
    <n v="3"/>
    <x v="1"/>
    <n v="86"/>
    <n v="2"/>
    <n v="2"/>
    <x v="1"/>
    <n v="4"/>
    <s v="Married"/>
    <n v="5747"/>
    <n v="26496"/>
    <n v="1"/>
    <s v="Y"/>
    <x v="0"/>
    <n v="15"/>
    <n v="3"/>
    <n v="2"/>
    <n v="80"/>
    <n v="0"/>
    <n v="16"/>
    <n v="3"/>
    <n v="3"/>
    <n v="15"/>
    <n v="10"/>
    <n v="6"/>
    <n v="11"/>
    <x v="1"/>
    <n v="1"/>
    <x v="2"/>
    <x v="0"/>
    <s v="10+ Years"/>
    <s v="Very High"/>
    <s v="Better"/>
  </r>
  <r>
    <x v="14"/>
    <s v="Yes"/>
    <s v="Travel_Rarely"/>
    <n v="1475"/>
    <x v="0"/>
    <n v="13"/>
    <n v="2"/>
    <s v="Marketing"/>
    <n v="1"/>
    <n v="1933"/>
    <n v="4"/>
    <x v="0"/>
    <n v="84"/>
    <n v="3"/>
    <n v="2"/>
    <x v="0"/>
    <n v="3"/>
    <s v="Single"/>
    <n v="9854"/>
    <n v="23352"/>
    <n v="3"/>
    <s v="Y"/>
    <x v="0"/>
    <n v="11"/>
    <n v="3"/>
    <n v="4"/>
    <n v="80"/>
    <n v="0"/>
    <n v="6"/>
    <n v="0"/>
    <n v="3"/>
    <n v="2"/>
    <n v="0"/>
    <n v="2"/>
    <n v="2"/>
    <x v="0"/>
    <n v="0"/>
    <x v="2"/>
    <x v="2"/>
    <s v="2-5 Years"/>
    <s v="High"/>
    <s v="Better"/>
  </r>
  <r>
    <x v="40"/>
    <s v="No"/>
    <s v="Non-Travel"/>
    <n v="1169"/>
    <x v="1"/>
    <n v="14"/>
    <n v="4"/>
    <s v="Technical Degree"/>
    <n v="1"/>
    <n v="1934"/>
    <n v="3"/>
    <x v="1"/>
    <n v="64"/>
    <n v="3"/>
    <n v="2"/>
    <x v="1"/>
    <n v="2"/>
    <s v="Married"/>
    <n v="5467"/>
    <n v="2125"/>
    <n v="8"/>
    <s v="Y"/>
    <x v="1"/>
    <n v="18"/>
    <n v="3"/>
    <n v="3"/>
    <n v="80"/>
    <n v="1"/>
    <n v="16"/>
    <n v="4"/>
    <n v="4"/>
    <n v="8"/>
    <n v="7"/>
    <n v="1"/>
    <n v="7"/>
    <x v="1"/>
    <n v="1"/>
    <x v="1"/>
    <x v="0"/>
    <s v="6-10 Years"/>
    <s v="Medium"/>
    <s v="Best"/>
  </r>
  <r>
    <x v="29"/>
    <s v="No"/>
    <s v="Travel_Rarely"/>
    <n v="1443"/>
    <x v="0"/>
    <n v="11"/>
    <n v="5"/>
    <s v="Marketing"/>
    <n v="1"/>
    <n v="1935"/>
    <n v="4"/>
    <x v="0"/>
    <n v="89"/>
    <n v="2"/>
    <n v="2"/>
    <x v="0"/>
    <n v="1"/>
    <s v="Married"/>
    <n v="5380"/>
    <n v="20328"/>
    <n v="4"/>
    <s v="Y"/>
    <x v="1"/>
    <n v="16"/>
    <n v="3"/>
    <n v="3"/>
    <n v="80"/>
    <n v="1"/>
    <n v="6"/>
    <n v="3"/>
    <n v="3"/>
    <n v="0"/>
    <n v="0"/>
    <n v="0"/>
    <n v="0"/>
    <x v="1"/>
    <n v="1"/>
    <x v="3"/>
    <x v="0"/>
    <s v="0-1 Years"/>
    <s v="Low"/>
    <s v="Better"/>
  </r>
  <r>
    <x v="22"/>
    <s v="No"/>
    <s v="Travel_Rarely"/>
    <n v="867"/>
    <x v="1"/>
    <n v="9"/>
    <n v="2"/>
    <s v="Medical"/>
    <n v="1"/>
    <n v="1936"/>
    <n v="1"/>
    <x v="1"/>
    <n v="87"/>
    <n v="3"/>
    <n v="2"/>
    <x v="3"/>
    <n v="1"/>
    <s v="Married"/>
    <n v="5151"/>
    <n v="12315"/>
    <n v="1"/>
    <s v="Y"/>
    <x v="1"/>
    <n v="25"/>
    <n v="4"/>
    <n v="4"/>
    <n v="80"/>
    <n v="1"/>
    <n v="10"/>
    <n v="3"/>
    <n v="3"/>
    <n v="10"/>
    <n v="0"/>
    <n v="7"/>
    <n v="9"/>
    <x v="1"/>
    <n v="1"/>
    <x v="0"/>
    <x v="0"/>
    <s v="6-10 Years"/>
    <s v="Low"/>
    <s v="Better"/>
  </r>
  <r>
    <x v="8"/>
    <s v="No"/>
    <s v="Travel_Frequently"/>
    <n v="1394"/>
    <x v="1"/>
    <n v="8"/>
    <n v="3"/>
    <s v="Medical"/>
    <n v="1"/>
    <n v="1937"/>
    <n v="4"/>
    <x v="0"/>
    <n v="58"/>
    <n v="2"/>
    <n v="2"/>
    <x v="1"/>
    <n v="2"/>
    <s v="Divorced"/>
    <n v="2133"/>
    <n v="18115"/>
    <n v="1"/>
    <s v="Y"/>
    <x v="0"/>
    <n v="16"/>
    <n v="3"/>
    <n v="3"/>
    <n v="80"/>
    <n v="1"/>
    <n v="20"/>
    <n v="3"/>
    <n v="3"/>
    <n v="20"/>
    <n v="11"/>
    <n v="0"/>
    <n v="7"/>
    <x v="1"/>
    <n v="1"/>
    <x v="0"/>
    <x v="1"/>
    <s v="10+ Years"/>
    <s v="Medium"/>
    <s v="Better"/>
  </r>
  <r>
    <x v="34"/>
    <s v="No"/>
    <s v="Travel_Rarely"/>
    <n v="605"/>
    <x v="0"/>
    <n v="21"/>
    <n v="3"/>
    <s v="Life Sciences"/>
    <n v="1"/>
    <n v="1938"/>
    <n v="4"/>
    <x v="0"/>
    <n v="72"/>
    <n v="3"/>
    <n v="4"/>
    <x v="5"/>
    <n v="4"/>
    <s v="Married"/>
    <n v="17875"/>
    <n v="11761"/>
    <n v="4"/>
    <s v="Y"/>
    <x v="0"/>
    <n v="13"/>
    <n v="3"/>
    <n v="3"/>
    <n v="80"/>
    <n v="1"/>
    <n v="29"/>
    <n v="2"/>
    <n v="2"/>
    <n v="1"/>
    <n v="0"/>
    <n v="0"/>
    <n v="0"/>
    <x v="1"/>
    <n v="1"/>
    <x v="3"/>
    <x v="2"/>
    <s v="0-1 Years"/>
    <s v="Very High"/>
    <s v="Good"/>
  </r>
  <r>
    <x v="5"/>
    <s v="Yes"/>
    <s v="Travel_Frequently"/>
    <n v="238"/>
    <x v="1"/>
    <n v="5"/>
    <n v="2"/>
    <s v="Life Sciences"/>
    <n v="1"/>
    <n v="1939"/>
    <n v="1"/>
    <x v="0"/>
    <n v="47"/>
    <n v="4"/>
    <n v="1"/>
    <x v="1"/>
    <n v="3"/>
    <s v="Single"/>
    <n v="2432"/>
    <n v="15318"/>
    <n v="3"/>
    <s v="Y"/>
    <x v="0"/>
    <n v="14"/>
    <n v="3"/>
    <n v="1"/>
    <n v="80"/>
    <n v="0"/>
    <n v="8"/>
    <n v="2"/>
    <n v="3"/>
    <n v="4"/>
    <n v="1"/>
    <n v="0"/>
    <n v="3"/>
    <x v="0"/>
    <n v="0"/>
    <x v="2"/>
    <x v="1"/>
    <s v="2-5 Years"/>
    <s v="High"/>
    <s v="Better"/>
  </r>
  <r>
    <x v="8"/>
    <s v="No"/>
    <s v="Travel_Rarely"/>
    <n v="1206"/>
    <x v="1"/>
    <n v="9"/>
    <n v="2"/>
    <s v="Life Sciences"/>
    <n v="1"/>
    <n v="1940"/>
    <n v="2"/>
    <x v="1"/>
    <n v="71"/>
    <n v="3"/>
    <n v="1"/>
    <x v="1"/>
    <n v="4"/>
    <s v="Divorced"/>
    <n v="4771"/>
    <n v="14293"/>
    <n v="2"/>
    <s v="Y"/>
    <x v="1"/>
    <n v="19"/>
    <n v="3"/>
    <n v="4"/>
    <n v="80"/>
    <n v="2"/>
    <n v="10"/>
    <n v="0"/>
    <n v="4"/>
    <n v="5"/>
    <n v="2"/>
    <n v="0"/>
    <n v="3"/>
    <x v="1"/>
    <n v="1"/>
    <x v="0"/>
    <x v="0"/>
    <s v="2-5 Years"/>
    <s v="Very High"/>
    <s v="Best"/>
  </r>
  <r>
    <x v="1"/>
    <s v="No"/>
    <s v="Travel_Frequently"/>
    <n v="1064"/>
    <x v="1"/>
    <n v="2"/>
    <n v="1"/>
    <s v="Life Sciences"/>
    <n v="1"/>
    <n v="1941"/>
    <n v="2"/>
    <x v="1"/>
    <n v="42"/>
    <n v="3"/>
    <n v="5"/>
    <x v="7"/>
    <n v="4"/>
    <s v="Married"/>
    <n v="19161"/>
    <n v="13738"/>
    <n v="3"/>
    <s v="Y"/>
    <x v="1"/>
    <n v="15"/>
    <n v="3"/>
    <n v="4"/>
    <n v="80"/>
    <n v="0"/>
    <n v="28"/>
    <n v="3"/>
    <n v="3"/>
    <n v="5"/>
    <n v="4"/>
    <n v="4"/>
    <n v="3"/>
    <x v="1"/>
    <n v="1"/>
    <x v="1"/>
    <x v="2"/>
    <s v="2-5 Years"/>
    <s v="Very High"/>
    <s v="Better"/>
  </r>
  <r>
    <x v="19"/>
    <s v="No"/>
    <s v="Travel_Rarely"/>
    <n v="419"/>
    <x v="0"/>
    <n v="12"/>
    <n v="4"/>
    <s v="Marketing"/>
    <n v="1"/>
    <n v="1943"/>
    <n v="2"/>
    <x v="1"/>
    <n v="77"/>
    <n v="3"/>
    <n v="2"/>
    <x v="0"/>
    <n v="4"/>
    <s v="Divorced"/>
    <n v="5087"/>
    <n v="2900"/>
    <n v="3"/>
    <s v="Y"/>
    <x v="0"/>
    <n v="12"/>
    <n v="3"/>
    <n v="3"/>
    <n v="80"/>
    <n v="2"/>
    <n v="14"/>
    <n v="4"/>
    <n v="3"/>
    <n v="0"/>
    <n v="0"/>
    <n v="0"/>
    <n v="0"/>
    <x v="1"/>
    <n v="1"/>
    <x v="0"/>
    <x v="0"/>
    <s v="0-1 Years"/>
    <s v="Very High"/>
    <s v="Better"/>
  </r>
  <r>
    <x v="4"/>
    <s v="Yes"/>
    <s v="Travel_Frequently"/>
    <n v="1337"/>
    <x v="2"/>
    <n v="22"/>
    <n v="3"/>
    <s v="Human Resources"/>
    <n v="1"/>
    <n v="1944"/>
    <n v="1"/>
    <x v="0"/>
    <n v="58"/>
    <n v="2"/>
    <n v="1"/>
    <x v="8"/>
    <n v="2"/>
    <s v="Married"/>
    <n v="2863"/>
    <n v="19555"/>
    <n v="1"/>
    <s v="Y"/>
    <x v="1"/>
    <n v="12"/>
    <n v="3"/>
    <n v="1"/>
    <n v="80"/>
    <n v="0"/>
    <n v="1"/>
    <n v="2"/>
    <n v="3"/>
    <n v="1"/>
    <n v="0"/>
    <n v="0"/>
    <n v="0"/>
    <x v="0"/>
    <n v="0"/>
    <x v="2"/>
    <x v="1"/>
    <s v="0-1 Years"/>
    <s v="Medium"/>
    <s v="Better"/>
  </r>
  <r>
    <x v="10"/>
    <s v="No"/>
    <s v="Travel_Rarely"/>
    <n v="682"/>
    <x v="0"/>
    <n v="18"/>
    <n v="4"/>
    <s v="Medical"/>
    <n v="1"/>
    <n v="1945"/>
    <n v="2"/>
    <x v="1"/>
    <n v="71"/>
    <n v="3"/>
    <n v="2"/>
    <x v="0"/>
    <n v="1"/>
    <s v="Married"/>
    <n v="5561"/>
    <n v="15975"/>
    <n v="0"/>
    <s v="Y"/>
    <x v="1"/>
    <n v="16"/>
    <n v="3"/>
    <n v="4"/>
    <n v="80"/>
    <n v="1"/>
    <n v="6"/>
    <n v="2"/>
    <n v="1"/>
    <n v="5"/>
    <n v="3"/>
    <n v="0"/>
    <n v="4"/>
    <x v="1"/>
    <n v="1"/>
    <x v="0"/>
    <x v="0"/>
    <s v="2-5 Years"/>
    <s v="Low"/>
    <s v="Bad"/>
  </r>
  <r>
    <x v="14"/>
    <s v="No"/>
    <s v="Non-Travel"/>
    <n v="1103"/>
    <x v="1"/>
    <n v="16"/>
    <n v="3"/>
    <s v="Medical"/>
    <n v="1"/>
    <n v="1947"/>
    <n v="3"/>
    <x v="1"/>
    <n v="49"/>
    <n v="3"/>
    <n v="1"/>
    <x v="1"/>
    <n v="3"/>
    <s v="Single"/>
    <n v="2144"/>
    <n v="2122"/>
    <n v="1"/>
    <s v="Y"/>
    <x v="1"/>
    <n v="14"/>
    <n v="3"/>
    <n v="3"/>
    <n v="80"/>
    <n v="0"/>
    <n v="5"/>
    <n v="3"/>
    <n v="2"/>
    <n v="5"/>
    <n v="3"/>
    <n v="1"/>
    <n v="4"/>
    <x v="1"/>
    <n v="1"/>
    <x v="2"/>
    <x v="1"/>
    <s v="2-5 Years"/>
    <s v="High"/>
    <s v="Good"/>
  </r>
  <r>
    <x v="12"/>
    <s v="No"/>
    <s v="Non-Travel"/>
    <n v="976"/>
    <x v="1"/>
    <n v="3"/>
    <n v="2"/>
    <s v="Medical"/>
    <n v="1"/>
    <n v="1948"/>
    <n v="3"/>
    <x v="1"/>
    <n v="48"/>
    <n v="3"/>
    <n v="1"/>
    <x v="1"/>
    <n v="1"/>
    <s v="Divorced"/>
    <n v="3065"/>
    <n v="3995"/>
    <n v="1"/>
    <s v="Y"/>
    <x v="0"/>
    <n v="13"/>
    <n v="3"/>
    <n v="4"/>
    <n v="80"/>
    <n v="1"/>
    <n v="4"/>
    <n v="3"/>
    <n v="4"/>
    <n v="4"/>
    <n v="2"/>
    <n v="2"/>
    <n v="3"/>
    <x v="1"/>
    <n v="1"/>
    <x v="2"/>
    <x v="0"/>
    <s v="2-5 Years"/>
    <s v="Low"/>
    <s v="Best"/>
  </r>
  <r>
    <x v="9"/>
    <s v="No"/>
    <s v="Non-Travel"/>
    <n v="1351"/>
    <x v="1"/>
    <n v="9"/>
    <n v="4"/>
    <s v="Life Sciences"/>
    <n v="1"/>
    <n v="1949"/>
    <n v="1"/>
    <x v="1"/>
    <n v="66"/>
    <n v="4"/>
    <n v="1"/>
    <x v="2"/>
    <n v="2"/>
    <s v="Married"/>
    <n v="2810"/>
    <n v="9238"/>
    <n v="1"/>
    <s v="Y"/>
    <x v="1"/>
    <n v="22"/>
    <n v="4"/>
    <n v="2"/>
    <n v="80"/>
    <n v="0"/>
    <n v="5"/>
    <n v="3"/>
    <n v="3"/>
    <n v="5"/>
    <n v="4"/>
    <n v="0"/>
    <n v="2"/>
    <x v="1"/>
    <n v="1"/>
    <x v="0"/>
    <x v="1"/>
    <s v="2-5 Years"/>
    <s v="Medium"/>
    <s v="Better"/>
  </r>
  <r>
    <x v="13"/>
    <s v="No"/>
    <s v="Travel_Rarely"/>
    <n v="937"/>
    <x v="0"/>
    <n v="1"/>
    <n v="3"/>
    <s v="Marketing"/>
    <n v="1"/>
    <n v="1950"/>
    <n v="1"/>
    <x v="1"/>
    <n v="32"/>
    <n v="3"/>
    <n v="3"/>
    <x v="0"/>
    <n v="4"/>
    <s v="Single"/>
    <n v="9888"/>
    <n v="6770"/>
    <n v="1"/>
    <s v="Y"/>
    <x v="1"/>
    <n v="21"/>
    <n v="4"/>
    <n v="1"/>
    <n v="80"/>
    <n v="0"/>
    <n v="14"/>
    <n v="3"/>
    <n v="2"/>
    <n v="14"/>
    <n v="8"/>
    <n v="2"/>
    <n v="1"/>
    <x v="1"/>
    <n v="1"/>
    <x v="2"/>
    <x v="2"/>
    <s v="10+ Years"/>
    <s v="Very High"/>
    <s v="Good"/>
  </r>
  <r>
    <x v="13"/>
    <s v="No"/>
    <s v="Travel_Rarely"/>
    <n v="1239"/>
    <x v="0"/>
    <n v="13"/>
    <n v="4"/>
    <s v="Medical"/>
    <n v="1"/>
    <n v="1951"/>
    <n v="4"/>
    <x v="1"/>
    <n v="39"/>
    <n v="3"/>
    <n v="3"/>
    <x v="0"/>
    <n v="3"/>
    <s v="Divorced"/>
    <n v="8628"/>
    <n v="22914"/>
    <n v="1"/>
    <s v="Y"/>
    <x v="1"/>
    <n v="18"/>
    <n v="3"/>
    <n v="3"/>
    <n v="80"/>
    <n v="1"/>
    <n v="9"/>
    <n v="2"/>
    <n v="2"/>
    <n v="8"/>
    <n v="7"/>
    <n v="1"/>
    <n v="1"/>
    <x v="1"/>
    <n v="1"/>
    <x v="2"/>
    <x v="2"/>
    <s v="6-10 Years"/>
    <s v="High"/>
    <s v="Good"/>
  </r>
  <r>
    <x v="25"/>
    <s v="No"/>
    <s v="Travel_Rarely"/>
    <n v="157"/>
    <x v="1"/>
    <n v="1"/>
    <n v="3"/>
    <s v="Medical"/>
    <n v="1"/>
    <n v="1952"/>
    <n v="3"/>
    <x v="1"/>
    <n v="95"/>
    <n v="3"/>
    <n v="1"/>
    <x v="2"/>
    <n v="1"/>
    <s v="Single"/>
    <n v="2867"/>
    <n v="20006"/>
    <n v="0"/>
    <s v="Y"/>
    <x v="1"/>
    <n v="13"/>
    <n v="3"/>
    <n v="4"/>
    <n v="80"/>
    <n v="0"/>
    <n v="8"/>
    <n v="6"/>
    <n v="2"/>
    <n v="7"/>
    <n v="7"/>
    <n v="7"/>
    <n v="6"/>
    <x v="1"/>
    <n v="1"/>
    <x v="2"/>
    <x v="1"/>
    <s v="6-10 Years"/>
    <s v="Low"/>
    <s v="Good"/>
  </r>
  <r>
    <x v="11"/>
    <s v="No"/>
    <s v="Travel_Rarely"/>
    <n v="136"/>
    <x v="1"/>
    <n v="1"/>
    <n v="3"/>
    <s v="Life Sciences"/>
    <n v="1"/>
    <n v="1954"/>
    <n v="1"/>
    <x v="1"/>
    <n v="89"/>
    <n v="3"/>
    <n v="2"/>
    <x v="4"/>
    <n v="1"/>
    <s v="Married"/>
    <n v="5373"/>
    <n v="6225"/>
    <n v="0"/>
    <s v="Y"/>
    <x v="1"/>
    <n v="12"/>
    <n v="3"/>
    <n v="1"/>
    <n v="80"/>
    <n v="1"/>
    <n v="6"/>
    <n v="5"/>
    <n v="2"/>
    <n v="5"/>
    <n v="3"/>
    <n v="0"/>
    <n v="2"/>
    <x v="1"/>
    <n v="1"/>
    <x v="2"/>
    <x v="0"/>
    <s v="2-5 Years"/>
    <s v="Low"/>
    <s v="Good"/>
  </r>
  <r>
    <x v="5"/>
    <s v="No"/>
    <s v="Non-Travel"/>
    <n v="1146"/>
    <x v="1"/>
    <n v="15"/>
    <n v="4"/>
    <s v="Medical"/>
    <n v="1"/>
    <n v="1955"/>
    <n v="3"/>
    <x v="0"/>
    <n v="34"/>
    <n v="3"/>
    <n v="2"/>
    <x v="4"/>
    <n v="4"/>
    <s v="Divorced"/>
    <n v="6667"/>
    <n v="16542"/>
    <n v="5"/>
    <s v="Y"/>
    <x v="1"/>
    <n v="18"/>
    <n v="3"/>
    <n v="2"/>
    <n v="80"/>
    <n v="1"/>
    <n v="9"/>
    <n v="6"/>
    <n v="3"/>
    <n v="5"/>
    <n v="1"/>
    <n v="1"/>
    <n v="2"/>
    <x v="1"/>
    <n v="1"/>
    <x v="2"/>
    <x v="0"/>
    <s v="2-5 Years"/>
    <s v="Very High"/>
    <s v="Better"/>
  </r>
  <r>
    <x v="12"/>
    <s v="No"/>
    <s v="Travel_Frequently"/>
    <n v="1125"/>
    <x v="1"/>
    <n v="1"/>
    <n v="3"/>
    <s v="Life Sciences"/>
    <n v="1"/>
    <n v="1956"/>
    <n v="4"/>
    <x v="1"/>
    <n v="48"/>
    <n v="1"/>
    <n v="2"/>
    <x v="1"/>
    <n v="1"/>
    <s v="Married"/>
    <n v="5003"/>
    <n v="5771"/>
    <n v="1"/>
    <s v="Y"/>
    <x v="1"/>
    <n v="21"/>
    <n v="4"/>
    <n v="2"/>
    <n v="80"/>
    <n v="0"/>
    <n v="10"/>
    <n v="6"/>
    <n v="3"/>
    <n v="10"/>
    <n v="8"/>
    <n v="8"/>
    <n v="7"/>
    <x v="1"/>
    <n v="1"/>
    <x v="2"/>
    <x v="0"/>
    <s v="6-10 Years"/>
    <s v="Low"/>
    <s v="Better"/>
  </r>
  <r>
    <x v="14"/>
    <s v="Yes"/>
    <s v="Travel_Rarely"/>
    <n v="1404"/>
    <x v="1"/>
    <n v="17"/>
    <n v="3"/>
    <s v="Technical Degree"/>
    <n v="1"/>
    <n v="1960"/>
    <n v="3"/>
    <x v="1"/>
    <n v="32"/>
    <n v="2"/>
    <n v="1"/>
    <x v="2"/>
    <n v="4"/>
    <s v="Divorced"/>
    <n v="2367"/>
    <n v="18779"/>
    <n v="5"/>
    <s v="Y"/>
    <x v="1"/>
    <n v="12"/>
    <n v="3"/>
    <n v="1"/>
    <n v="80"/>
    <n v="1"/>
    <n v="6"/>
    <n v="2"/>
    <n v="2"/>
    <n v="4"/>
    <n v="1"/>
    <n v="0"/>
    <n v="3"/>
    <x v="0"/>
    <n v="0"/>
    <x v="2"/>
    <x v="1"/>
    <s v="2-5 Years"/>
    <s v="Very High"/>
    <s v="Good"/>
  </r>
  <r>
    <x v="8"/>
    <s v="No"/>
    <s v="Travel_Rarely"/>
    <n v="1404"/>
    <x v="0"/>
    <n v="1"/>
    <n v="3"/>
    <s v="Life Sciences"/>
    <n v="1"/>
    <n v="1961"/>
    <n v="1"/>
    <x v="1"/>
    <n v="59"/>
    <n v="2"/>
    <n v="1"/>
    <x v="6"/>
    <n v="1"/>
    <s v="Single"/>
    <n v="2858"/>
    <n v="11473"/>
    <n v="4"/>
    <s v="Y"/>
    <x v="1"/>
    <n v="14"/>
    <n v="3"/>
    <n v="1"/>
    <n v="80"/>
    <n v="0"/>
    <n v="20"/>
    <n v="3"/>
    <n v="2"/>
    <n v="1"/>
    <n v="0"/>
    <n v="0"/>
    <n v="0"/>
    <x v="1"/>
    <n v="1"/>
    <x v="0"/>
    <x v="1"/>
    <s v="0-1 Years"/>
    <s v="Low"/>
    <s v="Good"/>
  </r>
  <r>
    <x v="10"/>
    <s v="No"/>
    <s v="Travel_Rarely"/>
    <n v="1224"/>
    <x v="0"/>
    <n v="7"/>
    <n v="4"/>
    <s v="Life Sciences"/>
    <n v="1"/>
    <n v="1962"/>
    <n v="3"/>
    <x v="0"/>
    <n v="55"/>
    <n v="3"/>
    <n v="2"/>
    <x v="0"/>
    <n v="4"/>
    <s v="Married"/>
    <n v="5204"/>
    <n v="13586"/>
    <n v="1"/>
    <s v="Y"/>
    <x v="0"/>
    <n v="11"/>
    <n v="3"/>
    <n v="4"/>
    <n v="80"/>
    <n v="0"/>
    <n v="10"/>
    <n v="2"/>
    <n v="3"/>
    <n v="10"/>
    <n v="8"/>
    <n v="0"/>
    <n v="9"/>
    <x v="1"/>
    <n v="1"/>
    <x v="0"/>
    <x v="0"/>
    <s v="6-10 Years"/>
    <s v="Very High"/>
    <s v="Better"/>
  </r>
  <r>
    <x v="4"/>
    <s v="No"/>
    <s v="Travel_Rarely"/>
    <n v="954"/>
    <x v="0"/>
    <n v="9"/>
    <n v="3"/>
    <s v="Marketing"/>
    <n v="1"/>
    <n v="1965"/>
    <n v="4"/>
    <x v="1"/>
    <n v="44"/>
    <n v="3"/>
    <n v="2"/>
    <x v="0"/>
    <n v="4"/>
    <s v="Single"/>
    <n v="4105"/>
    <n v="5099"/>
    <n v="1"/>
    <s v="Y"/>
    <x v="1"/>
    <n v="14"/>
    <n v="3"/>
    <n v="1"/>
    <n v="80"/>
    <n v="0"/>
    <n v="7"/>
    <n v="5"/>
    <n v="3"/>
    <n v="7"/>
    <n v="7"/>
    <n v="0"/>
    <n v="7"/>
    <x v="1"/>
    <n v="1"/>
    <x v="2"/>
    <x v="0"/>
    <s v="6-10 Years"/>
    <s v="Very High"/>
    <s v="Better"/>
  </r>
  <r>
    <x v="5"/>
    <s v="No"/>
    <s v="Travel_Rarely"/>
    <n v="1373"/>
    <x v="1"/>
    <n v="5"/>
    <n v="4"/>
    <s v="Life Sciences"/>
    <n v="1"/>
    <n v="1966"/>
    <n v="4"/>
    <x v="1"/>
    <n v="56"/>
    <n v="2"/>
    <n v="2"/>
    <x v="3"/>
    <n v="4"/>
    <s v="Single"/>
    <n v="9679"/>
    <n v="10138"/>
    <n v="8"/>
    <s v="Y"/>
    <x v="1"/>
    <n v="24"/>
    <n v="4"/>
    <n v="2"/>
    <n v="80"/>
    <n v="0"/>
    <n v="8"/>
    <n v="1"/>
    <n v="3"/>
    <n v="1"/>
    <n v="0"/>
    <n v="0"/>
    <n v="0"/>
    <x v="1"/>
    <n v="1"/>
    <x v="2"/>
    <x v="2"/>
    <s v="0-1 Years"/>
    <s v="Very High"/>
    <s v="Better"/>
  </r>
  <r>
    <x v="12"/>
    <s v="Yes"/>
    <s v="Travel_Frequently"/>
    <n v="754"/>
    <x v="0"/>
    <n v="26"/>
    <n v="4"/>
    <s v="Marketing"/>
    <n v="1"/>
    <n v="1967"/>
    <n v="1"/>
    <x v="1"/>
    <n v="63"/>
    <n v="3"/>
    <n v="2"/>
    <x v="0"/>
    <n v="4"/>
    <s v="Married"/>
    <n v="5617"/>
    <n v="21075"/>
    <n v="1"/>
    <s v="Y"/>
    <x v="0"/>
    <n v="11"/>
    <n v="3"/>
    <n v="3"/>
    <n v="80"/>
    <n v="0"/>
    <n v="10"/>
    <n v="4"/>
    <n v="3"/>
    <n v="10"/>
    <n v="7"/>
    <n v="0"/>
    <n v="8"/>
    <x v="0"/>
    <n v="0"/>
    <x v="2"/>
    <x v="0"/>
    <s v="6-10 Years"/>
    <s v="Very High"/>
    <s v="Better"/>
  </r>
  <r>
    <x v="16"/>
    <s v="Yes"/>
    <s v="Travel_Rarely"/>
    <n v="1168"/>
    <x v="0"/>
    <n v="24"/>
    <n v="4"/>
    <s v="Life Sciences"/>
    <n v="1"/>
    <n v="1968"/>
    <n v="1"/>
    <x v="1"/>
    <n v="66"/>
    <n v="3"/>
    <n v="3"/>
    <x v="0"/>
    <n v="1"/>
    <s v="Single"/>
    <n v="10448"/>
    <n v="5843"/>
    <n v="6"/>
    <s v="Y"/>
    <x v="0"/>
    <n v="13"/>
    <n v="3"/>
    <n v="2"/>
    <n v="80"/>
    <n v="0"/>
    <n v="15"/>
    <n v="2"/>
    <n v="2"/>
    <n v="2"/>
    <n v="2"/>
    <n v="2"/>
    <n v="2"/>
    <x v="0"/>
    <n v="0"/>
    <x v="1"/>
    <x v="2"/>
    <s v="2-5 Years"/>
    <s v="Low"/>
    <s v="Good"/>
  </r>
  <r>
    <x v="33"/>
    <s v="No"/>
    <s v="Travel_Rarely"/>
    <n v="155"/>
    <x v="1"/>
    <n v="9"/>
    <n v="2"/>
    <s v="Life Sciences"/>
    <n v="1"/>
    <n v="1969"/>
    <n v="1"/>
    <x v="0"/>
    <n v="67"/>
    <n v="3"/>
    <n v="2"/>
    <x v="1"/>
    <n v="3"/>
    <s v="Married"/>
    <n v="2897"/>
    <n v="22474"/>
    <n v="3"/>
    <s v="Y"/>
    <x v="1"/>
    <n v="11"/>
    <n v="3"/>
    <n v="3"/>
    <n v="80"/>
    <n v="2"/>
    <n v="9"/>
    <n v="6"/>
    <n v="2"/>
    <n v="4"/>
    <n v="3"/>
    <n v="2"/>
    <n v="3"/>
    <x v="1"/>
    <n v="1"/>
    <x v="1"/>
    <x v="1"/>
    <s v="2-5 Years"/>
    <s v="High"/>
    <s v="Good"/>
  </r>
  <r>
    <x v="3"/>
    <s v="No"/>
    <s v="Travel_Frequently"/>
    <n v="1303"/>
    <x v="1"/>
    <n v="7"/>
    <n v="2"/>
    <s v="Life Sciences"/>
    <n v="1"/>
    <n v="1970"/>
    <n v="4"/>
    <x v="1"/>
    <n v="36"/>
    <n v="3"/>
    <n v="2"/>
    <x v="4"/>
    <n v="3"/>
    <s v="Divorced"/>
    <n v="5968"/>
    <n v="18079"/>
    <n v="1"/>
    <s v="Y"/>
    <x v="1"/>
    <n v="20"/>
    <n v="4"/>
    <n v="3"/>
    <n v="80"/>
    <n v="3"/>
    <n v="9"/>
    <n v="2"/>
    <n v="3"/>
    <n v="9"/>
    <n v="7"/>
    <n v="2"/>
    <n v="8"/>
    <x v="1"/>
    <n v="1"/>
    <x v="2"/>
    <x v="0"/>
    <s v="6-10 Years"/>
    <s v="High"/>
    <s v="Better"/>
  </r>
  <r>
    <x v="23"/>
    <s v="No"/>
    <s v="Travel_Rarely"/>
    <n v="574"/>
    <x v="1"/>
    <n v="11"/>
    <n v="3"/>
    <s v="Life Sciences"/>
    <n v="1"/>
    <n v="1971"/>
    <n v="1"/>
    <x v="1"/>
    <n v="30"/>
    <n v="3"/>
    <n v="3"/>
    <x v="4"/>
    <n v="3"/>
    <s v="Married"/>
    <n v="7510"/>
    <n v="16873"/>
    <n v="1"/>
    <s v="Y"/>
    <x v="1"/>
    <n v="17"/>
    <n v="3"/>
    <n v="2"/>
    <n v="80"/>
    <n v="1"/>
    <n v="10"/>
    <n v="1"/>
    <n v="3"/>
    <n v="10"/>
    <n v="9"/>
    <n v="0"/>
    <n v="9"/>
    <x v="1"/>
    <n v="1"/>
    <x v="0"/>
    <x v="2"/>
    <s v="6-10 Years"/>
    <s v="High"/>
    <s v="Better"/>
  </r>
  <r>
    <x v="8"/>
    <s v="No"/>
    <s v="Travel_Frequently"/>
    <n v="1444"/>
    <x v="2"/>
    <n v="1"/>
    <n v="4"/>
    <s v="Other"/>
    <n v="1"/>
    <n v="1972"/>
    <n v="4"/>
    <x v="1"/>
    <n v="88"/>
    <n v="3"/>
    <n v="1"/>
    <x v="8"/>
    <n v="2"/>
    <s v="Married"/>
    <n v="2991"/>
    <n v="5224"/>
    <n v="0"/>
    <s v="Y"/>
    <x v="0"/>
    <n v="11"/>
    <n v="3"/>
    <n v="2"/>
    <n v="80"/>
    <n v="1"/>
    <n v="7"/>
    <n v="2"/>
    <n v="3"/>
    <n v="6"/>
    <n v="2"/>
    <n v="1"/>
    <n v="2"/>
    <x v="1"/>
    <n v="1"/>
    <x v="0"/>
    <x v="1"/>
    <s v="6-10 Years"/>
    <s v="Medium"/>
    <s v="Better"/>
  </r>
  <r>
    <x v="27"/>
    <s v="No"/>
    <s v="Travel_Rarely"/>
    <n v="189"/>
    <x v="2"/>
    <n v="26"/>
    <n v="4"/>
    <s v="Human Resources"/>
    <n v="1"/>
    <n v="1973"/>
    <n v="3"/>
    <x v="1"/>
    <n v="71"/>
    <n v="4"/>
    <n v="5"/>
    <x v="5"/>
    <n v="2"/>
    <s v="Married"/>
    <n v="19636"/>
    <n v="25811"/>
    <n v="4"/>
    <s v="Y"/>
    <x v="0"/>
    <n v="18"/>
    <n v="3"/>
    <n v="1"/>
    <n v="80"/>
    <n v="1"/>
    <n v="35"/>
    <n v="0"/>
    <n v="3"/>
    <n v="10"/>
    <n v="9"/>
    <n v="1"/>
    <n v="4"/>
    <x v="1"/>
    <n v="1"/>
    <x v="3"/>
    <x v="2"/>
    <s v="6-10 Years"/>
    <s v="Medium"/>
    <s v="Better"/>
  </r>
  <r>
    <x v="12"/>
    <s v="No"/>
    <s v="Travel_Rarely"/>
    <n v="1276"/>
    <x v="1"/>
    <n v="2"/>
    <n v="1"/>
    <s v="Medical"/>
    <n v="1"/>
    <n v="1974"/>
    <n v="4"/>
    <x v="0"/>
    <n v="59"/>
    <n v="1"/>
    <n v="1"/>
    <x v="2"/>
    <n v="4"/>
    <s v="Divorced"/>
    <n v="1129"/>
    <n v="17536"/>
    <n v="1"/>
    <s v="Y"/>
    <x v="0"/>
    <n v="11"/>
    <n v="3"/>
    <n v="3"/>
    <n v="80"/>
    <n v="3"/>
    <n v="1"/>
    <n v="4"/>
    <n v="3"/>
    <n v="1"/>
    <n v="0"/>
    <n v="0"/>
    <n v="0"/>
    <x v="1"/>
    <n v="1"/>
    <x v="2"/>
    <x v="1"/>
    <s v="0-1 Years"/>
    <s v="Very High"/>
    <s v="Better"/>
  </r>
  <r>
    <x v="22"/>
    <s v="No"/>
    <s v="Travel_Rarely"/>
    <n v="119"/>
    <x v="0"/>
    <n v="15"/>
    <n v="4"/>
    <s v="Marketing"/>
    <n v="1"/>
    <n v="1975"/>
    <n v="2"/>
    <x v="1"/>
    <n v="77"/>
    <n v="3"/>
    <n v="4"/>
    <x v="0"/>
    <n v="1"/>
    <s v="Single"/>
    <n v="13341"/>
    <n v="25098"/>
    <n v="0"/>
    <s v="Y"/>
    <x v="1"/>
    <n v="12"/>
    <n v="3"/>
    <n v="1"/>
    <n v="80"/>
    <n v="0"/>
    <n v="21"/>
    <n v="3"/>
    <n v="3"/>
    <n v="20"/>
    <n v="8"/>
    <n v="11"/>
    <n v="10"/>
    <x v="1"/>
    <n v="1"/>
    <x v="0"/>
    <x v="2"/>
    <s v="10+ Years"/>
    <s v="Low"/>
    <s v="Better"/>
  </r>
  <r>
    <x v="19"/>
    <s v="No"/>
    <s v="Non-Travel"/>
    <n v="335"/>
    <x v="1"/>
    <n v="23"/>
    <n v="2"/>
    <s v="Life Sciences"/>
    <n v="1"/>
    <n v="1976"/>
    <n v="4"/>
    <x v="1"/>
    <n v="37"/>
    <n v="2"/>
    <n v="2"/>
    <x v="1"/>
    <n v="3"/>
    <s v="Single"/>
    <n v="4332"/>
    <n v="14811"/>
    <n v="1"/>
    <s v="Y"/>
    <x v="1"/>
    <n v="12"/>
    <n v="3"/>
    <n v="4"/>
    <n v="80"/>
    <n v="0"/>
    <n v="20"/>
    <n v="2"/>
    <n v="3"/>
    <n v="20"/>
    <n v="9"/>
    <n v="3"/>
    <n v="7"/>
    <x v="1"/>
    <n v="1"/>
    <x v="0"/>
    <x v="0"/>
    <s v="10+ Years"/>
    <s v="High"/>
    <s v="Better"/>
  </r>
  <r>
    <x v="12"/>
    <s v="No"/>
    <s v="Non-Travel"/>
    <n v="697"/>
    <x v="1"/>
    <n v="10"/>
    <n v="3"/>
    <s v="Medical"/>
    <n v="1"/>
    <n v="1979"/>
    <n v="3"/>
    <x v="0"/>
    <n v="40"/>
    <n v="3"/>
    <n v="3"/>
    <x v="7"/>
    <n v="3"/>
    <s v="Married"/>
    <n v="11031"/>
    <n v="26862"/>
    <n v="4"/>
    <s v="Y"/>
    <x v="1"/>
    <n v="20"/>
    <n v="4"/>
    <n v="3"/>
    <n v="80"/>
    <n v="1"/>
    <n v="13"/>
    <n v="2"/>
    <n v="4"/>
    <n v="11"/>
    <n v="7"/>
    <n v="4"/>
    <n v="8"/>
    <x v="1"/>
    <n v="1"/>
    <x v="2"/>
    <x v="2"/>
    <s v="10+ Years"/>
    <s v="High"/>
    <s v="Best"/>
  </r>
  <r>
    <x v="33"/>
    <s v="No"/>
    <s v="Travel_Rarely"/>
    <n v="157"/>
    <x v="1"/>
    <n v="10"/>
    <n v="3"/>
    <s v="Medical"/>
    <n v="1"/>
    <n v="1980"/>
    <n v="3"/>
    <x v="0"/>
    <n v="77"/>
    <n v="3"/>
    <n v="2"/>
    <x v="3"/>
    <n v="1"/>
    <s v="Single"/>
    <n v="4440"/>
    <n v="25198"/>
    <n v="6"/>
    <s v="Y"/>
    <x v="0"/>
    <n v="19"/>
    <n v="3"/>
    <n v="4"/>
    <n v="80"/>
    <n v="0"/>
    <n v="9"/>
    <n v="3"/>
    <n v="3"/>
    <n v="5"/>
    <n v="2"/>
    <n v="1"/>
    <n v="4"/>
    <x v="1"/>
    <n v="1"/>
    <x v="1"/>
    <x v="0"/>
    <s v="2-5 Years"/>
    <s v="Low"/>
    <s v="Better"/>
  </r>
  <r>
    <x v="17"/>
    <s v="No"/>
    <s v="Travel_Rarely"/>
    <n v="771"/>
    <x v="1"/>
    <n v="1"/>
    <n v="2"/>
    <s v="Life Sciences"/>
    <n v="1"/>
    <n v="1981"/>
    <n v="2"/>
    <x v="1"/>
    <n v="45"/>
    <n v="2"/>
    <n v="2"/>
    <x v="4"/>
    <n v="3"/>
    <s v="Single"/>
    <n v="4617"/>
    <n v="14120"/>
    <n v="1"/>
    <s v="Y"/>
    <x v="1"/>
    <n v="12"/>
    <n v="3"/>
    <n v="2"/>
    <n v="80"/>
    <n v="0"/>
    <n v="4"/>
    <n v="2"/>
    <n v="2"/>
    <n v="4"/>
    <n v="3"/>
    <n v="1"/>
    <n v="2"/>
    <x v="1"/>
    <n v="1"/>
    <x v="4"/>
    <x v="0"/>
    <s v="2-5 Years"/>
    <s v="High"/>
    <s v="Good"/>
  </r>
  <r>
    <x v="30"/>
    <s v="No"/>
    <s v="Travel_Rarely"/>
    <n v="571"/>
    <x v="1"/>
    <n v="12"/>
    <n v="2"/>
    <s v="Other"/>
    <n v="1"/>
    <n v="1982"/>
    <n v="4"/>
    <x v="1"/>
    <n v="78"/>
    <n v="3"/>
    <n v="1"/>
    <x v="2"/>
    <n v="4"/>
    <s v="Single"/>
    <n v="2647"/>
    <n v="13672"/>
    <n v="1"/>
    <s v="Y"/>
    <x v="1"/>
    <n v="13"/>
    <n v="3"/>
    <n v="3"/>
    <n v="80"/>
    <n v="0"/>
    <n v="5"/>
    <n v="6"/>
    <n v="4"/>
    <n v="5"/>
    <n v="2"/>
    <n v="1"/>
    <n v="4"/>
    <x v="1"/>
    <n v="1"/>
    <x v="4"/>
    <x v="1"/>
    <s v="2-5 Years"/>
    <s v="Very High"/>
    <s v="Best"/>
  </r>
  <r>
    <x v="32"/>
    <s v="No"/>
    <s v="Travel_Frequently"/>
    <n v="692"/>
    <x v="1"/>
    <n v="11"/>
    <n v="3"/>
    <s v="Technical Degree"/>
    <n v="1"/>
    <n v="1985"/>
    <n v="4"/>
    <x v="0"/>
    <n v="73"/>
    <n v="3"/>
    <n v="2"/>
    <x v="2"/>
    <n v="3"/>
    <s v="Married"/>
    <n v="6323"/>
    <n v="26849"/>
    <n v="1"/>
    <s v="Y"/>
    <x v="1"/>
    <n v="11"/>
    <n v="3"/>
    <n v="1"/>
    <n v="80"/>
    <n v="1"/>
    <n v="10"/>
    <n v="2"/>
    <n v="4"/>
    <n v="10"/>
    <n v="9"/>
    <n v="9"/>
    <n v="4"/>
    <x v="1"/>
    <n v="1"/>
    <x v="0"/>
    <x v="0"/>
    <s v="6-10 Years"/>
    <s v="High"/>
    <s v="Best"/>
  </r>
  <r>
    <x v="32"/>
    <s v="No"/>
    <s v="Travel_Rarely"/>
    <n v="444"/>
    <x v="0"/>
    <n v="2"/>
    <n v="2"/>
    <s v="Marketing"/>
    <n v="1"/>
    <n v="1986"/>
    <n v="2"/>
    <x v="0"/>
    <n v="92"/>
    <n v="3"/>
    <n v="2"/>
    <x v="0"/>
    <n v="2"/>
    <s v="Married"/>
    <n v="5677"/>
    <n v="4258"/>
    <n v="3"/>
    <s v="Y"/>
    <x v="1"/>
    <n v="14"/>
    <n v="3"/>
    <n v="3"/>
    <n v="80"/>
    <n v="1"/>
    <n v="15"/>
    <n v="4"/>
    <n v="3"/>
    <n v="11"/>
    <n v="8"/>
    <n v="5"/>
    <n v="10"/>
    <x v="1"/>
    <n v="1"/>
    <x v="0"/>
    <x v="0"/>
    <s v="10+ Years"/>
    <s v="Medium"/>
    <s v="Better"/>
  </r>
  <r>
    <x v="36"/>
    <s v="No"/>
    <s v="Travel_Rarely"/>
    <n v="309"/>
    <x v="2"/>
    <n v="2"/>
    <n v="3"/>
    <s v="Human Resources"/>
    <n v="1"/>
    <n v="1987"/>
    <n v="3"/>
    <x v="0"/>
    <n v="82"/>
    <n v="3"/>
    <n v="1"/>
    <x v="8"/>
    <n v="2"/>
    <s v="Married"/>
    <n v="2187"/>
    <n v="19655"/>
    <n v="4"/>
    <s v="Y"/>
    <x v="1"/>
    <n v="14"/>
    <n v="3"/>
    <n v="3"/>
    <n v="80"/>
    <n v="0"/>
    <n v="6"/>
    <n v="3"/>
    <n v="3"/>
    <n v="2"/>
    <n v="0"/>
    <n v="1"/>
    <n v="2"/>
    <x v="1"/>
    <n v="1"/>
    <x v="2"/>
    <x v="1"/>
    <s v="2-5 Years"/>
    <s v="Medium"/>
    <s v="Better"/>
  </r>
  <r>
    <x v="7"/>
    <s v="No"/>
    <s v="Travel_Rarely"/>
    <n v="911"/>
    <x v="1"/>
    <n v="1"/>
    <n v="2"/>
    <s v="Medical"/>
    <n v="1"/>
    <n v="1989"/>
    <n v="4"/>
    <x v="1"/>
    <n v="76"/>
    <n v="3"/>
    <n v="1"/>
    <x v="2"/>
    <n v="2"/>
    <s v="Married"/>
    <n v="3748"/>
    <n v="4077"/>
    <n v="1"/>
    <s v="Y"/>
    <x v="1"/>
    <n v="13"/>
    <n v="3"/>
    <n v="3"/>
    <n v="80"/>
    <n v="0"/>
    <n v="12"/>
    <n v="6"/>
    <n v="2"/>
    <n v="12"/>
    <n v="8"/>
    <n v="1"/>
    <n v="7"/>
    <x v="1"/>
    <n v="1"/>
    <x v="2"/>
    <x v="0"/>
    <s v="10+ Years"/>
    <s v="Medium"/>
    <s v="Good"/>
  </r>
  <r>
    <x v="36"/>
    <s v="No"/>
    <s v="Travel_Rarely"/>
    <n v="977"/>
    <x v="1"/>
    <n v="2"/>
    <n v="1"/>
    <s v="Other"/>
    <n v="1"/>
    <n v="1992"/>
    <n v="4"/>
    <x v="1"/>
    <n v="57"/>
    <n v="3"/>
    <n v="1"/>
    <x v="2"/>
    <n v="3"/>
    <s v="Divorced"/>
    <n v="3977"/>
    <n v="7298"/>
    <n v="6"/>
    <s v="Y"/>
    <x v="0"/>
    <n v="19"/>
    <n v="3"/>
    <n v="3"/>
    <n v="80"/>
    <n v="1"/>
    <n v="7"/>
    <n v="2"/>
    <n v="2"/>
    <n v="2"/>
    <n v="2"/>
    <n v="0"/>
    <n v="2"/>
    <x v="1"/>
    <n v="1"/>
    <x v="2"/>
    <x v="0"/>
    <s v="2-5 Years"/>
    <s v="High"/>
    <s v="Good"/>
  </r>
  <r>
    <x v="40"/>
    <s v="No"/>
    <s v="Travel_Rarely"/>
    <n v="1180"/>
    <x v="1"/>
    <n v="25"/>
    <n v="3"/>
    <s v="Medical"/>
    <n v="1"/>
    <n v="1993"/>
    <n v="1"/>
    <x v="1"/>
    <n v="84"/>
    <n v="3"/>
    <n v="3"/>
    <x v="4"/>
    <n v="3"/>
    <s v="Single"/>
    <n v="8633"/>
    <n v="13084"/>
    <n v="2"/>
    <s v="Y"/>
    <x v="1"/>
    <n v="23"/>
    <n v="4"/>
    <n v="2"/>
    <n v="80"/>
    <n v="0"/>
    <n v="25"/>
    <n v="3"/>
    <n v="3"/>
    <n v="17"/>
    <n v="14"/>
    <n v="12"/>
    <n v="11"/>
    <x v="1"/>
    <n v="1"/>
    <x v="1"/>
    <x v="2"/>
    <s v="10+ Years"/>
    <s v="High"/>
    <s v="Better"/>
  </r>
  <r>
    <x v="3"/>
    <s v="No"/>
    <s v="Non-Travel"/>
    <n v="1313"/>
    <x v="1"/>
    <n v="1"/>
    <n v="2"/>
    <s v="Medical"/>
    <n v="1"/>
    <n v="1994"/>
    <n v="2"/>
    <x v="1"/>
    <n v="59"/>
    <n v="2"/>
    <n v="1"/>
    <x v="2"/>
    <n v="3"/>
    <s v="Divorced"/>
    <n v="2008"/>
    <n v="20439"/>
    <n v="1"/>
    <s v="Y"/>
    <x v="1"/>
    <n v="12"/>
    <n v="3"/>
    <n v="3"/>
    <n v="80"/>
    <n v="3"/>
    <n v="1"/>
    <n v="2"/>
    <n v="2"/>
    <n v="1"/>
    <n v="1"/>
    <n v="0"/>
    <n v="0"/>
    <x v="1"/>
    <n v="1"/>
    <x v="2"/>
    <x v="1"/>
    <s v="0-1 Years"/>
    <s v="High"/>
    <s v="Good"/>
  </r>
  <r>
    <x v="8"/>
    <s v="No"/>
    <s v="Travel_Rarely"/>
    <n v="1321"/>
    <x v="0"/>
    <n v="1"/>
    <n v="4"/>
    <s v="Life Sciences"/>
    <n v="1"/>
    <n v="1995"/>
    <n v="4"/>
    <x v="1"/>
    <n v="86"/>
    <n v="3"/>
    <n v="2"/>
    <x v="0"/>
    <n v="2"/>
    <s v="Married"/>
    <n v="4440"/>
    <n v="7636"/>
    <n v="0"/>
    <s v="Y"/>
    <x v="1"/>
    <n v="15"/>
    <n v="3"/>
    <n v="1"/>
    <n v="80"/>
    <n v="2"/>
    <n v="16"/>
    <n v="3"/>
    <n v="3"/>
    <n v="15"/>
    <n v="13"/>
    <n v="5"/>
    <n v="8"/>
    <x v="1"/>
    <n v="1"/>
    <x v="0"/>
    <x v="0"/>
    <s v="10+ Years"/>
    <s v="Medium"/>
    <s v="Better"/>
  </r>
  <r>
    <x v="12"/>
    <s v="No"/>
    <s v="Travel_Rarely"/>
    <n v="1154"/>
    <x v="0"/>
    <n v="2"/>
    <n v="2"/>
    <s v="Life Sciences"/>
    <n v="1"/>
    <n v="1996"/>
    <n v="1"/>
    <x v="1"/>
    <n v="54"/>
    <n v="3"/>
    <n v="1"/>
    <x v="6"/>
    <n v="3"/>
    <s v="Married"/>
    <n v="3067"/>
    <n v="6393"/>
    <n v="0"/>
    <s v="Y"/>
    <x v="1"/>
    <n v="19"/>
    <n v="3"/>
    <n v="3"/>
    <n v="80"/>
    <n v="1"/>
    <n v="3"/>
    <n v="1"/>
    <n v="3"/>
    <n v="2"/>
    <n v="2"/>
    <n v="1"/>
    <n v="2"/>
    <x v="1"/>
    <n v="1"/>
    <x v="2"/>
    <x v="0"/>
    <s v="2-5 Years"/>
    <s v="High"/>
    <s v="Better"/>
  </r>
  <r>
    <x v="8"/>
    <s v="No"/>
    <s v="Travel_Frequently"/>
    <n v="508"/>
    <x v="1"/>
    <n v="6"/>
    <n v="4"/>
    <s v="Life Sciences"/>
    <n v="1"/>
    <n v="1997"/>
    <n v="1"/>
    <x v="1"/>
    <n v="72"/>
    <n v="2"/>
    <n v="2"/>
    <x v="3"/>
    <n v="3"/>
    <s v="Married"/>
    <n v="5321"/>
    <n v="14284"/>
    <n v="2"/>
    <s v="Y"/>
    <x v="1"/>
    <n v="11"/>
    <n v="3"/>
    <n v="4"/>
    <n v="80"/>
    <n v="1"/>
    <n v="10"/>
    <n v="1"/>
    <n v="3"/>
    <n v="8"/>
    <n v="3"/>
    <n v="7"/>
    <n v="7"/>
    <x v="1"/>
    <n v="1"/>
    <x v="0"/>
    <x v="0"/>
    <s v="6-10 Years"/>
    <s v="High"/>
    <s v="Better"/>
  </r>
  <r>
    <x v="19"/>
    <s v="No"/>
    <s v="Travel_Rarely"/>
    <n v="557"/>
    <x v="1"/>
    <n v="18"/>
    <n v="4"/>
    <s v="Life Sciences"/>
    <n v="1"/>
    <n v="1998"/>
    <n v="4"/>
    <x v="1"/>
    <n v="35"/>
    <n v="3"/>
    <n v="2"/>
    <x v="1"/>
    <n v="1"/>
    <s v="Divorced"/>
    <n v="5410"/>
    <n v="11189"/>
    <n v="6"/>
    <s v="Y"/>
    <x v="0"/>
    <n v="17"/>
    <n v="3"/>
    <n v="3"/>
    <n v="80"/>
    <n v="1"/>
    <n v="9"/>
    <n v="3"/>
    <n v="2"/>
    <n v="4"/>
    <n v="3"/>
    <n v="1"/>
    <n v="2"/>
    <x v="1"/>
    <n v="1"/>
    <x v="0"/>
    <x v="0"/>
    <s v="2-5 Years"/>
    <s v="Low"/>
    <s v="Good"/>
  </r>
  <r>
    <x v="0"/>
    <s v="No"/>
    <s v="Travel_Rarely"/>
    <n v="642"/>
    <x v="1"/>
    <n v="1"/>
    <n v="3"/>
    <s v="Life Sciences"/>
    <n v="1"/>
    <n v="1999"/>
    <n v="4"/>
    <x v="1"/>
    <n v="76"/>
    <n v="3"/>
    <n v="1"/>
    <x v="1"/>
    <n v="4"/>
    <s v="Married"/>
    <n v="2782"/>
    <n v="21412"/>
    <n v="3"/>
    <s v="Y"/>
    <x v="1"/>
    <n v="22"/>
    <n v="4"/>
    <n v="1"/>
    <n v="80"/>
    <n v="1"/>
    <n v="12"/>
    <n v="3"/>
    <n v="3"/>
    <n v="5"/>
    <n v="3"/>
    <n v="1"/>
    <n v="0"/>
    <x v="1"/>
    <n v="1"/>
    <x v="0"/>
    <x v="1"/>
    <s v="2-5 Years"/>
    <s v="Very High"/>
    <s v="Better"/>
  </r>
  <r>
    <x v="40"/>
    <s v="No"/>
    <s v="Non-Travel"/>
    <n v="1162"/>
    <x v="1"/>
    <n v="1"/>
    <n v="1"/>
    <s v="Medical"/>
    <n v="1"/>
    <n v="2000"/>
    <n v="3"/>
    <x v="0"/>
    <n v="98"/>
    <n v="3"/>
    <n v="3"/>
    <x v="7"/>
    <n v="2"/>
    <s v="Married"/>
    <n v="11957"/>
    <n v="17231"/>
    <n v="0"/>
    <s v="Y"/>
    <x v="1"/>
    <n v="18"/>
    <n v="3"/>
    <n v="1"/>
    <n v="80"/>
    <n v="2"/>
    <n v="14"/>
    <n v="3"/>
    <n v="1"/>
    <n v="13"/>
    <n v="8"/>
    <n v="5"/>
    <n v="12"/>
    <x v="1"/>
    <n v="1"/>
    <x v="1"/>
    <x v="2"/>
    <s v="10+ Years"/>
    <s v="Medium"/>
    <s v="Bad"/>
  </r>
  <r>
    <x v="10"/>
    <s v="No"/>
    <s v="Travel_Rarely"/>
    <n v="1490"/>
    <x v="1"/>
    <n v="11"/>
    <n v="4"/>
    <s v="Medical"/>
    <n v="1"/>
    <n v="2003"/>
    <n v="4"/>
    <x v="1"/>
    <n v="43"/>
    <n v="3"/>
    <n v="1"/>
    <x v="2"/>
    <n v="3"/>
    <s v="Married"/>
    <n v="2660"/>
    <n v="20232"/>
    <n v="7"/>
    <s v="Y"/>
    <x v="0"/>
    <n v="11"/>
    <n v="3"/>
    <n v="3"/>
    <n v="80"/>
    <n v="1"/>
    <n v="5"/>
    <n v="3"/>
    <n v="3"/>
    <n v="2"/>
    <n v="2"/>
    <n v="2"/>
    <n v="2"/>
    <x v="1"/>
    <n v="1"/>
    <x v="0"/>
    <x v="1"/>
    <s v="2-5 Years"/>
    <s v="High"/>
    <s v="Better"/>
  </r>
  <r>
    <x v="15"/>
    <s v="No"/>
    <s v="Travel_Rarely"/>
    <n v="581"/>
    <x v="1"/>
    <n v="1"/>
    <n v="2"/>
    <s v="Life Sciences"/>
    <n v="1"/>
    <n v="2007"/>
    <n v="4"/>
    <x v="1"/>
    <n v="63"/>
    <n v="3"/>
    <n v="1"/>
    <x v="1"/>
    <n v="3"/>
    <s v="Single"/>
    <n v="3375"/>
    <n v="17624"/>
    <n v="0"/>
    <s v="Y"/>
    <x v="1"/>
    <n v="12"/>
    <n v="3"/>
    <n v="4"/>
    <n v="80"/>
    <n v="0"/>
    <n v="4"/>
    <n v="2"/>
    <n v="4"/>
    <n v="3"/>
    <n v="2"/>
    <n v="1"/>
    <n v="2"/>
    <x v="1"/>
    <n v="1"/>
    <x v="4"/>
    <x v="0"/>
    <s v="2-5 Years"/>
    <s v="High"/>
    <s v="Best"/>
  </r>
  <r>
    <x v="10"/>
    <s v="No"/>
    <s v="Travel_Rarely"/>
    <n v="1395"/>
    <x v="1"/>
    <n v="9"/>
    <n v="4"/>
    <s v="Medical"/>
    <n v="1"/>
    <n v="2008"/>
    <n v="2"/>
    <x v="1"/>
    <n v="48"/>
    <n v="3"/>
    <n v="2"/>
    <x v="1"/>
    <n v="3"/>
    <s v="Single"/>
    <n v="5098"/>
    <n v="18698"/>
    <n v="1"/>
    <s v="Y"/>
    <x v="1"/>
    <n v="19"/>
    <n v="3"/>
    <n v="2"/>
    <n v="80"/>
    <n v="0"/>
    <n v="10"/>
    <n v="5"/>
    <n v="3"/>
    <n v="10"/>
    <n v="7"/>
    <n v="0"/>
    <n v="8"/>
    <x v="1"/>
    <n v="1"/>
    <x v="0"/>
    <x v="0"/>
    <s v="6-10 Years"/>
    <s v="High"/>
    <s v="Better"/>
  </r>
  <r>
    <x v="3"/>
    <s v="No"/>
    <s v="Travel_Rarely"/>
    <n v="501"/>
    <x v="1"/>
    <n v="15"/>
    <n v="2"/>
    <s v="Medical"/>
    <n v="1"/>
    <n v="2009"/>
    <n v="2"/>
    <x v="0"/>
    <n v="95"/>
    <n v="3"/>
    <n v="2"/>
    <x v="4"/>
    <n v="4"/>
    <s v="Married"/>
    <n v="4878"/>
    <n v="21653"/>
    <n v="0"/>
    <s v="Y"/>
    <x v="0"/>
    <n v="13"/>
    <n v="3"/>
    <n v="1"/>
    <n v="80"/>
    <n v="1"/>
    <n v="10"/>
    <n v="6"/>
    <n v="3"/>
    <n v="9"/>
    <n v="7"/>
    <n v="8"/>
    <n v="1"/>
    <x v="1"/>
    <n v="1"/>
    <x v="2"/>
    <x v="0"/>
    <s v="6-10 Years"/>
    <s v="Very High"/>
    <s v="Better"/>
  </r>
  <r>
    <x v="5"/>
    <s v="No"/>
    <s v="Travel_Rarely"/>
    <n v="267"/>
    <x v="1"/>
    <n v="29"/>
    <n v="4"/>
    <s v="Life Sciences"/>
    <n v="1"/>
    <n v="2010"/>
    <n v="3"/>
    <x v="0"/>
    <n v="49"/>
    <n v="2"/>
    <n v="1"/>
    <x v="2"/>
    <n v="2"/>
    <s v="Single"/>
    <n v="2837"/>
    <n v="15919"/>
    <n v="1"/>
    <s v="Y"/>
    <x v="1"/>
    <n v="13"/>
    <n v="3"/>
    <n v="3"/>
    <n v="80"/>
    <n v="0"/>
    <n v="6"/>
    <n v="3"/>
    <n v="3"/>
    <n v="6"/>
    <n v="2"/>
    <n v="4"/>
    <n v="1"/>
    <x v="1"/>
    <n v="1"/>
    <x v="2"/>
    <x v="1"/>
    <s v="6-10 Years"/>
    <s v="Medium"/>
    <s v="Better"/>
  </r>
  <r>
    <x v="32"/>
    <s v="No"/>
    <s v="Travel_Rarely"/>
    <n v="543"/>
    <x v="1"/>
    <n v="1"/>
    <n v="4"/>
    <s v="Life Sciences"/>
    <n v="1"/>
    <n v="2012"/>
    <n v="1"/>
    <x v="1"/>
    <n v="83"/>
    <n v="3"/>
    <n v="1"/>
    <x v="2"/>
    <n v="4"/>
    <s v="Married"/>
    <n v="2406"/>
    <n v="4060"/>
    <n v="8"/>
    <s v="Y"/>
    <x v="1"/>
    <n v="19"/>
    <n v="3"/>
    <n v="3"/>
    <n v="80"/>
    <n v="2"/>
    <n v="8"/>
    <n v="3"/>
    <n v="2"/>
    <n v="1"/>
    <n v="0"/>
    <n v="0"/>
    <n v="0"/>
    <x v="1"/>
    <n v="1"/>
    <x v="0"/>
    <x v="1"/>
    <s v="0-1 Years"/>
    <s v="Very High"/>
    <s v="Good"/>
  </r>
  <r>
    <x v="5"/>
    <s v="No"/>
    <s v="Travel_Rarely"/>
    <n v="234"/>
    <x v="0"/>
    <n v="1"/>
    <n v="4"/>
    <s v="Medical"/>
    <n v="1"/>
    <n v="2013"/>
    <n v="2"/>
    <x v="1"/>
    <n v="68"/>
    <n v="2"/>
    <n v="1"/>
    <x v="6"/>
    <n v="2"/>
    <s v="Married"/>
    <n v="2269"/>
    <n v="18024"/>
    <n v="0"/>
    <s v="Y"/>
    <x v="1"/>
    <n v="14"/>
    <n v="3"/>
    <n v="2"/>
    <n v="80"/>
    <n v="1"/>
    <n v="3"/>
    <n v="2"/>
    <n v="3"/>
    <n v="2"/>
    <n v="2"/>
    <n v="2"/>
    <n v="2"/>
    <x v="1"/>
    <n v="1"/>
    <x v="2"/>
    <x v="1"/>
    <s v="2-5 Years"/>
    <s v="Medium"/>
    <s v="Better"/>
  </r>
  <r>
    <x v="22"/>
    <s v="No"/>
    <s v="Travel_Rarely"/>
    <n v="116"/>
    <x v="1"/>
    <n v="24"/>
    <n v="1"/>
    <s v="Life Sciences"/>
    <n v="1"/>
    <n v="2014"/>
    <n v="1"/>
    <x v="1"/>
    <n v="52"/>
    <n v="3"/>
    <n v="2"/>
    <x v="1"/>
    <n v="4"/>
    <s v="Single"/>
    <n v="4108"/>
    <n v="5340"/>
    <n v="7"/>
    <s v="Y"/>
    <x v="1"/>
    <n v="13"/>
    <n v="3"/>
    <n v="1"/>
    <n v="80"/>
    <n v="0"/>
    <n v="18"/>
    <n v="2"/>
    <n v="3"/>
    <n v="7"/>
    <n v="7"/>
    <n v="1"/>
    <n v="7"/>
    <x v="1"/>
    <n v="1"/>
    <x v="0"/>
    <x v="0"/>
    <s v="6-10 Years"/>
    <s v="Very High"/>
    <s v="Better"/>
  </r>
  <r>
    <x v="8"/>
    <s v="No"/>
    <s v="Travel_Rarely"/>
    <n v="201"/>
    <x v="1"/>
    <n v="10"/>
    <n v="3"/>
    <s v="Medical"/>
    <n v="1"/>
    <n v="2015"/>
    <n v="2"/>
    <x v="0"/>
    <n v="99"/>
    <n v="1"/>
    <n v="3"/>
    <x v="7"/>
    <n v="3"/>
    <s v="Married"/>
    <n v="13206"/>
    <n v="3376"/>
    <n v="3"/>
    <s v="Y"/>
    <x v="1"/>
    <n v="12"/>
    <n v="3"/>
    <n v="1"/>
    <n v="80"/>
    <n v="1"/>
    <n v="20"/>
    <n v="3"/>
    <n v="3"/>
    <n v="18"/>
    <n v="16"/>
    <n v="1"/>
    <n v="11"/>
    <x v="1"/>
    <n v="1"/>
    <x v="0"/>
    <x v="2"/>
    <s v="10+ Years"/>
    <s v="High"/>
    <s v="Better"/>
  </r>
  <r>
    <x v="5"/>
    <s v="No"/>
    <s v="Travel_Rarely"/>
    <n v="801"/>
    <x v="0"/>
    <n v="1"/>
    <n v="4"/>
    <s v="Marketing"/>
    <n v="1"/>
    <n v="2016"/>
    <n v="3"/>
    <x v="0"/>
    <n v="48"/>
    <n v="3"/>
    <n v="3"/>
    <x v="0"/>
    <n v="4"/>
    <s v="Married"/>
    <n v="10422"/>
    <n v="24032"/>
    <n v="1"/>
    <s v="Y"/>
    <x v="1"/>
    <n v="19"/>
    <n v="3"/>
    <n v="3"/>
    <n v="80"/>
    <n v="2"/>
    <n v="14"/>
    <n v="3"/>
    <n v="3"/>
    <n v="14"/>
    <n v="10"/>
    <n v="5"/>
    <n v="7"/>
    <x v="1"/>
    <n v="1"/>
    <x v="2"/>
    <x v="2"/>
    <s v="10+ Years"/>
    <s v="Very High"/>
    <s v="Better"/>
  </r>
  <r>
    <x v="2"/>
    <s v="No"/>
    <s v="Travel_Rarely"/>
    <n v="161"/>
    <x v="1"/>
    <n v="10"/>
    <n v="3"/>
    <s v="Life Sciences"/>
    <n v="1"/>
    <n v="2017"/>
    <n v="3"/>
    <x v="0"/>
    <n v="42"/>
    <n v="4"/>
    <n v="3"/>
    <x v="7"/>
    <n v="4"/>
    <s v="Married"/>
    <n v="13744"/>
    <n v="15471"/>
    <n v="1"/>
    <s v="Y"/>
    <x v="0"/>
    <n v="25"/>
    <n v="4"/>
    <n v="1"/>
    <n v="80"/>
    <n v="1"/>
    <n v="16"/>
    <n v="2"/>
    <n v="3"/>
    <n v="16"/>
    <n v="11"/>
    <n v="6"/>
    <n v="8"/>
    <x v="1"/>
    <n v="1"/>
    <x v="0"/>
    <x v="2"/>
    <s v="10+ Years"/>
    <s v="Very High"/>
    <s v="Better"/>
  </r>
  <r>
    <x v="36"/>
    <s v="No"/>
    <s v="Travel_Rarely"/>
    <n v="1382"/>
    <x v="0"/>
    <n v="8"/>
    <n v="2"/>
    <s v="Other"/>
    <n v="1"/>
    <n v="2018"/>
    <n v="1"/>
    <x v="0"/>
    <n v="85"/>
    <n v="3"/>
    <n v="2"/>
    <x v="0"/>
    <n v="3"/>
    <s v="Divorced"/>
    <n v="4907"/>
    <n v="13684"/>
    <n v="0"/>
    <s v="Y"/>
    <x v="0"/>
    <n v="22"/>
    <n v="4"/>
    <n v="2"/>
    <n v="80"/>
    <n v="1"/>
    <n v="6"/>
    <n v="3"/>
    <n v="2"/>
    <n v="5"/>
    <n v="3"/>
    <n v="0"/>
    <n v="4"/>
    <x v="1"/>
    <n v="1"/>
    <x v="2"/>
    <x v="0"/>
    <s v="2-5 Years"/>
    <s v="High"/>
    <s v="Good"/>
  </r>
  <r>
    <x v="39"/>
    <s v="No"/>
    <s v="Non-Travel"/>
    <n v="585"/>
    <x v="0"/>
    <n v="29"/>
    <n v="4"/>
    <s v="Life Sciences"/>
    <n v="1"/>
    <n v="2019"/>
    <n v="1"/>
    <x v="1"/>
    <n v="40"/>
    <n v="3"/>
    <n v="1"/>
    <x v="6"/>
    <n v="4"/>
    <s v="Divorced"/>
    <n v="3482"/>
    <n v="19788"/>
    <n v="2"/>
    <s v="Y"/>
    <x v="1"/>
    <n v="15"/>
    <n v="3"/>
    <n v="2"/>
    <n v="80"/>
    <n v="2"/>
    <n v="16"/>
    <n v="3"/>
    <n v="2"/>
    <n v="9"/>
    <n v="8"/>
    <n v="0"/>
    <n v="0"/>
    <x v="1"/>
    <n v="1"/>
    <x v="1"/>
    <x v="0"/>
    <s v="6-10 Years"/>
    <s v="Very High"/>
    <s v="Good"/>
  </r>
  <r>
    <x v="20"/>
    <s v="No"/>
    <s v="Travel_Rarely"/>
    <n v="1037"/>
    <x v="1"/>
    <n v="1"/>
    <n v="3"/>
    <s v="Medical"/>
    <n v="1"/>
    <n v="2020"/>
    <n v="2"/>
    <x v="1"/>
    <n v="42"/>
    <n v="3"/>
    <n v="1"/>
    <x v="1"/>
    <n v="4"/>
    <s v="Single"/>
    <n v="2436"/>
    <n v="13422"/>
    <n v="6"/>
    <s v="Y"/>
    <x v="0"/>
    <n v="12"/>
    <n v="3"/>
    <n v="3"/>
    <n v="80"/>
    <n v="0"/>
    <n v="6"/>
    <n v="2"/>
    <n v="3"/>
    <n v="4"/>
    <n v="3"/>
    <n v="1"/>
    <n v="2"/>
    <x v="1"/>
    <n v="1"/>
    <x v="0"/>
    <x v="1"/>
    <s v="2-5 Years"/>
    <s v="Very High"/>
    <s v="Better"/>
  </r>
  <r>
    <x v="18"/>
    <s v="No"/>
    <s v="Travel_Rarely"/>
    <n v="501"/>
    <x v="0"/>
    <n v="5"/>
    <n v="1"/>
    <s v="Medical"/>
    <n v="1"/>
    <n v="2021"/>
    <n v="3"/>
    <x v="1"/>
    <n v="58"/>
    <n v="3"/>
    <n v="1"/>
    <x v="6"/>
    <n v="1"/>
    <s v="Single"/>
    <n v="2380"/>
    <n v="25479"/>
    <n v="1"/>
    <s v="Y"/>
    <x v="0"/>
    <n v="11"/>
    <n v="3"/>
    <n v="4"/>
    <n v="80"/>
    <n v="0"/>
    <n v="2"/>
    <n v="6"/>
    <n v="3"/>
    <n v="2"/>
    <n v="2"/>
    <n v="1"/>
    <n v="2"/>
    <x v="1"/>
    <n v="1"/>
    <x v="4"/>
    <x v="1"/>
    <s v="2-5 Years"/>
    <s v="Low"/>
    <s v="Better"/>
  </r>
  <r>
    <x v="22"/>
    <s v="No"/>
    <s v="Non-Travel"/>
    <n v="105"/>
    <x v="1"/>
    <n v="9"/>
    <n v="3"/>
    <s v="Life Sciences"/>
    <n v="1"/>
    <n v="2022"/>
    <n v="4"/>
    <x v="1"/>
    <n v="87"/>
    <n v="3"/>
    <n v="5"/>
    <x v="5"/>
    <n v="4"/>
    <s v="Single"/>
    <n v="19431"/>
    <n v="15302"/>
    <n v="2"/>
    <s v="Y"/>
    <x v="1"/>
    <n v="13"/>
    <n v="3"/>
    <n v="3"/>
    <n v="80"/>
    <n v="0"/>
    <n v="21"/>
    <n v="3"/>
    <n v="2"/>
    <n v="6"/>
    <n v="0"/>
    <n v="1"/>
    <n v="3"/>
    <x v="1"/>
    <n v="1"/>
    <x v="0"/>
    <x v="2"/>
    <s v="6-10 Years"/>
    <s v="Very High"/>
    <s v="Good"/>
  </r>
  <r>
    <x v="30"/>
    <s v="Yes"/>
    <s v="Travel_Frequently"/>
    <n v="638"/>
    <x v="0"/>
    <n v="9"/>
    <n v="3"/>
    <s v="Marketing"/>
    <n v="1"/>
    <n v="2023"/>
    <n v="4"/>
    <x v="1"/>
    <n v="33"/>
    <n v="3"/>
    <n v="1"/>
    <x v="6"/>
    <n v="1"/>
    <s v="Married"/>
    <n v="1790"/>
    <n v="26956"/>
    <n v="1"/>
    <s v="Y"/>
    <x v="1"/>
    <n v="19"/>
    <n v="3"/>
    <n v="1"/>
    <n v="80"/>
    <n v="1"/>
    <n v="1"/>
    <n v="3"/>
    <n v="2"/>
    <n v="1"/>
    <n v="0"/>
    <n v="1"/>
    <n v="0"/>
    <x v="0"/>
    <n v="0"/>
    <x v="4"/>
    <x v="1"/>
    <s v="0-1 Years"/>
    <s v="Low"/>
    <s v="Good"/>
  </r>
  <r>
    <x v="9"/>
    <s v="No"/>
    <s v="Travel_Rarely"/>
    <n v="557"/>
    <x v="0"/>
    <n v="3"/>
    <n v="3"/>
    <s v="Medical"/>
    <n v="1"/>
    <n v="2024"/>
    <n v="1"/>
    <x v="0"/>
    <n v="94"/>
    <n v="2"/>
    <n v="3"/>
    <x v="0"/>
    <n v="4"/>
    <s v="Married"/>
    <n v="7644"/>
    <n v="12695"/>
    <n v="0"/>
    <s v="Y"/>
    <x v="1"/>
    <n v="19"/>
    <n v="3"/>
    <n v="3"/>
    <n v="80"/>
    <n v="2"/>
    <n v="10"/>
    <n v="2"/>
    <n v="3"/>
    <n v="9"/>
    <n v="7"/>
    <n v="3"/>
    <n v="4"/>
    <x v="1"/>
    <n v="1"/>
    <x v="0"/>
    <x v="2"/>
    <s v="6-10 Years"/>
    <s v="Very High"/>
    <s v="Better"/>
  </r>
  <r>
    <x v="9"/>
    <s v="No"/>
    <s v="Travel_Frequently"/>
    <n v="688"/>
    <x v="1"/>
    <n v="4"/>
    <n v="2"/>
    <s v="Life Sciences"/>
    <n v="1"/>
    <n v="2025"/>
    <n v="4"/>
    <x v="0"/>
    <n v="97"/>
    <n v="3"/>
    <n v="2"/>
    <x v="3"/>
    <n v="2"/>
    <s v="Divorced"/>
    <n v="5131"/>
    <n v="9192"/>
    <n v="7"/>
    <s v="Y"/>
    <x v="1"/>
    <n v="13"/>
    <n v="3"/>
    <n v="2"/>
    <n v="80"/>
    <n v="3"/>
    <n v="18"/>
    <n v="3"/>
    <n v="3"/>
    <n v="4"/>
    <n v="2"/>
    <n v="0"/>
    <n v="2"/>
    <x v="1"/>
    <n v="1"/>
    <x v="0"/>
    <x v="0"/>
    <s v="2-5 Years"/>
    <s v="Medium"/>
    <s v="Better"/>
  </r>
  <r>
    <x v="29"/>
    <s v="No"/>
    <s v="Non-Travel"/>
    <n v="667"/>
    <x v="1"/>
    <n v="1"/>
    <n v="4"/>
    <s v="Life Sciences"/>
    <n v="1"/>
    <n v="2026"/>
    <n v="3"/>
    <x v="1"/>
    <n v="57"/>
    <n v="3"/>
    <n v="2"/>
    <x v="4"/>
    <n v="3"/>
    <s v="Divorced"/>
    <n v="6306"/>
    <n v="26236"/>
    <n v="1"/>
    <s v="Y"/>
    <x v="1"/>
    <n v="21"/>
    <n v="4"/>
    <n v="1"/>
    <n v="80"/>
    <n v="1"/>
    <n v="13"/>
    <n v="2"/>
    <n v="2"/>
    <n v="13"/>
    <n v="12"/>
    <n v="1"/>
    <n v="9"/>
    <x v="1"/>
    <n v="1"/>
    <x v="3"/>
    <x v="0"/>
    <s v="10+ Years"/>
    <s v="High"/>
    <s v="Good"/>
  </r>
  <r>
    <x v="11"/>
    <s v="Yes"/>
    <s v="Travel_Rarely"/>
    <n v="1092"/>
    <x v="1"/>
    <n v="1"/>
    <n v="4"/>
    <s v="Medical"/>
    <n v="1"/>
    <n v="2027"/>
    <n v="1"/>
    <x v="1"/>
    <n v="36"/>
    <n v="3"/>
    <n v="1"/>
    <x v="1"/>
    <n v="4"/>
    <s v="Married"/>
    <n v="4787"/>
    <n v="26124"/>
    <n v="9"/>
    <s v="Y"/>
    <x v="0"/>
    <n v="14"/>
    <n v="3"/>
    <n v="2"/>
    <n v="80"/>
    <n v="3"/>
    <n v="4"/>
    <n v="3"/>
    <n v="4"/>
    <n v="2"/>
    <n v="2"/>
    <n v="2"/>
    <n v="2"/>
    <x v="0"/>
    <n v="0"/>
    <x v="2"/>
    <x v="0"/>
    <s v="2-5 Years"/>
    <s v="Very High"/>
    <s v="Best"/>
  </r>
  <r>
    <x v="19"/>
    <s v="No"/>
    <s v="Travel_Rarely"/>
    <n v="300"/>
    <x v="1"/>
    <n v="2"/>
    <n v="3"/>
    <s v="Life Sciences"/>
    <n v="1"/>
    <n v="2031"/>
    <n v="1"/>
    <x v="1"/>
    <n v="56"/>
    <n v="3"/>
    <n v="5"/>
    <x v="5"/>
    <n v="3"/>
    <s v="Married"/>
    <n v="18880"/>
    <n v="17312"/>
    <n v="5"/>
    <s v="Y"/>
    <x v="1"/>
    <n v="11"/>
    <n v="3"/>
    <n v="1"/>
    <n v="80"/>
    <n v="0"/>
    <n v="24"/>
    <n v="2"/>
    <n v="2"/>
    <n v="22"/>
    <n v="6"/>
    <n v="4"/>
    <n v="14"/>
    <x v="1"/>
    <n v="1"/>
    <x v="0"/>
    <x v="2"/>
    <s v="10+ Years"/>
    <s v="High"/>
    <s v="Good"/>
  </r>
  <r>
    <x v="29"/>
    <s v="Yes"/>
    <s v="Travel_Rarely"/>
    <n v="310"/>
    <x v="1"/>
    <n v="7"/>
    <n v="2"/>
    <s v="Technical Degree"/>
    <n v="1"/>
    <n v="2032"/>
    <n v="4"/>
    <x v="1"/>
    <n v="72"/>
    <n v="3"/>
    <n v="1"/>
    <x v="2"/>
    <n v="3"/>
    <s v="Married"/>
    <n v="2339"/>
    <n v="3666"/>
    <n v="8"/>
    <s v="Y"/>
    <x v="1"/>
    <n v="11"/>
    <n v="3"/>
    <n v="4"/>
    <n v="80"/>
    <n v="1"/>
    <n v="14"/>
    <n v="4"/>
    <n v="1"/>
    <n v="10"/>
    <n v="9"/>
    <n v="9"/>
    <n v="8"/>
    <x v="0"/>
    <n v="0"/>
    <x v="3"/>
    <x v="1"/>
    <s v="6-10 Years"/>
    <s v="High"/>
    <s v="Bad"/>
  </r>
  <r>
    <x v="0"/>
    <s v="No"/>
    <s v="Travel_Rarely"/>
    <n v="582"/>
    <x v="1"/>
    <n v="28"/>
    <n v="4"/>
    <s v="Life Sciences"/>
    <n v="1"/>
    <n v="2034"/>
    <n v="1"/>
    <x v="0"/>
    <n v="60"/>
    <n v="2"/>
    <n v="4"/>
    <x v="3"/>
    <n v="2"/>
    <s v="Married"/>
    <n v="13570"/>
    <n v="5640"/>
    <n v="0"/>
    <s v="Y"/>
    <x v="1"/>
    <n v="23"/>
    <n v="4"/>
    <n v="3"/>
    <n v="80"/>
    <n v="1"/>
    <n v="21"/>
    <n v="3"/>
    <n v="3"/>
    <n v="20"/>
    <n v="7"/>
    <n v="0"/>
    <n v="10"/>
    <x v="1"/>
    <n v="1"/>
    <x v="0"/>
    <x v="2"/>
    <s v="10+ Years"/>
    <s v="Medium"/>
    <s v="Better"/>
  </r>
  <r>
    <x v="13"/>
    <s v="No"/>
    <s v="Travel_Rarely"/>
    <n v="704"/>
    <x v="0"/>
    <n v="28"/>
    <n v="3"/>
    <s v="Marketing"/>
    <n v="1"/>
    <n v="2035"/>
    <n v="4"/>
    <x v="0"/>
    <n v="95"/>
    <n v="2"/>
    <n v="2"/>
    <x v="0"/>
    <n v="3"/>
    <s v="Married"/>
    <n v="6712"/>
    <n v="8978"/>
    <n v="1"/>
    <s v="Y"/>
    <x v="1"/>
    <n v="21"/>
    <n v="4"/>
    <n v="4"/>
    <n v="80"/>
    <n v="2"/>
    <n v="8"/>
    <n v="2"/>
    <n v="3"/>
    <n v="8"/>
    <n v="7"/>
    <n v="1"/>
    <n v="7"/>
    <x v="1"/>
    <n v="1"/>
    <x v="2"/>
    <x v="0"/>
    <s v="6-10 Years"/>
    <s v="High"/>
    <s v="Better"/>
  </r>
  <r>
    <x v="9"/>
    <s v="No"/>
    <s v="Non-Travel"/>
    <n v="301"/>
    <x v="0"/>
    <n v="15"/>
    <n v="4"/>
    <s v="Marketing"/>
    <n v="1"/>
    <n v="2036"/>
    <n v="4"/>
    <x v="1"/>
    <n v="88"/>
    <n v="1"/>
    <n v="2"/>
    <x v="0"/>
    <n v="4"/>
    <s v="Divorced"/>
    <n v="5406"/>
    <n v="10436"/>
    <n v="1"/>
    <s v="Y"/>
    <x v="1"/>
    <n v="24"/>
    <n v="4"/>
    <n v="1"/>
    <n v="80"/>
    <n v="1"/>
    <n v="15"/>
    <n v="4"/>
    <n v="2"/>
    <n v="15"/>
    <n v="12"/>
    <n v="11"/>
    <n v="11"/>
    <x v="1"/>
    <n v="1"/>
    <x v="0"/>
    <x v="0"/>
    <s v="10+ Years"/>
    <s v="Very High"/>
    <s v="Good"/>
  </r>
  <r>
    <x v="0"/>
    <s v="No"/>
    <s v="Travel_Rarely"/>
    <n v="930"/>
    <x v="0"/>
    <n v="3"/>
    <n v="3"/>
    <s v="Life Sciences"/>
    <n v="1"/>
    <n v="2037"/>
    <n v="3"/>
    <x v="1"/>
    <n v="57"/>
    <n v="2"/>
    <n v="2"/>
    <x v="0"/>
    <n v="2"/>
    <s v="Divorced"/>
    <n v="8938"/>
    <n v="12227"/>
    <n v="2"/>
    <s v="Y"/>
    <x v="1"/>
    <n v="11"/>
    <n v="3"/>
    <n v="3"/>
    <n v="80"/>
    <n v="1"/>
    <n v="14"/>
    <n v="5"/>
    <n v="3"/>
    <n v="5"/>
    <n v="4"/>
    <n v="0"/>
    <n v="4"/>
    <x v="1"/>
    <n v="1"/>
    <x v="0"/>
    <x v="2"/>
    <s v="2-5 Years"/>
    <s v="Medium"/>
    <s v="Better"/>
  </r>
  <r>
    <x v="5"/>
    <s v="No"/>
    <s v="Travel_Rarely"/>
    <n v="529"/>
    <x v="1"/>
    <n v="2"/>
    <n v="3"/>
    <s v="Technical Degree"/>
    <n v="1"/>
    <n v="2038"/>
    <n v="4"/>
    <x v="1"/>
    <n v="78"/>
    <n v="3"/>
    <n v="1"/>
    <x v="1"/>
    <n v="1"/>
    <s v="Single"/>
    <n v="2439"/>
    <n v="11288"/>
    <n v="1"/>
    <s v="Y"/>
    <x v="1"/>
    <n v="14"/>
    <n v="3"/>
    <n v="4"/>
    <n v="80"/>
    <n v="0"/>
    <n v="4"/>
    <n v="4"/>
    <n v="3"/>
    <n v="4"/>
    <n v="2"/>
    <n v="1"/>
    <n v="2"/>
    <x v="1"/>
    <n v="1"/>
    <x v="2"/>
    <x v="1"/>
    <s v="2-5 Years"/>
    <s v="Low"/>
    <s v="Better"/>
  </r>
  <r>
    <x v="10"/>
    <s v="No"/>
    <s v="Travel_Rarely"/>
    <n v="1146"/>
    <x v="2"/>
    <n v="26"/>
    <n v="4"/>
    <s v="Life Sciences"/>
    <n v="1"/>
    <n v="2040"/>
    <n v="3"/>
    <x v="0"/>
    <n v="31"/>
    <n v="3"/>
    <n v="3"/>
    <x v="8"/>
    <n v="4"/>
    <s v="Single"/>
    <n v="8837"/>
    <n v="16642"/>
    <n v="1"/>
    <s v="Y"/>
    <x v="0"/>
    <n v="16"/>
    <n v="3"/>
    <n v="3"/>
    <n v="80"/>
    <n v="0"/>
    <n v="9"/>
    <n v="2"/>
    <n v="3"/>
    <n v="9"/>
    <n v="0"/>
    <n v="1"/>
    <n v="7"/>
    <x v="1"/>
    <n v="1"/>
    <x v="0"/>
    <x v="2"/>
    <s v="6-10 Years"/>
    <s v="Very High"/>
    <s v="Better"/>
  </r>
  <r>
    <x v="8"/>
    <s v="No"/>
    <s v="Travel_Rarely"/>
    <n v="345"/>
    <x v="0"/>
    <n v="10"/>
    <n v="2"/>
    <s v="Life Sciences"/>
    <n v="1"/>
    <n v="2041"/>
    <n v="1"/>
    <x v="0"/>
    <n v="100"/>
    <n v="3"/>
    <n v="2"/>
    <x v="0"/>
    <n v="4"/>
    <s v="Married"/>
    <n v="5343"/>
    <n v="5982"/>
    <n v="1"/>
    <s v="Y"/>
    <x v="1"/>
    <n v="11"/>
    <n v="3"/>
    <n v="3"/>
    <n v="80"/>
    <n v="1"/>
    <n v="10"/>
    <n v="1"/>
    <n v="3"/>
    <n v="10"/>
    <n v="7"/>
    <n v="1"/>
    <n v="9"/>
    <x v="1"/>
    <n v="1"/>
    <x v="0"/>
    <x v="0"/>
    <s v="6-10 Years"/>
    <s v="Very High"/>
    <s v="Better"/>
  </r>
  <r>
    <x v="24"/>
    <s v="Yes"/>
    <s v="Travel_Frequently"/>
    <n v="878"/>
    <x v="0"/>
    <n v="1"/>
    <n v="4"/>
    <s v="Life Sciences"/>
    <n v="1"/>
    <n v="2044"/>
    <n v="2"/>
    <x v="1"/>
    <n v="94"/>
    <n v="3"/>
    <n v="2"/>
    <x v="0"/>
    <n v="3"/>
    <s v="Divorced"/>
    <n v="6728"/>
    <n v="14255"/>
    <n v="7"/>
    <s v="Y"/>
    <x v="1"/>
    <n v="12"/>
    <n v="3"/>
    <n v="4"/>
    <n v="80"/>
    <n v="2"/>
    <n v="12"/>
    <n v="3"/>
    <n v="3"/>
    <n v="6"/>
    <n v="3"/>
    <n v="0"/>
    <n v="1"/>
    <x v="0"/>
    <n v="0"/>
    <x v="1"/>
    <x v="0"/>
    <s v="6-10 Years"/>
    <s v="High"/>
    <s v="Better"/>
  </r>
  <r>
    <x v="9"/>
    <s v="No"/>
    <s v="Travel_Rarely"/>
    <n v="1120"/>
    <x v="0"/>
    <n v="11"/>
    <n v="4"/>
    <s v="Marketing"/>
    <n v="1"/>
    <n v="2045"/>
    <n v="2"/>
    <x v="0"/>
    <n v="100"/>
    <n v="2"/>
    <n v="2"/>
    <x v="0"/>
    <n v="4"/>
    <s v="Married"/>
    <n v="6652"/>
    <n v="14369"/>
    <n v="4"/>
    <s v="Y"/>
    <x v="1"/>
    <n v="13"/>
    <n v="3"/>
    <n v="1"/>
    <n v="80"/>
    <n v="1"/>
    <n v="8"/>
    <n v="2"/>
    <n v="2"/>
    <n v="6"/>
    <n v="3"/>
    <n v="0"/>
    <n v="0"/>
    <x v="1"/>
    <n v="1"/>
    <x v="0"/>
    <x v="0"/>
    <s v="6-10 Years"/>
    <s v="Very High"/>
    <s v="Good"/>
  </r>
  <r>
    <x v="28"/>
    <s v="No"/>
    <s v="Travel_Rarely"/>
    <n v="374"/>
    <x v="0"/>
    <n v="20"/>
    <n v="3"/>
    <s v="Life Sciences"/>
    <n v="1"/>
    <n v="2046"/>
    <n v="4"/>
    <x v="0"/>
    <n v="50"/>
    <n v="3"/>
    <n v="2"/>
    <x v="0"/>
    <n v="3"/>
    <s v="Single"/>
    <n v="4850"/>
    <n v="23333"/>
    <n v="8"/>
    <s v="Y"/>
    <x v="1"/>
    <n v="15"/>
    <n v="3"/>
    <n v="3"/>
    <n v="80"/>
    <n v="0"/>
    <n v="8"/>
    <n v="3"/>
    <n v="3"/>
    <n v="5"/>
    <n v="3"/>
    <n v="0"/>
    <n v="1"/>
    <x v="1"/>
    <n v="1"/>
    <x v="1"/>
    <x v="0"/>
    <s v="2-5 Years"/>
    <s v="High"/>
    <s v="Better"/>
  </r>
  <r>
    <x v="32"/>
    <s v="No"/>
    <s v="Travel_Rarely"/>
    <n v="1322"/>
    <x v="1"/>
    <n v="2"/>
    <n v="4"/>
    <s v="Life Sciences"/>
    <n v="1"/>
    <n v="2048"/>
    <n v="3"/>
    <x v="1"/>
    <n v="52"/>
    <n v="2"/>
    <n v="1"/>
    <x v="1"/>
    <n v="3"/>
    <s v="Single"/>
    <n v="2809"/>
    <n v="2725"/>
    <n v="2"/>
    <s v="Y"/>
    <x v="1"/>
    <n v="14"/>
    <n v="3"/>
    <n v="4"/>
    <n v="80"/>
    <n v="0"/>
    <n v="8"/>
    <n v="2"/>
    <n v="3"/>
    <n v="2"/>
    <n v="2"/>
    <n v="2"/>
    <n v="2"/>
    <x v="1"/>
    <n v="1"/>
    <x v="0"/>
    <x v="1"/>
    <s v="2-5 Years"/>
    <s v="High"/>
    <s v="Better"/>
  </r>
  <r>
    <x v="10"/>
    <s v="No"/>
    <s v="Travel_Frequently"/>
    <n v="1199"/>
    <x v="1"/>
    <n v="18"/>
    <n v="4"/>
    <s v="Life Sciences"/>
    <n v="1"/>
    <n v="2049"/>
    <n v="3"/>
    <x v="1"/>
    <n v="80"/>
    <n v="3"/>
    <n v="2"/>
    <x v="4"/>
    <n v="3"/>
    <s v="Married"/>
    <n v="5689"/>
    <n v="24594"/>
    <n v="1"/>
    <s v="Y"/>
    <x v="0"/>
    <n v="14"/>
    <n v="3"/>
    <n v="4"/>
    <n v="80"/>
    <n v="2"/>
    <n v="10"/>
    <n v="2"/>
    <n v="4"/>
    <n v="10"/>
    <n v="2"/>
    <n v="0"/>
    <n v="2"/>
    <x v="1"/>
    <n v="1"/>
    <x v="0"/>
    <x v="0"/>
    <s v="6-10 Years"/>
    <s v="High"/>
    <s v="Best"/>
  </r>
  <r>
    <x v="32"/>
    <s v="No"/>
    <s v="Travel_Rarely"/>
    <n v="1194"/>
    <x v="1"/>
    <n v="2"/>
    <n v="4"/>
    <s v="Medical"/>
    <n v="1"/>
    <n v="2051"/>
    <n v="3"/>
    <x v="0"/>
    <n v="98"/>
    <n v="3"/>
    <n v="1"/>
    <x v="1"/>
    <n v="3"/>
    <s v="Married"/>
    <n v="2001"/>
    <n v="12549"/>
    <n v="2"/>
    <s v="Y"/>
    <x v="1"/>
    <n v="14"/>
    <n v="3"/>
    <n v="2"/>
    <n v="80"/>
    <n v="3"/>
    <n v="20"/>
    <n v="2"/>
    <n v="3"/>
    <n v="5"/>
    <n v="3"/>
    <n v="0"/>
    <n v="2"/>
    <x v="1"/>
    <n v="1"/>
    <x v="0"/>
    <x v="1"/>
    <s v="2-5 Years"/>
    <s v="High"/>
    <s v="Better"/>
  </r>
  <r>
    <x v="10"/>
    <s v="No"/>
    <s v="Travel_Rarely"/>
    <n v="287"/>
    <x v="1"/>
    <n v="1"/>
    <n v="4"/>
    <s v="Life Sciences"/>
    <n v="1"/>
    <n v="2052"/>
    <n v="3"/>
    <x v="0"/>
    <n v="62"/>
    <n v="1"/>
    <n v="1"/>
    <x v="1"/>
    <n v="4"/>
    <s v="Married"/>
    <n v="2977"/>
    <n v="8952"/>
    <n v="1"/>
    <s v="Y"/>
    <x v="1"/>
    <n v="12"/>
    <n v="3"/>
    <n v="4"/>
    <n v="80"/>
    <n v="1"/>
    <n v="4"/>
    <n v="5"/>
    <n v="3"/>
    <n v="4"/>
    <n v="3"/>
    <n v="1"/>
    <n v="1"/>
    <x v="1"/>
    <n v="1"/>
    <x v="0"/>
    <x v="1"/>
    <s v="2-5 Years"/>
    <s v="Very High"/>
    <s v="Better"/>
  </r>
  <r>
    <x v="11"/>
    <s v="No"/>
    <s v="Travel_Rarely"/>
    <n v="1378"/>
    <x v="1"/>
    <n v="13"/>
    <n v="2"/>
    <s v="Other"/>
    <n v="1"/>
    <n v="2053"/>
    <n v="4"/>
    <x v="1"/>
    <n v="46"/>
    <n v="2"/>
    <n v="2"/>
    <x v="2"/>
    <n v="2"/>
    <s v="Married"/>
    <n v="4025"/>
    <n v="23679"/>
    <n v="4"/>
    <s v="Y"/>
    <x v="0"/>
    <n v="13"/>
    <n v="3"/>
    <n v="1"/>
    <n v="80"/>
    <n v="1"/>
    <n v="10"/>
    <n v="2"/>
    <n v="3"/>
    <n v="4"/>
    <n v="3"/>
    <n v="0"/>
    <n v="3"/>
    <x v="1"/>
    <n v="1"/>
    <x v="2"/>
    <x v="0"/>
    <s v="2-5 Years"/>
    <s v="Medium"/>
    <s v="Better"/>
  </r>
  <r>
    <x v="11"/>
    <s v="No"/>
    <s v="Travel_Rarely"/>
    <n v="468"/>
    <x v="1"/>
    <n v="28"/>
    <n v="4"/>
    <s v="Medical"/>
    <n v="1"/>
    <n v="2054"/>
    <n v="4"/>
    <x v="0"/>
    <n v="73"/>
    <n v="2"/>
    <n v="1"/>
    <x v="1"/>
    <n v="1"/>
    <s v="Single"/>
    <n v="3785"/>
    <n v="8489"/>
    <n v="1"/>
    <s v="Y"/>
    <x v="1"/>
    <n v="14"/>
    <n v="3"/>
    <n v="2"/>
    <n v="80"/>
    <n v="0"/>
    <n v="5"/>
    <n v="3"/>
    <n v="1"/>
    <n v="5"/>
    <n v="4"/>
    <n v="0"/>
    <n v="4"/>
    <x v="1"/>
    <n v="1"/>
    <x v="2"/>
    <x v="0"/>
    <s v="2-5 Years"/>
    <s v="Low"/>
    <s v="Bad"/>
  </r>
  <r>
    <x v="24"/>
    <s v="Yes"/>
    <s v="Travel_Rarely"/>
    <n v="410"/>
    <x v="0"/>
    <n v="28"/>
    <n v="3"/>
    <s v="Marketing"/>
    <n v="1"/>
    <n v="2055"/>
    <n v="4"/>
    <x v="1"/>
    <n v="39"/>
    <n v="2"/>
    <n v="3"/>
    <x v="0"/>
    <n v="1"/>
    <s v="Divorced"/>
    <n v="10854"/>
    <n v="16586"/>
    <n v="4"/>
    <s v="Y"/>
    <x v="0"/>
    <n v="13"/>
    <n v="3"/>
    <n v="2"/>
    <n v="80"/>
    <n v="1"/>
    <n v="20"/>
    <n v="3"/>
    <n v="3"/>
    <n v="3"/>
    <n v="2"/>
    <n v="2"/>
    <n v="0"/>
    <x v="0"/>
    <n v="0"/>
    <x v="1"/>
    <x v="2"/>
    <s v="2-5 Years"/>
    <s v="Low"/>
    <s v="Better"/>
  </r>
  <r>
    <x v="22"/>
    <s v="No"/>
    <s v="Travel_Rarely"/>
    <n v="722"/>
    <x v="0"/>
    <n v="24"/>
    <n v="1"/>
    <s v="Marketing"/>
    <n v="1"/>
    <n v="2056"/>
    <n v="2"/>
    <x v="0"/>
    <n v="60"/>
    <n v="2"/>
    <n v="4"/>
    <x v="0"/>
    <n v="4"/>
    <s v="Married"/>
    <n v="12031"/>
    <n v="8828"/>
    <n v="0"/>
    <s v="Y"/>
    <x v="1"/>
    <n v="11"/>
    <n v="3"/>
    <n v="1"/>
    <n v="80"/>
    <n v="1"/>
    <n v="21"/>
    <n v="2"/>
    <n v="2"/>
    <n v="20"/>
    <n v="9"/>
    <n v="9"/>
    <n v="6"/>
    <x v="1"/>
    <n v="1"/>
    <x v="0"/>
    <x v="2"/>
    <s v="10+ Years"/>
    <s v="Very High"/>
    <s v="Good"/>
  </r>
  <r>
    <x v="12"/>
    <s v="No"/>
    <s v="Non-Travel"/>
    <n v="325"/>
    <x v="1"/>
    <n v="5"/>
    <n v="3"/>
    <s v="Medical"/>
    <n v="1"/>
    <n v="2057"/>
    <n v="2"/>
    <x v="1"/>
    <n v="74"/>
    <n v="3"/>
    <n v="2"/>
    <x v="3"/>
    <n v="1"/>
    <s v="Single"/>
    <n v="9936"/>
    <n v="3787"/>
    <n v="0"/>
    <s v="Y"/>
    <x v="1"/>
    <n v="19"/>
    <n v="3"/>
    <n v="2"/>
    <n v="80"/>
    <n v="0"/>
    <n v="10"/>
    <n v="2"/>
    <n v="3"/>
    <n v="9"/>
    <n v="4"/>
    <n v="1"/>
    <n v="7"/>
    <x v="1"/>
    <n v="1"/>
    <x v="2"/>
    <x v="2"/>
    <s v="6-10 Years"/>
    <s v="Low"/>
    <s v="Better"/>
  </r>
  <r>
    <x v="25"/>
    <s v="No"/>
    <s v="Travel_Rarely"/>
    <n v="1167"/>
    <x v="0"/>
    <n v="5"/>
    <n v="3"/>
    <s v="Other"/>
    <n v="1"/>
    <n v="2060"/>
    <n v="4"/>
    <x v="0"/>
    <n v="30"/>
    <n v="2"/>
    <n v="1"/>
    <x v="6"/>
    <n v="3"/>
    <s v="Single"/>
    <n v="2966"/>
    <n v="21378"/>
    <n v="0"/>
    <s v="Y"/>
    <x v="1"/>
    <n v="18"/>
    <n v="3"/>
    <n v="4"/>
    <n v="80"/>
    <n v="0"/>
    <n v="5"/>
    <n v="2"/>
    <n v="3"/>
    <n v="4"/>
    <n v="2"/>
    <n v="0"/>
    <n v="0"/>
    <x v="1"/>
    <n v="1"/>
    <x v="2"/>
    <x v="1"/>
    <s v="2-5 Years"/>
    <s v="High"/>
    <s v="Better"/>
  </r>
  <r>
    <x v="9"/>
    <s v="No"/>
    <s v="Travel_Frequently"/>
    <n v="884"/>
    <x v="1"/>
    <n v="23"/>
    <n v="2"/>
    <s v="Medical"/>
    <n v="1"/>
    <n v="2061"/>
    <n v="3"/>
    <x v="1"/>
    <n v="41"/>
    <n v="4"/>
    <n v="2"/>
    <x v="2"/>
    <n v="4"/>
    <s v="Married"/>
    <n v="2571"/>
    <n v="12290"/>
    <n v="4"/>
    <s v="Y"/>
    <x v="1"/>
    <n v="17"/>
    <n v="3"/>
    <n v="3"/>
    <n v="80"/>
    <n v="1"/>
    <n v="17"/>
    <n v="3"/>
    <n v="3"/>
    <n v="5"/>
    <n v="2"/>
    <n v="0"/>
    <n v="3"/>
    <x v="1"/>
    <n v="1"/>
    <x v="0"/>
    <x v="1"/>
    <s v="2-5 Years"/>
    <s v="Very High"/>
    <s v="Better"/>
  </r>
  <r>
    <x v="22"/>
    <s v="No"/>
    <s v="Travel_Rarely"/>
    <n v="613"/>
    <x v="1"/>
    <n v="6"/>
    <n v="1"/>
    <s v="Medical"/>
    <n v="1"/>
    <n v="2062"/>
    <n v="4"/>
    <x v="1"/>
    <n v="42"/>
    <n v="2"/>
    <n v="3"/>
    <x v="4"/>
    <n v="1"/>
    <s v="Married"/>
    <n v="9991"/>
    <n v="21457"/>
    <n v="4"/>
    <s v="Y"/>
    <x v="1"/>
    <n v="15"/>
    <n v="3"/>
    <n v="1"/>
    <n v="80"/>
    <n v="1"/>
    <n v="9"/>
    <n v="5"/>
    <n v="3"/>
    <n v="7"/>
    <n v="7"/>
    <n v="1"/>
    <n v="7"/>
    <x v="1"/>
    <n v="1"/>
    <x v="0"/>
    <x v="2"/>
    <s v="6-10 Years"/>
    <s v="Low"/>
    <s v="Better"/>
  </r>
  <r>
    <x v="4"/>
    <s v="No"/>
    <s v="Travel_Rarely"/>
    <n v="155"/>
    <x v="1"/>
    <n v="4"/>
    <n v="3"/>
    <s v="Life Sciences"/>
    <n v="1"/>
    <n v="2064"/>
    <n v="2"/>
    <x v="1"/>
    <n v="87"/>
    <n v="4"/>
    <n v="2"/>
    <x v="3"/>
    <n v="2"/>
    <s v="Married"/>
    <n v="6142"/>
    <n v="5174"/>
    <n v="1"/>
    <s v="Y"/>
    <x v="0"/>
    <n v="20"/>
    <n v="4"/>
    <n v="2"/>
    <n v="80"/>
    <n v="1"/>
    <n v="6"/>
    <n v="0"/>
    <n v="3"/>
    <n v="6"/>
    <n v="2"/>
    <n v="0"/>
    <n v="3"/>
    <x v="1"/>
    <n v="1"/>
    <x v="2"/>
    <x v="0"/>
    <s v="6-10 Years"/>
    <s v="Medium"/>
    <s v="Better"/>
  </r>
  <r>
    <x v="1"/>
    <s v="No"/>
    <s v="Travel_Frequently"/>
    <n v="1023"/>
    <x v="0"/>
    <n v="2"/>
    <n v="3"/>
    <s v="Medical"/>
    <n v="1"/>
    <n v="2065"/>
    <n v="4"/>
    <x v="1"/>
    <n v="63"/>
    <n v="2"/>
    <n v="2"/>
    <x v="0"/>
    <n v="2"/>
    <s v="Married"/>
    <n v="5390"/>
    <n v="13243"/>
    <n v="2"/>
    <s v="Y"/>
    <x v="1"/>
    <n v="14"/>
    <n v="3"/>
    <n v="4"/>
    <n v="80"/>
    <n v="0"/>
    <n v="17"/>
    <n v="3"/>
    <n v="2"/>
    <n v="9"/>
    <n v="6"/>
    <n v="0"/>
    <n v="8"/>
    <x v="1"/>
    <n v="1"/>
    <x v="1"/>
    <x v="0"/>
    <s v="6-10 Years"/>
    <s v="Medium"/>
    <s v="Good"/>
  </r>
  <r>
    <x v="13"/>
    <s v="No"/>
    <s v="Travel_Rarely"/>
    <n v="628"/>
    <x v="1"/>
    <n v="8"/>
    <n v="3"/>
    <s v="Medical"/>
    <n v="1"/>
    <n v="2068"/>
    <n v="2"/>
    <x v="1"/>
    <n v="82"/>
    <n v="4"/>
    <n v="2"/>
    <x v="2"/>
    <n v="3"/>
    <s v="Married"/>
    <n v="4404"/>
    <n v="10228"/>
    <n v="2"/>
    <s v="Y"/>
    <x v="1"/>
    <n v="12"/>
    <n v="3"/>
    <n v="1"/>
    <n v="80"/>
    <n v="0"/>
    <n v="6"/>
    <n v="3"/>
    <n v="4"/>
    <n v="4"/>
    <n v="3"/>
    <n v="1"/>
    <n v="2"/>
    <x v="1"/>
    <n v="1"/>
    <x v="2"/>
    <x v="0"/>
    <s v="2-5 Years"/>
    <s v="High"/>
    <s v="Be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541F5-4068-4DD6-AD3D-50DF96CF5F0D}"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time">
  <location ref="B26:C29" firstHeaderRow="1"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2"/>
  </rowFields>
  <rowItems count="3">
    <i>
      <x v="1"/>
    </i>
    <i>
      <x/>
    </i>
    <i t="grand">
      <x/>
    </i>
  </rowItems>
  <colItems count="1">
    <i/>
  </colItems>
  <dataFields count="1">
    <dataField name="Attrition Rate" fld="35" subtotal="average" baseField="22" baseItem="0" numFmtId="10"/>
  </dataFields>
  <formats count="1">
    <format dxfId="4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A91E34-9848-4B3A-854A-4F411F8E8133}"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verTime">
  <location ref="H40:K43" firstHeaderRow="0"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2"/>
  </rowFields>
  <rowItems count="3">
    <i>
      <x v="1"/>
    </i>
    <i>
      <x/>
    </i>
    <i t="grand">
      <x/>
    </i>
  </rowItems>
  <colFields count="1">
    <field x="-2"/>
  </colFields>
  <colItems count="3">
    <i>
      <x/>
    </i>
    <i i="1">
      <x v="1"/>
    </i>
    <i i="2">
      <x v="2"/>
    </i>
  </colItems>
  <dataFields count="3">
    <dataField name="Total Employees" fld="9" subtotal="count" baseField="22" baseItem="0"/>
    <dataField name="Employees Left" fld="35" baseField="0" baseItem="0"/>
    <dataField name="Attrition Rate" fld="35" subtotal="average" baseField="22" baseItem="0" numFmtId="10"/>
  </dataFields>
  <formats count="1">
    <format dxfId="4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BA079A-1713-4D03-B90C-54C5614B8A33}"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y Band">
  <location ref="M31:P35" firstHeaderRow="0"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s>
  <rowFields count="1">
    <field x="38"/>
  </rowFields>
  <rowItems count="4">
    <i>
      <x v="1"/>
    </i>
    <i>
      <x v="2"/>
    </i>
    <i>
      <x/>
    </i>
    <i t="grand">
      <x/>
    </i>
  </rowItems>
  <colFields count="1">
    <field x="-2"/>
  </colFields>
  <colItems count="3">
    <i>
      <x/>
    </i>
    <i i="1">
      <x v="1"/>
    </i>
    <i i="2">
      <x v="2"/>
    </i>
  </colItems>
  <dataFields count="3">
    <dataField name="Total Employees" fld="9" subtotal="count" baseField="38" baseItem="0"/>
    <dataField name="Employees Left" fld="35" baseField="0" baseItem="0"/>
    <dataField name="Attrition Rate" fld="35" subtotal="average" baseField="38" baseItem="0" numFmtId="10"/>
  </dataFields>
  <formats count="1">
    <format dxfId="4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88C22C-3AD5-42BD-A854-2DA7816FF945}"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H31:K37" firstHeaderRow="0"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6">
        <item x="2"/>
        <item x="0"/>
        <item x="1"/>
        <item x="3"/>
        <item x="4"/>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s>
  <rowFields count="1">
    <field x="37"/>
  </rowFields>
  <rowItems count="6">
    <i>
      <x v="4"/>
    </i>
    <i>
      <x/>
    </i>
    <i>
      <x v="3"/>
    </i>
    <i>
      <x v="2"/>
    </i>
    <i>
      <x v="1"/>
    </i>
    <i t="grand">
      <x/>
    </i>
  </rowItems>
  <colFields count="1">
    <field x="-2"/>
  </colFields>
  <colItems count="3">
    <i>
      <x/>
    </i>
    <i i="1">
      <x v="1"/>
    </i>
    <i i="2">
      <x v="2"/>
    </i>
  </colItems>
  <dataFields count="3">
    <dataField name="Total Employees" fld="9" subtotal="count" baseField="37" baseItem="0"/>
    <dataField name="Employees Left" fld="35" baseField="0" baseItem="0"/>
    <dataField name="Attrition Rate" fld="35" subtotal="average" baseField="37" baseItem="0" numFmtId="10"/>
  </dataFields>
  <formats count="1">
    <format dxfId="4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B3F7C3-CA76-474F-BB5B-81F1E404D138}"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M18:P28" firstHeaderRow="0"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5"/>
  </rowFields>
  <rowItems count="10">
    <i>
      <x v="8"/>
    </i>
    <i>
      <x v="2"/>
    </i>
    <i>
      <x v="1"/>
    </i>
    <i>
      <x v="7"/>
    </i>
    <i>
      <x v="6"/>
    </i>
    <i>
      <x v="4"/>
    </i>
    <i>
      <x/>
    </i>
    <i>
      <x v="3"/>
    </i>
    <i>
      <x v="5"/>
    </i>
    <i t="grand">
      <x/>
    </i>
  </rowItems>
  <colFields count="1">
    <field x="-2"/>
  </colFields>
  <colItems count="3">
    <i>
      <x/>
    </i>
    <i i="1">
      <x v="1"/>
    </i>
    <i i="2">
      <x v="2"/>
    </i>
  </colItems>
  <dataFields count="3">
    <dataField name="Total Employees" fld="9" subtotal="count" baseField="15" baseItem="0"/>
    <dataField name="Employees Left" fld="35" baseField="0" baseItem="0"/>
    <dataField name="Attrition Rate" fld="35" subtotal="average" baseField="15" baseItem="0" numFmtId="10"/>
  </dataFields>
  <formats count="1">
    <format dxfId="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334AD0-F7AD-483F-8F1C-B6E926121366}"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H18:K22" firstHeaderRow="0" firstDataRow="1" firstDataCol="1"/>
  <pivotFields count="42">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4">
    <i>
      <x v="2"/>
    </i>
    <i>
      <x/>
    </i>
    <i>
      <x v="1"/>
    </i>
    <i t="grand">
      <x/>
    </i>
  </rowItems>
  <colFields count="1">
    <field x="-2"/>
  </colFields>
  <colItems count="3">
    <i>
      <x/>
    </i>
    <i i="1">
      <x v="1"/>
    </i>
    <i i="2">
      <x v="2"/>
    </i>
  </colItems>
  <dataFields count="3">
    <dataField name="Total Employees" fld="9" subtotal="count" baseField="4" baseItem="0"/>
    <dataField name="Employees Left" fld="35" baseField="0" baseItem="0"/>
    <dataField name="Attrition Rate" fld="35" subtotal="average" baseField="4" baseItem="0" numFmtId="10"/>
  </dataFields>
  <formats count="1">
    <format dxfId="4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BB37D2-07CB-4597-A23B-E2B8C084F10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8:B12" firstHeaderRow="1" firstDataRow="1" firstDataCol="1"/>
  <pivotFields count="42">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Employees Left" fld="35" baseField="4" baseItem="0"/>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185EE7-230E-4046-ABE9-E28FC6D3C4DE}"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Monthly 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7C4D74-1183-4B66-981C-B0B71338F83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ctive Employees"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439FB4-C6A3-4F8A-9E40-9B7FE8F9C494}"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ary Band">
  <location ref="K8:L12" firstHeaderRow="1"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s>
  <rowFields count="1">
    <field x="38"/>
  </rowFields>
  <rowItems count="4">
    <i>
      <x/>
    </i>
    <i>
      <x v="1"/>
    </i>
    <i>
      <x v="2"/>
    </i>
    <i t="grand">
      <x/>
    </i>
  </rowItems>
  <colItems count="1">
    <i/>
  </colItems>
  <dataFields count="1">
    <dataField name="Employees Left" fld="35" baseField="3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0BD526-748E-4CC4-AF98-49DAAB8F64C5}"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H8:I14" firstHeaderRow="1" firstDataRow="1" firstDataCol="1"/>
  <pivotFields count="42">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1"/>
        <item x="3"/>
        <item x="4"/>
        <item t="default"/>
      </items>
    </pivotField>
    <pivotField showAll="0"/>
    <pivotField showAll="0"/>
    <pivotField showAll="0"/>
    <pivotField showAll="0"/>
  </pivotFields>
  <rowFields count="1">
    <field x="37"/>
  </rowFields>
  <rowItems count="6">
    <i>
      <x/>
    </i>
    <i>
      <x v="1"/>
    </i>
    <i>
      <x v="2"/>
    </i>
    <i>
      <x v="3"/>
    </i>
    <i>
      <x v="4"/>
    </i>
    <i t="grand">
      <x/>
    </i>
  </rowItems>
  <colItems count="1">
    <i/>
  </colItems>
  <dataFields count="1">
    <dataField name="Employees Left" fld="35" baseField="3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FD30B4-AD3A-4270-BC42-DBC13225D47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Employees Left"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4CE207-780F-49A5-9831-80FC5E7F4B5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D8:E18" firstHeaderRow="1" firstDataRow="1" firstDataCol="1"/>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s>
  <rowFields count="1">
    <field x="15"/>
  </rowFields>
  <rowItems count="10">
    <i>
      <x v="2"/>
    </i>
    <i>
      <x v="7"/>
    </i>
    <i>
      <x v="6"/>
    </i>
    <i>
      <x v="8"/>
    </i>
    <i>
      <x v="1"/>
    </i>
    <i>
      <x v="4"/>
    </i>
    <i>
      <x/>
    </i>
    <i>
      <x v="3"/>
    </i>
    <i>
      <x v="5"/>
    </i>
    <i t="grand">
      <x/>
    </i>
  </rowItems>
  <colItems count="1">
    <i/>
  </colItems>
  <dataFields count="1">
    <dataField name="Employees Left" fld="35" baseField="15" baseItem="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EA397D-95C4-4858-BC91-961D7B56BDA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C3AB4E-0618-4F1B-8456-01454BDDF17B}" sourceName="Department">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s>
  <data>
    <tabular pivotCacheId="70365264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6324FA-90B9-40A4-BFC8-2608BBA36538}" sourceName="Gender">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s>
  <data>
    <tabular pivotCacheId="7036526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579833B-F5FB-4802-9512-38181CFB78E8}" sourceName="OverTim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 tabId="3" name="PivotTable15"/>
  </pivotTables>
  <data>
    <tabular pivotCacheId="7036526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EE1A4A2-05FC-4E3C-995D-52C0BFB61172}" cache="Slicer_Department" caption="Department" rowHeight="234950"/>
  <slicer name="Gender" xr10:uid="{2ABDB3B3-B25B-49DF-9C1F-AC4BCD899873}" cache="Slicer_Gender" caption="Gender" rowHeight="234950"/>
  <slicer name="OverTime" xr10:uid="{E7D5AA7A-AF1F-4F2F-96A2-4B3BC7F0B792}" cache="Slicer_OverTime" caption="Over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97FE4-6A3A-4A53-8719-5CF9FF1FC851}" name="HR_Data" displayName="HR_Data" ref="A1:AP1471" totalsRowShown="0">
  <autoFilter ref="A1:AP1471" xr:uid="{9CC97FE4-6A3A-4A53-8719-5CF9FF1FC851}"/>
  <tableColumns count="42">
    <tableColumn id="1" xr3:uid="{55778DDC-D535-4F9C-AD09-11333047E960}" name="Age"/>
    <tableColumn id="2" xr3:uid="{3FA5FA71-DE00-4F0F-97FE-C8308C3855BB}" name="Attrition"/>
    <tableColumn id="3" xr3:uid="{E45AADE6-6F2B-43A9-963C-AA92355AC76E}" name="BusinessTravel"/>
    <tableColumn id="4" xr3:uid="{037F6149-0A1B-4F14-AA9B-502EE5957B6E}" name="DailyRate"/>
    <tableColumn id="5" xr3:uid="{C0C20717-EB57-42CE-8307-8464A79091CE}" name="Department"/>
    <tableColumn id="6" xr3:uid="{EC02DFF8-DDE0-4A89-B000-30CAD43AFFCC}" name="DistanceFromHome"/>
    <tableColumn id="7" xr3:uid="{76826DB2-89D3-48A2-963E-6A6886630187}" name="Education"/>
    <tableColumn id="8" xr3:uid="{D0B6F5E0-A1B9-428B-B6B4-5C4722548AB8}" name="EducationField"/>
    <tableColumn id="9" xr3:uid="{AD2B2BD7-779D-4FED-84DE-37D952C83F37}" name="EmployeeCount"/>
    <tableColumn id="10" xr3:uid="{35CDBEBD-A99C-4E1B-83A4-6534B58DB61F}" name="EmployeeNumber"/>
    <tableColumn id="11" xr3:uid="{AC81AEBE-B1F2-42BD-83EB-1078A9A0CA85}" name="EnvironmentSatisfaction"/>
    <tableColumn id="12" xr3:uid="{57F5C9F1-D449-4CF8-9E8B-220BB01E5248}" name="Gender"/>
    <tableColumn id="13" xr3:uid="{FC42EBFE-7BB8-4D88-B0C3-4E1AB73C139C}" name="HourlyRate"/>
    <tableColumn id="14" xr3:uid="{18166CAC-072F-45B1-8B50-96796A463B29}" name="JobInvolvement"/>
    <tableColumn id="15" xr3:uid="{D99D519F-7132-4D4C-A891-D675F2D1B287}" name="JobLevel"/>
    <tableColumn id="16" xr3:uid="{AE0C031B-9185-459B-A7AE-85C5A53CE45D}" name="JobRole"/>
    <tableColumn id="17" xr3:uid="{00BBDF8F-B0B8-405E-8235-1DF11A871B3A}" name="JobSatisfaction"/>
    <tableColumn id="18" xr3:uid="{2F8CF78B-0734-4613-AB08-68B7964AD343}" name="MaritalStatus"/>
    <tableColumn id="19" xr3:uid="{0D8615E6-2DCB-4F9A-8987-54CDA4FB661B}" name="MonthlyIncome"/>
    <tableColumn id="20" xr3:uid="{8CCB1F7E-1141-4B1E-8843-80F301219A45}" name="MonthlyRate"/>
    <tableColumn id="21" xr3:uid="{09088182-76C4-425E-B57E-1ECDF00330B5}" name="NumCompaniesWorked"/>
    <tableColumn id="22" xr3:uid="{6A72D3C5-34F3-42C9-ABB0-37F898BEC1AD}" name="Over18"/>
    <tableColumn id="23" xr3:uid="{C74910E7-943E-4E00-9CF0-051F087EB32B}" name="OverTime"/>
    <tableColumn id="24" xr3:uid="{8CFB9DA5-A00E-4A39-B1A5-1A37C1F35859}" name="PercentSalaryHike"/>
    <tableColumn id="25" xr3:uid="{B9E1C34C-610C-46F0-A269-77551FAB574C}" name="PerformanceRating"/>
    <tableColumn id="26" xr3:uid="{B9EFC613-A1DA-49C1-9C56-46AE92C2FE8A}" name="RelationshipSatisfaction"/>
    <tableColumn id="27" xr3:uid="{5E7F39E1-C221-44C2-8685-BA3D1076CEC6}" name="StandardHours"/>
    <tableColumn id="28" xr3:uid="{CD863FBD-E333-4C65-BDC3-88DFF687EEB4}" name="StockOptionLevel"/>
    <tableColumn id="29" xr3:uid="{2D49F422-A4D4-459C-9045-B566F7489AC7}" name="TotalWorkingYears"/>
    <tableColumn id="30" xr3:uid="{0CC564ED-E382-424C-9917-02A6DA83F607}" name="TrainingTimesLastYear"/>
    <tableColumn id="31" xr3:uid="{860E7CF1-4AB4-45DF-BBA6-159675338E8D}" name="WorkLifeBalance"/>
    <tableColumn id="32" xr3:uid="{10FD0DEA-F170-4F3E-8255-D1A9D4E91481}" name="YearsAtCompany"/>
    <tableColumn id="33" xr3:uid="{56F1AD67-1A58-415B-8B4E-7C353601FEFC}" name="YearsInCurrentRole"/>
    <tableColumn id="34" xr3:uid="{615D1B34-9550-43A1-9F8E-88F7EC742294}" name="YearsSinceLastPromotion"/>
    <tableColumn id="35" xr3:uid="{5AED25E4-2341-4258-B0F1-8AB9C0D9F2A5}" name="YearsWithCurrManager"/>
    <tableColumn id="36" xr3:uid="{3593DD0B-AD2F-492A-898F-137B97328996}" name="Attrition_Flag" dataDxfId="52">
      <calculatedColumnFormula>IF(HR_Data[[#This Row],[Attrition]]="Yes",1,0)</calculatedColumnFormula>
    </tableColumn>
    <tableColumn id="37" xr3:uid="{DE7852FD-A9DD-4D24-9A49-8BC8930C0021}" name="Active_Flag" dataDxfId="51">
      <calculatedColumnFormula>IF(HR_Data[[#This Row],[Attrition]]="No",1,0)</calculatedColumnFormula>
    </tableColumn>
    <tableColumn id="38" xr3:uid="{2370A0AA-3974-430E-852C-50EEA955ECD2}" name="Age_Group" dataDxfId="50">
      <calculatedColumnFormula>IF(HR_Data[[#This Row],[Age]]&lt;25,"Under 25",IF(HR_Data[[#This Row],[Age]]&lt;=34,"25-34",IF(HR_Data[[#This Row],[Age]]&lt;=44,"35-44",IF(HR_Data[[#This Row],[Age]]&lt;=54,"45-54","55+"))))</calculatedColumnFormula>
    </tableColumn>
    <tableColumn id="39" xr3:uid="{04486CBD-D4A9-48E4-BACC-63C179CB4A49}" name="Salary_Band" dataDxfId="49">
      <calculatedColumnFormula>IF(HR_Data[[#This Row],[MonthlyIncome]]&lt;3000,"Low Salary",IF(HR_Data[[#This Row],[MonthlyIncome]]&lt;=7000,"Medium Salary","High Salary"))</calculatedColumnFormula>
    </tableColumn>
    <tableColumn id="40" xr3:uid="{61D4A111-EB93-40C4-A03B-66C846F325F5}" name="Experience_Band" dataDxfId="48">
      <calculatedColumnFormula>IF(HR_Data[[#This Row],[YearsAtCompany]]&lt;2,"0-1 Years",IF(HR_Data[[#This Row],[YearsAtCompany]]&lt;=5,"2-5 Years",IF(HR_Data[[#This Row],[YearsAtCompany]]&lt;=10,"6-10 Years","10+ Years")))</calculatedColumnFormula>
    </tableColumn>
    <tableColumn id="41" xr3:uid="{BD0B4069-8854-4D0D-A07B-B1EB9C1CEC77}" name="JobSatisfaction_Label" dataDxfId="47">
      <calculatedColumnFormula>IF(HR_Data[[#This Row],[JobSatisfaction]]=1,"Low",IF(HR_Data[[#This Row],[JobSatisfaction]]=2,"Medium",IF(HR_Data[[#This Row],[JobSatisfaction]]=3,"High","Very High")))</calculatedColumnFormula>
    </tableColumn>
    <tableColumn id="42" xr3:uid="{EA47D69D-9F10-4AFA-9CD6-C4241BD6CFA7}" name="WorkLifeBalance_Label" dataDxfId="46">
      <calculatedColumnFormula>IF(HR_Data[[#This Row],[WorkLifeBalance]]=1,"Bad",IF(HR_Data[[#This Row],[WorkLifeBalance]]=2,"Good",IF(HR_Data[[#This Row],[WorkLifeBalance]]=3,"Better","Best")))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7FBE-5AB9-4BAB-AE9C-84401E30240F}">
  <dimension ref="A2:W17"/>
  <sheetViews>
    <sheetView showGridLines="0" tabSelected="1" topLeftCell="A8" zoomScale="61" zoomScaleNormal="60" workbookViewId="0">
      <selection activeCell="H16" sqref="H16"/>
    </sheetView>
  </sheetViews>
  <sheetFormatPr defaultRowHeight="15" x14ac:dyDescent="0.25"/>
  <cols>
    <col min="1" max="1" width="24.7109375" bestFit="1" customWidth="1"/>
    <col min="4" max="4" width="23" bestFit="1" customWidth="1"/>
    <col min="7" max="7" width="26.7109375" bestFit="1" customWidth="1"/>
    <col min="10" max="10" width="31.28515625" bestFit="1" customWidth="1"/>
    <col min="13" max="13" width="21.140625" bestFit="1" customWidth="1"/>
  </cols>
  <sheetData>
    <row r="2" spans="1:14" ht="32.25" thickBot="1" x14ac:dyDescent="0.55000000000000004">
      <c r="A2" s="22" t="s">
        <v>83</v>
      </c>
      <c r="B2" s="22"/>
      <c r="C2" s="22"/>
      <c r="D2" s="22"/>
      <c r="E2" s="22"/>
      <c r="F2" s="22"/>
      <c r="G2" s="22"/>
      <c r="H2" s="22"/>
      <c r="I2" s="22"/>
      <c r="J2" s="22"/>
      <c r="K2" s="22"/>
      <c r="L2" s="22"/>
      <c r="M2" s="22"/>
      <c r="N2" s="22"/>
    </row>
    <row r="3" spans="1:14" ht="23.25" x14ac:dyDescent="0.35">
      <c r="A3" s="8" t="s">
        <v>69</v>
      </c>
      <c r="D3" s="8" t="s">
        <v>70</v>
      </c>
      <c r="G3" s="10" t="s">
        <v>71</v>
      </c>
      <c r="J3" s="10" t="s">
        <v>72</v>
      </c>
      <c r="M3" s="10" t="s">
        <v>73</v>
      </c>
    </row>
    <row r="4" spans="1:14" ht="24" thickBot="1" x14ac:dyDescent="0.4">
      <c r="A4" s="9">
        <f>Pivot_Analysis!A4</f>
        <v>1470</v>
      </c>
      <c r="D4" s="9">
        <f>Pivot_Analysis!D4</f>
        <v>237</v>
      </c>
      <c r="G4" s="11">
        <f>Pivot_Analysis!G4</f>
        <v>1233</v>
      </c>
      <c r="J4" s="23">
        <f>Pivot_Analysis!J4</f>
        <v>6502.931292517007</v>
      </c>
      <c r="M4" s="12">
        <f>Pivot_Analysis!M4</f>
        <v>0.16122448979591836</v>
      </c>
    </row>
    <row r="5" spans="1:14" x14ac:dyDescent="0.25">
      <c r="A5" s="6"/>
    </row>
    <row r="17" spans="23:23" x14ac:dyDescent="0.25">
      <c r="W17" s="5"/>
    </row>
  </sheetData>
  <mergeCells count="1">
    <mergeCell ref="A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E571-3CE7-471C-8356-257DF4A076C7}">
  <dimension ref="A1:C37"/>
  <sheetViews>
    <sheetView topLeftCell="A22" zoomScale="78" zoomScaleNormal="81" workbookViewId="0">
      <selection activeCell="A9" sqref="A9"/>
    </sheetView>
  </sheetViews>
  <sheetFormatPr defaultRowHeight="15" x14ac:dyDescent="0.25"/>
  <cols>
    <col min="1" max="1" width="146.85546875" customWidth="1"/>
    <col min="2" max="2" width="182.140625" customWidth="1"/>
    <col min="3" max="3" width="79.28515625" customWidth="1"/>
  </cols>
  <sheetData>
    <row r="1" spans="1:3" ht="23.25" x14ac:dyDescent="0.35">
      <c r="A1" s="7" t="s">
        <v>84</v>
      </c>
    </row>
    <row r="3" spans="1:3" x14ac:dyDescent="0.25">
      <c r="A3" s="1" t="s">
        <v>115</v>
      </c>
      <c r="B3" s="17"/>
    </row>
    <row r="5" spans="1:3" ht="15.75" thickBot="1" x14ac:dyDescent="0.3"/>
    <row r="6" spans="1:3" x14ac:dyDescent="0.25">
      <c r="A6" s="20" t="s">
        <v>85</v>
      </c>
      <c r="B6" s="21" t="s">
        <v>86</v>
      </c>
      <c r="C6" s="35" t="s">
        <v>87</v>
      </c>
    </row>
    <row r="7" spans="1:3" x14ac:dyDescent="0.25">
      <c r="A7" s="33" t="s">
        <v>88</v>
      </c>
      <c r="B7" s="36" t="s">
        <v>89</v>
      </c>
      <c r="C7" s="16" t="s">
        <v>90</v>
      </c>
    </row>
    <row r="8" spans="1:3" x14ac:dyDescent="0.25">
      <c r="A8" s="33"/>
      <c r="B8" s="29"/>
      <c r="C8" s="16"/>
    </row>
    <row r="9" spans="1:3" x14ac:dyDescent="0.25">
      <c r="A9" s="33" t="s">
        <v>4</v>
      </c>
      <c r="B9" s="29" t="s">
        <v>111</v>
      </c>
      <c r="C9" s="16" t="s">
        <v>91</v>
      </c>
    </row>
    <row r="10" spans="1:3" x14ac:dyDescent="0.25">
      <c r="A10" s="33"/>
      <c r="B10" s="29"/>
      <c r="C10" s="16"/>
    </row>
    <row r="11" spans="1:3" ht="30" x14ac:dyDescent="0.25">
      <c r="A11" s="33" t="s">
        <v>92</v>
      </c>
      <c r="B11" s="29" t="s">
        <v>112</v>
      </c>
      <c r="C11" s="19" t="s">
        <v>93</v>
      </c>
    </row>
    <row r="12" spans="1:3" x14ac:dyDescent="0.25">
      <c r="A12" s="33"/>
      <c r="B12" s="29"/>
      <c r="C12" s="16"/>
    </row>
    <row r="13" spans="1:3" x14ac:dyDescent="0.25">
      <c r="A13" s="33" t="s">
        <v>94</v>
      </c>
      <c r="B13" s="15" t="s">
        <v>118</v>
      </c>
      <c r="C13" s="16" t="s">
        <v>97</v>
      </c>
    </row>
    <row r="14" spans="1:3" x14ac:dyDescent="0.25">
      <c r="A14" s="33"/>
      <c r="B14" s="29"/>
      <c r="C14" s="16"/>
    </row>
    <row r="15" spans="1:3" x14ac:dyDescent="0.25">
      <c r="A15" s="33" t="s">
        <v>95</v>
      </c>
      <c r="B15" s="15" t="s">
        <v>119</v>
      </c>
      <c r="C15" s="16" t="s">
        <v>98</v>
      </c>
    </row>
    <row r="16" spans="1:3" x14ac:dyDescent="0.25">
      <c r="A16" s="33"/>
      <c r="B16" s="29"/>
      <c r="C16" s="16"/>
    </row>
    <row r="17" spans="1:3" x14ac:dyDescent="0.25">
      <c r="A17" s="33" t="s">
        <v>96</v>
      </c>
      <c r="B17" s="15" t="s">
        <v>120</v>
      </c>
      <c r="C17" s="19" t="s">
        <v>99</v>
      </c>
    </row>
    <row r="18" spans="1:3" ht="15.75" thickBot="1" x14ac:dyDescent="0.3">
      <c r="A18" s="14"/>
      <c r="B18" s="34"/>
      <c r="C18" s="13"/>
    </row>
    <row r="21" spans="1:3" x14ac:dyDescent="0.25">
      <c r="A21" s="28" t="s">
        <v>100</v>
      </c>
      <c r="B21" s="26" t="s">
        <v>101</v>
      </c>
    </row>
    <row r="22" spans="1:3" x14ac:dyDescent="0.25">
      <c r="A22" s="29" t="s">
        <v>102</v>
      </c>
      <c r="B22" s="31" t="s">
        <v>103</v>
      </c>
    </row>
    <row r="23" spans="1:3" x14ac:dyDescent="0.25">
      <c r="A23" s="29"/>
      <c r="B23" s="31"/>
    </row>
    <row r="24" spans="1:3" x14ac:dyDescent="0.25">
      <c r="A24" s="29" t="s">
        <v>104</v>
      </c>
      <c r="B24" s="31" t="s">
        <v>107</v>
      </c>
    </row>
    <row r="25" spans="1:3" x14ac:dyDescent="0.25">
      <c r="A25" s="29"/>
      <c r="B25" s="31"/>
    </row>
    <row r="26" spans="1:3" x14ac:dyDescent="0.25">
      <c r="A26" s="27" t="s">
        <v>116</v>
      </c>
      <c r="B26" s="27" t="s">
        <v>117</v>
      </c>
    </row>
    <row r="27" spans="1:3" x14ac:dyDescent="0.25">
      <c r="A27" s="29"/>
      <c r="B27" s="31"/>
    </row>
    <row r="28" spans="1:3" x14ac:dyDescent="0.25">
      <c r="A28" s="29" t="s">
        <v>105</v>
      </c>
      <c r="B28" s="31" t="s">
        <v>108</v>
      </c>
    </row>
    <row r="29" spans="1:3" x14ac:dyDescent="0.25">
      <c r="A29" s="29"/>
      <c r="B29" s="31"/>
    </row>
    <row r="30" spans="1:3" x14ac:dyDescent="0.25">
      <c r="A30" s="29" t="s">
        <v>106</v>
      </c>
      <c r="B30" s="31" t="s">
        <v>109</v>
      </c>
    </row>
    <row r="31" spans="1:3" x14ac:dyDescent="0.25">
      <c r="A31" s="29"/>
      <c r="B31" s="31"/>
    </row>
    <row r="32" spans="1:3" x14ac:dyDescent="0.25">
      <c r="A32" s="30" t="s">
        <v>113</v>
      </c>
      <c r="B32" s="32" t="s">
        <v>114</v>
      </c>
    </row>
    <row r="36" spans="1:1" ht="23.25" x14ac:dyDescent="0.35">
      <c r="A36" s="7" t="s">
        <v>110</v>
      </c>
    </row>
    <row r="37" spans="1:1" ht="209.25" x14ac:dyDescent="0.35">
      <c r="A37" s="18"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88C1C-4D90-41BA-9535-4C28A4AB5D89}">
  <dimension ref="A1:AI1471"/>
  <sheetViews>
    <sheetView workbookViewId="0"/>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8F90-F0BA-4557-8212-6309542C9512}">
  <dimension ref="A1:AP1471"/>
  <sheetViews>
    <sheetView topLeftCell="S2" zoomScaleNormal="100" workbookViewId="0">
      <selection activeCell="AK12" sqref="A2:AP1471"/>
    </sheetView>
  </sheetViews>
  <sheetFormatPr defaultRowHeight="15" x14ac:dyDescent="0.25"/>
  <cols>
    <col min="2" max="2" width="9.85546875" customWidth="1"/>
    <col min="3" max="3" width="15.140625" customWidth="1"/>
    <col min="4" max="4" width="10.7109375" customWidth="1"/>
    <col min="5" max="5" width="13" customWidth="1"/>
    <col min="6" max="6" width="19.28515625" customWidth="1"/>
    <col min="7" max="7" width="11.28515625" customWidth="1"/>
    <col min="8" max="8" width="15.28515625" customWidth="1"/>
    <col min="9" max="9" width="16.28515625" customWidth="1"/>
    <col min="10" max="10" width="18.140625" customWidth="1"/>
    <col min="11" max="11" width="23.5703125" customWidth="1"/>
    <col min="12" max="12" width="9" customWidth="1"/>
    <col min="13" max="13" width="12.28515625" customWidth="1"/>
    <col min="14" max="14" width="16.42578125" customWidth="1"/>
    <col min="15" max="15" width="10.140625" customWidth="1"/>
    <col min="16" max="16" width="9.42578125" customWidth="1"/>
    <col min="17" max="17" width="15.5703125" customWidth="1"/>
    <col min="18" max="18" width="14.140625" customWidth="1"/>
    <col min="19" max="19" width="16.42578125" customWidth="1"/>
    <col min="20" max="20" width="13.85546875" customWidth="1"/>
    <col min="21" max="21" width="23" customWidth="1"/>
    <col min="23" max="23" width="11" customWidth="1"/>
    <col min="24" max="24" width="18.140625" customWidth="1"/>
    <col min="25" max="25" width="19.140625" customWidth="1"/>
    <col min="26" max="26" width="23" customWidth="1"/>
    <col min="27" max="27" width="15.42578125" customWidth="1"/>
    <col min="28" max="28" width="17.7109375" customWidth="1"/>
    <col min="29" max="29" width="18.7109375" customWidth="1"/>
    <col min="30" max="30" width="21.5703125" customWidth="1"/>
    <col min="31" max="31" width="17" customWidth="1"/>
    <col min="32" max="32" width="17.28515625" customWidth="1"/>
    <col min="33" max="33" width="19" customWidth="1"/>
    <col min="34" max="34" width="24.140625" customWidth="1"/>
    <col min="35" max="35" width="22.42578125" customWidth="1"/>
    <col min="39" max="39" width="13.7109375" bestFit="1"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t="s">
        <v>65</v>
      </c>
      <c r="AN1" t="s">
        <v>66</v>
      </c>
      <c r="AO1" t="s">
        <v>67</v>
      </c>
      <c r="AP1" t="s">
        <v>68</v>
      </c>
    </row>
    <row r="2" spans="1:42"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IF(HR_Data[[#This Row],[Attrition]]="Yes",1,0)</f>
        <v>1</v>
      </c>
      <c r="AK2">
        <f>IF(HR_Data[[#This Row],[Attrition]]="No",1,0)</f>
        <v>0</v>
      </c>
      <c r="AL2" t="str">
        <f>IF(HR_Data[[#This Row],[Age]]&lt;25,"Under 25",IF(HR_Data[[#This Row],[Age]]&lt;=34,"25-34",IF(HR_Data[[#This Row],[Age]]&lt;=44,"35-44",IF(HR_Data[[#This Row],[Age]]&lt;=54,"45-54","55+"))))</f>
        <v>35-44</v>
      </c>
      <c r="AM2" t="str">
        <f>IF(HR_Data[[#This Row],[MonthlyIncome]]&lt;3000,"Low Salary",IF(HR_Data[[#This Row],[MonthlyIncome]]&lt;=7000,"Medium Salary","High Salary"))</f>
        <v>Medium Salary</v>
      </c>
      <c r="AN2" t="str">
        <f>IF(HR_Data[[#This Row],[YearsAtCompany]]&lt;2,"0-1 Years",IF(HR_Data[[#This Row],[YearsAtCompany]]&lt;=5,"2-5 Years",IF(HR_Data[[#This Row],[YearsAtCompany]]&lt;=10,"6-10 Years","10+ Years")))</f>
        <v>6-10 Years</v>
      </c>
      <c r="AO2" t="str">
        <f>IF(HR_Data[[#This Row],[JobSatisfaction]]=1,"Low",IF(HR_Data[[#This Row],[JobSatisfaction]]=2,"Medium",IF(HR_Data[[#This Row],[JobSatisfaction]]=3,"High","Very High")))</f>
        <v>Very High</v>
      </c>
      <c r="AP2" t="str">
        <f>IF(HR_Data[[#This Row],[WorkLifeBalance]]=1,"Bad",IF(HR_Data[[#This Row],[WorkLifeBalance]]=2,"Good",IF(HR_Data[[#This Row],[WorkLifeBalance]]=3,"Better","Best")))</f>
        <v>Bad</v>
      </c>
    </row>
    <row r="3" spans="1:42"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IF(HR_Data[[#This Row],[Attrition]]="Yes",1,0)</f>
        <v>0</v>
      </c>
      <c r="AK3">
        <f>IF(HR_Data[[#This Row],[Attrition]]="No",1,0)</f>
        <v>1</v>
      </c>
      <c r="AL3" t="str">
        <f>IF(HR_Data[[#This Row],[Age]]&lt;25,"Under 25",IF(HR_Data[[#This Row],[Age]]&lt;=34,"25-34",IF(HR_Data[[#This Row],[Age]]&lt;=44,"35-44",IF(HR_Data[[#This Row],[Age]]&lt;=54,"45-54","55+"))))</f>
        <v>45-54</v>
      </c>
      <c r="AM3" t="str">
        <f>IF(HR_Data[[#This Row],[MonthlyIncome]]&lt;3000,"Low Salary",IF(HR_Data[[#This Row],[MonthlyIncome]]&lt;=7000,"Medium Salary","High Salary"))</f>
        <v>Medium Salary</v>
      </c>
      <c r="AN3" t="str">
        <f>IF(HR_Data[[#This Row],[YearsAtCompany]]&lt;2,"0-1 Years",IF(HR_Data[[#This Row],[YearsAtCompany]]&lt;=5,"2-5 Years",IF(HR_Data[[#This Row],[YearsAtCompany]]&lt;=10,"6-10 Years","10+ Years")))</f>
        <v>6-10 Years</v>
      </c>
      <c r="AO3" t="str">
        <f>IF(HR_Data[[#This Row],[JobSatisfaction]]=1,"Low",IF(HR_Data[[#This Row],[JobSatisfaction]]=2,"Medium",IF(HR_Data[[#This Row],[JobSatisfaction]]=3,"High","Very High")))</f>
        <v>Medium</v>
      </c>
      <c r="AP3" t="str">
        <f>IF(HR_Data[[#This Row],[WorkLifeBalance]]=1,"Bad",IF(HR_Data[[#This Row],[WorkLifeBalance]]=2,"Good",IF(HR_Data[[#This Row],[WorkLifeBalance]]=3,"Better","Best")))</f>
        <v>Better</v>
      </c>
    </row>
    <row r="4" spans="1:42"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IF(HR_Data[[#This Row],[Attrition]]="Yes",1,0)</f>
        <v>1</v>
      </c>
      <c r="AK4">
        <f>IF(HR_Data[[#This Row],[Attrition]]="No",1,0)</f>
        <v>0</v>
      </c>
      <c r="AL4" t="str">
        <f>IF(HR_Data[[#This Row],[Age]]&lt;25,"Under 25",IF(HR_Data[[#This Row],[Age]]&lt;=34,"25-34",IF(HR_Data[[#This Row],[Age]]&lt;=44,"35-44",IF(HR_Data[[#This Row],[Age]]&lt;=54,"45-54","55+"))))</f>
        <v>35-44</v>
      </c>
      <c r="AM4" t="str">
        <f>IF(HR_Data[[#This Row],[MonthlyIncome]]&lt;3000,"Low Salary",IF(HR_Data[[#This Row],[MonthlyIncome]]&lt;=7000,"Medium Salary","High Salary"))</f>
        <v>Low Salary</v>
      </c>
      <c r="AN4" t="str">
        <f>IF(HR_Data[[#This Row],[YearsAtCompany]]&lt;2,"0-1 Years",IF(HR_Data[[#This Row],[YearsAtCompany]]&lt;=5,"2-5 Years",IF(HR_Data[[#This Row],[YearsAtCompany]]&lt;=10,"6-10 Years","10+ Years")))</f>
        <v>0-1 Years</v>
      </c>
      <c r="AO4" t="str">
        <f>IF(HR_Data[[#This Row],[JobSatisfaction]]=1,"Low",IF(HR_Data[[#This Row],[JobSatisfaction]]=2,"Medium",IF(HR_Data[[#This Row],[JobSatisfaction]]=3,"High","Very High")))</f>
        <v>High</v>
      </c>
      <c r="AP4" t="str">
        <f>IF(HR_Data[[#This Row],[WorkLifeBalance]]=1,"Bad",IF(HR_Data[[#This Row],[WorkLifeBalance]]=2,"Good",IF(HR_Data[[#This Row],[WorkLifeBalance]]=3,"Better","Best")))</f>
        <v>Better</v>
      </c>
    </row>
    <row r="5" spans="1:42"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IF(HR_Data[[#This Row],[Attrition]]="Yes",1,0)</f>
        <v>0</v>
      </c>
      <c r="AK5">
        <f>IF(HR_Data[[#This Row],[Attrition]]="No",1,0)</f>
        <v>1</v>
      </c>
      <c r="AL5" t="str">
        <f>IF(HR_Data[[#This Row],[Age]]&lt;25,"Under 25",IF(HR_Data[[#This Row],[Age]]&lt;=34,"25-34",IF(HR_Data[[#This Row],[Age]]&lt;=44,"35-44",IF(HR_Data[[#This Row],[Age]]&lt;=54,"45-54","55+"))))</f>
        <v>25-34</v>
      </c>
      <c r="AM5" t="str">
        <f>IF(HR_Data[[#This Row],[MonthlyIncome]]&lt;3000,"Low Salary",IF(HR_Data[[#This Row],[MonthlyIncome]]&lt;=7000,"Medium Salary","High Salary"))</f>
        <v>Low Salary</v>
      </c>
      <c r="AN5" t="str">
        <f>IF(HR_Data[[#This Row],[YearsAtCompany]]&lt;2,"0-1 Years",IF(HR_Data[[#This Row],[YearsAtCompany]]&lt;=5,"2-5 Years",IF(HR_Data[[#This Row],[YearsAtCompany]]&lt;=10,"6-10 Years","10+ Years")))</f>
        <v>6-10 Years</v>
      </c>
      <c r="AO5" t="str">
        <f>IF(HR_Data[[#This Row],[JobSatisfaction]]=1,"Low",IF(HR_Data[[#This Row],[JobSatisfaction]]=2,"Medium",IF(HR_Data[[#This Row],[JobSatisfaction]]=3,"High","Very High")))</f>
        <v>High</v>
      </c>
      <c r="AP5" t="str">
        <f>IF(HR_Data[[#This Row],[WorkLifeBalance]]=1,"Bad",IF(HR_Data[[#This Row],[WorkLifeBalance]]=2,"Good",IF(HR_Data[[#This Row],[WorkLifeBalance]]=3,"Better","Best")))</f>
        <v>Better</v>
      </c>
    </row>
    <row r="6" spans="1:42"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IF(HR_Data[[#This Row],[Attrition]]="Yes",1,0)</f>
        <v>0</v>
      </c>
      <c r="AK6">
        <f>IF(HR_Data[[#This Row],[Attrition]]="No",1,0)</f>
        <v>1</v>
      </c>
      <c r="AL6" t="str">
        <f>IF(HR_Data[[#This Row],[Age]]&lt;25,"Under 25",IF(HR_Data[[#This Row],[Age]]&lt;=34,"25-34",IF(HR_Data[[#This Row],[Age]]&lt;=44,"35-44",IF(HR_Data[[#This Row],[Age]]&lt;=54,"45-54","55+"))))</f>
        <v>25-34</v>
      </c>
      <c r="AM6" t="str">
        <f>IF(HR_Data[[#This Row],[MonthlyIncome]]&lt;3000,"Low Salary",IF(HR_Data[[#This Row],[MonthlyIncome]]&lt;=7000,"Medium Salary","High Salary"))</f>
        <v>Medium Salary</v>
      </c>
      <c r="AN6" t="str">
        <f>IF(HR_Data[[#This Row],[YearsAtCompany]]&lt;2,"0-1 Years",IF(HR_Data[[#This Row],[YearsAtCompany]]&lt;=5,"2-5 Years",IF(HR_Data[[#This Row],[YearsAtCompany]]&lt;=10,"6-10 Years","10+ Years")))</f>
        <v>2-5 Years</v>
      </c>
      <c r="AO6" t="str">
        <f>IF(HR_Data[[#This Row],[JobSatisfaction]]=1,"Low",IF(HR_Data[[#This Row],[JobSatisfaction]]=2,"Medium",IF(HR_Data[[#This Row],[JobSatisfaction]]=3,"High","Very High")))</f>
        <v>Medium</v>
      </c>
      <c r="AP6" t="str">
        <f>IF(HR_Data[[#This Row],[WorkLifeBalance]]=1,"Bad",IF(HR_Data[[#This Row],[WorkLifeBalance]]=2,"Good",IF(HR_Data[[#This Row],[WorkLifeBalance]]=3,"Better","Best")))</f>
        <v>Better</v>
      </c>
    </row>
    <row r="7" spans="1:42"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IF(HR_Data[[#This Row],[Attrition]]="Yes",1,0)</f>
        <v>0</v>
      </c>
      <c r="AK7">
        <f>IF(HR_Data[[#This Row],[Attrition]]="No",1,0)</f>
        <v>1</v>
      </c>
      <c r="AL7" t="str">
        <f>IF(HR_Data[[#This Row],[Age]]&lt;25,"Under 25",IF(HR_Data[[#This Row],[Age]]&lt;=34,"25-34",IF(HR_Data[[#This Row],[Age]]&lt;=44,"35-44",IF(HR_Data[[#This Row],[Age]]&lt;=54,"45-54","55+"))))</f>
        <v>25-34</v>
      </c>
      <c r="AM7" t="str">
        <f>IF(HR_Data[[#This Row],[MonthlyIncome]]&lt;3000,"Low Salary",IF(HR_Data[[#This Row],[MonthlyIncome]]&lt;=7000,"Medium Salary","High Salary"))</f>
        <v>Medium Salary</v>
      </c>
      <c r="AN7" t="str">
        <f>IF(HR_Data[[#This Row],[YearsAtCompany]]&lt;2,"0-1 Years",IF(HR_Data[[#This Row],[YearsAtCompany]]&lt;=5,"2-5 Years",IF(HR_Data[[#This Row],[YearsAtCompany]]&lt;=10,"6-10 Years","10+ Years")))</f>
        <v>6-10 Years</v>
      </c>
      <c r="AO7" t="str">
        <f>IF(HR_Data[[#This Row],[JobSatisfaction]]=1,"Low",IF(HR_Data[[#This Row],[JobSatisfaction]]=2,"Medium",IF(HR_Data[[#This Row],[JobSatisfaction]]=3,"High","Very High")))</f>
        <v>Very High</v>
      </c>
      <c r="AP7" t="str">
        <f>IF(HR_Data[[#This Row],[WorkLifeBalance]]=1,"Bad",IF(HR_Data[[#This Row],[WorkLifeBalance]]=2,"Good",IF(HR_Data[[#This Row],[WorkLifeBalance]]=3,"Better","Best")))</f>
        <v>Good</v>
      </c>
    </row>
    <row r="8" spans="1:42"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IF(HR_Data[[#This Row],[Attrition]]="Yes",1,0)</f>
        <v>0</v>
      </c>
      <c r="AK8">
        <f>IF(HR_Data[[#This Row],[Attrition]]="No",1,0)</f>
        <v>1</v>
      </c>
      <c r="AL8" t="str">
        <f>IF(HR_Data[[#This Row],[Age]]&lt;25,"Under 25",IF(HR_Data[[#This Row],[Age]]&lt;=34,"25-34",IF(HR_Data[[#This Row],[Age]]&lt;=44,"35-44",IF(HR_Data[[#This Row],[Age]]&lt;=54,"45-54","55+"))))</f>
        <v>55+</v>
      </c>
      <c r="AM8" t="str">
        <f>IF(HR_Data[[#This Row],[MonthlyIncome]]&lt;3000,"Low Salary",IF(HR_Data[[#This Row],[MonthlyIncome]]&lt;=7000,"Medium Salary","High Salary"))</f>
        <v>Low Salary</v>
      </c>
      <c r="AN8" t="str">
        <f>IF(HR_Data[[#This Row],[YearsAtCompany]]&lt;2,"0-1 Years",IF(HR_Data[[#This Row],[YearsAtCompany]]&lt;=5,"2-5 Years",IF(HR_Data[[#This Row],[YearsAtCompany]]&lt;=10,"6-10 Years","10+ Years")))</f>
        <v>0-1 Years</v>
      </c>
      <c r="AO8" t="str">
        <f>IF(HR_Data[[#This Row],[JobSatisfaction]]=1,"Low",IF(HR_Data[[#This Row],[JobSatisfaction]]=2,"Medium",IF(HR_Data[[#This Row],[JobSatisfaction]]=3,"High","Very High")))</f>
        <v>Low</v>
      </c>
      <c r="AP8" t="str">
        <f>IF(HR_Data[[#This Row],[WorkLifeBalance]]=1,"Bad",IF(HR_Data[[#This Row],[WorkLifeBalance]]=2,"Good",IF(HR_Data[[#This Row],[WorkLifeBalance]]=3,"Better","Best")))</f>
        <v>Good</v>
      </c>
    </row>
    <row r="9" spans="1:42"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IF(HR_Data[[#This Row],[Attrition]]="Yes",1,0)</f>
        <v>0</v>
      </c>
      <c r="AK9">
        <f>IF(HR_Data[[#This Row],[Attrition]]="No",1,0)</f>
        <v>1</v>
      </c>
      <c r="AL9" t="str">
        <f>IF(HR_Data[[#This Row],[Age]]&lt;25,"Under 25",IF(HR_Data[[#This Row],[Age]]&lt;=34,"25-34",IF(HR_Data[[#This Row],[Age]]&lt;=44,"35-44",IF(HR_Data[[#This Row],[Age]]&lt;=54,"45-54","55+"))))</f>
        <v>25-34</v>
      </c>
      <c r="AM9" t="str">
        <f>IF(HR_Data[[#This Row],[MonthlyIncome]]&lt;3000,"Low Salary",IF(HR_Data[[#This Row],[MonthlyIncome]]&lt;=7000,"Medium Salary","High Salary"))</f>
        <v>Low Salary</v>
      </c>
      <c r="AN9" t="str">
        <f>IF(HR_Data[[#This Row],[YearsAtCompany]]&lt;2,"0-1 Years",IF(HR_Data[[#This Row],[YearsAtCompany]]&lt;=5,"2-5 Years",IF(HR_Data[[#This Row],[YearsAtCompany]]&lt;=10,"6-10 Years","10+ Years")))</f>
        <v>0-1 Years</v>
      </c>
      <c r="AO9" t="str">
        <f>IF(HR_Data[[#This Row],[JobSatisfaction]]=1,"Low",IF(HR_Data[[#This Row],[JobSatisfaction]]=2,"Medium",IF(HR_Data[[#This Row],[JobSatisfaction]]=3,"High","Very High")))</f>
        <v>High</v>
      </c>
      <c r="AP9" t="str">
        <f>IF(HR_Data[[#This Row],[WorkLifeBalance]]=1,"Bad",IF(HR_Data[[#This Row],[WorkLifeBalance]]=2,"Good",IF(HR_Data[[#This Row],[WorkLifeBalance]]=3,"Better","Best")))</f>
        <v>Better</v>
      </c>
    </row>
    <row r="10" spans="1:42"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IF(HR_Data[[#This Row],[Attrition]]="Yes",1,0)</f>
        <v>0</v>
      </c>
      <c r="AK10">
        <f>IF(HR_Data[[#This Row],[Attrition]]="No",1,0)</f>
        <v>1</v>
      </c>
      <c r="AL10" t="str">
        <f>IF(HR_Data[[#This Row],[Age]]&lt;25,"Under 25",IF(HR_Data[[#This Row],[Age]]&lt;=34,"25-34",IF(HR_Data[[#This Row],[Age]]&lt;=44,"35-44",IF(HR_Data[[#This Row],[Age]]&lt;=54,"45-54","55+"))))</f>
        <v>35-44</v>
      </c>
      <c r="AM10" t="str">
        <f>IF(HR_Data[[#This Row],[MonthlyIncome]]&lt;3000,"Low Salary",IF(HR_Data[[#This Row],[MonthlyIncome]]&lt;=7000,"Medium Salary","High Salary"))</f>
        <v>High Salary</v>
      </c>
      <c r="AN10" t="str">
        <f>IF(HR_Data[[#This Row],[YearsAtCompany]]&lt;2,"0-1 Years",IF(HR_Data[[#This Row],[YearsAtCompany]]&lt;=5,"2-5 Years",IF(HR_Data[[#This Row],[YearsAtCompany]]&lt;=10,"6-10 Years","10+ Years")))</f>
        <v>6-10 Years</v>
      </c>
      <c r="AO10" t="str">
        <f>IF(HR_Data[[#This Row],[JobSatisfaction]]=1,"Low",IF(HR_Data[[#This Row],[JobSatisfaction]]=2,"Medium",IF(HR_Data[[#This Row],[JobSatisfaction]]=3,"High","Very High")))</f>
        <v>High</v>
      </c>
      <c r="AP10" t="str">
        <f>IF(HR_Data[[#This Row],[WorkLifeBalance]]=1,"Bad",IF(HR_Data[[#This Row],[WorkLifeBalance]]=2,"Good",IF(HR_Data[[#This Row],[WorkLifeBalance]]=3,"Better","Best")))</f>
        <v>Better</v>
      </c>
    </row>
    <row r="11" spans="1:42"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IF(HR_Data[[#This Row],[Attrition]]="Yes",1,0)</f>
        <v>0</v>
      </c>
      <c r="AK11">
        <f>IF(HR_Data[[#This Row],[Attrition]]="No",1,0)</f>
        <v>1</v>
      </c>
      <c r="AL11" t="str">
        <f>IF(HR_Data[[#This Row],[Age]]&lt;25,"Under 25",IF(HR_Data[[#This Row],[Age]]&lt;=34,"25-34",IF(HR_Data[[#This Row],[Age]]&lt;=44,"35-44",IF(HR_Data[[#This Row],[Age]]&lt;=54,"45-54","55+"))))</f>
        <v>35-44</v>
      </c>
      <c r="AM11" t="str">
        <f>IF(HR_Data[[#This Row],[MonthlyIncome]]&lt;3000,"Low Salary",IF(HR_Data[[#This Row],[MonthlyIncome]]&lt;=7000,"Medium Salary","High Salary"))</f>
        <v>Medium Salary</v>
      </c>
      <c r="AN11" t="str">
        <f>IF(HR_Data[[#This Row],[YearsAtCompany]]&lt;2,"0-1 Years",IF(HR_Data[[#This Row],[YearsAtCompany]]&lt;=5,"2-5 Years",IF(HR_Data[[#This Row],[YearsAtCompany]]&lt;=10,"6-10 Years","10+ Years")))</f>
        <v>6-10 Years</v>
      </c>
      <c r="AO11" t="str">
        <f>IF(HR_Data[[#This Row],[JobSatisfaction]]=1,"Low",IF(HR_Data[[#This Row],[JobSatisfaction]]=2,"Medium",IF(HR_Data[[#This Row],[JobSatisfaction]]=3,"High","Very High")))</f>
        <v>High</v>
      </c>
      <c r="AP11" t="str">
        <f>IF(HR_Data[[#This Row],[WorkLifeBalance]]=1,"Bad",IF(HR_Data[[#This Row],[WorkLifeBalance]]=2,"Good",IF(HR_Data[[#This Row],[WorkLifeBalance]]=3,"Better","Best")))</f>
        <v>Good</v>
      </c>
    </row>
    <row r="12" spans="1:42"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IF(HR_Data[[#This Row],[Attrition]]="Yes",1,0)</f>
        <v>0</v>
      </c>
      <c r="AK12">
        <f>IF(HR_Data[[#This Row],[Attrition]]="No",1,0)</f>
        <v>1</v>
      </c>
      <c r="AL12" t="str">
        <f>IF(HR_Data[[#This Row],[Age]]&lt;25,"Under 25",IF(HR_Data[[#This Row],[Age]]&lt;=34,"25-34",IF(HR_Data[[#This Row],[Age]]&lt;=44,"35-44",IF(HR_Data[[#This Row],[Age]]&lt;=54,"45-54","55+"))))</f>
        <v>35-44</v>
      </c>
      <c r="AM12" t="str">
        <f>IF(HR_Data[[#This Row],[MonthlyIncome]]&lt;3000,"Low Salary",IF(HR_Data[[#This Row],[MonthlyIncome]]&lt;=7000,"Medium Salary","High Salary"))</f>
        <v>Low Salary</v>
      </c>
      <c r="AN12" t="str">
        <f>IF(HR_Data[[#This Row],[YearsAtCompany]]&lt;2,"0-1 Years",IF(HR_Data[[#This Row],[YearsAtCompany]]&lt;=5,"2-5 Years",IF(HR_Data[[#This Row],[YearsAtCompany]]&lt;=10,"6-10 Years","10+ Years")))</f>
        <v>2-5 Years</v>
      </c>
      <c r="AO12" t="str">
        <f>IF(HR_Data[[#This Row],[JobSatisfaction]]=1,"Low",IF(HR_Data[[#This Row],[JobSatisfaction]]=2,"Medium",IF(HR_Data[[#This Row],[JobSatisfaction]]=3,"High","Very High")))</f>
        <v>Medium</v>
      </c>
      <c r="AP12" t="str">
        <f>IF(HR_Data[[#This Row],[WorkLifeBalance]]=1,"Bad",IF(HR_Data[[#This Row],[WorkLifeBalance]]=2,"Good",IF(HR_Data[[#This Row],[WorkLifeBalance]]=3,"Better","Best")))</f>
        <v>Better</v>
      </c>
    </row>
    <row r="13" spans="1:42"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IF(HR_Data[[#This Row],[Attrition]]="Yes",1,0)</f>
        <v>0</v>
      </c>
      <c r="AK13">
        <f>IF(HR_Data[[#This Row],[Attrition]]="No",1,0)</f>
        <v>1</v>
      </c>
      <c r="AL13" t="str">
        <f>IF(HR_Data[[#This Row],[Age]]&lt;25,"Under 25",IF(HR_Data[[#This Row],[Age]]&lt;=34,"25-34",IF(HR_Data[[#This Row],[Age]]&lt;=44,"35-44",IF(HR_Data[[#This Row],[Age]]&lt;=54,"45-54","55+"))))</f>
        <v>25-34</v>
      </c>
      <c r="AM13" t="str">
        <f>IF(HR_Data[[#This Row],[MonthlyIncome]]&lt;3000,"Low Salary",IF(HR_Data[[#This Row],[MonthlyIncome]]&lt;=7000,"Medium Salary","High Salary"))</f>
        <v>Medium Salary</v>
      </c>
      <c r="AN13" t="str">
        <f>IF(HR_Data[[#This Row],[YearsAtCompany]]&lt;2,"0-1 Years",IF(HR_Data[[#This Row],[YearsAtCompany]]&lt;=5,"2-5 Years",IF(HR_Data[[#This Row],[YearsAtCompany]]&lt;=10,"6-10 Years","10+ Years")))</f>
        <v>6-10 Years</v>
      </c>
      <c r="AO13" t="str">
        <f>IF(HR_Data[[#This Row],[JobSatisfaction]]=1,"Low",IF(HR_Data[[#This Row],[JobSatisfaction]]=2,"Medium",IF(HR_Data[[#This Row],[JobSatisfaction]]=3,"High","Very High")))</f>
        <v>High</v>
      </c>
      <c r="AP13" t="str">
        <f>IF(HR_Data[[#This Row],[WorkLifeBalance]]=1,"Bad",IF(HR_Data[[#This Row],[WorkLifeBalance]]=2,"Good",IF(HR_Data[[#This Row],[WorkLifeBalance]]=3,"Better","Best")))</f>
        <v>Better</v>
      </c>
    </row>
    <row r="14" spans="1:42"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IF(HR_Data[[#This Row],[Attrition]]="Yes",1,0)</f>
        <v>0</v>
      </c>
      <c r="AK14">
        <f>IF(HR_Data[[#This Row],[Attrition]]="No",1,0)</f>
        <v>1</v>
      </c>
      <c r="AL14" t="str">
        <f>IF(HR_Data[[#This Row],[Age]]&lt;25,"Under 25",IF(HR_Data[[#This Row],[Age]]&lt;=34,"25-34",IF(HR_Data[[#This Row],[Age]]&lt;=44,"35-44",IF(HR_Data[[#This Row],[Age]]&lt;=54,"45-54","55+"))))</f>
        <v>25-34</v>
      </c>
      <c r="AM14" t="str">
        <f>IF(HR_Data[[#This Row],[MonthlyIncome]]&lt;3000,"Low Salary",IF(HR_Data[[#This Row],[MonthlyIncome]]&lt;=7000,"Medium Salary","High Salary"))</f>
        <v>Low Salary</v>
      </c>
      <c r="AN14" t="str">
        <f>IF(HR_Data[[#This Row],[YearsAtCompany]]&lt;2,"0-1 Years",IF(HR_Data[[#This Row],[YearsAtCompany]]&lt;=5,"2-5 Years",IF(HR_Data[[#This Row],[YearsAtCompany]]&lt;=10,"6-10 Years","10+ Years")))</f>
        <v>2-5 Years</v>
      </c>
      <c r="AO14" t="str">
        <f>IF(HR_Data[[#This Row],[JobSatisfaction]]=1,"Low",IF(HR_Data[[#This Row],[JobSatisfaction]]=2,"Medium",IF(HR_Data[[#This Row],[JobSatisfaction]]=3,"High","Very High")))</f>
        <v>High</v>
      </c>
      <c r="AP14" t="str">
        <f>IF(HR_Data[[#This Row],[WorkLifeBalance]]=1,"Bad",IF(HR_Data[[#This Row],[WorkLifeBalance]]=2,"Good",IF(HR_Data[[#This Row],[WorkLifeBalance]]=3,"Better","Best")))</f>
        <v>Good</v>
      </c>
    </row>
    <row r="15" spans="1:42"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IF(HR_Data[[#This Row],[Attrition]]="Yes",1,0)</f>
        <v>0</v>
      </c>
      <c r="AK15">
        <f>IF(HR_Data[[#This Row],[Attrition]]="No",1,0)</f>
        <v>1</v>
      </c>
      <c r="AL15" t="str">
        <f>IF(HR_Data[[#This Row],[Age]]&lt;25,"Under 25",IF(HR_Data[[#This Row],[Age]]&lt;=34,"25-34",IF(HR_Data[[#This Row],[Age]]&lt;=44,"35-44",IF(HR_Data[[#This Row],[Age]]&lt;=54,"45-54","55+"))))</f>
        <v>25-34</v>
      </c>
      <c r="AM15" t="str">
        <f>IF(HR_Data[[#This Row],[MonthlyIncome]]&lt;3000,"Low Salary",IF(HR_Data[[#This Row],[MonthlyIncome]]&lt;=7000,"Medium Salary","High Salary"))</f>
        <v>Low Salary</v>
      </c>
      <c r="AN15" t="str">
        <f>IF(HR_Data[[#This Row],[YearsAtCompany]]&lt;2,"0-1 Years",IF(HR_Data[[#This Row],[YearsAtCompany]]&lt;=5,"2-5 Years",IF(HR_Data[[#This Row],[YearsAtCompany]]&lt;=10,"6-10 Years","10+ Years")))</f>
        <v>2-5 Years</v>
      </c>
      <c r="AO15" t="str">
        <f>IF(HR_Data[[#This Row],[JobSatisfaction]]=1,"Low",IF(HR_Data[[#This Row],[JobSatisfaction]]=2,"Medium",IF(HR_Data[[#This Row],[JobSatisfaction]]=3,"High","Very High")))</f>
        <v>Very High</v>
      </c>
      <c r="AP15" t="str">
        <f>IF(HR_Data[[#This Row],[WorkLifeBalance]]=1,"Bad",IF(HR_Data[[#This Row],[WorkLifeBalance]]=2,"Good",IF(HR_Data[[#This Row],[WorkLifeBalance]]=3,"Better","Best")))</f>
        <v>Better</v>
      </c>
    </row>
    <row r="16" spans="1:42"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IF(HR_Data[[#This Row],[Attrition]]="Yes",1,0)</f>
        <v>1</v>
      </c>
      <c r="AK16">
        <f>IF(HR_Data[[#This Row],[Attrition]]="No",1,0)</f>
        <v>0</v>
      </c>
      <c r="AL16" t="str">
        <f>IF(HR_Data[[#This Row],[Age]]&lt;25,"Under 25",IF(HR_Data[[#This Row],[Age]]&lt;=34,"25-34",IF(HR_Data[[#This Row],[Age]]&lt;=44,"35-44",IF(HR_Data[[#This Row],[Age]]&lt;=54,"45-54","55+"))))</f>
        <v>25-34</v>
      </c>
      <c r="AM16" t="str">
        <f>IF(HR_Data[[#This Row],[MonthlyIncome]]&lt;3000,"Low Salary",IF(HR_Data[[#This Row],[MonthlyIncome]]&lt;=7000,"Medium Salary","High Salary"))</f>
        <v>Low Salary</v>
      </c>
      <c r="AN16" t="str">
        <f>IF(HR_Data[[#This Row],[YearsAtCompany]]&lt;2,"0-1 Years",IF(HR_Data[[#This Row],[YearsAtCompany]]&lt;=5,"2-5 Years",IF(HR_Data[[#This Row],[YearsAtCompany]]&lt;=10,"6-10 Years","10+ Years")))</f>
        <v>2-5 Years</v>
      </c>
      <c r="AO16" t="str">
        <f>IF(HR_Data[[#This Row],[JobSatisfaction]]=1,"Low",IF(HR_Data[[#This Row],[JobSatisfaction]]=2,"Medium",IF(HR_Data[[#This Row],[JobSatisfaction]]=3,"High","Very High")))</f>
        <v>High</v>
      </c>
      <c r="AP16" t="str">
        <f>IF(HR_Data[[#This Row],[WorkLifeBalance]]=1,"Bad",IF(HR_Data[[#This Row],[WorkLifeBalance]]=2,"Good",IF(HR_Data[[#This Row],[WorkLifeBalance]]=3,"Better","Best")))</f>
        <v>Better</v>
      </c>
    </row>
    <row r="17" spans="1:42"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IF(HR_Data[[#This Row],[Attrition]]="Yes",1,0)</f>
        <v>0</v>
      </c>
      <c r="AK17">
        <f>IF(HR_Data[[#This Row],[Attrition]]="No",1,0)</f>
        <v>1</v>
      </c>
      <c r="AL17" t="str">
        <f>IF(HR_Data[[#This Row],[Age]]&lt;25,"Under 25",IF(HR_Data[[#This Row],[Age]]&lt;=34,"25-34",IF(HR_Data[[#This Row],[Age]]&lt;=44,"35-44",IF(HR_Data[[#This Row],[Age]]&lt;=54,"45-54","55+"))))</f>
        <v>25-34</v>
      </c>
      <c r="AM17" t="str">
        <f>IF(HR_Data[[#This Row],[MonthlyIncome]]&lt;3000,"Low Salary",IF(HR_Data[[#This Row],[MonthlyIncome]]&lt;=7000,"Medium Salary","High Salary"))</f>
        <v>High Salary</v>
      </c>
      <c r="AN17" t="str">
        <f>IF(HR_Data[[#This Row],[YearsAtCompany]]&lt;2,"0-1 Years",IF(HR_Data[[#This Row],[YearsAtCompany]]&lt;=5,"2-5 Years",IF(HR_Data[[#This Row],[YearsAtCompany]]&lt;=10,"6-10 Years","10+ Years")))</f>
        <v>6-10 Years</v>
      </c>
      <c r="AO17" t="str">
        <f>IF(HR_Data[[#This Row],[JobSatisfaction]]=1,"Low",IF(HR_Data[[#This Row],[JobSatisfaction]]=2,"Medium",IF(HR_Data[[#This Row],[JobSatisfaction]]=3,"High","Very High")))</f>
        <v>Low</v>
      </c>
      <c r="AP17" t="str">
        <f>IF(HR_Data[[#This Row],[WorkLifeBalance]]=1,"Bad",IF(HR_Data[[#This Row],[WorkLifeBalance]]=2,"Good",IF(HR_Data[[#This Row],[WorkLifeBalance]]=3,"Better","Best")))</f>
        <v>Better</v>
      </c>
    </row>
    <row r="18" spans="1:42"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IF(HR_Data[[#This Row],[Attrition]]="Yes",1,0)</f>
        <v>0</v>
      </c>
      <c r="AK18">
        <f>IF(HR_Data[[#This Row],[Attrition]]="No",1,0)</f>
        <v>1</v>
      </c>
      <c r="AL18" t="str">
        <f>IF(HR_Data[[#This Row],[Age]]&lt;25,"Under 25",IF(HR_Data[[#This Row],[Age]]&lt;=34,"25-34",IF(HR_Data[[#This Row],[Age]]&lt;=44,"35-44",IF(HR_Data[[#This Row],[Age]]&lt;=54,"45-54","55+"))))</f>
        <v>25-34</v>
      </c>
      <c r="AM18" t="str">
        <f>IF(HR_Data[[#This Row],[MonthlyIncome]]&lt;3000,"Low Salary",IF(HR_Data[[#This Row],[MonthlyIncome]]&lt;=7000,"Medium Salary","High Salary"))</f>
        <v>Medium Salary</v>
      </c>
      <c r="AN18" t="str">
        <f>IF(HR_Data[[#This Row],[YearsAtCompany]]&lt;2,"0-1 Years",IF(HR_Data[[#This Row],[YearsAtCompany]]&lt;=5,"2-5 Years",IF(HR_Data[[#This Row],[YearsAtCompany]]&lt;=10,"6-10 Years","10+ Years")))</f>
        <v>6-10 Years</v>
      </c>
      <c r="AO18" t="str">
        <f>IF(HR_Data[[#This Row],[JobSatisfaction]]=1,"Low",IF(HR_Data[[#This Row],[JobSatisfaction]]=2,"Medium",IF(HR_Data[[#This Row],[JobSatisfaction]]=3,"High","Very High")))</f>
        <v>Medium</v>
      </c>
      <c r="AP18" t="str">
        <f>IF(HR_Data[[#This Row],[WorkLifeBalance]]=1,"Bad",IF(HR_Data[[#This Row],[WorkLifeBalance]]=2,"Good",IF(HR_Data[[#This Row],[WorkLifeBalance]]=3,"Better","Best")))</f>
        <v>Good</v>
      </c>
    </row>
    <row r="19" spans="1:42"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IF(HR_Data[[#This Row],[Attrition]]="Yes",1,0)</f>
        <v>0</v>
      </c>
      <c r="AK19">
        <f>IF(HR_Data[[#This Row],[Attrition]]="No",1,0)</f>
        <v>1</v>
      </c>
      <c r="AL19" t="str">
        <f>IF(HR_Data[[#This Row],[Age]]&lt;25,"Under 25",IF(HR_Data[[#This Row],[Age]]&lt;=34,"25-34",IF(HR_Data[[#This Row],[Age]]&lt;=44,"35-44",IF(HR_Data[[#This Row],[Age]]&lt;=54,"45-54","55+"))))</f>
        <v>Under 25</v>
      </c>
      <c r="AM19" t="str">
        <f>IF(HR_Data[[#This Row],[MonthlyIncome]]&lt;3000,"Low Salary",IF(HR_Data[[#This Row],[MonthlyIncome]]&lt;=7000,"Medium Salary","High Salary"))</f>
        <v>Low Salary</v>
      </c>
      <c r="AN19" t="str">
        <f>IF(HR_Data[[#This Row],[YearsAtCompany]]&lt;2,"0-1 Years",IF(HR_Data[[#This Row],[YearsAtCompany]]&lt;=5,"2-5 Years",IF(HR_Data[[#This Row],[YearsAtCompany]]&lt;=10,"6-10 Years","10+ Years")))</f>
        <v>0-1 Years</v>
      </c>
      <c r="AO19" t="str">
        <f>IF(HR_Data[[#This Row],[JobSatisfaction]]=1,"Low",IF(HR_Data[[#This Row],[JobSatisfaction]]=2,"Medium",IF(HR_Data[[#This Row],[JobSatisfaction]]=3,"High","Very High")))</f>
        <v>Very High</v>
      </c>
      <c r="AP19" t="str">
        <f>IF(HR_Data[[#This Row],[WorkLifeBalance]]=1,"Bad",IF(HR_Data[[#This Row],[WorkLifeBalance]]=2,"Good",IF(HR_Data[[#This Row],[WorkLifeBalance]]=3,"Better","Best")))</f>
        <v>Good</v>
      </c>
    </row>
    <row r="20" spans="1:42"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IF(HR_Data[[#This Row],[Attrition]]="Yes",1,0)</f>
        <v>0</v>
      </c>
      <c r="AK20">
        <f>IF(HR_Data[[#This Row],[Attrition]]="No",1,0)</f>
        <v>1</v>
      </c>
      <c r="AL20" t="str">
        <f>IF(HR_Data[[#This Row],[Age]]&lt;25,"Under 25",IF(HR_Data[[#This Row],[Age]]&lt;=34,"25-34",IF(HR_Data[[#This Row],[Age]]&lt;=44,"35-44",IF(HR_Data[[#This Row],[Age]]&lt;=54,"45-54","55+"))))</f>
        <v>45-54</v>
      </c>
      <c r="AM20" t="str">
        <f>IF(HR_Data[[#This Row],[MonthlyIncome]]&lt;3000,"Low Salary",IF(HR_Data[[#This Row],[MonthlyIncome]]&lt;=7000,"Medium Salary","High Salary"))</f>
        <v>High Salary</v>
      </c>
      <c r="AN20" t="str">
        <f>IF(HR_Data[[#This Row],[YearsAtCompany]]&lt;2,"0-1 Years",IF(HR_Data[[#This Row],[YearsAtCompany]]&lt;=5,"2-5 Years",IF(HR_Data[[#This Row],[YearsAtCompany]]&lt;=10,"6-10 Years","10+ Years")))</f>
        <v>10+ Years</v>
      </c>
      <c r="AO20" t="str">
        <f>IF(HR_Data[[#This Row],[JobSatisfaction]]=1,"Low",IF(HR_Data[[#This Row],[JobSatisfaction]]=2,"Medium",IF(HR_Data[[#This Row],[JobSatisfaction]]=3,"High","Very High")))</f>
        <v>Very High</v>
      </c>
      <c r="AP20" t="str">
        <f>IF(HR_Data[[#This Row],[WorkLifeBalance]]=1,"Bad",IF(HR_Data[[#This Row],[WorkLifeBalance]]=2,"Good",IF(HR_Data[[#This Row],[WorkLifeBalance]]=3,"Better","Best")))</f>
        <v>Better</v>
      </c>
    </row>
    <row r="21" spans="1:42"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IF(HR_Data[[#This Row],[Attrition]]="Yes",1,0)</f>
        <v>0</v>
      </c>
      <c r="AK21">
        <f>IF(HR_Data[[#This Row],[Attrition]]="No",1,0)</f>
        <v>1</v>
      </c>
      <c r="AL21" t="str">
        <f>IF(HR_Data[[#This Row],[Age]]&lt;25,"Under 25",IF(HR_Data[[#This Row],[Age]]&lt;=34,"25-34",IF(HR_Data[[#This Row],[Age]]&lt;=44,"35-44",IF(HR_Data[[#This Row],[Age]]&lt;=54,"45-54","55+"))))</f>
        <v>35-44</v>
      </c>
      <c r="AM21" t="str">
        <f>IF(HR_Data[[#This Row],[MonthlyIncome]]&lt;3000,"Low Salary",IF(HR_Data[[#This Row],[MonthlyIncome]]&lt;=7000,"Medium Salary","High Salary"))</f>
        <v>Medium Salary</v>
      </c>
      <c r="AN21" t="str">
        <f>IF(HR_Data[[#This Row],[YearsAtCompany]]&lt;2,"0-1 Years",IF(HR_Data[[#This Row],[YearsAtCompany]]&lt;=5,"2-5 Years",IF(HR_Data[[#This Row],[YearsAtCompany]]&lt;=10,"6-10 Years","10+ Years")))</f>
        <v>2-5 Years</v>
      </c>
      <c r="AO21" t="str">
        <f>IF(HR_Data[[#This Row],[JobSatisfaction]]=1,"Low",IF(HR_Data[[#This Row],[JobSatisfaction]]=2,"Medium",IF(HR_Data[[#This Row],[JobSatisfaction]]=3,"High","Very High")))</f>
        <v>Very High</v>
      </c>
      <c r="AP21" t="str">
        <f>IF(HR_Data[[#This Row],[WorkLifeBalance]]=1,"Bad",IF(HR_Data[[#This Row],[WorkLifeBalance]]=2,"Good",IF(HR_Data[[#This Row],[WorkLifeBalance]]=3,"Better","Best")))</f>
        <v>Better</v>
      </c>
    </row>
    <row r="22" spans="1:42"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IF(HR_Data[[#This Row],[Attrition]]="Yes",1,0)</f>
        <v>0</v>
      </c>
      <c r="AK22">
        <f>IF(HR_Data[[#This Row],[Attrition]]="No",1,0)</f>
        <v>1</v>
      </c>
      <c r="AL22" t="str">
        <f>IF(HR_Data[[#This Row],[Age]]&lt;25,"Under 25",IF(HR_Data[[#This Row],[Age]]&lt;=34,"25-34",IF(HR_Data[[#This Row],[Age]]&lt;=44,"35-44",IF(HR_Data[[#This Row],[Age]]&lt;=54,"45-54","55+"))))</f>
        <v>Under 25</v>
      </c>
      <c r="AM22" t="str">
        <f>IF(HR_Data[[#This Row],[MonthlyIncome]]&lt;3000,"Low Salary",IF(HR_Data[[#This Row],[MonthlyIncome]]&lt;=7000,"Medium Salary","High Salary"))</f>
        <v>Medium Salary</v>
      </c>
      <c r="AN22" t="str">
        <f>IF(HR_Data[[#This Row],[YearsAtCompany]]&lt;2,"0-1 Years",IF(HR_Data[[#This Row],[YearsAtCompany]]&lt;=5,"2-5 Years",IF(HR_Data[[#This Row],[YearsAtCompany]]&lt;=10,"6-10 Years","10+ Years")))</f>
        <v>2-5 Years</v>
      </c>
      <c r="AO22" t="str">
        <f>IF(HR_Data[[#This Row],[JobSatisfaction]]=1,"Low",IF(HR_Data[[#This Row],[JobSatisfaction]]=2,"Medium",IF(HR_Data[[#This Row],[JobSatisfaction]]=3,"High","Very High")))</f>
        <v>High</v>
      </c>
      <c r="AP22" t="str">
        <f>IF(HR_Data[[#This Row],[WorkLifeBalance]]=1,"Bad",IF(HR_Data[[#This Row],[WorkLifeBalance]]=2,"Good",IF(HR_Data[[#This Row],[WorkLifeBalance]]=3,"Better","Best")))</f>
        <v>Good</v>
      </c>
    </row>
    <row r="23" spans="1:42"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IF(HR_Data[[#This Row],[Attrition]]="Yes",1,0)</f>
        <v>1</v>
      </c>
      <c r="AK23">
        <f>IF(HR_Data[[#This Row],[Attrition]]="No",1,0)</f>
        <v>0</v>
      </c>
      <c r="AL23" t="str">
        <f>IF(HR_Data[[#This Row],[Age]]&lt;25,"Under 25",IF(HR_Data[[#This Row],[Age]]&lt;=34,"25-34",IF(HR_Data[[#This Row],[Age]]&lt;=44,"35-44",IF(HR_Data[[#This Row],[Age]]&lt;=54,"45-54","55+"))))</f>
        <v>35-44</v>
      </c>
      <c r="AM23" t="str">
        <f>IF(HR_Data[[#This Row],[MonthlyIncome]]&lt;3000,"Low Salary",IF(HR_Data[[#This Row],[MonthlyIncome]]&lt;=7000,"Medium Salary","High Salary"))</f>
        <v>Medium Salary</v>
      </c>
      <c r="AN23" t="str">
        <f>IF(HR_Data[[#This Row],[YearsAtCompany]]&lt;2,"0-1 Years",IF(HR_Data[[#This Row],[YearsAtCompany]]&lt;=5,"2-5 Years",IF(HR_Data[[#This Row],[YearsAtCompany]]&lt;=10,"6-10 Years","10+ Years")))</f>
        <v>2-5 Years</v>
      </c>
      <c r="AO23" t="str">
        <f>IF(HR_Data[[#This Row],[JobSatisfaction]]=1,"Low",IF(HR_Data[[#This Row],[JobSatisfaction]]=2,"Medium",IF(HR_Data[[#This Row],[JobSatisfaction]]=3,"High","Very High")))</f>
        <v>Low</v>
      </c>
      <c r="AP23" t="str">
        <f>IF(HR_Data[[#This Row],[WorkLifeBalance]]=1,"Bad",IF(HR_Data[[#This Row],[WorkLifeBalance]]=2,"Good",IF(HR_Data[[#This Row],[WorkLifeBalance]]=3,"Better","Best")))</f>
        <v>Better</v>
      </c>
    </row>
    <row r="24" spans="1:42"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IF(HR_Data[[#This Row],[Attrition]]="Yes",1,0)</f>
        <v>0</v>
      </c>
      <c r="AK24">
        <f>IF(HR_Data[[#This Row],[Attrition]]="No",1,0)</f>
        <v>1</v>
      </c>
      <c r="AL24" t="str">
        <f>IF(HR_Data[[#This Row],[Age]]&lt;25,"Under 25",IF(HR_Data[[#This Row],[Age]]&lt;=34,"25-34",IF(HR_Data[[#This Row],[Age]]&lt;=44,"35-44",IF(HR_Data[[#This Row],[Age]]&lt;=54,"45-54","55+"))))</f>
        <v>25-34</v>
      </c>
      <c r="AM24" t="str">
        <f>IF(HR_Data[[#This Row],[MonthlyIncome]]&lt;3000,"Low Salary",IF(HR_Data[[#This Row],[MonthlyIncome]]&lt;=7000,"Medium Salary","High Salary"))</f>
        <v>High Salary</v>
      </c>
      <c r="AN24" t="str">
        <f>IF(HR_Data[[#This Row],[YearsAtCompany]]&lt;2,"0-1 Years",IF(HR_Data[[#This Row],[YearsAtCompany]]&lt;=5,"2-5 Years",IF(HR_Data[[#This Row],[YearsAtCompany]]&lt;=10,"6-10 Years","10+ Years")))</f>
        <v>10+ Years</v>
      </c>
      <c r="AO24" t="str">
        <f>IF(HR_Data[[#This Row],[JobSatisfaction]]=1,"Low",IF(HR_Data[[#This Row],[JobSatisfaction]]=2,"Medium",IF(HR_Data[[#This Row],[JobSatisfaction]]=3,"High","Very High")))</f>
        <v>Medium</v>
      </c>
      <c r="AP24" t="str">
        <f>IF(HR_Data[[#This Row],[WorkLifeBalance]]=1,"Bad",IF(HR_Data[[#This Row],[WorkLifeBalance]]=2,"Good",IF(HR_Data[[#This Row],[WorkLifeBalance]]=3,"Better","Best")))</f>
        <v>Better</v>
      </c>
    </row>
    <row r="25" spans="1:42"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IF(HR_Data[[#This Row],[Attrition]]="Yes",1,0)</f>
        <v>0</v>
      </c>
      <c r="AK25">
        <f>IF(HR_Data[[#This Row],[Attrition]]="No",1,0)</f>
        <v>1</v>
      </c>
      <c r="AL25" t="str">
        <f>IF(HR_Data[[#This Row],[Age]]&lt;25,"Under 25",IF(HR_Data[[#This Row],[Age]]&lt;=34,"25-34",IF(HR_Data[[#This Row],[Age]]&lt;=44,"35-44",IF(HR_Data[[#This Row],[Age]]&lt;=54,"45-54","55+"))))</f>
        <v>Under 25</v>
      </c>
      <c r="AM25" t="str">
        <f>IF(HR_Data[[#This Row],[MonthlyIncome]]&lt;3000,"Low Salary",IF(HR_Data[[#This Row],[MonthlyIncome]]&lt;=7000,"Medium Salary","High Salary"))</f>
        <v>Low Salary</v>
      </c>
      <c r="AN25" t="str">
        <f>IF(HR_Data[[#This Row],[YearsAtCompany]]&lt;2,"0-1 Years",IF(HR_Data[[#This Row],[YearsAtCompany]]&lt;=5,"2-5 Years",IF(HR_Data[[#This Row],[YearsAtCompany]]&lt;=10,"6-10 Years","10+ Years")))</f>
        <v>0-1 Years</v>
      </c>
      <c r="AO25" t="str">
        <f>IF(HR_Data[[#This Row],[JobSatisfaction]]=1,"Low",IF(HR_Data[[#This Row],[JobSatisfaction]]=2,"Medium",IF(HR_Data[[#This Row],[JobSatisfaction]]=3,"High","Very High")))</f>
        <v>Very High</v>
      </c>
      <c r="AP25" t="str">
        <f>IF(HR_Data[[#This Row],[WorkLifeBalance]]=1,"Bad",IF(HR_Data[[#This Row],[WorkLifeBalance]]=2,"Good",IF(HR_Data[[#This Row],[WorkLifeBalance]]=3,"Better","Best")))</f>
        <v>Better</v>
      </c>
    </row>
    <row r="26" spans="1:42"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IF(HR_Data[[#This Row],[Attrition]]="Yes",1,0)</f>
        <v>1</v>
      </c>
      <c r="AK26">
        <f>IF(HR_Data[[#This Row],[Attrition]]="No",1,0)</f>
        <v>0</v>
      </c>
      <c r="AL26" t="str">
        <f>IF(HR_Data[[#This Row],[Age]]&lt;25,"Under 25",IF(HR_Data[[#This Row],[Age]]&lt;=34,"25-34",IF(HR_Data[[#This Row],[Age]]&lt;=44,"35-44",IF(HR_Data[[#This Row],[Age]]&lt;=54,"45-54","55+"))))</f>
        <v>25-34</v>
      </c>
      <c r="AM26" t="str">
        <f>IF(HR_Data[[#This Row],[MonthlyIncome]]&lt;3000,"Low Salary",IF(HR_Data[[#This Row],[MonthlyIncome]]&lt;=7000,"Medium Salary","High Salary"))</f>
        <v>Low Salary</v>
      </c>
      <c r="AN26" t="str">
        <f>IF(HR_Data[[#This Row],[YearsAtCompany]]&lt;2,"0-1 Years",IF(HR_Data[[#This Row],[YearsAtCompany]]&lt;=5,"2-5 Years",IF(HR_Data[[#This Row],[YearsAtCompany]]&lt;=10,"6-10 Years","10+ Years")))</f>
        <v>2-5 Years</v>
      </c>
      <c r="AO26" t="str">
        <f>IF(HR_Data[[#This Row],[JobSatisfaction]]=1,"Low",IF(HR_Data[[#This Row],[JobSatisfaction]]=2,"Medium",IF(HR_Data[[#This Row],[JobSatisfaction]]=3,"High","Very High")))</f>
        <v>Low</v>
      </c>
      <c r="AP26" t="str">
        <f>IF(HR_Data[[#This Row],[WorkLifeBalance]]=1,"Bad",IF(HR_Data[[#This Row],[WorkLifeBalance]]=2,"Good",IF(HR_Data[[#This Row],[WorkLifeBalance]]=3,"Better","Best")))</f>
        <v>Better</v>
      </c>
    </row>
    <row r="27" spans="1:42"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IF(HR_Data[[#This Row],[Attrition]]="Yes",1,0)</f>
        <v>0</v>
      </c>
      <c r="AK27">
        <f>IF(HR_Data[[#This Row],[Attrition]]="No",1,0)</f>
        <v>1</v>
      </c>
      <c r="AL27" t="str">
        <f>IF(HR_Data[[#This Row],[Age]]&lt;25,"Under 25",IF(HR_Data[[#This Row],[Age]]&lt;=34,"25-34",IF(HR_Data[[#This Row],[Age]]&lt;=44,"35-44",IF(HR_Data[[#This Row],[Age]]&lt;=54,"45-54","55+"))))</f>
        <v>45-54</v>
      </c>
      <c r="AM27" t="str">
        <f>IF(HR_Data[[#This Row],[MonthlyIncome]]&lt;3000,"Low Salary",IF(HR_Data[[#This Row],[MonthlyIncome]]&lt;=7000,"Medium Salary","High Salary"))</f>
        <v>High Salary</v>
      </c>
      <c r="AN27" t="str">
        <f>IF(HR_Data[[#This Row],[YearsAtCompany]]&lt;2,"0-1 Years",IF(HR_Data[[#This Row],[YearsAtCompany]]&lt;=5,"2-5 Years",IF(HR_Data[[#This Row],[YearsAtCompany]]&lt;=10,"6-10 Years","10+ Years")))</f>
        <v>10+ Years</v>
      </c>
      <c r="AO27" t="str">
        <f>IF(HR_Data[[#This Row],[JobSatisfaction]]=1,"Low",IF(HR_Data[[#This Row],[JobSatisfaction]]=2,"Medium",IF(HR_Data[[#This Row],[JobSatisfaction]]=3,"High","Very High")))</f>
        <v>High</v>
      </c>
      <c r="AP27" t="str">
        <f>IF(HR_Data[[#This Row],[WorkLifeBalance]]=1,"Bad",IF(HR_Data[[#This Row],[WorkLifeBalance]]=2,"Good",IF(HR_Data[[#This Row],[WorkLifeBalance]]=3,"Better","Best")))</f>
        <v>Good</v>
      </c>
    </row>
    <row r="28" spans="1:42"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IF(HR_Data[[#This Row],[Attrition]]="Yes",1,0)</f>
        <v>1</v>
      </c>
      <c r="AK28">
        <f>IF(HR_Data[[#This Row],[Attrition]]="No",1,0)</f>
        <v>0</v>
      </c>
      <c r="AL28" t="str">
        <f>IF(HR_Data[[#This Row],[Age]]&lt;25,"Under 25",IF(HR_Data[[#This Row],[Age]]&lt;=34,"25-34",IF(HR_Data[[#This Row],[Age]]&lt;=44,"35-44",IF(HR_Data[[#This Row],[Age]]&lt;=54,"45-54","55+"))))</f>
        <v>25-34</v>
      </c>
      <c r="AM28" t="str">
        <f>IF(HR_Data[[#This Row],[MonthlyIncome]]&lt;3000,"Low Salary",IF(HR_Data[[#This Row],[MonthlyIncome]]&lt;=7000,"Medium Salary","High Salary"))</f>
        <v>Medium Salary</v>
      </c>
      <c r="AN28" t="str">
        <f>IF(HR_Data[[#This Row],[YearsAtCompany]]&lt;2,"0-1 Years",IF(HR_Data[[#This Row],[YearsAtCompany]]&lt;=5,"2-5 Years",IF(HR_Data[[#This Row],[YearsAtCompany]]&lt;=10,"6-10 Years","10+ Years")))</f>
        <v>6-10 Years</v>
      </c>
      <c r="AO28" t="str">
        <f>IF(HR_Data[[#This Row],[JobSatisfaction]]=1,"Low",IF(HR_Data[[#This Row],[JobSatisfaction]]=2,"Medium",IF(HR_Data[[#This Row],[JobSatisfaction]]=3,"High","Very High")))</f>
        <v>Low</v>
      </c>
      <c r="AP28" t="str">
        <f>IF(HR_Data[[#This Row],[WorkLifeBalance]]=1,"Bad",IF(HR_Data[[#This Row],[WorkLifeBalance]]=2,"Good",IF(HR_Data[[#This Row],[WorkLifeBalance]]=3,"Better","Best")))</f>
        <v>Better</v>
      </c>
    </row>
    <row r="29" spans="1:42"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IF(HR_Data[[#This Row],[Attrition]]="Yes",1,0)</f>
        <v>0</v>
      </c>
      <c r="AK29">
        <f>IF(HR_Data[[#This Row],[Attrition]]="No",1,0)</f>
        <v>1</v>
      </c>
      <c r="AL29" t="str">
        <f>IF(HR_Data[[#This Row],[Age]]&lt;25,"Under 25",IF(HR_Data[[#This Row],[Age]]&lt;=34,"25-34",IF(HR_Data[[#This Row],[Age]]&lt;=44,"35-44",IF(HR_Data[[#This Row],[Age]]&lt;=54,"45-54","55+"))))</f>
        <v>35-44</v>
      </c>
      <c r="AM29" t="str">
        <f>IF(HR_Data[[#This Row],[MonthlyIncome]]&lt;3000,"Low Salary",IF(HR_Data[[#This Row],[MonthlyIncome]]&lt;=7000,"Medium Salary","High Salary"))</f>
        <v>Medium Salary</v>
      </c>
      <c r="AN29" t="str">
        <f>IF(HR_Data[[#This Row],[YearsAtCompany]]&lt;2,"0-1 Years",IF(HR_Data[[#This Row],[YearsAtCompany]]&lt;=5,"2-5 Years",IF(HR_Data[[#This Row],[YearsAtCompany]]&lt;=10,"6-10 Years","10+ Years")))</f>
        <v>6-10 Years</v>
      </c>
      <c r="AO29" t="str">
        <f>IF(HR_Data[[#This Row],[JobSatisfaction]]=1,"Low",IF(HR_Data[[#This Row],[JobSatisfaction]]=2,"Medium",IF(HR_Data[[#This Row],[JobSatisfaction]]=3,"High","Very High")))</f>
        <v>Medium</v>
      </c>
      <c r="AP29" t="str">
        <f>IF(HR_Data[[#This Row],[WorkLifeBalance]]=1,"Bad",IF(HR_Data[[#This Row],[WorkLifeBalance]]=2,"Good",IF(HR_Data[[#This Row],[WorkLifeBalance]]=3,"Better","Best")))</f>
        <v>Better</v>
      </c>
    </row>
    <row r="30" spans="1:42"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IF(HR_Data[[#This Row],[Attrition]]="Yes",1,0)</f>
        <v>0</v>
      </c>
      <c r="AK30">
        <f>IF(HR_Data[[#This Row],[Attrition]]="No",1,0)</f>
        <v>1</v>
      </c>
      <c r="AL30" t="str">
        <f>IF(HR_Data[[#This Row],[Age]]&lt;25,"Under 25",IF(HR_Data[[#This Row],[Age]]&lt;=34,"25-34",IF(HR_Data[[#This Row],[Age]]&lt;=44,"35-44",IF(HR_Data[[#This Row],[Age]]&lt;=54,"45-54","55+"))))</f>
        <v>35-44</v>
      </c>
      <c r="AM30" t="str">
        <f>IF(HR_Data[[#This Row],[MonthlyIncome]]&lt;3000,"Low Salary",IF(HR_Data[[#This Row],[MonthlyIncome]]&lt;=7000,"Medium Salary","High Salary"))</f>
        <v>High Salary</v>
      </c>
      <c r="AN30" t="str">
        <f>IF(HR_Data[[#This Row],[YearsAtCompany]]&lt;2,"0-1 Years",IF(HR_Data[[#This Row],[YearsAtCompany]]&lt;=5,"2-5 Years",IF(HR_Data[[#This Row],[YearsAtCompany]]&lt;=10,"6-10 Years","10+ Years")))</f>
        <v>10+ Years</v>
      </c>
      <c r="AO30" t="str">
        <f>IF(HR_Data[[#This Row],[JobSatisfaction]]=1,"Low",IF(HR_Data[[#This Row],[JobSatisfaction]]=2,"Medium",IF(HR_Data[[#This Row],[JobSatisfaction]]=3,"High","Very High")))</f>
        <v>Very High</v>
      </c>
      <c r="AP30" t="str">
        <f>IF(HR_Data[[#This Row],[WorkLifeBalance]]=1,"Bad",IF(HR_Data[[#This Row],[WorkLifeBalance]]=2,"Good",IF(HR_Data[[#This Row],[WorkLifeBalance]]=3,"Better","Best")))</f>
        <v>Better</v>
      </c>
    </row>
    <row r="31" spans="1:42"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IF(HR_Data[[#This Row],[Attrition]]="Yes",1,0)</f>
        <v>0</v>
      </c>
      <c r="AK31">
        <f>IF(HR_Data[[#This Row],[Attrition]]="No",1,0)</f>
        <v>1</v>
      </c>
      <c r="AL31" t="str">
        <f>IF(HR_Data[[#This Row],[Age]]&lt;25,"Under 25",IF(HR_Data[[#This Row],[Age]]&lt;=34,"25-34",IF(HR_Data[[#This Row],[Age]]&lt;=44,"35-44",IF(HR_Data[[#This Row],[Age]]&lt;=54,"45-54","55+"))))</f>
        <v>45-54</v>
      </c>
      <c r="AM31" t="str">
        <f>IF(HR_Data[[#This Row],[MonthlyIncome]]&lt;3000,"Low Salary",IF(HR_Data[[#This Row],[MonthlyIncome]]&lt;=7000,"Medium Salary","High Salary"))</f>
        <v>High Salary</v>
      </c>
      <c r="AN31" t="str">
        <f>IF(HR_Data[[#This Row],[YearsAtCompany]]&lt;2,"0-1 Years",IF(HR_Data[[#This Row],[YearsAtCompany]]&lt;=5,"2-5 Years",IF(HR_Data[[#This Row],[YearsAtCompany]]&lt;=10,"6-10 Years","10+ Years")))</f>
        <v>2-5 Years</v>
      </c>
      <c r="AO31" t="str">
        <f>IF(HR_Data[[#This Row],[JobSatisfaction]]=1,"Low",IF(HR_Data[[#This Row],[JobSatisfaction]]=2,"Medium",IF(HR_Data[[#This Row],[JobSatisfaction]]=3,"High","Very High")))</f>
        <v>Low</v>
      </c>
      <c r="AP31" t="str">
        <f>IF(HR_Data[[#This Row],[WorkLifeBalance]]=1,"Bad",IF(HR_Data[[#This Row],[WorkLifeBalance]]=2,"Good",IF(HR_Data[[#This Row],[WorkLifeBalance]]=3,"Better","Best")))</f>
        <v>Good</v>
      </c>
    </row>
    <row r="32" spans="1:42"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IF(HR_Data[[#This Row],[Attrition]]="Yes",1,0)</f>
        <v>0</v>
      </c>
      <c r="AK32">
        <f>IF(HR_Data[[#This Row],[Attrition]]="No",1,0)</f>
        <v>1</v>
      </c>
      <c r="AL32" t="str">
        <f>IF(HR_Data[[#This Row],[Age]]&lt;25,"Under 25",IF(HR_Data[[#This Row],[Age]]&lt;=34,"25-34",IF(HR_Data[[#This Row],[Age]]&lt;=44,"35-44",IF(HR_Data[[#This Row],[Age]]&lt;=54,"45-54","55+"))))</f>
        <v>25-34</v>
      </c>
      <c r="AM32" t="str">
        <f>IF(HR_Data[[#This Row],[MonthlyIncome]]&lt;3000,"Low Salary",IF(HR_Data[[#This Row],[MonthlyIncome]]&lt;=7000,"Medium Salary","High Salary"))</f>
        <v>Low Salary</v>
      </c>
      <c r="AN32" t="str">
        <f>IF(HR_Data[[#This Row],[YearsAtCompany]]&lt;2,"0-1 Years",IF(HR_Data[[#This Row],[YearsAtCompany]]&lt;=5,"2-5 Years",IF(HR_Data[[#This Row],[YearsAtCompany]]&lt;=10,"6-10 Years","10+ Years")))</f>
        <v>0-1 Years</v>
      </c>
      <c r="AO32" t="str">
        <f>IF(HR_Data[[#This Row],[JobSatisfaction]]=1,"Low",IF(HR_Data[[#This Row],[JobSatisfaction]]=2,"Medium",IF(HR_Data[[#This Row],[JobSatisfaction]]=3,"High","Very High")))</f>
        <v>Very High</v>
      </c>
      <c r="AP32" t="str">
        <f>IF(HR_Data[[#This Row],[WorkLifeBalance]]=1,"Bad",IF(HR_Data[[#This Row],[WorkLifeBalance]]=2,"Good",IF(HR_Data[[#This Row],[WorkLifeBalance]]=3,"Better","Best")))</f>
        <v>Better</v>
      </c>
    </row>
    <row r="33" spans="1:42"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IF(HR_Data[[#This Row],[Attrition]]="Yes",1,0)</f>
        <v>0</v>
      </c>
      <c r="AK33">
        <f>IF(HR_Data[[#This Row],[Attrition]]="No",1,0)</f>
        <v>1</v>
      </c>
      <c r="AL33" t="str">
        <f>IF(HR_Data[[#This Row],[Age]]&lt;25,"Under 25",IF(HR_Data[[#This Row],[Age]]&lt;=34,"25-34",IF(HR_Data[[#This Row],[Age]]&lt;=44,"35-44",IF(HR_Data[[#This Row],[Age]]&lt;=54,"45-54","55+"))))</f>
        <v>35-44</v>
      </c>
      <c r="AM33" t="str">
        <f>IF(HR_Data[[#This Row],[MonthlyIncome]]&lt;3000,"Low Salary",IF(HR_Data[[#This Row],[MonthlyIncome]]&lt;=7000,"Medium Salary","High Salary"))</f>
        <v>Medium Salary</v>
      </c>
      <c r="AN33" t="str">
        <f>IF(HR_Data[[#This Row],[YearsAtCompany]]&lt;2,"0-1 Years",IF(HR_Data[[#This Row],[YearsAtCompany]]&lt;=5,"2-5 Years",IF(HR_Data[[#This Row],[YearsAtCompany]]&lt;=10,"6-10 Years","10+ Years")))</f>
        <v>2-5 Years</v>
      </c>
      <c r="AO33" t="str">
        <f>IF(HR_Data[[#This Row],[JobSatisfaction]]=1,"Low",IF(HR_Data[[#This Row],[JobSatisfaction]]=2,"Medium",IF(HR_Data[[#This Row],[JobSatisfaction]]=3,"High","Very High")))</f>
        <v>Very High</v>
      </c>
      <c r="AP33" t="str">
        <f>IF(HR_Data[[#This Row],[WorkLifeBalance]]=1,"Bad",IF(HR_Data[[#This Row],[WorkLifeBalance]]=2,"Good",IF(HR_Data[[#This Row],[WorkLifeBalance]]=3,"Better","Best")))</f>
        <v>Best</v>
      </c>
    </row>
    <row r="34" spans="1:42"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IF(HR_Data[[#This Row],[Attrition]]="Yes",1,0)</f>
        <v>0</v>
      </c>
      <c r="AK34">
        <f>IF(HR_Data[[#This Row],[Attrition]]="No",1,0)</f>
        <v>1</v>
      </c>
      <c r="AL34" t="str">
        <f>IF(HR_Data[[#This Row],[Age]]&lt;25,"Under 25",IF(HR_Data[[#This Row],[Age]]&lt;=34,"25-34",IF(HR_Data[[#This Row],[Age]]&lt;=44,"35-44",IF(HR_Data[[#This Row],[Age]]&lt;=54,"45-54","55+"))))</f>
        <v>25-34</v>
      </c>
      <c r="AM34" t="str">
        <f>IF(HR_Data[[#This Row],[MonthlyIncome]]&lt;3000,"Low Salary",IF(HR_Data[[#This Row],[MonthlyIncome]]&lt;=7000,"Medium Salary","High Salary"))</f>
        <v>Low Salary</v>
      </c>
      <c r="AN34" t="str">
        <f>IF(HR_Data[[#This Row],[YearsAtCompany]]&lt;2,"0-1 Years",IF(HR_Data[[#This Row],[YearsAtCompany]]&lt;=5,"2-5 Years",IF(HR_Data[[#This Row],[YearsAtCompany]]&lt;=10,"6-10 Years","10+ Years")))</f>
        <v>6-10 Years</v>
      </c>
      <c r="AO34" t="str">
        <f>IF(HR_Data[[#This Row],[JobSatisfaction]]=1,"Low",IF(HR_Data[[#This Row],[JobSatisfaction]]=2,"Medium",IF(HR_Data[[#This Row],[JobSatisfaction]]=3,"High","Very High")))</f>
        <v>High</v>
      </c>
      <c r="AP34" t="str">
        <f>IF(HR_Data[[#This Row],[WorkLifeBalance]]=1,"Bad",IF(HR_Data[[#This Row],[WorkLifeBalance]]=2,"Good",IF(HR_Data[[#This Row],[WorkLifeBalance]]=3,"Better","Best")))</f>
        <v>Better</v>
      </c>
    </row>
    <row r="35" spans="1:42"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IF(HR_Data[[#This Row],[Attrition]]="Yes",1,0)</f>
        <v>1</v>
      </c>
      <c r="AK35">
        <f>IF(HR_Data[[#This Row],[Attrition]]="No",1,0)</f>
        <v>0</v>
      </c>
      <c r="AL35" t="str">
        <f>IF(HR_Data[[#This Row],[Age]]&lt;25,"Under 25",IF(HR_Data[[#This Row],[Age]]&lt;=34,"25-34",IF(HR_Data[[#This Row],[Age]]&lt;=44,"35-44",IF(HR_Data[[#This Row],[Age]]&lt;=54,"45-54","55+"))))</f>
        <v>35-44</v>
      </c>
      <c r="AM35" t="str">
        <f>IF(HR_Data[[#This Row],[MonthlyIncome]]&lt;3000,"Low Salary",IF(HR_Data[[#This Row],[MonthlyIncome]]&lt;=7000,"Medium Salary","High Salary"))</f>
        <v>Low Salary</v>
      </c>
      <c r="AN35" t="str">
        <f>IF(HR_Data[[#This Row],[YearsAtCompany]]&lt;2,"0-1 Years",IF(HR_Data[[#This Row],[YearsAtCompany]]&lt;=5,"2-5 Years",IF(HR_Data[[#This Row],[YearsAtCompany]]&lt;=10,"6-10 Years","10+ Years")))</f>
        <v>0-1 Years</v>
      </c>
      <c r="AO35" t="str">
        <f>IF(HR_Data[[#This Row],[JobSatisfaction]]=1,"Low",IF(HR_Data[[#This Row],[JobSatisfaction]]=2,"Medium",IF(HR_Data[[#This Row],[JobSatisfaction]]=3,"High","Very High")))</f>
        <v>Very High</v>
      </c>
      <c r="AP35" t="str">
        <f>IF(HR_Data[[#This Row],[WorkLifeBalance]]=1,"Bad",IF(HR_Data[[#This Row],[WorkLifeBalance]]=2,"Good",IF(HR_Data[[#This Row],[WorkLifeBalance]]=3,"Better","Best")))</f>
        <v>Best</v>
      </c>
    </row>
    <row r="36" spans="1:42"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IF(HR_Data[[#This Row],[Attrition]]="Yes",1,0)</f>
        <v>1</v>
      </c>
      <c r="AK36">
        <f>IF(HR_Data[[#This Row],[Attrition]]="No",1,0)</f>
        <v>0</v>
      </c>
      <c r="AL36" t="str">
        <f>IF(HR_Data[[#This Row],[Age]]&lt;25,"Under 25",IF(HR_Data[[#This Row],[Age]]&lt;=34,"25-34",IF(HR_Data[[#This Row],[Age]]&lt;=44,"35-44",IF(HR_Data[[#This Row],[Age]]&lt;=54,"45-54","55+"))))</f>
        <v>Under 25</v>
      </c>
      <c r="AM36" t="str">
        <f>IF(HR_Data[[#This Row],[MonthlyIncome]]&lt;3000,"Low Salary",IF(HR_Data[[#This Row],[MonthlyIncome]]&lt;=7000,"Medium Salary","High Salary"))</f>
        <v>Low Salary</v>
      </c>
      <c r="AN36" t="str">
        <f>IF(HR_Data[[#This Row],[YearsAtCompany]]&lt;2,"0-1 Years",IF(HR_Data[[#This Row],[YearsAtCompany]]&lt;=5,"2-5 Years",IF(HR_Data[[#This Row],[YearsAtCompany]]&lt;=10,"6-10 Years","10+ Years")))</f>
        <v>2-5 Years</v>
      </c>
      <c r="AO36" t="str">
        <f>IF(HR_Data[[#This Row],[JobSatisfaction]]=1,"Low",IF(HR_Data[[#This Row],[JobSatisfaction]]=2,"Medium",IF(HR_Data[[#This Row],[JobSatisfaction]]=3,"High","Very High")))</f>
        <v>Very High</v>
      </c>
      <c r="AP36" t="str">
        <f>IF(HR_Data[[#This Row],[WorkLifeBalance]]=1,"Bad",IF(HR_Data[[#This Row],[WorkLifeBalance]]=2,"Good",IF(HR_Data[[#This Row],[WorkLifeBalance]]=3,"Better","Best")))</f>
        <v>Good</v>
      </c>
    </row>
    <row r="37" spans="1:42"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IF(HR_Data[[#This Row],[Attrition]]="Yes",1,0)</f>
        <v>0</v>
      </c>
      <c r="AK37">
        <f>IF(HR_Data[[#This Row],[Attrition]]="No",1,0)</f>
        <v>1</v>
      </c>
      <c r="AL37" t="str">
        <f>IF(HR_Data[[#This Row],[Age]]&lt;25,"Under 25",IF(HR_Data[[#This Row],[Age]]&lt;=34,"25-34",IF(HR_Data[[#This Row],[Age]]&lt;=44,"35-44",IF(HR_Data[[#This Row],[Age]]&lt;=54,"45-54","55+"))))</f>
        <v>35-44</v>
      </c>
      <c r="AM37" t="str">
        <f>IF(HR_Data[[#This Row],[MonthlyIncome]]&lt;3000,"Low Salary",IF(HR_Data[[#This Row],[MonthlyIncome]]&lt;=7000,"Medium Salary","High Salary"))</f>
        <v>Low Salary</v>
      </c>
      <c r="AN37" t="str">
        <f>IF(HR_Data[[#This Row],[YearsAtCompany]]&lt;2,"0-1 Years",IF(HR_Data[[#This Row],[YearsAtCompany]]&lt;=5,"2-5 Years",IF(HR_Data[[#This Row],[YearsAtCompany]]&lt;=10,"6-10 Years","10+ Years")))</f>
        <v>2-5 Years</v>
      </c>
      <c r="AO37" t="str">
        <f>IF(HR_Data[[#This Row],[JobSatisfaction]]=1,"Low",IF(HR_Data[[#This Row],[JobSatisfaction]]=2,"Medium",IF(HR_Data[[#This Row],[JobSatisfaction]]=3,"High","Very High")))</f>
        <v>High</v>
      </c>
      <c r="AP37" t="str">
        <f>IF(HR_Data[[#This Row],[WorkLifeBalance]]=1,"Bad",IF(HR_Data[[#This Row],[WorkLifeBalance]]=2,"Good",IF(HR_Data[[#This Row],[WorkLifeBalance]]=3,"Better","Best")))</f>
        <v>Good</v>
      </c>
    </row>
    <row r="38" spans="1:42"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IF(HR_Data[[#This Row],[Attrition]]="Yes",1,0)</f>
        <v>1</v>
      </c>
      <c r="AK38">
        <f>IF(HR_Data[[#This Row],[Attrition]]="No",1,0)</f>
        <v>0</v>
      </c>
      <c r="AL38" t="str">
        <f>IF(HR_Data[[#This Row],[Age]]&lt;25,"Under 25",IF(HR_Data[[#This Row],[Age]]&lt;=34,"25-34",IF(HR_Data[[#This Row],[Age]]&lt;=44,"35-44",IF(HR_Data[[#This Row],[Age]]&lt;=54,"45-54","55+"))))</f>
        <v>45-54</v>
      </c>
      <c r="AM38" t="str">
        <f>IF(HR_Data[[#This Row],[MonthlyIncome]]&lt;3000,"Low Salary",IF(HR_Data[[#This Row],[MonthlyIncome]]&lt;=7000,"Medium Salary","High Salary"))</f>
        <v>Low Salary</v>
      </c>
      <c r="AN38" t="str">
        <f>IF(HR_Data[[#This Row],[YearsAtCompany]]&lt;2,"0-1 Years",IF(HR_Data[[#This Row],[YearsAtCompany]]&lt;=5,"2-5 Years",IF(HR_Data[[#This Row],[YearsAtCompany]]&lt;=10,"6-10 Years","10+ Years")))</f>
        <v>2-5 Years</v>
      </c>
      <c r="AO38" t="str">
        <f>IF(HR_Data[[#This Row],[JobSatisfaction]]=1,"Low",IF(HR_Data[[#This Row],[JobSatisfaction]]=2,"Medium",IF(HR_Data[[#This Row],[JobSatisfaction]]=3,"High","Very High")))</f>
        <v>High</v>
      </c>
      <c r="AP38" t="str">
        <f>IF(HR_Data[[#This Row],[WorkLifeBalance]]=1,"Bad",IF(HR_Data[[#This Row],[WorkLifeBalance]]=2,"Good",IF(HR_Data[[#This Row],[WorkLifeBalance]]=3,"Better","Best")))</f>
        <v>Better</v>
      </c>
    </row>
    <row r="39" spans="1:42"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IF(HR_Data[[#This Row],[Attrition]]="Yes",1,0)</f>
        <v>0</v>
      </c>
      <c r="AK39">
        <f>IF(HR_Data[[#This Row],[Attrition]]="No",1,0)</f>
        <v>1</v>
      </c>
      <c r="AL39" t="str">
        <f>IF(HR_Data[[#This Row],[Age]]&lt;25,"Under 25",IF(HR_Data[[#This Row],[Age]]&lt;=34,"25-34",IF(HR_Data[[#This Row],[Age]]&lt;=44,"35-44",IF(HR_Data[[#This Row],[Age]]&lt;=54,"45-54","55+"))))</f>
        <v>35-44</v>
      </c>
      <c r="AM39" t="str">
        <f>IF(HR_Data[[#This Row],[MonthlyIncome]]&lt;3000,"Low Salary",IF(HR_Data[[#This Row],[MonthlyIncome]]&lt;=7000,"Medium Salary","High Salary"))</f>
        <v>Low Salary</v>
      </c>
      <c r="AN39" t="str">
        <f>IF(HR_Data[[#This Row],[YearsAtCompany]]&lt;2,"0-1 Years",IF(HR_Data[[#This Row],[YearsAtCompany]]&lt;=5,"2-5 Years",IF(HR_Data[[#This Row],[YearsAtCompany]]&lt;=10,"6-10 Years","10+ Years")))</f>
        <v>2-5 Years</v>
      </c>
      <c r="AO39" t="str">
        <f>IF(HR_Data[[#This Row],[JobSatisfaction]]=1,"Low",IF(HR_Data[[#This Row],[JobSatisfaction]]=2,"Medium",IF(HR_Data[[#This Row],[JobSatisfaction]]=3,"High","Very High")))</f>
        <v>Very High</v>
      </c>
      <c r="AP39" t="str">
        <f>IF(HR_Data[[#This Row],[WorkLifeBalance]]=1,"Bad",IF(HR_Data[[#This Row],[WorkLifeBalance]]=2,"Good",IF(HR_Data[[#This Row],[WorkLifeBalance]]=3,"Better","Best")))</f>
        <v>Better</v>
      </c>
    </row>
    <row r="40" spans="1:42"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IF(HR_Data[[#This Row],[Attrition]]="Yes",1,0)</f>
        <v>0</v>
      </c>
      <c r="AK40">
        <f>IF(HR_Data[[#This Row],[Attrition]]="No",1,0)</f>
        <v>1</v>
      </c>
      <c r="AL40" t="str">
        <f>IF(HR_Data[[#This Row],[Age]]&lt;25,"Under 25",IF(HR_Data[[#This Row],[Age]]&lt;=34,"25-34",IF(HR_Data[[#This Row],[Age]]&lt;=44,"35-44",IF(HR_Data[[#This Row],[Age]]&lt;=54,"45-54","55+"))))</f>
        <v>35-44</v>
      </c>
      <c r="AM40" t="str">
        <f>IF(HR_Data[[#This Row],[MonthlyIncome]]&lt;3000,"Low Salary",IF(HR_Data[[#This Row],[MonthlyIncome]]&lt;=7000,"Medium Salary","High Salary"))</f>
        <v>Medium Salary</v>
      </c>
      <c r="AN40" t="str">
        <f>IF(HR_Data[[#This Row],[YearsAtCompany]]&lt;2,"0-1 Years",IF(HR_Data[[#This Row],[YearsAtCompany]]&lt;=5,"2-5 Years",IF(HR_Data[[#This Row],[YearsAtCompany]]&lt;=10,"6-10 Years","10+ Years")))</f>
        <v>0-1 Years</v>
      </c>
      <c r="AO40" t="str">
        <f>IF(HR_Data[[#This Row],[JobSatisfaction]]=1,"Low",IF(HR_Data[[#This Row],[JobSatisfaction]]=2,"Medium",IF(HR_Data[[#This Row],[JobSatisfaction]]=3,"High","Very High")))</f>
        <v>Low</v>
      </c>
      <c r="AP40" t="str">
        <f>IF(HR_Data[[#This Row],[WorkLifeBalance]]=1,"Bad",IF(HR_Data[[#This Row],[WorkLifeBalance]]=2,"Good",IF(HR_Data[[#This Row],[WorkLifeBalance]]=3,"Better","Best")))</f>
        <v>Best</v>
      </c>
    </row>
    <row r="41" spans="1:42"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IF(HR_Data[[#This Row],[Attrition]]="Yes",1,0)</f>
        <v>0</v>
      </c>
      <c r="AK41">
        <f>IF(HR_Data[[#This Row],[Attrition]]="No",1,0)</f>
        <v>1</v>
      </c>
      <c r="AL41" t="str">
        <f>IF(HR_Data[[#This Row],[Age]]&lt;25,"Under 25",IF(HR_Data[[#This Row],[Age]]&lt;=34,"25-34",IF(HR_Data[[#This Row],[Age]]&lt;=44,"35-44",IF(HR_Data[[#This Row],[Age]]&lt;=54,"45-54","55+"))))</f>
        <v>25-34</v>
      </c>
      <c r="AM41" t="str">
        <f>IF(HR_Data[[#This Row],[MonthlyIncome]]&lt;3000,"Low Salary",IF(HR_Data[[#This Row],[MonthlyIncome]]&lt;=7000,"Medium Salary","High Salary"))</f>
        <v>Medium Salary</v>
      </c>
      <c r="AN41" t="str">
        <f>IF(HR_Data[[#This Row],[YearsAtCompany]]&lt;2,"0-1 Years",IF(HR_Data[[#This Row],[YearsAtCompany]]&lt;=5,"2-5 Years",IF(HR_Data[[#This Row],[YearsAtCompany]]&lt;=10,"6-10 Years","10+ Years")))</f>
        <v>2-5 Years</v>
      </c>
      <c r="AO41" t="str">
        <f>IF(HR_Data[[#This Row],[JobSatisfaction]]=1,"Low",IF(HR_Data[[#This Row],[JobSatisfaction]]=2,"Medium",IF(HR_Data[[#This Row],[JobSatisfaction]]=3,"High","Very High")))</f>
        <v>Low</v>
      </c>
      <c r="AP41" t="str">
        <f>IF(HR_Data[[#This Row],[WorkLifeBalance]]=1,"Bad",IF(HR_Data[[#This Row],[WorkLifeBalance]]=2,"Good",IF(HR_Data[[#This Row],[WorkLifeBalance]]=3,"Better","Best")))</f>
        <v>Better</v>
      </c>
    </row>
    <row r="42" spans="1:42"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IF(HR_Data[[#This Row],[Attrition]]="Yes",1,0)</f>
        <v>0</v>
      </c>
      <c r="AK42">
        <f>IF(HR_Data[[#This Row],[Attrition]]="No",1,0)</f>
        <v>1</v>
      </c>
      <c r="AL42" t="str">
        <f>IF(HR_Data[[#This Row],[Age]]&lt;25,"Under 25",IF(HR_Data[[#This Row],[Age]]&lt;=34,"25-34",IF(HR_Data[[#This Row],[Age]]&lt;=44,"35-44",IF(HR_Data[[#This Row],[Age]]&lt;=54,"45-54","55+"))))</f>
        <v>35-44</v>
      </c>
      <c r="AM42" t="str">
        <f>IF(HR_Data[[#This Row],[MonthlyIncome]]&lt;3000,"Low Salary",IF(HR_Data[[#This Row],[MonthlyIncome]]&lt;=7000,"Medium Salary","High Salary"))</f>
        <v>Low Salary</v>
      </c>
      <c r="AN42" t="str">
        <f>IF(HR_Data[[#This Row],[YearsAtCompany]]&lt;2,"0-1 Years",IF(HR_Data[[#This Row],[YearsAtCompany]]&lt;=5,"2-5 Years",IF(HR_Data[[#This Row],[YearsAtCompany]]&lt;=10,"6-10 Years","10+ Years")))</f>
        <v>0-1 Years</v>
      </c>
      <c r="AO42" t="str">
        <f>IF(HR_Data[[#This Row],[JobSatisfaction]]=1,"Low",IF(HR_Data[[#This Row],[JobSatisfaction]]=2,"Medium",IF(HR_Data[[#This Row],[JobSatisfaction]]=3,"High","Very High")))</f>
        <v>Very High</v>
      </c>
      <c r="AP42" t="str">
        <f>IF(HR_Data[[#This Row],[WorkLifeBalance]]=1,"Bad",IF(HR_Data[[#This Row],[WorkLifeBalance]]=2,"Good",IF(HR_Data[[#This Row],[WorkLifeBalance]]=3,"Better","Best")))</f>
        <v>Better</v>
      </c>
    </row>
    <row r="43" spans="1:42"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IF(HR_Data[[#This Row],[Attrition]]="Yes",1,0)</f>
        <v>0</v>
      </c>
      <c r="AK43">
        <f>IF(HR_Data[[#This Row],[Attrition]]="No",1,0)</f>
        <v>1</v>
      </c>
      <c r="AL43" t="str">
        <f>IF(HR_Data[[#This Row],[Age]]&lt;25,"Under 25",IF(HR_Data[[#This Row],[Age]]&lt;=34,"25-34",IF(HR_Data[[#This Row],[Age]]&lt;=44,"35-44",IF(HR_Data[[#This Row],[Age]]&lt;=54,"45-54","55+"))))</f>
        <v>25-34</v>
      </c>
      <c r="AM43" t="str">
        <f>IF(HR_Data[[#This Row],[MonthlyIncome]]&lt;3000,"Low Salary",IF(HR_Data[[#This Row],[MonthlyIncome]]&lt;=7000,"Medium Salary","High Salary"))</f>
        <v>Low Salary</v>
      </c>
      <c r="AN43" t="str">
        <f>IF(HR_Data[[#This Row],[YearsAtCompany]]&lt;2,"0-1 Years",IF(HR_Data[[#This Row],[YearsAtCompany]]&lt;=5,"2-5 Years",IF(HR_Data[[#This Row],[YearsAtCompany]]&lt;=10,"6-10 Years","10+ Years")))</f>
        <v>0-1 Years</v>
      </c>
      <c r="AO43" t="str">
        <f>IF(HR_Data[[#This Row],[JobSatisfaction]]=1,"Low",IF(HR_Data[[#This Row],[JobSatisfaction]]=2,"Medium",IF(HR_Data[[#This Row],[JobSatisfaction]]=3,"High","Very High")))</f>
        <v>Low</v>
      </c>
      <c r="AP43" t="str">
        <f>IF(HR_Data[[#This Row],[WorkLifeBalance]]=1,"Bad",IF(HR_Data[[#This Row],[WorkLifeBalance]]=2,"Good",IF(HR_Data[[#This Row],[WorkLifeBalance]]=3,"Better","Best")))</f>
        <v>Better</v>
      </c>
    </row>
    <row r="44" spans="1:42"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IF(HR_Data[[#This Row],[Attrition]]="Yes",1,0)</f>
        <v>1</v>
      </c>
      <c r="AK44">
        <f>IF(HR_Data[[#This Row],[Attrition]]="No",1,0)</f>
        <v>0</v>
      </c>
      <c r="AL44" t="str">
        <f>IF(HR_Data[[#This Row],[Age]]&lt;25,"Under 25",IF(HR_Data[[#This Row],[Age]]&lt;=34,"25-34",IF(HR_Data[[#This Row],[Age]]&lt;=44,"35-44",IF(HR_Data[[#This Row],[Age]]&lt;=54,"45-54","55+"))))</f>
        <v>25-34</v>
      </c>
      <c r="AM44" t="str">
        <f>IF(HR_Data[[#This Row],[MonthlyIncome]]&lt;3000,"Low Salary",IF(HR_Data[[#This Row],[MonthlyIncome]]&lt;=7000,"Medium Salary","High Salary"))</f>
        <v>Low Salary</v>
      </c>
      <c r="AN44" t="str">
        <f>IF(HR_Data[[#This Row],[YearsAtCompany]]&lt;2,"0-1 Years",IF(HR_Data[[#This Row],[YearsAtCompany]]&lt;=5,"2-5 Years",IF(HR_Data[[#This Row],[YearsAtCompany]]&lt;=10,"6-10 Years","10+ Years")))</f>
        <v>0-1 Years</v>
      </c>
      <c r="AO44" t="str">
        <f>IF(HR_Data[[#This Row],[JobSatisfaction]]=1,"Low",IF(HR_Data[[#This Row],[JobSatisfaction]]=2,"Medium",IF(HR_Data[[#This Row],[JobSatisfaction]]=3,"High","Very High")))</f>
        <v>High</v>
      </c>
      <c r="AP44" t="str">
        <f>IF(HR_Data[[#This Row],[WorkLifeBalance]]=1,"Bad",IF(HR_Data[[#This Row],[WorkLifeBalance]]=2,"Good",IF(HR_Data[[#This Row],[WorkLifeBalance]]=3,"Better","Best")))</f>
        <v>Good</v>
      </c>
    </row>
    <row r="45" spans="1:42"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IF(HR_Data[[#This Row],[Attrition]]="Yes",1,0)</f>
        <v>0</v>
      </c>
      <c r="AK45">
        <f>IF(HR_Data[[#This Row],[Attrition]]="No",1,0)</f>
        <v>1</v>
      </c>
      <c r="AL45" t="str">
        <f>IF(HR_Data[[#This Row],[Age]]&lt;25,"Under 25",IF(HR_Data[[#This Row],[Age]]&lt;=34,"25-34",IF(HR_Data[[#This Row],[Age]]&lt;=44,"35-44",IF(HR_Data[[#This Row],[Age]]&lt;=54,"45-54","55+"))))</f>
        <v>25-34</v>
      </c>
      <c r="AM45" t="str">
        <f>IF(HR_Data[[#This Row],[MonthlyIncome]]&lt;3000,"Low Salary",IF(HR_Data[[#This Row],[MonthlyIncome]]&lt;=7000,"Medium Salary","High Salary"))</f>
        <v>High Salary</v>
      </c>
      <c r="AN45" t="str">
        <f>IF(HR_Data[[#This Row],[YearsAtCompany]]&lt;2,"0-1 Years",IF(HR_Data[[#This Row],[YearsAtCompany]]&lt;=5,"2-5 Years",IF(HR_Data[[#This Row],[YearsAtCompany]]&lt;=10,"6-10 Years","10+ Years")))</f>
        <v>6-10 Years</v>
      </c>
      <c r="AO45" t="str">
        <f>IF(HR_Data[[#This Row],[JobSatisfaction]]=1,"Low",IF(HR_Data[[#This Row],[JobSatisfaction]]=2,"Medium",IF(HR_Data[[#This Row],[JobSatisfaction]]=3,"High","Very High")))</f>
        <v>High</v>
      </c>
      <c r="AP45" t="str">
        <f>IF(HR_Data[[#This Row],[WorkLifeBalance]]=1,"Bad",IF(HR_Data[[#This Row],[WorkLifeBalance]]=2,"Good",IF(HR_Data[[#This Row],[WorkLifeBalance]]=3,"Better","Best")))</f>
        <v>Better</v>
      </c>
    </row>
    <row r="46" spans="1:42"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IF(HR_Data[[#This Row],[Attrition]]="Yes",1,0)</f>
        <v>0</v>
      </c>
      <c r="AK46">
        <f>IF(HR_Data[[#This Row],[Attrition]]="No",1,0)</f>
        <v>1</v>
      </c>
      <c r="AL46" t="str">
        <f>IF(HR_Data[[#This Row],[Age]]&lt;25,"Under 25",IF(HR_Data[[#This Row],[Age]]&lt;=34,"25-34",IF(HR_Data[[#This Row],[Age]]&lt;=44,"35-44",IF(HR_Data[[#This Row],[Age]]&lt;=54,"45-54","55+"))))</f>
        <v>25-34</v>
      </c>
      <c r="AM46" t="str">
        <f>IF(HR_Data[[#This Row],[MonthlyIncome]]&lt;3000,"Low Salary",IF(HR_Data[[#This Row],[MonthlyIncome]]&lt;=7000,"Medium Salary","High Salary"))</f>
        <v>Medium Salary</v>
      </c>
      <c r="AN46" t="str">
        <f>IF(HR_Data[[#This Row],[YearsAtCompany]]&lt;2,"0-1 Years",IF(HR_Data[[#This Row],[YearsAtCompany]]&lt;=5,"2-5 Years",IF(HR_Data[[#This Row],[YearsAtCompany]]&lt;=10,"6-10 Years","10+ Years")))</f>
        <v>10+ Years</v>
      </c>
      <c r="AO46" t="str">
        <f>IF(HR_Data[[#This Row],[JobSatisfaction]]=1,"Low",IF(HR_Data[[#This Row],[JobSatisfaction]]=2,"Medium",IF(HR_Data[[#This Row],[JobSatisfaction]]=3,"High","Very High")))</f>
        <v>Very High</v>
      </c>
      <c r="AP46" t="str">
        <f>IF(HR_Data[[#This Row],[WorkLifeBalance]]=1,"Bad",IF(HR_Data[[#This Row],[WorkLifeBalance]]=2,"Good",IF(HR_Data[[#This Row],[WorkLifeBalance]]=3,"Better","Best")))</f>
        <v>Better</v>
      </c>
    </row>
    <row r="47" spans="1:42"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IF(HR_Data[[#This Row],[Attrition]]="Yes",1,0)</f>
        <v>1</v>
      </c>
      <c r="AK47">
        <f>IF(HR_Data[[#This Row],[Attrition]]="No",1,0)</f>
        <v>0</v>
      </c>
      <c r="AL47" t="str">
        <f>IF(HR_Data[[#This Row],[Age]]&lt;25,"Under 25",IF(HR_Data[[#This Row],[Age]]&lt;=34,"25-34",IF(HR_Data[[#This Row],[Age]]&lt;=44,"35-44",IF(HR_Data[[#This Row],[Age]]&lt;=54,"45-54","55+"))))</f>
        <v>35-44</v>
      </c>
      <c r="AM47" t="str">
        <f>IF(HR_Data[[#This Row],[MonthlyIncome]]&lt;3000,"Low Salary",IF(HR_Data[[#This Row],[MonthlyIncome]]&lt;=7000,"Medium Salary","High Salary"))</f>
        <v>High Salary</v>
      </c>
      <c r="AN47" t="str">
        <f>IF(HR_Data[[#This Row],[YearsAtCompany]]&lt;2,"0-1 Years",IF(HR_Data[[#This Row],[YearsAtCompany]]&lt;=5,"2-5 Years",IF(HR_Data[[#This Row],[YearsAtCompany]]&lt;=10,"6-10 Years","10+ Years")))</f>
        <v>10+ Years</v>
      </c>
      <c r="AO47" t="str">
        <f>IF(HR_Data[[#This Row],[JobSatisfaction]]=1,"Low",IF(HR_Data[[#This Row],[JobSatisfaction]]=2,"Medium",IF(HR_Data[[#This Row],[JobSatisfaction]]=3,"High","Very High")))</f>
        <v>High</v>
      </c>
      <c r="AP47" t="str">
        <f>IF(HR_Data[[#This Row],[WorkLifeBalance]]=1,"Bad",IF(HR_Data[[#This Row],[WorkLifeBalance]]=2,"Good",IF(HR_Data[[#This Row],[WorkLifeBalance]]=3,"Better","Best")))</f>
        <v>Better</v>
      </c>
    </row>
    <row r="48" spans="1:42"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IF(HR_Data[[#This Row],[Attrition]]="Yes",1,0)</f>
        <v>0</v>
      </c>
      <c r="AK48">
        <f>IF(HR_Data[[#This Row],[Attrition]]="No",1,0)</f>
        <v>1</v>
      </c>
      <c r="AL48" t="str">
        <f>IF(HR_Data[[#This Row],[Age]]&lt;25,"Under 25",IF(HR_Data[[#This Row],[Age]]&lt;=34,"25-34",IF(HR_Data[[#This Row],[Age]]&lt;=44,"35-44",IF(HR_Data[[#This Row],[Age]]&lt;=54,"45-54","55+"))))</f>
        <v>25-34</v>
      </c>
      <c r="AM48" t="str">
        <f>IF(HR_Data[[#This Row],[MonthlyIncome]]&lt;3000,"Low Salary",IF(HR_Data[[#This Row],[MonthlyIncome]]&lt;=7000,"Medium Salary","High Salary"))</f>
        <v>Medium Salary</v>
      </c>
      <c r="AN48" t="str">
        <f>IF(HR_Data[[#This Row],[YearsAtCompany]]&lt;2,"0-1 Years",IF(HR_Data[[#This Row],[YearsAtCompany]]&lt;=5,"2-5 Years",IF(HR_Data[[#This Row],[YearsAtCompany]]&lt;=10,"6-10 Years","10+ Years")))</f>
        <v>6-10 Years</v>
      </c>
      <c r="AO48" t="str">
        <f>IF(HR_Data[[#This Row],[JobSatisfaction]]=1,"Low",IF(HR_Data[[#This Row],[JobSatisfaction]]=2,"Medium",IF(HR_Data[[#This Row],[JobSatisfaction]]=3,"High","Very High")))</f>
        <v>High</v>
      </c>
      <c r="AP48" t="str">
        <f>IF(HR_Data[[#This Row],[WorkLifeBalance]]=1,"Bad",IF(HR_Data[[#This Row],[WorkLifeBalance]]=2,"Good",IF(HR_Data[[#This Row],[WorkLifeBalance]]=3,"Better","Best")))</f>
        <v>Better</v>
      </c>
    </row>
    <row r="49" spans="1:42"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IF(HR_Data[[#This Row],[Attrition]]="Yes",1,0)</f>
        <v>0</v>
      </c>
      <c r="AK49">
        <f>IF(HR_Data[[#This Row],[Attrition]]="No",1,0)</f>
        <v>1</v>
      </c>
      <c r="AL49" t="str">
        <f>IF(HR_Data[[#This Row],[Age]]&lt;25,"Under 25",IF(HR_Data[[#This Row],[Age]]&lt;=34,"25-34",IF(HR_Data[[#This Row],[Age]]&lt;=44,"35-44",IF(HR_Data[[#This Row],[Age]]&lt;=54,"45-54","55+"))))</f>
        <v>35-44</v>
      </c>
      <c r="AM49" t="str">
        <f>IF(HR_Data[[#This Row],[MonthlyIncome]]&lt;3000,"Low Salary",IF(HR_Data[[#This Row],[MonthlyIncome]]&lt;=7000,"Medium Salary","High Salary"))</f>
        <v>Medium Salary</v>
      </c>
      <c r="AN49" t="str">
        <f>IF(HR_Data[[#This Row],[YearsAtCompany]]&lt;2,"0-1 Years",IF(HR_Data[[#This Row],[YearsAtCompany]]&lt;=5,"2-5 Years",IF(HR_Data[[#This Row],[YearsAtCompany]]&lt;=10,"6-10 Years","10+ Years")))</f>
        <v>0-1 Years</v>
      </c>
      <c r="AO49" t="str">
        <f>IF(HR_Data[[#This Row],[JobSatisfaction]]=1,"Low",IF(HR_Data[[#This Row],[JobSatisfaction]]=2,"Medium",IF(HR_Data[[#This Row],[JobSatisfaction]]=3,"High","Very High")))</f>
        <v>Medium</v>
      </c>
      <c r="AP49" t="str">
        <f>IF(HR_Data[[#This Row],[WorkLifeBalance]]=1,"Bad",IF(HR_Data[[#This Row],[WorkLifeBalance]]=2,"Good",IF(HR_Data[[#This Row],[WorkLifeBalance]]=3,"Better","Best")))</f>
        <v>Better</v>
      </c>
    </row>
    <row r="50" spans="1:42"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IF(HR_Data[[#This Row],[Attrition]]="Yes",1,0)</f>
        <v>0</v>
      </c>
      <c r="AK50">
        <f>IF(HR_Data[[#This Row],[Attrition]]="No",1,0)</f>
        <v>1</v>
      </c>
      <c r="AL50" t="str">
        <f>IF(HR_Data[[#This Row],[Age]]&lt;25,"Under 25",IF(HR_Data[[#This Row],[Age]]&lt;=34,"25-34",IF(HR_Data[[#This Row],[Age]]&lt;=44,"35-44",IF(HR_Data[[#This Row],[Age]]&lt;=54,"45-54","55+"))))</f>
        <v>45-54</v>
      </c>
      <c r="AM50" t="str">
        <f>IF(HR_Data[[#This Row],[MonthlyIncome]]&lt;3000,"Low Salary",IF(HR_Data[[#This Row],[MonthlyIncome]]&lt;=7000,"Medium Salary","High Salary"))</f>
        <v>Medium Salary</v>
      </c>
      <c r="AN50" t="str">
        <f>IF(HR_Data[[#This Row],[YearsAtCompany]]&lt;2,"0-1 Years",IF(HR_Data[[#This Row],[YearsAtCompany]]&lt;=5,"2-5 Years",IF(HR_Data[[#This Row],[YearsAtCompany]]&lt;=10,"6-10 Years","10+ Years")))</f>
        <v>6-10 Years</v>
      </c>
      <c r="AO50" t="str">
        <f>IF(HR_Data[[#This Row],[JobSatisfaction]]=1,"Low",IF(HR_Data[[#This Row],[JobSatisfaction]]=2,"Medium",IF(HR_Data[[#This Row],[JobSatisfaction]]=3,"High","Very High")))</f>
        <v>Very High</v>
      </c>
      <c r="AP50" t="str">
        <f>IF(HR_Data[[#This Row],[WorkLifeBalance]]=1,"Bad",IF(HR_Data[[#This Row],[WorkLifeBalance]]=2,"Good",IF(HR_Data[[#This Row],[WorkLifeBalance]]=3,"Better","Best")))</f>
        <v>Better</v>
      </c>
    </row>
    <row r="51" spans="1:42"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IF(HR_Data[[#This Row],[Attrition]]="Yes",1,0)</f>
        <v>0</v>
      </c>
      <c r="AK51">
        <f>IF(HR_Data[[#This Row],[Attrition]]="No",1,0)</f>
        <v>1</v>
      </c>
      <c r="AL51" t="str">
        <f>IF(HR_Data[[#This Row],[Age]]&lt;25,"Under 25",IF(HR_Data[[#This Row],[Age]]&lt;=34,"25-34",IF(HR_Data[[#This Row],[Age]]&lt;=44,"35-44",IF(HR_Data[[#This Row],[Age]]&lt;=54,"45-54","55+"))))</f>
        <v>35-44</v>
      </c>
      <c r="AM51" t="str">
        <f>IF(HR_Data[[#This Row],[MonthlyIncome]]&lt;3000,"Low Salary",IF(HR_Data[[#This Row],[MonthlyIncome]]&lt;=7000,"Medium Salary","High Salary"))</f>
        <v>Low Salary</v>
      </c>
      <c r="AN51" t="str">
        <f>IF(HR_Data[[#This Row],[YearsAtCompany]]&lt;2,"0-1 Years",IF(HR_Data[[#This Row],[YearsAtCompany]]&lt;=5,"2-5 Years",IF(HR_Data[[#This Row],[YearsAtCompany]]&lt;=10,"6-10 Years","10+ Years")))</f>
        <v>0-1 Years</v>
      </c>
      <c r="AO51" t="str">
        <f>IF(HR_Data[[#This Row],[JobSatisfaction]]=1,"Low",IF(HR_Data[[#This Row],[JobSatisfaction]]=2,"Medium",IF(HR_Data[[#This Row],[JobSatisfaction]]=3,"High","Very High")))</f>
        <v>Very High</v>
      </c>
      <c r="AP51" t="str">
        <f>IF(HR_Data[[#This Row],[WorkLifeBalance]]=1,"Bad",IF(HR_Data[[#This Row],[WorkLifeBalance]]=2,"Good",IF(HR_Data[[#This Row],[WorkLifeBalance]]=3,"Better","Best")))</f>
        <v>Better</v>
      </c>
    </row>
    <row r="52" spans="1:42"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IF(HR_Data[[#This Row],[Attrition]]="Yes",1,0)</f>
        <v>1</v>
      </c>
      <c r="AK52">
        <f>IF(HR_Data[[#This Row],[Attrition]]="No",1,0)</f>
        <v>0</v>
      </c>
      <c r="AL52" t="str">
        <f>IF(HR_Data[[#This Row],[Age]]&lt;25,"Under 25",IF(HR_Data[[#This Row],[Age]]&lt;=34,"25-34",IF(HR_Data[[#This Row],[Age]]&lt;=44,"35-44",IF(HR_Data[[#This Row],[Age]]&lt;=54,"45-54","55+"))))</f>
        <v>45-54</v>
      </c>
      <c r="AM52" t="str">
        <f>IF(HR_Data[[#This Row],[MonthlyIncome]]&lt;3000,"Low Salary",IF(HR_Data[[#This Row],[MonthlyIncome]]&lt;=7000,"Medium Salary","High Salary"))</f>
        <v>Medium Salary</v>
      </c>
      <c r="AN52" t="str">
        <f>IF(HR_Data[[#This Row],[YearsAtCompany]]&lt;2,"0-1 Years",IF(HR_Data[[#This Row],[YearsAtCompany]]&lt;=5,"2-5 Years",IF(HR_Data[[#This Row],[YearsAtCompany]]&lt;=10,"6-10 Years","10+ Years")))</f>
        <v>0-1 Years</v>
      </c>
      <c r="AO52" t="str">
        <f>IF(HR_Data[[#This Row],[JobSatisfaction]]=1,"Low",IF(HR_Data[[#This Row],[JobSatisfaction]]=2,"Medium",IF(HR_Data[[#This Row],[JobSatisfaction]]=3,"High","Very High")))</f>
        <v>High</v>
      </c>
      <c r="AP52" t="str">
        <f>IF(HR_Data[[#This Row],[WorkLifeBalance]]=1,"Bad",IF(HR_Data[[#This Row],[WorkLifeBalance]]=2,"Good",IF(HR_Data[[#This Row],[WorkLifeBalance]]=3,"Better","Best")))</f>
        <v>Better</v>
      </c>
    </row>
    <row r="53" spans="1:42"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IF(HR_Data[[#This Row],[Attrition]]="Yes",1,0)</f>
        <v>1</v>
      </c>
      <c r="AK53">
        <f>IF(HR_Data[[#This Row],[Attrition]]="No",1,0)</f>
        <v>0</v>
      </c>
      <c r="AL53" t="str">
        <f>IF(HR_Data[[#This Row],[Age]]&lt;25,"Under 25",IF(HR_Data[[#This Row],[Age]]&lt;=34,"25-34",IF(HR_Data[[#This Row],[Age]]&lt;=44,"35-44",IF(HR_Data[[#This Row],[Age]]&lt;=54,"45-54","55+"))))</f>
        <v>25-34</v>
      </c>
      <c r="AM53" t="str">
        <f>IF(HR_Data[[#This Row],[MonthlyIncome]]&lt;3000,"Low Salary",IF(HR_Data[[#This Row],[MonthlyIncome]]&lt;=7000,"Medium Salary","High Salary"))</f>
        <v>Medium Salary</v>
      </c>
      <c r="AN53" t="str">
        <f>IF(HR_Data[[#This Row],[YearsAtCompany]]&lt;2,"0-1 Years",IF(HR_Data[[#This Row],[YearsAtCompany]]&lt;=5,"2-5 Years",IF(HR_Data[[#This Row],[YearsAtCompany]]&lt;=10,"6-10 Years","10+ Years")))</f>
        <v>2-5 Years</v>
      </c>
      <c r="AO53" t="str">
        <f>IF(HR_Data[[#This Row],[JobSatisfaction]]=1,"Low",IF(HR_Data[[#This Row],[JobSatisfaction]]=2,"Medium",IF(HR_Data[[#This Row],[JobSatisfaction]]=3,"High","Very High")))</f>
        <v>High</v>
      </c>
      <c r="AP53" t="str">
        <f>IF(HR_Data[[#This Row],[WorkLifeBalance]]=1,"Bad",IF(HR_Data[[#This Row],[WorkLifeBalance]]=2,"Good",IF(HR_Data[[#This Row],[WorkLifeBalance]]=3,"Better","Best")))</f>
        <v>Good</v>
      </c>
    </row>
    <row r="54" spans="1:42"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IF(HR_Data[[#This Row],[Attrition]]="Yes",1,0)</f>
        <v>0</v>
      </c>
      <c r="AK54">
        <f>IF(HR_Data[[#This Row],[Attrition]]="No",1,0)</f>
        <v>1</v>
      </c>
      <c r="AL54" t="str">
        <f>IF(HR_Data[[#This Row],[Age]]&lt;25,"Under 25",IF(HR_Data[[#This Row],[Age]]&lt;=34,"25-34",IF(HR_Data[[#This Row],[Age]]&lt;=44,"35-44",IF(HR_Data[[#This Row],[Age]]&lt;=54,"45-54","55+"))))</f>
        <v>35-44</v>
      </c>
      <c r="AM54" t="str">
        <f>IF(HR_Data[[#This Row],[MonthlyIncome]]&lt;3000,"Low Salary",IF(HR_Data[[#This Row],[MonthlyIncome]]&lt;=7000,"Medium Salary","High Salary"))</f>
        <v>Medium Salary</v>
      </c>
      <c r="AN54" t="str">
        <f>IF(HR_Data[[#This Row],[YearsAtCompany]]&lt;2,"0-1 Years",IF(HR_Data[[#This Row],[YearsAtCompany]]&lt;=5,"2-5 Years",IF(HR_Data[[#This Row],[YearsAtCompany]]&lt;=10,"6-10 Years","10+ Years")))</f>
        <v>2-5 Years</v>
      </c>
      <c r="AO54" t="str">
        <f>IF(HR_Data[[#This Row],[JobSatisfaction]]=1,"Low",IF(HR_Data[[#This Row],[JobSatisfaction]]=2,"Medium",IF(HR_Data[[#This Row],[JobSatisfaction]]=3,"High","Very High")))</f>
        <v>Low</v>
      </c>
      <c r="AP54" t="str">
        <f>IF(HR_Data[[#This Row],[WorkLifeBalance]]=1,"Bad",IF(HR_Data[[#This Row],[WorkLifeBalance]]=2,"Good",IF(HR_Data[[#This Row],[WorkLifeBalance]]=3,"Better","Best")))</f>
        <v>Good</v>
      </c>
    </row>
    <row r="55" spans="1:42"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IF(HR_Data[[#This Row],[Attrition]]="Yes",1,0)</f>
        <v>0</v>
      </c>
      <c r="AK55">
        <f>IF(HR_Data[[#This Row],[Attrition]]="No",1,0)</f>
        <v>1</v>
      </c>
      <c r="AL55" t="str">
        <f>IF(HR_Data[[#This Row],[Age]]&lt;25,"Under 25",IF(HR_Data[[#This Row],[Age]]&lt;=34,"25-34",IF(HR_Data[[#This Row],[Age]]&lt;=44,"35-44",IF(HR_Data[[#This Row],[Age]]&lt;=54,"45-54","55+"))))</f>
        <v>35-44</v>
      </c>
      <c r="AM55" t="str">
        <f>IF(HR_Data[[#This Row],[MonthlyIncome]]&lt;3000,"Low Salary",IF(HR_Data[[#This Row],[MonthlyIncome]]&lt;=7000,"Medium Salary","High Salary"))</f>
        <v>High Salary</v>
      </c>
      <c r="AN55" t="str">
        <f>IF(HR_Data[[#This Row],[YearsAtCompany]]&lt;2,"0-1 Years",IF(HR_Data[[#This Row],[YearsAtCompany]]&lt;=5,"2-5 Years",IF(HR_Data[[#This Row],[YearsAtCompany]]&lt;=10,"6-10 Years","10+ Years")))</f>
        <v>2-5 Years</v>
      </c>
      <c r="AO55" t="str">
        <f>IF(HR_Data[[#This Row],[JobSatisfaction]]=1,"Low",IF(HR_Data[[#This Row],[JobSatisfaction]]=2,"Medium",IF(HR_Data[[#This Row],[JobSatisfaction]]=3,"High","Very High")))</f>
        <v>Low</v>
      </c>
      <c r="AP55" t="str">
        <f>IF(HR_Data[[#This Row],[WorkLifeBalance]]=1,"Bad",IF(HR_Data[[#This Row],[WorkLifeBalance]]=2,"Good",IF(HR_Data[[#This Row],[WorkLifeBalance]]=3,"Better","Best")))</f>
        <v>Better</v>
      </c>
    </row>
    <row r="56" spans="1:42"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IF(HR_Data[[#This Row],[Attrition]]="Yes",1,0)</f>
        <v>0</v>
      </c>
      <c r="AK56">
        <f>IF(HR_Data[[#This Row],[Attrition]]="No",1,0)</f>
        <v>1</v>
      </c>
      <c r="AL56" t="str">
        <f>IF(HR_Data[[#This Row],[Age]]&lt;25,"Under 25",IF(HR_Data[[#This Row],[Age]]&lt;=34,"25-34",IF(HR_Data[[#This Row],[Age]]&lt;=44,"35-44",IF(HR_Data[[#This Row],[Age]]&lt;=54,"45-54","55+"))))</f>
        <v>25-34</v>
      </c>
      <c r="AM56" t="str">
        <f>IF(HR_Data[[#This Row],[MonthlyIncome]]&lt;3000,"Low Salary",IF(HR_Data[[#This Row],[MonthlyIncome]]&lt;=7000,"Medium Salary","High Salary"))</f>
        <v>Medium Salary</v>
      </c>
      <c r="AN56" t="str">
        <f>IF(HR_Data[[#This Row],[YearsAtCompany]]&lt;2,"0-1 Years",IF(HR_Data[[#This Row],[YearsAtCompany]]&lt;=5,"2-5 Years",IF(HR_Data[[#This Row],[YearsAtCompany]]&lt;=10,"6-10 Years","10+ Years")))</f>
        <v>2-5 Years</v>
      </c>
      <c r="AO56" t="str">
        <f>IF(HR_Data[[#This Row],[JobSatisfaction]]=1,"Low",IF(HR_Data[[#This Row],[JobSatisfaction]]=2,"Medium",IF(HR_Data[[#This Row],[JobSatisfaction]]=3,"High","Very High")))</f>
        <v>Very High</v>
      </c>
      <c r="AP56" t="str">
        <f>IF(HR_Data[[#This Row],[WorkLifeBalance]]=1,"Bad",IF(HR_Data[[#This Row],[WorkLifeBalance]]=2,"Good",IF(HR_Data[[#This Row],[WorkLifeBalance]]=3,"Better","Best")))</f>
        <v>Good</v>
      </c>
    </row>
    <row r="57" spans="1:42"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IF(HR_Data[[#This Row],[Attrition]]="Yes",1,0)</f>
        <v>0</v>
      </c>
      <c r="AK57">
        <f>IF(HR_Data[[#This Row],[Attrition]]="No",1,0)</f>
        <v>1</v>
      </c>
      <c r="AL57" t="str">
        <f>IF(HR_Data[[#This Row],[Age]]&lt;25,"Under 25",IF(HR_Data[[#This Row],[Age]]&lt;=34,"25-34",IF(HR_Data[[#This Row],[Age]]&lt;=44,"35-44",IF(HR_Data[[#This Row],[Age]]&lt;=54,"45-54","55+"))))</f>
        <v>25-34</v>
      </c>
      <c r="AM57" t="str">
        <f>IF(HR_Data[[#This Row],[MonthlyIncome]]&lt;3000,"Low Salary",IF(HR_Data[[#This Row],[MonthlyIncome]]&lt;=7000,"Medium Salary","High Salary"))</f>
        <v>High Salary</v>
      </c>
      <c r="AN57" t="str">
        <f>IF(HR_Data[[#This Row],[YearsAtCompany]]&lt;2,"0-1 Years",IF(HR_Data[[#This Row],[YearsAtCompany]]&lt;=5,"2-5 Years",IF(HR_Data[[#This Row],[YearsAtCompany]]&lt;=10,"6-10 Years","10+ Years")))</f>
        <v>10+ Years</v>
      </c>
      <c r="AO57" t="str">
        <f>IF(HR_Data[[#This Row],[JobSatisfaction]]=1,"Low",IF(HR_Data[[#This Row],[JobSatisfaction]]=2,"Medium",IF(HR_Data[[#This Row],[JobSatisfaction]]=3,"High","Very High")))</f>
        <v>Very High</v>
      </c>
      <c r="AP57" t="str">
        <f>IF(HR_Data[[#This Row],[WorkLifeBalance]]=1,"Bad",IF(HR_Data[[#This Row],[WorkLifeBalance]]=2,"Good",IF(HR_Data[[#This Row],[WorkLifeBalance]]=3,"Better","Best")))</f>
        <v>Better</v>
      </c>
    </row>
    <row r="58" spans="1:42"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IF(HR_Data[[#This Row],[Attrition]]="Yes",1,0)</f>
        <v>0</v>
      </c>
      <c r="AK58">
        <f>IF(HR_Data[[#This Row],[Attrition]]="No",1,0)</f>
        <v>1</v>
      </c>
      <c r="AL58" t="str">
        <f>IF(HR_Data[[#This Row],[Age]]&lt;25,"Under 25",IF(HR_Data[[#This Row],[Age]]&lt;=34,"25-34",IF(HR_Data[[#This Row],[Age]]&lt;=44,"35-44",IF(HR_Data[[#This Row],[Age]]&lt;=54,"45-54","55+"))))</f>
        <v>35-44</v>
      </c>
      <c r="AM58" t="str">
        <f>IF(HR_Data[[#This Row],[MonthlyIncome]]&lt;3000,"Low Salary",IF(HR_Data[[#This Row],[MonthlyIncome]]&lt;=7000,"Medium Salary","High Salary"))</f>
        <v>High Salary</v>
      </c>
      <c r="AN58" t="str">
        <f>IF(HR_Data[[#This Row],[YearsAtCompany]]&lt;2,"0-1 Years",IF(HR_Data[[#This Row],[YearsAtCompany]]&lt;=5,"2-5 Years",IF(HR_Data[[#This Row],[YearsAtCompany]]&lt;=10,"6-10 Years","10+ Years")))</f>
        <v>6-10 Years</v>
      </c>
      <c r="AO58" t="str">
        <f>IF(HR_Data[[#This Row],[JobSatisfaction]]=1,"Low",IF(HR_Data[[#This Row],[JobSatisfaction]]=2,"Medium",IF(HR_Data[[#This Row],[JobSatisfaction]]=3,"High","Very High")))</f>
        <v>Low</v>
      </c>
      <c r="AP58" t="str">
        <f>IF(HR_Data[[#This Row],[WorkLifeBalance]]=1,"Bad",IF(HR_Data[[#This Row],[WorkLifeBalance]]=2,"Good",IF(HR_Data[[#This Row],[WorkLifeBalance]]=3,"Better","Best")))</f>
        <v>Good</v>
      </c>
    </row>
    <row r="59" spans="1:42"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IF(HR_Data[[#This Row],[Attrition]]="Yes",1,0)</f>
        <v>0</v>
      </c>
      <c r="AK59">
        <f>IF(HR_Data[[#This Row],[Attrition]]="No",1,0)</f>
        <v>1</v>
      </c>
      <c r="AL59" t="str">
        <f>IF(HR_Data[[#This Row],[Age]]&lt;25,"Under 25",IF(HR_Data[[#This Row],[Age]]&lt;=34,"25-34",IF(HR_Data[[#This Row],[Age]]&lt;=44,"35-44",IF(HR_Data[[#This Row],[Age]]&lt;=54,"45-54","55+"))))</f>
        <v>35-44</v>
      </c>
      <c r="AM59" t="str">
        <f>IF(HR_Data[[#This Row],[MonthlyIncome]]&lt;3000,"Low Salary",IF(HR_Data[[#This Row],[MonthlyIncome]]&lt;=7000,"Medium Salary","High Salary"))</f>
        <v>Medium Salary</v>
      </c>
      <c r="AN59" t="str">
        <f>IF(HR_Data[[#This Row],[YearsAtCompany]]&lt;2,"0-1 Years",IF(HR_Data[[#This Row],[YearsAtCompany]]&lt;=5,"2-5 Years",IF(HR_Data[[#This Row],[YearsAtCompany]]&lt;=10,"6-10 Years","10+ Years")))</f>
        <v>2-5 Years</v>
      </c>
      <c r="AO59" t="str">
        <f>IF(HR_Data[[#This Row],[JobSatisfaction]]=1,"Low",IF(HR_Data[[#This Row],[JobSatisfaction]]=2,"Medium",IF(HR_Data[[#This Row],[JobSatisfaction]]=3,"High","Very High")))</f>
        <v>Low</v>
      </c>
      <c r="AP59" t="str">
        <f>IF(HR_Data[[#This Row],[WorkLifeBalance]]=1,"Bad",IF(HR_Data[[#This Row],[WorkLifeBalance]]=2,"Good",IF(HR_Data[[#This Row],[WorkLifeBalance]]=3,"Better","Best")))</f>
        <v>Better</v>
      </c>
    </row>
    <row r="60" spans="1:42"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IF(HR_Data[[#This Row],[Attrition]]="Yes",1,0)</f>
        <v>0</v>
      </c>
      <c r="AK60">
        <f>IF(HR_Data[[#This Row],[Attrition]]="No",1,0)</f>
        <v>1</v>
      </c>
      <c r="AL60" t="str">
        <f>IF(HR_Data[[#This Row],[Age]]&lt;25,"Under 25",IF(HR_Data[[#This Row],[Age]]&lt;=34,"25-34",IF(HR_Data[[#This Row],[Age]]&lt;=44,"35-44",IF(HR_Data[[#This Row],[Age]]&lt;=54,"45-54","55+"))))</f>
        <v>25-34</v>
      </c>
      <c r="AM60" t="str">
        <f>IF(HR_Data[[#This Row],[MonthlyIncome]]&lt;3000,"Low Salary",IF(HR_Data[[#This Row],[MonthlyIncome]]&lt;=7000,"Medium Salary","High Salary"))</f>
        <v>Medium Salary</v>
      </c>
      <c r="AN60" t="str">
        <f>IF(HR_Data[[#This Row],[YearsAtCompany]]&lt;2,"0-1 Years",IF(HR_Data[[#This Row],[YearsAtCompany]]&lt;=5,"2-5 Years",IF(HR_Data[[#This Row],[YearsAtCompany]]&lt;=10,"6-10 Years","10+ Years")))</f>
        <v>6-10 Years</v>
      </c>
      <c r="AO60" t="str">
        <f>IF(HR_Data[[#This Row],[JobSatisfaction]]=1,"Low",IF(HR_Data[[#This Row],[JobSatisfaction]]=2,"Medium",IF(HR_Data[[#This Row],[JobSatisfaction]]=3,"High","Very High")))</f>
        <v>Very High</v>
      </c>
      <c r="AP60" t="str">
        <f>IF(HR_Data[[#This Row],[WorkLifeBalance]]=1,"Bad",IF(HR_Data[[#This Row],[WorkLifeBalance]]=2,"Good",IF(HR_Data[[#This Row],[WorkLifeBalance]]=3,"Better","Best")))</f>
        <v>Good</v>
      </c>
    </row>
    <row r="61" spans="1:42"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IF(HR_Data[[#This Row],[Attrition]]="Yes",1,0)</f>
        <v>0</v>
      </c>
      <c r="AK61">
        <f>IF(HR_Data[[#This Row],[Attrition]]="No",1,0)</f>
        <v>1</v>
      </c>
      <c r="AL61" t="str">
        <f>IF(HR_Data[[#This Row],[Age]]&lt;25,"Under 25",IF(HR_Data[[#This Row],[Age]]&lt;=34,"25-34",IF(HR_Data[[#This Row],[Age]]&lt;=44,"35-44",IF(HR_Data[[#This Row],[Age]]&lt;=54,"45-54","55+"))))</f>
        <v>35-44</v>
      </c>
      <c r="AM61" t="str">
        <f>IF(HR_Data[[#This Row],[MonthlyIncome]]&lt;3000,"Low Salary",IF(HR_Data[[#This Row],[MonthlyIncome]]&lt;=7000,"Medium Salary","High Salary"))</f>
        <v>Medium Salary</v>
      </c>
      <c r="AN61" t="str">
        <f>IF(HR_Data[[#This Row],[YearsAtCompany]]&lt;2,"0-1 Years",IF(HR_Data[[#This Row],[YearsAtCompany]]&lt;=5,"2-5 Years",IF(HR_Data[[#This Row],[YearsAtCompany]]&lt;=10,"6-10 Years","10+ Years")))</f>
        <v>6-10 Years</v>
      </c>
      <c r="AO61" t="str">
        <f>IF(HR_Data[[#This Row],[JobSatisfaction]]=1,"Low",IF(HR_Data[[#This Row],[JobSatisfaction]]=2,"Medium",IF(HR_Data[[#This Row],[JobSatisfaction]]=3,"High","Very High")))</f>
        <v>High</v>
      </c>
      <c r="AP61" t="str">
        <f>IF(HR_Data[[#This Row],[WorkLifeBalance]]=1,"Bad",IF(HR_Data[[#This Row],[WorkLifeBalance]]=2,"Good",IF(HR_Data[[#This Row],[WorkLifeBalance]]=3,"Better","Best")))</f>
        <v>Best</v>
      </c>
    </row>
    <row r="62" spans="1:42"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IF(HR_Data[[#This Row],[Attrition]]="Yes",1,0)</f>
        <v>0</v>
      </c>
      <c r="AK62">
        <f>IF(HR_Data[[#This Row],[Attrition]]="No",1,0)</f>
        <v>1</v>
      </c>
      <c r="AL62" t="str">
        <f>IF(HR_Data[[#This Row],[Age]]&lt;25,"Under 25",IF(HR_Data[[#This Row],[Age]]&lt;=34,"25-34",IF(HR_Data[[#This Row],[Age]]&lt;=44,"35-44",IF(HR_Data[[#This Row],[Age]]&lt;=54,"45-54","55+"))))</f>
        <v>25-34</v>
      </c>
      <c r="AM62" t="str">
        <f>IF(HR_Data[[#This Row],[MonthlyIncome]]&lt;3000,"Low Salary",IF(HR_Data[[#This Row],[MonthlyIncome]]&lt;=7000,"Medium Salary","High Salary"))</f>
        <v>Medium Salary</v>
      </c>
      <c r="AN62" t="str">
        <f>IF(HR_Data[[#This Row],[YearsAtCompany]]&lt;2,"0-1 Years",IF(HR_Data[[#This Row],[YearsAtCompany]]&lt;=5,"2-5 Years",IF(HR_Data[[#This Row],[YearsAtCompany]]&lt;=10,"6-10 Years","10+ Years")))</f>
        <v>6-10 Years</v>
      </c>
      <c r="AO62" t="str">
        <f>IF(HR_Data[[#This Row],[JobSatisfaction]]=1,"Low",IF(HR_Data[[#This Row],[JobSatisfaction]]=2,"Medium",IF(HR_Data[[#This Row],[JobSatisfaction]]=3,"High","Very High")))</f>
        <v>Very High</v>
      </c>
      <c r="AP62" t="str">
        <f>IF(HR_Data[[#This Row],[WorkLifeBalance]]=1,"Bad",IF(HR_Data[[#This Row],[WorkLifeBalance]]=2,"Good",IF(HR_Data[[#This Row],[WorkLifeBalance]]=3,"Better","Best")))</f>
        <v>Better</v>
      </c>
    </row>
    <row r="63" spans="1:42"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IF(HR_Data[[#This Row],[Attrition]]="Yes",1,0)</f>
        <v>0</v>
      </c>
      <c r="AK63">
        <f>IF(HR_Data[[#This Row],[Attrition]]="No",1,0)</f>
        <v>1</v>
      </c>
      <c r="AL63" t="str">
        <f>IF(HR_Data[[#This Row],[Age]]&lt;25,"Under 25",IF(HR_Data[[#This Row],[Age]]&lt;=34,"25-34",IF(HR_Data[[#This Row],[Age]]&lt;=44,"35-44",IF(HR_Data[[#This Row],[Age]]&lt;=54,"45-54","55+"))))</f>
        <v>35-44</v>
      </c>
      <c r="AM63" t="str">
        <f>IF(HR_Data[[#This Row],[MonthlyIncome]]&lt;3000,"Low Salary",IF(HR_Data[[#This Row],[MonthlyIncome]]&lt;=7000,"Medium Salary","High Salary"))</f>
        <v>Low Salary</v>
      </c>
      <c r="AN63" t="str">
        <f>IF(HR_Data[[#This Row],[YearsAtCompany]]&lt;2,"0-1 Years",IF(HR_Data[[#This Row],[YearsAtCompany]]&lt;=5,"2-5 Years",IF(HR_Data[[#This Row],[YearsAtCompany]]&lt;=10,"6-10 Years","10+ Years")))</f>
        <v>6-10 Years</v>
      </c>
      <c r="AO63" t="str">
        <f>IF(HR_Data[[#This Row],[JobSatisfaction]]=1,"Low",IF(HR_Data[[#This Row],[JobSatisfaction]]=2,"Medium",IF(HR_Data[[#This Row],[JobSatisfaction]]=3,"High","Very High")))</f>
        <v>Very High</v>
      </c>
      <c r="AP63" t="str">
        <f>IF(HR_Data[[#This Row],[WorkLifeBalance]]=1,"Bad",IF(HR_Data[[#This Row],[WorkLifeBalance]]=2,"Good",IF(HR_Data[[#This Row],[WorkLifeBalance]]=3,"Better","Best")))</f>
        <v>Better</v>
      </c>
    </row>
    <row r="64" spans="1:42"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IF(HR_Data[[#This Row],[Attrition]]="Yes",1,0)</f>
        <v>0</v>
      </c>
      <c r="AK64">
        <f>IF(HR_Data[[#This Row],[Attrition]]="No",1,0)</f>
        <v>1</v>
      </c>
      <c r="AL64" t="str">
        <f>IF(HR_Data[[#This Row],[Age]]&lt;25,"Under 25",IF(HR_Data[[#This Row],[Age]]&lt;=34,"25-34",IF(HR_Data[[#This Row],[Age]]&lt;=44,"35-44",IF(HR_Data[[#This Row],[Age]]&lt;=54,"45-54","55+"))))</f>
        <v>45-54</v>
      </c>
      <c r="AM64" t="str">
        <f>IF(HR_Data[[#This Row],[MonthlyIncome]]&lt;3000,"Low Salary",IF(HR_Data[[#This Row],[MonthlyIncome]]&lt;=7000,"Medium Salary","High Salary"))</f>
        <v>High Salary</v>
      </c>
      <c r="AN64" t="str">
        <f>IF(HR_Data[[#This Row],[YearsAtCompany]]&lt;2,"0-1 Years",IF(HR_Data[[#This Row],[YearsAtCompany]]&lt;=5,"2-5 Years",IF(HR_Data[[#This Row],[YearsAtCompany]]&lt;=10,"6-10 Years","10+ Years")))</f>
        <v>10+ Years</v>
      </c>
      <c r="AO64" t="str">
        <f>IF(HR_Data[[#This Row],[JobSatisfaction]]=1,"Low",IF(HR_Data[[#This Row],[JobSatisfaction]]=2,"Medium",IF(HR_Data[[#This Row],[JobSatisfaction]]=3,"High","Very High")))</f>
        <v>High</v>
      </c>
      <c r="AP64" t="str">
        <f>IF(HR_Data[[#This Row],[WorkLifeBalance]]=1,"Bad",IF(HR_Data[[#This Row],[WorkLifeBalance]]=2,"Good",IF(HR_Data[[#This Row],[WorkLifeBalance]]=3,"Better","Best")))</f>
        <v>Good</v>
      </c>
    </row>
    <row r="65" spans="1:42"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IF(HR_Data[[#This Row],[Attrition]]="Yes",1,0)</f>
        <v>0</v>
      </c>
      <c r="AK65">
        <f>IF(HR_Data[[#This Row],[Attrition]]="No",1,0)</f>
        <v>1</v>
      </c>
      <c r="AL65" t="str">
        <f>IF(HR_Data[[#This Row],[Age]]&lt;25,"Under 25",IF(HR_Data[[#This Row],[Age]]&lt;=34,"25-34",IF(HR_Data[[#This Row],[Age]]&lt;=44,"35-44",IF(HR_Data[[#This Row],[Age]]&lt;=54,"45-54","55+"))))</f>
        <v>55+</v>
      </c>
      <c r="AM65" t="str">
        <f>IF(HR_Data[[#This Row],[MonthlyIncome]]&lt;3000,"Low Salary",IF(HR_Data[[#This Row],[MonthlyIncome]]&lt;=7000,"Medium Salary","High Salary"))</f>
        <v>High Salary</v>
      </c>
      <c r="AN65" t="str">
        <f>IF(HR_Data[[#This Row],[YearsAtCompany]]&lt;2,"0-1 Years",IF(HR_Data[[#This Row],[YearsAtCompany]]&lt;=5,"2-5 Years",IF(HR_Data[[#This Row],[YearsAtCompany]]&lt;=10,"6-10 Years","10+ Years")))</f>
        <v>10+ Years</v>
      </c>
      <c r="AO65" t="str">
        <f>IF(HR_Data[[#This Row],[JobSatisfaction]]=1,"Low",IF(HR_Data[[#This Row],[JobSatisfaction]]=2,"Medium",IF(HR_Data[[#This Row],[JobSatisfaction]]=3,"High","Very High")))</f>
        <v>Low</v>
      </c>
      <c r="AP65" t="str">
        <f>IF(HR_Data[[#This Row],[WorkLifeBalance]]=1,"Bad",IF(HR_Data[[#This Row],[WorkLifeBalance]]=2,"Good",IF(HR_Data[[#This Row],[WorkLifeBalance]]=3,"Better","Best")))</f>
        <v>Good</v>
      </c>
    </row>
    <row r="66" spans="1:42"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IF(HR_Data[[#This Row],[Attrition]]="Yes",1,0)</f>
        <v>0</v>
      </c>
      <c r="AK66">
        <f>IF(HR_Data[[#This Row],[Attrition]]="No",1,0)</f>
        <v>1</v>
      </c>
      <c r="AL66" t="str">
        <f>IF(HR_Data[[#This Row],[Age]]&lt;25,"Under 25",IF(HR_Data[[#This Row],[Age]]&lt;=34,"25-34",IF(HR_Data[[#This Row],[Age]]&lt;=44,"35-44",IF(HR_Data[[#This Row],[Age]]&lt;=54,"45-54","55+"))))</f>
        <v>35-44</v>
      </c>
      <c r="AM66" t="str">
        <f>IF(HR_Data[[#This Row],[MonthlyIncome]]&lt;3000,"Low Salary",IF(HR_Data[[#This Row],[MonthlyIncome]]&lt;=7000,"Medium Salary","High Salary"))</f>
        <v>High Salary</v>
      </c>
      <c r="AN66" t="str">
        <f>IF(HR_Data[[#This Row],[YearsAtCompany]]&lt;2,"0-1 Years",IF(HR_Data[[#This Row],[YearsAtCompany]]&lt;=5,"2-5 Years",IF(HR_Data[[#This Row],[YearsAtCompany]]&lt;=10,"6-10 Years","10+ Years")))</f>
        <v>10+ Years</v>
      </c>
      <c r="AO66" t="str">
        <f>IF(HR_Data[[#This Row],[JobSatisfaction]]=1,"Low",IF(HR_Data[[#This Row],[JobSatisfaction]]=2,"Medium",IF(HR_Data[[#This Row],[JobSatisfaction]]=3,"High","Very High")))</f>
        <v>High</v>
      </c>
      <c r="AP66" t="str">
        <f>IF(HR_Data[[#This Row],[WorkLifeBalance]]=1,"Bad",IF(HR_Data[[#This Row],[WorkLifeBalance]]=2,"Good",IF(HR_Data[[#This Row],[WorkLifeBalance]]=3,"Better","Best")))</f>
        <v>Better</v>
      </c>
    </row>
    <row r="67" spans="1:42"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IF(HR_Data[[#This Row],[Attrition]]="Yes",1,0)</f>
        <v>0</v>
      </c>
      <c r="AK67">
        <f>IF(HR_Data[[#This Row],[Attrition]]="No",1,0)</f>
        <v>1</v>
      </c>
      <c r="AL67" t="str">
        <f>IF(HR_Data[[#This Row],[Age]]&lt;25,"Under 25",IF(HR_Data[[#This Row],[Age]]&lt;=34,"25-34",IF(HR_Data[[#This Row],[Age]]&lt;=44,"35-44",IF(HR_Data[[#This Row],[Age]]&lt;=54,"45-54","55+"))))</f>
        <v>55+</v>
      </c>
      <c r="AM67" t="str">
        <f>IF(HR_Data[[#This Row],[MonthlyIncome]]&lt;3000,"Low Salary",IF(HR_Data[[#This Row],[MonthlyIncome]]&lt;=7000,"Medium Salary","High Salary"))</f>
        <v>High Salary</v>
      </c>
      <c r="AN67" t="str">
        <f>IF(HR_Data[[#This Row],[YearsAtCompany]]&lt;2,"0-1 Years",IF(HR_Data[[#This Row],[YearsAtCompany]]&lt;=5,"2-5 Years",IF(HR_Data[[#This Row],[YearsAtCompany]]&lt;=10,"6-10 Years","10+ Years")))</f>
        <v>2-5 Years</v>
      </c>
      <c r="AO67" t="str">
        <f>IF(HR_Data[[#This Row],[JobSatisfaction]]=1,"Low",IF(HR_Data[[#This Row],[JobSatisfaction]]=2,"Medium",IF(HR_Data[[#This Row],[JobSatisfaction]]=3,"High","Very High")))</f>
        <v>High</v>
      </c>
      <c r="AP67" t="str">
        <f>IF(HR_Data[[#This Row],[WorkLifeBalance]]=1,"Bad",IF(HR_Data[[#This Row],[WorkLifeBalance]]=2,"Good",IF(HR_Data[[#This Row],[WorkLifeBalance]]=3,"Better","Best")))</f>
        <v>Better</v>
      </c>
    </row>
    <row r="68" spans="1:42"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IF(HR_Data[[#This Row],[Attrition]]="Yes",1,0)</f>
        <v>0</v>
      </c>
      <c r="AK68">
        <f>IF(HR_Data[[#This Row],[Attrition]]="No",1,0)</f>
        <v>1</v>
      </c>
      <c r="AL68" t="str">
        <f>IF(HR_Data[[#This Row],[Age]]&lt;25,"Under 25",IF(HR_Data[[#This Row],[Age]]&lt;=34,"25-34",IF(HR_Data[[#This Row],[Age]]&lt;=44,"35-44",IF(HR_Data[[#This Row],[Age]]&lt;=54,"45-54","55+"))))</f>
        <v>35-44</v>
      </c>
      <c r="AM68" t="str">
        <f>IF(HR_Data[[#This Row],[MonthlyIncome]]&lt;3000,"Low Salary",IF(HR_Data[[#This Row],[MonthlyIncome]]&lt;=7000,"Medium Salary","High Salary"))</f>
        <v>Medium Salary</v>
      </c>
      <c r="AN68" t="str">
        <f>IF(HR_Data[[#This Row],[YearsAtCompany]]&lt;2,"0-1 Years",IF(HR_Data[[#This Row],[YearsAtCompany]]&lt;=5,"2-5 Years",IF(HR_Data[[#This Row],[YearsAtCompany]]&lt;=10,"6-10 Years","10+ Years")))</f>
        <v>6-10 Years</v>
      </c>
      <c r="AO68" t="str">
        <f>IF(HR_Data[[#This Row],[JobSatisfaction]]=1,"Low",IF(HR_Data[[#This Row],[JobSatisfaction]]=2,"Medium",IF(HR_Data[[#This Row],[JobSatisfaction]]=3,"High","Very High")))</f>
        <v>Medium</v>
      </c>
      <c r="AP68" t="str">
        <f>IF(HR_Data[[#This Row],[WorkLifeBalance]]=1,"Bad",IF(HR_Data[[#This Row],[WorkLifeBalance]]=2,"Good",IF(HR_Data[[#This Row],[WorkLifeBalance]]=3,"Better","Best")))</f>
        <v>Better</v>
      </c>
    </row>
    <row r="69" spans="1:42"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IF(HR_Data[[#This Row],[Attrition]]="Yes",1,0)</f>
        <v>0</v>
      </c>
      <c r="AK69">
        <f>IF(HR_Data[[#This Row],[Attrition]]="No",1,0)</f>
        <v>1</v>
      </c>
      <c r="AL69" t="str">
        <f>IF(HR_Data[[#This Row],[Age]]&lt;25,"Under 25",IF(HR_Data[[#This Row],[Age]]&lt;=34,"25-34",IF(HR_Data[[#This Row],[Age]]&lt;=44,"35-44",IF(HR_Data[[#This Row],[Age]]&lt;=54,"45-54","55+"))))</f>
        <v>45-54</v>
      </c>
      <c r="AM69" t="str">
        <f>IF(HR_Data[[#This Row],[MonthlyIncome]]&lt;3000,"Low Salary",IF(HR_Data[[#This Row],[MonthlyIncome]]&lt;=7000,"Medium Salary","High Salary"))</f>
        <v>High Salary</v>
      </c>
      <c r="AN69" t="str">
        <f>IF(HR_Data[[#This Row],[YearsAtCompany]]&lt;2,"0-1 Years",IF(HR_Data[[#This Row],[YearsAtCompany]]&lt;=5,"2-5 Years",IF(HR_Data[[#This Row],[YearsAtCompany]]&lt;=10,"6-10 Years","10+ Years")))</f>
        <v>0-1 Years</v>
      </c>
      <c r="AO69" t="str">
        <f>IF(HR_Data[[#This Row],[JobSatisfaction]]=1,"Low",IF(HR_Data[[#This Row],[JobSatisfaction]]=2,"Medium",IF(HR_Data[[#This Row],[JobSatisfaction]]=3,"High","Very High")))</f>
        <v>Low</v>
      </c>
      <c r="AP69" t="str">
        <f>IF(HR_Data[[#This Row],[WorkLifeBalance]]=1,"Bad",IF(HR_Data[[#This Row],[WorkLifeBalance]]=2,"Good",IF(HR_Data[[#This Row],[WorkLifeBalance]]=3,"Better","Best")))</f>
        <v>Better</v>
      </c>
    </row>
    <row r="70" spans="1:42"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IF(HR_Data[[#This Row],[Attrition]]="Yes",1,0)</f>
        <v>0</v>
      </c>
      <c r="AK70">
        <f>IF(HR_Data[[#This Row],[Attrition]]="No",1,0)</f>
        <v>1</v>
      </c>
      <c r="AL70" t="str">
        <f>IF(HR_Data[[#This Row],[Age]]&lt;25,"Under 25",IF(HR_Data[[#This Row],[Age]]&lt;=34,"25-34",IF(HR_Data[[#This Row],[Age]]&lt;=44,"35-44",IF(HR_Data[[#This Row],[Age]]&lt;=54,"45-54","55+"))))</f>
        <v>35-44</v>
      </c>
      <c r="AM70" t="str">
        <f>IF(HR_Data[[#This Row],[MonthlyIncome]]&lt;3000,"Low Salary",IF(HR_Data[[#This Row],[MonthlyIncome]]&lt;=7000,"Medium Salary","High Salary"))</f>
        <v>Low Salary</v>
      </c>
      <c r="AN70" t="str">
        <f>IF(HR_Data[[#This Row],[YearsAtCompany]]&lt;2,"0-1 Years",IF(HR_Data[[#This Row],[YearsAtCompany]]&lt;=5,"2-5 Years",IF(HR_Data[[#This Row],[YearsAtCompany]]&lt;=10,"6-10 Years","10+ Years")))</f>
        <v>2-5 Years</v>
      </c>
      <c r="AO70" t="str">
        <f>IF(HR_Data[[#This Row],[JobSatisfaction]]=1,"Low",IF(HR_Data[[#This Row],[JobSatisfaction]]=2,"Medium",IF(HR_Data[[#This Row],[JobSatisfaction]]=3,"High","Very High")))</f>
        <v>Low</v>
      </c>
      <c r="AP70" t="str">
        <f>IF(HR_Data[[#This Row],[WorkLifeBalance]]=1,"Bad",IF(HR_Data[[#This Row],[WorkLifeBalance]]=2,"Good",IF(HR_Data[[#This Row],[WorkLifeBalance]]=3,"Better","Best")))</f>
        <v>Good</v>
      </c>
    </row>
    <row r="71" spans="1:42"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IF(HR_Data[[#This Row],[Attrition]]="Yes",1,0)</f>
        <v>1</v>
      </c>
      <c r="AK71">
        <f>IF(HR_Data[[#This Row],[Attrition]]="No",1,0)</f>
        <v>0</v>
      </c>
      <c r="AL71" t="str">
        <f>IF(HR_Data[[#This Row],[Age]]&lt;25,"Under 25",IF(HR_Data[[#This Row],[Age]]&lt;=34,"25-34",IF(HR_Data[[#This Row],[Age]]&lt;=44,"35-44",IF(HR_Data[[#This Row],[Age]]&lt;=54,"45-54","55+"))))</f>
        <v>35-44</v>
      </c>
      <c r="AM71" t="str">
        <f>IF(HR_Data[[#This Row],[MonthlyIncome]]&lt;3000,"Low Salary",IF(HR_Data[[#This Row],[MonthlyIncome]]&lt;=7000,"Medium Salary","High Salary"))</f>
        <v>Medium Salary</v>
      </c>
      <c r="AN71" t="str">
        <f>IF(HR_Data[[#This Row],[YearsAtCompany]]&lt;2,"0-1 Years",IF(HR_Data[[#This Row],[YearsAtCompany]]&lt;=5,"2-5 Years",IF(HR_Data[[#This Row],[YearsAtCompany]]&lt;=10,"6-10 Years","10+ Years")))</f>
        <v>0-1 Years</v>
      </c>
      <c r="AO71" t="str">
        <f>IF(HR_Data[[#This Row],[JobSatisfaction]]=1,"Low",IF(HR_Data[[#This Row],[JobSatisfaction]]=2,"Medium",IF(HR_Data[[#This Row],[JobSatisfaction]]=3,"High","Very High")))</f>
        <v>High</v>
      </c>
      <c r="AP71" t="str">
        <f>IF(HR_Data[[#This Row],[WorkLifeBalance]]=1,"Bad",IF(HR_Data[[#This Row],[WorkLifeBalance]]=2,"Good",IF(HR_Data[[#This Row],[WorkLifeBalance]]=3,"Better","Best")))</f>
        <v>Good</v>
      </c>
    </row>
    <row r="72" spans="1:42"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IF(HR_Data[[#This Row],[Attrition]]="Yes",1,0)</f>
        <v>0</v>
      </c>
      <c r="AK72">
        <f>IF(HR_Data[[#This Row],[Attrition]]="No",1,0)</f>
        <v>1</v>
      </c>
      <c r="AL72" t="str">
        <f>IF(HR_Data[[#This Row],[Age]]&lt;25,"Under 25",IF(HR_Data[[#This Row],[Age]]&lt;=34,"25-34",IF(HR_Data[[#This Row],[Age]]&lt;=44,"35-44",IF(HR_Data[[#This Row],[Age]]&lt;=54,"45-54","55+"))))</f>
        <v>55+</v>
      </c>
      <c r="AM72" t="str">
        <f>IF(HR_Data[[#This Row],[MonthlyIncome]]&lt;3000,"Low Salary",IF(HR_Data[[#This Row],[MonthlyIncome]]&lt;=7000,"Medium Salary","High Salary"))</f>
        <v>Medium Salary</v>
      </c>
      <c r="AN72" t="str">
        <f>IF(HR_Data[[#This Row],[YearsAtCompany]]&lt;2,"0-1 Years",IF(HR_Data[[#This Row],[YearsAtCompany]]&lt;=5,"2-5 Years",IF(HR_Data[[#This Row],[YearsAtCompany]]&lt;=10,"6-10 Years","10+ Years")))</f>
        <v>2-5 Years</v>
      </c>
      <c r="AO72" t="str">
        <f>IF(HR_Data[[#This Row],[JobSatisfaction]]=1,"Low",IF(HR_Data[[#This Row],[JobSatisfaction]]=2,"Medium",IF(HR_Data[[#This Row],[JobSatisfaction]]=3,"High","Very High")))</f>
        <v>High</v>
      </c>
      <c r="AP72" t="str">
        <f>IF(HR_Data[[#This Row],[WorkLifeBalance]]=1,"Bad",IF(HR_Data[[#This Row],[WorkLifeBalance]]=2,"Good",IF(HR_Data[[#This Row],[WorkLifeBalance]]=3,"Better","Best")))</f>
        <v>Good</v>
      </c>
    </row>
    <row r="73" spans="1:42"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IF(HR_Data[[#This Row],[Attrition]]="Yes",1,0)</f>
        <v>0</v>
      </c>
      <c r="AK73">
        <f>IF(HR_Data[[#This Row],[Attrition]]="No",1,0)</f>
        <v>1</v>
      </c>
      <c r="AL73" t="str">
        <f>IF(HR_Data[[#This Row],[Age]]&lt;25,"Under 25",IF(HR_Data[[#This Row],[Age]]&lt;=34,"25-34",IF(HR_Data[[#This Row],[Age]]&lt;=44,"35-44",IF(HR_Data[[#This Row],[Age]]&lt;=54,"45-54","55+"))))</f>
        <v>25-34</v>
      </c>
      <c r="AM73" t="str">
        <f>IF(HR_Data[[#This Row],[MonthlyIncome]]&lt;3000,"Low Salary",IF(HR_Data[[#This Row],[MonthlyIncome]]&lt;=7000,"Medium Salary","High Salary"))</f>
        <v>Low Salary</v>
      </c>
      <c r="AN73" t="str">
        <f>IF(HR_Data[[#This Row],[YearsAtCompany]]&lt;2,"0-1 Years",IF(HR_Data[[#This Row],[YearsAtCompany]]&lt;=5,"2-5 Years",IF(HR_Data[[#This Row],[YearsAtCompany]]&lt;=10,"6-10 Years","10+ Years")))</f>
        <v>2-5 Years</v>
      </c>
      <c r="AO73" t="str">
        <f>IF(HR_Data[[#This Row],[JobSatisfaction]]=1,"Low",IF(HR_Data[[#This Row],[JobSatisfaction]]=2,"Medium",IF(HR_Data[[#This Row],[JobSatisfaction]]=3,"High","Very High")))</f>
        <v>Medium</v>
      </c>
      <c r="AP73" t="str">
        <f>IF(HR_Data[[#This Row],[WorkLifeBalance]]=1,"Bad",IF(HR_Data[[#This Row],[WorkLifeBalance]]=2,"Good",IF(HR_Data[[#This Row],[WorkLifeBalance]]=3,"Better","Best")))</f>
        <v>Better</v>
      </c>
    </row>
    <row r="74" spans="1:42"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IF(HR_Data[[#This Row],[Attrition]]="Yes",1,0)</f>
        <v>0</v>
      </c>
      <c r="AK74">
        <f>IF(HR_Data[[#This Row],[Attrition]]="No",1,0)</f>
        <v>1</v>
      </c>
      <c r="AL74" t="str">
        <f>IF(HR_Data[[#This Row],[Age]]&lt;25,"Under 25",IF(HR_Data[[#This Row],[Age]]&lt;=34,"25-34",IF(HR_Data[[#This Row],[Age]]&lt;=44,"35-44",IF(HR_Data[[#This Row],[Age]]&lt;=54,"45-54","55+"))))</f>
        <v>25-34</v>
      </c>
      <c r="AM74" t="str">
        <f>IF(HR_Data[[#This Row],[MonthlyIncome]]&lt;3000,"Low Salary",IF(HR_Data[[#This Row],[MonthlyIncome]]&lt;=7000,"Medium Salary","High Salary"))</f>
        <v>Low Salary</v>
      </c>
      <c r="AN74" t="str">
        <f>IF(HR_Data[[#This Row],[YearsAtCompany]]&lt;2,"0-1 Years",IF(HR_Data[[#This Row],[YearsAtCompany]]&lt;=5,"2-5 Years",IF(HR_Data[[#This Row],[YearsAtCompany]]&lt;=10,"6-10 Years","10+ Years")))</f>
        <v>0-1 Years</v>
      </c>
      <c r="AO74" t="str">
        <f>IF(HR_Data[[#This Row],[JobSatisfaction]]=1,"Low",IF(HR_Data[[#This Row],[JobSatisfaction]]=2,"Medium",IF(HR_Data[[#This Row],[JobSatisfaction]]=3,"High","Very High")))</f>
        <v>Medium</v>
      </c>
      <c r="AP74" t="str">
        <f>IF(HR_Data[[#This Row],[WorkLifeBalance]]=1,"Bad",IF(HR_Data[[#This Row],[WorkLifeBalance]]=2,"Good",IF(HR_Data[[#This Row],[WorkLifeBalance]]=3,"Better","Best")))</f>
        <v>Better</v>
      </c>
    </row>
    <row r="75" spans="1:42"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IF(HR_Data[[#This Row],[Attrition]]="Yes",1,0)</f>
        <v>0</v>
      </c>
      <c r="AK75">
        <f>IF(HR_Data[[#This Row],[Attrition]]="No",1,0)</f>
        <v>1</v>
      </c>
      <c r="AL75" t="str">
        <f>IF(HR_Data[[#This Row],[Age]]&lt;25,"Under 25",IF(HR_Data[[#This Row],[Age]]&lt;=34,"25-34",IF(HR_Data[[#This Row],[Age]]&lt;=44,"35-44",IF(HR_Data[[#This Row],[Age]]&lt;=54,"45-54","55+"))))</f>
        <v>25-34</v>
      </c>
      <c r="AM75" t="str">
        <f>IF(HR_Data[[#This Row],[MonthlyIncome]]&lt;3000,"Low Salary",IF(HR_Data[[#This Row],[MonthlyIncome]]&lt;=7000,"Medium Salary","High Salary"))</f>
        <v>Medium Salary</v>
      </c>
      <c r="AN75" t="str">
        <f>IF(HR_Data[[#This Row],[YearsAtCompany]]&lt;2,"0-1 Years",IF(HR_Data[[#This Row],[YearsAtCompany]]&lt;=5,"2-5 Years",IF(HR_Data[[#This Row],[YearsAtCompany]]&lt;=10,"6-10 Years","10+ Years")))</f>
        <v>6-10 Years</v>
      </c>
      <c r="AO75" t="str">
        <f>IF(HR_Data[[#This Row],[JobSatisfaction]]=1,"Low",IF(HR_Data[[#This Row],[JobSatisfaction]]=2,"Medium",IF(HR_Data[[#This Row],[JobSatisfaction]]=3,"High","Very High")))</f>
        <v>Medium</v>
      </c>
      <c r="AP75" t="str">
        <f>IF(HR_Data[[#This Row],[WorkLifeBalance]]=1,"Bad",IF(HR_Data[[#This Row],[WorkLifeBalance]]=2,"Good",IF(HR_Data[[#This Row],[WorkLifeBalance]]=3,"Better","Best")))</f>
        <v>Better</v>
      </c>
    </row>
    <row r="76" spans="1:42"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IF(HR_Data[[#This Row],[Attrition]]="Yes",1,0)</f>
        <v>0</v>
      </c>
      <c r="AK76">
        <f>IF(HR_Data[[#This Row],[Attrition]]="No",1,0)</f>
        <v>1</v>
      </c>
      <c r="AL76" t="str">
        <f>IF(HR_Data[[#This Row],[Age]]&lt;25,"Under 25",IF(HR_Data[[#This Row],[Age]]&lt;=34,"25-34",IF(HR_Data[[#This Row],[Age]]&lt;=44,"35-44",IF(HR_Data[[#This Row],[Age]]&lt;=54,"45-54","55+"))))</f>
        <v>35-44</v>
      </c>
      <c r="AM76" t="str">
        <f>IF(HR_Data[[#This Row],[MonthlyIncome]]&lt;3000,"Low Salary",IF(HR_Data[[#This Row],[MonthlyIncome]]&lt;=7000,"Medium Salary","High Salary"))</f>
        <v>Medium Salary</v>
      </c>
      <c r="AN76" t="str">
        <f>IF(HR_Data[[#This Row],[YearsAtCompany]]&lt;2,"0-1 Years",IF(HR_Data[[#This Row],[YearsAtCompany]]&lt;=5,"2-5 Years",IF(HR_Data[[#This Row],[YearsAtCompany]]&lt;=10,"6-10 Years","10+ Years")))</f>
        <v>0-1 Years</v>
      </c>
      <c r="AO76" t="str">
        <f>IF(HR_Data[[#This Row],[JobSatisfaction]]=1,"Low",IF(HR_Data[[#This Row],[JobSatisfaction]]=2,"Medium",IF(HR_Data[[#This Row],[JobSatisfaction]]=3,"High","Very High")))</f>
        <v>Very High</v>
      </c>
      <c r="AP76" t="str">
        <f>IF(HR_Data[[#This Row],[WorkLifeBalance]]=1,"Bad",IF(HR_Data[[#This Row],[WorkLifeBalance]]=2,"Good",IF(HR_Data[[#This Row],[WorkLifeBalance]]=3,"Better","Best")))</f>
        <v>Better</v>
      </c>
    </row>
    <row r="77" spans="1:42"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IF(HR_Data[[#This Row],[Attrition]]="Yes",1,0)</f>
        <v>0</v>
      </c>
      <c r="AK77">
        <f>IF(HR_Data[[#This Row],[Attrition]]="No",1,0)</f>
        <v>1</v>
      </c>
      <c r="AL77" t="str">
        <f>IF(HR_Data[[#This Row],[Age]]&lt;25,"Under 25",IF(HR_Data[[#This Row],[Age]]&lt;=34,"25-34",IF(HR_Data[[#This Row],[Age]]&lt;=44,"35-44",IF(HR_Data[[#This Row],[Age]]&lt;=54,"45-54","55+"))))</f>
        <v>25-34</v>
      </c>
      <c r="AM77" t="str">
        <f>IF(HR_Data[[#This Row],[MonthlyIncome]]&lt;3000,"Low Salary",IF(HR_Data[[#This Row],[MonthlyIncome]]&lt;=7000,"Medium Salary","High Salary"))</f>
        <v>Medium Salary</v>
      </c>
      <c r="AN77" t="str">
        <f>IF(HR_Data[[#This Row],[YearsAtCompany]]&lt;2,"0-1 Years",IF(HR_Data[[#This Row],[YearsAtCompany]]&lt;=5,"2-5 Years",IF(HR_Data[[#This Row],[YearsAtCompany]]&lt;=10,"6-10 Years","10+ Years")))</f>
        <v>10+ Years</v>
      </c>
      <c r="AO77" t="str">
        <f>IF(HR_Data[[#This Row],[JobSatisfaction]]=1,"Low",IF(HR_Data[[#This Row],[JobSatisfaction]]=2,"Medium",IF(HR_Data[[#This Row],[JobSatisfaction]]=3,"High","Very High")))</f>
        <v>Very High</v>
      </c>
      <c r="AP77" t="str">
        <f>IF(HR_Data[[#This Row],[WorkLifeBalance]]=1,"Bad",IF(HR_Data[[#This Row],[WorkLifeBalance]]=2,"Good",IF(HR_Data[[#This Row],[WorkLifeBalance]]=3,"Better","Best")))</f>
        <v>Better</v>
      </c>
    </row>
    <row r="78" spans="1:42"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IF(HR_Data[[#This Row],[Attrition]]="Yes",1,0)</f>
        <v>0</v>
      </c>
      <c r="AK78">
        <f>IF(HR_Data[[#This Row],[Attrition]]="No",1,0)</f>
        <v>1</v>
      </c>
      <c r="AL78" t="str">
        <f>IF(HR_Data[[#This Row],[Age]]&lt;25,"Under 25",IF(HR_Data[[#This Row],[Age]]&lt;=34,"25-34",IF(HR_Data[[#This Row],[Age]]&lt;=44,"35-44",IF(HR_Data[[#This Row],[Age]]&lt;=54,"45-54","55+"))))</f>
        <v>35-44</v>
      </c>
      <c r="AM78" t="str">
        <f>IF(HR_Data[[#This Row],[MonthlyIncome]]&lt;3000,"Low Salary",IF(HR_Data[[#This Row],[MonthlyIncome]]&lt;=7000,"Medium Salary","High Salary"))</f>
        <v>Medium Salary</v>
      </c>
      <c r="AN78" t="str">
        <f>IF(HR_Data[[#This Row],[YearsAtCompany]]&lt;2,"0-1 Years",IF(HR_Data[[#This Row],[YearsAtCompany]]&lt;=5,"2-5 Years",IF(HR_Data[[#This Row],[YearsAtCompany]]&lt;=10,"6-10 Years","10+ Years")))</f>
        <v>10+ Years</v>
      </c>
      <c r="AO78" t="str">
        <f>IF(HR_Data[[#This Row],[JobSatisfaction]]=1,"Low",IF(HR_Data[[#This Row],[JobSatisfaction]]=2,"Medium",IF(HR_Data[[#This Row],[JobSatisfaction]]=3,"High","Very High")))</f>
        <v>Low</v>
      </c>
      <c r="AP78" t="str">
        <f>IF(HR_Data[[#This Row],[WorkLifeBalance]]=1,"Bad",IF(HR_Data[[#This Row],[WorkLifeBalance]]=2,"Good",IF(HR_Data[[#This Row],[WorkLifeBalance]]=3,"Better","Best")))</f>
        <v>Better</v>
      </c>
    </row>
    <row r="79" spans="1:42"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IF(HR_Data[[#This Row],[Attrition]]="Yes",1,0)</f>
        <v>0</v>
      </c>
      <c r="AK79">
        <f>IF(HR_Data[[#This Row],[Attrition]]="No",1,0)</f>
        <v>1</v>
      </c>
      <c r="AL79" t="str">
        <f>IF(HR_Data[[#This Row],[Age]]&lt;25,"Under 25",IF(HR_Data[[#This Row],[Age]]&lt;=34,"25-34",IF(HR_Data[[#This Row],[Age]]&lt;=44,"35-44",IF(HR_Data[[#This Row],[Age]]&lt;=54,"45-54","55+"))))</f>
        <v>45-54</v>
      </c>
      <c r="AM79" t="str">
        <f>IF(HR_Data[[#This Row],[MonthlyIncome]]&lt;3000,"Low Salary",IF(HR_Data[[#This Row],[MonthlyIncome]]&lt;=7000,"Medium Salary","High Salary"))</f>
        <v>High Salary</v>
      </c>
      <c r="AN79" t="str">
        <f>IF(HR_Data[[#This Row],[YearsAtCompany]]&lt;2,"0-1 Years",IF(HR_Data[[#This Row],[YearsAtCompany]]&lt;=5,"2-5 Years",IF(HR_Data[[#This Row],[YearsAtCompany]]&lt;=10,"6-10 Years","10+ Years")))</f>
        <v>0-1 Years</v>
      </c>
      <c r="AO79" t="str">
        <f>IF(HR_Data[[#This Row],[JobSatisfaction]]=1,"Low",IF(HR_Data[[#This Row],[JobSatisfaction]]=2,"Medium",IF(HR_Data[[#This Row],[JobSatisfaction]]=3,"High","Very High")))</f>
        <v>Low</v>
      </c>
      <c r="AP79" t="str">
        <f>IF(HR_Data[[#This Row],[WorkLifeBalance]]=1,"Bad",IF(HR_Data[[#This Row],[WorkLifeBalance]]=2,"Good",IF(HR_Data[[#This Row],[WorkLifeBalance]]=3,"Better","Best")))</f>
        <v>Best</v>
      </c>
    </row>
    <row r="80" spans="1:42"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IF(HR_Data[[#This Row],[Attrition]]="Yes",1,0)</f>
        <v>0</v>
      </c>
      <c r="AK80">
        <f>IF(HR_Data[[#This Row],[Attrition]]="No",1,0)</f>
        <v>1</v>
      </c>
      <c r="AL80" t="str">
        <f>IF(HR_Data[[#This Row],[Age]]&lt;25,"Under 25",IF(HR_Data[[#This Row],[Age]]&lt;=34,"25-34",IF(HR_Data[[#This Row],[Age]]&lt;=44,"35-44",IF(HR_Data[[#This Row],[Age]]&lt;=54,"45-54","55+"))))</f>
        <v>35-44</v>
      </c>
      <c r="AM80" t="str">
        <f>IF(HR_Data[[#This Row],[MonthlyIncome]]&lt;3000,"Low Salary",IF(HR_Data[[#This Row],[MonthlyIncome]]&lt;=7000,"Medium Salary","High Salary"))</f>
        <v>High Salary</v>
      </c>
      <c r="AN80" t="str">
        <f>IF(HR_Data[[#This Row],[YearsAtCompany]]&lt;2,"0-1 Years",IF(HR_Data[[#This Row],[YearsAtCompany]]&lt;=5,"2-5 Years",IF(HR_Data[[#This Row],[YearsAtCompany]]&lt;=10,"6-10 Years","10+ Years")))</f>
        <v>2-5 Years</v>
      </c>
      <c r="AO80" t="str">
        <f>IF(HR_Data[[#This Row],[JobSatisfaction]]=1,"Low",IF(HR_Data[[#This Row],[JobSatisfaction]]=2,"Medium",IF(HR_Data[[#This Row],[JobSatisfaction]]=3,"High","Very High")))</f>
        <v>High</v>
      </c>
      <c r="AP80" t="str">
        <f>IF(HR_Data[[#This Row],[WorkLifeBalance]]=1,"Bad",IF(HR_Data[[#This Row],[WorkLifeBalance]]=2,"Good",IF(HR_Data[[#This Row],[WorkLifeBalance]]=3,"Better","Best")))</f>
        <v>Best</v>
      </c>
    </row>
    <row r="81" spans="1:42"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IF(HR_Data[[#This Row],[Attrition]]="Yes",1,0)</f>
        <v>0</v>
      </c>
      <c r="AK81">
        <f>IF(HR_Data[[#This Row],[Attrition]]="No",1,0)</f>
        <v>1</v>
      </c>
      <c r="AL81" t="str">
        <f>IF(HR_Data[[#This Row],[Age]]&lt;25,"Under 25",IF(HR_Data[[#This Row],[Age]]&lt;=34,"25-34",IF(HR_Data[[#This Row],[Age]]&lt;=44,"35-44",IF(HR_Data[[#This Row],[Age]]&lt;=54,"45-54","55+"))))</f>
        <v>45-54</v>
      </c>
      <c r="AM81" t="str">
        <f>IF(HR_Data[[#This Row],[MonthlyIncome]]&lt;3000,"Low Salary",IF(HR_Data[[#This Row],[MonthlyIncome]]&lt;=7000,"Medium Salary","High Salary"))</f>
        <v>Medium Salary</v>
      </c>
      <c r="AN81" t="str">
        <f>IF(HR_Data[[#This Row],[YearsAtCompany]]&lt;2,"0-1 Years",IF(HR_Data[[#This Row],[YearsAtCompany]]&lt;=5,"2-5 Years",IF(HR_Data[[#This Row],[YearsAtCompany]]&lt;=10,"6-10 Years","10+ Years")))</f>
        <v>2-5 Years</v>
      </c>
      <c r="AO81" t="str">
        <f>IF(HR_Data[[#This Row],[JobSatisfaction]]=1,"Low",IF(HR_Data[[#This Row],[JobSatisfaction]]=2,"Medium",IF(HR_Data[[#This Row],[JobSatisfaction]]=3,"High","Very High")))</f>
        <v>Medium</v>
      </c>
      <c r="AP81" t="str">
        <f>IF(HR_Data[[#This Row],[WorkLifeBalance]]=1,"Bad",IF(HR_Data[[#This Row],[WorkLifeBalance]]=2,"Good",IF(HR_Data[[#This Row],[WorkLifeBalance]]=3,"Better","Best")))</f>
        <v>Better</v>
      </c>
    </row>
    <row r="82" spans="1:42"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IF(HR_Data[[#This Row],[Attrition]]="Yes",1,0)</f>
        <v>0</v>
      </c>
      <c r="AK82">
        <f>IF(HR_Data[[#This Row],[Attrition]]="No",1,0)</f>
        <v>1</v>
      </c>
      <c r="AL82" t="str">
        <f>IF(HR_Data[[#This Row],[Age]]&lt;25,"Under 25",IF(HR_Data[[#This Row],[Age]]&lt;=34,"25-34",IF(HR_Data[[#This Row],[Age]]&lt;=44,"35-44",IF(HR_Data[[#This Row],[Age]]&lt;=54,"45-54","55+"))))</f>
        <v>25-34</v>
      </c>
      <c r="AM82" t="str">
        <f>IF(HR_Data[[#This Row],[MonthlyIncome]]&lt;3000,"Low Salary",IF(HR_Data[[#This Row],[MonthlyIncome]]&lt;=7000,"Medium Salary","High Salary"))</f>
        <v>Medium Salary</v>
      </c>
      <c r="AN82" t="str">
        <f>IF(HR_Data[[#This Row],[YearsAtCompany]]&lt;2,"0-1 Years",IF(HR_Data[[#This Row],[YearsAtCompany]]&lt;=5,"2-5 Years",IF(HR_Data[[#This Row],[YearsAtCompany]]&lt;=10,"6-10 Years","10+ Years")))</f>
        <v>6-10 Years</v>
      </c>
      <c r="AO82" t="str">
        <f>IF(HR_Data[[#This Row],[JobSatisfaction]]=1,"Low",IF(HR_Data[[#This Row],[JobSatisfaction]]=2,"Medium",IF(HR_Data[[#This Row],[JobSatisfaction]]=3,"High","Very High")))</f>
        <v>Very High</v>
      </c>
      <c r="AP82" t="str">
        <f>IF(HR_Data[[#This Row],[WorkLifeBalance]]=1,"Bad",IF(HR_Data[[#This Row],[WorkLifeBalance]]=2,"Good",IF(HR_Data[[#This Row],[WorkLifeBalance]]=3,"Better","Best")))</f>
        <v>Good</v>
      </c>
    </row>
    <row r="83" spans="1:42"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IF(HR_Data[[#This Row],[Attrition]]="Yes",1,0)</f>
        <v>0</v>
      </c>
      <c r="AK83">
        <f>IF(HR_Data[[#This Row],[Attrition]]="No",1,0)</f>
        <v>1</v>
      </c>
      <c r="AL83" t="str">
        <f>IF(HR_Data[[#This Row],[Age]]&lt;25,"Under 25",IF(HR_Data[[#This Row],[Age]]&lt;=34,"25-34",IF(HR_Data[[#This Row],[Age]]&lt;=44,"35-44",IF(HR_Data[[#This Row],[Age]]&lt;=54,"45-54","55+"))))</f>
        <v>35-44</v>
      </c>
      <c r="AM83" t="str">
        <f>IF(HR_Data[[#This Row],[MonthlyIncome]]&lt;3000,"Low Salary",IF(HR_Data[[#This Row],[MonthlyIncome]]&lt;=7000,"Medium Salary","High Salary"))</f>
        <v>Low Salary</v>
      </c>
      <c r="AN83" t="str">
        <f>IF(HR_Data[[#This Row],[YearsAtCompany]]&lt;2,"0-1 Years",IF(HR_Data[[#This Row],[YearsAtCompany]]&lt;=5,"2-5 Years",IF(HR_Data[[#This Row],[YearsAtCompany]]&lt;=10,"6-10 Years","10+ Years")))</f>
        <v>6-10 Years</v>
      </c>
      <c r="AO83" t="str">
        <f>IF(HR_Data[[#This Row],[JobSatisfaction]]=1,"Low",IF(HR_Data[[#This Row],[JobSatisfaction]]=2,"Medium",IF(HR_Data[[#This Row],[JobSatisfaction]]=3,"High","Very High")))</f>
        <v>High</v>
      </c>
      <c r="AP83" t="str">
        <f>IF(HR_Data[[#This Row],[WorkLifeBalance]]=1,"Bad",IF(HR_Data[[#This Row],[WorkLifeBalance]]=2,"Good",IF(HR_Data[[#This Row],[WorkLifeBalance]]=3,"Better","Best")))</f>
        <v>Better</v>
      </c>
    </row>
    <row r="84" spans="1:42"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IF(HR_Data[[#This Row],[Attrition]]="Yes",1,0)</f>
        <v>0</v>
      </c>
      <c r="AK84">
        <f>IF(HR_Data[[#This Row],[Attrition]]="No",1,0)</f>
        <v>1</v>
      </c>
      <c r="AL84" t="str">
        <f>IF(HR_Data[[#This Row],[Age]]&lt;25,"Under 25",IF(HR_Data[[#This Row],[Age]]&lt;=34,"25-34",IF(HR_Data[[#This Row],[Age]]&lt;=44,"35-44",IF(HR_Data[[#This Row],[Age]]&lt;=54,"45-54","55+"))))</f>
        <v>55+</v>
      </c>
      <c r="AM84" t="str">
        <f>IF(HR_Data[[#This Row],[MonthlyIncome]]&lt;3000,"Low Salary",IF(HR_Data[[#This Row],[MonthlyIncome]]&lt;=7000,"Medium Salary","High Salary"))</f>
        <v>High Salary</v>
      </c>
      <c r="AN84" t="str">
        <f>IF(HR_Data[[#This Row],[YearsAtCompany]]&lt;2,"0-1 Years",IF(HR_Data[[#This Row],[YearsAtCompany]]&lt;=5,"2-5 Years",IF(HR_Data[[#This Row],[YearsAtCompany]]&lt;=10,"6-10 Years","10+ Years")))</f>
        <v>0-1 Years</v>
      </c>
      <c r="AO84" t="str">
        <f>IF(HR_Data[[#This Row],[JobSatisfaction]]=1,"Low",IF(HR_Data[[#This Row],[JobSatisfaction]]=2,"Medium",IF(HR_Data[[#This Row],[JobSatisfaction]]=3,"High","Very High")))</f>
        <v>Very High</v>
      </c>
      <c r="AP84" t="str">
        <f>IF(HR_Data[[#This Row],[WorkLifeBalance]]=1,"Bad",IF(HR_Data[[#This Row],[WorkLifeBalance]]=2,"Good",IF(HR_Data[[#This Row],[WorkLifeBalance]]=3,"Better","Best")))</f>
        <v>Better</v>
      </c>
    </row>
    <row r="85" spans="1:42"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IF(HR_Data[[#This Row],[Attrition]]="Yes",1,0)</f>
        <v>0</v>
      </c>
      <c r="AK85">
        <f>IF(HR_Data[[#This Row],[Attrition]]="No",1,0)</f>
        <v>1</v>
      </c>
      <c r="AL85" t="str">
        <f>IF(HR_Data[[#This Row],[Age]]&lt;25,"Under 25",IF(HR_Data[[#This Row],[Age]]&lt;=34,"25-34",IF(HR_Data[[#This Row],[Age]]&lt;=44,"35-44",IF(HR_Data[[#This Row],[Age]]&lt;=54,"45-54","55+"))))</f>
        <v>35-44</v>
      </c>
      <c r="AM85" t="str">
        <f>IF(HR_Data[[#This Row],[MonthlyIncome]]&lt;3000,"Low Salary",IF(HR_Data[[#This Row],[MonthlyIncome]]&lt;=7000,"Medium Salary","High Salary"))</f>
        <v>Medium Salary</v>
      </c>
      <c r="AN85" t="str">
        <f>IF(HR_Data[[#This Row],[YearsAtCompany]]&lt;2,"0-1 Years",IF(HR_Data[[#This Row],[YearsAtCompany]]&lt;=5,"2-5 Years",IF(HR_Data[[#This Row],[YearsAtCompany]]&lt;=10,"6-10 Years","10+ Years")))</f>
        <v>10+ Years</v>
      </c>
      <c r="AO85" t="str">
        <f>IF(HR_Data[[#This Row],[JobSatisfaction]]=1,"Low",IF(HR_Data[[#This Row],[JobSatisfaction]]=2,"Medium",IF(HR_Data[[#This Row],[JobSatisfaction]]=3,"High","Very High")))</f>
        <v>Very High</v>
      </c>
      <c r="AP85" t="str">
        <f>IF(HR_Data[[#This Row],[WorkLifeBalance]]=1,"Bad",IF(HR_Data[[#This Row],[WorkLifeBalance]]=2,"Good",IF(HR_Data[[#This Row],[WorkLifeBalance]]=3,"Better","Best")))</f>
        <v>Better</v>
      </c>
    </row>
    <row r="86" spans="1:42"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IF(HR_Data[[#This Row],[Attrition]]="Yes",1,0)</f>
        <v>0</v>
      </c>
      <c r="AK86">
        <f>IF(HR_Data[[#This Row],[Attrition]]="No",1,0)</f>
        <v>1</v>
      </c>
      <c r="AL86" t="str">
        <f>IF(HR_Data[[#This Row],[Age]]&lt;25,"Under 25",IF(HR_Data[[#This Row],[Age]]&lt;=34,"25-34",IF(HR_Data[[#This Row],[Age]]&lt;=44,"35-44",IF(HR_Data[[#This Row],[Age]]&lt;=54,"45-54","55+"))))</f>
        <v>25-34</v>
      </c>
      <c r="AM86" t="str">
        <f>IF(HR_Data[[#This Row],[MonthlyIncome]]&lt;3000,"Low Salary",IF(HR_Data[[#This Row],[MonthlyIncome]]&lt;=7000,"Medium Salary","High Salary"))</f>
        <v>Medium Salary</v>
      </c>
      <c r="AN86" t="str">
        <f>IF(HR_Data[[#This Row],[YearsAtCompany]]&lt;2,"0-1 Years",IF(HR_Data[[#This Row],[YearsAtCompany]]&lt;=5,"2-5 Years",IF(HR_Data[[#This Row],[YearsAtCompany]]&lt;=10,"6-10 Years","10+ Years")))</f>
        <v>2-5 Years</v>
      </c>
      <c r="AO86" t="str">
        <f>IF(HR_Data[[#This Row],[JobSatisfaction]]=1,"Low",IF(HR_Data[[#This Row],[JobSatisfaction]]=2,"Medium",IF(HR_Data[[#This Row],[JobSatisfaction]]=3,"High","Very High")))</f>
        <v>Medium</v>
      </c>
      <c r="AP86" t="str">
        <f>IF(HR_Data[[#This Row],[WorkLifeBalance]]=1,"Bad",IF(HR_Data[[#This Row],[WorkLifeBalance]]=2,"Good",IF(HR_Data[[#This Row],[WorkLifeBalance]]=3,"Better","Best")))</f>
        <v>Better</v>
      </c>
    </row>
    <row r="87" spans="1:42"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IF(HR_Data[[#This Row],[Attrition]]="Yes",1,0)</f>
        <v>0</v>
      </c>
      <c r="AK87">
        <f>IF(HR_Data[[#This Row],[Attrition]]="No",1,0)</f>
        <v>1</v>
      </c>
      <c r="AL87" t="str">
        <f>IF(HR_Data[[#This Row],[Age]]&lt;25,"Under 25",IF(HR_Data[[#This Row],[Age]]&lt;=34,"25-34",IF(HR_Data[[#This Row],[Age]]&lt;=44,"35-44",IF(HR_Data[[#This Row],[Age]]&lt;=54,"45-54","55+"))))</f>
        <v>55+</v>
      </c>
      <c r="AM87" t="str">
        <f>IF(HR_Data[[#This Row],[MonthlyIncome]]&lt;3000,"Low Salary",IF(HR_Data[[#This Row],[MonthlyIncome]]&lt;=7000,"Medium Salary","High Salary"))</f>
        <v>High Salary</v>
      </c>
      <c r="AN87" t="str">
        <f>IF(HR_Data[[#This Row],[YearsAtCompany]]&lt;2,"0-1 Years",IF(HR_Data[[#This Row],[YearsAtCompany]]&lt;=5,"2-5 Years",IF(HR_Data[[#This Row],[YearsAtCompany]]&lt;=10,"6-10 Years","10+ Years")))</f>
        <v>6-10 Years</v>
      </c>
      <c r="AO87" t="str">
        <f>IF(HR_Data[[#This Row],[JobSatisfaction]]=1,"Low",IF(HR_Data[[#This Row],[JobSatisfaction]]=2,"Medium",IF(HR_Data[[#This Row],[JobSatisfaction]]=3,"High","Very High")))</f>
        <v>Very High</v>
      </c>
      <c r="AP87" t="str">
        <f>IF(HR_Data[[#This Row],[WorkLifeBalance]]=1,"Bad",IF(HR_Data[[#This Row],[WorkLifeBalance]]=2,"Good",IF(HR_Data[[#This Row],[WorkLifeBalance]]=3,"Better","Best")))</f>
        <v>Good</v>
      </c>
    </row>
    <row r="88" spans="1:42"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IF(HR_Data[[#This Row],[Attrition]]="Yes",1,0)</f>
        <v>0</v>
      </c>
      <c r="AK88">
        <f>IF(HR_Data[[#This Row],[Attrition]]="No",1,0)</f>
        <v>1</v>
      </c>
      <c r="AL88" t="str">
        <f>IF(HR_Data[[#This Row],[Age]]&lt;25,"Under 25",IF(HR_Data[[#This Row],[Age]]&lt;=34,"25-34",IF(HR_Data[[#This Row],[Age]]&lt;=44,"35-44",IF(HR_Data[[#This Row],[Age]]&lt;=54,"45-54","55+"))))</f>
        <v>Under 25</v>
      </c>
      <c r="AM88" t="str">
        <f>IF(HR_Data[[#This Row],[MonthlyIncome]]&lt;3000,"Low Salary",IF(HR_Data[[#This Row],[MonthlyIncome]]&lt;=7000,"Medium Salary","High Salary"))</f>
        <v>Low Salary</v>
      </c>
      <c r="AN88" t="str">
        <f>IF(HR_Data[[#This Row],[YearsAtCompany]]&lt;2,"0-1 Years",IF(HR_Data[[#This Row],[YearsAtCompany]]&lt;=5,"2-5 Years",IF(HR_Data[[#This Row],[YearsAtCompany]]&lt;=10,"6-10 Years","10+ Years")))</f>
        <v>0-1 Years</v>
      </c>
      <c r="AO88" t="str">
        <f>IF(HR_Data[[#This Row],[JobSatisfaction]]=1,"Low",IF(HR_Data[[#This Row],[JobSatisfaction]]=2,"Medium",IF(HR_Data[[#This Row],[JobSatisfaction]]=3,"High","Very High")))</f>
        <v>Low</v>
      </c>
      <c r="AP88" t="str">
        <f>IF(HR_Data[[#This Row],[WorkLifeBalance]]=1,"Bad",IF(HR_Data[[#This Row],[WorkLifeBalance]]=2,"Good",IF(HR_Data[[#This Row],[WorkLifeBalance]]=3,"Better","Best")))</f>
        <v>Better</v>
      </c>
    </row>
    <row r="89" spans="1:42"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IF(HR_Data[[#This Row],[Attrition]]="Yes",1,0)</f>
        <v>0</v>
      </c>
      <c r="AK89">
        <f>IF(HR_Data[[#This Row],[Attrition]]="No",1,0)</f>
        <v>1</v>
      </c>
      <c r="AL89" t="str">
        <f>IF(HR_Data[[#This Row],[Age]]&lt;25,"Under 25",IF(HR_Data[[#This Row],[Age]]&lt;=34,"25-34",IF(HR_Data[[#This Row],[Age]]&lt;=44,"35-44",IF(HR_Data[[#This Row],[Age]]&lt;=54,"45-54","55+"))))</f>
        <v>45-54</v>
      </c>
      <c r="AM89" t="str">
        <f>IF(HR_Data[[#This Row],[MonthlyIncome]]&lt;3000,"Low Salary",IF(HR_Data[[#This Row],[MonthlyIncome]]&lt;=7000,"Medium Salary","High Salary"))</f>
        <v>Low Salary</v>
      </c>
      <c r="AN89" t="str">
        <f>IF(HR_Data[[#This Row],[YearsAtCompany]]&lt;2,"0-1 Years",IF(HR_Data[[#This Row],[YearsAtCompany]]&lt;=5,"2-5 Years",IF(HR_Data[[#This Row],[YearsAtCompany]]&lt;=10,"6-10 Years","10+ Years")))</f>
        <v>2-5 Years</v>
      </c>
      <c r="AO89" t="str">
        <f>IF(HR_Data[[#This Row],[JobSatisfaction]]=1,"Low",IF(HR_Data[[#This Row],[JobSatisfaction]]=2,"Medium",IF(HR_Data[[#This Row],[JobSatisfaction]]=3,"High","Very High")))</f>
        <v>Very High</v>
      </c>
      <c r="AP89" t="str">
        <f>IF(HR_Data[[#This Row],[WorkLifeBalance]]=1,"Bad",IF(HR_Data[[#This Row],[WorkLifeBalance]]=2,"Good",IF(HR_Data[[#This Row],[WorkLifeBalance]]=3,"Better","Best")))</f>
        <v>Better</v>
      </c>
    </row>
    <row r="90" spans="1:42"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IF(HR_Data[[#This Row],[Attrition]]="Yes",1,0)</f>
        <v>0</v>
      </c>
      <c r="AK90">
        <f>IF(HR_Data[[#This Row],[Attrition]]="No",1,0)</f>
        <v>1</v>
      </c>
      <c r="AL90" t="str">
        <f>IF(HR_Data[[#This Row],[Age]]&lt;25,"Under 25",IF(HR_Data[[#This Row],[Age]]&lt;=34,"25-34",IF(HR_Data[[#This Row],[Age]]&lt;=44,"35-44",IF(HR_Data[[#This Row],[Age]]&lt;=54,"45-54","55+"))))</f>
        <v>25-34</v>
      </c>
      <c r="AM90" t="str">
        <f>IF(HR_Data[[#This Row],[MonthlyIncome]]&lt;3000,"Low Salary",IF(HR_Data[[#This Row],[MonthlyIncome]]&lt;=7000,"Medium Salary","High Salary"))</f>
        <v>Medium Salary</v>
      </c>
      <c r="AN90" t="str">
        <f>IF(HR_Data[[#This Row],[YearsAtCompany]]&lt;2,"0-1 Years",IF(HR_Data[[#This Row],[YearsAtCompany]]&lt;=5,"2-5 Years",IF(HR_Data[[#This Row],[YearsAtCompany]]&lt;=10,"6-10 Years","10+ Years")))</f>
        <v>10+ Years</v>
      </c>
      <c r="AO90" t="str">
        <f>IF(HR_Data[[#This Row],[JobSatisfaction]]=1,"Low",IF(HR_Data[[#This Row],[JobSatisfaction]]=2,"Medium",IF(HR_Data[[#This Row],[JobSatisfaction]]=3,"High","Very High")))</f>
        <v>Very High</v>
      </c>
      <c r="AP90" t="str">
        <f>IF(HR_Data[[#This Row],[WorkLifeBalance]]=1,"Bad",IF(HR_Data[[#This Row],[WorkLifeBalance]]=2,"Good",IF(HR_Data[[#This Row],[WorkLifeBalance]]=3,"Better","Best")))</f>
        <v>Better</v>
      </c>
    </row>
    <row r="91" spans="1:42"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IF(HR_Data[[#This Row],[Attrition]]="Yes",1,0)</f>
        <v>1</v>
      </c>
      <c r="AK91">
        <f>IF(HR_Data[[#This Row],[Attrition]]="No",1,0)</f>
        <v>0</v>
      </c>
      <c r="AL91" t="str">
        <f>IF(HR_Data[[#This Row],[Age]]&lt;25,"Under 25",IF(HR_Data[[#This Row],[Age]]&lt;=34,"25-34",IF(HR_Data[[#This Row],[Age]]&lt;=44,"35-44",IF(HR_Data[[#This Row],[Age]]&lt;=54,"45-54","55+"))))</f>
        <v>45-54</v>
      </c>
      <c r="AM91" t="str">
        <f>IF(HR_Data[[#This Row],[MonthlyIncome]]&lt;3000,"Low Salary",IF(HR_Data[[#This Row],[MonthlyIncome]]&lt;=7000,"Medium Salary","High Salary"))</f>
        <v>High Salary</v>
      </c>
      <c r="AN91" t="str">
        <f>IF(HR_Data[[#This Row],[YearsAtCompany]]&lt;2,"0-1 Years",IF(HR_Data[[#This Row],[YearsAtCompany]]&lt;=5,"2-5 Years",IF(HR_Data[[#This Row],[YearsAtCompany]]&lt;=10,"6-10 Years","10+ Years")))</f>
        <v>6-10 Years</v>
      </c>
      <c r="AO91" t="str">
        <f>IF(HR_Data[[#This Row],[JobSatisfaction]]=1,"Low",IF(HR_Data[[#This Row],[JobSatisfaction]]=2,"Medium",IF(HR_Data[[#This Row],[JobSatisfaction]]=3,"High","Very High")))</f>
        <v>Very High</v>
      </c>
      <c r="AP91" t="str">
        <f>IF(HR_Data[[#This Row],[WorkLifeBalance]]=1,"Bad",IF(HR_Data[[#This Row],[WorkLifeBalance]]=2,"Good",IF(HR_Data[[#This Row],[WorkLifeBalance]]=3,"Better","Best")))</f>
        <v>Better</v>
      </c>
    </row>
    <row r="92" spans="1:42"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IF(HR_Data[[#This Row],[Attrition]]="Yes",1,0)</f>
        <v>0</v>
      </c>
      <c r="AK92">
        <f>IF(HR_Data[[#This Row],[Attrition]]="No",1,0)</f>
        <v>1</v>
      </c>
      <c r="AL92" t="str">
        <f>IF(HR_Data[[#This Row],[Age]]&lt;25,"Under 25",IF(HR_Data[[#This Row],[Age]]&lt;=34,"25-34",IF(HR_Data[[#This Row],[Age]]&lt;=44,"35-44",IF(HR_Data[[#This Row],[Age]]&lt;=54,"45-54","55+"))))</f>
        <v>35-44</v>
      </c>
      <c r="AM92" t="str">
        <f>IF(HR_Data[[#This Row],[MonthlyIncome]]&lt;3000,"Low Salary",IF(HR_Data[[#This Row],[MonthlyIncome]]&lt;=7000,"Medium Salary","High Salary"))</f>
        <v>High Salary</v>
      </c>
      <c r="AN92" t="str">
        <f>IF(HR_Data[[#This Row],[YearsAtCompany]]&lt;2,"0-1 Years",IF(HR_Data[[#This Row],[YearsAtCompany]]&lt;=5,"2-5 Years",IF(HR_Data[[#This Row],[YearsAtCompany]]&lt;=10,"6-10 Years","10+ Years")))</f>
        <v>10+ Years</v>
      </c>
      <c r="AO92" t="str">
        <f>IF(HR_Data[[#This Row],[JobSatisfaction]]=1,"Low",IF(HR_Data[[#This Row],[JobSatisfaction]]=2,"Medium",IF(HR_Data[[#This Row],[JobSatisfaction]]=3,"High","Very High")))</f>
        <v>Medium</v>
      </c>
      <c r="AP92" t="str">
        <f>IF(HR_Data[[#This Row],[WorkLifeBalance]]=1,"Bad",IF(HR_Data[[#This Row],[WorkLifeBalance]]=2,"Good",IF(HR_Data[[#This Row],[WorkLifeBalance]]=3,"Better","Best")))</f>
        <v>Good</v>
      </c>
    </row>
    <row r="93" spans="1:42"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IF(HR_Data[[#This Row],[Attrition]]="Yes",1,0)</f>
        <v>0</v>
      </c>
      <c r="AK93">
        <f>IF(HR_Data[[#This Row],[Attrition]]="No",1,0)</f>
        <v>1</v>
      </c>
      <c r="AL93" t="str">
        <f>IF(HR_Data[[#This Row],[Age]]&lt;25,"Under 25",IF(HR_Data[[#This Row],[Age]]&lt;=34,"25-34",IF(HR_Data[[#This Row],[Age]]&lt;=44,"35-44",IF(HR_Data[[#This Row],[Age]]&lt;=54,"45-54","55+"))))</f>
        <v>45-54</v>
      </c>
      <c r="AM93" t="str">
        <f>IF(HR_Data[[#This Row],[MonthlyIncome]]&lt;3000,"Low Salary",IF(HR_Data[[#This Row],[MonthlyIncome]]&lt;=7000,"Medium Salary","High Salary"))</f>
        <v>Medium Salary</v>
      </c>
      <c r="AN93" t="str">
        <f>IF(HR_Data[[#This Row],[YearsAtCompany]]&lt;2,"0-1 Years",IF(HR_Data[[#This Row],[YearsAtCompany]]&lt;=5,"2-5 Years",IF(HR_Data[[#This Row],[YearsAtCompany]]&lt;=10,"6-10 Years","10+ Years")))</f>
        <v>6-10 Years</v>
      </c>
      <c r="AO93" t="str">
        <f>IF(HR_Data[[#This Row],[JobSatisfaction]]=1,"Low",IF(HR_Data[[#This Row],[JobSatisfaction]]=2,"Medium",IF(HR_Data[[#This Row],[JobSatisfaction]]=3,"High","Very High")))</f>
        <v>Very High</v>
      </c>
      <c r="AP93" t="str">
        <f>IF(HR_Data[[#This Row],[WorkLifeBalance]]=1,"Bad",IF(HR_Data[[#This Row],[WorkLifeBalance]]=2,"Good",IF(HR_Data[[#This Row],[WorkLifeBalance]]=3,"Better","Best")))</f>
        <v>Bad</v>
      </c>
    </row>
    <row r="94" spans="1:42"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IF(HR_Data[[#This Row],[Attrition]]="Yes",1,0)</f>
        <v>0</v>
      </c>
      <c r="AK94">
        <f>IF(HR_Data[[#This Row],[Attrition]]="No",1,0)</f>
        <v>1</v>
      </c>
      <c r="AL94" t="str">
        <f>IF(HR_Data[[#This Row],[Age]]&lt;25,"Under 25",IF(HR_Data[[#This Row],[Age]]&lt;=34,"25-34",IF(HR_Data[[#This Row],[Age]]&lt;=44,"35-44",IF(HR_Data[[#This Row],[Age]]&lt;=54,"45-54","55+"))))</f>
        <v>25-34</v>
      </c>
      <c r="AM94" t="str">
        <f>IF(HR_Data[[#This Row],[MonthlyIncome]]&lt;3000,"Low Salary",IF(HR_Data[[#This Row],[MonthlyIncome]]&lt;=7000,"Medium Salary","High Salary"))</f>
        <v>Medium Salary</v>
      </c>
      <c r="AN94" t="str">
        <f>IF(HR_Data[[#This Row],[YearsAtCompany]]&lt;2,"0-1 Years",IF(HR_Data[[#This Row],[YearsAtCompany]]&lt;=5,"2-5 Years",IF(HR_Data[[#This Row],[YearsAtCompany]]&lt;=10,"6-10 Years","10+ Years")))</f>
        <v>10+ Years</v>
      </c>
      <c r="AO94" t="str">
        <f>IF(HR_Data[[#This Row],[JobSatisfaction]]=1,"Low",IF(HR_Data[[#This Row],[JobSatisfaction]]=2,"Medium",IF(HR_Data[[#This Row],[JobSatisfaction]]=3,"High","Very High")))</f>
        <v>Medium</v>
      </c>
      <c r="AP94" t="str">
        <f>IF(HR_Data[[#This Row],[WorkLifeBalance]]=1,"Bad",IF(HR_Data[[#This Row],[WorkLifeBalance]]=2,"Good",IF(HR_Data[[#This Row],[WorkLifeBalance]]=3,"Better","Best")))</f>
        <v>Good</v>
      </c>
    </row>
    <row r="95" spans="1:42"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IF(HR_Data[[#This Row],[Attrition]]="Yes",1,0)</f>
        <v>0</v>
      </c>
      <c r="AK95">
        <f>IF(HR_Data[[#This Row],[Attrition]]="No",1,0)</f>
        <v>1</v>
      </c>
      <c r="AL95" t="str">
        <f>IF(HR_Data[[#This Row],[Age]]&lt;25,"Under 25",IF(HR_Data[[#This Row],[Age]]&lt;=34,"25-34",IF(HR_Data[[#This Row],[Age]]&lt;=44,"35-44",IF(HR_Data[[#This Row],[Age]]&lt;=54,"45-54","55+"))))</f>
        <v>45-54</v>
      </c>
      <c r="AM95" t="str">
        <f>IF(HR_Data[[#This Row],[MonthlyIncome]]&lt;3000,"Low Salary",IF(HR_Data[[#This Row],[MonthlyIncome]]&lt;=7000,"Medium Salary","High Salary"))</f>
        <v>High Salary</v>
      </c>
      <c r="AN95" t="str">
        <f>IF(HR_Data[[#This Row],[YearsAtCompany]]&lt;2,"0-1 Years",IF(HR_Data[[#This Row],[YearsAtCompany]]&lt;=5,"2-5 Years",IF(HR_Data[[#This Row],[YearsAtCompany]]&lt;=10,"6-10 Years","10+ Years")))</f>
        <v>6-10 Years</v>
      </c>
      <c r="AO95" t="str">
        <f>IF(HR_Data[[#This Row],[JobSatisfaction]]=1,"Low",IF(HR_Data[[#This Row],[JobSatisfaction]]=2,"Medium",IF(HR_Data[[#This Row],[JobSatisfaction]]=3,"High","Very High")))</f>
        <v>Low</v>
      </c>
      <c r="AP95" t="str">
        <f>IF(HR_Data[[#This Row],[WorkLifeBalance]]=1,"Bad",IF(HR_Data[[#This Row],[WorkLifeBalance]]=2,"Good",IF(HR_Data[[#This Row],[WorkLifeBalance]]=3,"Better","Best")))</f>
        <v>Good</v>
      </c>
    </row>
    <row r="96" spans="1:42"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IF(HR_Data[[#This Row],[Attrition]]="Yes",1,0)</f>
        <v>0</v>
      </c>
      <c r="AK96">
        <f>IF(HR_Data[[#This Row],[Attrition]]="No",1,0)</f>
        <v>1</v>
      </c>
      <c r="AL96" t="str">
        <f>IF(HR_Data[[#This Row],[Age]]&lt;25,"Under 25",IF(HR_Data[[#This Row],[Age]]&lt;=34,"25-34",IF(HR_Data[[#This Row],[Age]]&lt;=44,"35-44",IF(HR_Data[[#This Row],[Age]]&lt;=54,"45-54","55+"))))</f>
        <v>25-34</v>
      </c>
      <c r="AM96" t="str">
        <f>IF(HR_Data[[#This Row],[MonthlyIncome]]&lt;3000,"Low Salary",IF(HR_Data[[#This Row],[MonthlyIncome]]&lt;=7000,"Medium Salary","High Salary"))</f>
        <v>Medium Salary</v>
      </c>
      <c r="AN96" t="str">
        <f>IF(HR_Data[[#This Row],[YearsAtCompany]]&lt;2,"0-1 Years",IF(HR_Data[[#This Row],[YearsAtCompany]]&lt;=5,"2-5 Years",IF(HR_Data[[#This Row],[YearsAtCompany]]&lt;=10,"6-10 Years","10+ Years")))</f>
        <v>10+ Years</v>
      </c>
      <c r="AO96" t="str">
        <f>IF(HR_Data[[#This Row],[JobSatisfaction]]=1,"Low",IF(HR_Data[[#This Row],[JobSatisfaction]]=2,"Medium",IF(HR_Data[[#This Row],[JobSatisfaction]]=3,"High","Very High")))</f>
        <v>High</v>
      </c>
      <c r="AP96" t="str">
        <f>IF(HR_Data[[#This Row],[WorkLifeBalance]]=1,"Bad",IF(HR_Data[[#This Row],[WorkLifeBalance]]=2,"Good",IF(HR_Data[[#This Row],[WorkLifeBalance]]=3,"Better","Best")))</f>
        <v>Better</v>
      </c>
    </row>
    <row r="97" spans="1:42"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IF(HR_Data[[#This Row],[Attrition]]="Yes",1,0)</f>
        <v>0</v>
      </c>
      <c r="AK97">
        <f>IF(HR_Data[[#This Row],[Attrition]]="No",1,0)</f>
        <v>1</v>
      </c>
      <c r="AL97" t="str">
        <f>IF(HR_Data[[#This Row],[Age]]&lt;25,"Under 25",IF(HR_Data[[#This Row],[Age]]&lt;=34,"25-34",IF(HR_Data[[#This Row],[Age]]&lt;=44,"35-44",IF(HR_Data[[#This Row],[Age]]&lt;=54,"45-54","55+"))))</f>
        <v>45-54</v>
      </c>
      <c r="AM97" t="str">
        <f>IF(HR_Data[[#This Row],[MonthlyIncome]]&lt;3000,"Low Salary",IF(HR_Data[[#This Row],[MonthlyIncome]]&lt;=7000,"Medium Salary","High Salary"))</f>
        <v>High Salary</v>
      </c>
      <c r="AN97" t="str">
        <f>IF(HR_Data[[#This Row],[YearsAtCompany]]&lt;2,"0-1 Years",IF(HR_Data[[#This Row],[YearsAtCompany]]&lt;=5,"2-5 Years",IF(HR_Data[[#This Row],[YearsAtCompany]]&lt;=10,"6-10 Years","10+ Years")))</f>
        <v>2-5 Years</v>
      </c>
      <c r="AO97" t="str">
        <f>IF(HR_Data[[#This Row],[JobSatisfaction]]=1,"Low",IF(HR_Data[[#This Row],[JobSatisfaction]]=2,"Medium",IF(HR_Data[[#This Row],[JobSatisfaction]]=3,"High","Very High")))</f>
        <v>High</v>
      </c>
      <c r="AP97" t="str">
        <f>IF(HR_Data[[#This Row],[WorkLifeBalance]]=1,"Bad",IF(HR_Data[[#This Row],[WorkLifeBalance]]=2,"Good",IF(HR_Data[[#This Row],[WorkLifeBalance]]=3,"Better","Best")))</f>
        <v>Bad</v>
      </c>
    </row>
    <row r="98" spans="1:42"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IF(HR_Data[[#This Row],[Attrition]]="Yes",1,0)</f>
        <v>0</v>
      </c>
      <c r="AK98">
        <f>IF(HR_Data[[#This Row],[Attrition]]="No",1,0)</f>
        <v>1</v>
      </c>
      <c r="AL98" t="str">
        <f>IF(HR_Data[[#This Row],[Age]]&lt;25,"Under 25",IF(HR_Data[[#This Row],[Age]]&lt;=34,"25-34",IF(HR_Data[[#This Row],[Age]]&lt;=44,"35-44",IF(HR_Data[[#This Row],[Age]]&lt;=54,"45-54","55+"))))</f>
        <v>Under 25</v>
      </c>
      <c r="AM98" t="str">
        <f>IF(HR_Data[[#This Row],[MonthlyIncome]]&lt;3000,"Low Salary",IF(HR_Data[[#This Row],[MonthlyIncome]]&lt;=7000,"Medium Salary","High Salary"))</f>
        <v>Medium Salary</v>
      </c>
      <c r="AN98" t="str">
        <f>IF(HR_Data[[#This Row],[YearsAtCompany]]&lt;2,"0-1 Years",IF(HR_Data[[#This Row],[YearsAtCompany]]&lt;=5,"2-5 Years",IF(HR_Data[[#This Row],[YearsAtCompany]]&lt;=10,"6-10 Years","10+ Years")))</f>
        <v>2-5 Years</v>
      </c>
      <c r="AO98" t="str">
        <f>IF(HR_Data[[#This Row],[JobSatisfaction]]=1,"Low",IF(HR_Data[[#This Row],[JobSatisfaction]]=2,"Medium",IF(HR_Data[[#This Row],[JobSatisfaction]]=3,"High","Very High")))</f>
        <v>High</v>
      </c>
      <c r="AP98" t="str">
        <f>IF(HR_Data[[#This Row],[WorkLifeBalance]]=1,"Bad",IF(HR_Data[[#This Row],[WorkLifeBalance]]=2,"Good",IF(HR_Data[[#This Row],[WorkLifeBalance]]=3,"Better","Best")))</f>
        <v>Good</v>
      </c>
    </row>
    <row r="99" spans="1:42"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IF(HR_Data[[#This Row],[Attrition]]="Yes",1,0)</f>
        <v>0</v>
      </c>
      <c r="AK99">
        <f>IF(HR_Data[[#This Row],[Attrition]]="No",1,0)</f>
        <v>1</v>
      </c>
      <c r="AL99" t="str">
        <f>IF(HR_Data[[#This Row],[Age]]&lt;25,"Under 25",IF(HR_Data[[#This Row],[Age]]&lt;=34,"25-34",IF(HR_Data[[#This Row],[Age]]&lt;=44,"35-44",IF(HR_Data[[#This Row],[Age]]&lt;=54,"45-54","55+"))))</f>
        <v>25-34</v>
      </c>
      <c r="AM99" t="str">
        <f>IF(HR_Data[[#This Row],[MonthlyIncome]]&lt;3000,"Low Salary",IF(HR_Data[[#This Row],[MonthlyIncome]]&lt;=7000,"Medium Salary","High Salary"))</f>
        <v>Medium Salary</v>
      </c>
      <c r="AN99" t="str">
        <f>IF(HR_Data[[#This Row],[YearsAtCompany]]&lt;2,"0-1 Years",IF(HR_Data[[#This Row],[YearsAtCompany]]&lt;=5,"2-5 Years",IF(HR_Data[[#This Row],[YearsAtCompany]]&lt;=10,"6-10 Years","10+ Years")))</f>
        <v>2-5 Years</v>
      </c>
      <c r="AO99" t="str">
        <f>IF(HR_Data[[#This Row],[JobSatisfaction]]=1,"Low",IF(HR_Data[[#This Row],[JobSatisfaction]]=2,"Medium",IF(HR_Data[[#This Row],[JobSatisfaction]]=3,"High","Very High")))</f>
        <v>High</v>
      </c>
      <c r="AP99" t="str">
        <f>IF(HR_Data[[#This Row],[WorkLifeBalance]]=1,"Bad",IF(HR_Data[[#This Row],[WorkLifeBalance]]=2,"Good",IF(HR_Data[[#This Row],[WorkLifeBalance]]=3,"Better","Best")))</f>
        <v>Best</v>
      </c>
    </row>
    <row r="100" spans="1:42"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IF(HR_Data[[#This Row],[Attrition]]="Yes",1,0)</f>
        <v>0</v>
      </c>
      <c r="AK100">
        <f>IF(HR_Data[[#This Row],[Attrition]]="No",1,0)</f>
        <v>1</v>
      </c>
      <c r="AL100" t="str">
        <f>IF(HR_Data[[#This Row],[Age]]&lt;25,"Under 25",IF(HR_Data[[#This Row],[Age]]&lt;=34,"25-34",IF(HR_Data[[#This Row],[Age]]&lt;=44,"35-44",IF(HR_Data[[#This Row],[Age]]&lt;=54,"45-54","55+"))))</f>
        <v>55+</v>
      </c>
      <c r="AM100" t="str">
        <f>IF(HR_Data[[#This Row],[MonthlyIncome]]&lt;3000,"Low Salary",IF(HR_Data[[#This Row],[MonthlyIncome]]&lt;=7000,"Medium Salary","High Salary"))</f>
        <v>High Salary</v>
      </c>
      <c r="AN100" t="str">
        <f>IF(HR_Data[[#This Row],[YearsAtCompany]]&lt;2,"0-1 Years",IF(HR_Data[[#This Row],[YearsAtCompany]]&lt;=5,"2-5 Years",IF(HR_Data[[#This Row],[YearsAtCompany]]&lt;=10,"6-10 Years","10+ Years")))</f>
        <v>10+ Years</v>
      </c>
      <c r="AO100" t="str">
        <f>IF(HR_Data[[#This Row],[JobSatisfaction]]=1,"Low",IF(HR_Data[[#This Row],[JobSatisfaction]]=2,"Medium",IF(HR_Data[[#This Row],[JobSatisfaction]]=3,"High","Very High")))</f>
        <v>High</v>
      </c>
      <c r="AP100" t="str">
        <f>IF(HR_Data[[#This Row],[WorkLifeBalance]]=1,"Bad",IF(HR_Data[[#This Row],[WorkLifeBalance]]=2,"Good",IF(HR_Data[[#This Row],[WorkLifeBalance]]=3,"Better","Best")))</f>
        <v>Good</v>
      </c>
    </row>
    <row r="101" spans="1:42"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IF(HR_Data[[#This Row],[Attrition]]="Yes",1,0)</f>
        <v>0</v>
      </c>
      <c r="AK101">
        <f>IF(HR_Data[[#This Row],[Attrition]]="No",1,0)</f>
        <v>1</v>
      </c>
      <c r="AL101" t="str">
        <f>IF(HR_Data[[#This Row],[Age]]&lt;25,"Under 25",IF(HR_Data[[#This Row],[Age]]&lt;=34,"25-34",IF(HR_Data[[#This Row],[Age]]&lt;=44,"35-44",IF(HR_Data[[#This Row],[Age]]&lt;=54,"45-54","55+"))))</f>
        <v>35-44</v>
      </c>
      <c r="AM101" t="str">
        <f>IF(HR_Data[[#This Row],[MonthlyIncome]]&lt;3000,"Low Salary",IF(HR_Data[[#This Row],[MonthlyIncome]]&lt;=7000,"Medium Salary","High Salary"))</f>
        <v>Low Salary</v>
      </c>
      <c r="AN101" t="str">
        <f>IF(HR_Data[[#This Row],[YearsAtCompany]]&lt;2,"0-1 Years",IF(HR_Data[[#This Row],[YearsAtCompany]]&lt;=5,"2-5 Years",IF(HR_Data[[#This Row],[YearsAtCompany]]&lt;=10,"6-10 Years","10+ Years")))</f>
        <v>2-5 Years</v>
      </c>
      <c r="AO101" t="str">
        <f>IF(HR_Data[[#This Row],[JobSatisfaction]]=1,"Low",IF(HR_Data[[#This Row],[JobSatisfaction]]=2,"Medium",IF(HR_Data[[#This Row],[JobSatisfaction]]=3,"High","Very High")))</f>
        <v>Medium</v>
      </c>
      <c r="AP101" t="str">
        <f>IF(HR_Data[[#This Row],[WorkLifeBalance]]=1,"Bad",IF(HR_Data[[#This Row],[WorkLifeBalance]]=2,"Good",IF(HR_Data[[#This Row],[WorkLifeBalance]]=3,"Better","Best")))</f>
        <v>Best</v>
      </c>
    </row>
    <row r="102" spans="1:42"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IF(HR_Data[[#This Row],[Attrition]]="Yes",1,0)</f>
        <v>1</v>
      </c>
      <c r="AK102">
        <f>IF(HR_Data[[#This Row],[Attrition]]="No",1,0)</f>
        <v>0</v>
      </c>
      <c r="AL102" t="str">
        <f>IF(HR_Data[[#This Row],[Age]]&lt;25,"Under 25",IF(HR_Data[[#This Row],[Age]]&lt;=34,"25-34",IF(HR_Data[[#This Row],[Age]]&lt;=44,"35-44",IF(HR_Data[[#This Row],[Age]]&lt;=54,"45-54","55+"))))</f>
        <v>35-44</v>
      </c>
      <c r="AM102" t="str">
        <f>IF(HR_Data[[#This Row],[MonthlyIncome]]&lt;3000,"Low Salary",IF(HR_Data[[#This Row],[MonthlyIncome]]&lt;=7000,"Medium Salary","High Salary"))</f>
        <v>Low Salary</v>
      </c>
      <c r="AN102" t="str">
        <f>IF(HR_Data[[#This Row],[YearsAtCompany]]&lt;2,"0-1 Years",IF(HR_Data[[#This Row],[YearsAtCompany]]&lt;=5,"2-5 Years",IF(HR_Data[[#This Row],[YearsAtCompany]]&lt;=10,"6-10 Years","10+ Years")))</f>
        <v>2-5 Years</v>
      </c>
      <c r="AO102" t="str">
        <f>IF(HR_Data[[#This Row],[JobSatisfaction]]=1,"Low",IF(HR_Data[[#This Row],[JobSatisfaction]]=2,"Medium",IF(HR_Data[[#This Row],[JobSatisfaction]]=3,"High","Very High")))</f>
        <v>Low</v>
      </c>
      <c r="AP102" t="str">
        <f>IF(HR_Data[[#This Row],[WorkLifeBalance]]=1,"Bad",IF(HR_Data[[#This Row],[WorkLifeBalance]]=2,"Good",IF(HR_Data[[#This Row],[WorkLifeBalance]]=3,"Better","Best")))</f>
        <v>Better</v>
      </c>
    </row>
    <row r="103" spans="1:42"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IF(HR_Data[[#This Row],[Attrition]]="Yes",1,0)</f>
        <v>0</v>
      </c>
      <c r="AK103">
        <f>IF(HR_Data[[#This Row],[Attrition]]="No",1,0)</f>
        <v>1</v>
      </c>
      <c r="AL103" t="str">
        <f>IF(HR_Data[[#This Row],[Age]]&lt;25,"Under 25",IF(HR_Data[[#This Row],[Age]]&lt;=34,"25-34",IF(HR_Data[[#This Row],[Age]]&lt;=44,"35-44",IF(HR_Data[[#This Row],[Age]]&lt;=54,"45-54","55+"))))</f>
        <v>25-34</v>
      </c>
      <c r="AM103" t="str">
        <f>IF(HR_Data[[#This Row],[MonthlyIncome]]&lt;3000,"Low Salary",IF(HR_Data[[#This Row],[MonthlyIncome]]&lt;=7000,"Medium Salary","High Salary"))</f>
        <v>Low Salary</v>
      </c>
      <c r="AN103" t="str">
        <f>IF(HR_Data[[#This Row],[YearsAtCompany]]&lt;2,"0-1 Years",IF(HR_Data[[#This Row],[YearsAtCompany]]&lt;=5,"2-5 Years",IF(HR_Data[[#This Row],[YearsAtCompany]]&lt;=10,"6-10 Years","10+ Years")))</f>
        <v>0-1 Years</v>
      </c>
      <c r="AO103" t="str">
        <f>IF(HR_Data[[#This Row],[JobSatisfaction]]=1,"Low",IF(HR_Data[[#This Row],[JobSatisfaction]]=2,"Medium",IF(HR_Data[[#This Row],[JobSatisfaction]]=3,"High","Very High")))</f>
        <v>Low</v>
      </c>
      <c r="AP103" t="str">
        <f>IF(HR_Data[[#This Row],[WorkLifeBalance]]=1,"Bad",IF(HR_Data[[#This Row],[WorkLifeBalance]]=2,"Good",IF(HR_Data[[#This Row],[WorkLifeBalance]]=3,"Better","Best")))</f>
        <v>Better</v>
      </c>
    </row>
    <row r="104" spans="1:42"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IF(HR_Data[[#This Row],[Attrition]]="Yes",1,0)</f>
        <v>1</v>
      </c>
      <c r="AK104">
        <f>IF(HR_Data[[#This Row],[Attrition]]="No",1,0)</f>
        <v>0</v>
      </c>
      <c r="AL104" t="str">
        <f>IF(HR_Data[[#This Row],[Age]]&lt;25,"Under 25",IF(HR_Data[[#This Row],[Age]]&lt;=34,"25-34",IF(HR_Data[[#This Row],[Age]]&lt;=44,"35-44",IF(HR_Data[[#This Row],[Age]]&lt;=54,"45-54","55+"))))</f>
        <v>Under 25</v>
      </c>
      <c r="AM104" t="str">
        <f>IF(HR_Data[[#This Row],[MonthlyIncome]]&lt;3000,"Low Salary",IF(HR_Data[[#This Row],[MonthlyIncome]]&lt;=7000,"Medium Salary","High Salary"))</f>
        <v>Low Salary</v>
      </c>
      <c r="AN104" t="str">
        <f>IF(HR_Data[[#This Row],[YearsAtCompany]]&lt;2,"0-1 Years",IF(HR_Data[[#This Row],[YearsAtCompany]]&lt;=5,"2-5 Years",IF(HR_Data[[#This Row],[YearsAtCompany]]&lt;=10,"6-10 Years","10+ Years")))</f>
        <v>0-1 Years</v>
      </c>
      <c r="AO104" t="str">
        <f>IF(HR_Data[[#This Row],[JobSatisfaction]]=1,"Low",IF(HR_Data[[#This Row],[JobSatisfaction]]=2,"Medium",IF(HR_Data[[#This Row],[JobSatisfaction]]=3,"High","Very High")))</f>
        <v>Very High</v>
      </c>
      <c r="AP104" t="str">
        <f>IF(HR_Data[[#This Row],[WorkLifeBalance]]=1,"Bad",IF(HR_Data[[#This Row],[WorkLifeBalance]]=2,"Good",IF(HR_Data[[#This Row],[WorkLifeBalance]]=3,"Better","Best")))</f>
        <v>Better</v>
      </c>
    </row>
    <row r="105" spans="1:42"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IF(HR_Data[[#This Row],[Attrition]]="Yes",1,0)</f>
        <v>0</v>
      </c>
      <c r="AK105">
        <f>IF(HR_Data[[#This Row],[Attrition]]="No",1,0)</f>
        <v>1</v>
      </c>
      <c r="AL105" t="str">
        <f>IF(HR_Data[[#This Row],[Age]]&lt;25,"Under 25",IF(HR_Data[[#This Row],[Age]]&lt;=34,"25-34",IF(HR_Data[[#This Row],[Age]]&lt;=44,"35-44",IF(HR_Data[[#This Row],[Age]]&lt;=54,"45-54","55+"))))</f>
        <v>25-34</v>
      </c>
      <c r="AM105" t="str">
        <f>IF(HR_Data[[#This Row],[MonthlyIncome]]&lt;3000,"Low Salary",IF(HR_Data[[#This Row],[MonthlyIncome]]&lt;=7000,"Medium Salary","High Salary"))</f>
        <v>Medium Salary</v>
      </c>
      <c r="AN105" t="str">
        <f>IF(HR_Data[[#This Row],[YearsAtCompany]]&lt;2,"0-1 Years",IF(HR_Data[[#This Row],[YearsAtCompany]]&lt;=5,"2-5 Years",IF(HR_Data[[#This Row],[YearsAtCompany]]&lt;=10,"6-10 Years","10+ Years")))</f>
        <v>10+ Years</v>
      </c>
      <c r="AO105" t="str">
        <f>IF(HR_Data[[#This Row],[JobSatisfaction]]=1,"Low",IF(HR_Data[[#This Row],[JobSatisfaction]]=2,"Medium",IF(HR_Data[[#This Row],[JobSatisfaction]]=3,"High","Very High")))</f>
        <v>High</v>
      </c>
      <c r="AP105" t="str">
        <f>IF(HR_Data[[#This Row],[WorkLifeBalance]]=1,"Bad",IF(HR_Data[[#This Row],[WorkLifeBalance]]=2,"Good",IF(HR_Data[[#This Row],[WorkLifeBalance]]=3,"Better","Best")))</f>
        <v>Better</v>
      </c>
    </row>
    <row r="106" spans="1:42"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IF(HR_Data[[#This Row],[Attrition]]="Yes",1,0)</f>
        <v>0</v>
      </c>
      <c r="AK106">
        <f>IF(HR_Data[[#This Row],[Attrition]]="No",1,0)</f>
        <v>1</v>
      </c>
      <c r="AL106" t="str">
        <f>IF(HR_Data[[#This Row],[Age]]&lt;25,"Under 25",IF(HR_Data[[#This Row],[Age]]&lt;=34,"25-34",IF(HR_Data[[#This Row],[Age]]&lt;=44,"35-44",IF(HR_Data[[#This Row],[Age]]&lt;=54,"45-54","55+"))))</f>
        <v>35-44</v>
      </c>
      <c r="AM106" t="str">
        <f>IF(HR_Data[[#This Row],[MonthlyIncome]]&lt;3000,"Low Salary",IF(HR_Data[[#This Row],[MonthlyIncome]]&lt;=7000,"Medium Salary","High Salary"))</f>
        <v>Medium Salary</v>
      </c>
      <c r="AN106" t="str">
        <f>IF(HR_Data[[#This Row],[YearsAtCompany]]&lt;2,"0-1 Years",IF(HR_Data[[#This Row],[YearsAtCompany]]&lt;=5,"2-5 Years",IF(HR_Data[[#This Row],[YearsAtCompany]]&lt;=10,"6-10 Years","10+ Years")))</f>
        <v>0-1 Years</v>
      </c>
      <c r="AO106" t="str">
        <f>IF(HR_Data[[#This Row],[JobSatisfaction]]=1,"Low",IF(HR_Data[[#This Row],[JobSatisfaction]]=2,"Medium",IF(HR_Data[[#This Row],[JobSatisfaction]]=3,"High","Very High")))</f>
        <v>Very High</v>
      </c>
      <c r="AP106" t="str">
        <f>IF(HR_Data[[#This Row],[WorkLifeBalance]]=1,"Bad",IF(HR_Data[[#This Row],[WorkLifeBalance]]=2,"Good",IF(HR_Data[[#This Row],[WorkLifeBalance]]=3,"Better","Best")))</f>
        <v>Best</v>
      </c>
    </row>
    <row r="107" spans="1:42"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IF(HR_Data[[#This Row],[Attrition]]="Yes",1,0)</f>
        <v>0</v>
      </c>
      <c r="AK107">
        <f>IF(HR_Data[[#This Row],[Attrition]]="No",1,0)</f>
        <v>1</v>
      </c>
      <c r="AL107" t="str">
        <f>IF(HR_Data[[#This Row],[Age]]&lt;25,"Under 25",IF(HR_Data[[#This Row],[Age]]&lt;=34,"25-34",IF(HR_Data[[#This Row],[Age]]&lt;=44,"35-44",IF(HR_Data[[#This Row],[Age]]&lt;=54,"45-54","55+"))))</f>
        <v>55+</v>
      </c>
      <c r="AM107" t="str">
        <f>IF(HR_Data[[#This Row],[MonthlyIncome]]&lt;3000,"Low Salary",IF(HR_Data[[#This Row],[MonthlyIncome]]&lt;=7000,"Medium Salary","High Salary"))</f>
        <v>High Salary</v>
      </c>
      <c r="AN107" t="str">
        <f>IF(HR_Data[[#This Row],[YearsAtCompany]]&lt;2,"0-1 Years",IF(HR_Data[[#This Row],[YearsAtCompany]]&lt;=5,"2-5 Years",IF(HR_Data[[#This Row],[YearsAtCompany]]&lt;=10,"6-10 Years","10+ Years")))</f>
        <v>2-5 Years</v>
      </c>
      <c r="AO107" t="str">
        <f>IF(HR_Data[[#This Row],[JobSatisfaction]]=1,"Low",IF(HR_Data[[#This Row],[JobSatisfaction]]=2,"Medium",IF(HR_Data[[#This Row],[JobSatisfaction]]=3,"High","Very High")))</f>
        <v>Very High</v>
      </c>
      <c r="AP107" t="str">
        <f>IF(HR_Data[[#This Row],[WorkLifeBalance]]=1,"Bad",IF(HR_Data[[#This Row],[WorkLifeBalance]]=2,"Good",IF(HR_Data[[#This Row],[WorkLifeBalance]]=3,"Better","Best")))</f>
        <v>Better</v>
      </c>
    </row>
    <row r="108" spans="1:42"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IF(HR_Data[[#This Row],[Attrition]]="Yes",1,0)</f>
        <v>0</v>
      </c>
      <c r="AK108">
        <f>IF(HR_Data[[#This Row],[Attrition]]="No",1,0)</f>
        <v>1</v>
      </c>
      <c r="AL108" t="str">
        <f>IF(HR_Data[[#This Row],[Age]]&lt;25,"Under 25",IF(HR_Data[[#This Row],[Age]]&lt;=34,"25-34",IF(HR_Data[[#This Row],[Age]]&lt;=44,"35-44",IF(HR_Data[[#This Row],[Age]]&lt;=54,"45-54","55+"))))</f>
        <v>45-54</v>
      </c>
      <c r="AM108" t="str">
        <f>IF(HR_Data[[#This Row],[MonthlyIncome]]&lt;3000,"Low Salary",IF(HR_Data[[#This Row],[MonthlyIncome]]&lt;=7000,"Medium Salary","High Salary"))</f>
        <v>High Salary</v>
      </c>
      <c r="AN108" t="str">
        <f>IF(HR_Data[[#This Row],[YearsAtCompany]]&lt;2,"0-1 Years",IF(HR_Data[[#This Row],[YearsAtCompany]]&lt;=5,"2-5 Years",IF(HR_Data[[#This Row],[YearsAtCompany]]&lt;=10,"6-10 Years","10+ Years")))</f>
        <v>6-10 Years</v>
      </c>
      <c r="AO108" t="str">
        <f>IF(HR_Data[[#This Row],[JobSatisfaction]]=1,"Low",IF(HR_Data[[#This Row],[JobSatisfaction]]=2,"Medium",IF(HR_Data[[#This Row],[JobSatisfaction]]=3,"High","Very High")))</f>
        <v>Medium</v>
      </c>
      <c r="AP108" t="str">
        <f>IF(HR_Data[[#This Row],[WorkLifeBalance]]=1,"Bad",IF(HR_Data[[#This Row],[WorkLifeBalance]]=2,"Good",IF(HR_Data[[#This Row],[WorkLifeBalance]]=3,"Better","Best")))</f>
        <v>Good</v>
      </c>
    </row>
    <row r="109" spans="1:42"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IF(HR_Data[[#This Row],[Attrition]]="Yes",1,0)</f>
        <v>1</v>
      </c>
      <c r="AK109">
        <f>IF(HR_Data[[#This Row],[Attrition]]="No",1,0)</f>
        <v>0</v>
      </c>
      <c r="AL109" t="str">
        <f>IF(HR_Data[[#This Row],[Age]]&lt;25,"Under 25",IF(HR_Data[[#This Row],[Age]]&lt;=34,"25-34",IF(HR_Data[[#This Row],[Age]]&lt;=44,"35-44",IF(HR_Data[[#This Row],[Age]]&lt;=54,"45-54","55+"))))</f>
        <v>25-34</v>
      </c>
      <c r="AM109" t="str">
        <f>IF(HR_Data[[#This Row],[MonthlyIncome]]&lt;3000,"Low Salary",IF(HR_Data[[#This Row],[MonthlyIncome]]&lt;=7000,"Medium Salary","High Salary"))</f>
        <v>Medium Salary</v>
      </c>
      <c r="AN109" t="str">
        <f>IF(HR_Data[[#This Row],[YearsAtCompany]]&lt;2,"0-1 Years",IF(HR_Data[[#This Row],[YearsAtCompany]]&lt;=5,"2-5 Years",IF(HR_Data[[#This Row],[YearsAtCompany]]&lt;=10,"6-10 Years","10+ Years")))</f>
        <v>6-10 Years</v>
      </c>
      <c r="AO109" t="str">
        <f>IF(HR_Data[[#This Row],[JobSatisfaction]]=1,"Low",IF(HR_Data[[#This Row],[JobSatisfaction]]=2,"Medium",IF(HR_Data[[#This Row],[JobSatisfaction]]=3,"High","Very High")))</f>
        <v>High</v>
      </c>
      <c r="AP109" t="str">
        <f>IF(HR_Data[[#This Row],[WorkLifeBalance]]=1,"Bad",IF(HR_Data[[#This Row],[WorkLifeBalance]]=2,"Good",IF(HR_Data[[#This Row],[WorkLifeBalance]]=3,"Better","Best")))</f>
        <v>Better</v>
      </c>
    </row>
    <row r="110" spans="1:42"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IF(HR_Data[[#This Row],[Attrition]]="Yes",1,0)</f>
        <v>0</v>
      </c>
      <c r="AK110">
        <f>IF(HR_Data[[#This Row],[Attrition]]="No",1,0)</f>
        <v>1</v>
      </c>
      <c r="AL110" t="str">
        <f>IF(HR_Data[[#This Row],[Age]]&lt;25,"Under 25",IF(HR_Data[[#This Row],[Age]]&lt;=34,"25-34",IF(HR_Data[[#This Row],[Age]]&lt;=44,"35-44",IF(HR_Data[[#This Row],[Age]]&lt;=54,"45-54","55+"))))</f>
        <v>25-34</v>
      </c>
      <c r="AM110" t="str">
        <f>IF(HR_Data[[#This Row],[MonthlyIncome]]&lt;3000,"Low Salary",IF(HR_Data[[#This Row],[MonthlyIncome]]&lt;=7000,"Medium Salary","High Salary"))</f>
        <v>Low Salary</v>
      </c>
      <c r="AN110" t="str">
        <f>IF(HR_Data[[#This Row],[YearsAtCompany]]&lt;2,"0-1 Years",IF(HR_Data[[#This Row],[YearsAtCompany]]&lt;=5,"2-5 Years",IF(HR_Data[[#This Row],[YearsAtCompany]]&lt;=10,"6-10 Years","10+ Years")))</f>
        <v>2-5 Years</v>
      </c>
      <c r="AO110" t="str">
        <f>IF(HR_Data[[#This Row],[JobSatisfaction]]=1,"Low",IF(HR_Data[[#This Row],[JobSatisfaction]]=2,"Medium",IF(HR_Data[[#This Row],[JobSatisfaction]]=3,"High","Very High")))</f>
        <v>Very High</v>
      </c>
      <c r="AP110" t="str">
        <f>IF(HR_Data[[#This Row],[WorkLifeBalance]]=1,"Bad",IF(HR_Data[[#This Row],[WorkLifeBalance]]=2,"Good",IF(HR_Data[[#This Row],[WorkLifeBalance]]=3,"Better","Best")))</f>
        <v>Better</v>
      </c>
    </row>
    <row r="111" spans="1:42"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IF(HR_Data[[#This Row],[Attrition]]="Yes",1,0)</f>
        <v>0</v>
      </c>
      <c r="AK111">
        <f>IF(HR_Data[[#This Row],[Attrition]]="No",1,0)</f>
        <v>1</v>
      </c>
      <c r="AL111" t="str">
        <f>IF(HR_Data[[#This Row],[Age]]&lt;25,"Under 25",IF(HR_Data[[#This Row],[Age]]&lt;=34,"25-34",IF(HR_Data[[#This Row],[Age]]&lt;=44,"35-44",IF(HR_Data[[#This Row],[Age]]&lt;=54,"45-54","55+"))))</f>
        <v>Under 25</v>
      </c>
      <c r="AM111" t="str">
        <f>IF(HR_Data[[#This Row],[MonthlyIncome]]&lt;3000,"Low Salary",IF(HR_Data[[#This Row],[MonthlyIncome]]&lt;=7000,"Medium Salary","High Salary"))</f>
        <v>Low Salary</v>
      </c>
      <c r="AN111" t="str">
        <f>IF(HR_Data[[#This Row],[YearsAtCompany]]&lt;2,"0-1 Years",IF(HR_Data[[#This Row],[YearsAtCompany]]&lt;=5,"2-5 Years",IF(HR_Data[[#This Row],[YearsAtCompany]]&lt;=10,"6-10 Years","10+ Years")))</f>
        <v>0-1 Years</v>
      </c>
      <c r="AO111" t="str">
        <f>IF(HR_Data[[#This Row],[JobSatisfaction]]=1,"Low",IF(HR_Data[[#This Row],[JobSatisfaction]]=2,"Medium",IF(HR_Data[[#This Row],[JobSatisfaction]]=3,"High","Very High")))</f>
        <v>Very High</v>
      </c>
      <c r="AP111" t="str">
        <f>IF(HR_Data[[#This Row],[WorkLifeBalance]]=1,"Bad",IF(HR_Data[[#This Row],[WorkLifeBalance]]=2,"Good",IF(HR_Data[[#This Row],[WorkLifeBalance]]=3,"Better","Best")))</f>
        <v>Better</v>
      </c>
    </row>
    <row r="112" spans="1:42"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IF(HR_Data[[#This Row],[Attrition]]="Yes",1,0)</f>
        <v>0</v>
      </c>
      <c r="AK112">
        <f>IF(HR_Data[[#This Row],[Attrition]]="No",1,0)</f>
        <v>1</v>
      </c>
      <c r="AL112" t="str">
        <f>IF(HR_Data[[#This Row],[Age]]&lt;25,"Under 25",IF(HR_Data[[#This Row],[Age]]&lt;=34,"25-34",IF(HR_Data[[#This Row],[Age]]&lt;=44,"35-44",IF(HR_Data[[#This Row],[Age]]&lt;=54,"45-54","55+"))))</f>
        <v>45-54</v>
      </c>
      <c r="AM112" t="str">
        <f>IF(HR_Data[[#This Row],[MonthlyIncome]]&lt;3000,"Low Salary",IF(HR_Data[[#This Row],[MonthlyIncome]]&lt;=7000,"Medium Salary","High Salary"))</f>
        <v>High Salary</v>
      </c>
      <c r="AN112" t="str">
        <f>IF(HR_Data[[#This Row],[YearsAtCompany]]&lt;2,"0-1 Years",IF(HR_Data[[#This Row],[YearsAtCompany]]&lt;=5,"2-5 Years",IF(HR_Data[[#This Row],[YearsAtCompany]]&lt;=10,"6-10 Years","10+ Years")))</f>
        <v>10+ Years</v>
      </c>
      <c r="AO112" t="str">
        <f>IF(HR_Data[[#This Row],[JobSatisfaction]]=1,"Low",IF(HR_Data[[#This Row],[JobSatisfaction]]=2,"Medium",IF(HR_Data[[#This Row],[JobSatisfaction]]=3,"High","Very High")))</f>
        <v>Low</v>
      </c>
      <c r="AP112" t="str">
        <f>IF(HR_Data[[#This Row],[WorkLifeBalance]]=1,"Bad",IF(HR_Data[[#This Row],[WorkLifeBalance]]=2,"Good",IF(HR_Data[[#This Row],[WorkLifeBalance]]=3,"Better","Best")))</f>
        <v>Good</v>
      </c>
    </row>
    <row r="113" spans="1:42"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IF(HR_Data[[#This Row],[Attrition]]="Yes",1,0)</f>
        <v>1</v>
      </c>
      <c r="AK113">
        <f>IF(HR_Data[[#This Row],[Attrition]]="No",1,0)</f>
        <v>0</v>
      </c>
      <c r="AL113" t="str">
        <f>IF(HR_Data[[#This Row],[Age]]&lt;25,"Under 25",IF(HR_Data[[#This Row],[Age]]&lt;=34,"25-34",IF(HR_Data[[#This Row],[Age]]&lt;=44,"35-44",IF(HR_Data[[#This Row],[Age]]&lt;=54,"45-54","55+"))))</f>
        <v>25-34</v>
      </c>
      <c r="AM113" t="str">
        <f>IF(HR_Data[[#This Row],[MonthlyIncome]]&lt;3000,"Low Salary",IF(HR_Data[[#This Row],[MonthlyIncome]]&lt;=7000,"Medium Salary","High Salary"))</f>
        <v>Medium Salary</v>
      </c>
      <c r="AN113" t="str">
        <f>IF(HR_Data[[#This Row],[YearsAtCompany]]&lt;2,"0-1 Years",IF(HR_Data[[#This Row],[YearsAtCompany]]&lt;=5,"2-5 Years",IF(HR_Data[[#This Row],[YearsAtCompany]]&lt;=10,"6-10 Years","10+ Years")))</f>
        <v>6-10 Years</v>
      </c>
      <c r="AO113" t="str">
        <f>IF(HR_Data[[#This Row],[JobSatisfaction]]=1,"Low",IF(HR_Data[[#This Row],[JobSatisfaction]]=2,"Medium",IF(HR_Data[[#This Row],[JobSatisfaction]]=3,"High","Very High")))</f>
        <v>High</v>
      </c>
      <c r="AP113" t="str">
        <f>IF(HR_Data[[#This Row],[WorkLifeBalance]]=1,"Bad",IF(HR_Data[[#This Row],[WorkLifeBalance]]=2,"Good",IF(HR_Data[[#This Row],[WorkLifeBalance]]=3,"Better","Best")))</f>
        <v>Better</v>
      </c>
    </row>
    <row r="114" spans="1:42"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IF(HR_Data[[#This Row],[Attrition]]="Yes",1,0)</f>
        <v>0</v>
      </c>
      <c r="AK114">
        <f>IF(HR_Data[[#This Row],[Attrition]]="No",1,0)</f>
        <v>1</v>
      </c>
      <c r="AL114" t="str">
        <f>IF(HR_Data[[#This Row],[Age]]&lt;25,"Under 25",IF(HR_Data[[#This Row],[Age]]&lt;=34,"25-34",IF(HR_Data[[#This Row],[Age]]&lt;=44,"35-44",IF(HR_Data[[#This Row],[Age]]&lt;=54,"45-54","55+"))))</f>
        <v>45-54</v>
      </c>
      <c r="AM114" t="str">
        <f>IF(HR_Data[[#This Row],[MonthlyIncome]]&lt;3000,"Low Salary",IF(HR_Data[[#This Row],[MonthlyIncome]]&lt;=7000,"Medium Salary","High Salary"))</f>
        <v>High Salary</v>
      </c>
      <c r="AN114" t="str">
        <f>IF(HR_Data[[#This Row],[YearsAtCompany]]&lt;2,"0-1 Years",IF(HR_Data[[#This Row],[YearsAtCompany]]&lt;=5,"2-5 Years",IF(HR_Data[[#This Row],[YearsAtCompany]]&lt;=10,"6-10 Years","10+ Years")))</f>
        <v>2-5 Years</v>
      </c>
      <c r="AO114" t="str">
        <f>IF(HR_Data[[#This Row],[JobSatisfaction]]=1,"Low",IF(HR_Data[[#This Row],[JobSatisfaction]]=2,"Medium",IF(HR_Data[[#This Row],[JobSatisfaction]]=3,"High","Very High")))</f>
        <v>Very High</v>
      </c>
      <c r="AP114" t="str">
        <f>IF(HR_Data[[#This Row],[WorkLifeBalance]]=1,"Bad",IF(HR_Data[[#This Row],[WorkLifeBalance]]=2,"Good",IF(HR_Data[[#This Row],[WorkLifeBalance]]=3,"Better","Best")))</f>
        <v>Better</v>
      </c>
    </row>
    <row r="115" spans="1:42"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IF(HR_Data[[#This Row],[Attrition]]="Yes",1,0)</f>
        <v>0</v>
      </c>
      <c r="AK115">
        <f>IF(HR_Data[[#This Row],[Attrition]]="No",1,0)</f>
        <v>1</v>
      </c>
      <c r="AL115" t="str">
        <f>IF(HR_Data[[#This Row],[Age]]&lt;25,"Under 25",IF(HR_Data[[#This Row],[Age]]&lt;=34,"25-34",IF(HR_Data[[#This Row],[Age]]&lt;=44,"35-44",IF(HR_Data[[#This Row],[Age]]&lt;=54,"45-54","55+"))))</f>
        <v>Under 25</v>
      </c>
      <c r="AM115" t="str">
        <f>IF(HR_Data[[#This Row],[MonthlyIncome]]&lt;3000,"Low Salary",IF(HR_Data[[#This Row],[MonthlyIncome]]&lt;=7000,"Medium Salary","High Salary"))</f>
        <v>Low Salary</v>
      </c>
      <c r="AN115" t="str">
        <f>IF(HR_Data[[#This Row],[YearsAtCompany]]&lt;2,"0-1 Years",IF(HR_Data[[#This Row],[YearsAtCompany]]&lt;=5,"2-5 Years",IF(HR_Data[[#This Row],[YearsAtCompany]]&lt;=10,"6-10 Years","10+ Years")))</f>
        <v>2-5 Years</v>
      </c>
      <c r="AO115" t="str">
        <f>IF(HR_Data[[#This Row],[JobSatisfaction]]=1,"Low",IF(HR_Data[[#This Row],[JobSatisfaction]]=2,"Medium",IF(HR_Data[[#This Row],[JobSatisfaction]]=3,"High","Very High")))</f>
        <v>High</v>
      </c>
      <c r="AP115" t="str">
        <f>IF(HR_Data[[#This Row],[WorkLifeBalance]]=1,"Bad",IF(HR_Data[[#This Row],[WorkLifeBalance]]=2,"Good",IF(HR_Data[[#This Row],[WorkLifeBalance]]=3,"Better","Best")))</f>
        <v>Better</v>
      </c>
    </row>
    <row r="116" spans="1:42"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IF(HR_Data[[#This Row],[Attrition]]="Yes",1,0)</f>
        <v>0</v>
      </c>
      <c r="AK116">
        <f>IF(HR_Data[[#This Row],[Attrition]]="No",1,0)</f>
        <v>1</v>
      </c>
      <c r="AL116" t="str">
        <f>IF(HR_Data[[#This Row],[Age]]&lt;25,"Under 25",IF(HR_Data[[#This Row],[Age]]&lt;=34,"25-34",IF(HR_Data[[#This Row],[Age]]&lt;=44,"35-44",IF(HR_Data[[#This Row],[Age]]&lt;=54,"45-54","55+"))))</f>
        <v>25-34</v>
      </c>
      <c r="AM116" t="str">
        <f>IF(HR_Data[[#This Row],[MonthlyIncome]]&lt;3000,"Low Salary",IF(HR_Data[[#This Row],[MonthlyIncome]]&lt;=7000,"Medium Salary","High Salary"))</f>
        <v>Medium Salary</v>
      </c>
      <c r="AN116" t="str">
        <f>IF(HR_Data[[#This Row],[YearsAtCompany]]&lt;2,"0-1 Years",IF(HR_Data[[#This Row],[YearsAtCompany]]&lt;=5,"2-5 Years",IF(HR_Data[[#This Row],[YearsAtCompany]]&lt;=10,"6-10 Years","10+ Years")))</f>
        <v>0-1 Years</v>
      </c>
      <c r="AO116" t="str">
        <f>IF(HR_Data[[#This Row],[JobSatisfaction]]=1,"Low",IF(HR_Data[[#This Row],[JobSatisfaction]]=2,"Medium",IF(HR_Data[[#This Row],[JobSatisfaction]]=3,"High","Very High")))</f>
        <v>Medium</v>
      </c>
      <c r="AP116" t="str">
        <f>IF(HR_Data[[#This Row],[WorkLifeBalance]]=1,"Bad",IF(HR_Data[[#This Row],[WorkLifeBalance]]=2,"Good",IF(HR_Data[[#This Row],[WorkLifeBalance]]=3,"Better","Best")))</f>
        <v>Better</v>
      </c>
    </row>
    <row r="117" spans="1:42"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IF(HR_Data[[#This Row],[Attrition]]="Yes",1,0)</f>
        <v>0</v>
      </c>
      <c r="AK117">
        <f>IF(HR_Data[[#This Row],[Attrition]]="No",1,0)</f>
        <v>1</v>
      </c>
      <c r="AL117" t="str">
        <f>IF(HR_Data[[#This Row],[Age]]&lt;25,"Under 25",IF(HR_Data[[#This Row],[Age]]&lt;=34,"25-34",IF(HR_Data[[#This Row],[Age]]&lt;=44,"35-44",IF(HR_Data[[#This Row],[Age]]&lt;=54,"45-54","55+"))))</f>
        <v>35-44</v>
      </c>
      <c r="AM117" t="str">
        <f>IF(HR_Data[[#This Row],[MonthlyIncome]]&lt;3000,"Low Salary",IF(HR_Data[[#This Row],[MonthlyIncome]]&lt;=7000,"Medium Salary","High Salary"))</f>
        <v>High Salary</v>
      </c>
      <c r="AN117" t="str">
        <f>IF(HR_Data[[#This Row],[YearsAtCompany]]&lt;2,"0-1 Years",IF(HR_Data[[#This Row],[YearsAtCompany]]&lt;=5,"2-5 Years",IF(HR_Data[[#This Row],[YearsAtCompany]]&lt;=10,"6-10 Years","10+ Years")))</f>
        <v>2-5 Years</v>
      </c>
      <c r="AO117" t="str">
        <f>IF(HR_Data[[#This Row],[JobSatisfaction]]=1,"Low",IF(HR_Data[[#This Row],[JobSatisfaction]]=2,"Medium",IF(HR_Data[[#This Row],[JobSatisfaction]]=3,"High","Very High")))</f>
        <v>Very High</v>
      </c>
      <c r="AP117" t="str">
        <f>IF(HR_Data[[#This Row],[WorkLifeBalance]]=1,"Bad",IF(HR_Data[[#This Row],[WorkLifeBalance]]=2,"Good",IF(HR_Data[[#This Row],[WorkLifeBalance]]=3,"Better","Best")))</f>
        <v>Better</v>
      </c>
    </row>
    <row r="118" spans="1:42"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IF(HR_Data[[#This Row],[Attrition]]="Yes",1,0)</f>
        <v>0</v>
      </c>
      <c r="AK118">
        <f>IF(HR_Data[[#This Row],[Attrition]]="No",1,0)</f>
        <v>1</v>
      </c>
      <c r="AL118" t="str">
        <f>IF(HR_Data[[#This Row],[Age]]&lt;25,"Under 25",IF(HR_Data[[#This Row],[Age]]&lt;=34,"25-34",IF(HR_Data[[#This Row],[Age]]&lt;=44,"35-44",IF(HR_Data[[#This Row],[Age]]&lt;=54,"45-54","55+"))))</f>
        <v>25-34</v>
      </c>
      <c r="AM118" t="str">
        <f>IF(HR_Data[[#This Row],[MonthlyIncome]]&lt;3000,"Low Salary",IF(HR_Data[[#This Row],[MonthlyIncome]]&lt;=7000,"Medium Salary","High Salary"))</f>
        <v>High Salary</v>
      </c>
      <c r="AN118" t="str">
        <f>IF(HR_Data[[#This Row],[YearsAtCompany]]&lt;2,"0-1 Years",IF(HR_Data[[#This Row],[YearsAtCompany]]&lt;=5,"2-5 Years",IF(HR_Data[[#This Row],[YearsAtCompany]]&lt;=10,"6-10 Years","10+ Years")))</f>
        <v>10+ Years</v>
      </c>
      <c r="AO118" t="str">
        <f>IF(HR_Data[[#This Row],[JobSatisfaction]]=1,"Low",IF(HR_Data[[#This Row],[JobSatisfaction]]=2,"Medium",IF(HR_Data[[#This Row],[JobSatisfaction]]=3,"High","Very High")))</f>
        <v>Low</v>
      </c>
      <c r="AP118" t="str">
        <f>IF(HR_Data[[#This Row],[WorkLifeBalance]]=1,"Bad",IF(HR_Data[[#This Row],[WorkLifeBalance]]=2,"Good",IF(HR_Data[[#This Row],[WorkLifeBalance]]=3,"Better","Best")))</f>
        <v>Better</v>
      </c>
    </row>
    <row r="119" spans="1:42"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IF(HR_Data[[#This Row],[Attrition]]="Yes",1,0)</f>
        <v>0</v>
      </c>
      <c r="AK119">
        <f>IF(HR_Data[[#This Row],[Attrition]]="No",1,0)</f>
        <v>1</v>
      </c>
      <c r="AL119" t="str">
        <f>IF(HR_Data[[#This Row],[Age]]&lt;25,"Under 25",IF(HR_Data[[#This Row],[Age]]&lt;=34,"25-34",IF(HR_Data[[#This Row],[Age]]&lt;=44,"35-44",IF(HR_Data[[#This Row],[Age]]&lt;=54,"45-54","55+"))))</f>
        <v>35-44</v>
      </c>
      <c r="AM119" t="str">
        <f>IF(HR_Data[[#This Row],[MonthlyIncome]]&lt;3000,"Low Salary",IF(HR_Data[[#This Row],[MonthlyIncome]]&lt;=7000,"Medium Salary","High Salary"))</f>
        <v>High Salary</v>
      </c>
      <c r="AN119" t="str">
        <f>IF(HR_Data[[#This Row],[YearsAtCompany]]&lt;2,"0-1 Years",IF(HR_Data[[#This Row],[YearsAtCompany]]&lt;=5,"2-5 Years",IF(HR_Data[[#This Row],[YearsAtCompany]]&lt;=10,"6-10 Years","10+ Years")))</f>
        <v>6-10 Years</v>
      </c>
      <c r="AO119" t="str">
        <f>IF(HR_Data[[#This Row],[JobSatisfaction]]=1,"Low",IF(HR_Data[[#This Row],[JobSatisfaction]]=2,"Medium",IF(HR_Data[[#This Row],[JobSatisfaction]]=3,"High","Very High")))</f>
        <v>Very High</v>
      </c>
      <c r="AP119" t="str">
        <f>IF(HR_Data[[#This Row],[WorkLifeBalance]]=1,"Bad",IF(HR_Data[[#This Row],[WorkLifeBalance]]=2,"Good",IF(HR_Data[[#This Row],[WorkLifeBalance]]=3,"Better","Best")))</f>
        <v>Better</v>
      </c>
    </row>
    <row r="120" spans="1:42"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IF(HR_Data[[#This Row],[Attrition]]="Yes",1,0)</f>
        <v>0</v>
      </c>
      <c r="AK120">
        <f>IF(HR_Data[[#This Row],[Attrition]]="No",1,0)</f>
        <v>1</v>
      </c>
      <c r="AL120" t="str">
        <f>IF(HR_Data[[#This Row],[Age]]&lt;25,"Under 25",IF(HR_Data[[#This Row],[Age]]&lt;=34,"25-34",IF(HR_Data[[#This Row],[Age]]&lt;=44,"35-44",IF(HR_Data[[#This Row],[Age]]&lt;=54,"45-54","55+"))))</f>
        <v>35-44</v>
      </c>
      <c r="AM120" t="str">
        <f>IF(HR_Data[[#This Row],[MonthlyIncome]]&lt;3000,"Low Salary",IF(HR_Data[[#This Row],[MonthlyIncome]]&lt;=7000,"Medium Salary","High Salary"))</f>
        <v>Low Salary</v>
      </c>
      <c r="AN120" t="str">
        <f>IF(HR_Data[[#This Row],[YearsAtCompany]]&lt;2,"0-1 Years",IF(HR_Data[[#This Row],[YearsAtCompany]]&lt;=5,"2-5 Years",IF(HR_Data[[#This Row],[YearsAtCompany]]&lt;=10,"6-10 Years","10+ Years")))</f>
        <v>0-1 Years</v>
      </c>
      <c r="AO120" t="str">
        <f>IF(HR_Data[[#This Row],[JobSatisfaction]]=1,"Low",IF(HR_Data[[#This Row],[JobSatisfaction]]=2,"Medium",IF(HR_Data[[#This Row],[JobSatisfaction]]=3,"High","Very High")))</f>
        <v>Very High</v>
      </c>
      <c r="AP120" t="str">
        <f>IF(HR_Data[[#This Row],[WorkLifeBalance]]=1,"Bad",IF(HR_Data[[#This Row],[WorkLifeBalance]]=2,"Good",IF(HR_Data[[#This Row],[WorkLifeBalance]]=3,"Better","Best")))</f>
        <v>Better</v>
      </c>
    </row>
    <row r="121" spans="1:42"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IF(HR_Data[[#This Row],[Attrition]]="Yes",1,0)</f>
        <v>0</v>
      </c>
      <c r="AK121">
        <f>IF(HR_Data[[#This Row],[Attrition]]="No",1,0)</f>
        <v>1</v>
      </c>
      <c r="AL121" t="str">
        <f>IF(HR_Data[[#This Row],[Age]]&lt;25,"Under 25",IF(HR_Data[[#This Row],[Age]]&lt;=34,"25-34",IF(HR_Data[[#This Row],[Age]]&lt;=44,"35-44",IF(HR_Data[[#This Row],[Age]]&lt;=54,"45-54","55+"))))</f>
        <v>35-44</v>
      </c>
      <c r="AM121" t="str">
        <f>IF(HR_Data[[#This Row],[MonthlyIncome]]&lt;3000,"Low Salary",IF(HR_Data[[#This Row],[MonthlyIncome]]&lt;=7000,"Medium Salary","High Salary"))</f>
        <v>High Salary</v>
      </c>
      <c r="AN121" t="str">
        <f>IF(HR_Data[[#This Row],[YearsAtCompany]]&lt;2,"0-1 Years",IF(HR_Data[[#This Row],[YearsAtCompany]]&lt;=5,"2-5 Years",IF(HR_Data[[#This Row],[YearsAtCompany]]&lt;=10,"6-10 Years","10+ Years")))</f>
        <v>10+ Years</v>
      </c>
      <c r="AO121" t="str">
        <f>IF(HR_Data[[#This Row],[JobSatisfaction]]=1,"Low",IF(HR_Data[[#This Row],[JobSatisfaction]]=2,"Medium",IF(HR_Data[[#This Row],[JobSatisfaction]]=3,"High","Very High")))</f>
        <v>Very High</v>
      </c>
      <c r="AP121" t="str">
        <f>IF(HR_Data[[#This Row],[WorkLifeBalance]]=1,"Bad",IF(HR_Data[[#This Row],[WorkLifeBalance]]=2,"Good",IF(HR_Data[[#This Row],[WorkLifeBalance]]=3,"Better","Best")))</f>
        <v>Best</v>
      </c>
    </row>
    <row r="122" spans="1:42"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IF(HR_Data[[#This Row],[Attrition]]="Yes",1,0)</f>
        <v>0</v>
      </c>
      <c r="AK122">
        <f>IF(HR_Data[[#This Row],[Attrition]]="No",1,0)</f>
        <v>1</v>
      </c>
      <c r="AL122" t="str">
        <f>IF(HR_Data[[#This Row],[Age]]&lt;25,"Under 25",IF(HR_Data[[#This Row],[Age]]&lt;=34,"25-34",IF(HR_Data[[#This Row],[Age]]&lt;=44,"35-44",IF(HR_Data[[#This Row],[Age]]&lt;=54,"45-54","55+"))))</f>
        <v>25-34</v>
      </c>
      <c r="AM122" t="str">
        <f>IF(HR_Data[[#This Row],[MonthlyIncome]]&lt;3000,"Low Salary",IF(HR_Data[[#This Row],[MonthlyIncome]]&lt;=7000,"Medium Salary","High Salary"))</f>
        <v>Low Salary</v>
      </c>
      <c r="AN122" t="str">
        <f>IF(HR_Data[[#This Row],[YearsAtCompany]]&lt;2,"0-1 Years",IF(HR_Data[[#This Row],[YearsAtCompany]]&lt;=5,"2-5 Years",IF(HR_Data[[#This Row],[YearsAtCompany]]&lt;=10,"6-10 Years","10+ Years")))</f>
        <v>6-10 Years</v>
      </c>
      <c r="AO122" t="str">
        <f>IF(HR_Data[[#This Row],[JobSatisfaction]]=1,"Low",IF(HR_Data[[#This Row],[JobSatisfaction]]=2,"Medium",IF(HR_Data[[#This Row],[JobSatisfaction]]=3,"High","Very High")))</f>
        <v>High</v>
      </c>
      <c r="AP122" t="str">
        <f>IF(HR_Data[[#This Row],[WorkLifeBalance]]=1,"Bad",IF(HR_Data[[#This Row],[WorkLifeBalance]]=2,"Good",IF(HR_Data[[#This Row],[WorkLifeBalance]]=3,"Better","Best")))</f>
        <v>Good</v>
      </c>
    </row>
    <row r="123" spans="1:42"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IF(HR_Data[[#This Row],[Attrition]]="Yes",1,0)</f>
        <v>0</v>
      </c>
      <c r="AK123">
        <f>IF(HR_Data[[#This Row],[Attrition]]="No",1,0)</f>
        <v>1</v>
      </c>
      <c r="AL123" t="str">
        <f>IF(HR_Data[[#This Row],[Age]]&lt;25,"Under 25",IF(HR_Data[[#This Row],[Age]]&lt;=34,"25-34",IF(HR_Data[[#This Row],[Age]]&lt;=44,"35-44",IF(HR_Data[[#This Row],[Age]]&lt;=54,"45-54","55+"))))</f>
        <v>25-34</v>
      </c>
      <c r="AM123" t="str">
        <f>IF(HR_Data[[#This Row],[MonthlyIncome]]&lt;3000,"Low Salary",IF(HR_Data[[#This Row],[MonthlyIncome]]&lt;=7000,"Medium Salary","High Salary"))</f>
        <v>Medium Salary</v>
      </c>
      <c r="AN123" t="str">
        <f>IF(HR_Data[[#This Row],[YearsAtCompany]]&lt;2,"0-1 Years",IF(HR_Data[[#This Row],[YearsAtCompany]]&lt;=5,"2-5 Years",IF(HR_Data[[#This Row],[YearsAtCompany]]&lt;=10,"6-10 Years","10+ Years")))</f>
        <v>6-10 Years</v>
      </c>
      <c r="AO123" t="str">
        <f>IF(HR_Data[[#This Row],[JobSatisfaction]]=1,"Low",IF(HR_Data[[#This Row],[JobSatisfaction]]=2,"Medium",IF(HR_Data[[#This Row],[JobSatisfaction]]=3,"High","Very High")))</f>
        <v>Medium</v>
      </c>
      <c r="AP123" t="str">
        <f>IF(HR_Data[[#This Row],[WorkLifeBalance]]=1,"Bad",IF(HR_Data[[#This Row],[WorkLifeBalance]]=2,"Good",IF(HR_Data[[#This Row],[WorkLifeBalance]]=3,"Better","Best")))</f>
        <v>Best</v>
      </c>
    </row>
    <row r="124" spans="1:42"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IF(HR_Data[[#This Row],[Attrition]]="Yes",1,0)</f>
        <v>1</v>
      </c>
      <c r="AK124">
        <f>IF(HR_Data[[#This Row],[Attrition]]="No",1,0)</f>
        <v>0</v>
      </c>
      <c r="AL124" t="str">
        <f>IF(HR_Data[[#This Row],[Age]]&lt;25,"Under 25",IF(HR_Data[[#This Row],[Age]]&lt;=34,"25-34",IF(HR_Data[[#This Row],[Age]]&lt;=44,"35-44",IF(HR_Data[[#This Row],[Age]]&lt;=54,"45-54","55+"))))</f>
        <v>55+</v>
      </c>
      <c r="AM124" t="str">
        <f>IF(HR_Data[[#This Row],[MonthlyIncome]]&lt;3000,"Low Salary",IF(HR_Data[[#This Row],[MonthlyIncome]]&lt;=7000,"Medium Salary","High Salary"))</f>
        <v>Medium Salary</v>
      </c>
      <c r="AN124" t="str">
        <f>IF(HR_Data[[#This Row],[YearsAtCompany]]&lt;2,"0-1 Years",IF(HR_Data[[#This Row],[YearsAtCompany]]&lt;=5,"2-5 Years",IF(HR_Data[[#This Row],[YearsAtCompany]]&lt;=10,"6-10 Years","10+ Years")))</f>
        <v>2-5 Years</v>
      </c>
      <c r="AO124" t="str">
        <f>IF(HR_Data[[#This Row],[JobSatisfaction]]=1,"Low",IF(HR_Data[[#This Row],[JobSatisfaction]]=2,"Medium",IF(HR_Data[[#This Row],[JobSatisfaction]]=3,"High","Very High")))</f>
        <v>Medium</v>
      </c>
      <c r="AP124" t="str">
        <f>IF(HR_Data[[#This Row],[WorkLifeBalance]]=1,"Bad",IF(HR_Data[[#This Row],[WorkLifeBalance]]=2,"Good",IF(HR_Data[[#This Row],[WorkLifeBalance]]=3,"Better","Best")))</f>
        <v>Better</v>
      </c>
    </row>
    <row r="125" spans="1:42"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IF(HR_Data[[#This Row],[Attrition]]="Yes",1,0)</f>
        <v>0</v>
      </c>
      <c r="AK125">
        <f>IF(HR_Data[[#This Row],[Attrition]]="No",1,0)</f>
        <v>1</v>
      </c>
      <c r="AL125" t="str">
        <f>IF(HR_Data[[#This Row],[Age]]&lt;25,"Under 25",IF(HR_Data[[#This Row],[Age]]&lt;=34,"25-34",IF(HR_Data[[#This Row],[Age]]&lt;=44,"35-44",IF(HR_Data[[#This Row],[Age]]&lt;=54,"45-54","55+"))))</f>
        <v>45-54</v>
      </c>
      <c r="AM125" t="str">
        <f>IF(HR_Data[[#This Row],[MonthlyIncome]]&lt;3000,"Low Salary",IF(HR_Data[[#This Row],[MonthlyIncome]]&lt;=7000,"Medium Salary","High Salary"))</f>
        <v>High Salary</v>
      </c>
      <c r="AN125" t="str">
        <f>IF(HR_Data[[#This Row],[YearsAtCompany]]&lt;2,"0-1 Years",IF(HR_Data[[#This Row],[YearsAtCompany]]&lt;=5,"2-5 Years",IF(HR_Data[[#This Row],[YearsAtCompany]]&lt;=10,"6-10 Years","10+ Years")))</f>
        <v>10+ Years</v>
      </c>
      <c r="AO125" t="str">
        <f>IF(HR_Data[[#This Row],[JobSatisfaction]]=1,"Low",IF(HR_Data[[#This Row],[JobSatisfaction]]=2,"Medium",IF(HR_Data[[#This Row],[JobSatisfaction]]=3,"High","Very High")))</f>
        <v>High</v>
      </c>
      <c r="AP125" t="str">
        <f>IF(HR_Data[[#This Row],[WorkLifeBalance]]=1,"Bad",IF(HR_Data[[#This Row],[WorkLifeBalance]]=2,"Good",IF(HR_Data[[#This Row],[WorkLifeBalance]]=3,"Better","Best")))</f>
        <v>Better</v>
      </c>
    </row>
    <row r="126" spans="1:42"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IF(HR_Data[[#This Row],[Attrition]]="Yes",1,0)</f>
        <v>1</v>
      </c>
      <c r="AK126">
        <f>IF(HR_Data[[#This Row],[Attrition]]="No",1,0)</f>
        <v>0</v>
      </c>
      <c r="AL126" t="str">
        <f>IF(HR_Data[[#This Row],[Age]]&lt;25,"Under 25",IF(HR_Data[[#This Row],[Age]]&lt;=34,"25-34",IF(HR_Data[[#This Row],[Age]]&lt;=44,"35-44",IF(HR_Data[[#This Row],[Age]]&lt;=54,"45-54","55+"))))</f>
        <v>25-34</v>
      </c>
      <c r="AM126" t="str">
        <f>IF(HR_Data[[#This Row],[MonthlyIncome]]&lt;3000,"Low Salary",IF(HR_Data[[#This Row],[MonthlyIncome]]&lt;=7000,"Medium Salary","High Salary"))</f>
        <v>Medium Salary</v>
      </c>
      <c r="AN126" t="str">
        <f>IF(HR_Data[[#This Row],[YearsAtCompany]]&lt;2,"0-1 Years",IF(HR_Data[[#This Row],[YearsAtCompany]]&lt;=5,"2-5 Years",IF(HR_Data[[#This Row],[YearsAtCompany]]&lt;=10,"6-10 Years","10+ Years")))</f>
        <v>6-10 Years</v>
      </c>
      <c r="AO126" t="str">
        <f>IF(HR_Data[[#This Row],[JobSatisfaction]]=1,"Low",IF(HR_Data[[#This Row],[JobSatisfaction]]=2,"Medium",IF(HR_Data[[#This Row],[JobSatisfaction]]=3,"High","Very High")))</f>
        <v>High</v>
      </c>
      <c r="AP126" t="str">
        <f>IF(HR_Data[[#This Row],[WorkLifeBalance]]=1,"Bad",IF(HR_Data[[#This Row],[WorkLifeBalance]]=2,"Good",IF(HR_Data[[#This Row],[WorkLifeBalance]]=3,"Better","Best")))</f>
        <v>Good</v>
      </c>
    </row>
    <row r="127" spans="1:42"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IF(HR_Data[[#This Row],[Attrition]]="Yes",1,0)</f>
        <v>0</v>
      </c>
      <c r="AK127">
        <f>IF(HR_Data[[#This Row],[Attrition]]="No",1,0)</f>
        <v>1</v>
      </c>
      <c r="AL127" t="str">
        <f>IF(HR_Data[[#This Row],[Age]]&lt;25,"Under 25",IF(HR_Data[[#This Row],[Age]]&lt;=34,"25-34",IF(HR_Data[[#This Row],[Age]]&lt;=44,"35-44",IF(HR_Data[[#This Row],[Age]]&lt;=54,"45-54","55+"))))</f>
        <v>25-34</v>
      </c>
      <c r="AM127" t="str">
        <f>IF(HR_Data[[#This Row],[MonthlyIncome]]&lt;3000,"Low Salary",IF(HR_Data[[#This Row],[MonthlyIncome]]&lt;=7000,"Medium Salary","High Salary"))</f>
        <v>Low Salary</v>
      </c>
      <c r="AN127" t="str">
        <f>IF(HR_Data[[#This Row],[YearsAtCompany]]&lt;2,"0-1 Years",IF(HR_Data[[#This Row],[YearsAtCompany]]&lt;=5,"2-5 Years",IF(HR_Data[[#This Row],[YearsAtCompany]]&lt;=10,"6-10 Years","10+ Years")))</f>
        <v>2-5 Years</v>
      </c>
      <c r="AO127" t="str">
        <f>IF(HR_Data[[#This Row],[JobSatisfaction]]=1,"Low",IF(HR_Data[[#This Row],[JobSatisfaction]]=2,"Medium",IF(HR_Data[[#This Row],[JobSatisfaction]]=3,"High","Very High")))</f>
        <v>Medium</v>
      </c>
      <c r="AP127" t="str">
        <f>IF(HR_Data[[#This Row],[WorkLifeBalance]]=1,"Bad",IF(HR_Data[[#This Row],[WorkLifeBalance]]=2,"Good",IF(HR_Data[[#This Row],[WorkLifeBalance]]=3,"Better","Best")))</f>
        <v>Good</v>
      </c>
    </row>
    <row r="128" spans="1:42"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IF(HR_Data[[#This Row],[Attrition]]="Yes",1,0)</f>
        <v>1</v>
      </c>
      <c r="AK128">
        <f>IF(HR_Data[[#This Row],[Attrition]]="No",1,0)</f>
        <v>0</v>
      </c>
      <c r="AL128" t="str">
        <f>IF(HR_Data[[#This Row],[Age]]&lt;25,"Under 25",IF(HR_Data[[#This Row],[Age]]&lt;=34,"25-34",IF(HR_Data[[#This Row],[Age]]&lt;=44,"35-44",IF(HR_Data[[#This Row],[Age]]&lt;=54,"45-54","55+"))))</f>
        <v>55+</v>
      </c>
      <c r="AM128" t="str">
        <f>IF(HR_Data[[#This Row],[MonthlyIncome]]&lt;3000,"Low Salary",IF(HR_Data[[#This Row],[MonthlyIncome]]&lt;=7000,"Medium Salary","High Salary"))</f>
        <v>High Salary</v>
      </c>
      <c r="AN128" t="str">
        <f>IF(HR_Data[[#This Row],[YearsAtCompany]]&lt;2,"0-1 Years",IF(HR_Data[[#This Row],[YearsAtCompany]]&lt;=5,"2-5 Years",IF(HR_Data[[#This Row],[YearsAtCompany]]&lt;=10,"6-10 Years","10+ Years")))</f>
        <v>10+ Years</v>
      </c>
      <c r="AO128" t="str">
        <f>IF(HR_Data[[#This Row],[JobSatisfaction]]=1,"Low",IF(HR_Data[[#This Row],[JobSatisfaction]]=2,"Medium",IF(HR_Data[[#This Row],[JobSatisfaction]]=3,"High","Very High")))</f>
        <v>Very High</v>
      </c>
      <c r="AP128" t="str">
        <f>IF(HR_Data[[#This Row],[WorkLifeBalance]]=1,"Bad",IF(HR_Data[[#This Row],[WorkLifeBalance]]=2,"Good",IF(HR_Data[[#This Row],[WorkLifeBalance]]=3,"Better","Best")))</f>
        <v>Good</v>
      </c>
    </row>
    <row r="129" spans="1:42"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IF(HR_Data[[#This Row],[Attrition]]="Yes",1,0)</f>
        <v>1</v>
      </c>
      <c r="AK129">
        <f>IF(HR_Data[[#This Row],[Attrition]]="No",1,0)</f>
        <v>0</v>
      </c>
      <c r="AL129" t="str">
        <f>IF(HR_Data[[#This Row],[Age]]&lt;25,"Under 25",IF(HR_Data[[#This Row],[Age]]&lt;=34,"25-34",IF(HR_Data[[#This Row],[Age]]&lt;=44,"35-44",IF(HR_Data[[#This Row],[Age]]&lt;=54,"45-54","55+"))))</f>
        <v>Under 25</v>
      </c>
      <c r="AM129" t="str">
        <f>IF(HR_Data[[#This Row],[MonthlyIncome]]&lt;3000,"Low Salary",IF(HR_Data[[#This Row],[MonthlyIncome]]&lt;=7000,"Medium Salary","High Salary"))</f>
        <v>Low Salary</v>
      </c>
      <c r="AN129" t="str">
        <f>IF(HR_Data[[#This Row],[YearsAtCompany]]&lt;2,"0-1 Years",IF(HR_Data[[#This Row],[YearsAtCompany]]&lt;=5,"2-5 Years",IF(HR_Data[[#This Row],[YearsAtCompany]]&lt;=10,"6-10 Years","10+ Years")))</f>
        <v>0-1 Years</v>
      </c>
      <c r="AO129" t="str">
        <f>IF(HR_Data[[#This Row],[JobSatisfaction]]=1,"Low",IF(HR_Data[[#This Row],[JobSatisfaction]]=2,"Medium",IF(HR_Data[[#This Row],[JobSatisfaction]]=3,"High","Very High")))</f>
        <v>High</v>
      </c>
      <c r="AP129" t="str">
        <f>IF(HR_Data[[#This Row],[WorkLifeBalance]]=1,"Bad",IF(HR_Data[[#This Row],[WorkLifeBalance]]=2,"Good",IF(HR_Data[[#This Row],[WorkLifeBalance]]=3,"Better","Best")))</f>
        <v>Good</v>
      </c>
    </row>
    <row r="130" spans="1:42"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IF(HR_Data[[#This Row],[Attrition]]="Yes",1,0)</f>
        <v>0</v>
      </c>
      <c r="AK130">
        <f>IF(HR_Data[[#This Row],[Attrition]]="No",1,0)</f>
        <v>1</v>
      </c>
      <c r="AL130" t="str">
        <f>IF(HR_Data[[#This Row],[Age]]&lt;25,"Under 25",IF(HR_Data[[#This Row],[Age]]&lt;=34,"25-34",IF(HR_Data[[#This Row],[Age]]&lt;=44,"35-44",IF(HR_Data[[#This Row],[Age]]&lt;=54,"45-54","55+"))))</f>
        <v>Under 25</v>
      </c>
      <c r="AM130" t="str">
        <f>IF(HR_Data[[#This Row],[MonthlyIncome]]&lt;3000,"Low Salary",IF(HR_Data[[#This Row],[MonthlyIncome]]&lt;=7000,"Medium Salary","High Salary"))</f>
        <v>Low Salary</v>
      </c>
      <c r="AN130" t="str">
        <f>IF(HR_Data[[#This Row],[YearsAtCompany]]&lt;2,"0-1 Years",IF(HR_Data[[#This Row],[YearsAtCompany]]&lt;=5,"2-5 Years",IF(HR_Data[[#This Row],[YearsAtCompany]]&lt;=10,"6-10 Years","10+ Years")))</f>
        <v>2-5 Years</v>
      </c>
      <c r="AO130" t="str">
        <f>IF(HR_Data[[#This Row],[JobSatisfaction]]=1,"Low",IF(HR_Data[[#This Row],[JobSatisfaction]]=2,"Medium",IF(HR_Data[[#This Row],[JobSatisfaction]]=3,"High","Very High")))</f>
        <v>Very High</v>
      </c>
      <c r="AP130" t="str">
        <f>IF(HR_Data[[#This Row],[WorkLifeBalance]]=1,"Bad",IF(HR_Data[[#This Row],[WorkLifeBalance]]=2,"Good",IF(HR_Data[[#This Row],[WorkLifeBalance]]=3,"Better","Best")))</f>
        <v>Better</v>
      </c>
    </row>
    <row r="131" spans="1:42"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IF(HR_Data[[#This Row],[Attrition]]="Yes",1,0)</f>
        <v>0</v>
      </c>
      <c r="AK131">
        <f>IF(HR_Data[[#This Row],[Attrition]]="No",1,0)</f>
        <v>1</v>
      </c>
      <c r="AL131" t="str">
        <f>IF(HR_Data[[#This Row],[Age]]&lt;25,"Under 25",IF(HR_Data[[#This Row],[Age]]&lt;=34,"25-34",IF(HR_Data[[#This Row],[Age]]&lt;=44,"35-44",IF(HR_Data[[#This Row],[Age]]&lt;=54,"45-54","55+"))))</f>
        <v>45-54</v>
      </c>
      <c r="AM131" t="str">
        <f>IF(HR_Data[[#This Row],[MonthlyIncome]]&lt;3000,"Low Salary",IF(HR_Data[[#This Row],[MonthlyIncome]]&lt;=7000,"Medium Salary","High Salary"))</f>
        <v>Medium Salary</v>
      </c>
      <c r="AN131" t="str">
        <f>IF(HR_Data[[#This Row],[YearsAtCompany]]&lt;2,"0-1 Years",IF(HR_Data[[#This Row],[YearsAtCompany]]&lt;=5,"2-5 Years",IF(HR_Data[[#This Row],[YearsAtCompany]]&lt;=10,"6-10 Years","10+ Years")))</f>
        <v>10+ Years</v>
      </c>
      <c r="AO131" t="str">
        <f>IF(HR_Data[[#This Row],[JobSatisfaction]]=1,"Low",IF(HR_Data[[#This Row],[JobSatisfaction]]=2,"Medium",IF(HR_Data[[#This Row],[JobSatisfaction]]=3,"High","Very High")))</f>
        <v>Low</v>
      </c>
      <c r="AP131" t="str">
        <f>IF(HR_Data[[#This Row],[WorkLifeBalance]]=1,"Bad",IF(HR_Data[[#This Row],[WorkLifeBalance]]=2,"Good",IF(HR_Data[[#This Row],[WorkLifeBalance]]=3,"Better","Best")))</f>
        <v>Good</v>
      </c>
    </row>
    <row r="132" spans="1:42"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IF(HR_Data[[#This Row],[Attrition]]="Yes",1,0)</f>
        <v>0</v>
      </c>
      <c r="AK132">
        <f>IF(HR_Data[[#This Row],[Attrition]]="No",1,0)</f>
        <v>1</v>
      </c>
      <c r="AL132" t="str">
        <f>IF(HR_Data[[#This Row],[Age]]&lt;25,"Under 25",IF(HR_Data[[#This Row],[Age]]&lt;=34,"25-34",IF(HR_Data[[#This Row],[Age]]&lt;=44,"35-44",IF(HR_Data[[#This Row],[Age]]&lt;=54,"45-54","55+"))))</f>
        <v>35-44</v>
      </c>
      <c r="AM132" t="str">
        <f>IF(HR_Data[[#This Row],[MonthlyIncome]]&lt;3000,"Low Salary",IF(HR_Data[[#This Row],[MonthlyIncome]]&lt;=7000,"Medium Salary","High Salary"))</f>
        <v>Medium Salary</v>
      </c>
      <c r="AN132" t="str">
        <f>IF(HR_Data[[#This Row],[YearsAtCompany]]&lt;2,"0-1 Years",IF(HR_Data[[#This Row],[YearsAtCompany]]&lt;=5,"2-5 Years",IF(HR_Data[[#This Row],[YearsAtCompany]]&lt;=10,"6-10 Years","10+ Years")))</f>
        <v>2-5 Years</v>
      </c>
      <c r="AO132" t="str">
        <f>IF(HR_Data[[#This Row],[JobSatisfaction]]=1,"Low",IF(HR_Data[[#This Row],[JobSatisfaction]]=2,"Medium",IF(HR_Data[[#This Row],[JobSatisfaction]]=3,"High","Very High")))</f>
        <v>High</v>
      </c>
      <c r="AP132" t="str">
        <f>IF(HR_Data[[#This Row],[WorkLifeBalance]]=1,"Bad",IF(HR_Data[[#This Row],[WorkLifeBalance]]=2,"Good",IF(HR_Data[[#This Row],[WorkLifeBalance]]=3,"Better","Best")))</f>
        <v>Better</v>
      </c>
    </row>
    <row r="133" spans="1:42"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IF(HR_Data[[#This Row],[Attrition]]="Yes",1,0)</f>
        <v>0</v>
      </c>
      <c r="AK133">
        <f>IF(HR_Data[[#This Row],[Attrition]]="No",1,0)</f>
        <v>1</v>
      </c>
      <c r="AL133" t="str">
        <f>IF(HR_Data[[#This Row],[Age]]&lt;25,"Under 25",IF(HR_Data[[#This Row],[Age]]&lt;=34,"25-34",IF(HR_Data[[#This Row],[Age]]&lt;=44,"35-44",IF(HR_Data[[#This Row],[Age]]&lt;=54,"45-54","55+"))))</f>
        <v>45-54</v>
      </c>
      <c r="AM133" t="str">
        <f>IF(HR_Data[[#This Row],[MonthlyIncome]]&lt;3000,"Low Salary",IF(HR_Data[[#This Row],[MonthlyIncome]]&lt;=7000,"Medium Salary","High Salary"))</f>
        <v>High Salary</v>
      </c>
      <c r="AN133" t="str">
        <f>IF(HR_Data[[#This Row],[YearsAtCompany]]&lt;2,"0-1 Years",IF(HR_Data[[#This Row],[YearsAtCompany]]&lt;=5,"2-5 Years",IF(HR_Data[[#This Row],[YearsAtCompany]]&lt;=10,"6-10 Years","10+ Years")))</f>
        <v>2-5 Years</v>
      </c>
      <c r="AO133" t="str">
        <f>IF(HR_Data[[#This Row],[JobSatisfaction]]=1,"Low",IF(HR_Data[[#This Row],[JobSatisfaction]]=2,"Medium",IF(HR_Data[[#This Row],[JobSatisfaction]]=3,"High","Very High")))</f>
        <v>Very High</v>
      </c>
      <c r="AP133" t="str">
        <f>IF(HR_Data[[#This Row],[WorkLifeBalance]]=1,"Bad",IF(HR_Data[[#This Row],[WorkLifeBalance]]=2,"Good",IF(HR_Data[[#This Row],[WorkLifeBalance]]=3,"Better","Best")))</f>
        <v>Better</v>
      </c>
    </row>
    <row r="134" spans="1:42"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IF(HR_Data[[#This Row],[Attrition]]="Yes",1,0)</f>
        <v>1</v>
      </c>
      <c r="AK134">
        <f>IF(HR_Data[[#This Row],[Attrition]]="No",1,0)</f>
        <v>0</v>
      </c>
      <c r="AL134" t="str">
        <f>IF(HR_Data[[#This Row],[Age]]&lt;25,"Under 25",IF(HR_Data[[#This Row],[Age]]&lt;=34,"25-34",IF(HR_Data[[#This Row],[Age]]&lt;=44,"35-44",IF(HR_Data[[#This Row],[Age]]&lt;=54,"45-54","55+"))))</f>
        <v>25-34</v>
      </c>
      <c r="AM134" t="str">
        <f>IF(HR_Data[[#This Row],[MonthlyIncome]]&lt;3000,"Low Salary",IF(HR_Data[[#This Row],[MonthlyIncome]]&lt;=7000,"Medium Salary","High Salary"))</f>
        <v>Medium Salary</v>
      </c>
      <c r="AN134" t="str">
        <f>IF(HR_Data[[#This Row],[YearsAtCompany]]&lt;2,"0-1 Years",IF(HR_Data[[#This Row],[YearsAtCompany]]&lt;=5,"2-5 Years",IF(HR_Data[[#This Row],[YearsAtCompany]]&lt;=10,"6-10 Years","10+ Years")))</f>
        <v>2-5 Years</v>
      </c>
      <c r="AO134" t="str">
        <f>IF(HR_Data[[#This Row],[JobSatisfaction]]=1,"Low",IF(HR_Data[[#This Row],[JobSatisfaction]]=2,"Medium",IF(HR_Data[[#This Row],[JobSatisfaction]]=3,"High","Very High")))</f>
        <v>High</v>
      </c>
      <c r="AP134" t="str">
        <f>IF(HR_Data[[#This Row],[WorkLifeBalance]]=1,"Bad",IF(HR_Data[[#This Row],[WorkLifeBalance]]=2,"Good",IF(HR_Data[[#This Row],[WorkLifeBalance]]=3,"Better","Best")))</f>
        <v>Better</v>
      </c>
    </row>
    <row r="135" spans="1:42"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IF(HR_Data[[#This Row],[Attrition]]="Yes",1,0)</f>
        <v>0</v>
      </c>
      <c r="AK135">
        <f>IF(HR_Data[[#This Row],[Attrition]]="No",1,0)</f>
        <v>1</v>
      </c>
      <c r="AL135" t="str">
        <f>IF(HR_Data[[#This Row],[Age]]&lt;25,"Under 25",IF(HR_Data[[#This Row],[Age]]&lt;=34,"25-34",IF(HR_Data[[#This Row],[Age]]&lt;=44,"35-44",IF(HR_Data[[#This Row],[Age]]&lt;=54,"45-54","55+"))))</f>
        <v>35-44</v>
      </c>
      <c r="AM135" t="str">
        <f>IF(HR_Data[[#This Row],[MonthlyIncome]]&lt;3000,"Low Salary",IF(HR_Data[[#This Row],[MonthlyIncome]]&lt;=7000,"Medium Salary","High Salary"))</f>
        <v>High Salary</v>
      </c>
      <c r="AN135" t="str">
        <f>IF(HR_Data[[#This Row],[YearsAtCompany]]&lt;2,"0-1 Years",IF(HR_Data[[#This Row],[YearsAtCompany]]&lt;=5,"2-5 Years",IF(HR_Data[[#This Row],[YearsAtCompany]]&lt;=10,"6-10 Years","10+ Years")))</f>
        <v>6-10 Years</v>
      </c>
      <c r="AO135" t="str">
        <f>IF(HR_Data[[#This Row],[JobSatisfaction]]=1,"Low",IF(HR_Data[[#This Row],[JobSatisfaction]]=2,"Medium",IF(HR_Data[[#This Row],[JobSatisfaction]]=3,"High","Very High")))</f>
        <v>High</v>
      </c>
      <c r="AP135" t="str">
        <f>IF(HR_Data[[#This Row],[WorkLifeBalance]]=1,"Bad",IF(HR_Data[[#This Row],[WorkLifeBalance]]=2,"Good",IF(HR_Data[[#This Row],[WorkLifeBalance]]=3,"Better","Best")))</f>
        <v>Better</v>
      </c>
    </row>
    <row r="136" spans="1:42"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IF(HR_Data[[#This Row],[Attrition]]="Yes",1,0)</f>
        <v>0</v>
      </c>
      <c r="AK136">
        <f>IF(HR_Data[[#This Row],[Attrition]]="No",1,0)</f>
        <v>1</v>
      </c>
      <c r="AL136" t="str">
        <f>IF(HR_Data[[#This Row],[Age]]&lt;25,"Under 25",IF(HR_Data[[#This Row],[Age]]&lt;=34,"25-34",IF(HR_Data[[#This Row],[Age]]&lt;=44,"35-44",IF(HR_Data[[#This Row],[Age]]&lt;=54,"45-54","55+"))))</f>
        <v>25-34</v>
      </c>
      <c r="AM136" t="str">
        <f>IF(HR_Data[[#This Row],[MonthlyIncome]]&lt;3000,"Low Salary",IF(HR_Data[[#This Row],[MonthlyIncome]]&lt;=7000,"Medium Salary","High Salary"))</f>
        <v>Low Salary</v>
      </c>
      <c r="AN136" t="str">
        <f>IF(HR_Data[[#This Row],[YearsAtCompany]]&lt;2,"0-1 Years",IF(HR_Data[[#This Row],[YearsAtCompany]]&lt;=5,"2-5 Years",IF(HR_Data[[#This Row],[YearsAtCompany]]&lt;=10,"6-10 Years","10+ Years")))</f>
        <v>6-10 Years</v>
      </c>
      <c r="AO136" t="str">
        <f>IF(HR_Data[[#This Row],[JobSatisfaction]]=1,"Low",IF(HR_Data[[#This Row],[JobSatisfaction]]=2,"Medium",IF(HR_Data[[#This Row],[JobSatisfaction]]=3,"High","Very High")))</f>
        <v>High</v>
      </c>
      <c r="AP136" t="str">
        <f>IF(HR_Data[[#This Row],[WorkLifeBalance]]=1,"Bad",IF(HR_Data[[#This Row],[WorkLifeBalance]]=2,"Good",IF(HR_Data[[#This Row],[WorkLifeBalance]]=3,"Better","Best")))</f>
        <v>Better</v>
      </c>
    </row>
    <row r="137" spans="1:42"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IF(HR_Data[[#This Row],[Attrition]]="Yes",1,0)</f>
        <v>0</v>
      </c>
      <c r="AK137">
        <f>IF(HR_Data[[#This Row],[Attrition]]="No",1,0)</f>
        <v>1</v>
      </c>
      <c r="AL137" t="str">
        <f>IF(HR_Data[[#This Row],[Age]]&lt;25,"Under 25",IF(HR_Data[[#This Row],[Age]]&lt;=34,"25-34",IF(HR_Data[[#This Row],[Age]]&lt;=44,"35-44",IF(HR_Data[[#This Row],[Age]]&lt;=54,"45-54","55+"))))</f>
        <v>35-44</v>
      </c>
      <c r="AM137" t="str">
        <f>IF(HR_Data[[#This Row],[MonthlyIncome]]&lt;3000,"Low Salary",IF(HR_Data[[#This Row],[MonthlyIncome]]&lt;=7000,"Medium Salary","High Salary"))</f>
        <v>Medium Salary</v>
      </c>
      <c r="AN137" t="str">
        <f>IF(HR_Data[[#This Row],[YearsAtCompany]]&lt;2,"0-1 Years",IF(HR_Data[[#This Row],[YearsAtCompany]]&lt;=5,"2-5 Years",IF(HR_Data[[#This Row],[YearsAtCompany]]&lt;=10,"6-10 Years","10+ Years")))</f>
        <v>2-5 Years</v>
      </c>
      <c r="AO137" t="str">
        <f>IF(HR_Data[[#This Row],[JobSatisfaction]]=1,"Low",IF(HR_Data[[#This Row],[JobSatisfaction]]=2,"Medium",IF(HR_Data[[#This Row],[JobSatisfaction]]=3,"High","Very High")))</f>
        <v>Medium</v>
      </c>
      <c r="AP137" t="str">
        <f>IF(HR_Data[[#This Row],[WorkLifeBalance]]=1,"Bad",IF(HR_Data[[#This Row],[WorkLifeBalance]]=2,"Good",IF(HR_Data[[#This Row],[WorkLifeBalance]]=3,"Better","Best")))</f>
        <v>Better</v>
      </c>
    </row>
    <row r="138" spans="1:42"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IF(HR_Data[[#This Row],[Attrition]]="Yes",1,0)</f>
        <v>1</v>
      </c>
      <c r="AK138">
        <f>IF(HR_Data[[#This Row],[Attrition]]="No",1,0)</f>
        <v>0</v>
      </c>
      <c r="AL138" t="str">
        <f>IF(HR_Data[[#This Row],[Age]]&lt;25,"Under 25",IF(HR_Data[[#This Row],[Age]]&lt;=34,"25-34",IF(HR_Data[[#This Row],[Age]]&lt;=44,"35-44",IF(HR_Data[[#This Row],[Age]]&lt;=54,"45-54","55+"))))</f>
        <v>45-54</v>
      </c>
      <c r="AM138" t="str">
        <f>IF(HR_Data[[#This Row],[MonthlyIncome]]&lt;3000,"Low Salary",IF(HR_Data[[#This Row],[MonthlyIncome]]&lt;=7000,"Medium Salary","High Salary"))</f>
        <v>High Salary</v>
      </c>
      <c r="AN138" t="str">
        <f>IF(HR_Data[[#This Row],[YearsAtCompany]]&lt;2,"0-1 Years",IF(HR_Data[[#This Row],[YearsAtCompany]]&lt;=5,"2-5 Years",IF(HR_Data[[#This Row],[YearsAtCompany]]&lt;=10,"6-10 Years","10+ Years")))</f>
        <v>2-5 Years</v>
      </c>
      <c r="AO138" t="str">
        <f>IF(HR_Data[[#This Row],[JobSatisfaction]]=1,"Low",IF(HR_Data[[#This Row],[JobSatisfaction]]=2,"Medium",IF(HR_Data[[#This Row],[JobSatisfaction]]=3,"High","Very High")))</f>
        <v>Very High</v>
      </c>
      <c r="AP138" t="str">
        <f>IF(HR_Data[[#This Row],[WorkLifeBalance]]=1,"Bad",IF(HR_Data[[#This Row],[WorkLifeBalance]]=2,"Good",IF(HR_Data[[#This Row],[WorkLifeBalance]]=3,"Better","Best")))</f>
        <v>Better</v>
      </c>
    </row>
    <row r="139" spans="1:42"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IF(HR_Data[[#This Row],[Attrition]]="Yes",1,0)</f>
        <v>0</v>
      </c>
      <c r="AK139">
        <f>IF(HR_Data[[#This Row],[Attrition]]="No",1,0)</f>
        <v>1</v>
      </c>
      <c r="AL139" t="str">
        <f>IF(HR_Data[[#This Row],[Age]]&lt;25,"Under 25",IF(HR_Data[[#This Row],[Age]]&lt;=34,"25-34",IF(HR_Data[[#This Row],[Age]]&lt;=44,"35-44",IF(HR_Data[[#This Row],[Age]]&lt;=54,"45-54","55+"))))</f>
        <v>35-44</v>
      </c>
      <c r="AM139" t="str">
        <f>IF(HR_Data[[#This Row],[MonthlyIncome]]&lt;3000,"Low Salary",IF(HR_Data[[#This Row],[MonthlyIncome]]&lt;=7000,"Medium Salary","High Salary"))</f>
        <v>Medium Salary</v>
      </c>
      <c r="AN139" t="str">
        <f>IF(HR_Data[[#This Row],[YearsAtCompany]]&lt;2,"0-1 Years",IF(HR_Data[[#This Row],[YearsAtCompany]]&lt;=5,"2-5 Years",IF(HR_Data[[#This Row],[YearsAtCompany]]&lt;=10,"6-10 Years","10+ Years")))</f>
        <v>10+ Years</v>
      </c>
      <c r="AO139" t="str">
        <f>IF(HR_Data[[#This Row],[JobSatisfaction]]=1,"Low",IF(HR_Data[[#This Row],[JobSatisfaction]]=2,"Medium",IF(HR_Data[[#This Row],[JobSatisfaction]]=3,"High","Very High")))</f>
        <v>High</v>
      </c>
      <c r="AP139" t="str">
        <f>IF(HR_Data[[#This Row],[WorkLifeBalance]]=1,"Bad",IF(HR_Data[[#This Row],[WorkLifeBalance]]=2,"Good",IF(HR_Data[[#This Row],[WorkLifeBalance]]=3,"Better","Best")))</f>
        <v>Best</v>
      </c>
    </row>
    <row r="140" spans="1:42"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IF(HR_Data[[#This Row],[Attrition]]="Yes",1,0)</f>
        <v>0</v>
      </c>
      <c r="AK140">
        <f>IF(HR_Data[[#This Row],[Attrition]]="No",1,0)</f>
        <v>1</v>
      </c>
      <c r="AL140" t="str">
        <f>IF(HR_Data[[#This Row],[Age]]&lt;25,"Under 25",IF(HR_Data[[#This Row],[Age]]&lt;=34,"25-34",IF(HR_Data[[#This Row],[Age]]&lt;=44,"35-44",IF(HR_Data[[#This Row],[Age]]&lt;=54,"45-54","55+"))))</f>
        <v>25-34</v>
      </c>
      <c r="AM140" t="str">
        <f>IF(HR_Data[[#This Row],[MonthlyIncome]]&lt;3000,"Low Salary",IF(HR_Data[[#This Row],[MonthlyIncome]]&lt;=7000,"Medium Salary","High Salary"))</f>
        <v>High Salary</v>
      </c>
      <c r="AN140" t="str">
        <f>IF(HR_Data[[#This Row],[YearsAtCompany]]&lt;2,"0-1 Years",IF(HR_Data[[#This Row],[YearsAtCompany]]&lt;=5,"2-5 Years",IF(HR_Data[[#This Row],[YearsAtCompany]]&lt;=10,"6-10 Years","10+ Years")))</f>
        <v>2-5 Years</v>
      </c>
      <c r="AO140" t="str">
        <f>IF(HR_Data[[#This Row],[JobSatisfaction]]=1,"Low",IF(HR_Data[[#This Row],[JobSatisfaction]]=2,"Medium",IF(HR_Data[[#This Row],[JobSatisfaction]]=3,"High","Very High")))</f>
        <v>High</v>
      </c>
      <c r="AP140" t="str">
        <f>IF(HR_Data[[#This Row],[WorkLifeBalance]]=1,"Bad",IF(HR_Data[[#This Row],[WorkLifeBalance]]=2,"Good",IF(HR_Data[[#This Row],[WorkLifeBalance]]=3,"Better","Best")))</f>
        <v>Better</v>
      </c>
    </row>
    <row r="141" spans="1:42"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IF(HR_Data[[#This Row],[Attrition]]="Yes",1,0)</f>
        <v>0</v>
      </c>
      <c r="AK141">
        <f>IF(HR_Data[[#This Row],[Attrition]]="No",1,0)</f>
        <v>1</v>
      </c>
      <c r="AL141" t="str">
        <f>IF(HR_Data[[#This Row],[Age]]&lt;25,"Under 25",IF(HR_Data[[#This Row],[Age]]&lt;=34,"25-34",IF(HR_Data[[#This Row],[Age]]&lt;=44,"35-44",IF(HR_Data[[#This Row],[Age]]&lt;=54,"45-54","55+"))))</f>
        <v>25-34</v>
      </c>
      <c r="AM141" t="str">
        <f>IF(HR_Data[[#This Row],[MonthlyIncome]]&lt;3000,"Low Salary",IF(HR_Data[[#This Row],[MonthlyIncome]]&lt;=7000,"Medium Salary","High Salary"))</f>
        <v>Medium Salary</v>
      </c>
      <c r="AN141" t="str">
        <f>IF(HR_Data[[#This Row],[YearsAtCompany]]&lt;2,"0-1 Years",IF(HR_Data[[#This Row],[YearsAtCompany]]&lt;=5,"2-5 Years",IF(HR_Data[[#This Row],[YearsAtCompany]]&lt;=10,"6-10 Years","10+ Years")))</f>
        <v>10+ Years</v>
      </c>
      <c r="AO141" t="str">
        <f>IF(HR_Data[[#This Row],[JobSatisfaction]]=1,"Low",IF(HR_Data[[#This Row],[JobSatisfaction]]=2,"Medium",IF(HR_Data[[#This Row],[JobSatisfaction]]=3,"High","Very High")))</f>
        <v>Very High</v>
      </c>
      <c r="AP141" t="str">
        <f>IF(HR_Data[[#This Row],[WorkLifeBalance]]=1,"Bad",IF(HR_Data[[#This Row],[WorkLifeBalance]]=2,"Good",IF(HR_Data[[#This Row],[WorkLifeBalance]]=3,"Better","Best")))</f>
        <v>Bad</v>
      </c>
    </row>
    <row r="142" spans="1:42"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IF(HR_Data[[#This Row],[Attrition]]="Yes",1,0)</f>
        <v>1</v>
      </c>
      <c r="AK142">
        <f>IF(HR_Data[[#This Row],[Attrition]]="No",1,0)</f>
        <v>0</v>
      </c>
      <c r="AL142" t="str">
        <f>IF(HR_Data[[#This Row],[Age]]&lt;25,"Under 25",IF(HR_Data[[#This Row],[Age]]&lt;=34,"25-34",IF(HR_Data[[#This Row],[Age]]&lt;=44,"35-44",IF(HR_Data[[#This Row],[Age]]&lt;=54,"45-54","55+"))))</f>
        <v>25-34</v>
      </c>
      <c r="AM142" t="str">
        <f>IF(HR_Data[[#This Row],[MonthlyIncome]]&lt;3000,"Low Salary",IF(HR_Data[[#This Row],[MonthlyIncome]]&lt;=7000,"Medium Salary","High Salary"))</f>
        <v>Medium Salary</v>
      </c>
      <c r="AN142" t="str">
        <f>IF(HR_Data[[#This Row],[YearsAtCompany]]&lt;2,"0-1 Years",IF(HR_Data[[#This Row],[YearsAtCompany]]&lt;=5,"2-5 Years",IF(HR_Data[[#This Row],[YearsAtCompany]]&lt;=10,"6-10 Years","10+ Years")))</f>
        <v>2-5 Years</v>
      </c>
      <c r="AO142" t="str">
        <f>IF(HR_Data[[#This Row],[JobSatisfaction]]=1,"Low",IF(HR_Data[[#This Row],[JobSatisfaction]]=2,"Medium",IF(HR_Data[[#This Row],[JobSatisfaction]]=3,"High","Very High")))</f>
        <v>Low</v>
      </c>
      <c r="AP142" t="str">
        <f>IF(HR_Data[[#This Row],[WorkLifeBalance]]=1,"Bad",IF(HR_Data[[#This Row],[WorkLifeBalance]]=2,"Good",IF(HR_Data[[#This Row],[WorkLifeBalance]]=3,"Better","Best")))</f>
        <v>Best</v>
      </c>
    </row>
    <row r="143" spans="1:42"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IF(HR_Data[[#This Row],[Attrition]]="Yes",1,0)</f>
        <v>0</v>
      </c>
      <c r="AK143">
        <f>IF(HR_Data[[#This Row],[Attrition]]="No",1,0)</f>
        <v>1</v>
      </c>
      <c r="AL143" t="str">
        <f>IF(HR_Data[[#This Row],[Age]]&lt;25,"Under 25",IF(HR_Data[[#This Row],[Age]]&lt;=34,"25-34",IF(HR_Data[[#This Row],[Age]]&lt;=44,"35-44",IF(HR_Data[[#This Row],[Age]]&lt;=54,"45-54","55+"))))</f>
        <v>45-54</v>
      </c>
      <c r="AM143" t="str">
        <f>IF(HR_Data[[#This Row],[MonthlyIncome]]&lt;3000,"Low Salary",IF(HR_Data[[#This Row],[MonthlyIncome]]&lt;=7000,"Medium Salary","High Salary"))</f>
        <v>Medium Salary</v>
      </c>
      <c r="AN143" t="str">
        <f>IF(HR_Data[[#This Row],[YearsAtCompany]]&lt;2,"0-1 Years",IF(HR_Data[[#This Row],[YearsAtCompany]]&lt;=5,"2-5 Years",IF(HR_Data[[#This Row],[YearsAtCompany]]&lt;=10,"6-10 Years","10+ Years")))</f>
        <v>6-10 Years</v>
      </c>
      <c r="AO143" t="str">
        <f>IF(HR_Data[[#This Row],[JobSatisfaction]]=1,"Low",IF(HR_Data[[#This Row],[JobSatisfaction]]=2,"Medium",IF(HR_Data[[#This Row],[JobSatisfaction]]=3,"High","Very High")))</f>
        <v>Very High</v>
      </c>
      <c r="AP143" t="str">
        <f>IF(HR_Data[[#This Row],[WorkLifeBalance]]=1,"Bad",IF(HR_Data[[#This Row],[WorkLifeBalance]]=2,"Good",IF(HR_Data[[#This Row],[WorkLifeBalance]]=3,"Better","Best")))</f>
        <v>Good</v>
      </c>
    </row>
    <row r="144" spans="1:42"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IF(HR_Data[[#This Row],[Attrition]]="Yes",1,0)</f>
        <v>0</v>
      </c>
      <c r="AK144">
        <f>IF(HR_Data[[#This Row],[Attrition]]="No",1,0)</f>
        <v>1</v>
      </c>
      <c r="AL144" t="str">
        <f>IF(HR_Data[[#This Row],[Age]]&lt;25,"Under 25",IF(HR_Data[[#This Row],[Age]]&lt;=34,"25-34",IF(HR_Data[[#This Row],[Age]]&lt;=44,"35-44",IF(HR_Data[[#This Row],[Age]]&lt;=54,"45-54","55+"))))</f>
        <v>35-44</v>
      </c>
      <c r="AM144" t="str">
        <f>IF(HR_Data[[#This Row],[MonthlyIncome]]&lt;3000,"Low Salary",IF(HR_Data[[#This Row],[MonthlyIncome]]&lt;=7000,"Medium Salary","High Salary"))</f>
        <v>Medium Salary</v>
      </c>
      <c r="AN144" t="str">
        <f>IF(HR_Data[[#This Row],[YearsAtCompany]]&lt;2,"0-1 Years",IF(HR_Data[[#This Row],[YearsAtCompany]]&lt;=5,"2-5 Years",IF(HR_Data[[#This Row],[YearsAtCompany]]&lt;=10,"6-10 Years","10+ Years")))</f>
        <v>2-5 Years</v>
      </c>
      <c r="AO144" t="str">
        <f>IF(HR_Data[[#This Row],[JobSatisfaction]]=1,"Low",IF(HR_Data[[#This Row],[JobSatisfaction]]=2,"Medium",IF(HR_Data[[#This Row],[JobSatisfaction]]=3,"High","Very High")))</f>
        <v>High</v>
      </c>
      <c r="AP144" t="str">
        <f>IF(HR_Data[[#This Row],[WorkLifeBalance]]=1,"Bad",IF(HR_Data[[#This Row],[WorkLifeBalance]]=2,"Good",IF(HR_Data[[#This Row],[WorkLifeBalance]]=3,"Better","Best")))</f>
        <v>Better</v>
      </c>
    </row>
    <row r="145" spans="1:42"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IF(HR_Data[[#This Row],[Attrition]]="Yes",1,0)</f>
        <v>0</v>
      </c>
      <c r="AK145">
        <f>IF(HR_Data[[#This Row],[Attrition]]="No",1,0)</f>
        <v>1</v>
      </c>
      <c r="AL145" t="str">
        <f>IF(HR_Data[[#This Row],[Age]]&lt;25,"Under 25",IF(HR_Data[[#This Row],[Age]]&lt;=34,"25-34",IF(HR_Data[[#This Row],[Age]]&lt;=44,"35-44",IF(HR_Data[[#This Row],[Age]]&lt;=54,"45-54","55+"))))</f>
        <v>25-34</v>
      </c>
      <c r="AM145" t="str">
        <f>IF(HR_Data[[#This Row],[MonthlyIncome]]&lt;3000,"Low Salary",IF(HR_Data[[#This Row],[MonthlyIncome]]&lt;=7000,"Medium Salary","High Salary"))</f>
        <v>Low Salary</v>
      </c>
      <c r="AN145" t="str">
        <f>IF(HR_Data[[#This Row],[YearsAtCompany]]&lt;2,"0-1 Years",IF(HR_Data[[#This Row],[YearsAtCompany]]&lt;=5,"2-5 Years",IF(HR_Data[[#This Row],[YearsAtCompany]]&lt;=10,"6-10 Years","10+ Years")))</f>
        <v>2-5 Years</v>
      </c>
      <c r="AO145" t="str">
        <f>IF(HR_Data[[#This Row],[JobSatisfaction]]=1,"Low",IF(HR_Data[[#This Row],[JobSatisfaction]]=2,"Medium",IF(HR_Data[[#This Row],[JobSatisfaction]]=3,"High","Very High")))</f>
        <v>High</v>
      </c>
      <c r="AP145" t="str">
        <f>IF(HR_Data[[#This Row],[WorkLifeBalance]]=1,"Bad",IF(HR_Data[[#This Row],[WorkLifeBalance]]=2,"Good",IF(HR_Data[[#This Row],[WorkLifeBalance]]=3,"Better","Best")))</f>
        <v>Good</v>
      </c>
    </row>
    <row r="146" spans="1:42"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IF(HR_Data[[#This Row],[Attrition]]="Yes",1,0)</f>
        <v>0</v>
      </c>
      <c r="AK146">
        <f>IF(HR_Data[[#This Row],[Attrition]]="No",1,0)</f>
        <v>1</v>
      </c>
      <c r="AL146" t="str">
        <f>IF(HR_Data[[#This Row],[Age]]&lt;25,"Under 25",IF(HR_Data[[#This Row],[Age]]&lt;=34,"25-34",IF(HR_Data[[#This Row],[Age]]&lt;=44,"35-44",IF(HR_Data[[#This Row],[Age]]&lt;=54,"45-54","55+"))))</f>
        <v>25-34</v>
      </c>
      <c r="AM146" t="str">
        <f>IF(HR_Data[[#This Row],[MonthlyIncome]]&lt;3000,"Low Salary",IF(HR_Data[[#This Row],[MonthlyIncome]]&lt;=7000,"Medium Salary","High Salary"))</f>
        <v>Medium Salary</v>
      </c>
      <c r="AN146" t="str">
        <f>IF(HR_Data[[#This Row],[YearsAtCompany]]&lt;2,"0-1 Years",IF(HR_Data[[#This Row],[YearsAtCompany]]&lt;=5,"2-5 Years",IF(HR_Data[[#This Row],[YearsAtCompany]]&lt;=10,"6-10 Years","10+ Years")))</f>
        <v>6-10 Years</v>
      </c>
      <c r="AO146" t="str">
        <f>IF(HR_Data[[#This Row],[JobSatisfaction]]=1,"Low",IF(HR_Data[[#This Row],[JobSatisfaction]]=2,"Medium",IF(HR_Data[[#This Row],[JobSatisfaction]]=3,"High","Very High")))</f>
        <v>Very High</v>
      </c>
      <c r="AP146" t="str">
        <f>IF(HR_Data[[#This Row],[WorkLifeBalance]]=1,"Bad",IF(HR_Data[[#This Row],[WorkLifeBalance]]=2,"Good",IF(HR_Data[[#This Row],[WorkLifeBalance]]=3,"Better","Best")))</f>
        <v>Best</v>
      </c>
    </row>
    <row r="147" spans="1:42"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IF(HR_Data[[#This Row],[Attrition]]="Yes",1,0)</f>
        <v>0</v>
      </c>
      <c r="AK147">
        <f>IF(HR_Data[[#This Row],[Attrition]]="No",1,0)</f>
        <v>1</v>
      </c>
      <c r="AL147" t="str">
        <f>IF(HR_Data[[#This Row],[Age]]&lt;25,"Under 25",IF(HR_Data[[#This Row],[Age]]&lt;=34,"25-34",IF(HR_Data[[#This Row],[Age]]&lt;=44,"35-44",IF(HR_Data[[#This Row],[Age]]&lt;=54,"45-54","55+"))))</f>
        <v>25-34</v>
      </c>
      <c r="AM147" t="str">
        <f>IF(HR_Data[[#This Row],[MonthlyIncome]]&lt;3000,"Low Salary",IF(HR_Data[[#This Row],[MonthlyIncome]]&lt;=7000,"Medium Salary","High Salary"))</f>
        <v>Medium Salary</v>
      </c>
      <c r="AN147" t="str">
        <f>IF(HR_Data[[#This Row],[YearsAtCompany]]&lt;2,"0-1 Years",IF(HR_Data[[#This Row],[YearsAtCompany]]&lt;=5,"2-5 Years",IF(HR_Data[[#This Row],[YearsAtCompany]]&lt;=10,"6-10 Years","10+ Years")))</f>
        <v>2-5 Years</v>
      </c>
      <c r="AO147" t="str">
        <f>IF(HR_Data[[#This Row],[JobSatisfaction]]=1,"Low",IF(HR_Data[[#This Row],[JobSatisfaction]]=2,"Medium",IF(HR_Data[[#This Row],[JobSatisfaction]]=3,"High","Very High")))</f>
        <v>Low</v>
      </c>
      <c r="AP147" t="str">
        <f>IF(HR_Data[[#This Row],[WorkLifeBalance]]=1,"Bad",IF(HR_Data[[#This Row],[WorkLifeBalance]]=2,"Good",IF(HR_Data[[#This Row],[WorkLifeBalance]]=3,"Better","Best")))</f>
        <v>Better</v>
      </c>
    </row>
    <row r="148" spans="1:42"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IF(HR_Data[[#This Row],[Attrition]]="Yes",1,0)</f>
        <v>0</v>
      </c>
      <c r="AK148">
        <f>IF(HR_Data[[#This Row],[Attrition]]="No",1,0)</f>
        <v>1</v>
      </c>
      <c r="AL148" t="str">
        <f>IF(HR_Data[[#This Row],[Age]]&lt;25,"Under 25",IF(HR_Data[[#This Row],[Age]]&lt;=34,"25-34",IF(HR_Data[[#This Row],[Age]]&lt;=44,"35-44",IF(HR_Data[[#This Row],[Age]]&lt;=54,"45-54","55+"))))</f>
        <v>25-34</v>
      </c>
      <c r="AM148" t="str">
        <f>IF(HR_Data[[#This Row],[MonthlyIncome]]&lt;3000,"Low Salary",IF(HR_Data[[#This Row],[MonthlyIncome]]&lt;=7000,"Medium Salary","High Salary"))</f>
        <v>Low Salary</v>
      </c>
      <c r="AN148" t="str">
        <f>IF(HR_Data[[#This Row],[YearsAtCompany]]&lt;2,"0-1 Years",IF(HR_Data[[#This Row],[YearsAtCompany]]&lt;=5,"2-5 Years",IF(HR_Data[[#This Row],[YearsAtCompany]]&lt;=10,"6-10 Years","10+ Years")))</f>
        <v>2-5 Years</v>
      </c>
      <c r="AO148" t="str">
        <f>IF(HR_Data[[#This Row],[JobSatisfaction]]=1,"Low",IF(HR_Data[[#This Row],[JobSatisfaction]]=2,"Medium",IF(HR_Data[[#This Row],[JobSatisfaction]]=3,"High","Very High")))</f>
        <v>Very High</v>
      </c>
      <c r="AP148" t="str">
        <f>IF(HR_Data[[#This Row],[WorkLifeBalance]]=1,"Bad",IF(HR_Data[[#This Row],[WorkLifeBalance]]=2,"Good",IF(HR_Data[[#This Row],[WorkLifeBalance]]=3,"Better","Best")))</f>
        <v>Better</v>
      </c>
    </row>
    <row r="149" spans="1:42"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IF(HR_Data[[#This Row],[Attrition]]="Yes",1,0)</f>
        <v>0</v>
      </c>
      <c r="AK149">
        <f>IF(HR_Data[[#This Row],[Attrition]]="No",1,0)</f>
        <v>1</v>
      </c>
      <c r="AL149" t="str">
        <f>IF(HR_Data[[#This Row],[Age]]&lt;25,"Under 25",IF(HR_Data[[#This Row],[Age]]&lt;=34,"25-34",IF(HR_Data[[#This Row],[Age]]&lt;=44,"35-44",IF(HR_Data[[#This Row],[Age]]&lt;=54,"45-54","55+"))))</f>
        <v>35-44</v>
      </c>
      <c r="AM149" t="str">
        <f>IF(HR_Data[[#This Row],[MonthlyIncome]]&lt;3000,"Low Salary",IF(HR_Data[[#This Row],[MonthlyIncome]]&lt;=7000,"Medium Salary","High Salary"))</f>
        <v>High Salary</v>
      </c>
      <c r="AN149" t="str">
        <f>IF(HR_Data[[#This Row],[YearsAtCompany]]&lt;2,"0-1 Years",IF(HR_Data[[#This Row],[YearsAtCompany]]&lt;=5,"2-5 Years",IF(HR_Data[[#This Row],[YearsAtCompany]]&lt;=10,"6-10 Years","10+ Years")))</f>
        <v>6-10 Years</v>
      </c>
      <c r="AO149" t="str">
        <f>IF(HR_Data[[#This Row],[JobSatisfaction]]=1,"Low",IF(HR_Data[[#This Row],[JobSatisfaction]]=2,"Medium",IF(HR_Data[[#This Row],[JobSatisfaction]]=3,"High","Very High")))</f>
        <v>Low</v>
      </c>
      <c r="AP149" t="str">
        <f>IF(HR_Data[[#This Row],[WorkLifeBalance]]=1,"Bad",IF(HR_Data[[#This Row],[WorkLifeBalance]]=2,"Good",IF(HR_Data[[#This Row],[WorkLifeBalance]]=3,"Better","Best")))</f>
        <v>Good</v>
      </c>
    </row>
    <row r="150" spans="1:42"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IF(HR_Data[[#This Row],[Attrition]]="Yes",1,0)</f>
        <v>0</v>
      </c>
      <c r="AK150">
        <f>IF(HR_Data[[#This Row],[Attrition]]="No",1,0)</f>
        <v>1</v>
      </c>
      <c r="AL150" t="str">
        <f>IF(HR_Data[[#This Row],[Age]]&lt;25,"Under 25",IF(HR_Data[[#This Row],[Age]]&lt;=34,"25-34",IF(HR_Data[[#This Row],[Age]]&lt;=44,"35-44",IF(HR_Data[[#This Row],[Age]]&lt;=54,"45-54","55+"))))</f>
        <v>35-44</v>
      </c>
      <c r="AM150" t="str">
        <f>IF(HR_Data[[#This Row],[MonthlyIncome]]&lt;3000,"Low Salary",IF(HR_Data[[#This Row],[MonthlyIncome]]&lt;=7000,"Medium Salary","High Salary"))</f>
        <v>Low Salary</v>
      </c>
      <c r="AN150" t="str">
        <f>IF(HR_Data[[#This Row],[YearsAtCompany]]&lt;2,"0-1 Years",IF(HR_Data[[#This Row],[YearsAtCompany]]&lt;=5,"2-5 Years",IF(HR_Data[[#This Row],[YearsAtCompany]]&lt;=10,"6-10 Years","10+ Years")))</f>
        <v>2-5 Years</v>
      </c>
      <c r="AO150" t="str">
        <f>IF(HR_Data[[#This Row],[JobSatisfaction]]=1,"Low",IF(HR_Data[[#This Row],[JobSatisfaction]]=2,"Medium",IF(HR_Data[[#This Row],[JobSatisfaction]]=3,"High","Very High")))</f>
        <v>Low</v>
      </c>
      <c r="AP150" t="str">
        <f>IF(HR_Data[[#This Row],[WorkLifeBalance]]=1,"Bad",IF(HR_Data[[#This Row],[WorkLifeBalance]]=2,"Good",IF(HR_Data[[#This Row],[WorkLifeBalance]]=3,"Better","Best")))</f>
        <v>Better</v>
      </c>
    </row>
    <row r="151" spans="1:42"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IF(HR_Data[[#This Row],[Attrition]]="Yes",1,0)</f>
        <v>0</v>
      </c>
      <c r="AK151">
        <f>IF(HR_Data[[#This Row],[Attrition]]="No",1,0)</f>
        <v>1</v>
      </c>
      <c r="AL151" t="str">
        <f>IF(HR_Data[[#This Row],[Age]]&lt;25,"Under 25",IF(HR_Data[[#This Row],[Age]]&lt;=34,"25-34",IF(HR_Data[[#This Row],[Age]]&lt;=44,"35-44",IF(HR_Data[[#This Row],[Age]]&lt;=54,"45-54","55+"))))</f>
        <v>Under 25</v>
      </c>
      <c r="AM151" t="str">
        <f>IF(HR_Data[[#This Row],[MonthlyIncome]]&lt;3000,"Low Salary",IF(HR_Data[[#This Row],[MonthlyIncome]]&lt;=7000,"Medium Salary","High Salary"))</f>
        <v>Low Salary</v>
      </c>
      <c r="AN151" t="str">
        <f>IF(HR_Data[[#This Row],[YearsAtCompany]]&lt;2,"0-1 Years",IF(HR_Data[[#This Row],[YearsAtCompany]]&lt;=5,"2-5 Years",IF(HR_Data[[#This Row],[YearsAtCompany]]&lt;=10,"6-10 Years","10+ Years")))</f>
        <v>0-1 Years</v>
      </c>
      <c r="AO151" t="str">
        <f>IF(HR_Data[[#This Row],[JobSatisfaction]]=1,"Low",IF(HR_Data[[#This Row],[JobSatisfaction]]=2,"Medium",IF(HR_Data[[#This Row],[JobSatisfaction]]=3,"High","Very High")))</f>
        <v>Medium</v>
      </c>
      <c r="AP151" t="str">
        <f>IF(HR_Data[[#This Row],[WorkLifeBalance]]=1,"Bad",IF(HR_Data[[#This Row],[WorkLifeBalance]]=2,"Good",IF(HR_Data[[#This Row],[WorkLifeBalance]]=3,"Better","Best")))</f>
        <v>Better</v>
      </c>
    </row>
    <row r="152" spans="1:42"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IF(HR_Data[[#This Row],[Attrition]]="Yes",1,0)</f>
        <v>0</v>
      </c>
      <c r="AK152">
        <f>IF(HR_Data[[#This Row],[Attrition]]="No",1,0)</f>
        <v>1</v>
      </c>
      <c r="AL152" t="str">
        <f>IF(HR_Data[[#This Row],[Age]]&lt;25,"Under 25",IF(HR_Data[[#This Row],[Age]]&lt;=34,"25-34",IF(HR_Data[[#This Row],[Age]]&lt;=44,"35-44",IF(HR_Data[[#This Row],[Age]]&lt;=54,"45-54","55+"))))</f>
        <v>35-44</v>
      </c>
      <c r="AM152" t="str">
        <f>IF(HR_Data[[#This Row],[MonthlyIncome]]&lt;3000,"Low Salary",IF(HR_Data[[#This Row],[MonthlyIncome]]&lt;=7000,"Medium Salary","High Salary"))</f>
        <v>Medium Salary</v>
      </c>
      <c r="AN152" t="str">
        <f>IF(HR_Data[[#This Row],[YearsAtCompany]]&lt;2,"0-1 Years",IF(HR_Data[[#This Row],[YearsAtCompany]]&lt;=5,"2-5 Years",IF(HR_Data[[#This Row],[YearsAtCompany]]&lt;=10,"6-10 Years","10+ Years")))</f>
        <v>10+ Years</v>
      </c>
      <c r="AO152" t="str">
        <f>IF(HR_Data[[#This Row],[JobSatisfaction]]=1,"Low",IF(HR_Data[[#This Row],[JobSatisfaction]]=2,"Medium",IF(HR_Data[[#This Row],[JobSatisfaction]]=3,"High","Very High")))</f>
        <v>Medium</v>
      </c>
      <c r="AP152" t="str">
        <f>IF(HR_Data[[#This Row],[WorkLifeBalance]]=1,"Bad",IF(HR_Data[[#This Row],[WorkLifeBalance]]=2,"Good",IF(HR_Data[[#This Row],[WorkLifeBalance]]=3,"Better","Best")))</f>
        <v>Better</v>
      </c>
    </row>
    <row r="153" spans="1:42"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IF(HR_Data[[#This Row],[Attrition]]="Yes",1,0)</f>
        <v>0</v>
      </c>
      <c r="AK153">
        <f>IF(HR_Data[[#This Row],[Attrition]]="No",1,0)</f>
        <v>1</v>
      </c>
      <c r="AL153" t="str">
        <f>IF(HR_Data[[#This Row],[Age]]&lt;25,"Under 25",IF(HR_Data[[#This Row],[Age]]&lt;=34,"25-34",IF(HR_Data[[#This Row],[Age]]&lt;=44,"35-44",IF(HR_Data[[#This Row],[Age]]&lt;=54,"45-54","55+"))))</f>
        <v>35-44</v>
      </c>
      <c r="AM153" t="str">
        <f>IF(HR_Data[[#This Row],[MonthlyIncome]]&lt;3000,"Low Salary",IF(HR_Data[[#This Row],[MonthlyIncome]]&lt;=7000,"Medium Salary","High Salary"))</f>
        <v>High Salary</v>
      </c>
      <c r="AN153" t="str">
        <f>IF(HR_Data[[#This Row],[YearsAtCompany]]&lt;2,"0-1 Years",IF(HR_Data[[#This Row],[YearsAtCompany]]&lt;=5,"2-5 Years",IF(HR_Data[[#This Row],[YearsAtCompany]]&lt;=10,"6-10 Years","10+ Years")))</f>
        <v>6-10 Years</v>
      </c>
      <c r="AO153" t="str">
        <f>IF(HR_Data[[#This Row],[JobSatisfaction]]=1,"Low",IF(HR_Data[[#This Row],[JobSatisfaction]]=2,"Medium",IF(HR_Data[[#This Row],[JobSatisfaction]]=3,"High","Very High")))</f>
        <v>Medium</v>
      </c>
      <c r="AP153" t="str">
        <f>IF(HR_Data[[#This Row],[WorkLifeBalance]]=1,"Bad",IF(HR_Data[[#This Row],[WorkLifeBalance]]=2,"Good",IF(HR_Data[[#This Row],[WorkLifeBalance]]=3,"Better","Best")))</f>
        <v>Better</v>
      </c>
    </row>
    <row r="154" spans="1:42"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IF(HR_Data[[#This Row],[Attrition]]="Yes",1,0)</f>
        <v>0</v>
      </c>
      <c r="AK154">
        <f>IF(HR_Data[[#This Row],[Attrition]]="No",1,0)</f>
        <v>1</v>
      </c>
      <c r="AL154" t="str">
        <f>IF(HR_Data[[#This Row],[Age]]&lt;25,"Under 25",IF(HR_Data[[#This Row],[Age]]&lt;=34,"25-34",IF(HR_Data[[#This Row],[Age]]&lt;=44,"35-44",IF(HR_Data[[#This Row],[Age]]&lt;=54,"45-54","55+"))))</f>
        <v>45-54</v>
      </c>
      <c r="AM154" t="str">
        <f>IF(HR_Data[[#This Row],[MonthlyIncome]]&lt;3000,"Low Salary",IF(HR_Data[[#This Row],[MonthlyIncome]]&lt;=7000,"Medium Salary","High Salary"))</f>
        <v>Low Salary</v>
      </c>
      <c r="AN154" t="str">
        <f>IF(HR_Data[[#This Row],[YearsAtCompany]]&lt;2,"0-1 Years",IF(HR_Data[[#This Row],[YearsAtCompany]]&lt;=5,"2-5 Years",IF(HR_Data[[#This Row],[YearsAtCompany]]&lt;=10,"6-10 Years","10+ Years")))</f>
        <v>6-10 Years</v>
      </c>
      <c r="AO154" t="str">
        <f>IF(HR_Data[[#This Row],[JobSatisfaction]]=1,"Low",IF(HR_Data[[#This Row],[JobSatisfaction]]=2,"Medium",IF(HR_Data[[#This Row],[JobSatisfaction]]=3,"High","Very High")))</f>
        <v>High</v>
      </c>
      <c r="AP154" t="str">
        <f>IF(HR_Data[[#This Row],[WorkLifeBalance]]=1,"Bad",IF(HR_Data[[#This Row],[WorkLifeBalance]]=2,"Good",IF(HR_Data[[#This Row],[WorkLifeBalance]]=3,"Better","Best")))</f>
        <v>Bad</v>
      </c>
    </row>
    <row r="155" spans="1:42"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IF(HR_Data[[#This Row],[Attrition]]="Yes",1,0)</f>
        <v>0</v>
      </c>
      <c r="AK155">
        <f>IF(HR_Data[[#This Row],[Attrition]]="No",1,0)</f>
        <v>1</v>
      </c>
      <c r="AL155" t="str">
        <f>IF(HR_Data[[#This Row],[Age]]&lt;25,"Under 25",IF(HR_Data[[#This Row],[Age]]&lt;=34,"25-34",IF(HR_Data[[#This Row],[Age]]&lt;=44,"35-44",IF(HR_Data[[#This Row],[Age]]&lt;=54,"45-54","55+"))))</f>
        <v>45-54</v>
      </c>
      <c r="AM155" t="str">
        <f>IF(HR_Data[[#This Row],[MonthlyIncome]]&lt;3000,"Low Salary",IF(HR_Data[[#This Row],[MonthlyIncome]]&lt;=7000,"Medium Salary","High Salary"))</f>
        <v>Low Salary</v>
      </c>
      <c r="AN155" t="str">
        <f>IF(HR_Data[[#This Row],[YearsAtCompany]]&lt;2,"0-1 Years",IF(HR_Data[[#This Row],[YearsAtCompany]]&lt;=5,"2-5 Years",IF(HR_Data[[#This Row],[YearsAtCompany]]&lt;=10,"6-10 Years","10+ Years")))</f>
        <v>10+ Years</v>
      </c>
      <c r="AO155" t="str">
        <f>IF(HR_Data[[#This Row],[JobSatisfaction]]=1,"Low",IF(HR_Data[[#This Row],[JobSatisfaction]]=2,"Medium",IF(HR_Data[[#This Row],[JobSatisfaction]]=3,"High","Very High")))</f>
        <v>Medium</v>
      </c>
      <c r="AP155" t="str">
        <f>IF(HR_Data[[#This Row],[WorkLifeBalance]]=1,"Bad",IF(HR_Data[[#This Row],[WorkLifeBalance]]=2,"Good",IF(HR_Data[[#This Row],[WorkLifeBalance]]=3,"Better","Best")))</f>
        <v>Bad</v>
      </c>
    </row>
    <row r="156" spans="1:42"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IF(HR_Data[[#This Row],[Attrition]]="Yes",1,0)</f>
        <v>0</v>
      </c>
      <c r="AK156">
        <f>IF(HR_Data[[#This Row],[Attrition]]="No",1,0)</f>
        <v>1</v>
      </c>
      <c r="AL156" t="str">
        <f>IF(HR_Data[[#This Row],[Age]]&lt;25,"Under 25",IF(HR_Data[[#This Row],[Age]]&lt;=34,"25-34",IF(HR_Data[[#This Row],[Age]]&lt;=44,"35-44",IF(HR_Data[[#This Row],[Age]]&lt;=54,"45-54","55+"))))</f>
        <v>25-34</v>
      </c>
      <c r="AM156" t="str">
        <f>IF(HR_Data[[#This Row],[MonthlyIncome]]&lt;3000,"Low Salary",IF(HR_Data[[#This Row],[MonthlyIncome]]&lt;=7000,"Medium Salary","High Salary"))</f>
        <v>High Salary</v>
      </c>
      <c r="AN156" t="str">
        <f>IF(HR_Data[[#This Row],[YearsAtCompany]]&lt;2,"0-1 Years",IF(HR_Data[[#This Row],[YearsAtCompany]]&lt;=5,"2-5 Years",IF(HR_Data[[#This Row],[YearsAtCompany]]&lt;=10,"6-10 Years","10+ Years")))</f>
        <v>6-10 Years</v>
      </c>
      <c r="AO156" t="str">
        <f>IF(HR_Data[[#This Row],[JobSatisfaction]]=1,"Low",IF(HR_Data[[#This Row],[JobSatisfaction]]=2,"Medium",IF(HR_Data[[#This Row],[JobSatisfaction]]=3,"High","Very High")))</f>
        <v>Very High</v>
      </c>
      <c r="AP156" t="str">
        <f>IF(HR_Data[[#This Row],[WorkLifeBalance]]=1,"Bad",IF(HR_Data[[#This Row],[WorkLifeBalance]]=2,"Good",IF(HR_Data[[#This Row],[WorkLifeBalance]]=3,"Better","Best")))</f>
        <v>Better</v>
      </c>
    </row>
    <row r="157" spans="1:42"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IF(HR_Data[[#This Row],[Attrition]]="Yes",1,0)</f>
        <v>0</v>
      </c>
      <c r="AK157">
        <f>IF(HR_Data[[#This Row],[Attrition]]="No",1,0)</f>
        <v>1</v>
      </c>
      <c r="AL157" t="str">
        <f>IF(HR_Data[[#This Row],[Age]]&lt;25,"Under 25",IF(HR_Data[[#This Row],[Age]]&lt;=34,"25-34",IF(HR_Data[[#This Row],[Age]]&lt;=44,"35-44",IF(HR_Data[[#This Row],[Age]]&lt;=54,"45-54","55+"))))</f>
        <v>25-34</v>
      </c>
      <c r="AM157" t="str">
        <f>IF(HR_Data[[#This Row],[MonthlyIncome]]&lt;3000,"Low Salary",IF(HR_Data[[#This Row],[MonthlyIncome]]&lt;=7000,"Medium Salary","High Salary"))</f>
        <v>Medium Salary</v>
      </c>
      <c r="AN157" t="str">
        <f>IF(HR_Data[[#This Row],[YearsAtCompany]]&lt;2,"0-1 Years",IF(HR_Data[[#This Row],[YearsAtCompany]]&lt;=5,"2-5 Years",IF(HR_Data[[#This Row],[YearsAtCompany]]&lt;=10,"6-10 Years","10+ Years")))</f>
        <v>6-10 Years</v>
      </c>
      <c r="AO157" t="str">
        <f>IF(HR_Data[[#This Row],[JobSatisfaction]]=1,"Low",IF(HR_Data[[#This Row],[JobSatisfaction]]=2,"Medium",IF(HR_Data[[#This Row],[JobSatisfaction]]=3,"High","Very High")))</f>
        <v>High</v>
      </c>
      <c r="AP157" t="str">
        <f>IF(HR_Data[[#This Row],[WorkLifeBalance]]=1,"Bad",IF(HR_Data[[#This Row],[WorkLifeBalance]]=2,"Good",IF(HR_Data[[#This Row],[WorkLifeBalance]]=3,"Better","Best")))</f>
        <v>Better</v>
      </c>
    </row>
    <row r="158" spans="1:42"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IF(HR_Data[[#This Row],[Attrition]]="Yes",1,0)</f>
        <v>0</v>
      </c>
      <c r="AK158">
        <f>IF(HR_Data[[#This Row],[Attrition]]="No",1,0)</f>
        <v>1</v>
      </c>
      <c r="AL158" t="str">
        <f>IF(HR_Data[[#This Row],[Age]]&lt;25,"Under 25",IF(HR_Data[[#This Row],[Age]]&lt;=34,"25-34",IF(HR_Data[[#This Row],[Age]]&lt;=44,"35-44",IF(HR_Data[[#This Row],[Age]]&lt;=54,"45-54","55+"))))</f>
        <v>45-54</v>
      </c>
      <c r="AM158" t="str">
        <f>IF(HR_Data[[#This Row],[MonthlyIncome]]&lt;3000,"Low Salary",IF(HR_Data[[#This Row],[MonthlyIncome]]&lt;=7000,"Medium Salary","High Salary"))</f>
        <v>Medium Salary</v>
      </c>
      <c r="AN158" t="str">
        <f>IF(HR_Data[[#This Row],[YearsAtCompany]]&lt;2,"0-1 Years",IF(HR_Data[[#This Row],[YearsAtCompany]]&lt;=5,"2-5 Years",IF(HR_Data[[#This Row],[YearsAtCompany]]&lt;=10,"6-10 Years","10+ Years")))</f>
        <v>0-1 Years</v>
      </c>
      <c r="AO158" t="str">
        <f>IF(HR_Data[[#This Row],[JobSatisfaction]]=1,"Low",IF(HR_Data[[#This Row],[JobSatisfaction]]=2,"Medium",IF(HR_Data[[#This Row],[JobSatisfaction]]=3,"High","Very High")))</f>
        <v>High</v>
      </c>
      <c r="AP158" t="str">
        <f>IF(HR_Data[[#This Row],[WorkLifeBalance]]=1,"Bad",IF(HR_Data[[#This Row],[WorkLifeBalance]]=2,"Good",IF(HR_Data[[#This Row],[WorkLifeBalance]]=3,"Better","Best")))</f>
        <v>Better</v>
      </c>
    </row>
    <row r="159" spans="1:42"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IF(HR_Data[[#This Row],[Attrition]]="Yes",1,0)</f>
        <v>0</v>
      </c>
      <c r="AK159">
        <f>IF(HR_Data[[#This Row],[Attrition]]="No",1,0)</f>
        <v>1</v>
      </c>
      <c r="AL159" t="str">
        <f>IF(HR_Data[[#This Row],[Age]]&lt;25,"Under 25",IF(HR_Data[[#This Row],[Age]]&lt;=34,"25-34",IF(HR_Data[[#This Row],[Age]]&lt;=44,"35-44",IF(HR_Data[[#This Row],[Age]]&lt;=54,"45-54","55+"))))</f>
        <v>55+</v>
      </c>
      <c r="AM159" t="str">
        <f>IF(HR_Data[[#This Row],[MonthlyIncome]]&lt;3000,"Low Salary",IF(HR_Data[[#This Row],[MonthlyIncome]]&lt;=7000,"Medium Salary","High Salary"))</f>
        <v>Medium Salary</v>
      </c>
      <c r="AN159" t="str">
        <f>IF(HR_Data[[#This Row],[YearsAtCompany]]&lt;2,"0-1 Years",IF(HR_Data[[#This Row],[YearsAtCompany]]&lt;=5,"2-5 Years",IF(HR_Data[[#This Row],[YearsAtCompany]]&lt;=10,"6-10 Years","10+ Years")))</f>
        <v>0-1 Years</v>
      </c>
      <c r="AO159" t="str">
        <f>IF(HR_Data[[#This Row],[JobSatisfaction]]=1,"Low",IF(HR_Data[[#This Row],[JobSatisfaction]]=2,"Medium",IF(HR_Data[[#This Row],[JobSatisfaction]]=3,"High","Very High")))</f>
        <v>Medium</v>
      </c>
      <c r="AP159" t="str">
        <f>IF(HR_Data[[#This Row],[WorkLifeBalance]]=1,"Bad",IF(HR_Data[[#This Row],[WorkLifeBalance]]=2,"Good",IF(HR_Data[[#This Row],[WorkLifeBalance]]=3,"Better","Best")))</f>
        <v>Good</v>
      </c>
    </row>
    <row r="160" spans="1:42"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IF(HR_Data[[#This Row],[Attrition]]="Yes",1,0)</f>
        <v>0</v>
      </c>
      <c r="AK160">
        <f>IF(HR_Data[[#This Row],[Attrition]]="No",1,0)</f>
        <v>1</v>
      </c>
      <c r="AL160" t="str">
        <f>IF(HR_Data[[#This Row],[Age]]&lt;25,"Under 25",IF(HR_Data[[#This Row],[Age]]&lt;=34,"25-34",IF(HR_Data[[#This Row],[Age]]&lt;=44,"35-44",IF(HR_Data[[#This Row],[Age]]&lt;=54,"45-54","55+"))))</f>
        <v>35-44</v>
      </c>
      <c r="AM160" t="str">
        <f>IF(HR_Data[[#This Row],[MonthlyIncome]]&lt;3000,"Low Salary",IF(HR_Data[[#This Row],[MonthlyIncome]]&lt;=7000,"Medium Salary","High Salary"))</f>
        <v>High Salary</v>
      </c>
      <c r="AN160" t="str">
        <f>IF(HR_Data[[#This Row],[YearsAtCompany]]&lt;2,"0-1 Years",IF(HR_Data[[#This Row],[YearsAtCompany]]&lt;=5,"2-5 Years",IF(HR_Data[[#This Row],[YearsAtCompany]]&lt;=10,"6-10 Years","10+ Years")))</f>
        <v>10+ Years</v>
      </c>
      <c r="AO160" t="str">
        <f>IF(HR_Data[[#This Row],[JobSatisfaction]]=1,"Low",IF(HR_Data[[#This Row],[JobSatisfaction]]=2,"Medium",IF(HR_Data[[#This Row],[JobSatisfaction]]=3,"High","Very High")))</f>
        <v>Very High</v>
      </c>
      <c r="AP160" t="str">
        <f>IF(HR_Data[[#This Row],[WorkLifeBalance]]=1,"Bad",IF(HR_Data[[#This Row],[WorkLifeBalance]]=2,"Good",IF(HR_Data[[#This Row],[WorkLifeBalance]]=3,"Better","Best")))</f>
        <v>Good</v>
      </c>
    </row>
    <row r="161" spans="1:42"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IF(HR_Data[[#This Row],[Attrition]]="Yes",1,0)</f>
        <v>0</v>
      </c>
      <c r="AK161">
        <f>IF(HR_Data[[#This Row],[Attrition]]="No",1,0)</f>
        <v>1</v>
      </c>
      <c r="AL161" t="str">
        <f>IF(HR_Data[[#This Row],[Age]]&lt;25,"Under 25",IF(HR_Data[[#This Row],[Age]]&lt;=34,"25-34",IF(HR_Data[[#This Row],[Age]]&lt;=44,"35-44",IF(HR_Data[[#This Row],[Age]]&lt;=54,"45-54","55+"))))</f>
        <v>25-34</v>
      </c>
      <c r="AM161" t="str">
        <f>IF(HR_Data[[#This Row],[MonthlyIncome]]&lt;3000,"Low Salary",IF(HR_Data[[#This Row],[MonthlyIncome]]&lt;=7000,"Medium Salary","High Salary"))</f>
        <v>Low Salary</v>
      </c>
      <c r="AN161" t="str">
        <f>IF(HR_Data[[#This Row],[YearsAtCompany]]&lt;2,"0-1 Years",IF(HR_Data[[#This Row],[YearsAtCompany]]&lt;=5,"2-5 Years",IF(HR_Data[[#This Row],[YearsAtCompany]]&lt;=10,"6-10 Years","10+ Years")))</f>
        <v>2-5 Years</v>
      </c>
      <c r="AO161" t="str">
        <f>IF(HR_Data[[#This Row],[JobSatisfaction]]=1,"Low",IF(HR_Data[[#This Row],[JobSatisfaction]]=2,"Medium",IF(HR_Data[[#This Row],[JobSatisfaction]]=3,"High","Very High")))</f>
        <v>High</v>
      </c>
      <c r="AP161" t="str">
        <f>IF(HR_Data[[#This Row],[WorkLifeBalance]]=1,"Bad",IF(HR_Data[[#This Row],[WorkLifeBalance]]=2,"Good",IF(HR_Data[[#This Row],[WorkLifeBalance]]=3,"Better","Best")))</f>
        <v>Better</v>
      </c>
    </row>
    <row r="162" spans="1:42"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IF(HR_Data[[#This Row],[Attrition]]="Yes",1,0)</f>
        <v>0</v>
      </c>
      <c r="AK162">
        <f>IF(HR_Data[[#This Row],[Attrition]]="No",1,0)</f>
        <v>1</v>
      </c>
      <c r="AL162" t="str">
        <f>IF(HR_Data[[#This Row],[Age]]&lt;25,"Under 25",IF(HR_Data[[#This Row],[Age]]&lt;=34,"25-34",IF(HR_Data[[#This Row],[Age]]&lt;=44,"35-44",IF(HR_Data[[#This Row],[Age]]&lt;=54,"45-54","55+"))))</f>
        <v>Under 25</v>
      </c>
      <c r="AM162" t="str">
        <f>IF(HR_Data[[#This Row],[MonthlyIncome]]&lt;3000,"Low Salary",IF(HR_Data[[#This Row],[MonthlyIncome]]&lt;=7000,"Medium Salary","High Salary"))</f>
        <v>Low Salary</v>
      </c>
      <c r="AN162" t="str">
        <f>IF(HR_Data[[#This Row],[YearsAtCompany]]&lt;2,"0-1 Years",IF(HR_Data[[#This Row],[YearsAtCompany]]&lt;=5,"2-5 Years",IF(HR_Data[[#This Row],[YearsAtCompany]]&lt;=10,"6-10 Years","10+ Years")))</f>
        <v>2-5 Years</v>
      </c>
      <c r="AO162" t="str">
        <f>IF(HR_Data[[#This Row],[JobSatisfaction]]=1,"Low",IF(HR_Data[[#This Row],[JobSatisfaction]]=2,"Medium",IF(HR_Data[[#This Row],[JobSatisfaction]]=3,"High","Very High")))</f>
        <v>Very High</v>
      </c>
      <c r="AP162" t="str">
        <f>IF(HR_Data[[#This Row],[WorkLifeBalance]]=1,"Bad",IF(HR_Data[[#This Row],[WorkLifeBalance]]=2,"Good",IF(HR_Data[[#This Row],[WorkLifeBalance]]=3,"Better","Best")))</f>
        <v>Better</v>
      </c>
    </row>
    <row r="163" spans="1:42"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IF(HR_Data[[#This Row],[Attrition]]="Yes",1,0)</f>
        <v>0</v>
      </c>
      <c r="AK163">
        <f>IF(HR_Data[[#This Row],[Attrition]]="No",1,0)</f>
        <v>1</v>
      </c>
      <c r="AL163" t="str">
        <f>IF(HR_Data[[#This Row],[Age]]&lt;25,"Under 25",IF(HR_Data[[#This Row],[Age]]&lt;=34,"25-34",IF(HR_Data[[#This Row],[Age]]&lt;=44,"35-44",IF(HR_Data[[#This Row],[Age]]&lt;=54,"45-54","55+"))))</f>
        <v>25-34</v>
      </c>
      <c r="AM163" t="str">
        <f>IF(HR_Data[[#This Row],[MonthlyIncome]]&lt;3000,"Low Salary",IF(HR_Data[[#This Row],[MonthlyIncome]]&lt;=7000,"Medium Salary","High Salary"))</f>
        <v>Low Salary</v>
      </c>
      <c r="AN163" t="str">
        <f>IF(HR_Data[[#This Row],[YearsAtCompany]]&lt;2,"0-1 Years",IF(HR_Data[[#This Row],[YearsAtCompany]]&lt;=5,"2-5 Years",IF(HR_Data[[#This Row],[YearsAtCompany]]&lt;=10,"6-10 Years","10+ Years")))</f>
        <v>2-5 Years</v>
      </c>
      <c r="AO163" t="str">
        <f>IF(HR_Data[[#This Row],[JobSatisfaction]]=1,"Low",IF(HR_Data[[#This Row],[JobSatisfaction]]=2,"Medium",IF(HR_Data[[#This Row],[JobSatisfaction]]=3,"High","Very High")))</f>
        <v>Medium</v>
      </c>
      <c r="AP163" t="str">
        <f>IF(HR_Data[[#This Row],[WorkLifeBalance]]=1,"Bad",IF(HR_Data[[#This Row],[WorkLifeBalance]]=2,"Good",IF(HR_Data[[#This Row],[WorkLifeBalance]]=3,"Better","Best")))</f>
        <v>Bad</v>
      </c>
    </row>
    <row r="164" spans="1:42"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IF(HR_Data[[#This Row],[Attrition]]="Yes",1,0)</f>
        <v>0</v>
      </c>
      <c r="AK164">
        <f>IF(HR_Data[[#This Row],[Attrition]]="No",1,0)</f>
        <v>1</v>
      </c>
      <c r="AL164" t="str">
        <f>IF(HR_Data[[#This Row],[Age]]&lt;25,"Under 25",IF(HR_Data[[#This Row],[Age]]&lt;=34,"25-34",IF(HR_Data[[#This Row],[Age]]&lt;=44,"35-44",IF(HR_Data[[#This Row],[Age]]&lt;=54,"45-54","55+"))))</f>
        <v>25-34</v>
      </c>
      <c r="AM164" t="str">
        <f>IF(HR_Data[[#This Row],[MonthlyIncome]]&lt;3000,"Low Salary",IF(HR_Data[[#This Row],[MonthlyIncome]]&lt;=7000,"Medium Salary","High Salary"))</f>
        <v>Low Salary</v>
      </c>
      <c r="AN164" t="str">
        <f>IF(HR_Data[[#This Row],[YearsAtCompany]]&lt;2,"0-1 Years",IF(HR_Data[[#This Row],[YearsAtCompany]]&lt;=5,"2-5 Years",IF(HR_Data[[#This Row],[YearsAtCompany]]&lt;=10,"6-10 Years","10+ Years")))</f>
        <v>2-5 Years</v>
      </c>
      <c r="AO164" t="str">
        <f>IF(HR_Data[[#This Row],[JobSatisfaction]]=1,"Low",IF(HR_Data[[#This Row],[JobSatisfaction]]=2,"Medium",IF(HR_Data[[#This Row],[JobSatisfaction]]=3,"High","Very High")))</f>
        <v>Very High</v>
      </c>
      <c r="AP164" t="str">
        <f>IF(HR_Data[[#This Row],[WorkLifeBalance]]=1,"Bad",IF(HR_Data[[#This Row],[WorkLifeBalance]]=2,"Good",IF(HR_Data[[#This Row],[WorkLifeBalance]]=3,"Better","Best")))</f>
        <v>Bad</v>
      </c>
    </row>
    <row r="165" spans="1:42"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IF(HR_Data[[#This Row],[Attrition]]="Yes",1,0)</f>
        <v>0</v>
      </c>
      <c r="AK165">
        <f>IF(HR_Data[[#This Row],[Attrition]]="No",1,0)</f>
        <v>1</v>
      </c>
      <c r="AL165" t="str">
        <f>IF(HR_Data[[#This Row],[Age]]&lt;25,"Under 25",IF(HR_Data[[#This Row],[Age]]&lt;=34,"25-34",IF(HR_Data[[#This Row],[Age]]&lt;=44,"35-44",IF(HR_Data[[#This Row],[Age]]&lt;=54,"45-54","55+"))))</f>
        <v>55+</v>
      </c>
      <c r="AM165" t="str">
        <f>IF(HR_Data[[#This Row],[MonthlyIncome]]&lt;3000,"Low Salary",IF(HR_Data[[#This Row],[MonthlyIncome]]&lt;=7000,"Medium Salary","High Salary"))</f>
        <v>High Salary</v>
      </c>
      <c r="AN165" t="str">
        <f>IF(HR_Data[[#This Row],[YearsAtCompany]]&lt;2,"0-1 Years",IF(HR_Data[[#This Row],[YearsAtCompany]]&lt;=5,"2-5 Years",IF(HR_Data[[#This Row],[YearsAtCompany]]&lt;=10,"6-10 Years","10+ Years")))</f>
        <v>2-5 Years</v>
      </c>
      <c r="AO165" t="str">
        <f>IF(HR_Data[[#This Row],[JobSatisfaction]]=1,"Low",IF(HR_Data[[#This Row],[JobSatisfaction]]=2,"Medium",IF(HR_Data[[#This Row],[JobSatisfaction]]=3,"High","Very High")))</f>
        <v>Very High</v>
      </c>
      <c r="AP165" t="str">
        <f>IF(HR_Data[[#This Row],[WorkLifeBalance]]=1,"Bad",IF(HR_Data[[#This Row],[WorkLifeBalance]]=2,"Good",IF(HR_Data[[#This Row],[WorkLifeBalance]]=3,"Better","Best")))</f>
        <v>Bad</v>
      </c>
    </row>
    <row r="166" spans="1:42"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IF(HR_Data[[#This Row],[Attrition]]="Yes",1,0)</f>
        <v>0</v>
      </c>
      <c r="AK166">
        <f>IF(HR_Data[[#This Row],[Attrition]]="No",1,0)</f>
        <v>1</v>
      </c>
      <c r="AL166" t="str">
        <f>IF(HR_Data[[#This Row],[Age]]&lt;25,"Under 25",IF(HR_Data[[#This Row],[Age]]&lt;=34,"25-34",IF(HR_Data[[#This Row],[Age]]&lt;=44,"35-44",IF(HR_Data[[#This Row],[Age]]&lt;=54,"45-54","55+"))))</f>
        <v>25-34</v>
      </c>
      <c r="AM166" t="str">
        <f>IF(HR_Data[[#This Row],[MonthlyIncome]]&lt;3000,"Low Salary",IF(HR_Data[[#This Row],[MonthlyIncome]]&lt;=7000,"Medium Salary","High Salary"))</f>
        <v>Low Salary</v>
      </c>
      <c r="AN166" t="str">
        <f>IF(HR_Data[[#This Row],[YearsAtCompany]]&lt;2,"0-1 Years",IF(HR_Data[[#This Row],[YearsAtCompany]]&lt;=5,"2-5 Years",IF(HR_Data[[#This Row],[YearsAtCompany]]&lt;=10,"6-10 Years","10+ Years")))</f>
        <v>0-1 Years</v>
      </c>
      <c r="AO166" t="str">
        <f>IF(HR_Data[[#This Row],[JobSatisfaction]]=1,"Low",IF(HR_Data[[#This Row],[JobSatisfaction]]=2,"Medium",IF(HR_Data[[#This Row],[JobSatisfaction]]=3,"High","Very High")))</f>
        <v>High</v>
      </c>
      <c r="AP166" t="str">
        <f>IF(HR_Data[[#This Row],[WorkLifeBalance]]=1,"Bad",IF(HR_Data[[#This Row],[WorkLifeBalance]]=2,"Good",IF(HR_Data[[#This Row],[WorkLifeBalance]]=3,"Better","Best")))</f>
        <v>Good</v>
      </c>
    </row>
    <row r="167" spans="1:42"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IF(HR_Data[[#This Row],[Attrition]]="Yes",1,0)</f>
        <v>0</v>
      </c>
      <c r="AK167">
        <f>IF(HR_Data[[#This Row],[Attrition]]="No",1,0)</f>
        <v>1</v>
      </c>
      <c r="AL167" t="str">
        <f>IF(HR_Data[[#This Row],[Age]]&lt;25,"Under 25",IF(HR_Data[[#This Row],[Age]]&lt;=34,"25-34",IF(HR_Data[[#This Row],[Age]]&lt;=44,"35-44",IF(HR_Data[[#This Row],[Age]]&lt;=54,"45-54","55+"))))</f>
        <v>45-54</v>
      </c>
      <c r="AM167" t="str">
        <f>IF(HR_Data[[#This Row],[MonthlyIncome]]&lt;3000,"Low Salary",IF(HR_Data[[#This Row],[MonthlyIncome]]&lt;=7000,"Medium Salary","High Salary"))</f>
        <v>High Salary</v>
      </c>
      <c r="AN167" t="str">
        <f>IF(HR_Data[[#This Row],[YearsAtCompany]]&lt;2,"0-1 Years",IF(HR_Data[[#This Row],[YearsAtCompany]]&lt;=5,"2-5 Years",IF(HR_Data[[#This Row],[YearsAtCompany]]&lt;=10,"6-10 Years","10+ Years")))</f>
        <v>2-5 Years</v>
      </c>
      <c r="AO167" t="str">
        <f>IF(HR_Data[[#This Row],[JobSatisfaction]]=1,"Low",IF(HR_Data[[#This Row],[JobSatisfaction]]=2,"Medium",IF(HR_Data[[#This Row],[JobSatisfaction]]=3,"High","Very High")))</f>
        <v>Medium</v>
      </c>
      <c r="AP167" t="str">
        <f>IF(HR_Data[[#This Row],[WorkLifeBalance]]=1,"Bad",IF(HR_Data[[#This Row],[WorkLifeBalance]]=2,"Good",IF(HR_Data[[#This Row],[WorkLifeBalance]]=3,"Better","Best")))</f>
        <v>Better</v>
      </c>
    </row>
    <row r="168" spans="1:42"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IF(HR_Data[[#This Row],[Attrition]]="Yes",1,0)</f>
        <v>0</v>
      </c>
      <c r="AK168">
        <f>IF(HR_Data[[#This Row],[Attrition]]="No",1,0)</f>
        <v>1</v>
      </c>
      <c r="AL168" t="str">
        <f>IF(HR_Data[[#This Row],[Age]]&lt;25,"Under 25",IF(HR_Data[[#This Row],[Age]]&lt;=34,"25-34",IF(HR_Data[[#This Row],[Age]]&lt;=44,"35-44",IF(HR_Data[[#This Row],[Age]]&lt;=54,"45-54","55+"))))</f>
        <v>35-44</v>
      </c>
      <c r="AM168" t="str">
        <f>IF(HR_Data[[#This Row],[MonthlyIncome]]&lt;3000,"Low Salary",IF(HR_Data[[#This Row],[MonthlyIncome]]&lt;=7000,"Medium Salary","High Salary"))</f>
        <v>Low Salary</v>
      </c>
      <c r="AN168" t="str">
        <f>IF(HR_Data[[#This Row],[YearsAtCompany]]&lt;2,"0-1 Years",IF(HR_Data[[#This Row],[YearsAtCompany]]&lt;=5,"2-5 Years",IF(HR_Data[[#This Row],[YearsAtCompany]]&lt;=10,"6-10 Years","10+ Years")))</f>
        <v>6-10 Years</v>
      </c>
      <c r="AO168" t="str">
        <f>IF(HR_Data[[#This Row],[JobSatisfaction]]=1,"Low",IF(HR_Data[[#This Row],[JobSatisfaction]]=2,"Medium",IF(HR_Data[[#This Row],[JobSatisfaction]]=3,"High","Very High")))</f>
        <v>High</v>
      </c>
      <c r="AP168" t="str">
        <f>IF(HR_Data[[#This Row],[WorkLifeBalance]]=1,"Bad",IF(HR_Data[[#This Row],[WorkLifeBalance]]=2,"Good",IF(HR_Data[[#This Row],[WorkLifeBalance]]=3,"Better","Best")))</f>
        <v>Better</v>
      </c>
    </row>
    <row r="169" spans="1:42"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IF(HR_Data[[#This Row],[Attrition]]="Yes",1,0)</f>
        <v>0</v>
      </c>
      <c r="AK169">
        <f>IF(HR_Data[[#This Row],[Attrition]]="No",1,0)</f>
        <v>1</v>
      </c>
      <c r="AL169" t="str">
        <f>IF(HR_Data[[#This Row],[Age]]&lt;25,"Under 25",IF(HR_Data[[#This Row],[Age]]&lt;=34,"25-34",IF(HR_Data[[#This Row],[Age]]&lt;=44,"35-44",IF(HR_Data[[#This Row],[Age]]&lt;=54,"45-54","55+"))))</f>
        <v>25-34</v>
      </c>
      <c r="AM169" t="str">
        <f>IF(HR_Data[[#This Row],[MonthlyIncome]]&lt;3000,"Low Salary",IF(HR_Data[[#This Row],[MonthlyIncome]]&lt;=7000,"Medium Salary","High Salary"))</f>
        <v>High Salary</v>
      </c>
      <c r="AN169" t="str">
        <f>IF(HR_Data[[#This Row],[YearsAtCompany]]&lt;2,"0-1 Years",IF(HR_Data[[#This Row],[YearsAtCompany]]&lt;=5,"2-5 Years",IF(HR_Data[[#This Row],[YearsAtCompany]]&lt;=10,"6-10 Years","10+ Years")))</f>
        <v>6-10 Years</v>
      </c>
      <c r="AO169" t="str">
        <f>IF(HR_Data[[#This Row],[JobSatisfaction]]=1,"Low",IF(HR_Data[[#This Row],[JobSatisfaction]]=2,"Medium",IF(HR_Data[[#This Row],[JobSatisfaction]]=3,"High","Very High")))</f>
        <v>Very High</v>
      </c>
      <c r="AP169" t="str">
        <f>IF(HR_Data[[#This Row],[WorkLifeBalance]]=1,"Bad",IF(HR_Data[[#This Row],[WorkLifeBalance]]=2,"Good",IF(HR_Data[[#This Row],[WorkLifeBalance]]=3,"Better","Best")))</f>
        <v>Better</v>
      </c>
    </row>
    <row r="170" spans="1:42"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IF(HR_Data[[#This Row],[Attrition]]="Yes",1,0)</f>
        <v>0</v>
      </c>
      <c r="AK170">
        <f>IF(HR_Data[[#This Row],[Attrition]]="No",1,0)</f>
        <v>1</v>
      </c>
      <c r="AL170" t="str">
        <f>IF(HR_Data[[#This Row],[Age]]&lt;25,"Under 25",IF(HR_Data[[#This Row],[Age]]&lt;=34,"25-34",IF(HR_Data[[#This Row],[Age]]&lt;=44,"35-44",IF(HR_Data[[#This Row],[Age]]&lt;=54,"45-54","55+"))))</f>
        <v>35-44</v>
      </c>
      <c r="AM170" t="str">
        <f>IF(HR_Data[[#This Row],[MonthlyIncome]]&lt;3000,"Low Salary",IF(HR_Data[[#This Row],[MonthlyIncome]]&lt;=7000,"Medium Salary","High Salary"))</f>
        <v>High Salary</v>
      </c>
      <c r="AN170" t="str">
        <f>IF(HR_Data[[#This Row],[YearsAtCompany]]&lt;2,"0-1 Years",IF(HR_Data[[#This Row],[YearsAtCompany]]&lt;=5,"2-5 Years",IF(HR_Data[[#This Row],[YearsAtCompany]]&lt;=10,"6-10 Years","10+ Years")))</f>
        <v>6-10 Years</v>
      </c>
      <c r="AO170" t="str">
        <f>IF(HR_Data[[#This Row],[JobSatisfaction]]=1,"Low",IF(HR_Data[[#This Row],[JobSatisfaction]]=2,"Medium",IF(HR_Data[[#This Row],[JobSatisfaction]]=3,"High","Very High")))</f>
        <v>Very High</v>
      </c>
      <c r="AP170" t="str">
        <f>IF(HR_Data[[#This Row],[WorkLifeBalance]]=1,"Bad",IF(HR_Data[[#This Row],[WorkLifeBalance]]=2,"Good",IF(HR_Data[[#This Row],[WorkLifeBalance]]=3,"Better","Best")))</f>
        <v>Best</v>
      </c>
    </row>
    <row r="171" spans="1:42"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IF(HR_Data[[#This Row],[Attrition]]="Yes",1,0)</f>
        <v>0</v>
      </c>
      <c r="AK171">
        <f>IF(HR_Data[[#This Row],[Attrition]]="No",1,0)</f>
        <v>1</v>
      </c>
      <c r="AL171" t="str">
        <f>IF(HR_Data[[#This Row],[Age]]&lt;25,"Under 25",IF(HR_Data[[#This Row],[Age]]&lt;=34,"25-34",IF(HR_Data[[#This Row],[Age]]&lt;=44,"35-44",IF(HR_Data[[#This Row],[Age]]&lt;=54,"45-54","55+"))))</f>
        <v>25-34</v>
      </c>
      <c r="AM171" t="str">
        <f>IF(HR_Data[[#This Row],[MonthlyIncome]]&lt;3000,"Low Salary",IF(HR_Data[[#This Row],[MonthlyIncome]]&lt;=7000,"Medium Salary","High Salary"))</f>
        <v>Medium Salary</v>
      </c>
      <c r="AN171" t="str">
        <f>IF(HR_Data[[#This Row],[YearsAtCompany]]&lt;2,"0-1 Years",IF(HR_Data[[#This Row],[YearsAtCompany]]&lt;=5,"2-5 Years",IF(HR_Data[[#This Row],[YearsAtCompany]]&lt;=10,"6-10 Years","10+ Years")))</f>
        <v>2-5 Years</v>
      </c>
      <c r="AO171" t="str">
        <f>IF(HR_Data[[#This Row],[JobSatisfaction]]=1,"Low",IF(HR_Data[[#This Row],[JobSatisfaction]]=2,"Medium",IF(HR_Data[[#This Row],[JobSatisfaction]]=3,"High","Very High")))</f>
        <v>High</v>
      </c>
      <c r="AP171" t="str">
        <f>IF(HR_Data[[#This Row],[WorkLifeBalance]]=1,"Bad",IF(HR_Data[[#This Row],[WorkLifeBalance]]=2,"Good",IF(HR_Data[[#This Row],[WorkLifeBalance]]=3,"Better","Best")))</f>
        <v>Better</v>
      </c>
    </row>
    <row r="172" spans="1:42"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IF(HR_Data[[#This Row],[Attrition]]="Yes",1,0)</f>
        <v>0</v>
      </c>
      <c r="AK172">
        <f>IF(HR_Data[[#This Row],[Attrition]]="No",1,0)</f>
        <v>1</v>
      </c>
      <c r="AL172" t="str">
        <f>IF(HR_Data[[#This Row],[Age]]&lt;25,"Under 25",IF(HR_Data[[#This Row],[Age]]&lt;=34,"25-34",IF(HR_Data[[#This Row],[Age]]&lt;=44,"35-44",IF(HR_Data[[#This Row],[Age]]&lt;=54,"45-54","55+"))))</f>
        <v>25-34</v>
      </c>
      <c r="AM172" t="str">
        <f>IF(HR_Data[[#This Row],[MonthlyIncome]]&lt;3000,"Low Salary",IF(HR_Data[[#This Row],[MonthlyIncome]]&lt;=7000,"Medium Salary","High Salary"))</f>
        <v>Medium Salary</v>
      </c>
      <c r="AN172" t="str">
        <f>IF(HR_Data[[#This Row],[YearsAtCompany]]&lt;2,"0-1 Years",IF(HR_Data[[#This Row],[YearsAtCompany]]&lt;=5,"2-5 Years",IF(HR_Data[[#This Row],[YearsAtCompany]]&lt;=10,"6-10 Years","10+ Years")))</f>
        <v>2-5 Years</v>
      </c>
      <c r="AO172" t="str">
        <f>IF(HR_Data[[#This Row],[JobSatisfaction]]=1,"Low",IF(HR_Data[[#This Row],[JobSatisfaction]]=2,"Medium",IF(HR_Data[[#This Row],[JobSatisfaction]]=3,"High","Very High")))</f>
        <v>Medium</v>
      </c>
      <c r="AP172" t="str">
        <f>IF(HR_Data[[#This Row],[WorkLifeBalance]]=1,"Bad",IF(HR_Data[[#This Row],[WorkLifeBalance]]=2,"Good",IF(HR_Data[[#This Row],[WorkLifeBalance]]=3,"Better","Best")))</f>
        <v>Good</v>
      </c>
    </row>
    <row r="173" spans="1:42"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IF(HR_Data[[#This Row],[Attrition]]="Yes",1,0)</f>
        <v>1</v>
      </c>
      <c r="AK173">
        <f>IF(HR_Data[[#This Row],[Attrition]]="No",1,0)</f>
        <v>0</v>
      </c>
      <c r="AL173" t="str">
        <f>IF(HR_Data[[#This Row],[Age]]&lt;25,"Under 25",IF(HR_Data[[#This Row],[Age]]&lt;=34,"25-34",IF(HR_Data[[#This Row],[Age]]&lt;=44,"35-44",IF(HR_Data[[#This Row],[Age]]&lt;=54,"45-54","55+"))))</f>
        <v>Under 25</v>
      </c>
      <c r="AM173" t="str">
        <f>IF(HR_Data[[#This Row],[MonthlyIncome]]&lt;3000,"Low Salary",IF(HR_Data[[#This Row],[MonthlyIncome]]&lt;=7000,"Medium Salary","High Salary"))</f>
        <v>Low Salary</v>
      </c>
      <c r="AN173" t="str">
        <f>IF(HR_Data[[#This Row],[YearsAtCompany]]&lt;2,"0-1 Years",IF(HR_Data[[#This Row],[YearsAtCompany]]&lt;=5,"2-5 Years",IF(HR_Data[[#This Row],[YearsAtCompany]]&lt;=10,"6-10 Years","10+ Years")))</f>
        <v>0-1 Years</v>
      </c>
      <c r="AO173" t="str">
        <f>IF(HR_Data[[#This Row],[JobSatisfaction]]=1,"Low",IF(HR_Data[[#This Row],[JobSatisfaction]]=2,"Medium",IF(HR_Data[[#This Row],[JobSatisfaction]]=3,"High","Very High")))</f>
        <v>Low</v>
      </c>
      <c r="AP173" t="str">
        <f>IF(HR_Data[[#This Row],[WorkLifeBalance]]=1,"Bad",IF(HR_Data[[#This Row],[WorkLifeBalance]]=2,"Good",IF(HR_Data[[#This Row],[WorkLifeBalance]]=3,"Better","Best")))</f>
        <v>Best</v>
      </c>
    </row>
    <row r="174" spans="1:42"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IF(HR_Data[[#This Row],[Attrition]]="Yes",1,0)</f>
        <v>0</v>
      </c>
      <c r="AK174">
        <f>IF(HR_Data[[#This Row],[Attrition]]="No",1,0)</f>
        <v>1</v>
      </c>
      <c r="AL174" t="str">
        <f>IF(HR_Data[[#This Row],[Age]]&lt;25,"Under 25",IF(HR_Data[[#This Row],[Age]]&lt;=34,"25-34",IF(HR_Data[[#This Row],[Age]]&lt;=44,"35-44",IF(HR_Data[[#This Row],[Age]]&lt;=54,"45-54","55+"))))</f>
        <v>35-44</v>
      </c>
      <c r="AM174" t="str">
        <f>IF(HR_Data[[#This Row],[MonthlyIncome]]&lt;3000,"Low Salary",IF(HR_Data[[#This Row],[MonthlyIncome]]&lt;=7000,"Medium Salary","High Salary"))</f>
        <v>Low Salary</v>
      </c>
      <c r="AN174" t="str">
        <f>IF(HR_Data[[#This Row],[YearsAtCompany]]&lt;2,"0-1 Years",IF(HR_Data[[#This Row],[YearsAtCompany]]&lt;=5,"2-5 Years",IF(HR_Data[[#This Row],[YearsAtCompany]]&lt;=10,"6-10 Years","10+ Years")))</f>
        <v>6-10 Years</v>
      </c>
      <c r="AO174" t="str">
        <f>IF(HR_Data[[#This Row],[JobSatisfaction]]=1,"Low",IF(HR_Data[[#This Row],[JobSatisfaction]]=2,"Medium",IF(HR_Data[[#This Row],[JobSatisfaction]]=3,"High","Very High")))</f>
        <v>Medium</v>
      </c>
      <c r="AP174" t="str">
        <f>IF(HR_Data[[#This Row],[WorkLifeBalance]]=1,"Bad",IF(HR_Data[[#This Row],[WorkLifeBalance]]=2,"Good",IF(HR_Data[[#This Row],[WorkLifeBalance]]=3,"Better","Best")))</f>
        <v>Good</v>
      </c>
    </row>
    <row r="175" spans="1:42"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IF(HR_Data[[#This Row],[Attrition]]="Yes",1,0)</f>
        <v>0</v>
      </c>
      <c r="AK175">
        <f>IF(HR_Data[[#This Row],[Attrition]]="No",1,0)</f>
        <v>1</v>
      </c>
      <c r="AL175" t="str">
        <f>IF(HR_Data[[#This Row],[Age]]&lt;25,"Under 25",IF(HR_Data[[#This Row],[Age]]&lt;=34,"25-34",IF(HR_Data[[#This Row],[Age]]&lt;=44,"35-44",IF(HR_Data[[#This Row],[Age]]&lt;=54,"45-54","55+"))))</f>
        <v>25-34</v>
      </c>
      <c r="AM175" t="str">
        <f>IF(HR_Data[[#This Row],[MonthlyIncome]]&lt;3000,"Low Salary",IF(HR_Data[[#This Row],[MonthlyIncome]]&lt;=7000,"Medium Salary","High Salary"))</f>
        <v>Medium Salary</v>
      </c>
      <c r="AN175" t="str">
        <f>IF(HR_Data[[#This Row],[YearsAtCompany]]&lt;2,"0-1 Years",IF(HR_Data[[#This Row],[YearsAtCompany]]&lt;=5,"2-5 Years",IF(HR_Data[[#This Row],[YearsAtCompany]]&lt;=10,"6-10 Years","10+ Years")))</f>
        <v>10+ Years</v>
      </c>
      <c r="AO175" t="str">
        <f>IF(HR_Data[[#This Row],[JobSatisfaction]]=1,"Low",IF(HR_Data[[#This Row],[JobSatisfaction]]=2,"Medium",IF(HR_Data[[#This Row],[JobSatisfaction]]=3,"High","Very High")))</f>
        <v>Low</v>
      </c>
      <c r="AP175" t="str">
        <f>IF(HR_Data[[#This Row],[WorkLifeBalance]]=1,"Bad",IF(HR_Data[[#This Row],[WorkLifeBalance]]=2,"Good",IF(HR_Data[[#This Row],[WorkLifeBalance]]=3,"Better","Best")))</f>
        <v>Better</v>
      </c>
    </row>
    <row r="176" spans="1:42"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IF(HR_Data[[#This Row],[Attrition]]="Yes",1,0)</f>
        <v>0</v>
      </c>
      <c r="AK176">
        <f>IF(HR_Data[[#This Row],[Attrition]]="No",1,0)</f>
        <v>1</v>
      </c>
      <c r="AL176" t="str">
        <f>IF(HR_Data[[#This Row],[Age]]&lt;25,"Under 25",IF(HR_Data[[#This Row],[Age]]&lt;=34,"25-34",IF(HR_Data[[#This Row],[Age]]&lt;=44,"35-44",IF(HR_Data[[#This Row],[Age]]&lt;=54,"45-54","55+"))))</f>
        <v>45-54</v>
      </c>
      <c r="AM176" t="str">
        <f>IF(HR_Data[[#This Row],[MonthlyIncome]]&lt;3000,"Low Salary",IF(HR_Data[[#This Row],[MonthlyIncome]]&lt;=7000,"Medium Salary","High Salary"))</f>
        <v>Medium Salary</v>
      </c>
      <c r="AN176" t="str">
        <f>IF(HR_Data[[#This Row],[YearsAtCompany]]&lt;2,"0-1 Years",IF(HR_Data[[#This Row],[YearsAtCompany]]&lt;=5,"2-5 Years",IF(HR_Data[[#This Row],[YearsAtCompany]]&lt;=10,"6-10 Years","10+ Years")))</f>
        <v>2-5 Years</v>
      </c>
      <c r="AO176" t="str">
        <f>IF(HR_Data[[#This Row],[JobSatisfaction]]=1,"Low",IF(HR_Data[[#This Row],[JobSatisfaction]]=2,"Medium",IF(HR_Data[[#This Row],[JobSatisfaction]]=3,"High","Very High")))</f>
        <v>Low</v>
      </c>
      <c r="AP176" t="str">
        <f>IF(HR_Data[[#This Row],[WorkLifeBalance]]=1,"Bad",IF(HR_Data[[#This Row],[WorkLifeBalance]]=2,"Good",IF(HR_Data[[#This Row],[WorkLifeBalance]]=3,"Better","Best")))</f>
        <v>Best</v>
      </c>
    </row>
    <row r="177" spans="1:42"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IF(HR_Data[[#This Row],[Attrition]]="Yes",1,0)</f>
        <v>0</v>
      </c>
      <c r="AK177">
        <f>IF(HR_Data[[#This Row],[Attrition]]="No",1,0)</f>
        <v>1</v>
      </c>
      <c r="AL177" t="str">
        <f>IF(HR_Data[[#This Row],[Age]]&lt;25,"Under 25",IF(HR_Data[[#This Row],[Age]]&lt;=34,"25-34",IF(HR_Data[[#This Row],[Age]]&lt;=44,"35-44",IF(HR_Data[[#This Row],[Age]]&lt;=54,"45-54","55+"))))</f>
        <v>55+</v>
      </c>
      <c r="AM177" t="str">
        <f>IF(HR_Data[[#This Row],[MonthlyIncome]]&lt;3000,"Low Salary",IF(HR_Data[[#This Row],[MonthlyIncome]]&lt;=7000,"Medium Salary","High Salary"))</f>
        <v>Medium Salary</v>
      </c>
      <c r="AN177" t="str">
        <f>IF(HR_Data[[#This Row],[YearsAtCompany]]&lt;2,"0-1 Years",IF(HR_Data[[#This Row],[YearsAtCompany]]&lt;=5,"2-5 Years",IF(HR_Data[[#This Row],[YearsAtCompany]]&lt;=10,"6-10 Years","10+ Years")))</f>
        <v>2-5 Years</v>
      </c>
      <c r="AO177" t="str">
        <f>IF(HR_Data[[#This Row],[JobSatisfaction]]=1,"Low",IF(HR_Data[[#This Row],[JobSatisfaction]]=2,"Medium",IF(HR_Data[[#This Row],[JobSatisfaction]]=3,"High","Very High")))</f>
        <v>Low</v>
      </c>
      <c r="AP177" t="str">
        <f>IF(HR_Data[[#This Row],[WorkLifeBalance]]=1,"Bad",IF(HR_Data[[#This Row],[WorkLifeBalance]]=2,"Good",IF(HR_Data[[#This Row],[WorkLifeBalance]]=3,"Better","Best")))</f>
        <v>Better</v>
      </c>
    </row>
    <row r="178" spans="1:42"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IF(HR_Data[[#This Row],[Attrition]]="Yes",1,0)</f>
        <v>0</v>
      </c>
      <c r="AK178">
        <f>IF(HR_Data[[#This Row],[Attrition]]="No",1,0)</f>
        <v>1</v>
      </c>
      <c r="AL178" t="str">
        <f>IF(HR_Data[[#This Row],[Age]]&lt;25,"Under 25",IF(HR_Data[[#This Row],[Age]]&lt;=34,"25-34",IF(HR_Data[[#This Row],[Age]]&lt;=44,"35-44",IF(HR_Data[[#This Row],[Age]]&lt;=54,"45-54","55+"))))</f>
        <v>25-34</v>
      </c>
      <c r="AM178" t="str">
        <f>IF(HR_Data[[#This Row],[MonthlyIncome]]&lt;3000,"Low Salary",IF(HR_Data[[#This Row],[MonthlyIncome]]&lt;=7000,"Medium Salary","High Salary"))</f>
        <v>Low Salary</v>
      </c>
      <c r="AN178" t="str">
        <f>IF(HR_Data[[#This Row],[YearsAtCompany]]&lt;2,"0-1 Years",IF(HR_Data[[#This Row],[YearsAtCompany]]&lt;=5,"2-5 Years",IF(HR_Data[[#This Row],[YearsAtCompany]]&lt;=10,"6-10 Years","10+ Years")))</f>
        <v>2-5 Years</v>
      </c>
      <c r="AO178" t="str">
        <f>IF(HR_Data[[#This Row],[JobSatisfaction]]=1,"Low",IF(HR_Data[[#This Row],[JobSatisfaction]]=2,"Medium",IF(HR_Data[[#This Row],[JobSatisfaction]]=3,"High","Very High")))</f>
        <v>Very High</v>
      </c>
      <c r="AP178" t="str">
        <f>IF(HR_Data[[#This Row],[WorkLifeBalance]]=1,"Bad",IF(HR_Data[[#This Row],[WorkLifeBalance]]=2,"Good",IF(HR_Data[[#This Row],[WorkLifeBalance]]=3,"Better","Best")))</f>
        <v>Best</v>
      </c>
    </row>
    <row r="179" spans="1:42"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IF(HR_Data[[#This Row],[Attrition]]="Yes",1,0)</f>
        <v>1</v>
      </c>
      <c r="AK179">
        <f>IF(HR_Data[[#This Row],[Attrition]]="No",1,0)</f>
        <v>0</v>
      </c>
      <c r="AL179" t="str">
        <f>IF(HR_Data[[#This Row],[Age]]&lt;25,"Under 25",IF(HR_Data[[#This Row],[Age]]&lt;=34,"25-34",IF(HR_Data[[#This Row],[Age]]&lt;=44,"35-44",IF(HR_Data[[#This Row],[Age]]&lt;=54,"45-54","55+"))))</f>
        <v>Under 25</v>
      </c>
      <c r="AM179" t="str">
        <f>IF(HR_Data[[#This Row],[MonthlyIncome]]&lt;3000,"Low Salary",IF(HR_Data[[#This Row],[MonthlyIncome]]&lt;=7000,"Medium Salary","High Salary"))</f>
        <v>Low Salary</v>
      </c>
      <c r="AN179" t="str">
        <f>IF(HR_Data[[#This Row],[YearsAtCompany]]&lt;2,"0-1 Years",IF(HR_Data[[#This Row],[YearsAtCompany]]&lt;=5,"2-5 Years",IF(HR_Data[[#This Row],[YearsAtCompany]]&lt;=10,"6-10 Years","10+ Years")))</f>
        <v>0-1 Years</v>
      </c>
      <c r="AO179" t="str">
        <f>IF(HR_Data[[#This Row],[JobSatisfaction]]=1,"Low",IF(HR_Data[[#This Row],[JobSatisfaction]]=2,"Medium",IF(HR_Data[[#This Row],[JobSatisfaction]]=3,"High","Very High")))</f>
        <v>Very High</v>
      </c>
      <c r="AP179" t="str">
        <f>IF(HR_Data[[#This Row],[WorkLifeBalance]]=1,"Bad",IF(HR_Data[[#This Row],[WorkLifeBalance]]=2,"Good",IF(HR_Data[[#This Row],[WorkLifeBalance]]=3,"Better","Best")))</f>
        <v>Good</v>
      </c>
    </row>
    <row r="180" spans="1:42"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IF(HR_Data[[#This Row],[Attrition]]="Yes",1,0)</f>
        <v>0</v>
      </c>
      <c r="AK180">
        <f>IF(HR_Data[[#This Row],[Attrition]]="No",1,0)</f>
        <v>1</v>
      </c>
      <c r="AL180" t="str">
        <f>IF(HR_Data[[#This Row],[Age]]&lt;25,"Under 25",IF(HR_Data[[#This Row],[Age]]&lt;=34,"25-34",IF(HR_Data[[#This Row],[Age]]&lt;=44,"35-44",IF(HR_Data[[#This Row],[Age]]&lt;=54,"45-54","55+"))))</f>
        <v>45-54</v>
      </c>
      <c r="AM180" t="str">
        <f>IF(HR_Data[[#This Row],[MonthlyIncome]]&lt;3000,"Low Salary",IF(HR_Data[[#This Row],[MonthlyIncome]]&lt;=7000,"Medium Salary","High Salary"))</f>
        <v>High Salary</v>
      </c>
      <c r="AN180" t="str">
        <f>IF(HR_Data[[#This Row],[YearsAtCompany]]&lt;2,"0-1 Years",IF(HR_Data[[#This Row],[YearsAtCompany]]&lt;=5,"2-5 Years",IF(HR_Data[[#This Row],[YearsAtCompany]]&lt;=10,"6-10 Years","10+ Years")))</f>
        <v>10+ Years</v>
      </c>
      <c r="AO180" t="str">
        <f>IF(HR_Data[[#This Row],[JobSatisfaction]]=1,"Low",IF(HR_Data[[#This Row],[JobSatisfaction]]=2,"Medium",IF(HR_Data[[#This Row],[JobSatisfaction]]=3,"High","Very High")))</f>
        <v>Low</v>
      </c>
      <c r="AP180" t="str">
        <f>IF(HR_Data[[#This Row],[WorkLifeBalance]]=1,"Bad",IF(HR_Data[[#This Row],[WorkLifeBalance]]=2,"Good",IF(HR_Data[[#This Row],[WorkLifeBalance]]=3,"Better","Best")))</f>
        <v>Better</v>
      </c>
    </row>
    <row r="181" spans="1:42"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IF(HR_Data[[#This Row],[Attrition]]="Yes",1,0)</f>
        <v>0</v>
      </c>
      <c r="AK181">
        <f>IF(HR_Data[[#This Row],[Attrition]]="No",1,0)</f>
        <v>1</v>
      </c>
      <c r="AL181" t="str">
        <f>IF(HR_Data[[#This Row],[Age]]&lt;25,"Under 25",IF(HR_Data[[#This Row],[Age]]&lt;=34,"25-34",IF(HR_Data[[#This Row],[Age]]&lt;=44,"35-44",IF(HR_Data[[#This Row],[Age]]&lt;=54,"45-54","55+"))))</f>
        <v>35-44</v>
      </c>
      <c r="AM181" t="str">
        <f>IF(HR_Data[[#This Row],[MonthlyIncome]]&lt;3000,"Low Salary",IF(HR_Data[[#This Row],[MonthlyIncome]]&lt;=7000,"Medium Salary","High Salary"))</f>
        <v>Low Salary</v>
      </c>
      <c r="AN181" t="str">
        <f>IF(HR_Data[[#This Row],[YearsAtCompany]]&lt;2,"0-1 Years",IF(HR_Data[[#This Row],[YearsAtCompany]]&lt;=5,"2-5 Years",IF(HR_Data[[#This Row],[YearsAtCompany]]&lt;=10,"6-10 Years","10+ Years")))</f>
        <v>2-5 Years</v>
      </c>
      <c r="AO181" t="str">
        <f>IF(HR_Data[[#This Row],[JobSatisfaction]]=1,"Low",IF(HR_Data[[#This Row],[JobSatisfaction]]=2,"Medium",IF(HR_Data[[#This Row],[JobSatisfaction]]=3,"High","Very High")))</f>
        <v>Very High</v>
      </c>
      <c r="AP181" t="str">
        <f>IF(HR_Data[[#This Row],[WorkLifeBalance]]=1,"Bad",IF(HR_Data[[#This Row],[WorkLifeBalance]]=2,"Good",IF(HR_Data[[#This Row],[WorkLifeBalance]]=3,"Better","Best")))</f>
        <v>Better</v>
      </c>
    </row>
    <row r="182" spans="1:42"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IF(HR_Data[[#This Row],[Attrition]]="Yes",1,0)</f>
        <v>0</v>
      </c>
      <c r="AK182">
        <f>IF(HR_Data[[#This Row],[Attrition]]="No",1,0)</f>
        <v>1</v>
      </c>
      <c r="AL182" t="str">
        <f>IF(HR_Data[[#This Row],[Age]]&lt;25,"Under 25",IF(HR_Data[[#This Row],[Age]]&lt;=34,"25-34",IF(HR_Data[[#This Row],[Age]]&lt;=44,"35-44",IF(HR_Data[[#This Row],[Age]]&lt;=54,"45-54","55+"))))</f>
        <v>25-34</v>
      </c>
      <c r="AM182" t="str">
        <f>IF(HR_Data[[#This Row],[MonthlyIncome]]&lt;3000,"Low Salary",IF(HR_Data[[#This Row],[MonthlyIncome]]&lt;=7000,"Medium Salary","High Salary"))</f>
        <v>Medium Salary</v>
      </c>
      <c r="AN182" t="str">
        <f>IF(HR_Data[[#This Row],[YearsAtCompany]]&lt;2,"0-1 Years",IF(HR_Data[[#This Row],[YearsAtCompany]]&lt;=5,"2-5 Years",IF(HR_Data[[#This Row],[YearsAtCompany]]&lt;=10,"6-10 Years","10+ Years")))</f>
        <v>2-5 Years</v>
      </c>
      <c r="AO182" t="str">
        <f>IF(HR_Data[[#This Row],[JobSatisfaction]]=1,"Low",IF(HR_Data[[#This Row],[JobSatisfaction]]=2,"Medium",IF(HR_Data[[#This Row],[JobSatisfaction]]=3,"High","Very High")))</f>
        <v>Very High</v>
      </c>
      <c r="AP182" t="str">
        <f>IF(HR_Data[[#This Row],[WorkLifeBalance]]=1,"Bad",IF(HR_Data[[#This Row],[WorkLifeBalance]]=2,"Good",IF(HR_Data[[#This Row],[WorkLifeBalance]]=3,"Better","Best")))</f>
        <v>Better</v>
      </c>
    </row>
    <row r="183" spans="1:42"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IF(HR_Data[[#This Row],[Attrition]]="Yes",1,0)</f>
        <v>0</v>
      </c>
      <c r="AK183">
        <f>IF(HR_Data[[#This Row],[Attrition]]="No",1,0)</f>
        <v>1</v>
      </c>
      <c r="AL183" t="str">
        <f>IF(HR_Data[[#This Row],[Age]]&lt;25,"Under 25",IF(HR_Data[[#This Row],[Age]]&lt;=34,"25-34",IF(HR_Data[[#This Row],[Age]]&lt;=44,"35-44",IF(HR_Data[[#This Row],[Age]]&lt;=54,"45-54","55+"))))</f>
        <v>25-34</v>
      </c>
      <c r="AM183" t="str">
        <f>IF(HR_Data[[#This Row],[MonthlyIncome]]&lt;3000,"Low Salary",IF(HR_Data[[#This Row],[MonthlyIncome]]&lt;=7000,"Medium Salary","High Salary"))</f>
        <v>Low Salary</v>
      </c>
      <c r="AN183" t="str">
        <f>IF(HR_Data[[#This Row],[YearsAtCompany]]&lt;2,"0-1 Years",IF(HR_Data[[#This Row],[YearsAtCompany]]&lt;=5,"2-5 Years",IF(HR_Data[[#This Row],[YearsAtCompany]]&lt;=10,"6-10 Years","10+ Years")))</f>
        <v>2-5 Years</v>
      </c>
      <c r="AO183" t="str">
        <f>IF(HR_Data[[#This Row],[JobSatisfaction]]=1,"Low",IF(HR_Data[[#This Row],[JobSatisfaction]]=2,"Medium",IF(HR_Data[[#This Row],[JobSatisfaction]]=3,"High","Very High")))</f>
        <v>Medium</v>
      </c>
      <c r="AP183" t="str">
        <f>IF(HR_Data[[#This Row],[WorkLifeBalance]]=1,"Bad",IF(HR_Data[[#This Row],[WorkLifeBalance]]=2,"Good",IF(HR_Data[[#This Row],[WorkLifeBalance]]=3,"Better","Best")))</f>
        <v>Better</v>
      </c>
    </row>
    <row r="184" spans="1:42"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IF(HR_Data[[#This Row],[Attrition]]="Yes",1,0)</f>
        <v>1</v>
      </c>
      <c r="AK184">
        <f>IF(HR_Data[[#This Row],[Attrition]]="No",1,0)</f>
        <v>0</v>
      </c>
      <c r="AL184" t="str">
        <f>IF(HR_Data[[#This Row],[Age]]&lt;25,"Under 25",IF(HR_Data[[#This Row],[Age]]&lt;=34,"25-34",IF(HR_Data[[#This Row],[Age]]&lt;=44,"35-44",IF(HR_Data[[#This Row],[Age]]&lt;=54,"45-54","55+"))))</f>
        <v>35-44</v>
      </c>
      <c r="AM184" t="str">
        <f>IF(HR_Data[[#This Row],[MonthlyIncome]]&lt;3000,"Low Salary",IF(HR_Data[[#This Row],[MonthlyIncome]]&lt;=7000,"Medium Salary","High Salary"))</f>
        <v>Medium Salary</v>
      </c>
      <c r="AN184" t="str">
        <f>IF(HR_Data[[#This Row],[YearsAtCompany]]&lt;2,"0-1 Years",IF(HR_Data[[#This Row],[YearsAtCompany]]&lt;=5,"2-5 Years",IF(HR_Data[[#This Row],[YearsAtCompany]]&lt;=10,"6-10 Years","10+ Years")))</f>
        <v>2-5 Years</v>
      </c>
      <c r="AO184" t="str">
        <f>IF(HR_Data[[#This Row],[JobSatisfaction]]=1,"Low",IF(HR_Data[[#This Row],[JobSatisfaction]]=2,"Medium",IF(HR_Data[[#This Row],[JobSatisfaction]]=3,"High","Very High")))</f>
        <v>Medium</v>
      </c>
      <c r="AP184" t="str">
        <f>IF(HR_Data[[#This Row],[WorkLifeBalance]]=1,"Bad",IF(HR_Data[[#This Row],[WorkLifeBalance]]=2,"Good",IF(HR_Data[[#This Row],[WorkLifeBalance]]=3,"Better","Best")))</f>
        <v>Good</v>
      </c>
    </row>
    <row r="185" spans="1:42"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IF(HR_Data[[#This Row],[Attrition]]="Yes",1,0)</f>
        <v>0</v>
      </c>
      <c r="AK185">
        <f>IF(HR_Data[[#This Row],[Attrition]]="No",1,0)</f>
        <v>1</v>
      </c>
      <c r="AL185" t="str">
        <f>IF(HR_Data[[#This Row],[Age]]&lt;25,"Under 25",IF(HR_Data[[#This Row],[Age]]&lt;=34,"25-34",IF(HR_Data[[#This Row],[Age]]&lt;=44,"35-44",IF(HR_Data[[#This Row],[Age]]&lt;=54,"45-54","55+"))))</f>
        <v>45-54</v>
      </c>
      <c r="AM185" t="str">
        <f>IF(HR_Data[[#This Row],[MonthlyIncome]]&lt;3000,"Low Salary",IF(HR_Data[[#This Row],[MonthlyIncome]]&lt;=7000,"Medium Salary","High Salary"))</f>
        <v>Medium Salary</v>
      </c>
      <c r="AN185" t="str">
        <f>IF(HR_Data[[#This Row],[YearsAtCompany]]&lt;2,"0-1 Years",IF(HR_Data[[#This Row],[YearsAtCompany]]&lt;=5,"2-5 Years",IF(HR_Data[[#This Row],[YearsAtCompany]]&lt;=10,"6-10 Years","10+ Years")))</f>
        <v>2-5 Years</v>
      </c>
      <c r="AO185" t="str">
        <f>IF(HR_Data[[#This Row],[JobSatisfaction]]=1,"Low",IF(HR_Data[[#This Row],[JobSatisfaction]]=2,"Medium",IF(HR_Data[[#This Row],[JobSatisfaction]]=3,"High","Very High")))</f>
        <v>High</v>
      </c>
      <c r="AP185" t="str">
        <f>IF(HR_Data[[#This Row],[WorkLifeBalance]]=1,"Bad",IF(HR_Data[[#This Row],[WorkLifeBalance]]=2,"Good",IF(HR_Data[[#This Row],[WorkLifeBalance]]=3,"Better","Best")))</f>
        <v>Good</v>
      </c>
    </row>
    <row r="186" spans="1:42"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IF(HR_Data[[#This Row],[Attrition]]="Yes",1,0)</f>
        <v>0</v>
      </c>
      <c r="AK186">
        <f>IF(HR_Data[[#This Row],[Attrition]]="No",1,0)</f>
        <v>1</v>
      </c>
      <c r="AL186" t="str">
        <f>IF(HR_Data[[#This Row],[Age]]&lt;25,"Under 25",IF(HR_Data[[#This Row],[Age]]&lt;=34,"25-34",IF(HR_Data[[#This Row],[Age]]&lt;=44,"35-44",IF(HR_Data[[#This Row],[Age]]&lt;=54,"45-54","55+"))))</f>
        <v>45-54</v>
      </c>
      <c r="AM186" t="str">
        <f>IF(HR_Data[[#This Row],[MonthlyIncome]]&lt;3000,"Low Salary",IF(HR_Data[[#This Row],[MonthlyIncome]]&lt;=7000,"Medium Salary","High Salary"))</f>
        <v>Medium Salary</v>
      </c>
      <c r="AN186" t="str">
        <f>IF(HR_Data[[#This Row],[YearsAtCompany]]&lt;2,"0-1 Years",IF(HR_Data[[#This Row],[YearsAtCompany]]&lt;=5,"2-5 Years",IF(HR_Data[[#This Row],[YearsAtCompany]]&lt;=10,"6-10 Years","10+ Years")))</f>
        <v>2-5 Years</v>
      </c>
      <c r="AO186" t="str">
        <f>IF(HR_Data[[#This Row],[JobSatisfaction]]=1,"Low",IF(HR_Data[[#This Row],[JobSatisfaction]]=2,"Medium",IF(HR_Data[[#This Row],[JobSatisfaction]]=3,"High","Very High")))</f>
        <v>Low</v>
      </c>
      <c r="AP186" t="str">
        <f>IF(HR_Data[[#This Row],[WorkLifeBalance]]=1,"Bad",IF(HR_Data[[#This Row],[WorkLifeBalance]]=2,"Good",IF(HR_Data[[#This Row],[WorkLifeBalance]]=3,"Better","Best")))</f>
        <v>Better</v>
      </c>
    </row>
    <row r="187" spans="1:42"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IF(HR_Data[[#This Row],[Attrition]]="Yes",1,0)</f>
        <v>0</v>
      </c>
      <c r="AK187">
        <f>IF(HR_Data[[#This Row],[Attrition]]="No",1,0)</f>
        <v>1</v>
      </c>
      <c r="AL187" t="str">
        <f>IF(HR_Data[[#This Row],[Age]]&lt;25,"Under 25",IF(HR_Data[[#This Row],[Age]]&lt;=34,"25-34",IF(HR_Data[[#This Row],[Age]]&lt;=44,"35-44",IF(HR_Data[[#This Row],[Age]]&lt;=54,"45-54","55+"))))</f>
        <v>25-34</v>
      </c>
      <c r="AM187" t="str">
        <f>IF(HR_Data[[#This Row],[MonthlyIncome]]&lt;3000,"Low Salary",IF(HR_Data[[#This Row],[MonthlyIncome]]&lt;=7000,"Medium Salary","High Salary"))</f>
        <v>Low Salary</v>
      </c>
      <c r="AN187" t="str">
        <f>IF(HR_Data[[#This Row],[YearsAtCompany]]&lt;2,"0-1 Years",IF(HR_Data[[#This Row],[YearsAtCompany]]&lt;=5,"2-5 Years",IF(HR_Data[[#This Row],[YearsAtCompany]]&lt;=10,"6-10 Years","10+ Years")))</f>
        <v>6-10 Years</v>
      </c>
      <c r="AO187" t="str">
        <f>IF(HR_Data[[#This Row],[JobSatisfaction]]=1,"Low",IF(HR_Data[[#This Row],[JobSatisfaction]]=2,"Medium",IF(HR_Data[[#This Row],[JobSatisfaction]]=3,"High","Very High")))</f>
        <v>Medium</v>
      </c>
      <c r="AP187" t="str">
        <f>IF(HR_Data[[#This Row],[WorkLifeBalance]]=1,"Bad",IF(HR_Data[[#This Row],[WorkLifeBalance]]=2,"Good",IF(HR_Data[[#This Row],[WorkLifeBalance]]=3,"Better","Best")))</f>
        <v>Better</v>
      </c>
    </row>
    <row r="188" spans="1:42"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IF(HR_Data[[#This Row],[Attrition]]="Yes",1,0)</f>
        <v>0</v>
      </c>
      <c r="AK188">
        <f>IF(HR_Data[[#This Row],[Attrition]]="No",1,0)</f>
        <v>1</v>
      </c>
      <c r="AL188" t="str">
        <f>IF(HR_Data[[#This Row],[Age]]&lt;25,"Under 25",IF(HR_Data[[#This Row],[Age]]&lt;=34,"25-34",IF(HR_Data[[#This Row],[Age]]&lt;=44,"35-44",IF(HR_Data[[#This Row],[Age]]&lt;=54,"45-54","55+"))))</f>
        <v>35-44</v>
      </c>
      <c r="AM188" t="str">
        <f>IF(HR_Data[[#This Row],[MonthlyIncome]]&lt;3000,"Low Salary",IF(HR_Data[[#This Row],[MonthlyIncome]]&lt;=7000,"Medium Salary","High Salary"))</f>
        <v>High Salary</v>
      </c>
      <c r="AN188" t="str">
        <f>IF(HR_Data[[#This Row],[YearsAtCompany]]&lt;2,"0-1 Years",IF(HR_Data[[#This Row],[YearsAtCompany]]&lt;=5,"2-5 Years",IF(HR_Data[[#This Row],[YearsAtCompany]]&lt;=10,"6-10 Years","10+ Years")))</f>
        <v>10+ Years</v>
      </c>
      <c r="AO188" t="str">
        <f>IF(HR_Data[[#This Row],[JobSatisfaction]]=1,"Low",IF(HR_Data[[#This Row],[JobSatisfaction]]=2,"Medium",IF(HR_Data[[#This Row],[JobSatisfaction]]=3,"High","Very High")))</f>
        <v>High</v>
      </c>
      <c r="AP188" t="str">
        <f>IF(HR_Data[[#This Row],[WorkLifeBalance]]=1,"Bad",IF(HR_Data[[#This Row],[WorkLifeBalance]]=2,"Good",IF(HR_Data[[#This Row],[WorkLifeBalance]]=3,"Better","Best")))</f>
        <v>Better</v>
      </c>
    </row>
    <row r="189" spans="1:42"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IF(HR_Data[[#This Row],[Attrition]]="Yes",1,0)</f>
        <v>0</v>
      </c>
      <c r="AK189">
        <f>IF(HR_Data[[#This Row],[Attrition]]="No",1,0)</f>
        <v>1</v>
      </c>
      <c r="AL189" t="str">
        <f>IF(HR_Data[[#This Row],[Age]]&lt;25,"Under 25",IF(HR_Data[[#This Row],[Age]]&lt;=34,"25-34",IF(HR_Data[[#This Row],[Age]]&lt;=44,"35-44",IF(HR_Data[[#This Row],[Age]]&lt;=54,"45-54","55+"))))</f>
        <v>55+</v>
      </c>
      <c r="AM189" t="str">
        <f>IF(HR_Data[[#This Row],[MonthlyIncome]]&lt;3000,"Low Salary",IF(HR_Data[[#This Row],[MonthlyIncome]]&lt;=7000,"Medium Salary","High Salary"))</f>
        <v>High Salary</v>
      </c>
      <c r="AN189" t="str">
        <f>IF(HR_Data[[#This Row],[YearsAtCompany]]&lt;2,"0-1 Years",IF(HR_Data[[#This Row],[YearsAtCompany]]&lt;=5,"2-5 Years",IF(HR_Data[[#This Row],[YearsAtCompany]]&lt;=10,"6-10 Years","10+ Years")))</f>
        <v>10+ Years</v>
      </c>
      <c r="AO189" t="str">
        <f>IF(HR_Data[[#This Row],[JobSatisfaction]]=1,"Low",IF(HR_Data[[#This Row],[JobSatisfaction]]=2,"Medium",IF(HR_Data[[#This Row],[JobSatisfaction]]=3,"High","Very High")))</f>
        <v>Medium</v>
      </c>
      <c r="AP189" t="str">
        <f>IF(HR_Data[[#This Row],[WorkLifeBalance]]=1,"Bad",IF(HR_Data[[#This Row],[WorkLifeBalance]]=2,"Good",IF(HR_Data[[#This Row],[WorkLifeBalance]]=3,"Better","Best")))</f>
        <v>Better</v>
      </c>
    </row>
    <row r="190" spans="1:42"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IF(HR_Data[[#This Row],[Attrition]]="Yes",1,0)</f>
        <v>0</v>
      </c>
      <c r="AK190">
        <f>IF(HR_Data[[#This Row],[Attrition]]="No",1,0)</f>
        <v>1</v>
      </c>
      <c r="AL190" t="str">
        <f>IF(HR_Data[[#This Row],[Age]]&lt;25,"Under 25",IF(HR_Data[[#This Row],[Age]]&lt;=34,"25-34",IF(HR_Data[[#This Row],[Age]]&lt;=44,"35-44",IF(HR_Data[[#This Row],[Age]]&lt;=54,"45-54","55+"))))</f>
        <v>25-34</v>
      </c>
      <c r="AM190" t="str">
        <f>IF(HR_Data[[#This Row],[MonthlyIncome]]&lt;3000,"Low Salary",IF(HR_Data[[#This Row],[MonthlyIncome]]&lt;=7000,"Medium Salary","High Salary"))</f>
        <v>High Salary</v>
      </c>
      <c r="AN190" t="str">
        <f>IF(HR_Data[[#This Row],[YearsAtCompany]]&lt;2,"0-1 Years",IF(HR_Data[[#This Row],[YearsAtCompany]]&lt;=5,"2-5 Years",IF(HR_Data[[#This Row],[YearsAtCompany]]&lt;=10,"6-10 Years","10+ Years")))</f>
        <v>6-10 Years</v>
      </c>
      <c r="AO190" t="str">
        <f>IF(HR_Data[[#This Row],[JobSatisfaction]]=1,"Low",IF(HR_Data[[#This Row],[JobSatisfaction]]=2,"Medium",IF(HR_Data[[#This Row],[JobSatisfaction]]=3,"High","Very High")))</f>
        <v>High</v>
      </c>
      <c r="AP190" t="str">
        <f>IF(HR_Data[[#This Row],[WorkLifeBalance]]=1,"Bad",IF(HR_Data[[#This Row],[WorkLifeBalance]]=2,"Good",IF(HR_Data[[#This Row],[WorkLifeBalance]]=3,"Better","Best")))</f>
        <v>Good</v>
      </c>
    </row>
    <row r="191" spans="1:42"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IF(HR_Data[[#This Row],[Attrition]]="Yes",1,0)</f>
        <v>0</v>
      </c>
      <c r="AK191">
        <f>IF(HR_Data[[#This Row],[Attrition]]="No",1,0)</f>
        <v>1</v>
      </c>
      <c r="AL191" t="str">
        <f>IF(HR_Data[[#This Row],[Age]]&lt;25,"Under 25",IF(HR_Data[[#This Row],[Age]]&lt;=34,"25-34",IF(HR_Data[[#This Row],[Age]]&lt;=44,"35-44",IF(HR_Data[[#This Row],[Age]]&lt;=54,"45-54","55+"))))</f>
        <v>45-54</v>
      </c>
      <c r="AM191" t="str">
        <f>IF(HR_Data[[#This Row],[MonthlyIncome]]&lt;3000,"Low Salary",IF(HR_Data[[#This Row],[MonthlyIncome]]&lt;=7000,"Medium Salary","High Salary"))</f>
        <v>High Salary</v>
      </c>
      <c r="AN191" t="str">
        <f>IF(HR_Data[[#This Row],[YearsAtCompany]]&lt;2,"0-1 Years",IF(HR_Data[[#This Row],[YearsAtCompany]]&lt;=5,"2-5 Years",IF(HR_Data[[#This Row],[YearsAtCompany]]&lt;=10,"6-10 Years","10+ Years")))</f>
        <v>6-10 Years</v>
      </c>
      <c r="AO191" t="str">
        <f>IF(HR_Data[[#This Row],[JobSatisfaction]]=1,"Low",IF(HR_Data[[#This Row],[JobSatisfaction]]=2,"Medium",IF(HR_Data[[#This Row],[JobSatisfaction]]=3,"High","Very High")))</f>
        <v>Medium</v>
      </c>
      <c r="AP191" t="str">
        <f>IF(HR_Data[[#This Row],[WorkLifeBalance]]=1,"Bad",IF(HR_Data[[#This Row],[WorkLifeBalance]]=2,"Good",IF(HR_Data[[#This Row],[WorkLifeBalance]]=3,"Better","Best")))</f>
        <v>Better</v>
      </c>
    </row>
    <row r="192" spans="1:42"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IF(HR_Data[[#This Row],[Attrition]]="Yes",1,0)</f>
        <v>0</v>
      </c>
      <c r="AK192">
        <f>IF(HR_Data[[#This Row],[Attrition]]="No",1,0)</f>
        <v>1</v>
      </c>
      <c r="AL192" t="str">
        <f>IF(HR_Data[[#This Row],[Age]]&lt;25,"Under 25",IF(HR_Data[[#This Row],[Age]]&lt;=34,"25-34",IF(HR_Data[[#This Row],[Age]]&lt;=44,"35-44",IF(HR_Data[[#This Row],[Age]]&lt;=54,"45-54","55+"))))</f>
        <v>45-54</v>
      </c>
      <c r="AM192" t="str">
        <f>IF(HR_Data[[#This Row],[MonthlyIncome]]&lt;3000,"Low Salary",IF(HR_Data[[#This Row],[MonthlyIncome]]&lt;=7000,"Medium Salary","High Salary"))</f>
        <v>High Salary</v>
      </c>
      <c r="AN192" t="str">
        <f>IF(HR_Data[[#This Row],[YearsAtCompany]]&lt;2,"0-1 Years",IF(HR_Data[[#This Row],[YearsAtCompany]]&lt;=5,"2-5 Years",IF(HR_Data[[#This Row],[YearsAtCompany]]&lt;=10,"6-10 Years","10+ Years")))</f>
        <v>10+ Years</v>
      </c>
      <c r="AO192" t="str">
        <f>IF(HR_Data[[#This Row],[JobSatisfaction]]=1,"Low",IF(HR_Data[[#This Row],[JobSatisfaction]]=2,"Medium",IF(HR_Data[[#This Row],[JobSatisfaction]]=3,"High","Very High")))</f>
        <v>High</v>
      </c>
      <c r="AP192" t="str">
        <f>IF(HR_Data[[#This Row],[WorkLifeBalance]]=1,"Bad",IF(HR_Data[[#This Row],[WorkLifeBalance]]=2,"Good",IF(HR_Data[[#This Row],[WorkLifeBalance]]=3,"Better","Best")))</f>
        <v>Better</v>
      </c>
    </row>
    <row r="193" spans="1:42"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IF(HR_Data[[#This Row],[Attrition]]="Yes",1,0)</f>
        <v>0</v>
      </c>
      <c r="AK193">
        <f>IF(HR_Data[[#This Row],[Attrition]]="No",1,0)</f>
        <v>1</v>
      </c>
      <c r="AL193" t="str">
        <f>IF(HR_Data[[#This Row],[Age]]&lt;25,"Under 25",IF(HR_Data[[#This Row],[Age]]&lt;=34,"25-34",IF(HR_Data[[#This Row],[Age]]&lt;=44,"35-44",IF(HR_Data[[#This Row],[Age]]&lt;=54,"45-54","55+"))))</f>
        <v>25-34</v>
      </c>
      <c r="AM193" t="str">
        <f>IF(HR_Data[[#This Row],[MonthlyIncome]]&lt;3000,"Low Salary",IF(HR_Data[[#This Row],[MonthlyIncome]]&lt;=7000,"Medium Salary","High Salary"))</f>
        <v>Low Salary</v>
      </c>
      <c r="AN193" t="str">
        <f>IF(HR_Data[[#This Row],[YearsAtCompany]]&lt;2,"0-1 Years",IF(HR_Data[[#This Row],[YearsAtCompany]]&lt;=5,"2-5 Years",IF(HR_Data[[#This Row],[YearsAtCompany]]&lt;=10,"6-10 Years","10+ Years")))</f>
        <v>6-10 Years</v>
      </c>
      <c r="AO193" t="str">
        <f>IF(HR_Data[[#This Row],[JobSatisfaction]]=1,"Low",IF(HR_Data[[#This Row],[JobSatisfaction]]=2,"Medium",IF(HR_Data[[#This Row],[JobSatisfaction]]=3,"High","Very High")))</f>
        <v>Medium</v>
      </c>
      <c r="AP193" t="str">
        <f>IF(HR_Data[[#This Row],[WorkLifeBalance]]=1,"Bad",IF(HR_Data[[#This Row],[WorkLifeBalance]]=2,"Good",IF(HR_Data[[#This Row],[WorkLifeBalance]]=3,"Better","Best")))</f>
        <v>Good</v>
      </c>
    </row>
    <row r="194" spans="1:42"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IF(HR_Data[[#This Row],[Attrition]]="Yes",1,0)</f>
        <v>1</v>
      </c>
      <c r="AK194">
        <f>IF(HR_Data[[#This Row],[Attrition]]="No",1,0)</f>
        <v>0</v>
      </c>
      <c r="AL194" t="str">
        <f>IF(HR_Data[[#This Row],[Age]]&lt;25,"Under 25",IF(HR_Data[[#This Row],[Age]]&lt;=34,"25-34",IF(HR_Data[[#This Row],[Age]]&lt;=44,"35-44",IF(HR_Data[[#This Row],[Age]]&lt;=54,"45-54","55+"))))</f>
        <v>35-44</v>
      </c>
      <c r="AM194" t="str">
        <f>IF(HR_Data[[#This Row],[MonthlyIncome]]&lt;3000,"Low Salary",IF(HR_Data[[#This Row],[MonthlyIncome]]&lt;=7000,"Medium Salary","High Salary"))</f>
        <v>Medium Salary</v>
      </c>
      <c r="AN194" t="str">
        <f>IF(HR_Data[[#This Row],[YearsAtCompany]]&lt;2,"0-1 Years",IF(HR_Data[[#This Row],[YearsAtCompany]]&lt;=5,"2-5 Years",IF(HR_Data[[#This Row],[YearsAtCompany]]&lt;=10,"6-10 Years","10+ Years")))</f>
        <v>0-1 Years</v>
      </c>
      <c r="AO194" t="str">
        <f>IF(HR_Data[[#This Row],[JobSatisfaction]]=1,"Low",IF(HR_Data[[#This Row],[JobSatisfaction]]=2,"Medium",IF(HR_Data[[#This Row],[JobSatisfaction]]=3,"High","Very High")))</f>
        <v>High</v>
      </c>
      <c r="AP194" t="str">
        <f>IF(HR_Data[[#This Row],[WorkLifeBalance]]=1,"Bad",IF(HR_Data[[#This Row],[WorkLifeBalance]]=2,"Good",IF(HR_Data[[#This Row],[WorkLifeBalance]]=3,"Better","Best")))</f>
        <v>Better</v>
      </c>
    </row>
    <row r="195" spans="1:42"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IF(HR_Data[[#This Row],[Attrition]]="Yes",1,0)</f>
        <v>0</v>
      </c>
      <c r="AK195">
        <f>IF(HR_Data[[#This Row],[Attrition]]="No",1,0)</f>
        <v>1</v>
      </c>
      <c r="AL195" t="str">
        <f>IF(HR_Data[[#This Row],[Age]]&lt;25,"Under 25",IF(HR_Data[[#This Row],[Age]]&lt;=34,"25-34",IF(HR_Data[[#This Row],[Age]]&lt;=44,"35-44",IF(HR_Data[[#This Row],[Age]]&lt;=54,"45-54","55+"))))</f>
        <v>35-44</v>
      </c>
      <c r="AM195" t="str">
        <f>IF(HR_Data[[#This Row],[MonthlyIncome]]&lt;3000,"Low Salary",IF(HR_Data[[#This Row],[MonthlyIncome]]&lt;=7000,"Medium Salary","High Salary"))</f>
        <v>Low Salary</v>
      </c>
      <c r="AN195" t="str">
        <f>IF(HR_Data[[#This Row],[YearsAtCompany]]&lt;2,"0-1 Years",IF(HR_Data[[#This Row],[YearsAtCompany]]&lt;=5,"2-5 Years",IF(HR_Data[[#This Row],[YearsAtCompany]]&lt;=10,"6-10 Years","10+ Years")))</f>
        <v>2-5 Years</v>
      </c>
      <c r="AO195" t="str">
        <f>IF(HR_Data[[#This Row],[JobSatisfaction]]=1,"Low",IF(HR_Data[[#This Row],[JobSatisfaction]]=2,"Medium",IF(HR_Data[[#This Row],[JobSatisfaction]]=3,"High","Very High")))</f>
        <v>Very High</v>
      </c>
      <c r="AP195" t="str">
        <f>IF(HR_Data[[#This Row],[WorkLifeBalance]]=1,"Bad",IF(HR_Data[[#This Row],[WorkLifeBalance]]=2,"Good",IF(HR_Data[[#This Row],[WorkLifeBalance]]=3,"Better","Best")))</f>
        <v>Best</v>
      </c>
    </row>
    <row r="196" spans="1:42"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IF(HR_Data[[#This Row],[Attrition]]="Yes",1,0)</f>
        <v>0</v>
      </c>
      <c r="AK196">
        <f>IF(HR_Data[[#This Row],[Attrition]]="No",1,0)</f>
        <v>1</v>
      </c>
      <c r="AL196" t="str">
        <f>IF(HR_Data[[#This Row],[Age]]&lt;25,"Under 25",IF(HR_Data[[#This Row],[Age]]&lt;=34,"25-34",IF(HR_Data[[#This Row],[Age]]&lt;=44,"35-44",IF(HR_Data[[#This Row],[Age]]&lt;=54,"45-54","55+"))))</f>
        <v>45-54</v>
      </c>
      <c r="AM196" t="str">
        <f>IF(HR_Data[[#This Row],[MonthlyIncome]]&lt;3000,"Low Salary",IF(HR_Data[[#This Row],[MonthlyIncome]]&lt;=7000,"Medium Salary","High Salary"))</f>
        <v>High Salary</v>
      </c>
      <c r="AN196" t="str">
        <f>IF(HR_Data[[#This Row],[YearsAtCompany]]&lt;2,"0-1 Years",IF(HR_Data[[#This Row],[YearsAtCompany]]&lt;=5,"2-5 Years",IF(HR_Data[[#This Row],[YearsAtCompany]]&lt;=10,"6-10 Years","10+ Years")))</f>
        <v>10+ Years</v>
      </c>
      <c r="AO196" t="str">
        <f>IF(HR_Data[[#This Row],[JobSatisfaction]]=1,"Low",IF(HR_Data[[#This Row],[JobSatisfaction]]=2,"Medium",IF(HR_Data[[#This Row],[JobSatisfaction]]=3,"High","Very High")))</f>
        <v>Very High</v>
      </c>
      <c r="AP196" t="str">
        <f>IF(HR_Data[[#This Row],[WorkLifeBalance]]=1,"Bad",IF(HR_Data[[#This Row],[WorkLifeBalance]]=2,"Good",IF(HR_Data[[#This Row],[WorkLifeBalance]]=3,"Better","Best")))</f>
        <v>Better</v>
      </c>
    </row>
    <row r="197" spans="1:42"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IF(HR_Data[[#This Row],[Attrition]]="Yes",1,0)</f>
        <v>0</v>
      </c>
      <c r="AK197">
        <f>IF(HR_Data[[#This Row],[Attrition]]="No",1,0)</f>
        <v>1</v>
      </c>
      <c r="AL197" t="str">
        <f>IF(HR_Data[[#This Row],[Age]]&lt;25,"Under 25",IF(HR_Data[[#This Row],[Age]]&lt;=34,"25-34",IF(HR_Data[[#This Row],[Age]]&lt;=44,"35-44",IF(HR_Data[[#This Row],[Age]]&lt;=54,"45-54","55+"))))</f>
        <v>35-44</v>
      </c>
      <c r="AM197" t="str">
        <f>IF(HR_Data[[#This Row],[MonthlyIncome]]&lt;3000,"Low Salary",IF(HR_Data[[#This Row],[MonthlyIncome]]&lt;=7000,"Medium Salary","High Salary"))</f>
        <v>Medium Salary</v>
      </c>
      <c r="AN197" t="str">
        <f>IF(HR_Data[[#This Row],[YearsAtCompany]]&lt;2,"0-1 Years",IF(HR_Data[[#This Row],[YearsAtCompany]]&lt;=5,"2-5 Years",IF(HR_Data[[#This Row],[YearsAtCompany]]&lt;=10,"6-10 Years","10+ Years")))</f>
        <v>6-10 Years</v>
      </c>
      <c r="AO197" t="str">
        <f>IF(HR_Data[[#This Row],[JobSatisfaction]]=1,"Low",IF(HR_Data[[#This Row],[JobSatisfaction]]=2,"Medium",IF(HR_Data[[#This Row],[JobSatisfaction]]=3,"High","Very High")))</f>
        <v>Low</v>
      </c>
      <c r="AP197" t="str">
        <f>IF(HR_Data[[#This Row],[WorkLifeBalance]]=1,"Bad",IF(HR_Data[[#This Row],[WorkLifeBalance]]=2,"Good",IF(HR_Data[[#This Row],[WorkLifeBalance]]=3,"Better","Best")))</f>
        <v>Good</v>
      </c>
    </row>
    <row r="198" spans="1:42"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IF(HR_Data[[#This Row],[Attrition]]="Yes",1,0)</f>
        <v>0</v>
      </c>
      <c r="AK198">
        <f>IF(HR_Data[[#This Row],[Attrition]]="No",1,0)</f>
        <v>1</v>
      </c>
      <c r="AL198" t="str">
        <f>IF(HR_Data[[#This Row],[Age]]&lt;25,"Under 25",IF(HR_Data[[#This Row],[Age]]&lt;=34,"25-34",IF(HR_Data[[#This Row],[Age]]&lt;=44,"35-44",IF(HR_Data[[#This Row],[Age]]&lt;=54,"45-54","55+"))))</f>
        <v>35-44</v>
      </c>
      <c r="AM198" t="str">
        <f>IF(HR_Data[[#This Row],[MonthlyIncome]]&lt;3000,"Low Salary",IF(HR_Data[[#This Row],[MonthlyIncome]]&lt;=7000,"Medium Salary","High Salary"))</f>
        <v>Medium Salary</v>
      </c>
      <c r="AN198" t="str">
        <f>IF(HR_Data[[#This Row],[YearsAtCompany]]&lt;2,"0-1 Years",IF(HR_Data[[#This Row],[YearsAtCompany]]&lt;=5,"2-5 Years",IF(HR_Data[[#This Row],[YearsAtCompany]]&lt;=10,"6-10 Years","10+ Years")))</f>
        <v>6-10 Years</v>
      </c>
      <c r="AO198" t="str">
        <f>IF(HR_Data[[#This Row],[JobSatisfaction]]=1,"Low",IF(HR_Data[[#This Row],[JobSatisfaction]]=2,"Medium",IF(HR_Data[[#This Row],[JobSatisfaction]]=3,"High","Very High")))</f>
        <v>Medium</v>
      </c>
      <c r="AP198" t="str">
        <f>IF(HR_Data[[#This Row],[WorkLifeBalance]]=1,"Bad",IF(HR_Data[[#This Row],[WorkLifeBalance]]=2,"Good",IF(HR_Data[[#This Row],[WorkLifeBalance]]=3,"Better","Best")))</f>
        <v>Better</v>
      </c>
    </row>
    <row r="199" spans="1:42"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IF(HR_Data[[#This Row],[Attrition]]="Yes",1,0)</f>
        <v>0</v>
      </c>
      <c r="AK199">
        <f>IF(HR_Data[[#This Row],[Attrition]]="No",1,0)</f>
        <v>1</v>
      </c>
      <c r="AL199" t="str">
        <f>IF(HR_Data[[#This Row],[Age]]&lt;25,"Under 25",IF(HR_Data[[#This Row],[Age]]&lt;=34,"25-34",IF(HR_Data[[#This Row],[Age]]&lt;=44,"35-44",IF(HR_Data[[#This Row],[Age]]&lt;=54,"45-54","55+"))))</f>
        <v>35-44</v>
      </c>
      <c r="AM199" t="str">
        <f>IF(HR_Data[[#This Row],[MonthlyIncome]]&lt;3000,"Low Salary",IF(HR_Data[[#This Row],[MonthlyIncome]]&lt;=7000,"Medium Salary","High Salary"))</f>
        <v>Medium Salary</v>
      </c>
      <c r="AN199" t="str">
        <f>IF(HR_Data[[#This Row],[YearsAtCompany]]&lt;2,"0-1 Years",IF(HR_Data[[#This Row],[YearsAtCompany]]&lt;=5,"2-5 Years",IF(HR_Data[[#This Row],[YearsAtCompany]]&lt;=10,"6-10 Years","10+ Years")))</f>
        <v>2-5 Years</v>
      </c>
      <c r="AO199" t="str">
        <f>IF(HR_Data[[#This Row],[JobSatisfaction]]=1,"Low",IF(HR_Data[[#This Row],[JobSatisfaction]]=2,"Medium",IF(HR_Data[[#This Row],[JobSatisfaction]]=3,"High","Very High")))</f>
        <v>High</v>
      </c>
      <c r="AP199" t="str">
        <f>IF(HR_Data[[#This Row],[WorkLifeBalance]]=1,"Bad",IF(HR_Data[[#This Row],[WorkLifeBalance]]=2,"Good",IF(HR_Data[[#This Row],[WorkLifeBalance]]=3,"Better","Best")))</f>
        <v>Better</v>
      </c>
    </row>
    <row r="200" spans="1:42"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IF(HR_Data[[#This Row],[Attrition]]="Yes",1,0)</f>
        <v>0</v>
      </c>
      <c r="AK200">
        <f>IF(HR_Data[[#This Row],[Attrition]]="No",1,0)</f>
        <v>1</v>
      </c>
      <c r="AL200" t="str">
        <f>IF(HR_Data[[#This Row],[Age]]&lt;25,"Under 25",IF(HR_Data[[#This Row],[Age]]&lt;=34,"25-34",IF(HR_Data[[#This Row],[Age]]&lt;=44,"35-44",IF(HR_Data[[#This Row],[Age]]&lt;=54,"45-54","55+"))))</f>
        <v>35-44</v>
      </c>
      <c r="AM200" t="str">
        <f>IF(HR_Data[[#This Row],[MonthlyIncome]]&lt;3000,"Low Salary",IF(HR_Data[[#This Row],[MonthlyIncome]]&lt;=7000,"Medium Salary","High Salary"))</f>
        <v>Medium Salary</v>
      </c>
      <c r="AN200" t="str">
        <f>IF(HR_Data[[#This Row],[YearsAtCompany]]&lt;2,"0-1 Years",IF(HR_Data[[#This Row],[YearsAtCompany]]&lt;=5,"2-5 Years",IF(HR_Data[[#This Row],[YearsAtCompany]]&lt;=10,"6-10 Years","10+ Years")))</f>
        <v>0-1 Years</v>
      </c>
      <c r="AO200" t="str">
        <f>IF(HR_Data[[#This Row],[JobSatisfaction]]=1,"Low",IF(HR_Data[[#This Row],[JobSatisfaction]]=2,"Medium",IF(HR_Data[[#This Row],[JobSatisfaction]]=3,"High","Very High")))</f>
        <v>High</v>
      </c>
      <c r="AP200" t="str">
        <f>IF(HR_Data[[#This Row],[WorkLifeBalance]]=1,"Bad",IF(HR_Data[[#This Row],[WorkLifeBalance]]=2,"Good",IF(HR_Data[[#This Row],[WorkLifeBalance]]=3,"Better","Best")))</f>
        <v>Better</v>
      </c>
    </row>
    <row r="201" spans="1:42"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IF(HR_Data[[#This Row],[Attrition]]="Yes",1,0)</f>
        <v>0</v>
      </c>
      <c r="AK201">
        <f>IF(HR_Data[[#This Row],[Attrition]]="No",1,0)</f>
        <v>1</v>
      </c>
      <c r="AL201" t="str">
        <f>IF(HR_Data[[#This Row],[Age]]&lt;25,"Under 25",IF(HR_Data[[#This Row],[Age]]&lt;=34,"25-34",IF(HR_Data[[#This Row],[Age]]&lt;=44,"35-44",IF(HR_Data[[#This Row],[Age]]&lt;=54,"45-54","55+"))))</f>
        <v>35-44</v>
      </c>
      <c r="AM201" t="str">
        <f>IF(HR_Data[[#This Row],[MonthlyIncome]]&lt;3000,"Low Salary",IF(HR_Data[[#This Row],[MonthlyIncome]]&lt;=7000,"Medium Salary","High Salary"))</f>
        <v>Medium Salary</v>
      </c>
      <c r="AN201" t="str">
        <f>IF(HR_Data[[#This Row],[YearsAtCompany]]&lt;2,"0-1 Years",IF(HR_Data[[#This Row],[YearsAtCompany]]&lt;=5,"2-5 Years",IF(HR_Data[[#This Row],[YearsAtCompany]]&lt;=10,"6-10 Years","10+ Years")))</f>
        <v>6-10 Years</v>
      </c>
      <c r="AO201" t="str">
        <f>IF(HR_Data[[#This Row],[JobSatisfaction]]=1,"Low",IF(HR_Data[[#This Row],[JobSatisfaction]]=2,"Medium",IF(HR_Data[[#This Row],[JobSatisfaction]]=3,"High","Very High")))</f>
        <v>Very High</v>
      </c>
      <c r="AP201" t="str">
        <f>IF(HR_Data[[#This Row],[WorkLifeBalance]]=1,"Bad",IF(HR_Data[[#This Row],[WorkLifeBalance]]=2,"Good",IF(HR_Data[[#This Row],[WorkLifeBalance]]=3,"Better","Best")))</f>
        <v>Bad</v>
      </c>
    </row>
    <row r="202" spans="1:42"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IF(HR_Data[[#This Row],[Attrition]]="Yes",1,0)</f>
        <v>0</v>
      </c>
      <c r="AK202">
        <f>IF(HR_Data[[#This Row],[Attrition]]="No",1,0)</f>
        <v>1</v>
      </c>
      <c r="AL202" t="str">
        <f>IF(HR_Data[[#This Row],[Age]]&lt;25,"Under 25",IF(HR_Data[[#This Row],[Age]]&lt;=34,"25-34",IF(HR_Data[[#This Row],[Age]]&lt;=44,"35-44",IF(HR_Data[[#This Row],[Age]]&lt;=54,"45-54","55+"))))</f>
        <v>25-34</v>
      </c>
      <c r="AM202" t="str">
        <f>IF(HR_Data[[#This Row],[MonthlyIncome]]&lt;3000,"Low Salary",IF(HR_Data[[#This Row],[MonthlyIncome]]&lt;=7000,"Medium Salary","High Salary"))</f>
        <v>Medium Salary</v>
      </c>
      <c r="AN202" t="str">
        <f>IF(HR_Data[[#This Row],[YearsAtCompany]]&lt;2,"0-1 Years",IF(HR_Data[[#This Row],[YearsAtCompany]]&lt;=5,"2-5 Years",IF(HR_Data[[#This Row],[YearsAtCompany]]&lt;=10,"6-10 Years","10+ Years")))</f>
        <v>2-5 Years</v>
      </c>
      <c r="AO202" t="str">
        <f>IF(HR_Data[[#This Row],[JobSatisfaction]]=1,"Low",IF(HR_Data[[#This Row],[JobSatisfaction]]=2,"Medium",IF(HR_Data[[#This Row],[JobSatisfaction]]=3,"High","Very High")))</f>
        <v>Low</v>
      </c>
      <c r="AP202" t="str">
        <f>IF(HR_Data[[#This Row],[WorkLifeBalance]]=1,"Bad",IF(HR_Data[[#This Row],[WorkLifeBalance]]=2,"Good",IF(HR_Data[[#This Row],[WorkLifeBalance]]=3,"Better","Best")))</f>
        <v>Better</v>
      </c>
    </row>
    <row r="203" spans="1:42"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IF(HR_Data[[#This Row],[Attrition]]="Yes",1,0)</f>
        <v>0</v>
      </c>
      <c r="AK203">
        <f>IF(HR_Data[[#This Row],[Attrition]]="No",1,0)</f>
        <v>1</v>
      </c>
      <c r="AL203" t="str">
        <f>IF(HR_Data[[#This Row],[Age]]&lt;25,"Under 25",IF(HR_Data[[#This Row],[Age]]&lt;=34,"25-34",IF(HR_Data[[#This Row],[Age]]&lt;=44,"35-44",IF(HR_Data[[#This Row],[Age]]&lt;=54,"45-54","55+"))))</f>
        <v>45-54</v>
      </c>
      <c r="AM203" t="str">
        <f>IF(HR_Data[[#This Row],[MonthlyIncome]]&lt;3000,"Low Salary",IF(HR_Data[[#This Row],[MonthlyIncome]]&lt;=7000,"Medium Salary","High Salary"))</f>
        <v>Medium Salary</v>
      </c>
      <c r="AN203" t="str">
        <f>IF(HR_Data[[#This Row],[YearsAtCompany]]&lt;2,"0-1 Years",IF(HR_Data[[#This Row],[YearsAtCompany]]&lt;=5,"2-5 Years",IF(HR_Data[[#This Row],[YearsAtCompany]]&lt;=10,"6-10 Years","10+ Years")))</f>
        <v>6-10 Years</v>
      </c>
      <c r="AO203" t="str">
        <f>IF(HR_Data[[#This Row],[JobSatisfaction]]=1,"Low",IF(HR_Data[[#This Row],[JobSatisfaction]]=2,"Medium",IF(HR_Data[[#This Row],[JobSatisfaction]]=3,"High","Very High")))</f>
        <v>Very High</v>
      </c>
      <c r="AP203" t="str">
        <f>IF(HR_Data[[#This Row],[WorkLifeBalance]]=1,"Bad",IF(HR_Data[[#This Row],[WorkLifeBalance]]=2,"Good",IF(HR_Data[[#This Row],[WorkLifeBalance]]=3,"Better","Best")))</f>
        <v>Better</v>
      </c>
    </row>
    <row r="204" spans="1:42"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IF(HR_Data[[#This Row],[Attrition]]="Yes",1,0)</f>
        <v>0</v>
      </c>
      <c r="AK204">
        <f>IF(HR_Data[[#This Row],[Attrition]]="No",1,0)</f>
        <v>1</v>
      </c>
      <c r="AL204" t="str">
        <f>IF(HR_Data[[#This Row],[Age]]&lt;25,"Under 25",IF(HR_Data[[#This Row],[Age]]&lt;=34,"25-34",IF(HR_Data[[#This Row],[Age]]&lt;=44,"35-44",IF(HR_Data[[#This Row],[Age]]&lt;=54,"45-54","55+"))))</f>
        <v>25-34</v>
      </c>
      <c r="AM204" t="str">
        <f>IF(HR_Data[[#This Row],[MonthlyIncome]]&lt;3000,"Low Salary",IF(HR_Data[[#This Row],[MonthlyIncome]]&lt;=7000,"Medium Salary","High Salary"))</f>
        <v>Medium Salary</v>
      </c>
      <c r="AN204" t="str">
        <f>IF(HR_Data[[#This Row],[YearsAtCompany]]&lt;2,"0-1 Years",IF(HR_Data[[#This Row],[YearsAtCompany]]&lt;=5,"2-5 Years",IF(HR_Data[[#This Row],[YearsAtCompany]]&lt;=10,"6-10 Years","10+ Years")))</f>
        <v>2-5 Years</v>
      </c>
      <c r="AO204" t="str">
        <f>IF(HR_Data[[#This Row],[JobSatisfaction]]=1,"Low",IF(HR_Data[[#This Row],[JobSatisfaction]]=2,"Medium",IF(HR_Data[[#This Row],[JobSatisfaction]]=3,"High","Very High")))</f>
        <v>High</v>
      </c>
      <c r="AP204" t="str">
        <f>IF(HR_Data[[#This Row],[WorkLifeBalance]]=1,"Bad",IF(HR_Data[[#This Row],[WorkLifeBalance]]=2,"Good",IF(HR_Data[[#This Row],[WorkLifeBalance]]=3,"Better","Best")))</f>
        <v>Best</v>
      </c>
    </row>
    <row r="205" spans="1:42"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IF(HR_Data[[#This Row],[Attrition]]="Yes",1,0)</f>
        <v>0</v>
      </c>
      <c r="AK205">
        <f>IF(HR_Data[[#This Row],[Attrition]]="No",1,0)</f>
        <v>1</v>
      </c>
      <c r="AL205" t="str">
        <f>IF(HR_Data[[#This Row],[Age]]&lt;25,"Under 25",IF(HR_Data[[#This Row],[Age]]&lt;=34,"25-34",IF(HR_Data[[#This Row],[Age]]&lt;=44,"35-44",IF(HR_Data[[#This Row],[Age]]&lt;=54,"45-54","55+"))))</f>
        <v>35-44</v>
      </c>
      <c r="AM205" t="str">
        <f>IF(HR_Data[[#This Row],[MonthlyIncome]]&lt;3000,"Low Salary",IF(HR_Data[[#This Row],[MonthlyIncome]]&lt;=7000,"Medium Salary","High Salary"))</f>
        <v>Low Salary</v>
      </c>
      <c r="AN205" t="str">
        <f>IF(HR_Data[[#This Row],[YearsAtCompany]]&lt;2,"0-1 Years",IF(HR_Data[[#This Row],[YearsAtCompany]]&lt;=5,"2-5 Years",IF(HR_Data[[#This Row],[YearsAtCompany]]&lt;=10,"6-10 Years","10+ Years")))</f>
        <v>6-10 Years</v>
      </c>
      <c r="AO205" t="str">
        <f>IF(HR_Data[[#This Row],[JobSatisfaction]]=1,"Low",IF(HR_Data[[#This Row],[JobSatisfaction]]=2,"Medium",IF(HR_Data[[#This Row],[JobSatisfaction]]=3,"High","Very High")))</f>
        <v>Very High</v>
      </c>
      <c r="AP205" t="str">
        <f>IF(HR_Data[[#This Row],[WorkLifeBalance]]=1,"Bad",IF(HR_Data[[#This Row],[WorkLifeBalance]]=2,"Good",IF(HR_Data[[#This Row],[WorkLifeBalance]]=3,"Better","Best")))</f>
        <v>Best</v>
      </c>
    </row>
    <row r="206" spans="1:42"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IF(HR_Data[[#This Row],[Attrition]]="Yes",1,0)</f>
        <v>1</v>
      </c>
      <c r="AK206">
        <f>IF(HR_Data[[#This Row],[Attrition]]="No",1,0)</f>
        <v>0</v>
      </c>
      <c r="AL206" t="str">
        <f>IF(HR_Data[[#This Row],[Age]]&lt;25,"Under 25",IF(HR_Data[[#This Row],[Age]]&lt;=34,"25-34",IF(HR_Data[[#This Row],[Age]]&lt;=44,"35-44",IF(HR_Data[[#This Row],[Age]]&lt;=54,"45-54","55+"))))</f>
        <v>35-44</v>
      </c>
      <c r="AM206" t="str">
        <f>IF(HR_Data[[#This Row],[MonthlyIncome]]&lt;3000,"Low Salary",IF(HR_Data[[#This Row],[MonthlyIncome]]&lt;=7000,"Medium Salary","High Salary"))</f>
        <v>Medium Salary</v>
      </c>
      <c r="AN206" t="str">
        <f>IF(HR_Data[[#This Row],[YearsAtCompany]]&lt;2,"0-1 Years",IF(HR_Data[[#This Row],[YearsAtCompany]]&lt;=5,"2-5 Years",IF(HR_Data[[#This Row],[YearsAtCompany]]&lt;=10,"6-10 Years","10+ Years")))</f>
        <v>0-1 Years</v>
      </c>
      <c r="AO206" t="str">
        <f>IF(HR_Data[[#This Row],[JobSatisfaction]]=1,"Low",IF(HR_Data[[#This Row],[JobSatisfaction]]=2,"Medium",IF(HR_Data[[#This Row],[JobSatisfaction]]=3,"High","Very High")))</f>
        <v>Low</v>
      </c>
      <c r="AP206" t="str">
        <f>IF(HR_Data[[#This Row],[WorkLifeBalance]]=1,"Bad",IF(HR_Data[[#This Row],[WorkLifeBalance]]=2,"Good",IF(HR_Data[[#This Row],[WorkLifeBalance]]=3,"Better","Best")))</f>
        <v>Better</v>
      </c>
    </row>
    <row r="207" spans="1:42"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IF(HR_Data[[#This Row],[Attrition]]="Yes",1,0)</f>
        <v>1</v>
      </c>
      <c r="AK207">
        <f>IF(HR_Data[[#This Row],[Attrition]]="No",1,0)</f>
        <v>0</v>
      </c>
      <c r="AL207" t="str">
        <f>IF(HR_Data[[#This Row],[Age]]&lt;25,"Under 25",IF(HR_Data[[#This Row],[Age]]&lt;=34,"25-34",IF(HR_Data[[#This Row],[Age]]&lt;=44,"35-44",IF(HR_Data[[#This Row],[Age]]&lt;=54,"45-54","55+"))))</f>
        <v>25-34</v>
      </c>
      <c r="AM207" t="str">
        <f>IF(HR_Data[[#This Row],[MonthlyIncome]]&lt;3000,"Low Salary",IF(HR_Data[[#This Row],[MonthlyIncome]]&lt;=7000,"Medium Salary","High Salary"))</f>
        <v>High Salary</v>
      </c>
      <c r="AN207" t="str">
        <f>IF(HR_Data[[#This Row],[YearsAtCompany]]&lt;2,"0-1 Years",IF(HR_Data[[#This Row],[YearsAtCompany]]&lt;=5,"2-5 Years",IF(HR_Data[[#This Row],[YearsAtCompany]]&lt;=10,"6-10 Years","10+ Years")))</f>
        <v>6-10 Years</v>
      </c>
      <c r="AO207" t="str">
        <f>IF(HR_Data[[#This Row],[JobSatisfaction]]=1,"Low",IF(HR_Data[[#This Row],[JobSatisfaction]]=2,"Medium",IF(HR_Data[[#This Row],[JobSatisfaction]]=3,"High","Very High")))</f>
        <v>Very High</v>
      </c>
      <c r="AP207" t="str">
        <f>IF(HR_Data[[#This Row],[WorkLifeBalance]]=1,"Bad",IF(HR_Data[[#This Row],[WorkLifeBalance]]=2,"Good",IF(HR_Data[[#This Row],[WorkLifeBalance]]=3,"Better","Best")))</f>
        <v>Good</v>
      </c>
    </row>
    <row r="208" spans="1:42"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IF(HR_Data[[#This Row],[Attrition]]="Yes",1,0)</f>
        <v>0</v>
      </c>
      <c r="AK208">
        <f>IF(HR_Data[[#This Row],[Attrition]]="No",1,0)</f>
        <v>1</v>
      </c>
      <c r="AL208" t="str">
        <f>IF(HR_Data[[#This Row],[Age]]&lt;25,"Under 25",IF(HR_Data[[#This Row],[Age]]&lt;=34,"25-34",IF(HR_Data[[#This Row],[Age]]&lt;=44,"35-44",IF(HR_Data[[#This Row],[Age]]&lt;=54,"45-54","55+"))))</f>
        <v>Under 25</v>
      </c>
      <c r="AM208" t="str">
        <f>IF(HR_Data[[#This Row],[MonthlyIncome]]&lt;3000,"Low Salary",IF(HR_Data[[#This Row],[MonthlyIncome]]&lt;=7000,"Medium Salary","High Salary"))</f>
        <v>Low Salary</v>
      </c>
      <c r="AN208" t="str">
        <f>IF(HR_Data[[#This Row],[YearsAtCompany]]&lt;2,"0-1 Years",IF(HR_Data[[#This Row],[YearsAtCompany]]&lt;=5,"2-5 Years",IF(HR_Data[[#This Row],[YearsAtCompany]]&lt;=10,"6-10 Years","10+ Years")))</f>
        <v>2-5 Years</v>
      </c>
      <c r="AO208" t="str">
        <f>IF(HR_Data[[#This Row],[JobSatisfaction]]=1,"Low",IF(HR_Data[[#This Row],[JobSatisfaction]]=2,"Medium",IF(HR_Data[[#This Row],[JobSatisfaction]]=3,"High","Very High")))</f>
        <v>Medium</v>
      </c>
      <c r="AP208" t="str">
        <f>IF(HR_Data[[#This Row],[WorkLifeBalance]]=1,"Bad",IF(HR_Data[[#This Row],[WorkLifeBalance]]=2,"Good",IF(HR_Data[[#This Row],[WorkLifeBalance]]=3,"Better","Best")))</f>
        <v>Good</v>
      </c>
    </row>
    <row r="209" spans="1:42"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IF(HR_Data[[#This Row],[Attrition]]="Yes",1,0)</f>
        <v>0</v>
      </c>
      <c r="AK209">
        <f>IF(HR_Data[[#This Row],[Attrition]]="No",1,0)</f>
        <v>1</v>
      </c>
      <c r="AL209" t="str">
        <f>IF(HR_Data[[#This Row],[Age]]&lt;25,"Under 25",IF(HR_Data[[#This Row],[Age]]&lt;=34,"25-34",IF(HR_Data[[#This Row],[Age]]&lt;=44,"35-44",IF(HR_Data[[#This Row],[Age]]&lt;=54,"45-54","55+"))))</f>
        <v>35-44</v>
      </c>
      <c r="AM209" t="str">
        <f>IF(HR_Data[[#This Row],[MonthlyIncome]]&lt;3000,"Low Salary",IF(HR_Data[[#This Row],[MonthlyIncome]]&lt;=7000,"Medium Salary","High Salary"))</f>
        <v>Low Salary</v>
      </c>
      <c r="AN209" t="str">
        <f>IF(HR_Data[[#This Row],[YearsAtCompany]]&lt;2,"0-1 Years",IF(HR_Data[[#This Row],[YearsAtCompany]]&lt;=5,"2-5 Years",IF(HR_Data[[#This Row],[YearsAtCompany]]&lt;=10,"6-10 Years","10+ Years")))</f>
        <v>6-10 Years</v>
      </c>
      <c r="AO209" t="str">
        <f>IF(HR_Data[[#This Row],[JobSatisfaction]]=1,"Low",IF(HR_Data[[#This Row],[JobSatisfaction]]=2,"Medium",IF(HR_Data[[#This Row],[JobSatisfaction]]=3,"High","Very High")))</f>
        <v>Very High</v>
      </c>
      <c r="AP209" t="str">
        <f>IF(HR_Data[[#This Row],[WorkLifeBalance]]=1,"Bad",IF(HR_Data[[#This Row],[WorkLifeBalance]]=2,"Good",IF(HR_Data[[#This Row],[WorkLifeBalance]]=3,"Better","Best")))</f>
        <v>Better</v>
      </c>
    </row>
    <row r="210" spans="1:42"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IF(HR_Data[[#This Row],[Attrition]]="Yes",1,0)</f>
        <v>0</v>
      </c>
      <c r="AK210">
        <f>IF(HR_Data[[#This Row],[Attrition]]="No",1,0)</f>
        <v>1</v>
      </c>
      <c r="AL210" t="str">
        <f>IF(HR_Data[[#This Row],[Age]]&lt;25,"Under 25",IF(HR_Data[[#This Row],[Age]]&lt;=34,"25-34",IF(HR_Data[[#This Row],[Age]]&lt;=44,"35-44",IF(HR_Data[[#This Row],[Age]]&lt;=54,"45-54","55+"))))</f>
        <v>35-44</v>
      </c>
      <c r="AM210" t="str">
        <f>IF(HR_Data[[#This Row],[MonthlyIncome]]&lt;3000,"Low Salary",IF(HR_Data[[#This Row],[MonthlyIncome]]&lt;=7000,"Medium Salary","High Salary"))</f>
        <v>Medium Salary</v>
      </c>
      <c r="AN210" t="str">
        <f>IF(HR_Data[[#This Row],[YearsAtCompany]]&lt;2,"0-1 Years",IF(HR_Data[[#This Row],[YearsAtCompany]]&lt;=5,"2-5 Years",IF(HR_Data[[#This Row],[YearsAtCompany]]&lt;=10,"6-10 Years","10+ Years")))</f>
        <v>2-5 Years</v>
      </c>
      <c r="AO210" t="str">
        <f>IF(HR_Data[[#This Row],[JobSatisfaction]]=1,"Low",IF(HR_Data[[#This Row],[JobSatisfaction]]=2,"Medium",IF(HR_Data[[#This Row],[JobSatisfaction]]=3,"High","Very High")))</f>
        <v>Very High</v>
      </c>
      <c r="AP210" t="str">
        <f>IF(HR_Data[[#This Row],[WorkLifeBalance]]=1,"Bad",IF(HR_Data[[#This Row],[WorkLifeBalance]]=2,"Good",IF(HR_Data[[#This Row],[WorkLifeBalance]]=3,"Better","Best")))</f>
        <v>Bad</v>
      </c>
    </row>
    <row r="211" spans="1:42"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IF(HR_Data[[#This Row],[Attrition]]="Yes",1,0)</f>
        <v>0</v>
      </c>
      <c r="AK211">
        <f>IF(HR_Data[[#This Row],[Attrition]]="No",1,0)</f>
        <v>1</v>
      </c>
      <c r="AL211" t="str">
        <f>IF(HR_Data[[#This Row],[Age]]&lt;25,"Under 25",IF(HR_Data[[#This Row],[Age]]&lt;=34,"25-34",IF(HR_Data[[#This Row],[Age]]&lt;=44,"35-44",IF(HR_Data[[#This Row],[Age]]&lt;=54,"45-54","55+"))))</f>
        <v>45-54</v>
      </c>
      <c r="AM211" t="str">
        <f>IF(HR_Data[[#This Row],[MonthlyIncome]]&lt;3000,"Low Salary",IF(HR_Data[[#This Row],[MonthlyIncome]]&lt;=7000,"Medium Salary","High Salary"))</f>
        <v>High Salary</v>
      </c>
      <c r="AN211" t="str">
        <f>IF(HR_Data[[#This Row],[YearsAtCompany]]&lt;2,"0-1 Years",IF(HR_Data[[#This Row],[YearsAtCompany]]&lt;=5,"2-5 Years",IF(HR_Data[[#This Row],[YearsAtCompany]]&lt;=10,"6-10 Years","10+ Years")))</f>
        <v>2-5 Years</v>
      </c>
      <c r="AO211" t="str">
        <f>IF(HR_Data[[#This Row],[JobSatisfaction]]=1,"Low",IF(HR_Data[[#This Row],[JobSatisfaction]]=2,"Medium",IF(HR_Data[[#This Row],[JobSatisfaction]]=3,"High","Very High")))</f>
        <v>Low</v>
      </c>
      <c r="AP211" t="str">
        <f>IF(HR_Data[[#This Row],[WorkLifeBalance]]=1,"Bad",IF(HR_Data[[#This Row],[WorkLifeBalance]]=2,"Good",IF(HR_Data[[#This Row],[WorkLifeBalance]]=3,"Better","Best")))</f>
        <v>Better</v>
      </c>
    </row>
    <row r="212" spans="1:42"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IF(HR_Data[[#This Row],[Attrition]]="Yes",1,0)</f>
        <v>1</v>
      </c>
      <c r="AK212">
        <f>IF(HR_Data[[#This Row],[Attrition]]="No",1,0)</f>
        <v>0</v>
      </c>
      <c r="AL212" t="str">
        <f>IF(HR_Data[[#This Row],[Age]]&lt;25,"Under 25",IF(HR_Data[[#This Row],[Age]]&lt;=34,"25-34",IF(HR_Data[[#This Row],[Age]]&lt;=44,"35-44",IF(HR_Data[[#This Row],[Age]]&lt;=54,"45-54","55+"))))</f>
        <v>25-34</v>
      </c>
      <c r="AM212" t="str">
        <f>IF(HR_Data[[#This Row],[MonthlyIncome]]&lt;3000,"Low Salary",IF(HR_Data[[#This Row],[MonthlyIncome]]&lt;=7000,"Medium Salary","High Salary"))</f>
        <v>High Salary</v>
      </c>
      <c r="AN212" t="str">
        <f>IF(HR_Data[[#This Row],[YearsAtCompany]]&lt;2,"0-1 Years",IF(HR_Data[[#This Row],[YearsAtCompany]]&lt;=5,"2-5 Years",IF(HR_Data[[#This Row],[YearsAtCompany]]&lt;=10,"6-10 Years","10+ Years")))</f>
        <v>10+ Years</v>
      </c>
      <c r="AO212" t="str">
        <f>IF(HR_Data[[#This Row],[JobSatisfaction]]=1,"Low",IF(HR_Data[[#This Row],[JobSatisfaction]]=2,"Medium",IF(HR_Data[[#This Row],[JobSatisfaction]]=3,"High","Very High")))</f>
        <v>Very High</v>
      </c>
      <c r="AP212" t="str">
        <f>IF(HR_Data[[#This Row],[WorkLifeBalance]]=1,"Bad",IF(HR_Data[[#This Row],[WorkLifeBalance]]=2,"Good",IF(HR_Data[[#This Row],[WorkLifeBalance]]=3,"Better","Best")))</f>
        <v>Good</v>
      </c>
    </row>
    <row r="213" spans="1:42"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IF(HR_Data[[#This Row],[Attrition]]="Yes",1,0)</f>
        <v>0</v>
      </c>
      <c r="AK213">
        <f>IF(HR_Data[[#This Row],[Attrition]]="No",1,0)</f>
        <v>1</v>
      </c>
      <c r="AL213" t="str">
        <f>IF(HR_Data[[#This Row],[Age]]&lt;25,"Under 25",IF(HR_Data[[#This Row],[Age]]&lt;=34,"25-34",IF(HR_Data[[#This Row],[Age]]&lt;=44,"35-44",IF(HR_Data[[#This Row],[Age]]&lt;=54,"45-54","55+"))))</f>
        <v>25-34</v>
      </c>
      <c r="AM213" t="str">
        <f>IF(HR_Data[[#This Row],[MonthlyIncome]]&lt;3000,"Low Salary",IF(HR_Data[[#This Row],[MonthlyIncome]]&lt;=7000,"Medium Salary","High Salary"))</f>
        <v>High Salary</v>
      </c>
      <c r="AN213" t="str">
        <f>IF(HR_Data[[#This Row],[YearsAtCompany]]&lt;2,"0-1 Years",IF(HR_Data[[#This Row],[YearsAtCompany]]&lt;=5,"2-5 Years",IF(HR_Data[[#This Row],[YearsAtCompany]]&lt;=10,"6-10 Years","10+ Years")))</f>
        <v>10+ Years</v>
      </c>
      <c r="AO213" t="str">
        <f>IF(HR_Data[[#This Row],[JobSatisfaction]]=1,"Low",IF(HR_Data[[#This Row],[JobSatisfaction]]=2,"Medium",IF(HR_Data[[#This Row],[JobSatisfaction]]=3,"High","Very High")))</f>
        <v>High</v>
      </c>
      <c r="AP213" t="str">
        <f>IF(HR_Data[[#This Row],[WorkLifeBalance]]=1,"Bad",IF(HR_Data[[#This Row],[WorkLifeBalance]]=2,"Good",IF(HR_Data[[#This Row],[WorkLifeBalance]]=3,"Better","Best")))</f>
        <v>Better</v>
      </c>
    </row>
    <row r="214" spans="1:42"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IF(HR_Data[[#This Row],[Attrition]]="Yes",1,0)</f>
        <v>0</v>
      </c>
      <c r="AK214">
        <f>IF(HR_Data[[#This Row],[Attrition]]="No",1,0)</f>
        <v>1</v>
      </c>
      <c r="AL214" t="str">
        <f>IF(HR_Data[[#This Row],[Age]]&lt;25,"Under 25",IF(HR_Data[[#This Row],[Age]]&lt;=34,"25-34",IF(HR_Data[[#This Row],[Age]]&lt;=44,"35-44",IF(HR_Data[[#This Row],[Age]]&lt;=54,"45-54","55+"))))</f>
        <v>25-34</v>
      </c>
      <c r="AM214" t="str">
        <f>IF(HR_Data[[#This Row],[MonthlyIncome]]&lt;3000,"Low Salary",IF(HR_Data[[#This Row],[MonthlyIncome]]&lt;=7000,"Medium Salary","High Salary"))</f>
        <v>High Salary</v>
      </c>
      <c r="AN214" t="str">
        <f>IF(HR_Data[[#This Row],[YearsAtCompany]]&lt;2,"0-1 Years",IF(HR_Data[[#This Row],[YearsAtCompany]]&lt;=5,"2-5 Years",IF(HR_Data[[#This Row],[YearsAtCompany]]&lt;=10,"6-10 Years","10+ Years")))</f>
        <v>6-10 Years</v>
      </c>
      <c r="AO214" t="str">
        <f>IF(HR_Data[[#This Row],[JobSatisfaction]]=1,"Low",IF(HR_Data[[#This Row],[JobSatisfaction]]=2,"Medium",IF(HR_Data[[#This Row],[JobSatisfaction]]=3,"High","Very High")))</f>
        <v>High</v>
      </c>
      <c r="AP214" t="str">
        <f>IF(HR_Data[[#This Row],[WorkLifeBalance]]=1,"Bad",IF(HR_Data[[#This Row],[WorkLifeBalance]]=2,"Good",IF(HR_Data[[#This Row],[WorkLifeBalance]]=3,"Better","Best")))</f>
        <v>Better</v>
      </c>
    </row>
    <row r="215" spans="1:42"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IF(HR_Data[[#This Row],[Attrition]]="Yes",1,0)</f>
        <v>0</v>
      </c>
      <c r="AK215">
        <f>IF(HR_Data[[#This Row],[Attrition]]="No",1,0)</f>
        <v>1</v>
      </c>
      <c r="AL215" t="str">
        <f>IF(HR_Data[[#This Row],[Age]]&lt;25,"Under 25",IF(HR_Data[[#This Row],[Age]]&lt;=34,"25-34",IF(HR_Data[[#This Row],[Age]]&lt;=44,"35-44",IF(HR_Data[[#This Row],[Age]]&lt;=54,"45-54","55+"))))</f>
        <v>45-54</v>
      </c>
      <c r="AM215" t="str">
        <f>IF(HR_Data[[#This Row],[MonthlyIncome]]&lt;3000,"Low Salary",IF(HR_Data[[#This Row],[MonthlyIncome]]&lt;=7000,"Medium Salary","High Salary"))</f>
        <v>High Salary</v>
      </c>
      <c r="AN215" t="str">
        <f>IF(HR_Data[[#This Row],[YearsAtCompany]]&lt;2,"0-1 Years",IF(HR_Data[[#This Row],[YearsAtCompany]]&lt;=5,"2-5 Years",IF(HR_Data[[#This Row],[YearsAtCompany]]&lt;=10,"6-10 Years","10+ Years")))</f>
        <v>6-10 Years</v>
      </c>
      <c r="AO215" t="str">
        <f>IF(HR_Data[[#This Row],[JobSatisfaction]]=1,"Low",IF(HR_Data[[#This Row],[JobSatisfaction]]=2,"Medium",IF(HR_Data[[#This Row],[JobSatisfaction]]=3,"High","Very High")))</f>
        <v>Medium</v>
      </c>
      <c r="AP215" t="str">
        <f>IF(HR_Data[[#This Row],[WorkLifeBalance]]=1,"Bad",IF(HR_Data[[#This Row],[WorkLifeBalance]]=2,"Good",IF(HR_Data[[#This Row],[WorkLifeBalance]]=3,"Better","Best")))</f>
        <v>Bad</v>
      </c>
    </row>
    <row r="216" spans="1:42"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IF(HR_Data[[#This Row],[Attrition]]="Yes",1,0)</f>
        <v>1</v>
      </c>
      <c r="AK216">
        <f>IF(HR_Data[[#This Row],[Attrition]]="No",1,0)</f>
        <v>0</v>
      </c>
      <c r="AL216" t="str">
        <f>IF(HR_Data[[#This Row],[Age]]&lt;25,"Under 25",IF(HR_Data[[#This Row],[Age]]&lt;=34,"25-34",IF(HR_Data[[#This Row],[Age]]&lt;=44,"35-44",IF(HR_Data[[#This Row],[Age]]&lt;=54,"45-54","55+"))))</f>
        <v>25-34</v>
      </c>
      <c r="AM216" t="str">
        <f>IF(HR_Data[[#This Row],[MonthlyIncome]]&lt;3000,"Low Salary",IF(HR_Data[[#This Row],[MonthlyIncome]]&lt;=7000,"Medium Salary","High Salary"))</f>
        <v>Low Salary</v>
      </c>
      <c r="AN216" t="str">
        <f>IF(HR_Data[[#This Row],[YearsAtCompany]]&lt;2,"0-1 Years",IF(HR_Data[[#This Row],[YearsAtCompany]]&lt;=5,"2-5 Years",IF(HR_Data[[#This Row],[YearsAtCompany]]&lt;=10,"6-10 Years","10+ Years")))</f>
        <v>2-5 Years</v>
      </c>
      <c r="AO216" t="str">
        <f>IF(HR_Data[[#This Row],[JobSatisfaction]]=1,"Low",IF(HR_Data[[#This Row],[JobSatisfaction]]=2,"Medium",IF(HR_Data[[#This Row],[JobSatisfaction]]=3,"High","Very High")))</f>
        <v>Low</v>
      </c>
      <c r="AP216" t="str">
        <f>IF(HR_Data[[#This Row],[WorkLifeBalance]]=1,"Bad",IF(HR_Data[[#This Row],[WorkLifeBalance]]=2,"Good",IF(HR_Data[[#This Row],[WorkLifeBalance]]=3,"Better","Best")))</f>
        <v>Better</v>
      </c>
    </row>
    <row r="217" spans="1:42"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IF(HR_Data[[#This Row],[Attrition]]="Yes",1,0)</f>
        <v>0</v>
      </c>
      <c r="AK217">
        <f>IF(HR_Data[[#This Row],[Attrition]]="No",1,0)</f>
        <v>1</v>
      </c>
      <c r="AL217" t="str">
        <f>IF(HR_Data[[#This Row],[Age]]&lt;25,"Under 25",IF(HR_Data[[#This Row],[Age]]&lt;=34,"25-34",IF(HR_Data[[#This Row],[Age]]&lt;=44,"35-44",IF(HR_Data[[#This Row],[Age]]&lt;=54,"45-54","55+"))))</f>
        <v>35-44</v>
      </c>
      <c r="AM217" t="str">
        <f>IF(HR_Data[[#This Row],[MonthlyIncome]]&lt;3000,"Low Salary",IF(HR_Data[[#This Row],[MonthlyIncome]]&lt;=7000,"Medium Salary","High Salary"))</f>
        <v>High Salary</v>
      </c>
      <c r="AN217" t="str">
        <f>IF(HR_Data[[#This Row],[YearsAtCompany]]&lt;2,"0-1 Years",IF(HR_Data[[#This Row],[YearsAtCompany]]&lt;=5,"2-5 Years",IF(HR_Data[[#This Row],[YearsAtCompany]]&lt;=10,"6-10 Years","10+ Years")))</f>
        <v>0-1 Years</v>
      </c>
      <c r="AO217" t="str">
        <f>IF(HR_Data[[#This Row],[JobSatisfaction]]=1,"Low",IF(HR_Data[[#This Row],[JobSatisfaction]]=2,"Medium",IF(HR_Data[[#This Row],[JobSatisfaction]]=3,"High","Very High")))</f>
        <v>Very High</v>
      </c>
      <c r="AP217" t="str">
        <f>IF(HR_Data[[#This Row],[WorkLifeBalance]]=1,"Bad",IF(HR_Data[[#This Row],[WorkLifeBalance]]=2,"Good",IF(HR_Data[[#This Row],[WorkLifeBalance]]=3,"Better","Best")))</f>
        <v>Better</v>
      </c>
    </row>
    <row r="218" spans="1:42"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IF(HR_Data[[#This Row],[Attrition]]="Yes",1,0)</f>
        <v>1</v>
      </c>
      <c r="AK218">
        <f>IF(HR_Data[[#This Row],[Attrition]]="No",1,0)</f>
        <v>0</v>
      </c>
      <c r="AL218" t="str">
        <f>IF(HR_Data[[#This Row],[Age]]&lt;25,"Under 25",IF(HR_Data[[#This Row],[Age]]&lt;=34,"25-34",IF(HR_Data[[#This Row],[Age]]&lt;=44,"35-44",IF(HR_Data[[#This Row],[Age]]&lt;=54,"45-54","55+"))))</f>
        <v>25-34</v>
      </c>
      <c r="AM218" t="str">
        <f>IF(HR_Data[[#This Row],[MonthlyIncome]]&lt;3000,"Low Salary",IF(HR_Data[[#This Row],[MonthlyIncome]]&lt;=7000,"Medium Salary","High Salary"))</f>
        <v>Medium Salary</v>
      </c>
      <c r="AN218" t="str">
        <f>IF(HR_Data[[#This Row],[YearsAtCompany]]&lt;2,"0-1 Years",IF(HR_Data[[#This Row],[YearsAtCompany]]&lt;=5,"2-5 Years",IF(HR_Data[[#This Row],[YearsAtCompany]]&lt;=10,"6-10 Years","10+ Years")))</f>
        <v>6-10 Years</v>
      </c>
      <c r="AO218" t="str">
        <f>IF(HR_Data[[#This Row],[JobSatisfaction]]=1,"Low",IF(HR_Data[[#This Row],[JobSatisfaction]]=2,"Medium",IF(HR_Data[[#This Row],[JobSatisfaction]]=3,"High","Very High")))</f>
        <v>Low</v>
      </c>
      <c r="AP218" t="str">
        <f>IF(HR_Data[[#This Row],[WorkLifeBalance]]=1,"Bad",IF(HR_Data[[#This Row],[WorkLifeBalance]]=2,"Good",IF(HR_Data[[#This Row],[WorkLifeBalance]]=3,"Better","Best")))</f>
        <v>Good</v>
      </c>
    </row>
    <row r="219" spans="1:42"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IF(HR_Data[[#This Row],[Attrition]]="Yes",1,0)</f>
        <v>1</v>
      </c>
      <c r="AK219">
        <f>IF(HR_Data[[#This Row],[Attrition]]="No",1,0)</f>
        <v>0</v>
      </c>
      <c r="AL219" t="str">
        <f>IF(HR_Data[[#This Row],[Age]]&lt;25,"Under 25",IF(HR_Data[[#This Row],[Age]]&lt;=34,"25-34",IF(HR_Data[[#This Row],[Age]]&lt;=44,"35-44",IF(HR_Data[[#This Row],[Age]]&lt;=54,"45-54","55+"))))</f>
        <v>25-34</v>
      </c>
      <c r="AM219" t="str">
        <f>IF(HR_Data[[#This Row],[MonthlyIncome]]&lt;3000,"Low Salary",IF(HR_Data[[#This Row],[MonthlyIncome]]&lt;=7000,"Medium Salary","High Salary"))</f>
        <v>Low Salary</v>
      </c>
      <c r="AN219" t="str">
        <f>IF(HR_Data[[#This Row],[YearsAtCompany]]&lt;2,"0-1 Years",IF(HR_Data[[#This Row],[YearsAtCompany]]&lt;=5,"2-5 Years",IF(HR_Data[[#This Row],[YearsAtCompany]]&lt;=10,"6-10 Years","10+ Years")))</f>
        <v>6-10 Years</v>
      </c>
      <c r="AO219" t="str">
        <f>IF(HR_Data[[#This Row],[JobSatisfaction]]=1,"Low",IF(HR_Data[[#This Row],[JobSatisfaction]]=2,"Medium",IF(HR_Data[[#This Row],[JobSatisfaction]]=3,"High","Very High")))</f>
        <v>High</v>
      </c>
      <c r="AP219" t="str">
        <f>IF(HR_Data[[#This Row],[WorkLifeBalance]]=1,"Bad",IF(HR_Data[[#This Row],[WorkLifeBalance]]=2,"Good",IF(HR_Data[[#This Row],[WorkLifeBalance]]=3,"Better","Best")))</f>
        <v>Good</v>
      </c>
    </row>
    <row r="220" spans="1:42"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IF(HR_Data[[#This Row],[Attrition]]="Yes",1,0)</f>
        <v>0</v>
      </c>
      <c r="AK220">
        <f>IF(HR_Data[[#This Row],[Attrition]]="No",1,0)</f>
        <v>1</v>
      </c>
      <c r="AL220" t="str">
        <f>IF(HR_Data[[#This Row],[Age]]&lt;25,"Under 25",IF(HR_Data[[#This Row],[Age]]&lt;=34,"25-34",IF(HR_Data[[#This Row],[Age]]&lt;=44,"35-44",IF(HR_Data[[#This Row],[Age]]&lt;=54,"45-54","55+"))))</f>
        <v>45-54</v>
      </c>
      <c r="AM220" t="str">
        <f>IF(HR_Data[[#This Row],[MonthlyIncome]]&lt;3000,"Low Salary",IF(HR_Data[[#This Row],[MonthlyIncome]]&lt;=7000,"Medium Salary","High Salary"))</f>
        <v>High Salary</v>
      </c>
      <c r="AN220" t="str">
        <f>IF(HR_Data[[#This Row],[YearsAtCompany]]&lt;2,"0-1 Years",IF(HR_Data[[#This Row],[YearsAtCompany]]&lt;=5,"2-5 Years",IF(HR_Data[[#This Row],[YearsAtCompany]]&lt;=10,"6-10 Years","10+ Years")))</f>
        <v>10+ Years</v>
      </c>
      <c r="AO220" t="str">
        <f>IF(HR_Data[[#This Row],[JobSatisfaction]]=1,"Low",IF(HR_Data[[#This Row],[JobSatisfaction]]=2,"Medium",IF(HR_Data[[#This Row],[JobSatisfaction]]=3,"High","Very High")))</f>
        <v>Very High</v>
      </c>
      <c r="AP220" t="str">
        <f>IF(HR_Data[[#This Row],[WorkLifeBalance]]=1,"Bad",IF(HR_Data[[#This Row],[WorkLifeBalance]]=2,"Good",IF(HR_Data[[#This Row],[WorkLifeBalance]]=3,"Better","Best")))</f>
        <v>Better</v>
      </c>
    </row>
    <row r="221" spans="1:42"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IF(HR_Data[[#This Row],[Attrition]]="Yes",1,0)</f>
        <v>0</v>
      </c>
      <c r="AK221">
        <f>IF(HR_Data[[#This Row],[Attrition]]="No",1,0)</f>
        <v>1</v>
      </c>
      <c r="AL221" t="str">
        <f>IF(HR_Data[[#This Row],[Age]]&lt;25,"Under 25",IF(HR_Data[[#This Row],[Age]]&lt;=34,"25-34",IF(HR_Data[[#This Row],[Age]]&lt;=44,"35-44",IF(HR_Data[[#This Row],[Age]]&lt;=54,"45-54","55+"))))</f>
        <v>45-54</v>
      </c>
      <c r="AM221" t="str">
        <f>IF(HR_Data[[#This Row],[MonthlyIncome]]&lt;3000,"Low Salary",IF(HR_Data[[#This Row],[MonthlyIncome]]&lt;=7000,"Medium Salary","High Salary"))</f>
        <v>Medium Salary</v>
      </c>
      <c r="AN221" t="str">
        <f>IF(HR_Data[[#This Row],[YearsAtCompany]]&lt;2,"0-1 Years",IF(HR_Data[[#This Row],[YearsAtCompany]]&lt;=5,"2-5 Years",IF(HR_Data[[#This Row],[YearsAtCompany]]&lt;=10,"6-10 Years","10+ Years")))</f>
        <v>6-10 Years</v>
      </c>
      <c r="AO221" t="str">
        <f>IF(HR_Data[[#This Row],[JobSatisfaction]]=1,"Low",IF(HR_Data[[#This Row],[JobSatisfaction]]=2,"Medium",IF(HR_Data[[#This Row],[JobSatisfaction]]=3,"High","Very High")))</f>
        <v>Low</v>
      </c>
      <c r="AP221" t="str">
        <f>IF(HR_Data[[#This Row],[WorkLifeBalance]]=1,"Bad",IF(HR_Data[[#This Row],[WorkLifeBalance]]=2,"Good",IF(HR_Data[[#This Row],[WorkLifeBalance]]=3,"Better","Best")))</f>
        <v>Better</v>
      </c>
    </row>
    <row r="222" spans="1:42"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IF(HR_Data[[#This Row],[Attrition]]="Yes",1,0)</f>
        <v>0</v>
      </c>
      <c r="AK222">
        <f>IF(HR_Data[[#This Row],[Attrition]]="No",1,0)</f>
        <v>1</v>
      </c>
      <c r="AL222" t="str">
        <f>IF(HR_Data[[#This Row],[Age]]&lt;25,"Under 25",IF(HR_Data[[#This Row],[Age]]&lt;=34,"25-34",IF(HR_Data[[#This Row],[Age]]&lt;=44,"35-44",IF(HR_Data[[#This Row],[Age]]&lt;=54,"45-54","55+"))))</f>
        <v>35-44</v>
      </c>
      <c r="AM222" t="str">
        <f>IF(HR_Data[[#This Row],[MonthlyIncome]]&lt;3000,"Low Salary",IF(HR_Data[[#This Row],[MonthlyIncome]]&lt;=7000,"Medium Salary","High Salary"))</f>
        <v>Medium Salary</v>
      </c>
      <c r="AN222" t="str">
        <f>IF(HR_Data[[#This Row],[YearsAtCompany]]&lt;2,"0-1 Years",IF(HR_Data[[#This Row],[YearsAtCompany]]&lt;=5,"2-5 Years",IF(HR_Data[[#This Row],[YearsAtCompany]]&lt;=10,"6-10 Years","10+ Years")))</f>
        <v>10+ Years</v>
      </c>
      <c r="AO222" t="str">
        <f>IF(HR_Data[[#This Row],[JobSatisfaction]]=1,"Low",IF(HR_Data[[#This Row],[JobSatisfaction]]=2,"Medium",IF(HR_Data[[#This Row],[JobSatisfaction]]=3,"High","Very High")))</f>
        <v>Medium</v>
      </c>
      <c r="AP222" t="str">
        <f>IF(HR_Data[[#This Row],[WorkLifeBalance]]=1,"Bad",IF(HR_Data[[#This Row],[WorkLifeBalance]]=2,"Good",IF(HR_Data[[#This Row],[WorkLifeBalance]]=3,"Better","Best")))</f>
        <v>Best</v>
      </c>
    </row>
    <row r="223" spans="1:42"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IF(HR_Data[[#This Row],[Attrition]]="Yes",1,0)</f>
        <v>0</v>
      </c>
      <c r="AK223">
        <f>IF(HR_Data[[#This Row],[Attrition]]="No",1,0)</f>
        <v>1</v>
      </c>
      <c r="AL223" t="str">
        <f>IF(HR_Data[[#This Row],[Age]]&lt;25,"Under 25",IF(HR_Data[[#This Row],[Age]]&lt;=34,"25-34",IF(HR_Data[[#This Row],[Age]]&lt;=44,"35-44",IF(HR_Data[[#This Row],[Age]]&lt;=54,"45-54","55+"))))</f>
        <v>25-34</v>
      </c>
      <c r="AM223" t="str">
        <f>IF(HR_Data[[#This Row],[MonthlyIncome]]&lt;3000,"Low Salary",IF(HR_Data[[#This Row],[MonthlyIncome]]&lt;=7000,"Medium Salary","High Salary"))</f>
        <v>Low Salary</v>
      </c>
      <c r="AN223" t="str">
        <f>IF(HR_Data[[#This Row],[YearsAtCompany]]&lt;2,"0-1 Years",IF(HR_Data[[#This Row],[YearsAtCompany]]&lt;=5,"2-5 Years",IF(HR_Data[[#This Row],[YearsAtCompany]]&lt;=10,"6-10 Years","10+ Years")))</f>
        <v>2-5 Years</v>
      </c>
      <c r="AO223" t="str">
        <f>IF(HR_Data[[#This Row],[JobSatisfaction]]=1,"Low",IF(HR_Data[[#This Row],[JobSatisfaction]]=2,"Medium",IF(HR_Data[[#This Row],[JobSatisfaction]]=3,"High","Very High")))</f>
        <v>Medium</v>
      </c>
      <c r="AP223" t="str">
        <f>IF(HR_Data[[#This Row],[WorkLifeBalance]]=1,"Bad",IF(HR_Data[[#This Row],[WorkLifeBalance]]=2,"Good",IF(HR_Data[[#This Row],[WorkLifeBalance]]=3,"Better","Best")))</f>
        <v>Better</v>
      </c>
    </row>
    <row r="224" spans="1:42"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IF(HR_Data[[#This Row],[Attrition]]="Yes",1,0)</f>
        <v>0</v>
      </c>
      <c r="AK224">
        <f>IF(HR_Data[[#This Row],[Attrition]]="No",1,0)</f>
        <v>1</v>
      </c>
      <c r="AL224" t="str">
        <f>IF(HR_Data[[#This Row],[Age]]&lt;25,"Under 25",IF(HR_Data[[#This Row],[Age]]&lt;=34,"25-34",IF(HR_Data[[#This Row],[Age]]&lt;=44,"35-44",IF(HR_Data[[#This Row],[Age]]&lt;=54,"45-54","55+"))))</f>
        <v>35-44</v>
      </c>
      <c r="AM224" t="str">
        <f>IF(HR_Data[[#This Row],[MonthlyIncome]]&lt;3000,"Low Salary",IF(HR_Data[[#This Row],[MonthlyIncome]]&lt;=7000,"Medium Salary","High Salary"))</f>
        <v>High Salary</v>
      </c>
      <c r="AN224" t="str">
        <f>IF(HR_Data[[#This Row],[YearsAtCompany]]&lt;2,"0-1 Years",IF(HR_Data[[#This Row],[YearsAtCompany]]&lt;=5,"2-5 Years",IF(HR_Data[[#This Row],[YearsAtCompany]]&lt;=10,"6-10 Years","10+ Years")))</f>
        <v>6-10 Years</v>
      </c>
      <c r="AO224" t="str">
        <f>IF(HR_Data[[#This Row],[JobSatisfaction]]=1,"Low",IF(HR_Data[[#This Row],[JobSatisfaction]]=2,"Medium",IF(HR_Data[[#This Row],[JobSatisfaction]]=3,"High","Very High")))</f>
        <v>Very High</v>
      </c>
      <c r="AP224" t="str">
        <f>IF(HR_Data[[#This Row],[WorkLifeBalance]]=1,"Bad",IF(HR_Data[[#This Row],[WorkLifeBalance]]=2,"Good",IF(HR_Data[[#This Row],[WorkLifeBalance]]=3,"Better","Best")))</f>
        <v>Better</v>
      </c>
    </row>
    <row r="225" spans="1:42"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IF(HR_Data[[#This Row],[Attrition]]="Yes",1,0)</f>
        <v>0</v>
      </c>
      <c r="AK225">
        <f>IF(HR_Data[[#This Row],[Attrition]]="No",1,0)</f>
        <v>1</v>
      </c>
      <c r="AL225" t="str">
        <f>IF(HR_Data[[#This Row],[Age]]&lt;25,"Under 25",IF(HR_Data[[#This Row],[Age]]&lt;=34,"25-34",IF(HR_Data[[#This Row],[Age]]&lt;=44,"35-44",IF(HR_Data[[#This Row],[Age]]&lt;=54,"45-54","55+"))))</f>
        <v>35-44</v>
      </c>
      <c r="AM225" t="str">
        <f>IF(HR_Data[[#This Row],[MonthlyIncome]]&lt;3000,"Low Salary",IF(HR_Data[[#This Row],[MonthlyIncome]]&lt;=7000,"Medium Salary","High Salary"))</f>
        <v>High Salary</v>
      </c>
      <c r="AN225" t="str">
        <f>IF(HR_Data[[#This Row],[YearsAtCompany]]&lt;2,"0-1 Years",IF(HR_Data[[#This Row],[YearsAtCompany]]&lt;=5,"2-5 Years",IF(HR_Data[[#This Row],[YearsAtCompany]]&lt;=10,"6-10 Years","10+ Years")))</f>
        <v>10+ Years</v>
      </c>
      <c r="AO225" t="str">
        <f>IF(HR_Data[[#This Row],[JobSatisfaction]]=1,"Low",IF(HR_Data[[#This Row],[JobSatisfaction]]=2,"Medium",IF(HR_Data[[#This Row],[JobSatisfaction]]=3,"High","Very High")))</f>
        <v>High</v>
      </c>
      <c r="AP225" t="str">
        <f>IF(HR_Data[[#This Row],[WorkLifeBalance]]=1,"Bad",IF(HR_Data[[#This Row],[WorkLifeBalance]]=2,"Good",IF(HR_Data[[#This Row],[WorkLifeBalance]]=3,"Better","Best")))</f>
        <v>Good</v>
      </c>
    </row>
    <row r="226" spans="1:42"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IF(HR_Data[[#This Row],[Attrition]]="Yes",1,0)</f>
        <v>0</v>
      </c>
      <c r="AK226">
        <f>IF(HR_Data[[#This Row],[Attrition]]="No",1,0)</f>
        <v>1</v>
      </c>
      <c r="AL226" t="str">
        <f>IF(HR_Data[[#This Row],[Age]]&lt;25,"Under 25",IF(HR_Data[[#This Row],[Age]]&lt;=34,"25-34",IF(HR_Data[[#This Row],[Age]]&lt;=44,"35-44",IF(HR_Data[[#This Row],[Age]]&lt;=54,"45-54","55+"))))</f>
        <v>25-34</v>
      </c>
      <c r="AM226" t="str">
        <f>IF(HR_Data[[#This Row],[MonthlyIncome]]&lt;3000,"Low Salary",IF(HR_Data[[#This Row],[MonthlyIncome]]&lt;=7000,"Medium Salary","High Salary"))</f>
        <v>Medium Salary</v>
      </c>
      <c r="AN226" t="str">
        <f>IF(HR_Data[[#This Row],[YearsAtCompany]]&lt;2,"0-1 Years",IF(HR_Data[[#This Row],[YearsAtCompany]]&lt;=5,"2-5 Years",IF(HR_Data[[#This Row],[YearsAtCompany]]&lt;=10,"6-10 Years","10+ Years")))</f>
        <v>2-5 Years</v>
      </c>
      <c r="AO226" t="str">
        <f>IF(HR_Data[[#This Row],[JobSatisfaction]]=1,"Low",IF(HR_Data[[#This Row],[JobSatisfaction]]=2,"Medium",IF(HR_Data[[#This Row],[JobSatisfaction]]=3,"High","Very High")))</f>
        <v>High</v>
      </c>
      <c r="AP226" t="str">
        <f>IF(HR_Data[[#This Row],[WorkLifeBalance]]=1,"Bad",IF(HR_Data[[#This Row],[WorkLifeBalance]]=2,"Good",IF(HR_Data[[#This Row],[WorkLifeBalance]]=3,"Better","Best")))</f>
        <v>Better</v>
      </c>
    </row>
    <row r="227" spans="1:42"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IF(HR_Data[[#This Row],[Attrition]]="Yes",1,0)</f>
        <v>0</v>
      </c>
      <c r="AK227">
        <f>IF(HR_Data[[#This Row],[Attrition]]="No",1,0)</f>
        <v>1</v>
      </c>
      <c r="AL227" t="str">
        <f>IF(HR_Data[[#This Row],[Age]]&lt;25,"Under 25",IF(HR_Data[[#This Row],[Age]]&lt;=34,"25-34",IF(HR_Data[[#This Row],[Age]]&lt;=44,"35-44",IF(HR_Data[[#This Row],[Age]]&lt;=54,"45-54","55+"))))</f>
        <v>55+</v>
      </c>
      <c r="AM227" t="str">
        <f>IF(HR_Data[[#This Row],[MonthlyIncome]]&lt;3000,"Low Salary",IF(HR_Data[[#This Row],[MonthlyIncome]]&lt;=7000,"Medium Salary","High Salary"))</f>
        <v>Low Salary</v>
      </c>
      <c r="AN227" t="str">
        <f>IF(HR_Data[[#This Row],[YearsAtCompany]]&lt;2,"0-1 Years",IF(HR_Data[[#This Row],[YearsAtCompany]]&lt;=5,"2-5 Years",IF(HR_Data[[#This Row],[YearsAtCompany]]&lt;=10,"6-10 Years","10+ Years")))</f>
        <v>0-1 Years</v>
      </c>
      <c r="AO227" t="str">
        <f>IF(HR_Data[[#This Row],[JobSatisfaction]]=1,"Low",IF(HR_Data[[#This Row],[JobSatisfaction]]=2,"Medium",IF(HR_Data[[#This Row],[JobSatisfaction]]=3,"High","Very High")))</f>
        <v>Very High</v>
      </c>
      <c r="AP227" t="str">
        <f>IF(HR_Data[[#This Row],[WorkLifeBalance]]=1,"Bad",IF(HR_Data[[#This Row],[WorkLifeBalance]]=2,"Good",IF(HR_Data[[#This Row],[WorkLifeBalance]]=3,"Better","Best")))</f>
        <v>Better</v>
      </c>
    </row>
    <row r="228" spans="1:42"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IF(HR_Data[[#This Row],[Attrition]]="Yes",1,0)</f>
        <v>0</v>
      </c>
      <c r="AK228">
        <f>IF(HR_Data[[#This Row],[Attrition]]="No",1,0)</f>
        <v>1</v>
      </c>
      <c r="AL228" t="str">
        <f>IF(HR_Data[[#This Row],[Age]]&lt;25,"Under 25",IF(HR_Data[[#This Row],[Age]]&lt;=34,"25-34",IF(HR_Data[[#This Row],[Age]]&lt;=44,"35-44",IF(HR_Data[[#This Row],[Age]]&lt;=54,"45-54","55+"))))</f>
        <v>35-44</v>
      </c>
      <c r="AM228" t="str">
        <f>IF(HR_Data[[#This Row],[MonthlyIncome]]&lt;3000,"Low Salary",IF(HR_Data[[#This Row],[MonthlyIncome]]&lt;=7000,"Medium Salary","High Salary"))</f>
        <v>Low Salary</v>
      </c>
      <c r="AN228" t="str">
        <f>IF(HR_Data[[#This Row],[YearsAtCompany]]&lt;2,"0-1 Years",IF(HR_Data[[#This Row],[YearsAtCompany]]&lt;=5,"2-5 Years",IF(HR_Data[[#This Row],[YearsAtCompany]]&lt;=10,"6-10 Years","10+ Years")))</f>
        <v>6-10 Years</v>
      </c>
      <c r="AO228" t="str">
        <f>IF(HR_Data[[#This Row],[JobSatisfaction]]=1,"Low",IF(HR_Data[[#This Row],[JobSatisfaction]]=2,"Medium",IF(HR_Data[[#This Row],[JobSatisfaction]]=3,"High","Very High")))</f>
        <v>Very High</v>
      </c>
      <c r="AP228" t="str">
        <f>IF(HR_Data[[#This Row],[WorkLifeBalance]]=1,"Bad",IF(HR_Data[[#This Row],[WorkLifeBalance]]=2,"Good",IF(HR_Data[[#This Row],[WorkLifeBalance]]=3,"Better","Best")))</f>
        <v>Better</v>
      </c>
    </row>
    <row r="229" spans="1:42"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IF(HR_Data[[#This Row],[Attrition]]="Yes",1,0)</f>
        <v>0</v>
      </c>
      <c r="AK229">
        <f>IF(HR_Data[[#This Row],[Attrition]]="No",1,0)</f>
        <v>1</v>
      </c>
      <c r="AL229" t="str">
        <f>IF(HR_Data[[#This Row],[Age]]&lt;25,"Under 25",IF(HR_Data[[#This Row],[Age]]&lt;=34,"25-34",IF(HR_Data[[#This Row],[Age]]&lt;=44,"35-44",IF(HR_Data[[#This Row],[Age]]&lt;=54,"45-54","55+"))))</f>
        <v>25-34</v>
      </c>
      <c r="AM229" t="str">
        <f>IF(HR_Data[[#This Row],[MonthlyIncome]]&lt;3000,"Low Salary",IF(HR_Data[[#This Row],[MonthlyIncome]]&lt;=7000,"Medium Salary","High Salary"))</f>
        <v>High Salary</v>
      </c>
      <c r="AN229" t="str">
        <f>IF(HR_Data[[#This Row],[YearsAtCompany]]&lt;2,"0-1 Years",IF(HR_Data[[#This Row],[YearsAtCompany]]&lt;=5,"2-5 Years",IF(HR_Data[[#This Row],[YearsAtCompany]]&lt;=10,"6-10 Years","10+ Years")))</f>
        <v>10+ Years</v>
      </c>
      <c r="AO229" t="str">
        <f>IF(HR_Data[[#This Row],[JobSatisfaction]]=1,"Low",IF(HR_Data[[#This Row],[JobSatisfaction]]=2,"Medium",IF(HR_Data[[#This Row],[JobSatisfaction]]=3,"High","Very High")))</f>
        <v>Very High</v>
      </c>
      <c r="AP229" t="str">
        <f>IF(HR_Data[[#This Row],[WorkLifeBalance]]=1,"Bad",IF(HR_Data[[#This Row],[WorkLifeBalance]]=2,"Good",IF(HR_Data[[#This Row],[WorkLifeBalance]]=3,"Better","Best")))</f>
        <v>Better</v>
      </c>
    </row>
    <row r="230" spans="1:42"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IF(HR_Data[[#This Row],[Attrition]]="Yes",1,0)</f>
        <v>0</v>
      </c>
      <c r="AK230">
        <f>IF(HR_Data[[#This Row],[Attrition]]="No",1,0)</f>
        <v>1</v>
      </c>
      <c r="AL230" t="str">
        <f>IF(HR_Data[[#This Row],[Age]]&lt;25,"Under 25",IF(HR_Data[[#This Row],[Age]]&lt;=34,"25-34",IF(HR_Data[[#This Row],[Age]]&lt;=44,"35-44",IF(HR_Data[[#This Row],[Age]]&lt;=54,"45-54","55+"))))</f>
        <v>35-44</v>
      </c>
      <c r="AM230" t="str">
        <f>IF(HR_Data[[#This Row],[MonthlyIncome]]&lt;3000,"Low Salary",IF(HR_Data[[#This Row],[MonthlyIncome]]&lt;=7000,"Medium Salary","High Salary"))</f>
        <v>High Salary</v>
      </c>
      <c r="AN230" t="str">
        <f>IF(HR_Data[[#This Row],[YearsAtCompany]]&lt;2,"0-1 Years",IF(HR_Data[[#This Row],[YearsAtCompany]]&lt;=5,"2-5 Years",IF(HR_Data[[#This Row],[YearsAtCompany]]&lt;=10,"6-10 Years","10+ Years")))</f>
        <v>6-10 Years</v>
      </c>
      <c r="AO230" t="str">
        <f>IF(HR_Data[[#This Row],[JobSatisfaction]]=1,"Low",IF(HR_Data[[#This Row],[JobSatisfaction]]=2,"Medium",IF(HR_Data[[#This Row],[JobSatisfaction]]=3,"High","Very High")))</f>
        <v>High</v>
      </c>
      <c r="AP230" t="str">
        <f>IF(HR_Data[[#This Row],[WorkLifeBalance]]=1,"Bad",IF(HR_Data[[#This Row],[WorkLifeBalance]]=2,"Good",IF(HR_Data[[#This Row],[WorkLifeBalance]]=3,"Better","Best")))</f>
        <v>Best</v>
      </c>
    </row>
    <row r="231" spans="1:42"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IF(HR_Data[[#This Row],[Attrition]]="Yes",1,0)</f>
        <v>1</v>
      </c>
      <c r="AK231">
        <f>IF(HR_Data[[#This Row],[Attrition]]="No",1,0)</f>
        <v>0</v>
      </c>
      <c r="AL231" t="str">
        <f>IF(HR_Data[[#This Row],[Age]]&lt;25,"Under 25",IF(HR_Data[[#This Row],[Age]]&lt;=34,"25-34",IF(HR_Data[[#This Row],[Age]]&lt;=44,"35-44",IF(HR_Data[[#This Row],[Age]]&lt;=54,"45-54","55+"))))</f>
        <v>25-34</v>
      </c>
      <c r="AM231" t="str">
        <f>IF(HR_Data[[#This Row],[MonthlyIncome]]&lt;3000,"Low Salary",IF(HR_Data[[#This Row],[MonthlyIncome]]&lt;=7000,"Medium Salary","High Salary"))</f>
        <v>Low Salary</v>
      </c>
      <c r="AN231" t="str">
        <f>IF(HR_Data[[#This Row],[YearsAtCompany]]&lt;2,"0-1 Years",IF(HR_Data[[#This Row],[YearsAtCompany]]&lt;=5,"2-5 Years",IF(HR_Data[[#This Row],[YearsAtCompany]]&lt;=10,"6-10 Years","10+ Years")))</f>
        <v>2-5 Years</v>
      </c>
      <c r="AO231" t="str">
        <f>IF(HR_Data[[#This Row],[JobSatisfaction]]=1,"Low",IF(HR_Data[[#This Row],[JobSatisfaction]]=2,"Medium",IF(HR_Data[[#This Row],[JobSatisfaction]]=3,"High","Very High")))</f>
        <v>Very High</v>
      </c>
      <c r="AP231" t="str">
        <f>IF(HR_Data[[#This Row],[WorkLifeBalance]]=1,"Bad",IF(HR_Data[[#This Row],[WorkLifeBalance]]=2,"Good",IF(HR_Data[[#This Row],[WorkLifeBalance]]=3,"Better","Best")))</f>
        <v>Good</v>
      </c>
    </row>
    <row r="232" spans="1:42"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IF(HR_Data[[#This Row],[Attrition]]="Yes",1,0)</f>
        <v>0</v>
      </c>
      <c r="AK232">
        <f>IF(HR_Data[[#This Row],[Attrition]]="No",1,0)</f>
        <v>1</v>
      </c>
      <c r="AL232" t="str">
        <f>IF(HR_Data[[#This Row],[Age]]&lt;25,"Under 25",IF(HR_Data[[#This Row],[Age]]&lt;=34,"25-34",IF(HR_Data[[#This Row],[Age]]&lt;=44,"35-44",IF(HR_Data[[#This Row],[Age]]&lt;=54,"45-54","55+"))))</f>
        <v>45-54</v>
      </c>
      <c r="AM232" t="str">
        <f>IF(HR_Data[[#This Row],[MonthlyIncome]]&lt;3000,"Low Salary",IF(HR_Data[[#This Row],[MonthlyIncome]]&lt;=7000,"Medium Salary","High Salary"))</f>
        <v>Medium Salary</v>
      </c>
      <c r="AN232" t="str">
        <f>IF(HR_Data[[#This Row],[YearsAtCompany]]&lt;2,"0-1 Years",IF(HR_Data[[#This Row],[YearsAtCompany]]&lt;=5,"2-5 Years",IF(HR_Data[[#This Row],[YearsAtCompany]]&lt;=10,"6-10 Years","10+ Years")))</f>
        <v>2-5 Years</v>
      </c>
      <c r="AO232" t="str">
        <f>IF(HR_Data[[#This Row],[JobSatisfaction]]=1,"Low",IF(HR_Data[[#This Row],[JobSatisfaction]]=2,"Medium",IF(HR_Data[[#This Row],[JobSatisfaction]]=3,"High","Very High")))</f>
        <v>Very High</v>
      </c>
      <c r="AP232" t="str">
        <f>IF(HR_Data[[#This Row],[WorkLifeBalance]]=1,"Bad",IF(HR_Data[[#This Row],[WorkLifeBalance]]=2,"Good",IF(HR_Data[[#This Row],[WorkLifeBalance]]=3,"Better","Best")))</f>
        <v>Good</v>
      </c>
    </row>
    <row r="233" spans="1:42"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IF(HR_Data[[#This Row],[Attrition]]="Yes",1,0)</f>
        <v>0</v>
      </c>
      <c r="AK233">
        <f>IF(HR_Data[[#This Row],[Attrition]]="No",1,0)</f>
        <v>1</v>
      </c>
      <c r="AL233" t="str">
        <f>IF(HR_Data[[#This Row],[Age]]&lt;25,"Under 25",IF(HR_Data[[#This Row],[Age]]&lt;=34,"25-34",IF(HR_Data[[#This Row],[Age]]&lt;=44,"35-44",IF(HR_Data[[#This Row],[Age]]&lt;=54,"45-54","55+"))))</f>
        <v>35-44</v>
      </c>
      <c r="AM233" t="str">
        <f>IF(HR_Data[[#This Row],[MonthlyIncome]]&lt;3000,"Low Salary",IF(HR_Data[[#This Row],[MonthlyIncome]]&lt;=7000,"Medium Salary","High Salary"))</f>
        <v>High Salary</v>
      </c>
      <c r="AN233" t="str">
        <f>IF(HR_Data[[#This Row],[YearsAtCompany]]&lt;2,"0-1 Years",IF(HR_Data[[#This Row],[YearsAtCompany]]&lt;=5,"2-5 Years",IF(HR_Data[[#This Row],[YearsAtCompany]]&lt;=10,"6-10 Years","10+ Years")))</f>
        <v>10+ Years</v>
      </c>
      <c r="AO233" t="str">
        <f>IF(HR_Data[[#This Row],[JobSatisfaction]]=1,"Low",IF(HR_Data[[#This Row],[JobSatisfaction]]=2,"Medium",IF(HR_Data[[#This Row],[JobSatisfaction]]=3,"High","Very High")))</f>
        <v>Very High</v>
      </c>
      <c r="AP233" t="str">
        <f>IF(HR_Data[[#This Row],[WorkLifeBalance]]=1,"Bad",IF(HR_Data[[#This Row],[WorkLifeBalance]]=2,"Good",IF(HR_Data[[#This Row],[WorkLifeBalance]]=3,"Better","Best")))</f>
        <v>Better</v>
      </c>
    </row>
    <row r="234" spans="1:42"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IF(HR_Data[[#This Row],[Attrition]]="Yes",1,0)</f>
        <v>0</v>
      </c>
      <c r="AK234">
        <f>IF(HR_Data[[#This Row],[Attrition]]="No",1,0)</f>
        <v>1</v>
      </c>
      <c r="AL234" t="str">
        <f>IF(HR_Data[[#This Row],[Age]]&lt;25,"Under 25",IF(HR_Data[[#This Row],[Age]]&lt;=34,"25-34",IF(HR_Data[[#This Row],[Age]]&lt;=44,"35-44",IF(HR_Data[[#This Row],[Age]]&lt;=54,"45-54","55+"))))</f>
        <v>55+</v>
      </c>
      <c r="AM234" t="str">
        <f>IF(HR_Data[[#This Row],[MonthlyIncome]]&lt;3000,"Low Salary",IF(HR_Data[[#This Row],[MonthlyIncome]]&lt;=7000,"Medium Salary","High Salary"))</f>
        <v>Low Salary</v>
      </c>
      <c r="AN234" t="str">
        <f>IF(HR_Data[[#This Row],[YearsAtCompany]]&lt;2,"0-1 Years",IF(HR_Data[[#This Row],[YearsAtCompany]]&lt;=5,"2-5 Years",IF(HR_Data[[#This Row],[YearsAtCompany]]&lt;=10,"6-10 Years","10+ Years")))</f>
        <v>2-5 Years</v>
      </c>
      <c r="AO234" t="str">
        <f>IF(HR_Data[[#This Row],[JobSatisfaction]]=1,"Low",IF(HR_Data[[#This Row],[JobSatisfaction]]=2,"Medium",IF(HR_Data[[#This Row],[JobSatisfaction]]=3,"High","Very High")))</f>
        <v>High</v>
      </c>
      <c r="AP234" t="str">
        <f>IF(HR_Data[[#This Row],[WorkLifeBalance]]=1,"Bad",IF(HR_Data[[#This Row],[WorkLifeBalance]]=2,"Good",IF(HR_Data[[#This Row],[WorkLifeBalance]]=3,"Better","Best")))</f>
        <v>Good</v>
      </c>
    </row>
    <row r="235" spans="1:42"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IF(HR_Data[[#This Row],[Attrition]]="Yes",1,0)</f>
        <v>0</v>
      </c>
      <c r="AK235">
        <f>IF(HR_Data[[#This Row],[Attrition]]="No",1,0)</f>
        <v>1</v>
      </c>
      <c r="AL235" t="str">
        <f>IF(HR_Data[[#This Row],[Age]]&lt;25,"Under 25",IF(HR_Data[[#This Row],[Age]]&lt;=34,"25-34",IF(HR_Data[[#This Row],[Age]]&lt;=44,"35-44",IF(HR_Data[[#This Row],[Age]]&lt;=54,"45-54","55+"))))</f>
        <v>45-54</v>
      </c>
      <c r="AM235" t="str">
        <f>IF(HR_Data[[#This Row],[MonthlyIncome]]&lt;3000,"Low Salary",IF(HR_Data[[#This Row],[MonthlyIncome]]&lt;=7000,"Medium Salary","High Salary"))</f>
        <v>High Salary</v>
      </c>
      <c r="AN235" t="str">
        <f>IF(HR_Data[[#This Row],[YearsAtCompany]]&lt;2,"0-1 Years",IF(HR_Data[[#This Row],[YearsAtCompany]]&lt;=5,"2-5 Years",IF(HR_Data[[#This Row],[YearsAtCompany]]&lt;=10,"6-10 Years","10+ Years")))</f>
        <v>6-10 Years</v>
      </c>
      <c r="AO235" t="str">
        <f>IF(HR_Data[[#This Row],[JobSatisfaction]]=1,"Low",IF(HR_Data[[#This Row],[JobSatisfaction]]=2,"Medium",IF(HR_Data[[#This Row],[JobSatisfaction]]=3,"High","Very High")))</f>
        <v>Very High</v>
      </c>
      <c r="AP235" t="str">
        <f>IF(HR_Data[[#This Row],[WorkLifeBalance]]=1,"Bad",IF(HR_Data[[#This Row],[WorkLifeBalance]]=2,"Good",IF(HR_Data[[#This Row],[WorkLifeBalance]]=3,"Better","Best")))</f>
        <v>Good</v>
      </c>
    </row>
    <row r="236" spans="1:42"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IF(HR_Data[[#This Row],[Attrition]]="Yes",1,0)</f>
        <v>1</v>
      </c>
      <c r="AK236">
        <f>IF(HR_Data[[#This Row],[Attrition]]="No",1,0)</f>
        <v>0</v>
      </c>
      <c r="AL236" t="str">
        <f>IF(HR_Data[[#This Row],[Age]]&lt;25,"Under 25",IF(HR_Data[[#This Row],[Age]]&lt;=34,"25-34",IF(HR_Data[[#This Row],[Age]]&lt;=44,"35-44",IF(HR_Data[[#This Row],[Age]]&lt;=54,"45-54","55+"))))</f>
        <v>25-34</v>
      </c>
      <c r="AM236" t="str">
        <f>IF(HR_Data[[#This Row],[MonthlyIncome]]&lt;3000,"Low Salary",IF(HR_Data[[#This Row],[MonthlyIncome]]&lt;=7000,"Medium Salary","High Salary"))</f>
        <v>Low Salary</v>
      </c>
      <c r="AN236" t="str">
        <f>IF(HR_Data[[#This Row],[YearsAtCompany]]&lt;2,"0-1 Years",IF(HR_Data[[#This Row],[YearsAtCompany]]&lt;=5,"2-5 Years",IF(HR_Data[[#This Row],[YearsAtCompany]]&lt;=10,"6-10 Years","10+ Years")))</f>
        <v>2-5 Years</v>
      </c>
      <c r="AO236" t="str">
        <f>IF(HR_Data[[#This Row],[JobSatisfaction]]=1,"Low",IF(HR_Data[[#This Row],[JobSatisfaction]]=2,"Medium",IF(HR_Data[[#This Row],[JobSatisfaction]]=3,"High","Very High")))</f>
        <v>Very High</v>
      </c>
      <c r="AP236" t="str">
        <f>IF(HR_Data[[#This Row],[WorkLifeBalance]]=1,"Bad",IF(HR_Data[[#This Row],[WorkLifeBalance]]=2,"Good",IF(HR_Data[[#This Row],[WorkLifeBalance]]=3,"Better","Best")))</f>
        <v>Bad</v>
      </c>
    </row>
    <row r="237" spans="1:42"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IF(HR_Data[[#This Row],[Attrition]]="Yes",1,0)</f>
        <v>0</v>
      </c>
      <c r="AK237">
        <f>IF(HR_Data[[#This Row],[Attrition]]="No",1,0)</f>
        <v>1</v>
      </c>
      <c r="AL237" t="str">
        <f>IF(HR_Data[[#This Row],[Age]]&lt;25,"Under 25",IF(HR_Data[[#This Row],[Age]]&lt;=34,"25-34",IF(HR_Data[[#This Row],[Age]]&lt;=44,"35-44",IF(HR_Data[[#This Row],[Age]]&lt;=54,"45-54","55+"))))</f>
        <v>35-44</v>
      </c>
      <c r="AM237" t="str">
        <f>IF(HR_Data[[#This Row],[MonthlyIncome]]&lt;3000,"Low Salary",IF(HR_Data[[#This Row],[MonthlyIncome]]&lt;=7000,"Medium Salary","High Salary"))</f>
        <v>High Salary</v>
      </c>
      <c r="AN237" t="str">
        <f>IF(HR_Data[[#This Row],[YearsAtCompany]]&lt;2,"0-1 Years",IF(HR_Data[[#This Row],[YearsAtCompany]]&lt;=5,"2-5 Years",IF(HR_Data[[#This Row],[YearsAtCompany]]&lt;=10,"6-10 Years","10+ Years")))</f>
        <v>10+ Years</v>
      </c>
      <c r="AO237" t="str">
        <f>IF(HR_Data[[#This Row],[JobSatisfaction]]=1,"Low",IF(HR_Data[[#This Row],[JobSatisfaction]]=2,"Medium",IF(HR_Data[[#This Row],[JobSatisfaction]]=3,"High","Very High")))</f>
        <v>Very High</v>
      </c>
      <c r="AP237" t="str">
        <f>IF(HR_Data[[#This Row],[WorkLifeBalance]]=1,"Bad",IF(HR_Data[[#This Row],[WorkLifeBalance]]=2,"Good",IF(HR_Data[[#This Row],[WorkLifeBalance]]=3,"Better","Best")))</f>
        <v>Better</v>
      </c>
    </row>
    <row r="238" spans="1:42"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IF(HR_Data[[#This Row],[Attrition]]="Yes",1,0)</f>
        <v>1</v>
      </c>
      <c r="AK238">
        <f>IF(HR_Data[[#This Row],[Attrition]]="No",1,0)</f>
        <v>0</v>
      </c>
      <c r="AL238" t="str">
        <f>IF(HR_Data[[#This Row],[Age]]&lt;25,"Under 25",IF(HR_Data[[#This Row],[Age]]&lt;=34,"25-34",IF(HR_Data[[#This Row],[Age]]&lt;=44,"35-44",IF(HR_Data[[#This Row],[Age]]&lt;=54,"45-54","55+"))))</f>
        <v>25-34</v>
      </c>
      <c r="AM238" t="str">
        <f>IF(HR_Data[[#This Row],[MonthlyIncome]]&lt;3000,"Low Salary",IF(HR_Data[[#This Row],[MonthlyIncome]]&lt;=7000,"Medium Salary","High Salary"))</f>
        <v>Low Salary</v>
      </c>
      <c r="AN238" t="str">
        <f>IF(HR_Data[[#This Row],[YearsAtCompany]]&lt;2,"0-1 Years",IF(HR_Data[[#This Row],[YearsAtCompany]]&lt;=5,"2-5 Years",IF(HR_Data[[#This Row],[YearsAtCompany]]&lt;=10,"6-10 Years","10+ Years")))</f>
        <v>6-10 Years</v>
      </c>
      <c r="AO238" t="str">
        <f>IF(HR_Data[[#This Row],[JobSatisfaction]]=1,"Low",IF(HR_Data[[#This Row],[JobSatisfaction]]=2,"Medium",IF(HR_Data[[#This Row],[JobSatisfaction]]=3,"High","Very High")))</f>
        <v>Low</v>
      </c>
      <c r="AP238" t="str">
        <f>IF(HR_Data[[#This Row],[WorkLifeBalance]]=1,"Bad",IF(HR_Data[[#This Row],[WorkLifeBalance]]=2,"Good",IF(HR_Data[[#This Row],[WorkLifeBalance]]=3,"Better","Best")))</f>
        <v>Best</v>
      </c>
    </row>
    <row r="239" spans="1:42"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IF(HR_Data[[#This Row],[Attrition]]="Yes",1,0)</f>
        <v>0</v>
      </c>
      <c r="AK239">
        <f>IF(HR_Data[[#This Row],[Attrition]]="No",1,0)</f>
        <v>1</v>
      </c>
      <c r="AL239" t="str">
        <f>IF(HR_Data[[#This Row],[Age]]&lt;25,"Under 25",IF(HR_Data[[#This Row],[Age]]&lt;=34,"25-34",IF(HR_Data[[#This Row],[Age]]&lt;=44,"35-44",IF(HR_Data[[#This Row],[Age]]&lt;=54,"45-54","55+"))))</f>
        <v>45-54</v>
      </c>
      <c r="AM239" t="str">
        <f>IF(HR_Data[[#This Row],[MonthlyIncome]]&lt;3000,"Low Salary",IF(HR_Data[[#This Row],[MonthlyIncome]]&lt;=7000,"Medium Salary","High Salary"))</f>
        <v>High Salary</v>
      </c>
      <c r="AN239" t="str">
        <f>IF(HR_Data[[#This Row],[YearsAtCompany]]&lt;2,"0-1 Years",IF(HR_Data[[#This Row],[YearsAtCompany]]&lt;=5,"2-5 Years",IF(HR_Data[[#This Row],[YearsAtCompany]]&lt;=10,"6-10 Years","10+ Years")))</f>
        <v>10+ Years</v>
      </c>
      <c r="AO239" t="str">
        <f>IF(HR_Data[[#This Row],[JobSatisfaction]]=1,"Low",IF(HR_Data[[#This Row],[JobSatisfaction]]=2,"Medium",IF(HR_Data[[#This Row],[JobSatisfaction]]=3,"High","Very High")))</f>
        <v>High</v>
      </c>
      <c r="AP239" t="str">
        <f>IF(HR_Data[[#This Row],[WorkLifeBalance]]=1,"Bad",IF(HR_Data[[#This Row],[WorkLifeBalance]]=2,"Good",IF(HR_Data[[#This Row],[WorkLifeBalance]]=3,"Better","Best")))</f>
        <v>Best</v>
      </c>
    </row>
    <row r="240" spans="1:42"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IF(HR_Data[[#This Row],[Attrition]]="Yes",1,0)</f>
        <v>0</v>
      </c>
      <c r="AK240">
        <f>IF(HR_Data[[#This Row],[Attrition]]="No",1,0)</f>
        <v>1</v>
      </c>
      <c r="AL240" t="str">
        <f>IF(HR_Data[[#This Row],[Age]]&lt;25,"Under 25",IF(HR_Data[[#This Row],[Age]]&lt;=34,"25-34",IF(HR_Data[[#This Row],[Age]]&lt;=44,"35-44",IF(HR_Data[[#This Row],[Age]]&lt;=54,"45-54","55+"))))</f>
        <v>25-34</v>
      </c>
      <c r="AM240" t="str">
        <f>IF(HR_Data[[#This Row],[MonthlyIncome]]&lt;3000,"Low Salary",IF(HR_Data[[#This Row],[MonthlyIncome]]&lt;=7000,"Medium Salary","High Salary"))</f>
        <v>Medium Salary</v>
      </c>
      <c r="AN240" t="str">
        <f>IF(HR_Data[[#This Row],[YearsAtCompany]]&lt;2,"0-1 Years",IF(HR_Data[[#This Row],[YearsAtCompany]]&lt;=5,"2-5 Years",IF(HR_Data[[#This Row],[YearsAtCompany]]&lt;=10,"6-10 Years","10+ Years")))</f>
        <v>2-5 Years</v>
      </c>
      <c r="AO240" t="str">
        <f>IF(HR_Data[[#This Row],[JobSatisfaction]]=1,"Low",IF(HR_Data[[#This Row],[JobSatisfaction]]=2,"Medium",IF(HR_Data[[#This Row],[JobSatisfaction]]=3,"High","Very High")))</f>
        <v>Medium</v>
      </c>
      <c r="AP240" t="str">
        <f>IF(HR_Data[[#This Row],[WorkLifeBalance]]=1,"Bad",IF(HR_Data[[#This Row],[WorkLifeBalance]]=2,"Good",IF(HR_Data[[#This Row],[WorkLifeBalance]]=3,"Better","Best")))</f>
        <v>Better</v>
      </c>
    </row>
    <row r="241" spans="1:42"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IF(HR_Data[[#This Row],[Attrition]]="Yes",1,0)</f>
        <v>1</v>
      </c>
      <c r="AK241">
        <f>IF(HR_Data[[#This Row],[Attrition]]="No",1,0)</f>
        <v>0</v>
      </c>
      <c r="AL241" t="str">
        <f>IF(HR_Data[[#This Row],[Age]]&lt;25,"Under 25",IF(HR_Data[[#This Row],[Age]]&lt;=34,"25-34",IF(HR_Data[[#This Row],[Age]]&lt;=44,"35-44",IF(HR_Data[[#This Row],[Age]]&lt;=54,"45-54","55+"))))</f>
        <v>25-34</v>
      </c>
      <c r="AM241" t="str">
        <f>IF(HR_Data[[#This Row],[MonthlyIncome]]&lt;3000,"Low Salary",IF(HR_Data[[#This Row],[MonthlyIncome]]&lt;=7000,"Medium Salary","High Salary"))</f>
        <v>Medium Salary</v>
      </c>
      <c r="AN241" t="str">
        <f>IF(HR_Data[[#This Row],[YearsAtCompany]]&lt;2,"0-1 Years",IF(HR_Data[[#This Row],[YearsAtCompany]]&lt;=5,"2-5 Years",IF(HR_Data[[#This Row],[YearsAtCompany]]&lt;=10,"6-10 Years","10+ Years")))</f>
        <v>2-5 Years</v>
      </c>
      <c r="AO241" t="str">
        <f>IF(HR_Data[[#This Row],[JobSatisfaction]]=1,"Low",IF(HR_Data[[#This Row],[JobSatisfaction]]=2,"Medium",IF(HR_Data[[#This Row],[JobSatisfaction]]=3,"High","Very High")))</f>
        <v>High</v>
      </c>
      <c r="AP241" t="str">
        <f>IF(HR_Data[[#This Row],[WorkLifeBalance]]=1,"Bad",IF(HR_Data[[#This Row],[WorkLifeBalance]]=2,"Good",IF(HR_Data[[#This Row],[WorkLifeBalance]]=3,"Better","Best")))</f>
        <v>Bad</v>
      </c>
    </row>
    <row r="242" spans="1:42"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IF(HR_Data[[#This Row],[Attrition]]="Yes",1,0)</f>
        <v>0</v>
      </c>
      <c r="AK242">
        <f>IF(HR_Data[[#This Row],[Attrition]]="No",1,0)</f>
        <v>1</v>
      </c>
      <c r="AL242" t="str">
        <f>IF(HR_Data[[#This Row],[Age]]&lt;25,"Under 25",IF(HR_Data[[#This Row],[Age]]&lt;=34,"25-34",IF(HR_Data[[#This Row],[Age]]&lt;=44,"35-44",IF(HR_Data[[#This Row],[Age]]&lt;=54,"45-54","55+"))))</f>
        <v>35-44</v>
      </c>
      <c r="AM242" t="str">
        <f>IF(HR_Data[[#This Row],[MonthlyIncome]]&lt;3000,"Low Salary",IF(HR_Data[[#This Row],[MonthlyIncome]]&lt;=7000,"Medium Salary","High Salary"))</f>
        <v>Low Salary</v>
      </c>
      <c r="AN242" t="str">
        <f>IF(HR_Data[[#This Row],[YearsAtCompany]]&lt;2,"0-1 Years",IF(HR_Data[[#This Row],[YearsAtCompany]]&lt;=5,"2-5 Years",IF(HR_Data[[#This Row],[YearsAtCompany]]&lt;=10,"6-10 Years","10+ Years")))</f>
        <v>2-5 Years</v>
      </c>
      <c r="AO242" t="str">
        <f>IF(HR_Data[[#This Row],[JobSatisfaction]]=1,"Low",IF(HR_Data[[#This Row],[JobSatisfaction]]=2,"Medium",IF(HR_Data[[#This Row],[JobSatisfaction]]=3,"High","Very High")))</f>
        <v>High</v>
      </c>
      <c r="AP242" t="str">
        <f>IF(HR_Data[[#This Row],[WorkLifeBalance]]=1,"Bad",IF(HR_Data[[#This Row],[WorkLifeBalance]]=2,"Good",IF(HR_Data[[#This Row],[WorkLifeBalance]]=3,"Better","Best")))</f>
        <v>Better</v>
      </c>
    </row>
    <row r="243" spans="1:42"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IF(HR_Data[[#This Row],[Attrition]]="Yes",1,0)</f>
        <v>0</v>
      </c>
      <c r="AK243">
        <f>IF(HR_Data[[#This Row],[Attrition]]="No",1,0)</f>
        <v>1</v>
      </c>
      <c r="AL243" t="str">
        <f>IF(HR_Data[[#This Row],[Age]]&lt;25,"Under 25",IF(HR_Data[[#This Row],[Age]]&lt;=34,"25-34",IF(HR_Data[[#This Row],[Age]]&lt;=44,"35-44",IF(HR_Data[[#This Row],[Age]]&lt;=54,"45-54","55+"))))</f>
        <v>25-34</v>
      </c>
      <c r="AM243" t="str">
        <f>IF(HR_Data[[#This Row],[MonthlyIncome]]&lt;3000,"Low Salary",IF(HR_Data[[#This Row],[MonthlyIncome]]&lt;=7000,"Medium Salary","High Salary"))</f>
        <v>Medium Salary</v>
      </c>
      <c r="AN243" t="str">
        <f>IF(HR_Data[[#This Row],[YearsAtCompany]]&lt;2,"0-1 Years",IF(HR_Data[[#This Row],[YearsAtCompany]]&lt;=5,"2-5 Years",IF(HR_Data[[#This Row],[YearsAtCompany]]&lt;=10,"6-10 Years","10+ Years")))</f>
        <v>2-5 Years</v>
      </c>
      <c r="AO243" t="str">
        <f>IF(HR_Data[[#This Row],[JobSatisfaction]]=1,"Low",IF(HR_Data[[#This Row],[JobSatisfaction]]=2,"Medium",IF(HR_Data[[#This Row],[JobSatisfaction]]=3,"High","Very High")))</f>
        <v>Very High</v>
      </c>
      <c r="AP243" t="str">
        <f>IF(HR_Data[[#This Row],[WorkLifeBalance]]=1,"Bad",IF(HR_Data[[#This Row],[WorkLifeBalance]]=2,"Good",IF(HR_Data[[#This Row],[WorkLifeBalance]]=3,"Better","Best")))</f>
        <v>Better</v>
      </c>
    </row>
    <row r="244" spans="1:42"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IF(HR_Data[[#This Row],[Attrition]]="Yes",1,0)</f>
        <v>0</v>
      </c>
      <c r="AK244">
        <f>IF(HR_Data[[#This Row],[Attrition]]="No",1,0)</f>
        <v>1</v>
      </c>
      <c r="AL244" t="str">
        <f>IF(HR_Data[[#This Row],[Age]]&lt;25,"Under 25",IF(HR_Data[[#This Row],[Age]]&lt;=34,"25-34",IF(HR_Data[[#This Row],[Age]]&lt;=44,"35-44",IF(HR_Data[[#This Row],[Age]]&lt;=54,"45-54","55+"))))</f>
        <v>35-44</v>
      </c>
      <c r="AM244" t="str">
        <f>IF(HR_Data[[#This Row],[MonthlyIncome]]&lt;3000,"Low Salary",IF(HR_Data[[#This Row],[MonthlyIncome]]&lt;=7000,"Medium Salary","High Salary"))</f>
        <v>Medium Salary</v>
      </c>
      <c r="AN244" t="str">
        <f>IF(HR_Data[[#This Row],[YearsAtCompany]]&lt;2,"0-1 Years",IF(HR_Data[[#This Row],[YearsAtCompany]]&lt;=5,"2-5 Years",IF(HR_Data[[#This Row],[YearsAtCompany]]&lt;=10,"6-10 Years","10+ Years")))</f>
        <v>0-1 Years</v>
      </c>
      <c r="AO244" t="str">
        <f>IF(HR_Data[[#This Row],[JobSatisfaction]]=1,"Low",IF(HR_Data[[#This Row],[JobSatisfaction]]=2,"Medium",IF(HR_Data[[#This Row],[JobSatisfaction]]=3,"High","Very High")))</f>
        <v>Low</v>
      </c>
      <c r="AP244" t="str">
        <f>IF(HR_Data[[#This Row],[WorkLifeBalance]]=1,"Bad",IF(HR_Data[[#This Row],[WorkLifeBalance]]=2,"Good",IF(HR_Data[[#This Row],[WorkLifeBalance]]=3,"Better","Best")))</f>
        <v>Good</v>
      </c>
    </row>
    <row r="245" spans="1:42"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IF(HR_Data[[#This Row],[Attrition]]="Yes",1,0)</f>
        <v>0</v>
      </c>
      <c r="AK245">
        <f>IF(HR_Data[[#This Row],[Attrition]]="No",1,0)</f>
        <v>1</v>
      </c>
      <c r="AL245" t="str">
        <f>IF(HR_Data[[#This Row],[Age]]&lt;25,"Under 25",IF(HR_Data[[#This Row],[Age]]&lt;=34,"25-34",IF(HR_Data[[#This Row],[Age]]&lt;=44,"35-44",IF(HR_Data[[#This Row],[Age]]&lt;=54,"45-54","55+"))))</f>
        <v>35-44</v>
      </c>
      <c r="AM245" t="str">
        <f>IF(HR_Data[[#This Row],[MonthlyIncome]]&lt;3000,"Low Salary",IF(HR_Data[[#This Row],[MonthlyIncome]]&lt;=7000,"Medium Salary","High Salary"))</f>
        <v>Medium Salary</v>
      </c>
      <c r="AN245" t="str">
        <f>IF(HR_Data[[#This Row],[YearsAtCompany]]&lt;2,"0-1 Years",IF(HR_Data[[#This Row],[YearsAtCompany]]&lt;=5,"2-5 Years",IF(HR_Data[[#This Row],[YearsAtCompany]]&lt;=10,"6-10 Years","10+ Years")))</f>
        <v>6-10 Years</v>
      </c>
      <c r="AO245" t="str">
        <f>IF(HR_Data[[#This Row],[JobSatisfaction]]=1,"Low",IF(HR_Data[[#This Row],[JobSatisfaction]]=2,"Medium",IF(HR_Data[[#This Row],[JobSatisfaction]]=3,"High","Very High")))</f>
        <v>Very High</v>
      </c>
      <c r="AP245" t="str">
        <f>IF(HR_Data[[#This Row],[WorkLifeBalance]]=1,"Bad",IF(HR_Data[[#This Row],[WorkLifeBalance]]=2,"Good",IF(HR_Data[[#This Row],[WorkLifeBalance]]=3,"Better","Best")))</f>
        <v>Better</v>
      </c>
    </row>
    <row r="246" spans="1:42"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IF(HR_Data[[#This Row],[Attrition]]="Yes",1,0)</f>
        <v>0</v>
      </c>
      <c r="AK246">
        <f>IF(HR_Data[[#This Row],[Attrition]]="No",1,0)</f>
        <v>1</v>
      </c>
      <c r="AL246" t="str">
        <f>IF(HR_Data[[#This Row],[Age]]&lt;25,"Under 25",IF(HR_Data[[#This Row],[Age]]&lt;=34,"25-34",IF(HR_Data[[#This Row],[Age]]&lt;=44,"35-44",IF(HR_Data[[#This Row],[Age]]&lt;=54,"45-54","55+"))))</f>
        <v>45-54</v>
      </c>
      <c r="AM246" t="str">
        <f>IF(HR_Data[[#This Row],[MonthlyIncome]]&lt;3000,"Low Salary",IF(HR_Data[[#This Row],[MonthlyIncome]]&lt;=7000,"Medium Salary","High Salary"))</f>
        <v>High Salary</v>
      </c>
      <c r="AN246" t="str">
        <f>IF(HR_Data[[#This Row],[YearsAtCompany]]&lt;2,"0-1 Years",IF(HR_Data[[#This Row],[YearsAtCompany]]&lt;=5,"2-5 Years",IF(HR_Data[[#This Row],[YearsAtCompany]]&lt;=10,"6-10 Years","10+ Years")))</f>
        <v>10+ Years</v>
      </c>
      <c r="AO246" t="str">
        <f>IF(HR_Data[[#This Row],[JobSatisfaction]]=1,"Low",IF(HR_Data[[#This Row],[JobSatisfaction]]=2,"Medium",IF(HR_Data[[#This Row],[JobSatisfaction]]=3,"High","Very High")))</f>
        <v>Very High</v>
      </c>
      <c r="AP246" t="str">
        <f>IF(HR_Data[[#This Row],[WorkLifeBalance]]=1,"Bad",IF(HR_Data[[#This Row],[WorkLifeBalance]]=2,"Good",IF(HR_Data[[#This Row],[WorkLifeBalance]]=3,"Better","Best")))</f>
        <v>Better</v>
      </c>
    </row>
    <row r="247" spans="1:42"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IF(HR_Data[[#This Row],[Attrition]]="Yes",1,0)</f>
        <v>0</v>
      </c>
      <c r="AK247">
        <f>IF(HR_Data[[#This Row],[Attrition]]="No",1,0)</f>
        <v>1</v>
      </c>
      <c r="AL247" t="str">
        <f>IF(HR_Data[[#This Row],[Age]]&lt;25,"Under 25",IF(HR_Data[[#This Row],[Age]]&lt;=34,"25-34",IF(HR_Data[[#This Row],[Age]]&lt;=44,"35-44",IF(HR_Data[[#This Row],[Age]]&lt;=54,"45-54","55+"))))</f>
        <v>25-34</v>
      </c>
      <c r="AM247" t="str">
        <f>IF(HR_Data[[#This Row],[MonthlyIncome]]&lt;3000,"Low Salary",IF(HR_Data[[#This Row],[MonthlyIncome]]&lt;=7000,"Medium Salary","High Salary"))</f>
        <v>High Salary</v>
      </c>
      <c r="AN247" t="str">
        <f>IF(HR_Data[[#This Row],[YearsAtCompany]]&lt;2,"0-1 Years",IF(HR_Data[[#This Row],[YearsAtCompany]]&lt;=5,"2-5 Years",IF(HR_Data[[#This Row],[YearsAtCompany]]&lt;=10,"6-10 Years","10+ Years")))</f>
        <v>2-5 Years</v>
      </c>
      <c r="AO247" t="str">
        <f>IF(HR_Data[[#This Row],[JobSatisfaction]]=1,"Low",IF(HR_Data[[#This Row],[JobSatisfaction]]=2,"Medium",IF(HR_Data[[#This Row],[JobSatisfaction]]=3,"High","Very High")))</f>
        <v>High</v>
      </c>
      <c r="AP247" t="str">
        <f>IF(HR_Data[[#This Row],[WorkLifeBalance]]=1,"Bad",IF(HR_Data[[#This Row],[WorkLifeBalance]]=2,"Good",IF(HR_Data[[#This Row],[WorkLifeBalance]]=3,"Better","Best")))</f>
        <v>Better</v>
      </c>
    </row>
    <row r="248" spans="1:42"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IF(HR_Data[[#This Row],[Attrition]]="Yes",1,0)</f>
        <v>0</v>
      </c>
      <c r="AK248">
        <f>IF(HR_Data[[#This Row],[Attrition]]="No",1,0)</f>
        <v>1</v>
      </c>
      <c r="AL248" t="str">
        <f>IF(HR_Data[[#This Row],[Age]]&lt;25,"Under 25",IF(HR_Data[[#This Row],[Age]]&lt;=34,"25-34",IF(HR_Data[[#This Row],[Age]]&lt;=44,"35-44",IF(HR_Data[[#This Row],[Age]]&lt;=54,"45-54","55+"))))</f>
        <v>25-34</v>
      </c>
      <c r="AM248" t="str">
        <f>IF(HR_Data[[#This Row],[MonthlyIncome]]&lt;3000,"Low Salary",IF(HR_Data[[#This Row],[MonthlyIncome]]&lt;=7000,"Medium Salary","High Salary"))</f>
        <v>Low Salary</v>
      </c>
      <c r="AN248" t="str">
        <f>IF(HR_Data[[#This Row],[YearsAtCompany]]&lt;2,"0-1 Years",IF(HR_Data[[#This Row],[YearsAtCompany]]&lt;=5,"2-5 Years",IF(HR_Data[[#This Row],[YearsAtCompany]]&lt;=10,"6-10 Years","10+ Years")))</f>
        <v>2-5 Years</v>
      </c>
      <c r="AO248" t="str">
        <f>IF(HR_Data[[#This Row],[JobSatisfaction]]=1,"Low",IF(HR_Data[[#This Row],[JobSatisfaction]]=2,"Medium",IF(HR_Data[[#This Row],[JobSatisfaction]]=3,"High","Very High")))</f>
        <v>Very High</v>
      </c>
      <c r="AP248" t="str">
        <f>IF(HR_Data[[#This Row],[WorkLifeBalance]]=1,"Bad",IF(HR_Data[[#This Row],[WorkLifeBalance]]=2,"Good",IF(HR_Data[[#This Row],[WorkLifeBalance]]=3,"Better","Best")))</f>
        <v>Good</v>
      </c>
    </row>
    <row r="249" spans="1:42"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IF(HR_Data[[#This Row],[Attrition]]="Yes",1,0)</f>
        <v>0</v>
      </c>
      <c r="AK249">
        <f>IF(HR_Data[[#This Row],[Attrition]]="No",1,0)</f>
        <v>1</v>
      </c>
      <c r="AL249" t="str">
        <f>IF(HR_Data[[#This Row],[Age]]&lt;25,"Under 25",IF(HR_Data[[#This Row],[Age]]&lt;=34,"25-34",IF(HR_Data[[#This Row],[Age]]&lt;=44,"35-44",IF(HR_Data[[#This Row],[Age]]&lt;=54,"45-54","55+"))))</f>
        <v>25-34</v>
      </c>
      <c r="AM249" t="str">
        <f>IF(HR_Data[[#This Row],[MonthlyIncome]]&lt;3000,"Low Salary",IF(HR_Data[[#This Row],[MonthlyIncome]]&lt;=7000,"Medium Salary","High Salary"))</f>
        <v>Medium Salary</v>
      </c>
      <c r="AN249" t="str">
        <f>IF(HR_Data[[#This Row],[YearsAtCompany]]&lt;2,"0-1 Years",IF(HR_Data[[#This Row],[YearsAtCompany]]&lt;=5,"2-5 Years",IF(HR_Data[[#This Row],[YearsAtCompany]]&lt;=10,"6-10 Years","10+ Years")))</f>
        <v>10+ Years</v>
      </c>
      <c r="AO249" t="str">
        <f>IF(HR_Data[[#This Row],[JobSatisfaction]]=1,"Low",IF(HR_Data[[#This Row],[JobSatisfaction]]=2,"Medium",IF(HR_Data[[#This Row],[JobSatisfaction]]=3,"High","Very High")))</f>
        <v>Low</v>
      </c>
      <c r="AP249" t="str">
        <f>IF(HR_Data[[#This Row],[WorkLifeBalance]]=1,"Bad",IF(HR_Data[[#This Row],[WorkLifeBalance]]=2,"Good",IF(HR_Data[[#This Row],[WorkLifeBalance]]=3,"Better","Best")))</f>
        <v>Better</v>
      </c>
    </row>
    <row r="250" spans="1:42"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IF(HR_Data[[#This Row],[Attrition]]="Yes",1,0)</f>
        <v>0</v>
      </c>
      <c r="AK250">
        <f>IF(HR_Data[[#This Row],[Attrition]]="No",1,0)</f>
        <v>1</v>
      </c>
      <c r="AL250" t="str">
        <f>IF(HR_Data[[#This Row],[Age]]&lt;25,"Under 25",IF(HR_Data[[#This Row],[Age]]&lt;=34,"25-34",IF(HR_Data[[#This Row],[Age]]&lt;=44,"35-44",IF(HR_Data[[#This Row],[Age]]&lt;=54,"45-54","55+"))))</f>
        <v>35-44</v>
      </c>
      <c r="AM250" t="str">
        <f>IF(HR_Data[[#This Row],[MonthlyIncome]]&lt;3000,"Low Salary",IF(HR_Data[[#This Row],[MonthlyIncome]]&lt;=7000,"Medium Salary","High Salary"))</f>
        <v>Medium Salary</v>
      </c>
      <c r="AN250" t="str">
        <f>IF(HR_Data[[#This Row],[YearsAtCompany]]&lt;2,"0-1 Years",IF(HR_Data[[#This Row],[YearsAtCompany]]&lt;=5,"2-5 Years",IF(HR_Data[[#This Row],[YearsAtCompany]]&lt;=10,"6-10 Years","10+ Years")))</f>
        <v>2-5 Years</v>
      </c>
      <c r="AO250" t="str">
        <f>IF(HR_Data[[#This Row],[JobSatisfaction]]=1,"Low",IF(HR_Data[[#This Row],[JobSatisfaction]]=2,"Medium",IF(HR_Data[[#This Row],[JobSatisfaction]]=3,"High","Very High")))</f>
        <v>Low</v>
      </c>
      <c r="AP250" t="str">
        <f>IF(HR_Data[[#This Row],[WorkLifeBalance]]=1,"Bad",IF(HR_Data[[#This Row],[WorkLifeBalance]]=2,"Good",IF(HR_Data[[#This Row],[WorkLifeBalance]]=3,"Better","Best")))</f>
        <v>Good</v>
      </c>
    </row>
    <row r="251" spans="1:42"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IF(HR_Data[[#This Row],[Attrition]]="Yes",1,0)</f>
        <v>0</v>
      </c>
      <c r="AK251">
        <f>IF(HR_Data[[#This Row],[Attrition]]="No",1,0)</f>
        <v>1</v>
      </c>
      <c r="AL251" t="str">
        <f>IF(HR_Data[[#This Row],[Age]]&lt;25,"Under 25",IF(HR_Data[[#This Row],[Age]]&lt;=34,"25-34",IF(HR_Data[[#This Row],[Age]]&lt;=44,"35-44",IF(HR_Data[[#This Row],[Age]]&lt;=54,"45-54","55+"))))</f>
        <v>45-54</v>
      </c>
      <c r="AM251" t="str">
        <f>IF(HR_Data[[#This Row],[MonthlyIncome]]&lt;3000,"Low Salary",IF(HR_Data[[#This Row],[MonthlyIncome]]&lt;=7000,"Medium Salary","High Salary"))</f>
        <v>Medium Salary</v>
      </c>
      <c r="AN251" t="str">
        <f>IF(HR_Data[[#This Row],[YearsAtCompany]]&lt;2,"0-1 Years",IF(HR_Data[[#This Row],[YearsAtCompany]]&lt;=5,"2-5 Years",IF(HR_Data[[#This Row],[YearsAtCompany]]&lt;=10,"6-10 Years","10+ Years")))</f>
        <v>2-5 Years</v>
      </c>
      <c r="AO251" t="str">
        <f>IF(HR_Data[[#This Row],[JobSatisfaction]]=1,"Low",IF(HR_Data[[#This Row],[JobSatisfaction]]=2,"Medium",IF(HR_Data[[#This Row],[JobSatisfaction]]=3,"High","Very High")))</f>
        <v>High</v>
      </c>
      <c r="AP251" t="str">
        <f>IF(HR_Data[[#This Row],[WorkLifeBalance]]=1,"Bad",IF(HR_Data[[#This Row],[WorkLifeBalance]]=2,"Good",IF(HR_Data[[#This Row],[WorkLifeBalance]]=3,"Better","Best")))</f>
        <v>Better</v>
      </c>
    </row>
    <row r="252" spans="1:42"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IF(HR_Data[[#This Row],[Attrition]]="Yes",1,0)</f>
        <v>1</v>
      </c>
      <c r="AK252">
        <f>IF(HR_Data[[#This Row],[Attrition]]="No",1,0)</f>
        <v>0</v>
      </c>
      <c r="AL252" t="str">
        <f>IF(HR_Data[[#This Row],[Age]]&lt;25,"Under 25",IF(HR_Data[[#This Row],[Age]]&lt;=34,"25-34",IF(HR_Data[[#This Row],[Age]]&lt;=44,"35-44",IF(HR_Data[[#This Row],[Age]]&lt;=54,"45-54","55+"))))</f>
        <v>35-44</v>
      </c>
      <c r="AM252" t="str">
        <f>IF(HR_Data[[#This Row],[MonthlyIncome]]&lt;3000,"Low Salary",IF(HR_Data[[#This Row],[MonthlyIncome]]&lt;=7000,"Medium Salary","High Salary"))</f>
        <v>High Salary</v>
      </c>
      <c r="AN252" t="str">
        <f>IF(HR_Data[[#This Row],[YearsAtCompany]]&lt;2,"0-1 Years",IF(HR_Data[[#This Row],[YearsAtCompany]]&lt;=5,"2-5 Years",IF(HR_Data[[#This Row],[YearsAtCompany]]&lt;=10,"6-10 Years","10+ Years")))</f>
        <v>0-1 Years</v>
      </c>
      <c r="AO252" t="str">
        <f>IF(HR_Data[[#This Row],[JobSatisfaction]]=1,"Low",IF(HR_Data[[#This Row],[JobSatisfaction]]=2,"Medium",IF(HR_Data[[#This Row],[JobSatisfaction]]=3,"High","Very High")))</f>
        <v>High</v>
      </c>
      <c r="AP252" t="str">
        <f>IF(HR_Data[[#This Row],[WorkLifeBalance]]=1,"Bad",IF(HR_Data[[#This Row],[WorkLifeBalance]]=2,"Good",IF(HR_Data[[#This Row],[WorkLifeBalance]]=3,"Better","Best")))</f>
        <v>Better</v>
      </c>
    </row>
    <row r="253" spans="1:42"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IF(HR_Data[[#This Row],[Attrition]]="Yes",1,0)</f>
        <v>0</v>
      </c>
      <c r="AK253">
        <f>IF(HR_Data[[#This Row],[Attrition]]="No",1,0)</f>
        <v>1</v>
      </c>
      <c r="AL253" t="str">
        <f>IF(HR_Data[[#This Row],[Age]]&lt;25,"Under 25",IF(HR_Data[[#This Row],[Age]]&lt;=34,"25-34",IF(HR_Data[[#This Row],[Age]]&lt;=44,"35-44",IF(HR_Data[[#This Row],[Age]]&lt;=54,"45-54","55+"))))</f>
        <v>35-44</v>
      </c>
      <c r="AM253" t="str">
        <f>IF(HR_Data[[#This Row],[MonthlyIncome]]&lt;3000,"Low Salary",IF(HR_Data[[#This Row],[MonthlyIncome]]&lt;=7000,"Medium Salary","High Salary"))</f>
        <v>High Salary</v>
      </c>
      <c r="AN253" t="str">
        <f>IF(HR_Data[[#This Row],[YearsAtCompany]]&lt;2,"0-1 Years",IF(HR_Data[[#This Row],[YearsAtCompany]]&lt;=5,"2-5 Years",IF(HR_Data[[#This Row],[YearsAtCompany]]&lt;=10,"6-10 Years","10+ Years")))</f>
        <v>10+ Years</v>
      </c>
      <c r="AO253" t="str">
        <f>IF(HR_Data[[#This Row],[JobSatisfaction]]=1,"Low",IF(HR_Data[[#This Row],[JobSatisfaction]]=2,"Medium",IF(HR_Data[[#This Row],[JobSatisfaction]]=3,"High","Very High")))</f>
        <v>High</v>
      </c>
      <c r="AP253" t="str">
        <f>IF(HR_Data[[#This Row],[WorkLifeBalance]]=1,"Bad",IF(HR_Data[[#This Row],[WorkLifeBalance]]=2,"Good",IF(HR_Data[[#This Row],[WorkLifeBalance]]=3,"Better","Best")))</f>
        <v>Better</v>
      </c>
    </row>
    <row r="254" spans="1:42"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IF(HR_Data[[#This Row],[Attrition]]="Yes",1,0)</f>
        <v>0</v>
      </c>
      <c r="AK254">
        <f>IF(HR_Data[[#This Row],[Attrition]]="No",1,0)</f>
        <v>1</v>
      </c>
      <c r="AL254" t="str">
        <f>IF(HR_Data[[#This Row],[Age]]&lt;25,"Under 25",IF(HR_Data[[#This Row],[Age]]&lt;=34,"25-34",IF(HR_Data[[#This Row],[Age]]&lt;=44,"35-44",IF(HR_Data[[#This Row],[Age]]&lt;=54,"45-54","55+"))))</f>
        <v>25-34</v>
      </c>
      <c r="AM254" t="str">
        <f>IF(HR_Data[[#This Row],[MonthlyIncome]]&lt;3000,"Low Salary",IF(HR_Data[[#This Row],[MonthlyIncome]]&lt;=7000,"Medium Salary","High Salary"))</f>
        <v>Low Salary</v>
      </c>
      <c r="AN254" t="str">
        <f>IF(HR_Data[[#This Row],[YearsAtCompany]]&lt;2,"0-1 Years",IF(HR_Data[[#This Row],[YearsAtCompany]]&lt;=5,"2-5 Years",IF(HR_Data[[#This Row],[YearsAtCompany]]&lt;=10,"6-10 Years","10+ Years")))</f>
        <v>6-10 Years</v>
      </c>
      <c r="AO254" t="str">
        <f>IF(HR_Data[[#This Row],[JobSatisfaction]]=1,"Low",IF(HR_Data[[#This Row],[JobSatisfaction]]=2,"Medium",IF(HR_Data[[#This Row],[JobSatisfaction]]=3,"High","Very High")))</f>
        <v>Very High</v>
      </c>
      <c r="AP254" t="str">
        <f>IF(HR_Data[[#This Row],[WorkLifeBalance]]=1,"Bad",IF(HR_Data[[#This Row],[WorkLifeBalance]]=2,"Good",IF(HR_Data[[#This Row],[WorkLifeBalance]]=3,"Better","Best")))</f>
        <v>Better</v>
      </c>
    </row>
    <row r="255" spans="1:42"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IF(HR_Data[[#This Row],[Attrition]]="Yes",1,0)</f>
        <v>0</v>
      </c>
      <c r="AK255">
        <f>IF(HR_Data[[#This Row],[Attrition]]="No",1,0)</f>
        <v>1</v>
      </c>
      <c r="AL255" t="str">
        <f>IF(HR_Data[[#This Row],[Age]]&lt;25,"Under 25",IF(HR_Data[[#This Row],[Age]]&lt;=34,"25-34",IF(HR_Data[[#This Row],[Age]]&lt;=44,"35-44",IF(HR_Data[[#This Row],[Age]]&lt;=54,"45-54","55+"))))</f>
        <v>35-44</v>
      </c>
      <c r="AM255" t="str">
        <f>IF(HR_Data[[#This Row],[MonthlyIncome]]&lt;3000,"Low Salary",IF(HR_Data[[#This Row],[MonthlyIncome]]&lt;=7000,"Medium Salary","High Salary"))</f>
        <v>Medium Salary</v>
      </c>
      <c r="AN255" t="str">
        <f>IF(HR_Data[[#This Row],[YearsAtCompany]]&lt;2,"0-1 Years",IF(HR_Data[[#This Row],[YearsAtCompany]]&lt;=5,"2-5 Years",IF(HR_Data[[#This Row],[YearsAtCompany]]&lt;=10,"6-10 Years","10+ Years")))</f>
        <v>2-5 Years</v>
      </c>
      <c r="AO255" t="str">
        <f>IF(HR_Data[[#This Row],[JobSatisfaction]]=1,"Low",IF(HR_Data[[#This Row],[JobSatisfaction]]=2,"Medium",IF(HR_Data[[#This Row],[JobSatisfaction]]=3,"High","Very High")))</f>
        <v>Low</v>
      </c>
      <c r="AP255" t="str">
        <f>IF(HR_Data[[#This Row],[WorkLifeBalance]]=1,"Bad",IF(HR_Data[[#This Row],[WorkLifeBalance]]=2,"Good",IF(HR_Data[[#This Row],[WorkLifeBalance]]=3,"Better","Best")))</f>
        <v>Better</v>
      </c>
    </row>
    <row r="256" spans="1:42"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IF(HR_Data[[#This Row],[Attrition]]="Yes",1,0)</f>
        <v>0</v>
      </c>
      <c r="AK256">
        <f>IF(HR_Data[[#This Row],[Attrition]]="No",1,0)</f>
        <v>1</v>
      </c>
      <c r="AL256" t="str">
        <f>IF(HR_Data[[#This Row],[Age]]&lt;25,"Under 25",IF(HR_Data[[#This Row],[Age]]&lt;=34,"25-34",IF(HR_Data[[#This Row],[Age]]&lt;=44,"35-44",IF(HR_Data[[#This Row],[Age]]&lt;=54,"45-54","55+"))))</f>
        <v>25-34</v>
      </c>
      <c r="AM256" t="str">
        <f>IF(HR_Data[[#This Row],[MonthlyIncome]]&lt;3000,"Low Salary",IF(HR_Data[[#This Row],[MonthlyIncome]]&lt;=7000,"Medium Salary","High Salary"))</f>
        <v>Medium Salary</v>
      </c>
      <c r="AN256" t="str">
        <f>IF(HR_Data[[#This Row],[YearsAtCompany]]&lt;2,"0-1 Years",IF(HR_Data[[#This Row],[YearsAtCompany]]&lt;=5,"2-5 Years",IF(HR_Data[[#This Row],[YearsAtCompany]]&lt;=10,"6-10 Years","10+ Years")))</f>
        <v>2-5 Years</v>
      </c>
      <c r="AO256" t="str">
        <f>IF(HR_Data[[#This Row],[JobSatisfaction]]=1,"Low",IF(HR_Data[[#This Row],[JobSatisfaction]]=2,"Medium",IF(HR_Data[[#This Row],[JobSatisfaction]]=3,"High","Very High")))</f>
        <v>Very High</v>
      </c>
      <c r="AP256" t="str">
        <f>IF(HR_Data[[#This Row],[WorkLifeBalance]]=1,"Bad",IF(HR_Data[[#This Row],[WorkLifeBalance]]=2,"Good",IF(HR_Data[[#This Row],[WorkLifeBalance]]=3,"Better","Best")))</f>
        <v>Better</v>
      </c>
    </row>
    <row r="257" spans="1:42"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IF(HR_Data[[#This Row],[Attrition]]="Yes",1,0)</f>
        <v>0</v>
      </c>
      <c r="AK257">
        <f>IF(HR_Data[[#This Row],[Attrition]]="No",1,0)</f>
        <v>1</v>
      </c>
      <c r="AL257" t="str">
        <f>IF(HR_Data[[#This Row],[Age]]&lt;25,"Under 25",IF(HR_Data[[#This Row],[Age]]&lt;=34,"25-34",IF(HR_Data[[#This Row],[Age]]&lt;=44,"35-44",IF(HR_Data[[#This Row],[Age]]&lt;=54,"45-54","55+"))))</f>
        <v>25-34</v>
      </c>
      <c r="AM257" t="str">
        <f>IF(HR_Data[[#This Row],[MonthlyIncome]]&lt;3000,"Low Salary",IF(HR_Data[[#This Row],[MonthlyIncome]]&lt;=7000,"Medium Salary","High Salary"))</f>
        <v>Medium Salary</v>
      </c>
      <c r="AN257" t="str">
        <f>IF(HR_Data[[#This Row],[YearsAtCompany]]&lt;2,"0-1 Years",IF(HR_Data[[#This Row],[YearsAtCompany]]&lt;=5,"2-5 Years",IF(HR_Data[[#This Row],[YearsAtCompany]]&lt;=10,"6-10 Years","10+ Years")))</f>
        <v>2-5 Years</v>
      </c>
      <c r="AO257" t="str">
        <f>IF(HR_Data[[#This Row],[JobSatisfaction]]=1,"Low",IF(HR_Data[[#This Row],[JobSatisfaction]]=2,"Medium",IF(HR_Data[[#This Row],[JobSatisfaction]]=3,"High","Very High")))</f>
        <v>High</v>
      </c>
      <c r="AP257" t="str">
        <f>IF(HR_Data[[#This Row],[WorkLifeBalance]]=1,"Bad",IF(HR_Data[[#This Row],[WorkLifeBalance]]=2,"Good",IF(HR_Data[[#This Row],[WorkLifeBalance]]=3,"Better","Best")))</f>
        <v>Better</v>
      </c>
    </row>
    <row r="258" spans="1:42"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IF(HR_Data[[#This Row],[Attrition]]="Yes",1,0)</f>
        <v>0</v>
      </c>
      <c r="AK258">
        <f>IF(HR_Data[[#This Row],[Attrition]]="No",1,0)</f>
        <v>1</v>
      </c>
      <c r="AL258" t="str">
        <f>IF(HR_Data[[#This Row],[Age]]&lt;25,"Under 25",IF(HR_Data[[#This Row],[Age]]&lt;=34,"25-34",IF(HR_Data[[#This Row],[Age]]&lt;=44,"35-44",IF(HR_Data[[#This Row],[Age]]&lt;=54,"45-54","55+"))))</f>
        <v>35-44</v>
      </c>
      <c r="AM258" t="str">
        <f>IF(HR_Data[[#This Row],[MonthlyIncome]]&lt;3000,"Low Salary",IF(HR_Data[[#This Row],[MonthlyIncome]]&lt;=7000,"Medium Salary","High Salary"))</f>
        <v>Low Salary</v>
      </c>
      <c r="AN258" t="str">
        <f>IF(HR_Data[[#This Row],[YearsAtCompany]]&lt;2,"0-1 Years",IF(HR_Data[[#This Row],[YearsAtCompany]]&lt;=5,"2-5 Years",IF(HR_Data[[#This Row],[YearsAtCompany]]&lt;=10,"6-10 Years","10+ Years")))</f>
        <v>6-10 Years</v>
      </c>
      <c r="AO258" t="str">
        <f>IF(HR_Data[[#This Row],[JobSatisfaction]]=1,"Low",IF(HR_Data[[#This Row],[JobSatisfaction]]=2,"Medium",IF(HR_Data[[#This Row],[JobSatisfaction]]=3,"High","Very High")))</f>
        <v>Low</v>
      </c>
      <c r="AP258" t="str">
        <f>IF(HR_Data[[#This Row],[WorkLifeBalance]]=1,"Bad",IF(HR_Data[[#This Row],[WorkLifeBalance]]=2,"Good",IF(HR_Data[[#This Row],[WorkLifeBalance]]=3,"Better","Best")))</f>
        <v>Better</v>
      </c>
    </row>
    <row r="259" spans="1:42"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IF(HR_Data[[#This Row],[Attrition]]="Yes",1,0)</f>
        <v>0</v>
      </c>
      <c r="AK259">
        <f>IF(HR_Data[[#This Row],[Attrition]]="No",1,0)</f>
        <v>1</v>
      </c>
      <c r="AL259" t="str">
        <f>IF(HR_Data[[#This Row],[Age]]&lt;25,"Under 25",IF(HR_Data[[#This Row],[Age]]&lt;=34,"25-34",IF(HR_Data[[#This Row],[Age]]&lt;=44,"35-44",IF(HR_Data[[#This Row],[Age]]&lt;=54,"45-54","55+"))))</f>
        <v>35-44</v>
      </c>
      <c r="AM259" t="str">
        <f>IF(HR_Data[[#This Row],[MonthlyIncome]]&lt;3000,"Low Salary",IF(HR_Data[[#This Row],[MonthlyIncome]]&lt;=7000,"Medium Salary","High Salary"))</f>
        <v>High Salary</v>
      </c>
      <c r="AN259" t="str">
        <f>IF(HR_Data[[#This Row],[YearsAtCompany]]&lt;2,"0-1 Years",IF(HR_Data[[#This Row],[YearsAtCompany]]&lt;=5,"2-5 Years",IF(HR_Data[[#This Row],[YearsAtCompany]]&lt;=10,"6-10 Years","10+ Years")))</f>
        <v>10+ Years</v>
      </c>
      <c r="AO259" t="str">
        <f>IF(HR_Data[[#This Row],[JobSatisfaction]]=1,"Low",IF(HR_Data[[#This Row],[JobSatisfaction]]=2,"Medium",IF(HR_Data[[#This Row],[JobSatisfaction]]=3,"High","Very High")))</f>
        <v>High</v>
      </c>
      <c r="AP259" t="str">
        <f>IF(HR_Data[[#This Row],[WorkLifeBalance]]=1,"Bad",IF(HR_Data[[#This Row],[WorkLifeBalance]]=2,"Good",IF(HR_Data[[#This Row],[WorkLifeBalance]]=3,"Better","Best")))</f>
        <v>Better</v>
      </c>
    </row>
    <row r="260" spans="1:42"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IF(HR_Data[[#This Row],[Attrition]]="Yes",1,0)</f>
        <v>0</v>
      </c>
      <c r="AK260">
        <f>IF(HR_Data[[#This Row],[Attrition]]="No",1,0)</f>
        <v>1</v>
      </c>
      <c r="AL260" t="str">
        <f>IF(HR_Data[[#This Row],[Age]]&lt;25,"Under 25",IF(HR_Data[[#This Row],[Age]]&lt;=34,"25-34",IF(HR_Data[[#This Row],[Age]]&lt;=44,"35-44",IF(HR_Data[[#This Row],[Age]]&lt;=54,"45-54","55+"))))</f>
        <v>45-54</v>
      </c>
      <c r="AM260" t="str">
        <f>IF(HR_Data[[#This Row],[MonthlyIncome]]&lt;3000,"Low Salary",IF(HR_Data[[#This Row],[MonthlyIncome]]&lt;=7000,"Medium Salary","High Salary"))</f>
        <v>Low Salary</v>
      </c>
      <c r="AN260" t="str">
        <f>IF(HR_Data[[#This Row],[YearsAtCompany]]&lt;2,"0-1 Years",IF(HR_Data[[#This Row],[YearsAtCompany]]&lt;=5,"2-5 Years",IF(HR_Data[[#This Row],[YearsAtCompany]]&lt;=10,"6-10 Years","10+ Years")))</f>
        <v>0-1 Years</v>
      </c>
      <c r="AO260" t="str">
        <f>IF(HR_Data[[#This Row],[JobSatisfaction]]=1,"Low",IF(HR_Data[[#This Row],[JobSatisfaction]]=2,"Medium",IF(HR_Data[[#This Row],[JobSatisfaction]]=3,"High","Very High")))</f>
        <v>Very High</v>
      </c>
      <c r="AP260" t="str">
        <f>IF(HR_Data[[#This Row],[WorkLifeBalance]]=1,"Bad",IF(HR_Data[[#This Row],[WorkLifeBalance]]=2,"Good",IF(HR_Data[[#This Row],[WorkLifeBalance]]=3,"Better","Best")))</f>
        <v>Good</v>
      </c>
    </row>
    <row r="261" spans="1:42"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IF(HR_Data[[#This Row],[Attrition]]="Yes",1,0)</f>
        <v>1</v>
      </c>
      <c r="AK261">
        <f>IF(HR_Data[[#This Row],[Attrition]]="No",1,0)</f>
        <v>0</v>
      </c>
      <c r="AL261" t="str">
        <f>IF(HR_Data[[#This Row],[Age]]&lt;25,"Under 25",IF(HR_Data[[#This Row],[Age]]&lt;=34,"25-34",IF(HR_Data[[#This Row],[Age]]&lt;=44,"35-44",IF(HR_Data[[#This Row],[Age]]&lt;=54,"45-54","55+"))))</f>
        <v>25-34</v>
      </c>
      <c r="AM261" t="str">
        <f>IF(HR_Data[[#This Row],[MonthlyIncome]]&lt;3000,"Low Salary",IF(HR_Data[[#This Row],[MonthlyIncome]]&lt;=7000,"Medium Salary","High Salary"))</f>
        <v>Medium Salary</v>
      </c>
      <c r="AN261" t="str">
        <f>IF(HR_Data[[#This Row],[YearsAtCompany]]&lt;2,"0-1 Years",IF(HR_Data[[#This Row],[YearsAtCompany]]&lt;=5,"2-5 Years",IF(HR_Data[[#This Row],[YearsAtCompany]]&lt;=10,"6-10 Years","10+ Years")))</f>
        <v>2-5 Years</v>
      </c>
      <c r="AO261" t="str">
        <f>IF(HR_Data[[#This Row],[JobSatisfaction]]=1,"Low",IF(HR_Data[[#This Row],[JobSatisfaction]]=2,"Medium",IF(HR_Data[[#This Row],[JobSatisfaction]]=3,"High","Very High")))</f>
        <v>Medium</v>
      </c>
      <c r="AP261" t="str">
        <f>IF(HR_Data[[#This Row],[WorkLifeBalance]]=1,"Bad",IF(HR_Data[[#This Row],[WorkLifeBalance]]=2,"Good",IF(HR_Data[[#This Row],[WorkLifeBalance]]=3,"Better","Best")))</f>
        <v>Best</v>
      </c>
    </row>
    <row r="262" spans="1:42"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IF(HR_Data[[#This Row],[Attrition]]="Yes",1,0)</f>
        <v>0</v>
      </c>
      <c r="AK262">
        <f>IF(HR_Data[[#This Row],[Attrition]]="No",1,0)</f>
        <v>1</v>
      </c>
      <c r="AL262" t="str">
        <f>IF(HR_Data[[#This Row],[Age]]&lt;25,"Under 25",IF(HR_Data[[#This Row],[Age]]&lt;=34,"25-34",IF(HR_Data[[#This Row],[Age]]&lt;=44,"35-44",IF(HR_Data[[#This Row],[Age]]&lt;=54,"45-54","55+"))))</f>
        <v>25-34</v>
      </c>
      <c r="AM262" t="str">
        <f>IF(HR_Data[[#This Row],[MonthlyIncome]]&lt;3000,"Low Salary",IF(HR_Data[[#This Row],[MonthlyIncome]]&lt;=7000,"Medium Salary","High Salary"))</f>
        <v>Low Salary</v>
      </c>
      <c r="AN262" t="str">
        <f>IF(HR_Data[[#This Row],[YearsAtCompany]]&lt;2,"0-1 Years",IF(HR_Data[[#This Row],[YearsAtCompany]]&lt;=5,"2-5 Years",IF(HR_Data[[#This Row],[YearsAtCompany]]&lt;=10,"6-10 Years","10+ Years")))</f>
        <v>2-5 Years</v>
      </c>
      <c r="AO262" t="str">
        <f>IF(HR_Data[[#This Row],[JobSatisfaction]]=1,"Low",IF(HR_Data[[#This Row],[JobSatisfaction]]=2,"Medium",IF(HR_Data[[#This Row],[JobSatisfaction]]=3,"High","Very High")))</f>
        <v>Medium</v>
      </c>
      <c r="AP262" t="str">
        <f>IF(HR_Data[[#This Row],[WorkLifeBalance]]=1,"Bad",IF(HR_Data[[#This Row],[WorkLifeBalance]]=2,"Good",IF(HR_Data[[#This Row],[WorkLifeBalance]]=3,"Better","Best")))</f>
        <v>Bad</v>
      </c>
    </row>
    <row r="263" spans="1:42"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IF(HR_Data[[#This Row],[Attrition]]="Yes",1,0)</f>
        <v>0</v>
      </c>
      <c r="AK263">
        <f>IF(HR_Data[[#This Row],[Attrition]]="No",1,0)</f>
        <v>1</v>
      </c>
      <c r="AL263" t="str">
        <f>IF(HR_Data[[#This Row],[Age]]&lt;25,"Under 25",IF(HR_Data[[#This Row],[Age]]&lt;=34,"25-34",IF(HR_Data[[#This Row],[Age]]&lt;=44,"35-44",IF(HR_Data[[#This Row],[Age]]&lt;=54,"45-54","55+"))))</f>
        <v>35-44</v>
      </c>
      <c r="AM263" t="str">
        <f>IF(HR_Data[[#This Row],[MonthlyIncome]]&lt;3000,"Low Salary",IF(HR_Data[[#This Row],[MonthlyIncome]]&lt;=7000,"Medium Salary","High Salary"))</f>
        <v>Medium Salary</v>
      </c>
      <c r="AN263" t="str">
        <f>IF(HR_Data[[#This Row],[YearsAtCompany]]&lt;2,"0-1 Years",IF(HR_Data[[#This Row],[YearsAtCompany]]&lt;=5,"2-5 Years",IF(HR_Data[[#This Row],[YearsAtCompany]]&lt;=10,"6-10 Years","10+ Years")))</f>
        <v>6-10 Years</v>
      </c>
      <c r="AO263" t="str">
        <f>IF(HR_Data[[#This Row],[JobSatisfaction]]=1,"Low",IF(HR_Data[[#This Row],[JobSatisfaction]]=2,"Medium",IF(HR_Data[[#This Row],[JobSatisfaction]]=3,"High","Very High")))</f>
        <v>Very High</v>
      </c>
      <c r="AP263" t="str">
        <f>IF(HR_Data[[#This Row],[WorkLifeBalance]]=1,"Bad",IF(HR_Data[[#This Row],[WorkLifeBalance]]=2,"Good",IF(HR_Data[[#This Row],[WorkLifeBalance]]=3,"Better","Best")))</f>
        <v>Better</v>
      </c>
    </row>
    <row r="264" spans="1:42"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IF(HR_Data[[#This Row],[Attrition]]="Yes",1,0)</f>
        <v>0</v>
      </c>
      <c r="AK264">
        <f>IF(HR_Data[[#This Row],[Attrition]]="No",1,0)</f>
        <v>1</v>
      </c>
      <c r="AL264" t="str">
        <f>IF(HR_Data[[#This Row],[Age]]&lt;25,"Under 25",IF(HR_Data[[#This Row],[Age]]&lt;=34,"25-34",IF(HR_Data[[#This Row],[Age]]&lt;=44,"35-44",IF(HR_Data[[#This Row],[Age]]&lt;=54,"45-54","55+"))))</f>
        <v>25-34</v>
      </c>
      <c r="AM264" t="str">
        <f>IF(HR_Data[[#This Row],[MonthlyIncome]]&lt;3000,"Low Salary",IF(HR_Data[[#This Row],[MonthlyIncome]]&lt;=7000,"Medium Salary","High Salary"))</f>
        <v>Low Salary</v>
      </c>
      <c r="AN264" t="str">
        <f>IF(HR_Data[[#This Row],[YearsAtCompany]]&lt;2,"0-1 Years",IF(HR_Data[[#This Row],[YearsAtCompany]]&lt;=5,"2-5 Years",IF(HR_Data[[#This Row],[YearsAtCompany]]&lt;=10,"6-10 Years","10+ Years")))</f>
        <v>6-10 Years</v>
      </c>
      <c r="AO264" t="str">
        <f>IF(HR_Data[[#This Row],[JobSatisfaction]]=1,"Low",IF(HR_Data[[#This Row],[JobSatisfaction]]=2,"Medium",IF(HR_Data[[#This Row],[JobSatisfaction]]=3,"High","Very High")))</f>
        <v>Low</v>
      </c>
      <c r="AP264" t="str">
        <f>IF(HR_Data[[#This Row],[WorkLifeBalance]]=1,"Bad",IF(HR_Data[[#This Row],[WorkLifeBalance]]=2,"Good",IF(HR_Data[[#This Row],[WorkLifeBalance]]=3,"Better","Best")))</f>
        <v>Better</v>
      </c>
    </row>
    <row r="265" spans="1:42"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IF(HR_Data[[#This Row],[Attrition]]="Yes",1,0)</f>
        <v>0</v>
      </c>
      <c r="AK265">
        <f>IF(HR_Data[[#This Row],[Attrition]]="No",1,0)</f>
        <v>1</v>
      </c>
      <c r="AL265" t="str">
        <f>IF(HR_Data[[#This Row],[Age]]&lt;25,"Under 25",IF(HR_Data[[#This Row],[Age]]&lt;=34,"25-34",IF(HR_Data[[#This Row],[Age]]&lt;=44,"35-44",IF(HR_Data[[#This Row],[Age]]&lt;=54,"45-54","55+"))))</f>
        <v>45-54</v>
      </c>
      <c r="AM265" t="str">
        <f>IF(HR_Data[[#This Row],[MonthlyIncome]]&lt;3000,"Low Salary",IF(HR_Data[[#This Row],[MonthlyIncome]]&lt;=7000,"Medium Salary","High Salary"))</f>
        <v>High Salary</v>
      </c>
      <c r="AN265" t="str">
        <f>IF(HR_Data[[#This Row],[YearsAtCompany]]&lt;2,"0-1 Years",IF(HR_Data[[#This Row],[YearsAtCompany]]&lt;=5,"2-5 Years",IF(HR_Data[[#This Row],[YearsAtCompany]]&lt;=10,"6-10 Years","10+ Years")))</f>
        <v>6-10 Years</v>
      </c>
      <c r="AO265" t="str">
        <f>IF(HR_Data[[#This Row],[JobSatisfaction]]=1,"Low",IF(HR_Data[[#This Row],[JobSatisfaction]]=2,"Medium",IF(HR_Data[[#This Row],[JobSatisfaction]]=3,"High","Very High")))</f>
        <v>Medium</v>
      </c>
      <c r="AP265" t="str">
        <f>IF(HR_Data[[#This Row],[WorkLifeBalance]]=1,"Bad",IF(HR_Data[[#This Row],[WorkLifeBalance]]=2,"Good",IF(HR_Data[[#This Row],[WorkLifeBalance]]=3,"Better","Best")))</f>
        <v>Good</v>
      </c>
    </row>
    <row r="266" spans="1:42"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IF(HR_Data[[#This Row],[Attrition]]="Yes",1,0)</f>
        <v>1</v>
      </c>
      <c r="AK266">
        <f>IF(HR_Data[[#This Row],[Attrition]]="No",1,0)</f>
        <v>0</v>
      </c>
      <c r="AL266" t="str">
        <f>IF(HR_Data[[#This Row],[Age]]&lt;25,"Under 25",IF(HR_Data[[#This Row],[Age]]&lt;=34,"25-34",IF(HR_Data[[#This Row],[Age]]&lt;=44,"35-44",IF(HR_Data[[#This Row],[Age]]&lt;=54,"45-54","55+"))))</f>
        <v>25-34</v>
      </c>
      <c r="AM266" t="str">
        <f>IF(HR_Data[[#This Row],[MonthlyIncome]]&lt;3000,"Low Salary",IF(HR_Data[[#This Row],[MonthlyIncome]]&lt;=7000,"Medium Salary","High Salary"))</f>
        <v>Medium Salary</v>
      </c>
      <c r="AN266" t="str">
        <f>IF(HR_Data[[#This Row],[YearsAtCompany]]&lt;2,"0-1 Years",IF(HR_Data[[#This Row],[YearsAtCompany]]&lt;=5,"2-5 Years",IF(HR_Data[[#This Row],[YearsAtCompany]]&lt;=10,"6-10 Years","10+ Years")))</f>
        <v>0-1 Years</v>
      </c>
      <c r="AO266" t="str">
        <f>IF(HR_Data[[#This Row],[JobSatisfaction]]=1,"Low",IF(HR_Data[[#This Row],[JobSatisfaction]]=2,"Medium",IF(HR_Data[[#This Row],[JobSatisfaction]]=3,"High","Very High")))</f>
        <v>High</v>
      </c>
      <c r="AP266" t="str">
        <f>IF(HR_Data[[#This Row],[WorkLifeBalance]]=1,"Bad",IF(HR_Data[[#This Row],[WorkLifeBalance]]=2,"Good",IF(HR_Data[[#This Row],[WorkLifeBalance]]=3,"Better","Best")))</f>
        <v>Bad</v>
      </c>
    </row>
    <row r="267" spans="1:42"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IF(HR_Data[[#This Row],[Attrition]]="Yes",1,0)</f>
        <v>0</v>
      </c>
      <c r="AK267">
        <f>IF(HR_Data[[#This Row],[Attrition]]="No",1,0)</f>
        <v>1</v>
      </c>
      <c r="AL267" t="str">
        <f>IF(HR_Data[[#This Row],[Age]]&lt;25,"Under 25",IF(HR_Data[[#This Row],[Age]]&lt;=34,"25-34",IF(HR_Data[[#This Row],[Age]]&lt;=44,"35-44",IF(HR_Data[[#This Row],[Age]]&lt;=54,"45-54","55+"))))</f>
        <v>25-34</v>
      </c>
      <c r="AM267" t="str">
        <f>IF(HR_Data[[#This Row],[MonthlyIncome]]&lt;3000,"Low Salary",IF(HR_Data[[#This Row],[MonthlyIncome]]&lt;=7000,"Medium Salary","High Salary"))</f>
        <v>Medium Salary</v>
      </c>
      <c r="AN267" t="str">
        <f>IF(HR_Data[[#This Row],[YearsAtCompany]]&lt;2,"0-1 Years",IF(HR_Data[[#This Row],[YearsAtCompany]]&lt;=5,"2-5 Years",IF(HR_Data[[#This Row],[YearsAtCompany]]&lt;=10,"6-10 Years","10+ Years")))</f>
        <v>0-1 Years</v>
      </c>
      <c r="AO267" t="str">
        <f>IF(HR_Data[[#This Row],[JobSatisfaction]]=1,"Low",IF(HR_Data[[#This Row],[JobSatisfaction]]=2,"Medium",IF(HR_Data[[#This Row],[JobSatisfaction]]=3,"High","Very High")))</f>
        <v>Medium</v>
      </c>
      <c r="AP267" t="str">
        <f>IF(HR_Data[[#This Row],[WorkLifeBalance]]=1,"Bad",IF(HR_Data[[#This Row],[WorkLifeBalance]]=2,"Good",IF(HR_Data[[#This Row],[WorkLifeBalance]]=3,"Better","Best")))</f>
        <v>Better</v>
      </c>
    </row>
    <row r="268" spans="1:42"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IF(HR_Data[[#This Row],[Attrition]]="Yes",1,0)</f>
        <v>0</v>
      </c>
      <c r="AK268">
        <f>IF(HR_Data[[#This Row],[Attrition]]="No",1,0)</f>
        <v>1</v>
      </c>
      <c r="AL268" t="str">
        <f>IF(HR_Data[[#This Row],[Age]]&lt;25,"Under 25",IF(HR_Data[[#This Row],[Age]]&lt;=34,"25-34",IF(HR_Data[[#This Row],[Age]]&lt;=44,"35-44",IF(HR_Data[[#This Row],[Age]]&lt;=54,"45-54","55+"))))</f>
        <v>25-34</v>
      </c>
      <c r="AM268" t="str">
        <f>IF(HR_Data[[#This Row],[MonthlyIncome]]&lt;3000,"Low Salary",IF(HR_Data[[#This Row],[MonthlyIncome]]&lt;=7000,"Medium Salary","High Salary"))</f>
        <v>Medium Salary</v>
      </c>
      <c r="AN268" t="str">
        <f>IF(HR_Data[[#This Row],[YearsAtCompany]]&lt;2,"0-1 Years",IF(HR_Data[[#This Row],[YearsAtCompany]]&lt;=5,"2-5 Years",IF(HR_Data[[#This Row],[YearsAtCompany]]&lt;=10,"6-10 Years","10+ Years")))</f>
        <v>6-10 Years</v>
      </c>
      <c r="AO268" t="str">
        <f>IF(HR_Data[[#This Row],[JobSatisfaction]]=1,"Low",IF(HR_Data[[#This Row],[JobSatisfaction]]=2,"Medium",IF(HR_Data[[#This Row],[JobSatisfaction]]=3,"High","Very High")))</f>
        <v>Very High</v>
      </c>
      <c r="AP268" t="str">
        <f>IF(HR_Data[[#This Row],[WorkLifeBalance]]=1,"Bad",IF(HR_Data[[#This Row],[WorkLifeBalance]]=2,"Good",IF(HR_Data[[#This Row],[WorkLifeBalance]]=3,"Better","Best")))</f>
        <v>Better</v>
      </c>
    </row>
    <row r="269" spans="1:42"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IF(HR_Data[[#This Row],[Attrition]]="Yes",1,0)</f>
        <v>0</v>
      </c>
      <c r="AK269">
        <f>IF(HR_Data[[#This Row],[Attrition]]="No",1,0)</f>
        <v>1</v>
      </c>
      <c r="AL269" t="str">
        <f>IF(HR_Data[[#This Row],[Age]]&lt;25,"Under 25",IF(HR_Data[[#This Row],[Age]]&lt;=34,"25-34",IF(HR_Data[[#This Row],[Age]]&lt;=44,"35-44",IF(HR_Data[[#This Row],[Age]]&lt;=54,"45-54","55+"))))</f>
        <v>25-34</v>
      </c>
      <c r="AM269" t="str">
        <f>IF(HR_Data[[#This Row],[MonthlyIncome]]&lt;3000,"Low Salary",IF(HR_Data[[#This Row],[MonthlyIncome]]&lt;=7000,"Medium Salary","High Salary"))</f>
        <v>Medium Salary</v>
      </c>
      <c r="AN269" t="str">
        <f>IF(HR_Data[[#This Row],[YearsAtCompany]]&lt;2,"0-1 Years",IF(HR_Data[[#This Row],[YearsAtCompany]]&lt;=5,"2-5 Years",IF(HR_Data[[#This Row],[YearsAtCompany]]&lt;=10,"6-10 Years","10+ Years")))</f>
        <v>6-10 Years</v>
      </c>
      <c r="AO269" t="str">
        <f>IF(HR_Data[[#This Row],[JobSatisfaction]]=1,"Low",IF(HR_Data[[#This Row],[JobSatisfaction]]=2,"Medium",IF(HR_Data[[#This Row],[JobSatisfaction]]=3,"High","Very High")))</f>
        <v>Low</v>
      </c>
      <c r="AP269" t="str">
        <f>IF(HR_Data[[#This Row],[WorkLifeBalance]]=1,"Bad",IF(HR_Data[[#This Row],[WorkLifeBalance]]=2,"Good",IF(HR_Data[[#This Row],[WorkLifeBalance]]=3,"Better","Best")))</f>
        <v>Better</v>
      </c>
    </row>
    <row r="270" spans="1:42"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IF(HR_Data[[#This Row],[Attrition]]="Yes",1,0)</f>
        <v>0</v>
      </c>
      <c r="AK270">
        <f>IF(HR_Data[[#This Row],[Attrition]]="No",1,0)</f>
        <v>1</v>
      </c>
      <c r="AL270" t="str">
        <f>IF(HR_Data[[#This Row],[Age]]&lt;25,"Under 25",IF(HR_Data[[#This Row],[Age]]&lt;=34,"25-34",IF(HR_Data[[#This Row],[Age]]&lt;=44,"35-44",IF(HR_Data[[#This Row],[Age]]&lt;=54,"45-54","55+"))))</f>
        <v>45-54</v>
      </c>
      <c r="AM270" t="str">
        <f>IF(HR_Data[[#This Row],[MonthlyIncome]]&lt;3000,"Low Salary",IF(HR_Data[[#This Row],[MonthlyIncome]]&lt;=7000,"Medium Salary","High Salary"))</f>
        <v>High Salary</v>
      </c>
      <c r="AN270" t="str">
        <f>IF(HR_Data[[#This Row],[YearsAtCompany]]&lt;2,"0-1 Years",IF(HR_Data[[#This Row],[YearsAtCompany]]&lt;=5,"2-5 Years",IF(HR_Data[[#This Row],[YearsAtCompany]]&lt;=10,"6-10 Years","10+ Years")))</f>
        <v>10+ Years</v>
      </c>
      <c r="AO270" t="str">
        <f>IF(HR_Data[[#This Row],[JobSatisfaction]]=1,"Low",IF(HR_Data[[#This Row],[JobSatisfaction]]=2,"Medium",IF(HR_Data[[#This Row],[JobSatisfaction]]=3,"High","Very High")))</f>
        <v>Very High</v>
      </c>
      <c r="AP270" t="str">
        <f>IF(HR_Data[[#This Row],[WorkLifeBalance]]=1,"Bad",IF(HR_Data[[#This Row],[WorkLifeBalance]]=2,"Good",IF(HR_Data[[#This Row],[WorkLifeBalance]]=3,"Better","Best")))</f>
        <v>Better</v>
      </c>
    </row>
    <row r="271" spans="1:42"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IF(HR_Data[[#This Row],[Attrition]]="Yes",1,0)</f>
        <v>0</v>
      </c>
      <c r="AK271">
        <f>IF(HR_Data[[#This Row],[Attrition]]="No",1,0)</f>
        <v>1</v>
      </c>
      <c r="AL271" t="str">
        <f>IF(HR_Data[[#This Row],[Age]]&lt;25,"Under 25",IF(HR_Data[[#This Row],[Age]]&lt;=34,"25-34",IF(HR_Data[[#This Row],[Age]]&lt;=44,"35-44",IF(HR_Data[[#This Row],[Age]]&lt;=54,"45-54","55+"))))</f>
        <v>35-44</v>
      </c>
      <c r="AM271" t="str">
        <f>IF(HR_Data[[#This Row],[MonthlyIncome]]&lt;3000,"Low Salary",IF(HR_Data[[#This Row],[MonthlyIncome]]&lt;=7000,"Medium Salary","High Salary"))</f>
        <v>Medium Salary</v>
      </c>
      <c r="AN271" t="str">
        <f>IF(HR_Data[[#This Row],[YearsAtCompany]]&lt;2,"0-1 Years",IF(HR_Data[[#This Row],[YearsAtCompany]]&lt;=5,"2-5 Years",IF(HR_Data[[#This Row],[YearsAtCompany]]&lt;=10,"6-10 Years","10+ Years")))</f>
        <v>10+ Years</v>
      </c>
      <c r="AO271" t="str">
        <f>IF(HR_Data[[#This Row],[JobSatisfaction]]=1,"Low",IF(HR_Data[[#This Row],[JobSatisfaction]]=2,"Medium",IF(HR_Data[[#This Row],[JobSatisfaction]]=3,"High","Very High")))</f>
        <v>Very High</v>
      </c>
      <c r="AP271" t="str">
        <f>IF(HR_Data[[#This Row],[WorkLifeBalance]]=1,"Bad",IF(HR_Data[[#This Row],[WorkLifeBalance]]=2,"Good",IF(HR_Data[[#This Row],[WorkLifeBalance]]=3,"Better","Best")))</f>
        <v>Better</v>
      </c>
    </row>
    <row r="272" spans="1:42"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IF(HR_Data[[#This Row],[Attrition]]="Yes",1,0)</f>
        <v>0</v>
      </c>
      <c r="AK272">
        <f>IF(HR_Data[[#This Row],[Attrition]]="No",1,0)</f>
        <v>1</v>
      </c>
      <c r="AL272" t="str">
        <f>IF(HR_Data[[#This Row],[Age]]&lt;25,"Under 25",IF(HR_Data[[#This Row],[Age]]&lt;=34,"25-34",IF(HR_Data[[#This Row],[Age]]&lt;=44,"35-44",IF(HR_Data[[#This Row],[Age]]&lt;=54,"45-54","55+"))))</f>
        <v>55+</v>
      </c>
      <c r="AM272" t="str">
        <f>IF(HR_Data[[#This Row],[MonthlyIncome]]&lt;3000,"Low Salary",IF(HR_Data[[#This Row],[MonthlyIncome]]&lt;=7000,"Medium Salary","High Salary"))</f>
        <v>High Salary</v>
      </c>
      <c r="AN272" t="str">
        <f>IF(HR_Data[[#This Row],[YearsAtCompany]]&lt;2,"0-1 Years",IF(HR_Data[[#This Row],[YearsAtCompany]]&lt;=5,"2-5 Years",IF(HR_Data[[#This Row],[YearsAtCompany]]&lt;=10,"6-10 Years","10+ Years")))</f>
        <v>10+ Years</v>
      </c>
      <c r="AO272" t="str">
        <f>IF(HR_Data[[#This Row],[JobSatisfaction]]=1,"Low",IF(HR_Data[[#This Row],[JobSatisfaction]]=2,"Medium",IF(HR_Data[[#This Row],[JobSatisfaction]]=3,"High","Very High")))</f>
        <v>Low</v>
      </c>
      <c r="AP272" t="str">
        <f>IF(HR_Data[[#This Row],[WorkLifeBalance]]=1,"Bad",IF(HR_Data[[#This Row],[WorkLifeBalance]]=2,"Good",IF(HR_Data[[#This Row],[WorkLifeBalance]]=3,"Better","Best")))</f>
        <v>Better</v>
      </c>
    </row>
    <row r="273" spans="1:42"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IF(HR_Data[[#This Row],[Attrition]]="Yes",1,0)</f>
        <v>1</v>
      </c>
      <c r="AK273">
        <f>IF(HR_Data[[#This Row],[Attrition]]="No",1,0)</f>
        <v>0</v>
      </c>
      <c r="AL273" t="str">
        <f>IF(HR_Data[[#This Row],[Age]]&lt;25,"Under 25",IF(HR_Data[[#This Row],[Age]]&lt;=34,"25-34",IF(HR_Data[[#This Row],[Age]]&lt;=44,"35-44",IF(HR_Data[[#This Row],[Age]]&lt;=54,"45-54","55+"))))</f>
        <v>45-54</v>
      </c>
      <c r="AM273" t="str">
        <f>IF(HR_Data[[#This Row],[MonthlyIncome]]&lt;3000,"Low Salary",IF(HR_Data[[#This Row],[MonthlyIncome]]&lt;=7000,"Medium Salary","High Salary"))</f>
        <v>High Salary</v>
      </c>
      <c r="AN273" t="str">
        <f>IF(HR_Data[[#This Row],[YearsAtCompany]]&lt;2,"0-1 Years",IF(HR_Data[[#This Row],[YearsAtCompany]]&lt;=5,"2-5 Years",IF(HR_Data[[#This Row],[YearsAtCompany]]&lt;=10,"6-10 Years","10+ Years")))</f>
        <v>6-10 Years</v>
      </c>
      <c r="AO273" t="str">
        <f>IF(HR_Data[[#This Row],[JobSatisfaction]]=1,"Low",IF(HR_Data[[#This Row],[JobSatisfaction]]=2,"Medium",IF(HR_Data[[#This Row],[JobSatisfaction]]=3,"High","Very High")))</f>
        <v>Medium</v>
      </c>
      <c r="AP273" t="str">
        <f>IF(HR_Data[[#This Row],[WorkLifeBalance]]=1,"Bad",IF(HR_Data[[#This Row],[WorkLifeBalance]]=2,"Good",IF(HR_Data[[#This Row],[WorkLifeBalance]]=3,"Better","Best")))</f>
        <v>Good</v>
      </c>
    </row>
    <row r="274" spans="1:42"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IF(HR_Data[[#This Row],[Attrition]]="Yes",1,0)</f>
        <v>0</v>
      </c>
      <c r="AK274">
        <f>IF(HR_Data[[#This Row],[Attrition]]="No",1,0)</f>
        <v>1</v>
      </c>
      <c r="AL274" t="str">
        <f>IF(HR_Data[[#This Row],[Age]]&lt;25,"Under 25",IF(HR_Data[[#This Row],[Age]]&lt;=34,"25-34",IF(HR_Data[[#This Row],[Age]]&lt;=44,"35-44",IF(HR_Data[[#This Row],[Age]]&lt;=54,"45-54","55+"))))</f>
        <v>25-34</v>
      </c>
      <c r="AM274" t="str">
        <f>IF(HR_Data[[#This Row],[MonthlyIncome]]&lt;3000,"Low Salary",IF(HR_Data[[#This Row],[MonthlyIncome]]&lt;=7000,"Medium Salary","High Salary"))</f>
        <v>Low Salary</v>
      </c>
      <c r="AN274" t="str">
        <f>IF(HR_Data[[#This Row],[YearsAtCompany]]&lt;2,"0-1 Years",IF(HR_Data[[#This Row],[YearsAtCompany]]&lt;=5,"2-5 Years",IF(HR_Data[[#This Row],[YearsAtCompany]]&lt;=10,"6-10 Years","10+ Years")))</f>
        <v>2-5 Years</v>
      </c>
      <c r="AO274" t="str">
        <f>IF(HR_Data[[#This Row],[JobSatisfaction]]=1,"Low",IF(HR_Data[[#This Row],[JobSatisfaction]]=2,"Medium",IF(HR_Data[[#This Row],[JobSatisfaction]]=3,"High","Very High")))</f>
        <v>Very High</v>
      </c>
      <c r="AP274" t="str">
        <f>IF(HR_Data[[#This Row],[WorkLifeBalance]]=1,"Bad",IF(HR_Data[[#This Row],[WorkLifeBalance]]=2,"Good",IF(HR_Data[[#This Row],[WorkLifeBalance]]=3,"Better","Best")))</f>
        <v>Good</v>
      </c>
    </row>
    <row r="275" spans="1:42"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IF(HR_Data[[#This Row],[Attrition]]="Yes",1,0)</f>
        <v>0</v>
      </c>
      <c r="AK275">
        <f>IF(HR_Data[[#This Row],[Attrition]]="No",1,0)</f>
        <v>1</v>
      </c>
      <c r="AL275" t="str">
        <f>IF(HR_Data[[#This Row],[Age]]&lt;25,"Under 25",IF(HR_Data[[#This Row],[Age]]&lt;=34,"25-34",IF(HR_Data[[#This Row],[Age]]&lt;=44,"35-44",IF(HR_Data[[#This Row],[Age]]&lt;=54,"45-54","55+"))))</f>
        <v>35-44</v>
      </c>
      <c r="AM275" t="str">
        <f>IF(HR_Data[[#This Row],[MonthlyIncome]]&lt;3000,"Low Salary",IF(HR_Data[[#This Row],[MonthlyIncome]]&lt;=7000,"Medium Salary","High Salary"))</f>
        <v>Medium Salary</v>
      </c>
      <c r="AN275" t="str">
        <f>IF(HR_Data[[#This Row],[YearsAtCompany]]&lt;2,"0-1 Years",IF(HR_Data[[#This Row],[YearsAtCompany]]&lt;=5,"2-5 Years",IF(HR_Data[[#This Row],[YearsAtCompany]]&lt;=10,"6-10 Years","10+ Years")))</f>
        <v>2-5 Years</v>
      </c>
      <c r="AO275" t="str">
        <f>IF(HR_Data[[#This Row],[JobSatisfaction]]=1,"Low",IF(HR_Data[[#This Row],[JobSatisfaction]]=2,"Medium",IF(HR_Data[[#This Row],[JobSatisfaction]]=3,"High","Very High")))</f>
        <v>Very High</v>
      </c>
      <c r="AP275" t="str">
        <f>IF(HR_Data[[#This Row],[WorkLifeBalance]]=1,"Bad",IF(HR_Data[[#This Row],[WorkLifeBalance]]=2,"Good",IF(HR_Data[[#This Row],[WorkLifeBalance]]=3,"Better","Best")))</f>
        <v>Best</v>
      </c>
    </row>
    <row r="276" spans="1:42"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IF(HR_Data[[#This Row],[Attrition]]="Yes",1,0)</f>
        <v>0</v>
      </c>
      <c r="AK276">
        <f>IF(HR_Data[[#This Row],[Attrition]]="No",1,0)</f>
        <v>1</v>
      </c>
      <c r="AL276" t="str">
        <f>IF(HR_Data[[#This Row],[Age]]&lt;25,"Under 25",IF(HR_Data[[#This Row],[Age]]&lt;=34,"25-34",IF(HR_Data[[#This Row],[Age]]&lt;=44,"35-44",IF(HR_Data[[#This Row],[Age]]&lt;=54,"45-54","55+"))))</f>
        <v>Under 25</v>
      </c>
      <c r="AM276" t="str">
        <f>IF(HR_Data[[#This Row],[MonthlyIncome]]&lt;3000,"Low Salary",IF(HR_Data[[#This Row],[MonthlyIncome]]&lt;=7000,"Medium Salary","High Salary"))</f>
        <v>Medium Salary</v>
      </c>
      <c r="AN276" t="str">
        <f>IF(HR_Data[[#This Row],[YearsAtCompany]]&lt;2,"0-1 Years",IF(HR_Data[[#This Row],[YearsAtCompany]]&lt;=5,"2-5 Years",IF(HR_Data[[#This Row],[YearsAtCompany]]&lt;=10,"6-10 Years","10+ Years")))</f>
        <v>2-5 Years</v>
      </c>
      <c r="AO276" t="str">
        <f>IF(HR_Data[[#This Row],[JobSatisfaction]]=1,"Low",IF(HR_Data[[#This Row],[JobSatisfaction]]=2,"Medium",IF(HR_Data[[#This Row],[JobSatisfaction]]=3,"High","Very High")))</f>
        <v>High</v>
      </c>
      <c r="AP276" t="str">
        <f>IF(HR_Data[[#This Row],[WorkLifeBalance]]=1,"Bad",IF(HR_Data[[#This Row],[WorkLifeBalance]]=2,"Good",IF(HR_Data[[#This Row],[WorkLifeBalance]]=3,"Better","Best")))</f>
        <v>Best</v>
      </c>
    </row>
    <row r="277" spans="1:42"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IF(HR_Data[[#This Row],[Attrition]]="Yes",1,0)</f>
        <v>0</v>
      </c>
      <c r="AK277">
        <f>IF(HR_Data[[#This Row],[Attrition]]="No",1,0)</f>
        <v>1</v>
      </c>
      <c r="AL277" t="str">
        <f>IF(HR_Data[[#This Row],[Age]]&lt;25,"Under 25",IF(HR_Data[[#This Row],[Age]]&lt;=34,"25-34",IF(HR_Data[[#This Row],[Age]]&lt;=44,"35-44",IF(HR_Data[[#This Row],[Age]]&lt;=54,"45-54","55+"))))</f>
        <v>35-44</v>
      </c>
      <c r="AM277" t="str">
        <f>IF(HR_Data[[#This Row],[MonthlyIncome]]&lt;3000,"Low Salary",IF(HR_Data[[#This Row],[MonthlyIncome]]&lt;=7000,"Medium Salary","High Salary"))</f>
        <v>High Salary</v>
      </c>
      <c r="AN277" t="str">
        <f>IF(HR_Data[[#This Row],[YearsAtCompany]]&lt;2,"0-1 Years",IF(HR_Data[[#This Row],[YearsAtCompany]]&lt;=5,"2-5 Years",IF(HR_Data[[#This Row],[YearsAtCompany]]&lt;=10,"6-10 Years","10+ Years")))</f>
        <v>2-5 Years</v>
      </c>
      <c r="AO277" t="str">
        <f>IF(HR_Data[[#This Row],[JobSatisfaction]]=1,"Low",IF(HR_Data[[#This Row],[JobSatisfaction]]=2,"Medium",IF(HR_Data[[#This Row],[JobSatisfaction]]=3,"High","Very High")))</f>
        <v>Very High</v>
      </c>
      <c r="AP277" t="str">
        <f>IF(HR_Data[[#This Row],[WorkLifeBalance]]=1,"Bad",IF(HR_Data[[#This Row],[WorkLifeBalance]]=2,"Good",IF(HR_Data[[#This Row],[WorkLifeBalance]]=3,"Better","Best")))</f>
        <v>Better</v>
      </c>
    </row>
    <row r="278" spans="1:42"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IF(HR_Data[[#This Row],[Attrition]]="Yes",1,0)</f>
        <v>0</v>
      </c>
      <c r="AK278">
        <f>IF(HR_Data[[#This Row],[Attrition]]="No",1,0)</f>
        <v>1</v>
      </c>
      <c r="AL278" t="str">
        <f>IF(HR_Data[[#This Row],[Age]]&lt;25,"Under 25",IF(HR_Data[[#This Row],[Age]]&lt;=34,"25-34",IF(HR_Data[[#This Row],[Age]]&lt;=44,"35-44",IF(HR_Data[[#This Row],[Age]]&lt;=54,"45-54","55+"))))</f>
        <v>35-44</v>
      </c>
      <c r="AM278" t="str">
        <f>IF(HR_Data[[#This Row],[MonthlyIncome]]&lt;3000,"Low Salary",IF(HR_Data[[#This Row],[MonthlyIncome]]&lt;=7000,"Medium Salary","High Salary"))</f>
        <v>High Salary</v>
      </c>
      <c r="AN278" t="str">
        <f>IF(HR_Data[[#This Row],[YearsAtCompany]]&lt;2,"0-1 Years",IF(HR_Data[[#This Row],[YearsAtCompany]]&lt;=5,"2-5 Years",IF(HR_Data[[#This Row],[YearsAtCompany]]&lt;=10,"6-10 Years","10+ Years")))</f>
        <v>6-10 Years</v>
      </c>
      <c r="AO278" t="str">
        <f>IF(HR_Data[[#This Row],[JobSatisfaction]]=1,"Low",IF(HR_Data[[#This Row],[JobSatisfaction]]=2,"Medium",IF(HR_Data[[#This Row],[JobSatisfaction]]=3,"High","Very High")))</f>
        <v>Medium</v>
      </c>
      <c r="AP278" t="str">
        <f>IF(HR_Data[[#This Row],[WorkLifeBalance]]=1,"Bad",IF(HR_Data[[#This Row],[WorkLifeBalance]]=2,"Good",IF(HR_Data[[#This Row],[WorkLifeBalance]]=3,"Better","Best")))</f>
        <v>Good</v>
      </c>
    </row>
    <row r="279" spans="1:42"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IF(HR_Data[[#This Row],[Attrition]]="Yes",1,0)</f>
        <v>0</v>
      </c>
      <c r="AK279">
        <f>IF(HR_Data[[#This Row],[Attrition]]="No",1,0)</f>
        <v>1</v>
      </c>
      <c r="AL279" t="str">
        <f>IF(HR_Data[[#This Row],[Age]]&lt;25,"Under 25",IF(HR_Data[[#This Row],[Age]]&lt;=34,"25-34",IF(HR_Data[[#This Row],[Age]]&lt;=44,"35-44",IF(HR_Data[[#This Row],[Age]]&lt;=54,"45-54","55+"))))</f>
        <v>35-44</v>
      </c>
      <c r="AM279" t="str">
        <f>IF(HR_Data[[#This Row],[MonthlyIncome]]&lt;3000,"Low Salary",IF(HR_Data[[#This Row],[MonthlyIncome]]&lt;=7000,"Medium Salary","High Salary"))</f>
        <v>Medium Salary</v>
      </c>
      <c r="AN279" t="str">
        <f>IF(HR_Data[[#This Row],[YearsAtCompany]]&lt;2,"0-1 Years",IF(HR_Data[[#This Row],[YearsAtCompany]]&lt;=5,"2-5 Years",IF(HR_Data[[#This Row],[YearsAtCompany]]&lt;=10,"6-10 Years","10+ Years")))</f>
        <v>6-10 Years</v>
      </c>
      <c r="AO279" t="str">
        <f>IF(HR_Data[[#This Row],[JobSatisfaction]]=1,"Low",IF(HR_Data[[#This Row],[JobSatisfaction]]=2,"Medium",IF(HR_Data[[#This Row],[JobSatisfaction]]=3,"High","Very High")))</f>
        <v>Low</v>
      </c>
      <c r="AP279" t="str">
        <f>IF(HR_Data[[#This Row],[WorkLifeBalance]]=1,"Bad",IF(HR_Data[[#This Row],[WorkLifeBalance]]=2,"Good",IF(HR_Data[[#This Row],[WorkLifeBalance]]=3,"Better","Best")))</f>
        <v>Better</v>
      </c>
    </row>
    <row r="280" spans="1:42"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IF(HR_Data[[#This Row],[Attrition]]="Yes",1,0)</f>
        <v>0</v>
      </c>
      <c r="AK280">
        <f>IF(HR_Data[[#This Row],[Attrition]]="No",1,0)</f>
        <v>1</v>
      </c>
      <c r="AL280" t="str">
        <f>IF(HR_Data[[#This Row],[Age]]&lt;25,"Under 25",IF(HR_Data[[#This Row],[Age]]&lt;=34,"25-34",IF(HR_Data[[#This Row],[Age]]&lt;=44,"35-44",IF(HR_Data[[#This Row],[Age]]&lt;=54,"45-54","55+"))))</f>
        <v>25-34</v>
      </c>
      <c r="AM280" t="str">
        <f>IF(HR_Data[[#This Row],[MonthlyIncome]]&lt;3000,"Low Salary",IF(HR_Data[[#This Row],[MonthlyIncome]]&lt;=7000,"Medium Salary","High Salary"))</f>
        <v>Medium Salary</v>
      </c>
      <c r="AN280" t="str">
        <f>IF(HR_Data[[#This Row],[YearsAtCompany]]&lt;2,"0-1 Years",IF(HR_Data[[#This Row],[YearsAtCompany]]&lt;=5,"2-5 Years",IF(HR_Data[[#This Row],[YearsAtCompany]]&lt;=10,"6-10 Years","10+ Years")))</f>
        <v>6-10 Years</v>
      </c>
      <c r="AO280" t="str">
        <f>IF(HR_Data[[#This Row],[JobSatisfaction]]=1,"Low",IF(HR_Data[[#This Row],[JobSatisfaction]]=2,"Medium",IF(HR_Data[[#This Row],[JobSatisfaction]]=3,"High","Very High")))</f>
        <v>Medium</v>
      </c>
      <c r="AP280" t="str">
        <f>IF(HR_Data[[#This Row],[WorkLifeBalance]]=1,"Bad",IF(HR_Data[[#This Row],[WorkLifeBalance]]=2,"Good",IF(HR_Data[[#This Row],[WorkLifeBalance]]=3,"Better","Best")))</f>
        <v>Bad</v>
      </c>
    </row>
    <row r="281" spans="1:42"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IF(HR_Data[[#This Row],[Attrition]]="Yes",1,0)</f>
        <v>0</v>
      </c>
      <c r="AK281">
        <f>IF(HR_Data[[#This Row],[Attrition]]="No",1,0)</f>
        <v>1</v>
      </c>
      <c r="AL281" t="str">
        <f>IF(HR_Data[[#This Row],[Age]]&lt;25,"Under 25",IF(HR_Data[[#This Row],[Age]]&lt;=34,"25-34",IF(HR_Data[[#This Row],[Age]]&lt;=44,"35-44",IF(HR_Data[[#This Row],[Age]]&lt;=54,"45-54","55+"))))</f>
        <v>45-54</v>
      </c>
      <c r="AM281" t="str">
        <f>IF(HR_Data[[#This Row],[MonthlyIncome]]&lt;3000,"Low Salary",IF(HR_Data[[#This Row],[MonthlyIncome]]&lt;=7000,"Medium Salary","High Salary"))</f>
        <v>High Salary</v>
      </c>
      <c r="AN281" t="str">
        <f>IF(HR_Data[[#This Row],[YearsAtCompany]]&lt;2,"0-1 Years",IF(HR_Data[[#This Row],[YearsAtCompany]]&lt;=5,"2-5 Years",IF(HR_Data[[#This Row],[YearsAtCompany]]&lt;=10,"6-10 Years","10+ Years")))</f>
        <v>6-10 Years</v>
      </c>
      <c r="AO281" t="str">
        <f>IF(HR_Data[[#This Row],[JobSatisfaction]]=1,"Low",IF(HR_Data[[#This Row],[JobSatisfaction]]=2,"Medium",IF(HR_Data[[#This Row],[JobSatisfaction]]=3,"High","Very High")))</f>
        <v>Medium</v>
      </c>
      <c r="AP281" t="str">
        <f>IF(HR_Data[[#This Row],[WorkLifeBalance]]=1,"Bad",IF(HR_Data[[#This Row],[WorkLifeBalance]]=2,"Good",IF(HR_Data[[#This Row],[WorkLifeBalance]]=3,"Better","Best")))</f>
        <v>Good</v>
      </c>
    </row>
    <row r="282" spans="1:42"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IF(HR_Data[[#This Row],[Attrition]]="Yes",1,0)</f>
        <v>0</v>
      </c>
      <c r="AK282">
        <f>IF(HR_Data[[#This Row],[Attrition]]="No",1,0)</f>
        <v>1</v>
      </c>
      <c r="AL282" t="str">
        <f>IF(HR_Data[[#This Row],[Age]]&lt;25,"Under 25",IF(HR_Data[[#This Row],[Age]]&lt;=34,"25-34",IF(HR_Data[[#This Row],[Age]]&lt;=44,"35-44",IF(HR_Data[[#This Row],[Age]]&lt;=54,"45-54","55+"))))</f>
        <v>45-54</v>
      </c>
      <c r="AM282" t="str">
        <f>IF(HR_Data[[#This Row],[MonthlyIncome]]&lt;3000,"Low Salary",IF(HR_Data[[#This Row],[MonthlyIncome]]&lt;=7000,"Medium Salary","High Salary"))</f>
        <v>High Salary</v>
      </c>
      <c r="AN282" t="str">
        <f>IF(HR_Data[[#This Row],[YearsAtCompany]]&lt;2,"0-1 Years",IF(HR_Data[[#This Row],[YearsAtCompany]]&lt;=5,"2-5 Years",IF(HR_Data[[#This Row],[YearsAtCompany]]&lt;=10,"6-10 Years","10+ Years")))</f>
        <v>2-5 Years</v>
      </c>
      <c r="AO282" t="str">
        <f>IF(HR_Data[[#This Row],[JobSatisfaction]]=1,"Low",IF(HR_Data[[#This Row],[JobSatisfaction]]=2,"Medium",IF(HR_Data[[#This Row],[JobSatisfaction]]=3,"High","Very High")))</f>
        <v>High</v>
      </c>
      <c r="AP282" t="str">
        <f>IF(HR_Data[[#This Row],[WorkLifeBalance]]=1,"Bad",IF(HR_Data[[#This Row],[WorkLifeBalance]]=2,"Good",IF(HR_Data[[#This Row],[WorkLifeBalance]]=3,"Better","Best")))</f>
        <v>Good</v>
      </c>
    </row>
    <row r="283" spans="1:42"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IF(HR_Data[[#This Row],[Attrition]]="Yes",1,0)</f>
        <v>0</v>
      </c>
      <c r="AK283">
        <f>IF(HR_Data[[#This Row],[Attrition]]="No",1,0)</f>
        <v>1</v>
      </c>
      <c r="AL283" t="str">
        <f>IF(HR_Data[[#This Row],[Age]]&lt;25,"Under 25",IF(HR_Data[[#This Row],[Age]]&lt;=34,"25-34",IF(HR_Data[[#This Row],[Age]]&lt;=44,"35-44",IF(HR_Data[[#This Row],[Age]]&lt;=54,"45-54","55+"))))</f>
        <v>35-44</v>
      </c>
      <c r="AM283" t="str">
        <f>IF(HR_Data[[#This Row],[MonthlyIncome]]&lt;3000,"Low Salary",IF(HR_Data[[#This Row],[MonthlyIncome]]&lt;=7000,"Medium Salary","High Salary"))</f>
        <v>Medium Salary</v>
      </c>
      <c r="AN283" t="str">
        <f>IF(HR_Data[[#This Row],[YearsAtCompany]]&lt;2,"0-1 Years",IF(HR_Data[[#This Row],[YearsAtCompany]]&lt;=5,"2-5 Years",IF(HR_Data[[#This Row],[YearsAtCompany]]&lt;=10,"6-10 Years","10+ Years")))</f>
        <v>10+ Years</v>
      </c>
      <c r="AO283" t="str">
        <f>IF(HR_Data[[#This Row],[JobSatisfaction]]=1,"Low",IF(HR_Data[[#This Row],[JobSatisfaction]]=2,"Medium",IF(HR_Data[[#This Row],[JobSatisfaction]]=3,"High","Very High")))</f>
        <v>High</v>
      </c>
      <c r="AP283" t="str">
        <f>IF(HR_Data[[#This Row],[WorkLifeBalance]]=1,"Bad",IF(HR_Data[[#This Row],[WorkLifeBalance]]=2,"Good",IF(HR_Data[[#This Row],[WorkLifeBalance]]=3,"Better","Best")))</f>
        <v>Better</v>
      </c>
    </row>
    <row r="284" spans="1:42"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IF(HR_Data[[#This Row],[Attrition]]="Yes",1,0)</f>
        <v>0</v>
      </c>
      <c r="AK284">
        <f>IF(HR_Data[[#This Row],[Attrition]]="No",1,0)</f>
        <v>1</v>
      </c>
      <c r="AL284" t="str">
        <f>IF(HR_Data[[#This Row],[Age]]&lt;25,"Under 25",IF(HR_Data[[#This Row],[Age]]&lt;=34,"25-34",IF(HR_Data[[#This Row],[Age]]&lt;=44,"35-44",IF(HR_Data[[#This Row],[Age]]&lt;=54,"45-54","55+"))))</f>
        <v>25-34</v>
      </c>
      <c r="AM284" t="str">
        <f>IF(HR_Data[[#This Row],[MonthlyIncome]]&lt;3000,"Low Salary",IF(HR_Data[[#This Row],[MonthlyIncome]]&lt;=7000,"Medium Salary","High Salary"))</f>
        <v>Medium Salary</v>
      </c>
      <c r="AN284" t="str">
        <f>IF(HR_Data[[#This Row],[YearsAtCompany]]&lt;2,"0-1 Years",IF(HR_Data[[#This Row],[YearsAtCompany]]&lt;=5,"2-5 Years",IF(HR_Data[[#This Row],[YearsAtCompany]]&lt;=10,"6-10 Years","10+ Years")))</f>
        <v>6-10 Years</v>
      </c>
      <c r="AO284" t="str">
        <f>IF(HR_Data[[#This Row],[JobSatisfaction]]=1,"Low",IF(HR_Data[[#This Row],[JobSatisfaction]]=2,"Medium",IF(HR_Data[[#This Row],[JobSatisfaction]]=3,"High","Very High")))</f>
        <v>Very High</v>
      </c>
      <c r="AP284" t="str">
        <f>IF(HR_Data[[#This Row],[WorkLifeBalance]]=1,"Bad",IF(HR_Data[[#This Row],[WorkLifeBalance]]=2,"Good",IF(HR_Data[[#This Row],[WorkLifeBalance]]=3,"Better","Best")))</f>
        <v>Good</v>
      </c>
    </row>
    <row r="285" spans="1:42"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IF(HR_Data[[#This Row],[Attrition]]="Yes",1,0)</f>
        <v>0</v>
      </c>
      <c r="AK285">
        <f>IF(HR_Data[[#This Row],[Attrition]]="No",1,0)</f>
        <v>1</v>
      </c>
      <c r="AL285" t="str">
        <f>IF(HR_Data[[#This Row],[Age]]&lt;25,"Under 25",IF(HR_Data[[#This Row],[Age]]&lt;=34,"25-34",IF(HR_Data[[#This Row],[Age]]&lt;=44,"35-44",IF(HR_Data[[#This Row],[Age]]&lt;=54,"45-54","55+"))))</f>
        <v>55+</v>
      </c>
      <c r="AM285" t="str">
        <f>IF(HR_Data[[#This Row],[MonthlyIncome]]&lt;3000,"Low Salary",IF(HR_Data[[#This Row],[MonthlyIncome]]&lt;=7000,"Medium Salary","High Salary"))</f>
        <v>Medium Salary</v>
      </c>
      <c r="AN285" t="str">
        <f>IF(HR_Data[[#This Row],[YearsAtCompany]]&lt;2,"0-1 Years",IF(HR_Data[[#This Row],[YearsAtCompany]]&lt;=5,"2-5 Years",IF(HR_Data[[#This Row],[YearsAtCompany]]&lt;=10,"6-10 Years","10+ Years")))</f>
        <v>6-10 Years</v>
      </c>
      <c r="AO285" t="str">
        <f>IF(HR_Data[[#This Row],[JobSatisfaction]]=1,"Low",IF(HR_Data[[#This Row],[JobSatisfaction]]=2,"Medium",IF(HR_Data[[#This Row],[JobSatisfaction]]=3,"High","Very High")))</f>
        <v>Very High</v>
      </c>
      <c r="AP285" t="str">
        <f>IF(HR_Data[[#This Row],[WorkLifeBalance]]=1,"Bad",IF(HR_Data[[#This Row],[WorkLifeBalance]]=2,"Good",IF(HR_Data[[#This Row],[WorkLifeBalance]]=3,"Better","Best")))</f>
        <v>Better</v>
      </c>
    </row>
    <row r="286" spans="1:42"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IF(HR_Data[[#This Row],[Attrition]]="Yes",1,0)</f>
        <v>0</v>
      </c>
      <c r="AK286">
        <f>IF(HR_Data[[#This Row],[Attrition]]="No",1,0)</f>
        <v>1</v>
      </c>
      <c r="AL286" t="str">
        <f>IF(HR_Data[[#This Row],[Age]]&lt;25,"Under 25",IF(HR_Data[[#This Row],[Age]]&lt;=34,"25-34",IF(HR_Data[[#This Row],[Age]]&lt;=44,"35-44",IF(HR_Data[[#This Row],[Age]]&lt;=54,"45-54","55+"))))</f>
        <v>25-34</v>
      </c>
      <c r="AM286" t="str">
        <f>IF(HR_Data[[#This Row],[MonthlyIncome]]&lt;3000,"Low Salary",IF(HR_Data[[#This Row],[MonthlyIncome]]&lt;=7000,"Medium Salary","High Salary"))</f>
        <v>Medium Salary</v>
      </c>
      <c r="AN286" t="str">
        <f>IF(HR_Data[[#This Row],[YearsAtCompany]]&lt;2,"0-1 Years",IF(HR_Data[[#This Row],[YearsAtCompany]]&lt;=5,"2-5 Years",IF(HR_Data[[#This Row],[YearsAtCompany]]&lt;=10,"6-10 Years","10+ Years")))</f>
        <v>2-5 Years</v>
      </c>
      <c r="AO286" t="str">
        <f>IF(HR_Data[[#This Row],[JobSatisfaction]]=1,"Low",IF(HR_Data[[#This Row],[JobSatisfaction]]=2,"Medium",IF(HR_Data[[#This Row],[JobSatisfaction]]=3,"High","Very High")))</f>
        <v>Low</v>
      </c>
      <c r="AP286" t="str">
        <f>IF(HR_Data[[#This Row],[WorkLifeBalance]]=1,"Bad",IF(HR_Data[[#This Row],[WorkLifeBalance]]=2,"Good",IF(HR_Data[[#This Row],[WorkLifeBalance]]=3,"Better","Best")))</f>
        <v>Better</v>
      </c>
    </row>
    <row r="287" spans="1:42"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IF(HR_Data[[#This Row],[Attrition]]="Yes",1,0)</f>
        <v>0</v>
      </c>
      <c r="AK287">
        <f>IF(HR_Data[[#This Row],[Attrition]]="No",1,0)</f>
        <v>1</v>
      </c>
      <c r="AL287" t="str">
        <f>IF(HR_Data[[#This Row],[Age]]&lt;25,"Under 25",IF(HR_Data[[#This Row],[Age]]&lt;=34,"25-34",IF(HR_Data[[#This Row],[Age]]&lt;=44,"35-44",IF(HR_Data[[#This Row],[Age]]&lt;=54,"45-54","55+"))))</f>
        <v>35-44</v>
      </c>
      <c r="AM287" t="str">
        <f>IF(HR_Data[[#This Row],[MonthlyIncome]]&lt;3000,"Low Salary",IF(HR_Data[[#This Row],[MonthlyIncome]]&lt;=7000,"Medium Salary","High Salary"))</f>
        <v>Low Salary</v>
      </c>
      <c r="AN287" t="str">
        <f>IF(HR_Data[[#This Row],[YearsAtCompany]]&lt;2,"0-1 Years",IF(HR_Data[[#This Row],[YearsAtCompany]]&lt;=5,"2-5 Years",IF(HR_Data[[#This Row],[YearsAtCompany]]&lt;=10,"6-10 Years","10+ Years")))</f>
        <v>10+ Years</v>
      </c>
      <c r="AO287" t="str">
        <f>IF(HR_Data[[#This Row],[JobSatisfaction]]=1,"Low",IF(HR_Data[[#This Row],[JobSatisfaction]]=2,"Medium",IF(HR_Data[[#This Row],[JobSatisfaction]]=3,"High","Very High")))</f>
        <v>Very High</v>
      </c>
      <c r="AP287" t="str">
        <f>IF(HR_Data[[#This Row],[WorkLifeBalance]]=1,"Bad",IF(HR_Data[[#This Row],[WorkLifeBalance]]=2,"Good",IF(HR_Data[[#This Row],[WorkLifeBalance]]=3,"Better","Best")))</f>
        <v>Better</v>
      </c>
    </row>
    <row r="288" spans="1:42"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IF(HR_Data[[#This Row],[Attrition]]="Yes",1,0)</f>
        <v>1</v>
      </c>
      <c r="AK288">
        <f>IF(HR_Data[[#This Row],[Attrition]]="No",1,0)</f>
        <v>0</v>
      </c>
      <c r="AL288" t="str">
        <f>IF(HR_Data[[#This Row],[Age]]&lt;25,"Under 25",IF(HR_Data[[#This Row],[Age]]&lt;=34,"25-34",IF(HR_Data[[#This Row],[Age]]&lt;=44,"35-44",IF(HR_Data[[#This Row],[Age]]&lt;=54,"45-54","55+"))))</f>
        <v>35-44</v>
      </c>
      <c r="AM288" t="str">
        <f>IF(HR_Data[[#This Row],[MonthlyIncome]]&lt;3000,"Low Salary",IF(HR_Data[[#This Row],[MonthlyIncome]]&lt;=7000,"Medium Salary","High Salary"))</f>
        <v>Medium Salary</v>
      </c>
      <c r="AN288" t="str">
        <f>IF(HR_Data[[#This Row],[YearsAtCompany]]&lt;2,"0-1 Years",IF(HR_Data[[#This Row],[YearsAtCompany]]&lt;=5,"2-5 Years",IF(HR_Data[[#This Row],[YearsAtCompany]]&lt;=10,"6-10 Years","10+ Years")))</f>
        <v>0-1 Years</v>
      </c>
      <c r="AO288" t="str">
        <f>IF(HR_Data[[#This Row],[JobSatisfaction]]=1,"Low",IF(HR_Data[[#This Row],[JobSatisfaction]]=2,"Medium",IF(HR_Data[[#This Row],[JobSatisfaction]]=3,"High","Very High")))</f>
        <v>High</v>
      </c>
      <c r="AP288" t="str">
        <f>IF(HR_Data[[#This Row],[WorkLifeBalance]]=1,"Bad",IF(HR_Data[[#This Row],[WorkLifeBalance]]=2,"Good",IF(HR_Data[[#This Row],[WorkLifeBalance]]=3,"Better","Best")))</f>
        <v>Bad</v>
      </c>
    </row>
    <row r="289" spans="1:42"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IF(HR_Data[[#This Row],[Attrition]]="Yes",1,0)</f>
        <v>0</v>
      </c>
      <c r="AK289">
        <f>IF(HR_Data[[#This Row],[Attrition]]="No",1,0)</f>
        <v>1</v>
      </c>
      <c r="AL289" t="str">
        <f>IF(HR_Data[[#This Row],[Age]]&lt;25,"Under 25",IF(HR_Data[[#This Row],[Age]]&lt;=34,"25-34",IF(HR_Data[[#This Row],[Age]]&lt;=44,"35-44",IF(HR_Data[[#This Row],[Age]]&lt;=54,"45-54","55+"))))</f>
        <v>35-44</v>
      </c>
      <c r="AM289" t="str">
        <f>IF(HR_Data[[#This Row],[MonthlyIncome]]&lt;3000,"Low Salary",IF(HR_Data[[#This Row],[MonthlyIncome]]&lt;=7000,"Medium Salary","High Salary"))</f>
        <v>Medium Salary</v>
      </c>
      <c r="AN289" t="str">
        <f>IF(HR_Data[[#This Row],[YearsAtCompany]]&lt;2,"0-1 Years",IF(HR_Data[[#This Row],[YearsAtCompany]]&lt;=5,"2-5 Years",IF(HR_Data[[#This Row],[YearsAtCompany]]&lt;=10,"6-10 Years","10+ Years")))</f>
        <v>2-5 Years</v>
      </c>
      <c r="AO289" t="str">
        <f>IF(HR_Data[[#This Row],[JobSatisfaction]]=1,"Low",IF(HR_Data[[#This Row],[JobSatisfaction]]=2,"Medium",IF(HR_Data[[#This Row],[JobSatisfaction]]=3,"High","Very High")))</f>
        <v>Very High</v>
      </c>
      <c r="AP289" t="str">
        <f>IF(HR_Data[[#This Row],[WorkLifeBalance]]=1,"Bad",IF(HR_Data[[#This Row],[WorkLifeBalance]]=2,"Good",IF(HR_Data[[#This Row],[WorkLifeBalance]]=3,"Better","Best")))</f>
        <v>Better</v>
      </c>
    </row>
    <row r="290" spans="1:42"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IF(HR_Data[[#This Row],[Attrition]]="Yes",1,0)</f>
        <v>1</v>
      </c>
      <c r="AK290">
        <f>IF(HR_Data[[#This Row],[Attrition]]="No",1,0)</f>
        <v>0</v>
      </c>
      <c r="AL290" t="str">
        <f>IF(HR_Data[[#This Row],[Age]]&lt;25,"Under 25",IF(HR_Data[[#This Row],[Age]]&lt;=34,"25-34",IF(HR_Data[[#This Row],[Age]]&lt;=44,"35-44",IF(HR_Data[[#This Row],[Age]]&lt;=54,"45-54","55+"))))</f>
        <v>25-34</v>
      </c>
      <c r="AM290" t="str">
        <f>IF(HR_Data[[#This Row],[MonthlyIncome]]&lt;3000,"Low Salary",IF(HR_Data[[#This Row],[MonthlyIncome]]&lt;=7000,"Medium Salary","High Salary"))</f>
        <v>Low Salary</v>
      </c>
      <c r="AN290" t="str">
        <f>IF(HR_Data[[#This Row],[YearsAtCompany]]&lt;2,"0-1 Years",IF(HR_Data[[#This Row],[YearsAtCompany]]&lt;=5,"2-5 Years",IF(HR_Data[[#This Row],[YearsAtCompany]]&lt;=10,"6-10 Years","10+ Years")))</f>
        <v>2-5 Years</v>
      </c>
      <c r="AO290" t="str">
        <f>IF(HR_Data[[#This Row],[JobSatisfaction]]=1,"Low",IF(HR_Data[[#This Row],[JobSatisfaction]]=2,"Medium",IF(HR_Data[[#This Row],[JobSatisfaction]]=3,"High","Very High")))</f>
        <v>Medium</v>
      </c>
      <c r="AP290" t="str">
        <f>IF(HR_Data[[#This Row],[WorkLifeBalance]]=1,"Bad",IF(HR_Data[[#This Row],[WorkLifeBalance]]=2,"Good",IF(HR_Data[[#This Row],[WorkLifeBalance]]=3,"Better","Best")))</f>
        <v>Better</v>
      </c>
    </row>
    <row r="291" spans="1:42"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IF(HR_Data[[#This Row],[Attrition]]="Yes",1,0)</f>
        <v>0</v>
      </c>
      <c r="AK291">
        <f>IF(HR_Data[[#This Row],[Attrition]]="No",1,0)</f>
        <v>1</v>
      </c>
      <c r="AL291" t="str">
        <f>IF(HR_Data[[#This Row],[Age]]&lt;25,"Under 25",IF(HR_Data[[#This Row],[Age]]&lt;=34,"25-34",IF(HR_Data[[#This Row],[Age]]&lt;=44,"35-44",IF(HR_Data[[#This Row],[Age]]&lt;=54,"45-54","55+"))))</f>
        <v>25-34</v>
      </c>
      <c r="AM291" t="str">
        <f>IF(HR_Data[[#This Row],[MonthlyIncome]]&lt;3000,"Low Salary",IF(HR_Data[[#This Row],[MonthlyIncome]]&lt;=7000,"Medium Salary","High Salary"))</f>
        <v>Medium Salary</v>
      </c>
      <c r="AN291" t="str">
        <f>IF(HR_Data[[#This Row],[YearsAtCompany]]&lt;2,"0-1 Years",IF(HR_Data[[#This Row],[YearsAtCompany]]&lt;=5,"2-5 Years",IF(HR_Data[[#This Row],[YearsAtCompany]]&lt;=10,"6-10 Years","10+ Years")))</f>
        <v>2-5 Years</v>
      </c>
      <c r="AO291" t="str">
        <f>IF(HR_Data[[#This Row],[JobSatisfaction]]=1,"Low",IF(HR_Data[[#This Row],[JobSatisfaction]]=2,"Medium",IF(HR_Data[[#This Row],[JobSatisfaction]]=3,"High","Very High")))</f>
        <v>Very High</v>
      </c>
      <c r="AP291" t="str">
        <f>IF(HR_Data[[#This Row],[WorkLifeBalance]]=1,"Bad",IF(HR_Data[[#This Row],[WorkLifeBalance]]=2,"Good",IF(HR_Data[[#This Row],[WorkLifeBalance]]=3,"Better","Best")))</f>
        <v>Better</v>
      </c>
    </row>
    <row r="292" spans="1:42"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IF(HR_Data[[#This Row],[Attrition]]="Yes",1,0)</f>
        <v>0</v>
      </c>
      <c r="AK292">
        <f>IF(HR_Data[[#This Row],[Attrition]]="No",1,0)</f>
        <v>1</v>
      </c>
      <c r="AL292" t="str">
        <f>IF(HR_Data[[#This Row],[Age]]&lt;25,"Under 25",IF(HR_Data[[#This Row],[Age]]&lt;=34,"25-34",IF(HR_Data[[#This Row],[Age]]&lt;=44,"35-44",IF(HR_Data[[#This Row],[Age]]&lt;=54,"45-54","55+"))))</f>
        <v>45-54</v>
      </c>
      <c r="AM292" t="str">
        <f>IF(HR_Data[[#This Row],[MonthlyIncome]]&lt;3000,"Low Salary",IF(HR_Data[[#This Row],[MonthlyIncome]]&lt;=7000,"Medium Salary","High Salary"))</f>
        <v>High Salary</v>
      </c>
      <c r="AN292" t="str">
        <f>IF(HR_Data[[#This Row],[YearsAtCompany]]&lt;2,"0-1 Years",IF(HR_Data[[#This Row],[YearsAtCompany]]&lt;=5,"2-5 Years",IF(HR_Data[[#This Row],[YearsAtCompany]]&lt;=10,"6-10 Years","10+ Years")))</f>
        <v>2-5 Years</v>
      </c>
      <c r="AO292" t="str">
        <f>IF(HR_Data[[#This Row],[JobSatisfaction]]=1,"Low",IF(HR_Data[[#This Row],[JobSatisfaction]]=2,"Medium",IF(HR_Data[[#This Row],[JobSatisfaction]]=3,"High","Very High")))</f>
        <v>Low</v>
      </c>
      <c r="AP292" t="str">
        <f>IF(HR_Data[[#This Row],[WorkLifeBalance]]=1,"Bad",IF(HR_Data[[#This Row],[WorkLifeBalance]]=2,"Good",IF(HR_Data[[#This Row],[WorkLifeBalance]]=3,"Better","Best")))</f>
        <v>Better</v>
      </c>
    </row>
    <row r="293" spans="1:42"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IF(HR_Data[[#This Row],[Attrition]]="Yes",1,0)</f>
        <v>0</v>
      </c>
      <c r="AK293">
        <f>IF(HR_Data[[#This Row],[Attrition]]="No",1,0)</f>
        <v>1</v>
      </c>
      <c r="AL293" t="str">
        <f>IF(HR_Data[[#This Row],[Age]]&lt;25,"Under 25",IF(HR_Data[[#This Row],[Age]]&lt;=34,"25-34",IF(HR_Data[[#This Row],[Age]]&lt;=44,"35-44",IF(HR_Data[[#This Row],[Age]]&lt;=54,"45-54","55+"))))</f>
        <v>35-44</v>
      </c>
      <c r="AM293" t="str">
        <f>IF(HR_Data[[#This Row],[MonthlyIncome]]&lt;3000,"Low Salary",IF(HR_Data[[#This Row],[MonthlyIncome]]&lt;=7000,"Medium Salary","High Salary"))</f>
        <v>Medium Salary</v>
      </c>
      <c r="AN293" t="str">
        <f>IF(HR_Data[[#This Row],[YearsAtCompany]]&lt;2,"0-1 Years",IF(HR_Data[[#This Row],[YearsAtCompany]]&lt;=5,"2-5 Years",IF(HR_Data[[#This Row],[YearsAtCompany]]&lt;=10,"6-10 Years","10+ Years")))</f>
        <v>6-10 Years</v>
      </c>
      <c r="AO293" t="str">
        <f>IF(HR_Data[[#This Row],[JobSatisfaction]]=1,"Low",IF(HR_Data[[#This Row],[JobSatisfaction]]=2,"Medium",IF(HR_Data[[#This Row],[JobSatisfaction]]=3,"High","Very High")))</f>
        <v>Medium</v>
      </c>
      <c r="AP293" t="str">
        <f>IF(HR_Data[[#This Row],[WorkLifeBalance]]=1,"Bad",IF(HR_Data[[#This Row],[WorkLifeBalance]]=2,"Good",IF(HR_Data[[#This Row],[WorkLifeBalance]]=3,"Better","Best")))</f>
        <v>Better</v>
      </c>
    </row>
    <row r="294" spans="1:42"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IF(HR_Data[[#This Row],[Attrition]]="Yes",1,0)</f>
        <v>0</v>
      </c>
      <c r="AK294">
        <f>IF(HR_Data[[#This Row],[Attrition]]="No",1,0)</f>
        <v>1</v>
      </c>
      <c r="AL294" t="str">
        <f>IF(HR_Data[[#This Row],[Age]]&lt;25,"Under 25",IF(HR_Data[[#This Row],[Age]]&lt;=34,"25-34",IF(HR_Data[[#This Row],[Age]]&lt;=44,"35-44",IF(HR_Data[[#This Row],[Age]]&lt;=54,"45-54","55+"))))</f>
        <v>25-34</v>
      </c>
      <c r="AM294" t="str">
        <f>IF(HR_Data[[#This Row],[MonthlyIncome]]&lt;3000,"Low Salary",IF(HR_Data[[#This Row],[MonthlyIncome]]&lt;=7000,"Medium Salary","High Salary"))</f>
        <v>Low Salary</v>
      </c>
      <c r="AN294" t="str">
        <f>IF(HR_Data[[#This Row],[YearsAtCompany]]&lt;2,"0-1 Years",IF(HR_Data[[#This Row],[YearsAtCompany]]&lt;=5,"2-5 Years",IF(HR_Data[[#This Row],[YearsAtCompany]]&lt;=10,"6-10 Years","10+ Years")))</f>
        <v>2-5 Years</v>
      </c>
      <c r="AO294" t="str">
        <f>IF(HR_Data[[#This Row],[JobSatisfaction]]=1,"Low",IF(HR_Data[[#This Row],[JobSatisfaction]]=2,"Medium",IF(HR_Data[[#This Row],[JobSatisfaction]]=3,"High","Very High")))</f>
        <v>Medium</v>
      </c>
      <c r="AP294" t="str">
        <f>IF(HR_Data[[#This Row],[WorkLifeBalance]]=1,"Bad",IF(HR_Data[[#This Row],[WorkLifeBalance]]=2,"Good",IF(HR_Data[[#This Row],[WorkLifeBalance]]=3,"Better","Best")))</f>
        <v>Good</v>
      </c>
    </row>
    <row r="295" spans="1:42"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IF(HR_Data[[#This Row],[Attrition]]="Yes",1,0)</f>
        <v>1</v>
      </c>
      <c r="AK295">
        <f>IF(HR_Data[[#This Row],[Attrition]]="No",1,0)</f>
        <v>0</v>
      </c>
      <c r="AL295" t="str">
        <f>IF(HR_Data[[#This Row],[Age]]&lt;25,"Under 25",IF(HR_Data[[#This Row],[Age]]&lt;=34,"25-34",IF(HR_Data[[#This Row],[Age]]&lt;=44,"35-44",IF(HR_Data[[#This Row],[Age]]&lt;=54,"45-54","55+"))))</f>
        <v>25-34</v>
      </c>
      <c r="AM295" t="str">
        <f>IF(HR_Data[[#This Row],[MonthlyIncome]]&lt;3000,"Low Salary",IF(HR_Data[[#This Row],[MonthlyIncome]]&lt;=7000,"Medium Salary","High Salary"))</f>
        <v>Medium Salary</v>
      </c>
      <c r="AN295" t="str">
        <f>IF(HR_Data[[#This Row],[YearsAtCompany]]&lt;2,"0-1 Years",IF(HR_Data[[#This Row],[YearsAtCompany]]&lt;=5,"2-5 Years",IF(HR_Data[[#This Row],[YearsAtCompany]]&lt;=10,"6-10 Years","10+ Years")))</f>
        <v>6-10 Years</v>
      </c>
      <c r="AO295" t="str">
        <f>IF(HR_Data[[#This Row],[JobSatisfaction]]=1,"Low",IF(HR_Data[[#This Row],[JobSatisfaction]]=2,"Medium",IF(HR_Data[[#This Row],[JobSatisfaction]]=3,"High","Very High")))</f>
        <v>Very High</v>
      </c>
      <c r="AP295" t="str">
        <f>IF(HR_Data[[#This Row],[WorkLifeBalance]]=1,"Bad",IF(HR_Data[[#This Row],[WorkLifeBalance]]=2,"Good",IF(HR_Data[[#This Row],[WorkLifeBalance]]=3,"Better","Best")))</f>
        <v>Better</v>
      </c>
    </row>
    <row r="296" spans="1:42"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IF(HR_Data[[#This Row],[Attrition]]="Yes",1,0)</f>
        <v>0</v>
      </c>
      <c r="AK296">
        <f>IF(HR_Data[[#This Row],[Attrition]]="No",1,0)</f>
        <v>1</v>
      </c>
      <c r="AL296" t="str">
        <f>IF(HR_Data[[#This Row],[Age]]&lt;25,"Under 25",IF(HR_Data[[#This Row],[Age]]&lt;=34,"25-34",IF(HR_Data[[#This Row],[Age]]&lt;=44,"35-44",IF(HR_Data[[#This Row],[Age]]&lt;=54,"45-54","55+"))))</f>
        <v>35-44</v>
      </c>
      <c r="AM296" t="str">
        <f>IF(HR_Data[[#This Row],[MonthlyIncome]]&lt;3000,"Low Salary",IF(HR_Data[[#This Row],[MonthlyIncome]]&lt;=7000,"Medium Salary","High Salary"))</f>
        <v>Low Salary</v>
      </c>
      <c r="AN296" t="str">
        <f>IF(HR_Data[[#This Row],[YearsAtCompany]]&lt;2,"0-1 Years",IF(HR_Data[[#This Row],[YearsAtCompany]]&lt;=5,"2-5 Years",IF(HR_Data[[#This Row],[YearsAtCompany]]&lt;=10,"6-10 Years","10+ Years")))</f>
        <v>2-5 Years</v>
      </c>
      <c r="AO296" t="str">
        <f>IF(HR_Data[[#This Row],[JobSatisfaction]]=1,"Low",IF(HR_Data[[#This Row],[JobSatisfaction]]=2,"Medium",IF(HR_Data[[#This Row],[JobSatisfaction]]=3,"High","Very High")))</f>
        <v>Very High</v>
      </c>
      <c r="AP296" t="str">
        <f>IF(HR_Data[[#This Row],[WorkLifeBalance]]=1,"Bad",IF(HR_Data[[#This Row],[WorkLifeBalance]]=2,"Good",IF(HR_Data[[#This Row],[WorkLifeBalance]]=3,"Better","Best")))</f>
        <v>Good</v>
      </c>
    </row>
    <row r="297" spans="1:42"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IF(HR_Data[[#This Row],[Attrition]]="Yes",1,0)</f>
        <v>0</v>
      </c>
      <c r="AK297">
        <f>IF(HR_Data[[#This Row],[Attrition]]="No",1,0)</f>
        <v>1</v>
      </c>
      <c r="AL297" t="str">
        <f>IF(HR_Data[[#This Row],[Age]]&lt;25,"Under 25",IF(HR_Data[[#This Row],[Age]]&lt;=34,"25-34",IF(HR_Data[[#This Row],[Age]]&lt;=44,"35-44",IF(HR_Data[[#This Row],[Age]]&lt;=54,"45-54","55+"))))</f>
        <v>35-44</v>
      </c>
      <c r="AM297" t="str">
        <f>IF(HR_Data[[#This Row],[MonthlyIncome]]&lt;3000,"Low Salary",IF(HR_Data[[#This Row],[MonthlyIncome]]&lt;=7000,"Medium Salary","High Salary"))</f>
        <v>High Salary</v>
      </c>
      <c r="AN297" t="str">
        <f>IF(HR_Data[[#This Row],[YearsAtCompany]]&lt;2,"0-1 Years",IF(HR_Data[[#This Row],[YearsAtCompany]]&lt;=5,"2-5 Years",IF(HR_Data[[#This Row],[YearsAtCompany]]&lt;=10,"6-10 Years","10+ Years")))</f>
        <v>10+ Years</v>
      </c>
      <c r="AO297" t="str">
        <f>IF(HR_Data[[#This Row],[JobSatisfaction]]=1,"Low",IF(HR_Data[[#This Row],[JobSatisfaction]]=2,"Medium",IF(HR_Data[[#This Row],[JobSatisfaction]]=3,"High","Very High")))</f>
        <v>Medium</v>
      </c>
      <c r="AP297" t="str">
        <f>IF(HR_Data[[#This Row],[WorkLifeBalance]]=1,"Bad",IF(HR_Data[[#This Row],[WorkLifeBalance]]=2,"Good",IF(HR_Data[[#This Row],[WorkLifeBalance]]=3,"Better","Best")))</f>
        <v>Best</v>
      </c>
    </row>
    <row r="298" spans="1:42"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IF(HR_Data[[#This Row],[Attrition]]="Yes",1,0)</f>
        <v>1</v>
      </c>
      <c r="AK298">
        <f>IF(HR_Data[[#This Row],[Attrition]]="No",1,0)</f>
        <v>0</v>
      </c>
      <c r="AL298" t="str">
        <f>IF(HR_Data[[#This Row],[Age]]&lt;25,"Under 25",IF(HR_Data[[#This Row],[Age]]&lt;=34,"25-34",IF(HR_Data[[#This Row],[Age]]&lt;=44,"35-44",IF(HR_Data[[#This Row],[Age]]&lt;=54,"45-54","55+"))))</f>
        <v>Under 25</v>
      </c>
      <c r="AM298" t="str">
        <f>IF(HR_Data[[#This Row],[MonthlyIncome]]&lt;3000,"Low Salary",IF(HR_Data[[#This Row],[MonthlyIncome]]&lt;=7000,"Medium Salary","High Salary"))</f>
        <v>Low Salary</v>
      </c>
      <c r="AN298" t="str">
        <f>IF(HR_Data[[#This Row],[YearsAtCompany]]&lt;2,"0-1 Years",IF(HR_Data[[#This Row],[YearsAtCompany]]&lt;=5,"2-5 Years",IF(HR_Data[[#This Row],[YearsAtCompany]]&lt;=10,"6-10 Years","10+ Years")))</f>
        <v>0-1 Years</v>
      </c>
      <c r="AO298" t="str">
        <f>IF(HR_Data[[#This Row],[JobSatisfaction]]=1,"Low",IF(HR_Data[[#This Row],[JobSatisfaction]]=2,"Medium",IF(HR_Data[[#This Row],[JobSatisfaction]]=3,"High","Very High")))</f>
        <v>High</v>
      </c>
      <c r="AP298" t="str">
        <f>IF(HR_Data[[#This Row],[WorkLifeBalance]]=1,"Bad",IF(HR_Data[[#This Row],[WorkLifeBalance]]=2,"Good",IF(HR_Data[[#This Row],[WorkLifeBalance]]=3,"Better","Best")))</f>
        <v>Better</v>
      </c>
    </row>
    <row r="299" spans="1:42"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IF(HR_Data[[#This Row],[Attrition]]="Yes",1,0)</f>
        <v>0</v>
      </c>
      <c r="AK299">
        <f>IF(HR_Data[[#This Row],[Attrition]]="No",1,0)</f>
        <v>1</v>
      </c>
      <c r="AL299" t="str">
        <f>IF(HR_Data[[#This Row],[Age]]&lt;25,"Under 25",IF(HR_Data[[#This Row],[Age]]&lt;=34,"25-34",IF(HR_Data[[#This Row],[Age]]&lt;=44,"35-44",IF(HR_Data[[#This Row],[Age]]&lt;=54,"45-54","55+"))))</f>
        <v>35-44</v>
      </c>
      <c r="AM299" t="str">
        <f>IF(HR_Data[[#This Row],[MonthlyIncome]]&lt;3000,"Low Salary",IF(HR_Data[[#This Row],[MonthlyIncome]]&lt;=7000,"Medium Salary","High Salary"))</f>
        <v>High Salary</v>
      </c>
      <c r="AN299" t="str">
        <f>IF(HR_Data[[#This Row],[YearsAtCompany]]&lt;2,"0-1 Years",IF(HR_Data[[#This Row],[YearsAtCompany]]&lt;=5,"2-5 Years",IF(HR_Data[[#This Row],[YearsAtCompany]]&lt;=10,"6-10 Years","10+ Years")))</f>
        <v>10+ Years</v>
      </c>
      <c r="AO299" t="str">
        <f>IF(HR_Data[[#This Row],[JobSatisfaction]]=1,"Low",IF(HR_Data[[#This Row],[JobSatisfaction]]=2,"Medium",IF(HR_Data[[#This Row],[JobSatisfaction]]=3,"High","Very High")))</f>
        <v>Medium</v>
      </c>
      <c r="AP299" t="str">
        <f>IF(HR_Data[[#This Row],[WorkLifeBalance]]=1,"Bad",IF(HR_Data[[#This Row],[WorkLifeBalance]]=2,"Good",IF(HR_Data[[#This Row],[WorkLifeBalance]]=3,"Better","Best")))</f>
        <v>Good</v>
      </c>
    </row>
    <row r="300" spans="1:42"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IF(HR_Data[[#This Row],[Attrition]]="Yes",1,0)</f>
        <v>0</v>
      </c>
      <c r="AK300">
        <f>IF(HR_Data[[#This Row],[Attrition]]="No",1,0)</f>
        <v>1</v>
      </c>
      <c r="AL300" t="str">
        <f>IF(HR_Data[[#This Row],[Age]]&lt;25,"Under 25",IF(HR_Data[[#This Row],[Age]]&lt;=34,"25-34",IF(HR_Data[[#This Row],[Age]]&lt;=44,"35-44",IF(HR_Data[[#This Row],[Age]]&lt;=54,"45-54","55+"))))</f>
        <v>35-44</v>
      </c>
      <c r="AM300" t="str">
        <f>IF(HR_Data[[#This Row],[MonthlyIncome]]&lt;3000,"Low Salary",IF(HR_Data[[#This Row],[MonthlyIncome]]&lt;=7000,"Medium Salary","High Salary"))</f>
        <v>Medium Salary</v>
      </c>
      <c r="AN300" t="str">
        <f>IF(HR_Data[[#This Row],[YearsAtCompany]]&lt;2,"0-1 Years",IF(HR_Data[[#This Row],[YearsAtCompany]]&lt;=5,"2-5 Years",IF(HR_Data[[#This Row],[YearsAtCompany]]&lt;=10,"6-10 Years","10+ Years")))</f>
        <v>0-1 Years</v>
      </c>
      <c r="AO300" t="str">
        <f>IF(HR_Data[[#This Row],[JobSatisfaction]]=1,"Low",IF(HR_Data[[#This Row],[JobSatisfaction]]=2,"Medium",IF(HR_Data[[#This Row],[JobSatisfaction]]=3,"High","Very High")))</f>
        <v>Very High</v>
      </c>
      <c r="AP300" t="str">
        <f>IF(HR_Data[[#This Row],[WorkLifeBalance]]=1,"Bad",IF(HR_Data[[#This Row],[WorkLifeBalance]]=2,"Good",IF(HR_Data[[#This Row],[WorkLifeBalance]]=3,"Better","Best")))</f>
        <v>Better</v>
      </c>
    </row>
    <row r="301" spans="1:42"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IF(HR_Data[[#This Row],[Attrition]]="Yes",1,0)</f>
        <v>0</v>
      </c>
      <c r="AK301">
        <f>IF(HR_Data[[#This Row],[Attrition]]="No",1,0)</f>
        <v>1</v>
      </c>
      <c r="AL301" t="str">
        <f>IF(HR_Data[[#This Row],[Age]]&lt;25,"Under 25",IF(HR_Data[[#This Row],[Age]]&lt;=34,"25-34",IF(HR_Data[[#This Row],[Age]]&lt;=44,"35-44",IF(HR_Data[[#This Row],[Age]]&lt;=54,"45-54","55+"))))</f>
        <v>45-54</v>
      </c>
      <c r="AM301" t="str">
        <f>IF(HR_Data[[#This Row],[MonthlyIncome]]&lt;3000,"Low Salary",IF(HR_Data[[#This Row],[MonthlyIncome]]&lt;=7000,"Medium Salary","High Salary"))</f>
        <v>Medium Salary</v>
      </c>
      <c r="AN301" t="str">
        <f>IF(HR_Data[[#This Row],[YearsAtCompany]]&lt;2,"0-1 Years",IF(HR_Data[[#This Row],[YearsAtCompany]]&lt;=5,"2-5 Years",IF(HR_Data[[#This Row],[YearsAtCompany]]&lt;=10,"6-10 Years","10+ Years")))</f>
        <v>2-5 Years</v>
      </c>
      <c r="AO301" t="str">
        <f>IF(HR_Data[[#This Row],[JobSatisfaction]]=1,"Low",IF(HR_Data[[#This Row],[JobSatisfaction]]=2,"Medium",IF(HR_Data[[#This Row],[JobSatisfaction]]=3,"High","Very High")))</f>
        <v>Medium</v>
      </c>
      <c r="AP301" t="str">
        <f>IF(HR_Data[[#This Row],[WorkLifeBalance]]=1,"Bad",IF(HR_Data[[#This Row],[WorkLifeBalance]]=2,"Good",IF(HR_Data[[#This Row],[WorkLifeBalance]]=3,"Better","Best")))</f>
        <v>Better</v>
      </c>
    </row>
    <row r="302" spans="1:42"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IF(HR_Data[[#This Row],[Attrition]]="Yes",1,0)</f>
        <v>0</v>
      </c>
      <c r="AK302">
        <f>IF(HR_Data[[#This Row],[Attrition]]="No",1,0)</f>
        <v>1</v>
      </c>
      <c r="AL302" t="str">
        <f>IF(HR_Data[[#This Row],[Age]]&lt;25,"Under 25",IF(HR_Data[[#This Row],[Age]]&lt;=34,"25-34",IF(HR_Data[[#This Row],[Age]]&lt;=44,"35-44",IF(HR_Data[[#This Row],[Age]]&lt;=54,"45-54","55+"))))</f>
        <v>35-44</v>
      </c>
      <c r="AM302" t="str">
        <f>IF(HR_Data[[#This Row],[MonthlyIncome]]&lt;3000,"Low Salary",IF(HR_Data[[#This Row],[MonthlyIncome]]&lt;=7000,"Medium Salary","High Salary"))</f>
        <v>High Salary</v>
      </c>
      <c r="AN302" t="str">
        <f>IF(HR_Data[[#This Row],[YearsAtCompany]]&lt;2,"0-1 Years",IF(HR_Data[[#This Row],[YearsAtCompany]]&lt;=5,"2-5 Years",IF(HR_Data[[#This Row],[YearsAtCompany]]&lt;=10,"6-10 Years","10+ Years")))</f>
        <v>10+ Years</v>
      </c>
      <c r="AO302" t="str">
        <f>IF(HR_Data[[#This Row],[JobSatisfaction]]=1,"Low",IF(HR_Data[[#This Row],[JobSatisfaction]]=2,"Medium",IF(HR_Data[[#This Row],[JobSatisfaction]]=3,"High","Very High")))</f>
        <v>Medium</v>
      </c>
      <c r="AP302" t="str">
        <f>IF(HR_Data[[#This Row],[WorkLifeBalance]]=1,"Bad",IF(HR_Data[[#This Row],[WorkLifeBalance]]=2,"Good",IF(HR_Data[[#This Row],[WorkLifeBalance]]=3,"Better","Best")))</f>
        <v>Better</v>
      </c>
    </row>
    <row r="303" spans="1:42"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IF(HR_Data[[#This Row],[Attrition]]="Yes",1,0)</f>
        <v>0</v>
      </c>
      <c r="AK303">
        <f>IF(HR_Data[[#This Row],[Attrition]]="No",1,0)</f>
        <v>1</v>
      </c>
      <c r="AL303" t="str">
        <f>IF(HR_Data[[#This Row],[Age]]&lt;25,"Under 25",IF(HR_Data[[#This Row],[Age]]&lt;=34,"25-34",IF(HR_Data[[#This Row],[Age]]&lt;=44,"35-44",IF(HR_Data[[#This Row],[Age]]&lt;=54,"45-54","55+"))))</f>
        <v>Under 25</v>
      </c>
      <c r="AM303" t="str">
        <f>IF(HR_Data[[#This Row],[MonthlyIncome]]&lt;3000,"Low Salary",IF(HR_Data[[#This Row],[MonthlyIncome]]&lt;=7000,"Medium Salary","High Salary"))</f>
        <v>Low Salary</v>
      </c>
      <c r="AN303" t="str">
        <f>IF(HR_Data[[#This Row],[YearsAtCompany]]&lt;2,"0-1 Years",IF(HR_Data[[#This Row],[YearsAtCompany]]&lt;=5,"2-5 Years",IF(HR_Data[[#This Row],[YearsAtCompany]]&lt;=10,"6-10 Years","10+ Years")))</f>
        <v>0-1 Years</v>
      </c>
      <c r="AO303" t="str">
        <f>IF(HR_Data[[#This Row],[JobSatisfaction]]=1,"Low",IF(HR_Data[[#This Row],[JobSatisfaction]]=2,"Medium",IF(HR_Data[[#This Row],[JobSatisfaction]]=3,"High","Very High")))</f>
        <v>High</v>
      </c>
      <c r="AP303" t="str">
        <f>IF(HR_Data[[#This Row],[WorkLifeBalance]]=1,"Bad",IF(HR_Data[[#This Row],[WorkLifeBalance]]=2,"Good",IF(HR_Data[[#This Row],[WorkLifeBalance]]=3,"Better","Best")))</f>
        <v>Better</v>
      </c>
    </row>
    <row r="304" spans="1:42"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IF(HR_Data[[#This Row],[Attrition]]="Yes",1,0)</f>
        <v>0</v>
      </c>
      <c r="AK304">
        <f>IF(HR_Data[[#This Row],[Attrition]]="No",1,0)</f>
        <v>1</v>
      </c>
      <c r="AL304" t="str">
        <f>IF(HR_Data[[#This Row],[Age]]&lt;25,"Under 25",IF(HR_Data[[#This Row],[Age]]&lt;=34,"25-34",IF(HR_Data[[#This Row],[Age]]&lt;=44,"35-44",IF(HR_Data[[#This Row],[Age]]&lt;=54,"45-54","55+"))))</f>
        <v>25-34</v>
      </c>
      <c r="AM304" t="str">
        <f>IF(HR_Data[[#This Row],[MonthlyIncome]]&lt;3000,"Low Salary",IF(HR_Data[[#This Row],[MonthlyIncome]]&lt;=7000,"Medium Salary","High Salary"))</f>
        <v>Medium Salary</v>
      </c>
      <c r="AN304" t="str">
        <f>IF(HR_Data[[#This Row],[YearsAtCompany]]&lt;2,"0-1 Years",IF(HR_Data[[#This Row],[YearsAtCompany]]&lt;=5,"2-5 Years",IF(HR_Data[[#This Row],[YearsAtCompany]]&lt;=10,"6-10 Years","10+ Years")))</f>
        <v>6-10 Years</v>
      </c>
      <c r="AO304" t="str">
        <f>IF(HR_Data[[#This Row],[JobSatisfaction]]=1,"Low",IF(HR_Data[[#This Row],[JobSatisfaction]]=2,"Medium",IF(HR_Data[[#This Row],[JobSatisfaction]]=3,"High","Very High")))</f>
        <v>Low</v>
      </c>
      <c r="AP304" t="str">
        <f>IF(HR_Data[[#This Row],[WorkLifeBalance]]=1,"Bad",IF(HR_Data[[#This Row],[WorkLifeBalance]]=2,"Good",IF(HR_Data[[#This Row],[WorkLifeBalance]]=3,"Better","Best")))</f>
        <v>Better</v>
      </c>
    </row>
    <row r="305" spans="1:42"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IF(HR_Data[[#This Row],[Attrition]]="Yes",1,0)</f>
        <v>0</v>
      </c>
      <c r="AK305">
        <f>IF(HR_Data[[#This Row],[Attrition]]="No",1,0)</f>
        <v>1</v>
      </c>
      <c r="AL305" t="str">
        <f>IF(HR_Data[[#This Row],[Age]]&lt;25,"Under 25",IF(HR_Data[[#This Row],[Age]]&lt;=34,"25-34",IF(HR_Data[[#This Row],[Age]]&lt;=44,"35-44",IF(HR_Data[[#This Row],[Age]]&lt;=54,"45-54","55+"))))</f>
        <v>25-34</v>
      </c>
      <c r="AM305" t="str">
        <f>IF(HR_Data[[#This Row],[MonthlyIncome]]&lt;3000,"Low Salary",IF(HR_Data[[#This Row],[MonthlyIncome]]&lt;=7000,"Medium Salary","High Salary"))</f>
        <v>Medium Salary</v>
      </c>
      <c r="AN305" t="str">
        <f>IF(HR_Data[[#This Row],[YearsAtCompany]]&lt;2,"0-1 Years",IF(HR_Data[[#This Row],[YearsAtCompany]]&lt;=5,"2-5 Years",IF(HR_Data[[#This Row],[YearsAtCompany]]&lt;=10,"6-10 Years","10+ Years")))</f>
        <v>6-10 Years</v>
      </c>
      <c r="AO305" t="str">
        <f>IF(HR_Data[[#This Row],[JobSatisfaction]]=1,"Low",IF(HR_Data[[#This Row],[JobSatisfaction]]=2,"Medium",IF(HR_Data[[#This Row],[JobSatisfaction]]=3,"High","Very High")))</f>
        <v>Very High</v>
      </c>
      <c r="AP305" t="str">
        <f>IF(HR_Data[[#This Row],[WorkLifeBalance]]=1,"Bad",IF(HR_Data[[#This Row],[WorkLifeBalance]]=2,"Good",IF(HR_Data[[#This Row],[WorkLifeBalance]]=3,"Better","Best")))</f>
        <v>Good</v>
      </c>
    </row>
    <row r="306" spans="1:42"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IF(HR_Data[[#This Row],[Attrition]]="Yes",1,0)</f>
        <v>0</v>
      </c>
      <c r="AK306">
        <f>IF(HR_Data[[#This Row],[Attrition]]="No",1,0)</f>
        <v>1</v>
      </c>
      <c r="AL306" t="str">
        <f>IF(HR_Data[[#This Row],[Age]]&lt;25,"Under 25",IF(HR_Data[[#This Row],[Age]]&lt;=34,"25-34",IF(HR_Data[[#This Row],[Age]]&lt;=44,"35-44",IF(HR_Data[[#This Row],[Age]]&lt;=54,"45-54","55+"))))</f>
        <v>35-44</v>
      </c>
      <c r="AM306" t="str">
        <f>IF(HR_Data[[#This Row],[MonthlyIncome]]&lt;3000,"Low Salary",IF(HR_Data[[#This Row],[MonthlyIncome]]&lt;=7000,"Medium Salary","High Salary"))</f>
        <v>High Salary</v>
      </c>
      <c r="AN306" t="str">
        <f>IF(HR_Data[[#This Row],[YearsAtCompany]]&lt;2,"0-1 Years",IF(HR_Data[[#This Row],[YearsAtCompany]]&lt;=5,"2-5 Years",IF(HR_Data[[#This Row],[YearsAtCompany]]&lt;=10,"6-10 Years","10+ Years")))</f>
        <v>10+ Years</v>
      </c>
      <c r="AO306" t="str">
        <f>IF(HR_Data[[#This Row],[JobSatisfaction]]=1,"Low",IF(HR_Data[[#This Row],[JobSatisfaction]]=2,"Medium",IF(HR_Data[[#This Row],[JobSatisfaction]]=3,"High","Very High")))</f>
        <v>Very High</v>
      </c>
      <c r="AP306" t="str">
        <f>IF(HR_Data[[#This Row],[WorkLifeBalance]]=1,"Bad",IF(HR_Data[[#This Row],[WorkLifeBalance]]=2,"Good",IF(HR_Data[[#This Row],[WorkLifeBalance]]=3,"Better","Best")))</f>
        <v>Good</v>
      </c>
    </row>
    <row r="307" spans="1:42"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IF(HR_Data[[#This Row],[Attrition]]="Yes",1,0)</f>
        <v>0</v>
      </c>
      <c r="AK307">
        <f>IF(HR_Data[[#This Row],[Attrition]]="No",1,0)</f>
        <v>1</v>
      </c>
      <c r="AL307" t="str">
        <f>IF(HR_Data[[#This Row],[Age]]&lt;25,"Under 25",IF(HR_Data[[#This Row],[Age]]&lt;=34,"25-34",IF(HR_Data[[#This Row],[Age]]&lt;=44,"35-44",IF(HR_Data[[#This Row],[Age]]&lt;=54,"45-54","55+"))))</f>
        <v>35-44</v>
      </c>
      <c r="AM307" t="str">
        <f>IF(HR_Data[[#This Row],[MonthlyIncome]]&lt;3000,"Low Salary",IF(HR_Data[[#This Row],[MonthlyIncome]]&lt;=7000,"Medium Salary","High Salary"))</f>
        <v>Medium Salary</v>
      </c>
      <c r="AN307" t="str">
        <f>IF(HR_Data[[#This Row],[YearsAtCompany]]&lt;2,"0-1 Years",IF(HR_Data[[#This Row],[YearsAtCompany]]&lt;=5,"2-5 Years",IF(HR_Data[[#This Row],[YearsAtCompany]]&lt;=10,"6-10 Years","10+ Years")))</f>
        <v>6-10 Years</v>
      </c>
      <c r="AO307" t="str">
        <f>IF(HR_Data[[#This Row],[JobSatisfaction]]=1,"Low",IF(HR_Data[[#This Row],[JobSatisfaction]]=2,"Medium",IF(HR_Data[[#This Row],[JobSatisfaction]]=3,"High","Very High")))</f>
        <v>Medium</v>
      </c>
      <c r="AP307" t="str">
        <f>IF(HR_Data[[#This Row],[WorkLifeBalance]]=1,"Bad",IF(HR_Data[[#This Row],[WorkLifeBalance]]=2,"Good",IF(HR_Data[[#This Row],[WorkLifeBalance]]=3,"Better","Best")))</f>
        <v>Better</v>
      </c>
    </row>
    <row r="308" spans="1:42"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IF(HR_Data[[#This Row],[Attrition]]="Yes",1,0)</f>
        <v>0</v>
      </c>
      <c r="AK308">
        <f>IF(HR_Data[[#This Row],[Attrition]]="No",1,0)</f>
        <v>1</v>
      </c>
      <c r="AL308" t="str">
        <f>IF(HR_Data[[#This Row],[Age]]&lt;25,"Under 25",IF(HR_Data[[#This Row],[Age]]&lt;=34,"25-34",IF(HR_Data[[#This Row],[Age]]&lt;=44,"35-44",IF(HR_Data[[#This Row],[Age]]&lt;=54,"45-54","55+"))))</f>
        <v>25-34</v>
      </c>
      <c r="AM308" t="str">
        <f>IF(HR_Data[[#This Row],[MonthlyIncome]]&lt;3000,"Low Salary",IF(HR_Data[[#This Row],[MonthlyIncome]]&lt;=7000,"Medium Salary","High Salary"))</f>
        <v>Medium Salary</v>
      </c>
      <c r="AN308" t="str">
        <f>IF(HR_Data[[#This Row],[YearsAtCompany]]&lt;2,"0-1 Years",IF(HR_Data[[#This Row],[YearsAtCompany]]&lt;=5,"2-5 Years",IF(HR_Data[[#This Row],[YearsAtCompany]]&lt;=10,"6-10 Years","10+ Years")))</f>
        <v>10+ Years</v>
      </c>
      <c r="AO308" t="str">
        <f>IF(HR_Data[[#This Row],[JobSatisfaction]]=1,"Low",IF(HR_Data[[#This Row],[JobSatisfaction]]=2,"Medium",IF(HR_Data[[#This Row],[JobSatisfaction]]=3,"High","Very High")))</f>
        <v>High</v>
      </c>
      <c r="AP308" t="str">
        <f>IF(HR_Data[[#This Row],[WorkLifeBalance]]=1,"Bad",IF(HR_Data[[#This Row],[WorkLifeBalance]]=2,"Good",IF(HR_Data[[#This Row],[WorkLifeBalance]]=3,"Better","Best")))</f>
        <v>Good</v>
      </c>
    </row>
    <row r="309" spans="1:42"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IF(HR_Data[[#This Row],[Attrition]]="Yes",1,0)</f>
        <v>0</v>
      </c>
      <c r="AK309">
        <f>IF(HR_Data[[#This Row],[Attrition]]="No",1,0)</f>
        <v>1</v>
      </c>
      <c r="AL309" t="str">
        <f>IF(HR_Data[[#This Row],[Age]]&lt;25,"Under 25",IF(HR_Data[[#This Row],[Age]]&lt;=34,"25-34",IF(HR_Data[[#This Row],[Age]]&lt;=44,"35-44",IF(HR_Data[[#This Row],[Age]]&lt;=54,"45-54","55+"))))</f>
        <v>35-44</v>
      </c>
      <c r="AM309" t="str">
        <f>IF(HR_Data[[#This Row],[MonthlyIncome]]&lt;3000,"Low Salary",IF(HR_Data[[#This Row],[MonthlyIncome]]&lt;=7000,"Medium Salary","High Salary"))</f>
        <v>High Salary</v>
      </c>
      <c r="AN309" t="str">
        <f>IF(HR_Data[[#This Row],[YearsAtCompany]]&lt;2,"0-1 Years",IF(HR_Data[[#This Row],[YearsAtCompany]]&lt;=5,"2-5 Years",IF(HR_Data[[#This Row],[YearsAtCompany]]&lt;=10,"6-10 Years","10+ Years")))</f>
        <v>6-10 Years</v>
      </c>
      <c r="AO309" t="str">
        <f>IF(HR_Data[[#This Row],[JobSatisfaction]]=1,"Low",IF(HR_Data[[#This Row],[JobSatisfaction]]=2,"Medium",IF(HR_Data[[#This Row],[JobSatisfaction]]=3,"High","Very High")))</f>
        <v>Medium</v>
      </c>
      <c r="AP309" t="str">
        <f>IF(HR_Data[[#This Row],[WorkLifeBalance]]=1,"Bad",IF(HR_Data[[#This Row],[WorkLifeBalance]]=2,"Good",IF(HR_Data[[#This Row],[WorkLifeBalance]]=3,"Better","Best")))</f>
        <v>Better</v>
      </c>
    </row>
    <row r="310" spans="1:42"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IF(HR_Data[[#This Row],[Attrition]]="Yes",1,0)</f>
        <v>0</v>
      </c>
      <c r="AK310">
        <f>IF(HR_Data[[#This Row],[Attrition]]="No",1,0)</f>
        <v>1</v>
      </c>
      <c r="AL310" t="str">
        <f>IF(HR_Data[[#This Row],[Age]]&lt;25,"Under 25",IF(HR_Data[[#This Row],[Age]]&lt;=34,"25-34",IF(HR_Data[[#This Row],[Age]]&lt;=44,"35-44",IF(HR_Data[[#This Row],[Age]]&lt;=54,"45-54","55+"))))</f>
        <v>55+</v>
      </c>
      <c r="AM310" t="str">
        <f>IF(HR_Data[[#This Row],[MonthlyIncome]]&lt;3000,"Low Salary",IF(HR_Data[[#This Row],[MonthlyIncome]]&lt;=7000,"Medium Salary","High Salary"))</f>
        <v>Medium Salary</v>
      </c>
      <c r="AN310" t="str">
        <f>IF(HR_Data[[#This Row],[YearsAtCompany]]&lt;2,"0-1 Years",IF(HR_Data[[#This Row],[YearsAtCompany]]&lt;=5,"2-5 Years",IF(HR_Data[[#This Row],[YearsAtCompany]]&lt;=10,"6-10 Years","10+ Years")))</f>
        <v>2-5 Years</v>
      </c>
      <c r="AO310" t="str">
        <f>IF(HR_Data[[#This Row],[JobSatisfaction]]=1,"Low",IF(HR_Data[[#This Row],[JobSatisfaction]]=2,"Medium",IF(HR_Data[[#This Row],[JobSatisfaction]]=3,"High","Very High")))</f>
        <v>High</v>
      </c>
      <c r="AP310" t="str">
        <f>IF(HR_Data[[#This Row],[WorkLifeBalance]]=1,"Bad",IF(HR_Data[[#This Row],[WorkLifeBalance]]=2,"Good",IF(HR_Data[[#This Row],[WorkLifeBalance]]=3,"Better","Best")))</f>
        <v>Better</v>
      </c>
    </row>
    <row r="311" spans="1:42"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IF(HR_Data[[#This Row],[Attrition]]="Yes",1,0)</f>
        <v>0</v>
      </c>
      <c r="AK311">
        <f>IF(HR_Data[[#This Row],[Attrition]]="No",1,0)</f>
        <v>1</v>
      </c>
      <c r="AL311" t="str">
        <f>IF(HR_Data[[#This Row],[Age]]&lt;25,"Under 25",IF(HR_Data[[#This Row],[Age]]&lt;=34,"25-34",IF(HR_Data[[#This Row],[Age]]&lt;=44,"35-44",IF(HR_Data[[#This Row],[Age]]&lt;=54,"45-54","55+"))))</f>
        <v>25-34</v>
      </c>
      <c r="AM311" t="str">
        <f>IF(HR_Data[[#This Row],[MonthlyIncome]]&lt;3000,"Low Salary",IF(HR_Data[[#This Row],[MonthlyIncome]]&lt;=7000,"Medium Salary","High Salary"))</f>
        <v>Medium Salary</v>
      </c>
      <c r="AN311" t="str">
        <f>IF(HR_Data[[#This Row],[YearsAtCompany]]&lt;2,"0-1 Years",IF(HR_Data[[#This Row],[YearsAtCompany]]&lt;=5,"2-5 Years",IF(HR_Data[[#This Row],[YearsAtCompany]]&lt;=10,"6-10 Years","10+ Years")))</f>
        <v>2-5 Years</v>
      </c>
      <c r="AO311" t="str">
        <f>IF(HR_Data[[#This Row],[JobSatisfaction]]=1,"Low",IF(HR_Data[[#This Row],[JobSatisfaction]]=2,"Medium",IF(HR_Data[[#This Row],[JobSatisfaction]]=3,"High","Very High")))</f>
        <v>Very High</v>
      </c>
      <c r="AP311" t="str">
        <f>IF(HR_Data[[#This Row],[WorkLifeBalance]]=1,"Bad",IF(HR_Data[[#This Row],[WorkLifeBalance]]=2,"Good",IF(HR_Data[[#This Row],[WorkLifeBalance]]=3,"Better","Best")))</f>
        <v>Better</v>
      </c>
    </row>
    <row r="312" spans="1:42"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IF(HR_Data[[#This Row],[Attrition]]="Yes",1,0)</f>
        <v>0</v>
      </c>
      <c r="AK312">
        <f>IF(HR_Data[[#This Row],[Attrition]]="No",1,0)</f>
        <v>1</v>
      </c>
      <c r="AL312" t="str">
        <f>IF(HR_Data[[#This Row],[Age]]&lt;25,"Under 25",IF(HR_Data[[#This Row],[Age]]&lt;=34,"25-34",IF(HR_Data[[#This Row],[Age]]&lt;=44,"35-44",IF(HR_Data[[#This Row],[Age]]&lt;=54,"45-54","55+"))))</f>
        <v>25-34</v>
      </c>
      <c r="AM312" t="str">
        <f>IF(HR_Data[[#This Row],[MonthlyIncome]]&lt;3000,"Low Salary",IF(HR_Data[[#This Row],[MonthlyIncome]]&lt;=7000,"Medium Salary","High Salary"))</f>
        <v>Medium Salary</v>
      </c>
      <c r="AN312" t="str">
        <f>IF(HR_Data[[#This Row],[YearsAtCompany]]&lt;2,"0-1 Years",IF(HR_Data[[#This Row],[YearsAtCompany]]&lt;=5,"2-5 Years",IF(HR_Data[[#This Row],[YearsAtCompany]]&lt;=10,"6-10 Years","10+ Years")))</f>
        <v>2-5 Years</v>
      </c>
      <c r="AO312" t="str">
        <f>IF(HR_Data[[#This Row],[JobSatisfaction]]=1,"Low",IF(HR_Data[[#This Row],[JobSatisfaction]]=2,"Medium",IF(HR_Data[[#This Row],[JobSatisfaction]]=3,"High","Very High")))</f>
        <v>Low</v>
      </c>
      <c r="AP312" t="str">
        <f>IF(HR_Data[[#This Row],[WorkLifeBalance]]=1,"Bad",IF(HR_Data[[#This Row],[WorkLifeBalance]]=2,"Good",IF(HR_Data[[#This Row],[WorkLifeBalance]]=3,"Better","Best")))</f>
        <v>Better</v>
      </c>
    </row>
    <row r="313" spans="1:42"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IF(HR_Data[[#This Row],[Attrition]]="Yes",1,0)</f>
        <v>0</v>
      </c>
      <c r="AK313">
        <f>IF(HR_Data[[#This Row],[Attrition]]="No",1,0)</f>
        <v>1</v>
      </c>
      <c r="AL313" t="str">
        <f>IF(HR_Data[[#This Row],[Age]]&lt;25,"Under 25",IF(HR_Data[[#This Row],[Age]]&lt;=34,"25-34",IF(HR_Data[[#This Row],[Age]]&lt;=44,"35-44",IF(HR_Data[[#This Row],[Age]]&lt;=54,"45-54","55+"))))</f>
        <v>45-54</v>
      </c>
      <c r="AM313" t="str">
        <f>IF(HR_Data[[#This Row],[MonthlyIncome]]&lt;3000,"Low Salary",IF(HR_Data[[#This Row],[MonthlyIncome]]&lt;=7000,"Medium Salary","High Salary"))</f>
        <v>Medium Salary</v>
      </c>
      <c r="AN313" t="str">
        <f>IF(HR_Data[[#This Row],[YearsAtCompany]]&lt;2,"0-1 Years",IF(HR_Data[[#This Row],[YearsAtCompany]]&lt;=5,"2-5 Years",IF(HR_Data[[#This Row],[YearsAtCompany]]&lt;=10,"6-10 Years","10+ Years")))</f>
        <v>10+ Years</v>
      </c>
      <c r="AO313" t="str">
        <f>IF(HR_Data[[#This Row],[JobSatisfaction]]=1,"Low",IF(HR_Data[[#This Row],[JobSatisfaction]]=2,"Medium",IF(HR_Data[[#This Row],[JobSatisfaction]]=3,"High","Very High")))</f>
        <v>Low</v>
      </c>
      <c r="AP313" t="str">
        <f>IF(HR_Data[[#This Row],[WorkLifeBalance]]=1,"Bad",IF(HR_Data[[#This Row],[WorkLifeBalance]]=2,"Good",IF(HR_Data[[#This Row],[WorkLifeBalance]]=3,"Better","Best")))</f>
        <v>Better</v>
      </c>
    </row>
    <row r="314" spans="1:42"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IF(HR_Data[[#This Row],[Attrition]]="Yes",1,0)</f>
        <v>0</v>
      </c>
      <c r="AK314">
        <f>IF(HR_Data[[#This Row],[Attrition]]="No",1,0)</f>
        <v>1</v>
      </c>
      <c r="AL314" t="str">
        <f>IF(HR_Data[[#This Row],[Age]]&lt;25,"Under 25",IF(HR_Data[[#This Row],[Age]]&lt;=34,"25-34",IF(HR_Data[[#This Row],[Age]]&lt;=44,"35-44",IF(HR_Data[[#This Row],[Age]]&lt;=54,"45-54","55+"))))</f>
        <v>25-34</v>
      </c>
      <c r="AM314" t="str">
        <f>IF(HR_Data[[#This Row],[MonthlyIncome]]&lt;3000,"Low Salary",IF(HR_Data[[#This Row],[MonthlyIncome]]&lt;=7000,"Medium Salary","High Salary"))</f>
        <v>Low Salary</v>
      </c>
      <c r="AN314" t="str">
        <f>IF(HR_Data[[#This Row],[YearsAtCompany]]&lt;2,"0-1 Years",IF(HR_Data[[#This Row],[YearsAtCompany]]&lt;=5,"2-5 Years",IF(HR_Data[[#This Row],[YearsAtCompany]]&lt;=10,"6-10 Years","10+ Years")))</f>
        <v>2-5 Years</v>
      </c>
      <c r="AO314" t="str">
        <f>IF(HR_Data[[#This Row],[JobSatisfaction]]=1,"Low",IF(HR_Data[[#This Row],[JobSatisfaction]]=2,"Medium",IF(HR_Data[[#This Row],[JobSatisfaction]]=3,"High","Very High")))</f>
        <v>Very High</v>
      </c>
      <c r="AP314" t="str">
        <f>IF(HR_Data[[#This Row],[WorkLifeBalance]]=1,"Bad",IF(HR_Data[[#This Row],[WorkLifeBalance]]=2,"Good",IF(HR_Data[[#This Row],[WorkLifeBalance]]=3,"Better","Best")))</f>
        <v>Bad</v>
      </c>
    </row>
    <row r="315" spans="1:42"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IF(HR_Data[[#This Row],[Attrition]]="Yes",1,0)</f>
        <v>0</v>
      </c>
      <c r="AK315">
        <f>IF(HR_Data[[#This Row],[Attrition]]="No",1,0)</f>
        <v>1</v>
      </c>
      <c r="AL315" t="str">
        <f>IF(HR_Data[[#This Row],[Age]]&lt;25,"Under 25",IF(HR_Data[[#This Row],[Age]]&lt;=34,"25-34",IF(HR_Data[[#This Row],[Age]]&lt;=44,"35-44",IF(HR_Data[[#This Row],[Age]]&lt;=54,"45-54","55+"))))</f>
        <v>25-34</v>
      </c>
      <c r="AM315" t="str">
        <f>IF(HR_Data[[#This Row],[MonthlyIncome]]&lt;3000,"Low Salary",IF(HR_Data[[#This Row],[MonthlyIncome]]&lt;=7000,"Medium Salary","High Salary"))</f>
        <v>High Salary</v>
      </c>
      <c r="AN315" t="str">
        <f>IF(HR_Data[[#This Row],[YearsAtCompany]]&lt;2,"0-1 Years",IF(HR_Data[[#This Row],[YearsAtCompany]]&lt;=5,"2-5 Years",IF(HR_Data[[#This Row],[YearsAtCompany]]&lt;=10,"6-10 Years","10+ Years")))</f>
        <v>6-10 Years</v>
      </c>
      <c r="AO315" t="str">
        <f>IF(HR_Data[[#This Row],[JobSatisfaction]]=1,"Low",IF(HR_Data[[#This Row],[JobSatisfaction]]=2,"Medium",IF(HR_Data[[#This Row],[JobSatisfaction]]=3,"High","Very High")))</f>
        <v>Medium</v>
      </c>
      <c r="AP315" t="str">
        <f>IF(HR_Data[[#This Row],[WorkLifeBalance]]=1,"Bad",IF(HR_Data[[#This Row],[WorkLifeBalance]]=2,"Good",IF(HR_Data[[#This Row],[WorkLifeBalance]]=3,"Better","Best")))</f>
        <v>Better</v>
      </c>
    </row>
    <row r="316" spans="1:42"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IF(HR_Data[[#This Row],[Attrition]]="Yes",1,0)</f>
        <v>0</v>
      </c>
      <c r="AK316">
        <f>IF(HR_Data[[#This Row],[Attrition]]="No",1,0)</f>
        <v>1</v>
      </c>
      <c r="AL316" t="str">
        <f>IF(HR_Data[[#This Row],[Age]]&lt;25,"Under 25",IF(HR_Data[[#This Row],[Age]]&lt;=34,"25-34",IF(HR_Data[[#This Row],[Age]]&lt;=44,"35-44",IF(HR_Data[[#This Row],[Age]]&lt;=54,"45-54","55+"))))</f>
        <v>35-44</v>
      </c>
      <c r="AM316" t="str">
        <f>IF(HR_Data[[#This Row],[MonthlyIncome]]&lt;3000,"Low Salary",IF(HR_Data[[#This Row],[MonthlyIncome]]&lt;=7000,"Medium Salary","High Salary"))</f>
        <v>High Salary</v>
      </c>
      <c r="AN316" t="str">
        <f>IF(HR_Data[[#This Row],[YearsAtCompany]]&lt;2,"0-1 Years",IF(HR_Data[[#This Row],[YearsAtCompany]]&lt;=5,"2-5 Years",IF(HR_Data[[#This Row],[YearsAtCompany]]&lt;=10,"6-10 Years","10+ Years")))</f>
        <v>10+ Years</v>
      </c>
      <c r="AO316" t="str">
        <f>IF(HR_Data[[#This Row],[JobSatisfaction]]=1,"Low",IF(HR_Data[[#This Row],[JobSatisfaction]]=2,"Medium",IF(HR_Data[[#This Row],[JobSatisfaction]]=3,"High","Very High")))</f>
        <v>Low</v>
      </c>
      <c r="AP316" t="str">
        <f>IF(HR_Data[[#This Row],[WorkLifeBalance]]=1,"Bad",IF(HR_Data[[#This Row],[WorkLifeBalance]]=2,"Good",IF(HR_Data[[#This Row],[WorkLifeBalance]]=3,"Better","Best")))</f>
        <v>Better</v>
      </c>
    </row>
    <row r="317" spans="1:42"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IF(HR_Data[[#This Row],[Attrition]]="Yes",1,0)</f>
        <v>0</v>
      </c>
      <c r="AK317">
        <f>IF(HR_Data[[#This Row],[Attrition]]="No",1,0)</f>
        <v>1</v>
      </c>
      <c r="AL317" t="str">
        <f>IF(HR_Data[[#This Row],[Age]]&lt;25,"Under 25",IF(HR_Data[[#This Row],[Age]]&lt;=34,"25-34",IF(HR_Data[[#This Row],[Age]]&lt;=44,"35-44",IF(HR_Data[[#This Row],[Age]]&lt;=54,"45-54","55+"))))</f>
        <v>35-44</v>
      </c>
      <c r="AM317" t="str">
        <f>IF(HR_Data[[#This Row],[MonthlyIncome]]&lt;3000,"Low Salary",IF(HR_Data[[#This Row],[MonthlyIncome]]&lt;=7000,"Medium Salary","High Salary"))</f>
        <v>Low Salary</v>
      </c>
      <c r="AN317" t="str">
        <f>IF(HR_Data[[#This Row],[YearsAtCompany]]&lt;2,"0-1 Years",IF(HR_Data[[#This Row],[YearsAtCompany]]&lt;=5,"2-5 Years",IF(HR_Data[[#This Row],[YearsAtCompany]]&lt;=10,"6-10 Years","10+ Years")))</f>
        <v>6-10 Years</v>
      </c>
      <c r="AO317" t="str">
        <f>IF(HR_Data[[#This Row],[JobSatisfaction]]=1,"Low",IF(HR_Data[[#This Row],[JobSatisfaction]]=2,"Medium",IF(HR_Data[[#This Row],[JobSatisfaction]]=3,"High","Very High")))</f>
        <v>Very High</v>
      </c>
      <c r="AP317" t="str">
        <f>IF(HR_Data[[#This Row],[WorkLifeBalance]]=1,"Bad",IF(HR_Data[[#This Row],[WorkLifeBalance]]=2,"Good",IF(HR_Data[[#This Row],[WorkLifeBalance]]=3,"Better","Best")))</f>
        <v>Better</v>
      </c>
    </row>
    <row r="318" spans="1:42"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IF(HR_Data[[#This Row],[Attrition]]="Yes",1,0)</f>
        <v>0</v>
      </c>
      <c r="AK318">
        <f>IF(HR_Data[[#This Row],[Attrition]]="No",1,0)</f>
        <v>1</v>
      </c>
      <c r="AL318" t="str">
        <f>IF(HR_Data[[#This Row],[Age]]&lt;25,"Under 25",IF(HR_Data[[#This Row],[Age]]&lt;=34,"25-34",IF(HR_Data[[#This Row],[Age]]&lt;=44,"35-44",IF(HR_Data[[#This Row],[Age]]&lt;=54,"45-54","55+"))))</f>
        <v>45-54</v>
      </c>
      <c r="AM318" t="str">
        <f>IF(HR_Data[[#This Row],[MonthlyIncome]]&lt;3000,"Low Salary",IF(HR_Data[[#This Row],[MonthlyIncome]]&lt;=7000,"Medium Salary","High Salary"))</f>
        <v>High Salary</v>
      </c>
      <c r="AN318" t="str">
        <f>IF(HR_Data[[#This Row],[YearsAtCompany]]&lt;2,"0-1 Years",IF(HR_Data[[#This Row],[YearsAtCompany]]&lt;=5,"2-5 Years",IF(HR_Data[[#This Row],[YearsAtCompany]]&lt;=10,"6-10 Years","10+ Years")))</f>
        <v>6-10 Years</v>
      </c>
      <c r="AO318" t="str">
        <f>IF(HR_Data[[#This Row],[JobSatisfaction]]=1,"Low",IF(HR_Data[[#This Row],[JobSatisfaction]]=2,"Medium",IF(HR_Data[[#This Row],[JobSatisfaction]]=3,"High","Very High")))</f>
        <v>High</v>
      </c>
      <c r="AP318" t="str">
        <f>IF(HR_Data[[#This Row],[WorkLifeBalance]]=1,"Bad",IF(HR_Data[[#This Row],[WorkLifeBalance]]=2,"Good",IF(HR_Data[[#This Row],[WorkLifeBalance]]=3,"Better","Best")))</f>
        <v>Better</v>
      </c>
    </row>
    <row r="319" spans="1:42"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IF(HR_Data[[#This Row],[Attrition]]="Yes",1,0)</f>
        <v>1</v>
      </c>
      <c r="AK319">
        <f>IF(HR_Data[[#This Row],[Attrition]]="No",1,0)</f>
        <v>0</v>
      </c>
      <c r="AL319" t="str">
        <f>IF(HR_Data[[#This Row],[Age]]&lt;25,"Under 25",IF(HR_Data[[#This Row],[Age]]&lt;=34,"25-34",IF(HR_Data[[#This Row],[Age]]&lt;=44,"35-44",IF(HR_Data[[#This Row],[Age]]&lt;=54,"45-54","55+"))))</f>
        <v>45-54</v>
      </c>
      <c r="AM319" t="str">
        <f>IF(HR_Data[[#This Row],[MonthlyIncome]]&lt;3000,"Low Salary",IF(HR_Data[[#This Row],[MonthlyIncome]]&lt;=7000,"Medium Salary","High Salary"))</f>
        <v>Medium Salary</v>
      </c>
      <c r="AN319" t="str">
        <f>IF(HR_Data[[#This Row],[YearsAtCompany]]&lt;2,"0-1 Years",IF(HR_Data[[#This Row],[YearsAtCompany]]&lt;=5,"2-5 Years",IF(HR_Data[[#This Row],[YearsAtCompany]]&lt;=10,"6-10 Years","10+ Years")))</f>
        <v>6-10 Years</v>
      </c>
      <c r="AO319" t="str">
        <f>IF(HR_Data[[#This Row],[JobSatisfaction]]=1,"Low",IF(HR_Data[[#This Row],[JobSatisfaction]]=2,"Medium",IF(HR_Data[[#This Row],[JobSatisfaction]]=3,"High","Very High")))</f>
        <v>Medium</v>
      </c>
      <c r="AP319" t="str">
        <f>IF(HR_Data[[#This Row],[WorkLifeBalance]]=1,"Bad",IF(HR_Data[[#This Row],[WorkLifeBalance]]=2,"Good",IF(HR_Data[[#This Row],[WorkLifeBalance]]=3,"Better","Best")))</f>
        <v>Good</v>
      </c>
    </row>
    <row r="320" spans="1:42"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IF(HR_Data[[#This Row],[Attrition]]="Yes",1,0)</f>
        <v>0</v>
      </c>
      <c r="AK320">
        <f>IF(HR_Data[[#This Row],[Attrition]]="No",1,0)</f>
        <v>1</v>
      </c>
      <c r="AL320" t="str">
        <f>IF(HR_Data[[#This Row],[Age]]&lt;25,"Under 25",IF(HR_Data[[#This Row],[Age]]&lt;=34,"25-34",IF(HR_Data[[#This Row],[Age]]&lt;=44,"35-44",IF(HR_Data[[#This Row],[Age]]&lt;=54,"45-54","55+"))))</f>
        <v>25-34</v>
      </c>
      <c r="AM320" t="str">
        <f>IF(HR_Data[[#This Row],[MonthlyIncome]]&lt;3000,"Low Salary",IF(HR_Data[[#This Row],[MonthlyIncome]]&lt;=7000,"Medium Salary","High Salary"))</f>
        <v>Low Salary</v>
      </c>
      <c r="AN320" t="str">
        <f>IF(HR_Data[[#This Row],[YearsAtCompany]]&lt;2,"0-1 Years",IF(HR_Data[[#This Row],[YearsAtCompany]]&lt;=5,"2-5 Years",IF(HR_Data[[#This Row],[YearsAtCompany]]&lt;=10,"6-10 Years","10+ Years")))</f>
        <v>2-5 Years</v>
      </c>
      <c r="AO320" t="str">
        <f>IF(HR_Data[[#This Row],[JobSatisfaction]]=1,"Low",IF(HR_Data[[#This Row],[JobSatisfaction]]=2,"Medium",IF(HR_Data[[#This Row],[JobSatisfaction]]=3,"High","Very High")))</f>
        <v>Medium</v>
      </c>
      <c r="AP320" t="str">
        <f>IF(HR_Data[[#This Row],[WorkLifeBalance]]=1,"Bad",IF(HR_Data[[#This Row],[WorkLifeBalance]]=2,"Good",IF(HR_Data[[#This Row],[WorkLifeBalance]]=3,"Better","Best")))</f>
        <v>Good</v>
      </c>
    </row>
    <row r="321" spans="1:42"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IF(HR_Data[[#This Row],[Attrition]]="Yes",1,0)</f>
        <v>0</v>
      </c>
      <c r="AK321">
        <f>IF(HR_Data[[#This Row],[Attrition]]="No",1,0)</f>
        <v>1</v>
      </c>
      <c r="AL321" t="str">
        <f>IF(HR_Data[[#This Row],[Age]]&lt;25,"Under 25",IF(HR_Data[[#This Row],[Age]]&lt;=34,"25-34",IF(HR_Data[[#This Row],[Age]]&lt;=44,"35-44",IF(HR_Data[[#This Row],[Age]]&lt;=54,"45-54","55+"))))</f>
        <v>25-34</v>
      </c>
      <c r="AM321" t="str">
        <f>IF(HR_Data[[#This Row],[MonthlyIncome]]&lt;3000,"Low Salary",IF(HR_Data[[#This Row],[MonthlyIncome]]&lt;=7000,"Medium Salary","High Salary"))</f>
        <v>Medium Salary</v>
      </c>
      <c r="AN321" t="str">
        <f>IF(HR_Data[[#This Row],[YearsAtCompany]]&lt;2,"0-1 Years",IF(HR_Data[[#This Row],[YearsAtCompany]]&lt;=5,"2-5 Years",IF(HR_Data[[#This Row],[YearsAtCompany]]&lt;=10,"6-10 Years","10+ Years")))</f>
        <v>10+ Years</v>
      </c>
      <c r="AO321" t="str">
        <f>IF(HR_Data[[#This Row],[JobSatisfaction]]=1,"Low",IF(HR_Data[[#This Row],[JobSatisfaction]]=2,"Medium",IF(HR_Data[[#This Row],[JobSatisfaction]]=3,"High","Very High")))</f>
        <v>Medium</v>
      </c>
      <c r="AP321" t="str">
        <f>IF(HR_Data[[#This Row],[WorkLifeBalance]]=1,"Bad",IF(HR_Data[[#This Row],[WorkLifeBalance]]=2,"Good",IF(HR_Data[[#This Row],[WorkLifeBalance]]=3,"Better","Best")))</f>
        <v>Better</v>
      </c>
    </row>
    <row r="322" spans="1:42"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IF(HR_Data[[#This Row],[Attrition]]="Yes",1,0)</f>
        <v>0</v>
      </c>
      <c r="AK322">
        <f>IF(HR_Data[[#This Row],[Attrition]]="No",1,0)</f>
        <v>1</v>
      </c>
      <c r="AL322" t="str">
        <f>IF(HR_Data[[#This Row],[Age]]&lt;25,"Under 25",IF(HR_Data[[#This Row],[Age]]&lt;=34,"25-34",IF(HR_Data[[#This Row],[Age]]&lt;=44,"35-44",IF(HR_Data[[#This Row],[Age]]&lt;=54,"45-54","55+"))))</f>
        <v>25-34</v>
      </c>
      <c r="AM322" t="str">
        <f>IF(HR_Data[[#This Row],[MonthlyIncome]]&lt;3000,"Low Salary",IF(HR_Data[[#This Row],[MonthlyIncome]]&lt;=7000,"Medium Salary","High Salary"))</f>
        <v>Medium Salary</v>
      </c>
      <c r="AN322" t="str">
        <f>IF(HR_Data[[#This Row],[YearsAtCompany]]&lt;2,"0-1 Years",IF(HR_Data[[#This Row],[YearsAtCompany]]&lt;=5,"2-5 Years",IF(HR_Data[[#This Row],[YearsAtCompany]]&lt;=10,"6-10 Years","10+ Years")))</f>
        <v>2-5 Years</v>
      </c>
      <c r="AO322" t="str">
        <f>IF(HR_Data[[#This Row],[JobSatisfaction]]=1,"Low",IF(HR_Data[[#This Row],[JobSatisfaction]]=2,"Medium",IF(HR_Data[[#This Row],[JobSatisfaction]]=3,"High","Very High")))</f>
        <v>High</v>
      </c>
      <c r="AP322" t="str">
        <f>IF(HR_Data[[#This Row],[WorkLifeBalance]]=1,"Bad",IF(HR_Data[[#This Row],[WorkLifeBalance]]=2,"Good",IF(HR_Data[[#This Row],[WorkLifeBalance]]=3,"Better","Best")))</f>
        <v>Better</v>
      </c>
    </row>
    <row r="323" spans="1:42"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IF(HR_Data[[#This Row],[Attrition]]="Yes",1,0)</f>
        <v>0</v>
      </c>
      <c r="AK323">
        <f>IF(HR_Data[[#This Row],[Attrition]]="No",1,0)</f>
        <v>1</v>
      </c>
      <c r="AL323" t="str">
        <f>IF(HR_Data[[#This Row],[Age]]&lt;25,"Under 25",IF(HR_Data[[#This Row],[Age]]&lt;=34,"25-34",IF(HR_Data[[#This Row],[Age]]&lt;=44,"35-44",IF(HR_Data[[#This Row],[Age]]&lt;=54,"45-54","55+"))))</f>
        <v>25-34</v>
      </c>
      <c r="AM323" t="str">
        <f>IF(HR_Data[[#This Row],[MonthlyIncome]]&lt;3000,"Low Salary",IF(HR_Data[[#This Row],[MonthlyIncome]]&lt;=7000,"Medium Salary","High Salary"))</f>
        <v>High Salary</v>
      </c>
      <c r="AN323" t="str">
        <f>IF(HR_Data[[#This Row],[YearsAtCompany]]&lt;2,"0-1 Years",IF(HR_Data[[#This Row],[YearsAtCompany]]&lt;=5,"2-5 Years",IF(HR_Data[[#This Row],[YearsAtCompany]]&lt;=10,"6-10 Years","10+ Years")))</f>
        <v>6-10 Years</v>
      </c>
      <c r="AO323" t="str">
        <f>IF(HR_Data[[#This Row],[JobSatisfaction]]=1,"Low",IF(HR_Data[[#This Row],[JobSatisfaction]]=2,"Medium",IF(HR_Data[[#This Row],[JobSatisfaction]]=3,"High","Very High")))</f>
        <v>Very High</v>
      </c>
      <c r="AP323" t="str">
        <f>IF(HR_Data[[#This Row],[WorkLifeBalance]]=1,"Bad",IF(HR_Data[[#This Row],[WorkLifeBalance]]=2,"Good",IF(HR_Data[[#This Row],[WorkLifeBalance]]=3,"Better","Best")))</f>
        <v>Better</v>
      </c>
    </row>
    <row r="324" spans="1:42"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IF(HR_Data[[#This Row],[Attrition]]="Yes",1,0)</f>
        <v>0</v>
      </c>
      <c r="AK324">
        <f>IF(HR_Data[[#This Row],[Attrition]]="No",1,0)</f>
        <v>1</v>
      </c>
      <c r="AL324" t="str">
        <f>IF(HR_Data[[#This Row],[Age]]&lt;25,"Under 25",IF(HR_Data[[#This Row],[Age]]&lt;=34,"25-34",IF(HR_Data[[#This Row],[Age]]&lt;=44,"35-44",IF(HR_Data[[#This Row],[Age]]&lt;=54,"45-54","55+"))))</f>
        <v>25-34</v>
      </c>
      <c r="AM324" t="str">
        <f>IF(HR_Data[[#This Row],[MonthlyIncome]]&lt;3000,"Low Salary",IF(HR_Data[[#This Row],[MonthlyIncome]]&lt;=7000,"Medium Salary","High Salary"))</f>
        <v>Medium Salary</v>
      </c>
      <c r="AN324" t="str">
        <f>IF(HR_Data[[#This Row],[YearsAtCompany]]&lt;2,"0-1 Years",IF(HR_Data[[#This Row],[YearsAtCompany]]&lt;=5,"2-5 Years",IF(HR_Data[[#This Row],[YearsAtCompany]]&lt;=10,"6-10 Years","10+ Years")))</f>
        <v>6-10 Years</v>
      </c>
      <c r="AO324" t="str">
        <f>IF(HR_Data[[#This Row],[JobSatisfaction]]=1,"Low",IF(HR_Data[[#This Row],[JobSatisfaction]]=2,"Medium",IF(HR_Data[[#This Row],[JobSatisfaction]]=3,"High","Very High")))</f>
        <v>Very High</v>
      </c>
      <c r="AP324" t="str">
        <f>IF(HR_Data[[#This Row],[WorkLifeBalance]]=1,"Bad",IF(HR_Data[[#This Row],[WorkLifeBalance]]=2,"Good",IF(HR_Data[[#This Row],[WorkLifeBalance]]=3,"Better","Best")))</f>
        <v>Good</v>
      </c>
    </row>
    <row r="325" spans="1:42"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IF(HR_Data[[#This Row],[Attrition]]="Yes",1,0)</f>
        <v>1</v>
      </c>
      <c r="AK325">
        <f>IF(HR_Data[[#This Row],[Attrition]]="No",1,0)</f>
        <v>0</v>
      </c>
      <c r="AL325" t="str">
        <f>IF(HR_Data[[#This Row],[Age]]&lt;25,"Under 25",IF(HR_Data[[#This Row],[Age]]&lt;=34,"25-34",IF(HR_Data[[#This Row],[Age]]&lt;=44,"35-44",IF(HR_Data[[#This Row],[Age]]&lt;=54,"45-54","55+"))))</f>
        <v>25-34</v>
      </c>
      <c r="AM325" t="str">
        <f>IF(HR_Data[[#This Row],[MonthlyIncome]]&lt;3000,"Low Salary",IF(HR_Data[[#This Row],[MonthlyIncome]]&lt;=7000,"Medium Salary","High Salary"))</f>
        <v>Medium Salary</v>
      </c>
      <c r="AN325" t="str">
        <f>IF(HR_Data[[#This Row],[YearsAtCompany]]&lt;2,"0-1 Years",IF(HR_Data[[#This Row],[YearsAtCompany]]&lt;=5,"2-5 Years",IF(HR_Data[[#This Row],[YearsAtCompany]]&lt;=10,"6-10 Years","10+ Years")))</f>
        <v>2-5 Years</v>
      </c>
      <c r="AO325" t="str">
        <f>IF(HR_Data[[#This Row],[JobSatisfaction]]=1,"Low",IF(HR_Data[[#This Row],[JobSatisfaction]]=2,"Medium",IF(HR_Data[[#This Row],[JobSatisfaction]]=3,"High","Very High")))</f>
        <v>Very High</v>
      </c>
      <c r="AP325" t="str">
        <f>IF(HR_Data[[#This Row],[WorkLifeBalance]]=1,"Bad",IF(HR_Data[[#This Row],[WorkLifeBalance]]=2,"Good",IF(HR_Data[[#This Row],[WorkLifeBalance]]=3,"Better","Best")))</f>
        <v>Good</v>
      </c>
    </row>
    <row r="326" spans="1:42"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IF(HR_Data[[#This Row],[Attrition]]="Yes",1,0)</f>
        <v>0</v>
      </c>
      <c r="AK326">
        <f>IF(HR_Data[[#This Row],[Attrition]]="No",1,0)</f>
        <v>1</v>
      </c>
      <c r="AL326" t="str">
        <f>IF(HR_Data[[#This Row],[Age]]&lt;25,"Under 25",IF(HR_Data[[#This Row],[Age]]&lt;=34,"25-34",IF(HR_Data[[#This Row],[Age]]&lt;=44,"35-44",IF(HR_Data[[#This Row],[Age]]&lt;=54,"45-54","55+"))))</f>
        <v>25-34</v>
      </c>
      <c r="AM326" t="str">
        <f>IF(HR_Data[[#This Row],[MonthlyIncome]]&lt;3000,"Low Salary",IF(HR_Data[[#This Row],[MonthlyIncome]]&lt;=7000,"Medium Salary","High Salary"))</f>
        <v>Medium Salary</v>
      </c>
      <c r="AN326" t="str">
        <f>IF(HR_Data[[#This Row],[YearsAtCompany]]&lt;2,"0-1 Years",IF(HR_Data[[#This Row],[YearsAtCompany]]&lt;=5,"2-5 Years",IF(HR_Data[[#This Row],[YearsAtCompany]]&lt;=10,"6-10 Years","10+ Years")))</f>
        <v>6-10 Years</v>
      </c>
      <c r="AO326" t="str">
        <f>IF(HR_Data[[#This Row],[JobSatisfaction]]=1,"Low",IF(HR_Data[[#This Row],[JobSatisfaction]]=2,"Medium",IF(HR_Data[[#This Row],[JobSatisfaction]]=3,"High","Very High")))</f>
        <v>Very High</v>
      </c>
      <c r="AP326" t="str">
        <f>IF(HR_Data[[#This Row],[WorkLifeBalance]]=1,"Bad",IF(HR_Data[[#This Row],[WorkLifeBalance]]=2,"Good",IF(HR_Data[[#This Row],[WorkLifeBalance]]=3,"Better","Best")))</f>
        <v>Better</v>
      </c>
    </row>
    <row r="327" spans="1:42"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IF(HR_Data[[#This Row],[Attrition]]="Yes",1,0)</f>
        <v>0</v>
      </c>
      <c r="AK327">
        <f>IF(HR_Data[[#This Row],[Attrition]]="No",1,0)</f>
        <v>1</v>
      </c>
      <c r="AL327" t="str">
        <f>IF(HR_Data[[#This Row],[Age]]&lt;25,"Under 25",IF(HR_Data[[#This Row],[Age]]&lt;=34,"25-34",IF(HR_Data[[#This Row],[Age]]&lt;=44,"35-44",IF(HR_Data[[#This Row],[Age]]&lt;=54,"45-54","55+"))))</f>
        <v>25-34</v>
      </c>
      <c r="AM327" t="str">
        <f>IF(HR_Data[[#This Row],[MonthlyIncome]]&lt;3000,"Low Salary",IF(HR_Data[[#This Row],[MonthlyIncome]]&lt;=7000,"Medium Salary","High Salary"))</f>
        <v>High Salary</v>
      </c>
      <c r="AN327" t="str">
        <f>IF(HR_Data[[#This Row],[YearsAtCompany]]&lt;2,"0-1 Years",IF(HR_Data[[#This Row],[YearsAtCompany]]&lt;=5,"2-5 Years",IF(HR_Data[[#This Row],[YearsAtCompany]]&lt;=10,"6-10 Years","10+ Years")))</f>
        <v>6-10 Years</v>
      </c>
      <c r="AO327" t="str">
        <f>IF(HR_Data[[#This Row],[JobSatisfaction]]=1,"Low",IF(HR_Data[[#This Row],[JobSatisfaction]]=2,"Medium",IF(HR_Data[[#This Row],[JobSatisfaction]]=3,"High","Very High")))</f>
        <v>High</v>
      </c>
      <c r="AP327" t="str">
        <f>IF(HR_Data[[#This Row],[WorkLifeBalance]]=1,"Bad",IF(HR_Data[[#This Row],[WorkLifeBalance]]=2,"Good",IF(HR_Data[[#This Row],[WorkLifeBalance]]=3,"Better","Best")))</f>
        <v>Better</v>
      </c>
    </row>
    <row r="328" spans="1:42"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IF(HR_Data[[#This Row],[Attrition]]="Yes",1,0)</f>
        <v>0</v>
      </c>
      <c r="AK328">
        <f>IF(HR_Data[[#This Row],[Attrition]]="No",1,0)</f>
        <v>1</v>
      </c>
      <c r="AL328" t="str">
        <f>IF(HR_Data[[#This Row],[Age]]&lt;25,"Under 25",IF(HR_Data[[#This Row],[Age]]&lt;=34,"25-34",IF(HR_Data[[#This Row],[Age]]&lt;=44,"35-44",IF(HR_Data[[#This Row],[Age]]&lt;=54,"45-54","55+"))))</f>
        <v>35-44</v>
      </c>
      <c r="AM328" t="str">
        <f>IF(HR_Data[[#This Row],[MonthlyIncome]]&lt;3000,"Low Salary",IF(HR_Data[[#This Row],[MonthlyIncome]]&lt;=7000,"Medium Salary","High Salary"))</f>
        <v>High Salary</v>
      </c>
      <c r="AN328" t="str">
        <f>IF(HR_Data[[#This Row],[YearsAtCompany]]&lt;2,"0-1 Years",IF(HR_Data[[#This Row],[YearsAtCompany]]&lt;=5,"2-5 Years",IF(HR_Data[[#This Row],[YearsAtCompany]]&lt;=10,"6-10 Years","10+ Years")))</f>
        <v>10+ Years</v>
      </c>
      <c r="AO328" t="str">
        <f>IF(HR_Data[[#This Row],[JobSatisfaction]]=1,"Low",IF(HR_Data[[#This Row],[JobSatisfaction]]=2,"Medium",IF(HR_Data[[#This Row],[JobSatisfaction]]=3,"High","Very High")))</f>
        <v>Very High</v>
      </c>
      <c r="AP328" t="str">
        <f>IF(HR_Data[[#This Row],[WorkLifeBalance]]=1,"Bad",IF(HR_Data[[#This Row],[WorkLifeBalance]]=2,"Good",IF(HR_Data[[#This Row],[WorkLifeBalance]]=3,"Better","Best")))</f>
        <v>Better</v>
      </c>
    </row>
    <row r="329" spans="1:42"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IF(HR_Data[[#This Row],[Attrition]]="Yes",1,0)</f>
        <v>1</v>
      </c>
      <c r="AK329">
        <f>IF(HR_Data[[#This Row],[Attrition]]="No",1,0)</f>
        <v>0</v>
      </c>
      <c r="AL329" t="str">
        <f>IF(HR_Data[[#This Row],[Age]]&lt;25,"Under 25",IF(HR_Data[[#This Row],[Age]]&lt;=34,"25-34",IF(HR_Data[[#This Row],[Age]]&lt;=44,"35-44",IF(HR_Data[[#This Row],[Age]]&lt;=54,"45-54","55+"))))</f>
        <v>35-44</v>
      </c>
      <c r="AM329" t="str">
        <f>IF(HR_Data[[#This Row],[MonthlyIncome]]&lt;3000,"Low Salary",IF(HR_Data[[#This Row],[MonthlyIncome]]&lt;=7000,"Medium Salary","High Salary"))</f>
        <v>Medium Salary</v>
      </c>
      <c r="AN329" t="str">
        <f>IF(HR_Data[[#This Row],[YearsAtCompany]]&lt;2,"0-1 Years",IF(HR_Data[[#This Row],[YearsAtCompany]]&lt;=5,"2-5 Years",IF(HR_Data[[#This Row],[YearsAtCompany]]&lt;=10,"6-10 Years","10+ Years")))</f>
        <v>0-1 Years</v>
      </c>
      <c r="AO329" t="str">
        <f>IF(HR_Data[[#This Row],[JobSatisfaction]]=1,"Low",IF(HR_Data[[#This Row],[JobSatisfaction]]=2,"Medium",IF(HR_Data[[#This Row],[JobSatisfaction]]=3,"High","Very High")))</f>
        <v>High</v>
      </c>
      <c r="AP329" t="str">
        <f>IF(HR_Data[[#This Row],[WorkLifeBalance]]=1,"Bad",IF(HR_Data[[#This Row],[WorkLifeBalance]]=2,"Good",IF(HR_Data[[#This Row],[WorkLifeBalance]]=3,"Better","Best")))</f>
        <v>Good</v>
      </c>
    </row>
    <row r="330" spans="1:42"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IF(HR_Data[[#This Row],[Attrition]]="Yes",1,0)</f>
        <v>0</v>
      </c>
      <c r="AK330">
        <f>IF(HR_Data[[#This Row],[Attrition]]="No",1,0)</f>
        <v>1</v>
      </c>
      <c r="AL330" t="str">
        <f>IF(HR_Data[[#This Row],[Age]]&lt;25,"Under 25",IF(HR_Data[[#This Row],[Age]]&lt;=34,"25-34",IF(HR_Data[[#This Row],[Age]]&lt;=44,"35-44",IF(HR_Data[[#This Row],[Age]]&lt;=54,"45-54","55+"))))</f>
        <v>25-34</v>
      </c>
      <c r="AM330" t="str">
        <f>IF(HR_Data[[#This Row],[MonthlyIncome]]&lt;3000,"Low Salary",IF(HR_Data[[#This Row],[MonthlyIncome]]&lt;=7000,"Medium Salary","High Salary"))</f>
        <v>Medium Salary</v>
      </c>
      <c r="AN330" t="str">
        <f>IF(HR_Data[[#This Row],[YearsAtCompany]]&lt;2,"0-1 Years",IF(HR_Data[[#This Row],[YearsAtCompany]]&lt;=5,"2-5 Years",IF(HR_Data[[#This Row],[YearsAtCompany]]&lt;=10,"6-10 Years","10+ Years")))</f>
        <v>6-10 Years</v>
      </c>
      <c r="AO330" t="str">
        <f>IF(HR_Data[[#This Row],[JobSatisfaction]]=1,"Low",IF(HR_Data[[#This Row],[JobSatisfaction]]=2,"Medium",IF(HR_Data[[#This Row],[JobSatisfaction]]=3,"High","Very High")))</f>
        <v>Very High</v>
      </c>
      <c r="AP330" t="str">
        <f>IF(HR_Data[[#This Row],[WorkLifeBalance]]=1,"Bad",IF(HR_Data[[#This Row],[WorkLifeBalance]]=2,"Good",IF(HR_Data[[#This Row],[WorkLifeBalance]]=3,"Better","Best")))</f>
        <v>Good</v>
      </c>
    </row>
    <row r="331" spans="1:42"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IF(HR_Data[[#This Row],[Attrition]]="Yes",1,0)</f>
        <v>0</v>
      </c>
      <c r="AK331">
        <f>IF(HR_Data[[#This Row],[Attrition]]="No",1,0)</f>
        <v>1</v>
      </c>
      <c r="AL331" t="str">
        <f>IF(HR_Data[[#This Row],[Age]]&lt;25,"Under 25",IF(HR_Data[[#This Row],[Age]]&lt;=34,"25-34",IF(HR_Data[[#This Row],[Age]]&lt;=44,"35-44",IF(HR_Data[[#This Row],[Age]]&lt;=54,"45-54","55+"))))</f>
        <v>45-54</v>
      </c>
      <c r="AM331" t="str">
        <f>IF(HR_Data[[#This Row],[MonthlyIncome]]&lt;3000,"Low Salary",IF(HR_Data[[#This Row],[MonthlyIncome]]&lt;=7000,"Medium Salary","High Salary"))</f>
        <v>High Salary</v>
      </c>
      <c r="AN331" t="str">
        <f>IF(HR_Data[[#This Row],[YearsAtCompany]]&lt;2,"0-1 Years",IF(HR_Data[[#This Row],[YearsAtCompany]]&lt;=5,"2-5 Years",IF(HR_Data[[#This Row],[YearsAtCompany]]&lt;=10,"6-10 Years","10+ Years")))</f>
        <v>2-5 Years</v>
      </c>
      <c r="AO331" t="str">
        <f>IF(HR_Data[[#This Row],[JobSatisfaction]]=1,"Low",IF(HR_Data[[#This Row],[JobSatisfaction]]=2,"Medium",IF(HR_Data[[#This Row],[JobSatisfaction]]=3,"High","Very High")))</f>
        <v>High</v>
      </c>
      <c r="AP331" t="str">
        <f>IF(HR_Data[[#This Row],[WorkLifeBalance]]=1,"Bad",IF(HR_Data[[#This Row],[WorkLifeBalance]]=2,"Good",IF(HR_Data[[#This Row],[WorkLifeBalance]]=3,"Better","Best")))</f>
        <v>Better</v>
      </c>
    </row>
    <row r="332" spans="1:42"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IF(HR_Data[[#This Row],[Attrition]]="Yes",1,0)</f>
        <v>0</v>
      </c>
      <c r="AK332">
        <f>IF(HR_Data[[#This Row],[Attrition]]="No",1,0)</f>
        <v>1</v>
      </c>
      <c r="AL332" t="str">
        <f>IF(HR_Data[[#This Row],[Age]]&lt;25,"Under 25",IF(HR_Data[[#This Row],[Age]]&lt;=34,"25-34",IF(HR_Data[[#This Row],[Age]]&lt;=44,"35-44",IF(HR_Data[[#This Row],[Age]]&lt;=54,"45-54","55+"))))</f>
        <v>35-44</v>
      </c>
      <c r="AM332" t="str">
        <f>IF(HR_Data[[#This Row],[MonthlyIncome]]&lt;3000,"Low Salary",IF(HR_Data[[#This Row],[MonthlyIncome]]&lt;=7000,"Medium Salary","High Salary"))</f>
        <v>Medium Salary</v>
      </c>
      <c r="AN332" t="str">
        <f>IF(HR_Data[[#This Row],[YearsAtCompany]]&lt;2,"0-1 Years",IF(HR_Data[[#This Row],[YearsAtCompany]]&lt;=5,"2-5 Years",IF(HR_Data[[#This Row],[YearsAtCompany]]&lt;=10,"6-10 Years","10+ Years")))</f>
        <v>6-10 Years</v>
      </c>
      <c r="AO332" t="str">
        <f>IF(HR_Data[[#This Row],[JobSatisfaction]]=1,"Low",IF(HR_Data[[#This Row],[JobSatisfaction]]=2,"Medium",IF(HR_Data[[#This Row],[JobSatisfaction]]=3,"High","Very High")))</f>
        <v>High</v>
      </c>
      <c r="AP332" t="str">
        <f>IF(HR_Data[[#This Row],[WorkLifeBalance]]=1,"Bad",IF(HR_Data[[#This Row],[WorkLifeBalance]]=2,"Good",IF(HR_Data[[#This Row],[WorkLifeBalance]]=3,"Better","Best")))</f>
        <v>Best</v>
      </c>
    </row>
    <row r="333" spans="1:42"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IF(HR_Data[[#This Row],[Attrition]]="Yes",1,0)</f>
        <v>0</v>
      </c>
      <c r="AK333">
        <f>IF(HR_Data[[#This Row],[Attrition]]="No",1,0)</f>
        <v>1</v>
      </c>
      <c r="AL333" t="str">
        <f>IF(HR_Data[[#This Row],[Age]]&lt;25,"Under 25",IF(HR_Data[[#This Row],[Age]]&lt;=34,"25-34",IF(HR_Data[[#This Row],[Age]]&lt;=44,"35-44",IF(HR_Data[[#This Row],[Age]]&lt;=54,"45-54","55+"))))</f>
        <v>25-34</v>
      </c>
      <c r="AM333" t="str">
        <f>IF(HR_Data[[#This Row],[MonthlyIncome]]&lt;3000,"Low Salary",IF(HR_Data[[#This Row],[MonthlyIncome]]&lt;=7000,"Medium Salary","High Salary"))</f>
        <v>Medium Salary</v>
      </c>
      <c r="AN333" t="str">
        <f>IF(HR_Data[[#This Row],[YearsAtCompany]]&lt;2,"0-1 Years",IF(HR_Data[[#This Row],[YearsAtCompany]]&lt;=5,"2-5 Years",IF(HR_Data[[#This Row],[YearsAtCompany]]&lt;=10,"6-10 Years","10+ Years")))</f>
        <v>2-5 Years</v>
      </c>
      <c r="AO333" t="str">
        <f>IF(HR_Data[[#This Row],[JobSatisfaction]]=1,"Low",IF(HR_Data[[#This Row],[JobSatisfaction]]=2,"Medium",IF(HR_Data[[#This Row],[JobSatisfaction]]=3,"High","Very High")))</f>
        <v>Medium</v>
      </c>
      <c r="AP333" t="str">
        <f>IF(HR_Data[[#This Row],[WorkLifeBalance]]=1,"Bad",IF(HR_Data[[#This Row],[WorkLifeBalance]]=2,"Good",IF(HR_Data[[#This Row],[WorkLifeBalance]]=3,"Better","Best")))</f>
        <v>Better</v>
      </c>
    </row>
    <row r="334" spans="1:42"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IF(HR_Data[[#This Row],[Attrition]]="Yes",1,0)</f>
        <v>0</v>
      </c>
      <c r="AK334">
        <f>IF(HR_Data[[#This Row],[Attrition]]="No",1,0)</f>
        <v>1</v>
      </c>
      <c r="AL334" t="str">
        <f>IF(HR_Data[[#This Row],[Age]]&lt;25,"Under 25",IF(HR_Data[[#This Row],[Age]]&lt;=34,"25-34",IF(HR_Data[[#This Row],[Age]]&lt;=44,"35-44",IF(HR_Data[[#This Row],[Age]]&lt;=54,"45-54","55+"))))</f>
        <v>45-54</v>
      </c>
      <c r="AM334" t="str">
        <f>IF(HR_Data[[#This Row],[MonthlyIncome]]&lt;3000,"Low Salary",IF(HR_Data[[#This Row],[MonthlyIncome]]&lt;=7000,"Medium Salary","High Salary"))</f>
        <v>Medium Salary</v>
      </c>
      <c r="AN334" t="str">
        <f>IF(HR_Data[[#This Row],[YearsAtCompany]]&lt;2,"0-1 Years",IF(HR_Data[[#This Row],[YearsAtCompany]]&lt;=5,"2-5 Years",IF(HR_Data[[#This Row],[YearsAtCompany]]&lt;=10,"6-10 Years","10+ Years")))</f>
        <v>2-5 Years</v>
      </c>
      <c r="AO334" t="str">
        <f>IF(HR_Data[[#This Row],[JobSatisfaction]]=1,"Low",IF(HR_Data[[#This Row],[JobSatisfaction]]=2,"Medium",IF(HR_Data[[#This Row],[JobSatisfaction]]=3,"High","Very High")))</f>
        <v>High</v>
      </c>
      <c r="AP334" t="str">
        <f>IF(HR_Data[[#This Row],[WorkLifeBalance]]=1,"Bad",IF(HR_Data[[#This Row],[WorkLifeBalance]]=2,"Good",IF(HR_Data[[#This Row],[WorkLifeBalance]]=3,"Better","Best")))</f>
        <v>Good</v>
      </c>
    </row>
    <row r="335" spans="1:42"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IF(HR_Data[[#This Row],[Attrition]]="Yes",1,0)</f>
        <v>0</v>
      </c>
      <c r="AK335">
        <f>IF(HR_Data[[#This Row],[Attrition]]="No",1,0)</f>
        <v>1</v>
      </c>
      <c r="AL335" t="str">
        <f>IF(HR_Data[[#This Row],[Age]]&lt;25,"Under 25",IF(HR_Data[[#This Row],[Age]]&lt;=34,"25-34",IF(HR_Data[[#This Row],[Age]]&lt;=44,"35-44",IF(HR_Data[[#This Row],[Age]]&lt;=54,"45-54","55+"))))</f>
        <v>35-44</v>
      </c>
      <c r="AM335" t="str">
        <f>IF(HR_Data[[#This Row],[MonthlyIncome]]&lt;3000,"Low Salary",IF(HR_Data[[#This Row],[MonthlyIncome]]&lt;=7000,"Medium Salary","High Salary"))</f>
        <v>High Salary</v>
      </c>
      <c r="AN335" t="str">
        <f>IF(HR_Data[[#This Row],[YearsAtCompany]]&lt;2,"0-1 Years",IF(HR_Data[[#This Row],[YearsAtCompany]]&lt;=5,"2-5 Years",IF(HR_Data[[#This Row],[YearsAtCompany]]&lt;=10,"6-10 Years","10+ Years")))</f>
        <v>0-1 Years</v>
      </c>
      <c r="AO335" t="str">
        <f>IF(HR_Data[[#This Row],[JobSatisfaction]]=1,"Low",IF(HR_Data[[#This Row],[JobSatisfaction]]=2,"Medium",IF(HR_Data[[#This Row],[JobSatisfaction]]=3,"High","Very High")))</f>
        <v>Low</v>
      </c>
      <c r="AP335" t="str">
        <f>IF(HR_Data[[#This Row],[WorkLifeBalance]]=1,"Bad",IF(HR_Data[[#This Row],[WorkLifeBalance]]=2,"Good",IF(HR_Data[[#This Row],[WorkLifeBalance]]=3,"Better","Best")))</f>
        <v>Good</v>
      </c>
    </row>
    <row r="336" spans="1:42"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IF(HR_Data[[#This Row],[Attrition]]="Yes",1,0)</f>
        <v>0</v>
      </c>
      <c r="AK336">
        <f>IF(HR_Data[[#This Row],[Attrition]]="No",1,0)</f>
        <v>1</v>
      </c>
      <c r="AL336" t="str">
        <f>IF(HR_Data[[#This Row],[Age]]&lt;25,"Under 25",IF(HR_Data[[#This Row],[Age]]&lt;=34,"25-34",IF(HR_Data[[#This Row],[Age]]&lt;=44,"35-44",IF(HR_Data[[#This Row],[Age]]&lt;=54,"45-54","55+"))))</f>
        <v>45-54</v>
      </c>
      <c r="AM336" t="str">
        <f>IF(HR_Data[[#This Row],[MonthlyIncome]]&lt;3000,"Low Salary",IF(HR_Data[[#This Row],[MonthlyIncome]]&lt;=7000,"Medium Salary","High Salary"))</f>
        <v>Medium Salary</v>
      </c>
      <c r="AN336" t="str">
        <f>IF(HR_Data[[#This Row],[YearsAtCompany]]&lt;2,"0-1 Years",IF(HR_Data[[#This Row],[YearsAtCompany]]&lt;=5,"2-5 Years",IF(HR_Data[[#This Row],[YearsAtCompany]]&lt;=10,"6-10 Years","10+ Years")))</f>
        <v>6-10 Years</v>
      </c>
      <c r="AO336" t="str">
        <f>IF(HR_Data[[#This Row],[JobSatisfaction]]=1,"Low",IF(HR_Data[[#This Row],[JobSatisfaction]]=2,"Medium",IF(HR_Data[[#This Row],[JobSatisfaction]]=3,"High","Very High")))</f>
        <v>Very High</v>
      </c>
      <c r="AP336" t="str">
        <f>IF(HR_Data[[#This Row],[WorkLifeBalance]]=1,"Bad",IF(HR_Data[[#This Row],[WorkLifeBalance]]=2,"Good",IF(HR_Data[[#This Row],[WorkLifeBalance]]=3,"Better","Best")))</f>
        <v>Better</v>
      </c>
    </row>
    <row r="337" spans="1:42"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IF(HR_Data[[#This Row],[Attrition]]="Yes",1,0)</f>
        <v>0</v>
      </c>
      <c r="AK337">
        <f>IF(HR_Data[[#This Row],[Attrition]]="No",1,0)</f>
        <v>1</v>
      </c>
      <c r="AL337" t="str">
        <f>IF(HR_Data[[#This Row],[Age]]&lt;25,"Under 25",IF(HR_Data[[#This Row],[Age]]&lt;=34,"25-34",IF(HR_Data[[#This Row],[Age]]&lt;=44,"35-44",IF(HR_Data[[#This Row],[Age]]&lt;=54,"45-54","55+"))))</f>
        <v>35-44</v>
      </c>
      <c r="AM337" t="str">
        <f>IF(HR_Data[[#This Row],[MonthlyIncome]]&lt;3000,"Low Salary",IF(HR_Data[[#This Row],[MonthlyIncome]]&lt;=7000,"Medium Salary","High Salary"))</f>
        <v>High Salary</v>
      </c>
      <c r="AN337" t="str">
        <f>IF(HR_Data[[#This Row],[YearsAtCompany]]&lt;2,"0-1 Years",IF(HR_Data[[#This Row],[YearsAtCompany]]&lt;=5,"2-5 Years",IF(HR_Data[[#This Row],[YearsAtCompany]]&lt;=10,"6-10 Years","10+ Years")))</f>
        <v>2-5 Years</v>
      </c>
      <c r="AO337" t="str">
        <f>IF(HR_Data[[#This Row],[JobSatisfaction]]=1,"Low",IF(HR_Data[[#This Row],[JobSatisfaction]]=2,"Medium",IF(HR_Data[[#This Row],[JobSatisfaction]]=3,"High","Very High")))</f>
        <v>Very High</v>
      </c>
      <c r="AP337" t="str">
        <f>IF(HR_Data[[#This Row],[WorkLifeBalance]]=1,"Bad",IF(HR_Data[[#This Row],[WorkLifeBalance]]=2,"Good",IF(HR_Data[[#This Row],[WorkLifeBalance]]=3,"Better","Best")))</f>
        <v>Good</v>
      </c>
    </row>
    <row r="338" spans="1:42"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IF(HR_Data[[#This Row],[Attrition]]="Yes",1,0)</f>
        <v>1</v>
      </c>
      <c r="AK338">
        <f>IF(HR_Data[[#This Row],[Attrition]]="No",1,0)</f>
        <v>0</v>
      </c>
      <c r="AL338" t="str">
        <f>IF(HR_Data[[#This Row],[Age]]&lt;25,"Under 25",IF(HR_Data[[#This Row],[Age]]&lt;=34,"25-34",IF(HR_Data[[#This Row],[Age]]&lt;=44,"35-44",IF(HR_Data[[#This Row],[Age]]&lt;=54,"45-54","55+"))))</f>
        <v>25-34</v>
      </c>
      <c r="AM338" t="str">
        <f>IF(HR_Data[[#This Row],[MonthlyIncome]]&lt;3000,"Low Salary",IF(HR_Data[[#This Row],[MonthlyIncome]]&lt;=7000,"Medium Salary","High Salary"))</f>
        <v>Low Salary</v>
      </c>
      <c r="AN338" t="str">
        <f>IF(HR_Data[[#This Row],[YearsAtCompany]]&lt;2,"0-1 Years",IF(HR_Data[[#This Row],[YearsAtCompany]]&lt;=5,"2-5 Years",IF(HR_Data[[#This Row],[YearsAtCompany]]&lt;=10,"6-10 Years","10+ Years")))</f>
        <v>6-10 Years</v>
      </c>
      <c r="AO338" t="str">
        <f>IF(HR_Data[[#This Row],[JobSatisfaction]]=1,"Low",IF(HR_Data[[#This Row],[JobSatisfaction]]=2,"Medium",IF(HR_Data[[#This Row],[JobSatisfaction]]=3,"High","Very High")))</f>
        <v>Low</v>
      </c>
      <c r="AP338" t="str">
        <f>IF(HR_Data[[#This Row],[WorkLifeBalance]]=1,"Bad",IF(HR_Data[[#This Row],[WorkLifeBalance]]=2,"Good",IF(HR_Data[[#This Row],[WorkLifeBalance]]=3,"Better","Best")))</f>
        <v>Good</v>
      </c>
    </row>
    <row r="339" spans="1:42"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IF(HR_Data[[#This Row],[Attrition]]="Yes",1,0)</f>
        <v>0</v>
      </c>
      <c r="AK339">
        <f>IF(HR_Data[[#This Row],[Attrition]]="No",1,0)</f>
        <v>1</v>
      </c>
      <c r="AL339" t="str">
        <f>IF(HR_Data[[#This Row],[Age]]&lt;25,"Under 25",IF(HR_Data[[#This Row],[Age]]&lt;=34,"25-34",IF(HR_Data[[#This Row],[Age]]&lt;=44,"35-44",IF(HR_Data[[#This Row],[Age]]&lt;=54,"45-54","55+"))))</f>
        <v>25-34</v>
      </c>
      <c r="AM339" t="str">
        <f>IF(HR_Data[[#This Row],[MonthlyIncome]]&lt;3000,"Low Salary",IF(HR_Data[[#This Row],[MonthlyIncome]]&lt;=7000,"Medium Salary","High Salary"))</f>
        <v>Medium Salary</v>
      </c>
      <c r="AN339" t="str">
        <f>IF(HR_Data[[#This Row],[YearsAtCompany]]&lt;2,"0-1 Years",IF(HR_Data[[#This Row],[YearsAtCompany]]&lt;=5,"2-5 Years",IF(HR_Data[[#This Row],[YearsAtCompany]]&lt;=10,"6-10 Years","10+ Years")))</f>
        <v>2-5 Years</v>
      </c>
      <c r="AO339" t="str">
        <f>IF(HR_Data[[#This Row],[JobSatisfaction]]=1,"Low",IF(HR_Data[[#This Row],[JobSatisfaction]]=2,"Medium",IF(HR_Data[[#This Row],[JobSatisfaction]]=3,"High","Very High")))</f>
        <v>Very High</v>
      </c>
      <c r="AP339" t="str">
        <f>IF(HR_Data[[#This Row],[WorkLifeBalance]]=1,"Bad",IF(HR_Data[[#This Row],[WorkLifeBalance]]=2,"Good",IF(HR_Data[[#This Row],[WorkLifeBalance]]=3,"Better","Best")))</f>
        <v>Better</v>
      </c>
    </row>
    <row r="340" spans="1:42"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IF(HR_Data[[#This Row],[Attrition]]="Yes",1,0)</f>
        <v>0</v>
      </c>
      <c r="AK340">
        <f>IF(HR_Data[[#This Row],[Attrition]]="No",1,0)</f>
        <v>1</v>
      </c>
      <c r="AL340" t="str">
        <f>IF(HR_Data[[#This Row],[Age]]&lt;25,"Under 25",IF(HR_Data[[#This Row],[Age]]&lt;=34,"25-34",IF(HR_Data[[#This Row],[Age]]&lt;=44,"35-44",IF(HR_Data[[#This Row],[Age]]&lt;=54,"45-54","55+"))))</f>
        <v>25-34</v>
      </c>
      <c r="AM340" t="str">
        <f>IF(HR_Data[[#This Row],[MonthlyIncome]]&lt;3000,"Low Salary",IF(HR_Data[[#This Row],[MonthlyIncome]]&lt;=7000,"Medium Salary","High Salary"))</f>
        <v>Medium Salary</v>
      </c>
      <c r="AN340" t="str">
        <f>IF(HR_Data[[#This Row],[YearsAtCompany]]&lt;2,"0-1 Years",IF(HR_Data[[#This Row],[YearsAtCompany]]&lt;=5,"2-5 Years",IF(HR_Data[[#This Row],[YearsAtCompany]]&lt;=10,"6-10 Years","10+ Years")))</f>
        <v>6-10 Years</v>
      </c>
      <c r="AO340" t="str">
        <f>IF(HR_Data[[#This Row],[JobSatisfaction]]=1,"Low",IF(HR_Data[[#This Row],[JobSatisfaction]]=2,"Medium",IF(HR_Data[[#This Row],[JobSatisfaction]]=3,"High","Very High")))</f>
        <v>High</v>
      </c>
      <c r="AP340" t="str">
        <f>IF(HR_Data[[#This Row],[WorkLifeBalance]]=1,"Bad",IF(HR_Data[[#This Row],[WorkLifeBalance]]=2,"Good",IF(HR_Data[[#This Row],[WorkLifeBalance]]=3,"Better","Best")))</f>
        <v>Better</v>
      </c>
    </row>
    <row r="341" spans="1:42"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IF(HR_Data[[#This Row],[Attrition]]="Yes",1,0)</f>
        <v>0</v>
      </c>
      <c r="AK341">
        <f>IF(HR_Data[[#This Row],[Attrition]]="No",1,0)</f>
        <v>1</v>
      </c>
      <c r="AL341" t="str">
        <f>IF(HR_Data[[#This Row],[Age]]&lt;25,"Under 25",IF(HR_Data[[#This Row],[Age]]&lt;=34,"25-34",IF(HR_Data[[#This Row],[Age]]&lt;=44,"35-44",IF(HR_Data[[#This Row],[Age]]&lt;=54,"45-54","55+"))))</f>
        <v>25-34</v>
      </c>
      <c r="AM341" t="str">
        <f>IF(HR_Data[[#This Row],[MonthlyIncome]]&lt;3000,"Low Salary",IF(HR_Data[[#This Row],[MonthlyIncome]]&lt;=7000,"Medium Salary","High Salary"))</f>
        <v>Medium Salary</v>
      </c>
      <c r="AN341" t="str">
        <f>IF(HR_Data[[#This Row],[YearsAtCompany]]&lt;2,"0-1 Years",IF(HR_Data[[#This Row],[YearsAtCompany]]&lt;=5,"2-5 Years",IF(HR_Data[[#This Row],[YearsAtCompany]]&lt;=10,"6-10 Years","10+ Years")))</f>
        <v>6-10 Years</v>
      </c>
      <c r="AO341" t="str">
        <f>IF(HR_Data[[#This Row],[JobSatisfaction]]=1,"Low",IF(HR_Data[[#This Row],[JobSatisfaction]]=2,"Medium",IF(HR_Data[[#This Row],[JobSatisfaction]]=3,"High","Very High")))</f>
        <v>Medium</v>
      </c>
      <c r="AP341" t="str">
        <f>IF(HR_Data[[#This Row],[WorkLifeBalance]]=1,"Bad",IF(HR_Data[[#This Row],[WorkLifeBalance]]=2,"Good",IF(HR_Data[[#This Row],[WorkLifeBalance]]=3,"Better","Best")))</f>
        <v>Better</v>
      </c>
    </row>
    <row r="342" spans="1:42"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IF(HR_Data[[#This Row],[Attrition]]="Yes",1,0)</f>
        <v>0</v>
      </c>
      <c r="AK342">
        <f>IF(HR_Data[[#This Row],[Attrition]]="No",1,0)</f>
        <v>1</v>
      </c>
      <c r="AL342" t="str">
        <f>IF(HR_Data[[#This Row],[Age]]&lt;25,"Under 25",IF(HR_Data[[#This Row],[Age]]&lt;=34,"25-34",IF(HR_Data[[#This Row],[Age]]&lt;=44,"35-44",IF(HR_Data[[#This Row],[Age]]&lt;=54,"45-54","55+"))))</f>
        <v>35-44</v>
      </c>
      <c r="AM342" t="str">
        <f>IF(HR_Data[[#This Row],[MonthlyIncome]]&lt;3000,"Low Salary",IF(HR_Data[[#This Row],[MonthlyIncome]]&lt;=7000,"Medium Salary","High Salary"))</f>
        <v>Medium Salary</v>
      </c>
      <c r="AN342" t="str">
        <f>IF(HR_Data[[#This Row],[YearsAtCompany]]&lt;2,"0-1 Years",IF(HR_Data[[#This Row],[YearsAtCompany]]&lt;=5,"2-5 Years",IF(HR_Data[[#This Row],[YearsAtCompany]]&lt;=10,"6-10 Years","10+ Years")))</f>
        <v>6-10 Years</v>
      </c>
      <c r="AO342" t="str">
        <f>IF(HR_Data[[#This Row],[JobSatisfaction]]=1,"Low",IF(HR_Data[[#This Row],[JobSatisfaction]]=2,"Medium",IF(HR_Data[[#This Row],[JobSatisfaction]]=3,"High","Very High")))</f>
        <v>Very High</v>
      </c>
      <c r="AP342" t="str">
        <f>IF(HR_Data[[#This Row],[WorkLifeBalance]]=1,"Bad",IF(HR_Data[[#This Row],[WorkLifeBalance]]=2,"Good",IF(HR_Data[[#This Row],[WorkLifeBalance]]=3,"Better","Best")))</f>
        <v>Good</v>
      </c>
    </row>
    <row r="343" spans="1:42"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IF(HR_Data[[#This Row],[Attrition]]="Yes",1,0)</f>
        <v>0</v>
      </c>
      <c r="AK343">
        <f>IF(HR_Data[[#This Row],[Attrition]]="No",1,0)</f>
        <v>1</v>
      </c>
      <c r="AL343" t="str">
        <f>IF(HR_Data[[#This Row],[Age]]&lt;25,"Under 25",IF(HR_Data[[#This Row],[Age]]&lt;=34,"25-34",IF(HR_Data[[#This Row],[Age]]&lt;=44,"35-44",IF(HR_Data[[#This Row],[Age]]&lt;=54,"45-54","55+"))))</f>
        <v>35-44</v>
      </c>
      <c r="AM343" t="str">
        <f>IF(HR_Data[[#This Row],[MonthlyIncome]]&lt;3000,"Low Salary",IF(HR_Data[[#This Row],[MonthlyIncome]]&lt;=7000,"Medium Salary","High Salary"))</f>
        <v>High Salary</v>
      </c>
      <c r="AN343" t="str">
        <f>IF(HR_Data[[#This Row],[YearsAtCompany]]&lt;2,"0-1 Years",IF(HR_Data[[#This Row],[YearsAtCompany]]&lt;=5,"2-5 Years",IF(HR_Data[[#This Row],[YearsAtCompany]]&lt;=10,"6-10 Years","10+ Years")))</f>
        <v>10+ Years</v>
      </c>
      <c r="AO343" t="str">
        <f>IF(HR_Data[[#This Row],[JobSatisfaction]]=1,"Low",IF(HR_Data[[#This Row],[JobSatisfaction]]=2,"Medium",IF(HR_Data[[#This Row],[JobSatisfaction]]=3,"High","Very High")))</f>
        <v>Very High</v>
      </c>
      <c r="AP343" t="str">
        <f>IF(HR_Data[[#This Row],[WorkLifeBalance]]=1,"Bad",IF(HR_Data[[#This Row],[WorkLifeBalance]]=2,"Good",IF(HR_Data[[#This Row],[WorkLifeBalance]]=3,"Better","Best")))</f>
        <v>Better</v>
      </c>
    </row>
    <row r="344" spans="1:42"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IF(HR_Data[[#This Row],[Attrition]]="Yes",1,0)</f>
        <v>0</v>
      </c>
      <c r="AK344">
        <f>IF(HR_Data[[#This Row],[Attrition]]="No",1,0)</f>
        <v>1</v>
      </c>
      <c r="AL344" t="str">
        <f>IF(HR_Data[[#This Row],[Age]]&lt;25,"Under 25",IF(HR_Data[[#This Row],[Age]]&lt;=34,"25-34",IF(HR_Data[[#This Row],[Age]]&lt;=44,"35-44",IF(HR_Data[[#This Row],[Age]]&lt;=54,"45-54","55+"))))</f>
        <v>25-34</v>
      </c>
      <c r="AM344" t="str">
        <f>IF(HR_Data[[#This Row],[MonthlyIncome]]&lt;3000,"Low Salary",IF(HR_Data[[#This Row],[MonthlyIncome]]&lt;=7000,"Medium Salary","High Salary"))</f>
        <v>High Salary</v>
      </c>
      <c r="AN344" t="str">
        <f>IF(HR_Data[[#This Row],[YearsAtCompany]]&lt;2,"0-1 Years",IF(HR_Data[[#This Row],[YearsAtCompany]]&lt;=5,"2-5 Years",IF(HR_Data[[#This Row],[YearsAtCompany]]&lt;=10,"6-10 Years","10+ Years")))</f>
        <v>10+ Years</v>
      </c>
      <c r="AO344" t="str">
        <f>IF(HR_Data[[#This Row],[JobSatisfaction]]=1,"Low",IF(HR_Data[[#This Row],[JobSatisfaction]]=2,"Medium",IF(HR_Data[[#This Row],[JobSatisfaction]]=3,"High","Very High")))</f>
        <v>Very High</v>
      </c>
      <c r="AP344" t="str">
        <f>IF(HR_Data[[#This Row],[WorkLifeBalance]]=1,"Bad",IF(HR_Data[[#This Row],[WorkLifeBalance]]=2,"Good",IF(HR_Data[[#This Row],[WorkLifeBalance]]=3,"Better","Best")))</f>
        <v>Good</v>
      </c>
    </row>
    <row r="345" spans="1:42"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IF(HR_Data[[#This Row],[Attrition]]="Yes",1,0)</f>
        <v>0</v>
      </c>
      <c r="AK345">
        <f>IF(HR_Data[[#This Row],[Attrition]]="No",1,0)</f>
        <v>1</v>
      </c>
      <c r="AL345" t="str">
        <f>IF(HR_Data[[#This Row],[Age]]&lt;25,"Under 25",IF(HR_Data[[#This Row],[Age]]&lt;=34,"25-34",IF(HR_Data[[#This Row],[Age]]&lt;=44,"35-44",IF(HR_Data[[#This Row],[Age]]&lt;=54,"45-54","55+"))))</f>
        <v>25-34</v>
      </c>
      <c r="AM345" t="str">
        <f>IF(HR_Data[[#This Row],[MonthlyIncome]]&lt;3000,"Low Salary",IF(HR_Data[[#This Row],[MonthlyIncome]]&lt;=7000,"Medium Salary","High Salary"))</f>
        <v>High Salary</v>
      </c>
      <c r="AN345" t="str">
        <f>IF(HR_Data[[#This Row],[YearsAtCompany]]&lt;2,"0-1 Years",IF(HR_Data[[#This Row],[YearsAtCompany]]&lt;=5,"2-5 Years",IF(HR_Data[[#This Row],[YearsAtCompany]]&lt;=10,"6-10 Years","10+ Years")))</f>
        <v>6-10 Years</v>
      </c>
      <c r="AO345" t="str">
        <f>IF(HR_Data[[#This Row],[JobSatisfaction]]=1,"Low",IF(HR_Data[[#This Row],[JobSatisfaction]]=2,"Medium",IF(HR_Data[[#This Row],[JobSatisfaction]]=3,"High","Very High")))</f>
        <v>Medium</v>
      </c>
      <c r="AP345" t="str">
        <f>IF(HR_Data[[#This Row],[WorkLifeBalance]]=1,"Bad",IF(HR_Data[[#This Row],[WorkLifeBalance]]=2,"Good",IF(HR_Data[[#This Row],[WorkLifeBalance]]=3,"Better","Best")))</f>
        <v>Better</v>
      </c>
    </row>
    <row r="346" spans="1:42"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IF(HR_Data[[#This Row],[Attrition]]="Yes",1,0)</f>
        <v>0</v>
      </c>
      <c r="AK346">
        <f>IF(HR_Data[[#This Row],[Attrition]]="No",1,0)</f>
        <v>1</v>
      </c>
      <c r="AL346" t="str">
        <f>IF(HR_Data[[#This Row],[Age]]&lt;25,"Under 25",IF(HR_Data[[#This Row],[Age]]&lt;=34,"25-34",IF(HR_Data[[#This Row],[Age]]&lt;=44,"35-44",IF(HR_Data[[#This Row],[Age]]&lt;=54,"45-54","55+"))))</f>
        <v>35-44</v>
      </c>
      <c r="AM346" t="str">
        <f>IF(HR_Data[[#This Row],[MonthlyIncome]]&lt;3000,"Low Salary",IF(HR_Data[[#This Row],[MonthlyIncome]]&lt;=7000,"Medium Salary","High Salary"))</f>
        <v>High Salary</v>
      </c>
      <c r="AN346" t="str">
        <f>IF(HR_Data[[#This Row],[YearsAtCompany]]&lt;2,"0-1 Years",IF(HR_Data[[#This Row],[YearsAtCompany]]&lt;=5,"2-5 Years",IF(HR_Data[[#This Row],[YearsAtCompany]]&lt;=10,"6-10 Years","10+ Years")))</f>
        <v>10+ Years</v>
      </c>
      <c r="AO346" t="str">
        <f>IF(HR_Data[[#This Row],[JobSatisfaction]]=1,"Low",IF(HR_Data[[#This Row],[JobSatisfaction]]=2,"Medium",IF(HR_Data[[#This Row],[JobSatisfaction]]=3,"High","Very High")))</f>
        <v>Medium</v>
      </c>
      <c r="AP346" t="str">
        <f>IF(HR_Data[[#This Row],[WorkLifeBalance]]=1,"Bad",IF(HR_Data[[#This Row],[WorkLifeBalance]]=2,"Good",IF(HR_Data[[#This Row],[WorkLifeBalance]]=3,"Better","Best")))</f>
        <v>Better</v>
      </c>
    </row>
    <row r="347" spans="1:42"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IF(HR_Data[[#This Row],[Attrition]]="Yes",1,0)</f>
        <v>0</v>
      </c>
      <c r="AK347">
        <f>IF(HR_Data[[#This Row],[Attrition]]="No",1,0)</f>
        <v>1</v>
      </c>
      <c r="AL347" t="str">
        <f>IF(HR_Data[[#This Row],[Age]]&lt;25,"Under 25",IF(HR_Data[[#This Row],[Age]]&lt;=34,"25-34",IF(HR_Data[[#This Row],[Age]]&lt;=44,"35-44",IF(HR_Data[[#This Row],[Age]]&lt;=54,"45-54","55+"))))</f>
        <v>Under 25</v>
      </c>
      <c r="AM347" t="str">
        <f>IF(HR_Data[[#This Row],[MonthlyIncome]]&lt;3000,"Low Salary",IF(HR_Data[[#This Row],[MonthlyIncome]]&lt;=7000,"Medium Salary","High Salary"))</f>
        <v>Low Salary</v>
      </c>
      <c r="AN347" t="str">
        <f>IF(HR_Data[[#This Row],[YearsAtCompany]]&lt;2,"0-1 Years",IF(HR_Data[[#This Row],[YearsAtCompany]]&lt;=5,"2-5 Years",IF(HR_Data[[#This Row],[YearsAtCompany]]&lt;=10,"6-10 Years","10+ Years")))</f>
        <v>2-5 Years</v>
      </c>
      <c r="AO347" t="str">
        <f>IF(HR_Data[[#This Row],[JobSatisfaction]]=1,"Low",IF(HR_Data[[#This Row],[JobSatisfaction]]=2,"Medium",IF(HR_Data[[#This Row],[JobSatisfaction]]=3,"High","Very High")))</f>
        <v>Very High</v>
      </c>
      <c r="AP347" t="str">
        <f>IF(HR_Data[[#This Row],[WorkLifeBalance]]=1,"Bad",IF(HR_Data[[#This Row],[WorkLifeBalance]]=2,"Good",IF(HR_Data[[#This Row],[WorkLifeBalance]]=3,"Better","Best")))</f>
        <v>Good</v>
      </c>
    </row>
    <row r="348" spans="1:42"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IF(HR_Data[[#This Row],[Attrition]]="Yes",1,0)</f>
        <v>0</v>
      </c>
      <c r="AK348">
        <f>IF(HR_Data[[#This Row],[Attrition]]="No",1,0)</f>
        <v>1</v>
      </c>
      <c r="AL348" t="str">
        <f>IF(HR_Data[[#This Row],[Age]]&lt;25,"Under 25",IF(HR_Data[[#This Row],[Age]]&lt;=34,"25-34",IF(HR_Data[[#This Row],[Age]]&lt;=44,"35-44",IF(HR_Data[[#This Row],[Age]]&lt;=54,"45-54","55+"))))</f>
        <v>35-44</v>
      </c>
      <c r="AM348" t="str">
        <f>IF(HR_Data[[#This Row],[MonthlyIncome]]&lt;3000,"Low Salary",IF(HR_Data[[#This Row],[MonthlyIncome]]&lt;=7000,"Medium Salary","High Salary"))</f>
        <v>Medium Salary</v>
      </c>
      <c r="AN348" t="str">
        <f>IF(HR_Data[[#This Row],[YearsAtCompany]]&lt;2,"0-1 Years",IF(HR_Data[[#This Row],[YearsAtCompany]]&lt;=5,"2-5 Years",IF(HR_Data[[#This Row],[YearsAtCompany]]&lt;=10,"6-10 Years","10+ Years")))</f>
        <v>2-5 Years</v>
      </c>
      <c r="AO348" t="str">
        <f>IF(HR_Data[[#This Row],[JobSatisfaction]]=1,"Low",IF(HR_Data[[#This Row],[JobSatisfaction]]=2,"Medium",IF(HR_Data[[#This Row],[JobSatisfaction]]=3,"High","Very High")))</f>
        <v>Medium</v>
      </c>
      <c r="AP348" t="str">
        <f>IF(HR_Data[[#This Row],[WorkLifeBalance]]=1,"Bad",IF(HR_Data[[#This Row],[WorkLifeBalance]]=2,"Good",IF(HR_Data[[#This Row],[WorkLifeBalance]]=3,"Better","Best")))</f>
        <v>Better</v>
      </c>
    </row>
    <row r="349" spans="1:42"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IF(HR_Data[[#This Row],[Attrition]]="Yes",1,0)</f>
        <v>0</v>
      </c>
      <c r="AK349">
        <f>IF(HR_Data[[#This Row],[Attrition]]="No",1,0)</f>
        <v>1</v>
      </c>
      <c r="AL349" t="str">
        <f>IF(HR_Data[[#This Row],[Age]]&lt;25,"Under 25",IF(HR_Data[[#This Row],[Age]]&lt;=34,"25-34",IF(HR_Data[[#This Row],[Age]]&lt;=44,"35-44",IF(HR_Data[[#This Row],[Age]]&lt;=54,"45-54","55+"))))</f>
        <v>45-54</v>
      </c>
      <c r="AM349" t="str">
        <f>IF(HR_Data[[#This Row],[MonthlyIncome]]&lt;3000,"Low Salary",IF(HR_Data[[#This Row],[MonthlyIncome]]&lt;=7000,"Medium Salary","High Salary"))</f>
        <v>Low Salary</v>
      </c>
      <c r="AN349" t="str">
        <f>IF(HR_Data[[#This Row],[YearsAtCompany]]&lt;2,"0-1 Years",IF(HR_Data[[#This Row],[YearsAtCompany]]&lt;=5,"2-5 Years",IF(HR_Data[[#This Row],[YearsAtCompany]]&lt;=10,"6-10 Years","10+ Years")))</f>
        <v>0-1 Years</v>
      </c>
      <c r="AO349" t="str">
        <f>IF(HR_Data[[#This Row],[JobSatisfaction]]=1,"Low",IF(HR_Data[[#This Row],[JobSatisfaction]]=2,"Medium",IF(HR_Data[[#This Row],[JobSatisfaction]]=3,"High","Very High")))</f>
        <v>High</v>
      </c>
      <c r="AP349" t="str">
        <f>IF(HR_Data[[#This Row],[WorkLifeBalance]]=1,"Bad",IF(HR_Data[[#This Row],[WorkLifeBalance]]=2,"Good",IF(HR_Data[[#This Row],[WorkLifeBalance]]=3,"Better","Best")))</f>
        <v>Better</v>
      </c>
    </row>
    <row r="350" spans="1:42"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IF(HR_Data[[#This Row],[Attrition]]="Yes",1,0)</f>
        <v>0</v>
      </c>
      <c r="AK350">
        <f>IF(HR_Data[[#This Row],[Attrition]]="No",1,0)</f>
        <v>1</v>
      </c>
      <c r="AL350" t="str">
        <f>IF(HR_Data[[#This Row],[Age]]&lt;25,"Under 25",IF(HR_Data[[#This Row],[Age]]&lt;=34,"25-34",IF(HR_Data[[#This Row],[Age]]&lt;=44,"35-44",IF(HR_Data[[#This Row],[Age]]&lt;=54,"45-54","55+"))))</f>
        <v>35-44</v>
      </c>
      <c r="AM350" t="str">
        <f>IF(HR_Data[[#This Row],[MonthlyIncome]]&lt;3000,"Low Salary",IF(HR_Data[[#This Row],[MonthlyIncome]]&lt;=7000,"Medium Salary","High Salary"))</f>
        <v>High Salary</v>
      </c>
      <c r="AN350" t="str">
        <f>IF(HR_Data[[#This Row],[YearsAtCompany]]&lt;2,"0-1 Years",IF(HR_Data[[#This Row],[YearsAtCompany]]&lt;=5,"2-5 Years",IF(HR_Data[[#This Row],[YearsAtCompany]]&lt;=10,"6-10 Years","10+ Years")))</f>
        <v>0-1 Years</v>
      </c>
      <c r="AO350" t="str">
        <f>IF(HR_Data[[#This Row],[JobSatisfaction]]=1,"Low",IF(HR_Data[[#This Row],[JobSatisfaction]]=2,"Medium",IF(HR_Data[[#This Row],[JobSatisfaction]]=3,"High","Very High")))</f>
        <v>Very High</v>
      </c>
      <c r="AP350" t="str">
        <f>IF(HR_Data[[#This Row],[WorkLifeBalance]]=1,"Bad",IF(HR_Data[[#This Row],[WorkLifeBalance]]=2,"Good",IF(HR_Data[[#This Row],[WorkLifeBalance]]=3,"Better","Best")))</f>
        <v>Better</v>
      </c>
    </row>
    <row r="351" spans="1:42"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IF(HR_Data[[#This Row],[Attrition]]="Yes",1,0)</f>
        <v>0</v>
      </c>
      <c r="AK351">
        <f>IF(HR_Data[[#This Row],[Attrition]]="No",1,0)</f>
        <v>1</v>
      </c>
      <c r="AL351" t="str">
        <f>IF(HR_Data[[#This Row],[Age]]&lt;25,"Under 25",IF(HR_Data[[#This Row],[Age]]&lt;=34,"25-34",IF(HR_Data[[#This Row],[Age]]&lt;=44,"35-44",IF(HR_Data[[#This Row],[Age]]&lt;=54,"45-54","55+"))))</f>
        <v>25-34</v>
      </c>
      <c r="AM351" t="str">
        <f>IF(HR_Data[[#This Row],[MonthlyIncome]]&lt;3000,"Low Salary",IF(HR_Data[[#This Row],[MonthlyIncome]]&lt;=7000,"Medium Salary","High Salary"))</f>
        <v>Medium Salary</v>
      </c>
      <c r="AN351" t="str">
        <f>IF(HR_Data[[#This Row],[YearsAtCompany]]&lt;2,"0-1 Years",IF(HR_Data[[#This Row],[YearsAtCompany]]&lt;=5,"2-5 Years",IF(HR_Data[[#This Row],[YearsAtCompany]]&lt;=10,"6-10 Years","10+ Years")))</f>
        <v>2-5 Years</v>
      </c>
      <c r="AO351" t="str">
        <f>IF(HR_Data[[#This Row],[JobSatisfaction]]=1,"Low",IF(HR_Data[[#This Row],[JobSatisfaction]]=2,"Medium",IF(HR_Data[[#This Row],[JobSatisfaction]]=3,"High","Very High")))</f>
        <v>High</v>
      </c>
      <c r="AP351" t="str">
        <f>IF(HR_Data[[#This Row],[WorkLifeBalance]]=1,"Bad",IF(HR_Data[[#This Row],[WorkLifeBalance]]=2,"Good",IF(HR_Data[[#This Row],[WorkLifeBalance]]=3,"Better","Best")))</f>
        <v>Good</v>
      </c>
    </row>
    <row r="352" spans="1:42"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IF(HR_Data[[#This Row],[Attrition]]="Yes",1,0)</f>
        <v>0</v>
      </c>
      <c r="AK352">
        <f>IF(HR_Data[[#This Row],[Attrition]]="No",1,0)</f>
        <v>1</v>
      </c>
      <c r="AL352" t="str">
        <f>IF(HR_Data[[#This Row],[Age]]&lt;25,"Under 25",IF(HR_Data[[#This Row],[Age]]&lt;=34,"25-34",IF(HR_Data[[#This Row],[Age]]&lt;=44,"35-44",IF(HR_Data[[#This Row],[Age]]&lt;=54,"45-54","55+"))))</f>
        <v>35-44</v>
      </c>
      <c r="AM352" t="str">
        <f>IF(HR_Data[[#This Row],[MonthlyIncome]]&lt;3000,"Low Salary",IF(HR_Data[[#This Row],[MonthlyIncome]]&lt;=7000,"Medium Salary","High Salary"))</f>
        <v>Low Salary</v>
      </c>
      <c r="AN352" t="str">
        <f>IF(HR_Data[[#This Row],[YearsAtCompany]]&lt;2,"0-1 Years",IF(HR_Data[[#This Row],[YearsAtCompany]]&lt;=5,"2-5 Years",IF(HR_Data[[#This Row],[YearsAtCompany]]&lt;=10,"6-10 Years","10+ Years")))</f>
        <v>2-5 Years</v>
      </c>
      <c r="AO352" t="str">
        <f>IF(HR_Data[[#This Row],[JobSatisfaction]]=1,"Low",IF(HR_Data[[#This Row],[JobSatisfaction]]=2,"Medium",IF(HR_Data[[#This Row],[JobSatisfaction]]=3,"High","Very High")))</f>
        <v>High</v>
      </c>
      <c r="AP352" t="str">
        <f>IF(HR_Data[[#This Row],[WorkLifeBalance]]=1,"Bad",IF(HR_Data[[#This Row],[WorkLifeBalance]]=2,"Good",IF(HR_Data[[#This Row],[WorkLifeBalance]]=3,"Better","Best")))</f>
        <v>Better</v>
      </c>
    </row>
    <row r="353" spans="1:42"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IF(HR_Data[[#This Row],[Attrition]]="Yes",1,0)</f>
        <v>0</v>
      </c>
      <c r="AK353">
        <f>IF(HR_Data[[#This Row],[Attrition]]="No",1,0)</f>
        <v>1</v>
      </c>
      <c r="AL353" t="str">
        <f>IF(HR_Data[[#This Row],[Age]]&lt;25,"Under 25",IF(HR_Data[[#This Row],[Age]]&lt;=34,"25-34",IF(HR_Data[[#This Row],[Age]]&lt;=44,"35-44",IF(HR_Data[[#This Row],[Age]]&lt;=54,"45-54","55+"))))</f>
        <v>25-34</v>
      </c>
      <c r="AM353" t="str">
        <f>IF(HR_Data[[#This Row],[MonthlyIncome]]&lt;3000,"Low Salary",IF(HR_Data[[#This Row],[MonthlyIncome]]&lt;=7000,"Medium Salary","High Salary"))</f>
        <v>Low Salary</v>
      </c>
      <c r="AN353" t="str">
        <f>IF(HR_Data[[#This Row],[YearsAtCompany]]&lt;2,"0-1 Years",IF(HR_Data[[#This Row],[YearsAtCompany]]&lt;=5,"2-5 Years",IF(HR_Data[[#This Row],[YearsAtCompany]]&lt;=10,"6-10 Years","10+ Years")))</f>
        <v>6-10 Years</v>
      </c>
      <c r="AO353" t="str">
        <f>IF(HR_Data[[#This Row],[JobSatisfaction]]=1,"Low",IF(HR_Data[[#This Row],[JobSatisfaction]]=2,"Medium",IF(HR_Data[[#This Row],[JobSatisfaction]]=3,"High","Very High")))</f>
        <v>Medium</v>
      </c>
      <c r="AP353" t="str">
        <f>IF(HR_Data[[#This Row],[WorkLifeBalance]]=1,"Bad",IF(HR_Data[[#This Row],[WorkLifeBalance]]=2,"Good",IF(HR_Data[[#This Row],[WorkLifeBalance]]=3,"Better","Best")))</f>
        <v>Better</v>
      </c>
    </row>
    <row r="354" spans="1:42"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IF(HR_Data[[#This Row],[Attrition]]="Yes",1,0)</f>
        <v>0</v>
      </c>
      <c r="AK354">
        <f>IF(HR_Data[[#This Row],[Attrition]]="No",1,0)</f>
        <v>1</v>
      </c>
      <c r="AL354" t="str">
        <f>IF(HR_Data[[#This Row],[Age]]&lt;25,"Under 25",IF(HR_Data[[#This Row],[Age]]&lt;=34,"25-34",IF(HR_Data[[#This Row],[Age]]&lt;=44,"35-44",IF(HR_Data[[#This Row],[Age]]&lt;=54,"45-54","55+"))))</f>
        <v>45-54</v>
      </c>
      <c r="AM354" t="str">
        <f>IF(HR_Data[[#This Row],[MonthlyIncome]]&lt;3000,"Low Salary",IF(HR_Data[[#This Row],[MonthlyIncome]]&lt;=7000,"Medium Salary","High Salary"))</f>
        <v>High Salary</v>
      </c>
      <c r="AN354" t="str">
        <f>IF(HR_Data[[#This Row],[YearsAtCompany]]&lt;2,"0-1 Years",IF(HR_Data[[#This Row],[YearsAtCompany]]&lt;=5,"2-5 Years",IF(HR_Data[[#This Row],[YearsAtCompany]]&lt;=10,"6-10 Years","10+ Years")))</f>
        <v>0-1 Years</v>
      </c>
      <c r="AO354" t="str">
        <f>IF(HR_Data[[#This Row],[JobSatisfaction]]=1,"Low",IF(HR_Data[[#This Row],[JobSatisfaction]]=2,"Medium",IF(HR_Data[[#This Row],[JobSatisfaction]]=3,"High","Very High")))</f>
        <v>High</v>
      </c>
      <c r="AP354" t="str">
        <f>IF(HR_Data[[#This Row],[WorkLifeBalance]]=1,"Bad",IF(HR_Data[[#This Row],[WorkLifeBalance]]=2,"Good",IF(HR_Data[[#This Row],[WorkLifeBalance]]=3,"Better","Best")))</f>
        <v>Bad</v>
      </c>
    </row>
    <row r="355" spans="1:42"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IF(HR_Data[[#This Row],[Attrition]]="Yes",1,0)</f>
        <v>0</v>
      </c>
      <c r="AK355">
        <f>IF(HR_Data[[#This Row],[Attrition]]="No",1,0)</f>
        <v>1</v>
      </c>
      <c r="AL355" t="str">
        <f>IF(HR_Data[[#This Row],[Age]]&lt;25,"Under 25",IF(HR_Data[[#This Row],[Age]]&lt;=34,"25-34",IF(HR_Data[[#This Row],[Age]]&lt;=44,"35-44",IF(HR_Data[[#This Row],[Age]]&lt;=54,"45-54","55+"))))</f>
        <v>35-44</v>
      </c>
      <c r="AM355" t="str">
        <f>IF(HR_Data[[#This Row],[MonthlyIncome]]&lt;3000,"Low Salary",IF(HR_Data[[#This Row],[MonthlyIncome]]&lt;=7000,"Medium Salary","High Salary"))</f>
        <v>Medium Salary</v>
      </c>
      <c r="AN355" t="str">
        <f>IF(HR_Data[[#This Row],[YearsAtCompany]]&lt;2,"0-1 Years",IF(HR_Data[[#This Row],[YearsAtCompany]]&lt;=5,"2-5 Years",IF(HR_Data[[#This Row],[YearsAtCompany]]&lt;=10,"6-10 Years","10+ Years")))</f>
        <v>6-10 Years</v>
      </c>
      <c r="AO355" t="str">
        <f>IF(HR_Data[[#This Row],[JobSatisfaction]]=1,"Low",IF(HR_Data[[#This Row],[JobSatisfaction]]=2,"Medium",IF(HR_Data[[#This Row],[JobSatisfaction]]=3,"High","Very High")))</f>
        <v>Low</v>
      </c>
      <c r="AP355" t="str">
        <f>IF(HR_Data[[#This Row],[WorkLifeBalance]]=1,"Bad",IF(HR_Data[[#This Row],[WorkLifeBalance]]=2,"Good",IF(HR_Data[[#This Row],[WorkLifeBalance]]=3,"Better","Best")))</f>
        <v>Better</v>
      </c>
    </row>
    <row r="356" spans="1:42"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IF(HR_Data[[#This Row],[Attrition]]="Yes",1,0)</f>
        <v>0</v>
      </c>
      <c r="AK356">
        <f>IF(HR_Data[[#This Row],[Attrition]]="No",1,0)</f>
        <v>1</v>
      </c>
      <c r="AL356" t="str">
        <f>IF(HR_Data[[#This Row],[Age]]&lt;25,"Under 25",IF(HR_Data[[#This Row],[Age]]&lt;=34,"25-34",IF(HR_Data[[#This Row],[Age]]&lt;=44,"35-44",IF(HR_Data[[#This Row],[Age]]&lt;=54,"45-54","55+"))))</f>
        <v>25-34</v>
      </c>
      <c r="AM356" t="str">
        <f>IF(HR_Data[[#This Row],[MonthlyIncome]]&lt;3000,"Low Salary",IF(HR_Data[[#This Row],[MonthlyIncome]]&lt;=7000,"Medium Salary","High Salary"))</f>
        <v>Medium Salary</v>
      </c>
      <c r="AN356" t="str">
        <f>IF(HR_Data[[#This Row],[YearsAtCompany]]&lt;2,"0-1 Years",IF(HR_Data[[#This Row],[YearsAtCompany]]&lt;=5,"2-5 Years",IF(HR_Data[[#This Row],[YearsAtCompany]]&lt;=10,"6-10 Years","10+ Years")))</f>
        <v>2-5 Years</v>
      </c>
      <c r="AO356" t="str">
        <f>IF(HR_Data[[#This Row],[JobSatisfaction]]=1,"Low",IF(HR_Data[[#This Row],[JobSatisfaction]]=2,"Medium",IF(HR_Data[[#This Row],[JobSatisfaction]]=3,"High","Very High")))</f>
        <v>High</v>
      </c>
      <c r="AP356" t="str">
        <f>IF(HR_Data[[#This Row],[WorkLifeBalance]]=1,"Bad",IF(HR_Data[[#This Row],[WorkLifeBalance]]=2,"Good",IF(HR_Data[[#This Row],[WorkLifeBalance]]=3,"Better","Best")))</f>
        <v>Best</v>
      </c>
    </row>
    <row r="357" spans="1:42"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IF(HR_Data[[#This Row],[Attrition]]="Yes",1,0)</f>
        <v>0</v>
      </c>
      <c r="AK357">
        <f>IF(HR_Data[[#This Row],[Attrition]]="No",1,0)</f>
        <v>1</v>
      </c>
      <c r="AL357" t="str">
        <f>IF(HR_Data[[#This Row],[Age]]&lt;25,"Under 25",IF(HR_Data[[#This Row],[Age]]&lt;=34,"25-34",IF(HR_Data[[#This Row],[Age]]&lt;=44,"35-44",IF(HR_Data[[#This Row],[Age]]&lt;=54,"45-54","55+"))))</f>
        <v>25-34</v>
      </c>
      <c r="AM357" t="str">
        <f>IF(HR_Data[[#This Row],[MonthlyIncome]]&lt;3000,"Low Salary",IF(HR_Data[[#This Row],[MonthlyIncome]]&lt;=7000,"Medium Salary","High Salary"))</f>
        <v>Medium Salary</v>
      </c>
      <c r="AN357" t="str">
        <f>IF(HR_Data[[#This Row],[YearsAtCompany]]&lt;2,"0-1 Years",IF(HR_Data[[#This Row],[YearsAtCompany]]&lt;=5,"2-5 Years",IF(HR_Data[[#This Row],[YearsAtCompany]]&lt;=10,"6-10 Years","10+ Years")))</f>
        <v>6-10 Years</v>
      </c>
      <c r="AO357" t="str">
        <f>IF(HR_Data[[#This Row],[JobSatisfaction]]=1,"Low",IF(HR_Data[[#This Row],[JobSatisfaction]]=2,"Medium",IF(HR_Data[[#This Row],[JobSatisfaction]]=3,"High","Very High")))</f>
        <v>High</v>
      </c>
      <c r="AP357" t="str">
        <f>IF(HR_Data[[#This Row],[WorkLifeBalance]]=1,"Bad",IF(HR_Data[[#This Row],[WorkLifeBalance]]=2,"Good",IF(HR_Data[[#This Row],[WorkLifeBalance]]=3,"Better","Best")))</f>
        <v>Better</v>
      </c>
    </row>
    <row r="358" spans="1:42"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IF(HR_Data[[#This Row],[Attrition]]="Yes",1,0)</f>
        <v>0</v>
      </c>
      <c r="AK358">
        <f>IF(HR_Data[[#This Row],[Attrition]]="No",1,0)</f>
        <v>1</v>
      </c>
      <c r="AL358" t="str">
        <f>IF(HR_Data[[#This Row],[Age]]&lt;25,"Under 25",IF(HR_Data[[#This Row],[Age]]&lt;=34,"25-34",IF(HR_Data[[#This Row],[Age]]&lt;=44,"35-44",IF(HR_Data[[#This Row],[Age]]&lt;=54,"45-54","55+"))))</f>
        <v>35-44</v>
      </c>
      <c r="AM358" t="str">
        <f>IF(HR_Data[[#This Row],[MonthlyIncome]]&lt;3000,"Low Salary",IF(HR_Data[[#This Row],[MonthlyIncome]]&lt;=7000,"Medium Salary","High Salary"))</f>
        <v>Medium Salary</v>
      </c>
      <c r="AN358" t="str">
        <f>IF(HR_Data[[#This Row],[YearsAtCompany]]&lt;2,"0-1 Years",IF(HR_Data[[#This Row],[YearsAtCompany]]&lt;=5,"2-5 Years",IF(HR_Data[[#This Row],[YearsAtCompany]]&lt;=10,"6-10 Years","10+ Years")))</f>
        <v>0-1 Years</v>
      </c>
      <c r="AO358" t="str">
        <f>IF(HR_Data[[#This Row],[JobSatisfaction]]=1,"Low",IF(HR_Data[[#This Row],[JobSatisfaction]]=2,"Medium",IF(HR_Data[[#This Row],[JobSatisfaction]]=3,"High","Very High")))</f>
        <v>Very High</v>
      </c>
      <c r="AP358" t="str">
        <f>IF(HR_Data[[#This Row],[WorkLifeBalance]]=1,"Bad",IF(HR_Data[[#This Row],[WorkLifeBalance]]=2,"Good",IF(HR_Data[[#This Row],[WorkLifeBalance]]=3,"Better","Best")))</f>
        <v>Better</v>
      </c>
    </row>
    <row r="359" spans="1:42"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IF(HR_Data[[#This Row],[Attrition]]="Yes",1,0)</f>
        <v>1</v>
      </c>
      <c r="AK359">
        <f>IF(HR_Data[[#This Row],[Attrition]]="No",1,0)</f>
        <v>0</v>
      </c>
      <c r="AL359" t="str">
        <f>IF(HR_Data[[#This Row],[Age]]&lt;25,"Under 25",IF(HR_Data[[#This Row],[Age]]&lt;=34,"25-34",IF(HR_Data[[#This Row],[Age]]&lt;=44,"35-44",IF(HR_Data[[#This Row],[Age]]&lt;=54,"45-54","55+"))))</f>
        <v>Under 25</v>
      </c>
      <c r="AM359" t="str">
        <f>IF(HR_Data[[#This Row],[MonthlyIncome]]&lt;3000,"Low Salary",IF(HR_Data[[#This Row],[MonthlyIncome]]&lt;=7000,"Medium Salary","High Salary"))</f>
        <v>Low Salary</v>
      </c>
      <c r="AN359" t="str">
        <f>IF(HR_Data[[#This Row],[YearsAtCompany]]&lt;2,"0-1 Years",IF(HR_Data[[#This Row],[YearsAtCompany]]&lt;=5,"2-5 Years",IF(HR_Data[[#This Row],[YearsAtCompany]]&lt;=10,"6-10 Years","10+ Years")))</f>
        <v>2-5 Years</v>
      </c>
      <c r="AO359" t="str">
        <f>IF(HR_Data[[#This Row],[JobSatisfaction]]=1,"Low",IF(HR_Data[[#This Row],[JobSatisfaction]]=2,"Medium",IF(HR_Data[[#This Row],[JobSatisfaction]]=3,"High","Very High")))</f>
        <v>Medium</v>
      </c>
      <c r="AP359" t="str">
        <f>IF(HR_Data[[#This Row],[WorkLifeBalance]]=1,"Bad",IF(HR_Data[[#This Row],[WorkLifeBalance]]=2,"Good",IF(HR_Data[[#This Row],[WorkLifeBalance]]=3,"Better","Best")))</f>
        <v>Better</v>
      </c>
    </row>
    <row r="360" spans="1:42"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IF(HR_Data[[#This Row],[Attrition]]="Yes",1,0)</f>
        <v>0</v>
      </c>
      <c r="AK360">
        <f>IF(HR_Data[[#This Row],[Attrition]]="No",1,0)</f>
        <v>1</v>
      </c>
      <c r="AL360" t="str">
        <f>IF(HR_Data[[#This Row],[Age]]&lt;25,"Under 25",IF(HR_Data[[#This Row],[Age]]&lt;=34,"25-34",IF(HR_Data[[#This Row],[Age]]&lt;=44,"35-44",IF(HR_Data[[#This Row],[Age]]&lt;=54,"45-54","55+"))))</f>
        <v>35-44</v>
      </c>
      <c r="AM360" t="str">
        <f>IF(HR_Data[[#This Row],[MonthlyIncome]]&lt;3000,"Low Salary",IF(HR_Data[[#This Row],[MonthlyIncome]]&lt;=7000,"Medium Salary","High Salary"))</f>
        <v>Medium Salary</v>
      </c>
      <c r="AN360" t="str">
        <f>IF(HR_Data[[#This Row],[YearsAtCompany]]&lt;2,"0-1 Years",IF(HR_Data[[#This Row],[YearsAtCompany]]&lt;=5,"2-5 Years",IF(HR_Data[[#This Row],[YearsAtCompany]]&lt;=10,"6-10 Years","10+ Years")))</f>
        <v>0-1 Years</v>
      </c>
      <c r="AO360" t="str">
        <f>IF(HR_Data[[#This Row],[JobSatisfaction]]=1,"Low",IF(HR_Data[[#This Row],[JobSatisfaction]]=2,"Medium",IF(HR_Data[[#This Row],[JobSatisfaction]]=3,"High","Very High")))</f>
        <v>Very High</v>
      </c>
      <c r="AP360" t="str">
        <f>IF(HR_Data[[#This Row],[WorkLifeBalance]]=1,"Bad",IF(HR_Data[[#This Row],[WorkLifeBalance]]=2,"Good",IF(HR_Data[[#This Row],[WorkLifeBalance]]=3,"Better","Best")))</f>
        <v>Better</v>
      </c>
    </row>
    <row r="361" spans="1:42"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IF(HR_Data[[#This Row],[Attrition]]="Yes",1,0)</f>
        <v>0</v>
      </c>
      <c r="AK361">
        <f>IF(HR_Data[[#This Row],[Attrition]]="No",1,0)</f>
        <v>1</v>
      </c>
      <c r="AL361" t="str">
        <f>IF(HR_Data[[#This Row],[Age]]&lt;25,"Under 25",IF(HR_Data[[#This Row],[Age]]&lt;=34,"25-34",IF(HR_Data[[#This Row],[Age]]&lt;=44,"35-44",IF(HR_Data[[#This Row],[Age]]&lt;=54,"45-54","55+"))))</f>
        <v>35-44</v>
      </c>
      <c r="AM361" t="str">
        <f>IF(HR_Data[[#This Row],[MonthlyIncome]]&lt;3000,"Low Salary",IF(HR_Data[[#This Row],[MonthlyIncome]]&lt;=7000,"Medium Salary","High Salary"))</f>
        <v>High Salary</v>
      </c>
      <c r="AN361" t="str">
        <f>IF(HR_Data[[#This Row],[YearsAtCompany]]&lt;2,"0-1 Years",IF(HR_Data[[#This Row],[YearsAtCompany]]&lt;=5,"2-5 Years",IF(HR_Data[[#This Row],[YearsAtCompany]]&lt;=10,"6-10 Years","10+ Years")))</f>
        <v>10+ Years</v>
      </c>
      <c r="AO361" t="str">
        <f>IF(HR_Data[[#This Row],[JobSatisfaction]]=1,"Low",IF(HR_Data[[#This Row],[JobSatisfaction]]=2,"Medium",IF(HR_Data[[#This Row],[JobSatisfaction]]=3,"High","Very High")))</f>
        <v>Very High</v>
      </c>
      <c r="AP361" t="str">
        <f>IF(HR_Data[[#This Row],[WorkLifeBalance]]=1,"Bad",IF(HR_Data[[#This Row],[WorkLifeBalance]]=2,"Good",IF(HR_Data[[#This Row],[WorkLifeBalance]]=3,"Better","Best")))</f>
        <v>Better</v>
      </c>
    </row>
    <row r="362" spans="1:42"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IF(HR_Data[[#This Row],[Attrition]]="Yes",1,0)</f>
        <v>0</v>
      </c>
      <c r="AK362">
        <f>IF(HR_Data[[#This Row],[Attrition]]="No",1,0)</f>
        <v>1</v>
      </c>
      <c r="AL362" t="str">
        <f>IF(HR_Data[[#This Row],[Age]]&lt;25,"Under 25",IF(HR_Data[[#This Row],[Age]]&lt;=34,"25-34",IF(HR_Data[[#This Row],[Age]]&lt;=44,"35-44",IF(HR_Data[[#This Row],[Age]]&lt;=54,"45-54","55+"))))</f>
        <v>55+</v>
      </c>
      <c r="AM362" t="str">
        <f>IF(HR_Data[[#This Row],[MonthlyIncome]]&lt;3000,"Low Salary",IF(HR_Data[[#This Row],[MonthlyIncome]]&lt;=7000,"Medium Salary","High Salary"))</f>
        <v>Medium Salary</v>
      </c>
      <c r="AN362" t="str">
        <f>IF(HR_Data[[#This Row],[YearsAtCompany]]&lt;2,"0-1 Years",IF(HR_Data[[#This Row],[YearsAtCompany]]&lt;=5,"2-5 Years",IF(HR_Data[[#This Row],[YearsAtCompany]]&lt;=10,"6-10 Years","10+ Years")))</f>
        <v>2-5 Years</v>
      </c>
      <c r="AO362" t="str">
        <f>IF(HR_Data[[#This Row],[JobSatisfaction]]=1,"Low",IF(HR_Data[[#This Row],[JobSatisfaction]]=2,"Medium",IF(HR_Data[[#This Row],[JobSatisfaction]]=3,"High","Very High")))</f>
        <v>High</v>
      </c>
      <c r="AP362" t="str">
        <f>IF(HR_Data[[#This Row],[WorkLifeBalance]]=1,"Bad",IF(HR_Data[[#This Row],[WorkLifeBalance]]=2,"Good",IF(HR_Data[[#This Row],[WorkLifeBalance]]=3,"Better","Best")))</f>
        <v>Better</v>
      </c>
    </row>
    <row r="363" spans="1:42"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IF(HR_Data[[#This Row],[Attrition]]="Yes",1,0)</f>
        <v>0</v>
      </c>
      <c r="AK363">
        <f>IF(HR_Data[[#This Row],[Attrition]]="No",1,0)</f>
        <v>1</v>
      </c>
      <c r="AL363" t="str">
        <f>IF(HR_Data[[#This Row],[Age]]&lt;25,"Under 25",IF(HR_Data[[#This Row],[Age]]&lt;=34,"25-34",IF(HR_Data[[#This Row],[Age]]&lt;=44,"35-44",IF(HR_Data[[#This Row],[Age]]&lt;=54,"45-54","55+"))))</f>
        <v>35-44</v>
      </c>
      <c r="AM363" t="str">
        <f>IF(HR_Data[[#This Row],[MonthlyIncome]]&lt;3000,"Low Salary",IF(HR_Data[[#This Row],[MonthlyIncome]]&lt;=7000,"Medium Salary","High Salary"))</f>
        <v>Low Salary</v>
      </c>
      <c r="AN363" t="str">
        <f>IF(HR_Data[[#This Row],[YearsAtCompany]]&lt;2,"0-1 Years",IF(HR_Data[[#This Row],[YearsAtCompany]]&lt;=5,"2-5 Years",IF(HR_Data[[#This Row],[YearsAtCompany]]&lt;=10,"6-10 Years","10+ Years")))</f>
        <v>6-10 Years</v>
      </c>
      <c r="AO363" t="str">
        <f>IF(HR_Data[[#This Row],[JobSatisfaction]]=1,"Low",IF(HR_Data[[#This Row],[JobSatisfaction]]=2,"Medium",IF(HR_Data[[#This Row],[JobSatisfaction]]=3,"High","Very High")))</f>
        <v>High</v>
      </c>
      <c r="AP363" t="str">
        <f>IF(HR_Data[[#This Row],[WorkLifeBalance]]=1,"Bad",IF(HR_Data[[#This Row],[WorkLifeBalance]]=2,"Good",IF(HR_Data[[#This Row],[WorkLifeBalance]]=3,"Better","Best")))</f>
        <v>Better</v>
      </c>
    </row>
    <row r="364" spans="1:42"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IF(HR_Data[[#This Row],[Attrition]]="Yes",1,0)</f>
        <v>0</v>
      </c>
      <c r="AK364">
        <f>IF(HR_Data[[#This Row],[Attrition]]="No",1,0)</f>
        <v>1</v>
      </c>
      <c r="AL364" t="str">
        <f>IF(HR_Data[[#This Row],[Age]]&lt;25,"Under 25",IF(HR_Data[[#This Row],[Age]]&lt;=34,"25-34",IF(HR_Data[[#This Row],[Age]]&lt;=44,"35-44",IF(HR_Data[[#This Row],[Age]]&lt;=54,"45-54","55+"))))</f>
        <v>Under 25</v>
      </c>
      <c r="AM364" t="str">
        <f>IF(HR_Data[[#This Row],[MonthlyIncome]]&lt;3000,"Low Salary",IF(HR_Data[[#This Row],[MonthlyIncome]]&lt;=7000,"Medium Salary","High Salary"))</f>
        <v>Low Salary</v>
      </c>
      <c r="AN364" t="str">
        <f>IF(HR_Data[[#This Row],[YearsAtCompany]]&lt;2,"0-1 Years",IF(HR_Data[[#This Row],[YearsAtCompany]]&lt;=5,"2-5 Years",IF(HR_Data[[#This Row],[YearsAtCompany]]&lt;=10,"6-10 Years","10+ Years")))</f>
        <v>2-5 Years</v>
      </c>
      <c r="AO364" t="str">
        <f>IF(HR_Data[[#This Row],[JobSatisfaction]]=1,"Low",IF(HR_Data[[#This Row],[JobSatisfaction]]=2,"Medium",IF(HR_Data[[#This Row],[JobSatisfaction]]=3,"High","Very High")))</f>
        <v>Very High</v>
      </c>
      <c r="AP364" t="str">
        <f>IF(HR_Data[[#This Row],[WorkLifeBalance]]=1,"Bad",IF(HR_Data[[#This Row],[WorkLifeBalance]]=2,"Good",IF(HR_Data[[#This Row],[WorkLifeBalance]]=3,"Better","Best")))</f>
        <v>Good</v>
      </c>
    </row>
    <row r="365" spans="1:42"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IF(HR_Data[[#This Row],[Attrition]]="Yes",1,0)</f>
        <v>1</v>
      </c>
      <c r="AK365">
        <f>IF(HR_Data[[#This Row],[Attrition]]="No",1,0)</f>
        <v>0</v>
      </c>
      <c r="AL365" t="str">
        <f>IF(HR_Data[[#This Row],[Age]]&lt;25,"Under 25",IF(HR_Data[[#This Row],[Age]]&lt;=34,"25-34",IF(HR_Data[[#This Row],[Age]]&lt;=44,"35-44",IF(HR_Data[[#This Row],[Age]]&lt;=54,"45-54","55+"))))</f>
        <v>25-34</v>
      </c>
      <c r="AM365" t="str">
        <f>IF(HR_Data[[#This Row],[MonthlyIncome]]&lt;3000,"Low Salary",IF(HR_Data[[#This Row],[MonthlyIncome]]&lt;=7000,"Medium Salary","High Salary"))</f>
        <v>Low Salary</v>
      </c>
      <c r="AN365" t="str">
        <f>IF(HR_Data[[#This Row],[YearsAtCompany]]&lt;2,"0-1 Years",IF(HR_Data[[#This Row],[YearsAtCompany]]&lt;=5,"2-5 Years",IF(HR_Data[[#This Row],[YearsAtCompany]]&lt;=10,"6-10 Years","10+ Years")))</f>
        <v>0-1 Years</v>
      </c>
      <c r="AO365" t="str">
        <f>IF(HR_Data[[#This Row],[JobSatisfaction]]=1,"Low",IF(HR_Data[[#This Row],[JobSatisfaction]]=2,"Medium",IF(HR_Data[[#This Row],[JobSatisfaction]]=3,"High","Very High")))</f>
        <v>High</v>
      </c>
      <c r="AP365" t="str">
        <f>IF(HR_Data[[#This Row],[WorkLifeBalance]]=1,"Bad",IF(HR_Data[[#This Row],[WorkLifeBalance]]=2,"Good",IF(HR_Data[[#This Row],[WorkLifeBalance]]=3,"Better","Best")))</f>
        <v>Better</v>
      </c>
    </row>
    <row r="366" spans="1:42"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IF(HR_Data[[#This Row],[Attrition]]="Yes",1,0)</f>
        <v>0</v>
      </c>
      <c r="AK366">
        <f>IF(HR_Data[[#This Row],[Attrition]]="No",1,0)</f>
        <v>1</v>
      </c>
      <c r="AL366" t="str">
        <f>IF(HR_Data[[#This Row],[Age]]&lt;25,"Under 25",IF(HR_Data[[#This Row],[Age]]&lt;=34,"25-34",IF(HR_Data[[#This Row],[Age]]&lt;=44,"35-44",IF(HR_Data[[#This Row],[Age]]&lt;=54,"45-54","55+"))))</f>
        <v>35-44</v>
      </c>
      <c r="AM366" t="str">
        <f>IF(HR_Data[[#This Row],[MonthlyIncome]]&lt;3000,"Low Salary",IF(HR_Data[[#This Row],[MonthlyIncome]]&lt;=7000,"Medium Salary","High Salary"))</f>
        <v>Medium Salary</v>
      </c>
      <c r="AN366" t="str">
        <f>IF(HR_Data[[#This Row],[YearsAtCompany]]&lt;2,"0-1 Years",IF(HR_Data[[#This Row],[YearsAtCompany]]&lt;=5,"2-5 Years",IF(HR_Data[[#This Row],[YearsAtCompany]]&lt;=10,"6-10 Years","10+ Years")))</f>
        <v>2-5 Years</v>
      </c>
      <c r="AO366" t="str">
        <f>IF(HR_Data[[#This Row],[JobSatisfaction]]=1,"Low",IF(HR_Data[[#This Row],[JobSatisfaction]]=2,"Medium",IF(HR_Data[[#This Row],[JobSatisfaction]]=3,"High","Very High")))</f>
        <v>Low</v>
      </c>
      <c r="AP366" t="str">
        <f>IF(HR_Data[[#This Row],[WorkLifeBalance]]=1,"Bad",IF(HR_Data[[#This Row],[WorkLifeBalance]]=2,"Good",IF(HR_Data[[#This Row],[WorkLifeBalance]]=3,"Better","Best")))</f>
        <v>Better</v>
      </c>
    </row>
    <row r="367" spans="1:42"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IF(HR_Data[[#This Row],[Attrition]]="Yes",1,0)</f>
        <v>0</v>
      </c>
      <c r="AK367">
        <f>IF(HR_Data[[#This Row],[Attrition]]="No",1,0)</f>
        <v>1</v>
      </c>
      <c r="AL367" t="str">
        <f>IF(HR_Data[[#This Row],[Age]]&lt;25,"Under 25",IF(HR_Data[[#This Row],[Age]]&lt;=34,"25-34",IF(HR_Data[[#This Row],[Age]]&lt;=44,"35-44",IF(HR_Data[[#This Row],[Age]]&lt;=54,"45-54","55+"))))</f>
        <v>45-54</v>
      </c>
      <c r="AM367" t="str">
        <f>IF(HR_Data[[#This Row],[MonthlyIncome]]&lt;3000,"Low Salary",IF(HR_Data[[#This Row],[MonthlyIncome]]&lt;=7000,"Medium Salary","High Salary"))</f>
        <v>Medium Salary</v>
      </c>
      <c r="AN367" t="str">
        <f>IF(HR_Data[[#This Row],[YearsAtCompany]]&lt;2,"0-1 Years",IF(HR_Data[[#This Row],[YearsAtCompany]]&lt;=5,"2-5 Years",IF(HR_Data[[#This Row],[YearsAtCompany]]&lt;=10,"6-10 Years","10+ Years")))</f>
        <v>0-1 Years</v>
      </c>
      <c r="AO367" t="str">
        <f>IF(HR_Data[[#This Row],[JobSatisfaction]]=1,"Low",IF(HR_Data[[#This Row],[JobSatisfaction]]=2,"Medium",IF(HR_Data[[#This Row],[JobSatisfaction]]=3,"High","Very High")))</f>
        <v>High</v>
      </c>
      <c r="AP367" t="str">
        <f>IF(HR_Data[[#This Row],[WorkLifeBalance]]=1,"Bad",IF(HR_Data[[#This Row],[WorkLifeBalance]]=2,"Good",IF(HR_Data[[#This Row],[WorkLifeBalance]]=3,"Better","Best")))</f>
        <v>Best</v>
      </c>
    </row>
    <row r="368" spans="1:42"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IF(HR_Data[[#This Row],[Attrition]]="Yes",1,0)</f>
        <v>1</v>
      </c>
      <c r="AK368">
        <f>IF(HR_Data[[#This Row],[Attrition]]="No",1,0)</f>
        <v>0</v>
      </c>
      <c r="AL368" t="str">
        <f>IF(HR_Data[[#This Row],[Age]]&lt;25,"Under 25",IF(HR_Data[[#This Row],[Age]]&lt;=34,"25-34",IF(HR_Data[[#This Row],[Age]]&lt;=44,"35-44",IF(HR_Data[[#This Row],[Age]]&lt;=54,"45-54","55+"))))</f>
        <v>35-44</v>
      </c>
      <c r="AM368" t="str">
        <f>IF(HR_Data[[#This Row],[MonthlyIncome]]&lt;3000,"Low Salary",IF(HR_Data[[#This Row],[MonthlyIncome]]&lt;=7000,"Medium Salary","High Salary"))</f>
        <v>High Salary</v>
      </c>
      <c r="AN368" t="str">
        <f>IF(HR_Data[[#This Row],[YearsAtCompany]]&lt;2,"0-1 Years",IF(HR_Data[[#This Row],[YearsAtCompany]]&lt;=5,"2-5 Years",IF(HR_Data[[#This Row],[YearsAtCompany]]&lt;=10,"6-10 Years","10+ Years")))</f>
        <v>6-10 Years</v>
      </c>
      <c r="AO368" t="str">
        <f>IF(HR_Data[[#This Row],[JobSatisfaction]]=1,"Low",IF(HR_Data[[#This Row],[JobSatisfaction]]=2,"Medium",IF(HR_Data[[#This Row],[JobSatisfaction]]=3,"High","Very High")))</f>
        <v>Medium</v>
      </c>
      <c r="AP368" t="str">
        <f>IF(HR_Data[[#This Row],[WorkLifeBalance]]=1,"Bad",IF(HR_Data[[#This Row],[WorkLifeBalance]]=2,"Good",IF(HR_Data[[#This Row],[WorkLifeBalance]]=3,"Better","Best")))</f>
        <v>Better</v>
      </c>
    </row>
    <row r="369" spans="1:42"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IF(HR_Data[[#This Row],[Attrition]]="Yes",1,0)</f>
        <v>0</v>
      </c>
      <c r="AK369">
        <f>IF(HR_Data[[#This Row],[Attrition]]="No",1,0)</f>
        <v>1</v>
      </c>
      <c r="AL369" t="str">
        <f>IF(HR_Data[[#This Row],[Age]]&lt;25,"Under 25",IF(HR_Data[[#This Row],[Age]]&lt;=34,"25-34",IF(HR_Data[[#This Row],[Age]]&lt;=44,"35-44",IF(HR_Data[[#This Row],[Age]]&lt;=54,"45-54","55+"))))</f>
        <v>45-54</v>
      </c>
      <c r="AM369" t="str">
        <f>IF(HR_Data[[#This Row],[MonthlyIncome]]&lt;3000,"Low Salary",IF(HR_Data[[#This Row],[MonthlyIncome]]&lt;=7000,"Medium Salary","High Salary"))</f>
        <v>High Salary</v>
      </c>
      <c r="AN369" t="str">
        <f>IF(HR_Data[[#This Row],[YearsAtCompany]]&lt;2,"0-1 Years",IF(HR_Data[[#This Row],[YearsAtCompany]]&lt;=5,"2-5 Years",IF(HR_Data[[#This Row],[YearsAtCompany]]&lt;=10,"6-10 Years","10+ Years")))</f>
        <v>2-5 Years</v>
      </c>
      <c r="AO369" t="str">
        <f>IF(HR_Data[[#This Row],[JobSatisfaction]]=1,"Low",IF(HR_Data[[#This Row],[JobSatisfaction]]=2,"Medium",IF(HR_Data[[#This Row],[JobSatisfaction]]=3,"High","Very High")))</f>
        <v>Very High</v>
      </c>
      <c r="AP369" t="str">
        <f>IF(HR_Data[[#This Row],[WorkLifeBalance]]=1,"Bad",IF(HR_Data[[#This Row],[WorkLifeBalance]]=2,"Good",IF(HR_Data[[#This Row],[WorkLifeBalance]]=3,"Better","Best")))</f>
        <v>Better</v>
      </c>
    </row>
    <row r="370" spans="1:42"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IF(HR_Data[[#This Row],[Attrition]]="Yes",1,0)</f>
        <v>1</v>
      </c>
      <c r="AK370">
        <f>IF(HR_Data[[#This Row],[Attrition]]="No",1,0)</f>
        <v>0</v>
      </c>
      <c r="AL370" t="str">
        <f>IF(HR_Data[[#This Row],[Age]]&lt;25,"Under 25",IF(HR_Data[[#This Row],[Age]]&lt;=34,"25-34",IF(HR_Data[[#This Row],[Age]]&lt;=44,"35-44",IF(HR_Data[[#This Row],[Age]]&lt;=54,"45-54","55+"))))</f>
        <v>35-44</v>
      </c>
      <c r="AM370" t="str">
        <f>IF(HR_Data[[#This Row],[MonthlyIncome]]&lt;3000,"Low Salary",IF(HR_Data[[#This Row],[MonthlyIncome]]&lt;=7000,"Medium Salary","High Salary"))</f>
        <v>Medium Salary</v>
      </c>
      <c r="AN370" t="str">
        <f>IF(HR_Data[[#This Row],[YearsAtCompany]]&lt;2,"0-1 Years",IF(HR_Data[[#This Row],[YearsAtCompany]]&lt;=5,"2-5 Years",IF(HR_Data[[#This Row],[YearsAtCompany]]&lt;=10,"6-10 Years","10+ Years")))</f>
        <v>6-10 Years</v>
      </c>
      <c r="AO370" t="str">
        <f>IF(HR_Data[[#This Row],[JobSatisfaction]]=1,"Low",IF(HR_Data[[#This Row],[JobSatisfaction]]=2,"Medium",IF(HR_Data[[#This Row],[JobSatisfaction]]=3,"High","Very High")))</f>
        <v>High</v>
      </c>
      <c r="AP370" t="str">
        <f>IF(HR_Data[[#This Row],[WorkLifeBalance]]=1,"Bad",IF(HR_Data[[#This Row],[WorkLifeBalance]]=2,"Good",IF(HR_Data[[#This Row],[WorkLifeBalance]]=3,"Better","Best")))</f>
        <v>Better</v>
      </c>
    </row>
    <row r="371" spans="1:42"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IF(HR_Data[[#This Row],[Attrition]]="Yes",1,0)</f>
        <v>0</v>
      </c>
      <c r="AK371">
        <f>IF(HR_Data[[#This Row],[Attrition]]="No",1,0)</f>
        <v>1</v>
      </c>
      <c r="AL371" t="str">
        <f>IF(HR_Data[[#This Row],[Age]]&lt;25,"Under 25",IF(HR_Data[[#This Row],[Age]]&lt;=34,"25-34",IF(HR_Data[[#This Row],[Age]]&lt;=44,"35-44",IF(HR_Data[[#This Row],[Age]]&lt;=54,"45-54","55+"))))</f>
        <v>25-34</v>
      </c>
      <c r="AM371" t="str">
        <f>IF(HR_Data[[#This Row],[MonthlyIncome]]&lt;3000,"Low Salary",IF(HR_Data[[#This Row],[MonthlyIncome]]&lt;=7000,"Medium Salary","High Salary"))</f>
        <v>Low Salary</v>
      </c>
      <c r="AN371" t="str">
        <f>IF(HR_Data[[#This Row],[YearsAtCompany]]&lt;2,"0-1 Years",IF(HR_Data[[#This Row],[YearsAtCompany]]&lt;=5,"2-5 Years",IF(HR_Data[[#This Row],[YearsAtCompany]]&lt;=10,"6-10 Years","10+ Years")))</f>
        <v>2-5 Years</v>
      </c>
      <c r="AO371" t="str">
        <f>IF(HR_Data[[#This Row],[JobSatisfaction]]=1,"Low",IF(HR_Data[[#This Row],[JobSatisfaction]]=2,"Medium",IF(HR_Data[[#This Row],[JobSatisfaction]]=3,"High","Very High")))</f>
        <v>Medium</v>
      </c>
      <c r="AP371" t="str">
        <f>IF(HR_Data[[#This Row],[WorkLifeBalance]]=1,"Bad",IF(HR_Data[[#This Row],[WorkLifeBalance]]=2,"Good",IF(HR_Data[[#This Row],[WorkLifeBalance]]=3,"Better","Best")))</f>
        <v>Better</v>
      </c>
    </row>
    <row r="372" spans="1:42"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IF(HR_Data[[#This Row],[Attrition]]="Yes",1,0)</f>
        <v>1</v>
      </c>
      <c r="AK372">
        <f>IF(HR_Data[[#This Row],[Attrition]]="No",1,0)</f>
        <v>0</v>
      </c>
      <c r="AL372" t="str">
        <f>IF(HR_Data[[#This Row],[Age]]&lt;25,"Under 25",IF(HR_Data[[#This Row],[Age]]&lt;=34,"25-34",IF(HR_Data[[#This Row],[Age]]&lt;=44,"35-44",IF(HR_Data[[#This Row],[Age]]&lt;=54,"45-54","55+"))))</f>
        <v>Under 25</v>
      </c>
      <c r="AM372" t="str">
        <f>IF(HR_Data[[#This Row],[MonthlyIncome]]&lt;3000,"Low Salary",IF(HR_Data[[#This Row],[MonthlyIncome]]&lt;=7000,"Medium Salary","High Salary"))</f>
        <v>Low Salary</v>
      </c>
      <c r="AN372" t="str">
        <f>IF(HR_Data[[#This Row],[YearsAtCompany]]&lt;2,"0-1 Years",IF(HR_Data[[#This Row],[YearsAtCompany]]&lt;=5,"2-5 Years",IF(HR_Data[[#This Row],[YearsAtCompany]]&lt;=10,"6-10 Years","10+ Years")))</f>
        <v>0-1 Years</v>
      </c>
      <c r="AO372" t="str">
        <f>IF(HR_Data[[#This Row],[JobSatisfaction]]=1,"Low",IF(HR_Data[[#This Row],[JobSatisfaction]]=2,"Medium",IF(HR_Data[[#This Row],[JobSatisfaction]]=3,"High","Very High")))</f>
        <v>Medium</v>
      </c>
      <c r="AP372" t="str">
        <f>IF(HR_Data[[#This Row],[WorkLifeBalance]]=1,"Bad",IF(HR_Data[[#This Row],[WorkLifeBalance]]=2,"Good",IF(HR_Data[[#This Row],[WorkLifeBalance]]=3,"Better","Best")))</f>
        <v>Better</v>
      </c>
    </row>
    <row r="373" spans="1:42"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IF(HR_Data[[#This Row],[Attrition]]="Yes",1,0)</f>
        <v>0</v>
      </c>
      <c r="AK373">
        <f>IF(HR_Data[[#This Row],[Attrition]]="No",1,0)</f>
        <v>1</v>
      </c>
      <c r="AL373" t="str">
        <f>IF(HR_Data[[#This Row],[Age]]&lt;25,"Under 25",IF(HR_Data[[#This Row],[Age]]&lt;=34,"25-34",IF(HR_Data[[#This Row],[Age]]&lt;=44,"35-44",IF(HR_Data[[#This Row],[Age]]&lt;=54,"45-54","55+"))))</f>
        <v>25-34</v>
      </c>
      <c r="AM373" t="str">
        <f>IF(HR_Data[[#This Row],[MonthlyIncome]]&lt;3000,"Low Salary",IF(HR_Data[[#This Row],[MonthlyIncome]]&lt;=7000,"Medium Salary","High Salary"))</f>
        <v>Low Salary</v>
      </c>
      <c r="AN373" t="str">
        <f>IF(HR_Data[[#This Row],[YearsAtCompany]]&lt;2,"0-1 Years",IF(HR_Data[[#This Row],[YearsAtCompany]]&lt;=5,"2-5 Years",IF(HR_Data[[#This Row],[YearsAtCompany]]&lt;=10,"6-10 Years","10+ Years")))</f>
        <v>2-5 Years</v>
      </c>
      <c r="AO373" t="str">
        <f>IF(HR_Data[[#This Row],[JobSatisfaction]]=1,"Low",IF(HR_Data[[#This Row],[JobSatisfaction]]=2,"Medium",IF(HR_Data[[#This Row],[JobSatisfaction]]=3,"High","Very High")))</f>
        <v>Very High</v>
      </c>
      <c r="AP373" t="str">
        <f>IF(HR_Data[[#This Row],[WorkLifeBalance]]=1,"Bad",IF(HR_Data[[#This Row],[WorkLifeBalance]]=2,"Good",IF(HR_Data[[#This Row],[WorkLifeBalance]]=3,"Better","Best")))</f>
        <v>Better</v>
      </c>
    </row>
    <row r="374" spans="1:42"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IF(HR_Data[[#This Row],[Attrition]]="Yes",1,0)</f>
        <v>0</v>
      </c>
      <c r="AK374">
        <f>IF(HR_Data[[#This Row],[Attrition]]="No",1,0)</f>
        <v>1</v>
      </c>
      <c r="AL374" t="str">
        <f>IF(HR_Data[[#This Row],[Age]]&lt;25,"Under 25",IF(HR_Data[[#This Row],[Age]]&lt;=34,"25-34",IF(HR_Data[[#This Row],[Age]]&lt;=44,"35-44",IF(HR_Data[[#This Row],[Age]]&lt;=54,"45-54","55+"))))</f>
        <v>35-44</v>
      </c>
      <c r="AM374" t="str">
        <f>IF(HR_Data[[#This Row],[MonthlyIncome]]&lt;3000,"Low Salary",IF(HR_Data[[#This Row],[MonthlyIncome]]&lt;=7000,"Medium Salary","High Salary"))</f>
        <v>Medium Salary</v>
      </c>
      <c r="AN374" t="str">
        <f>IF(HR_Data[[#This Row],[YearsAtCompany]]&lt;2,"0-1 Years",IF(HR_Data[[#This Row],[YearsAtCompany]]&lt;=5,"2-5 Years",IF(HR_Data[[#This Row],[YearsAtCompany]]&lt;=10,"6-10 Years","10+ Years")))</f>
        <v>0-1 Years</v>
      </c>
      <c r="AO374" t="str">
        <f>IF(HR_Data[[#This Row],[JobSatisfaction]]=1,"Low",IF(HR_Data[[#This Row],[JobSatisfaction]]=2,"Medium",IF(HR_Data[[#This Row],[JobSatisfaction]]=3,"High","Very High")))</f>
        <v>Medium</v>
      </c>
      <c r="AP374" t="str">
        <f>IF(HR_Data[[#This Row],[WorkLifeBalance]]=1,"Bad",IF(HR_Data[[#This Row],[WorkLifeBalance]]=2,"Good",IF(HR_Data[[#This Row],[WorkLifeBalance]]=3,"Better","Best")))</f>
        <v>Better</v>
      </c>
    </row>
    <row r="375" spans="1:42"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IF(HR_Data[[#This Row],[Attrition]]="Yes",1,0)</f>
        <v>0</v>
      </c>
      <c r="AK375">
        <f>IF(HR_Data[[#This Row],[Attrition]]="No",1,0)</f>
        <v>1</v>
      </c>
      <c r="AL375" t="str">
        <f>IF(HR_Data[[#This Row],[Age]]&lt;25,"Under 25",IF(HR_Data[[#This Row],[Age]]&lt;=34,"25-34",IF(HR_Data[[#This Row],[Age]]&lt;=44,"35-44",IF(HR_Data[[#This Row],[Age]]&lt;=54,"45-54","55+"))))</f>
        <v>25-34</v>
      </c>
      <c r="AM375" t="str">
        <f>IF(HR_Data[[#This Row],[MonthlyIncome]]&lt;3000,"Low Salary",IF(HR_Data[[#This Row],[MonthlyIncome]]&lt;=7000,"Medium Salary","High Salary"))</f>
        <v>Medium Salary</v>
      </c>
      <c r="AN375" t="str">
        <f>IF(HR_Data[[#This Row],[YearsAtCompany]]&lt;2,"0-1 Years",IF(HR_Data[[#This Row],[YearsAtCompany]]&lt;=5,"2-5 Years",IF(HR_Data[[#This Row],[YearsAtCompany]]&lt;=10,"6-10 Years","10+ Years")))</f>
        <v>2-5 Years</v>
      </c>
      <c r="AO375" t="str">
        <f>IF(HR_Data[[#This Row],[JobSatisfaction]]=1,"Low",IF(HR_Data[[#This Row],[JobSatisfaction]]=2,"Medium",IF(HR_Data[[#This Row],[JobSatisfaction]]=3,"High","Very High")))</f>
        <v>Medium</v>
      </c>
      <c r="AP375" t="str">
        <f>IF(HR_Data[[#This Row],[WorkLifeBalance]]=1,"Bad",IF(HR_Data[[#This Row],[WorkLifeBalance]]=2,"Good",IF(HR_Data[[#This Row],[WorkLifeBalance]]=3,"Better","Best")))</f>
        <v>Better</v>
      </c>
    </row>
    <row r="376" spans="1:42"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IF(HR_Data[[#This Row],[Attrition]]="Yes",1,0)</f>
        <v>0</v>
      </c>
      <c r="AK376">
        <f>IF(HR_Data[[#This Row],[Attrition]]="No",1,0)</f>
        <v>1</v>
      </c>
      <c r="AL376" t="str">
        <f>IF(HR_Data[[#This Row],[Age]]&lt;25,"Under 25",IF(HR_Data[[#This Row],[Age]]&lt;=34,"25-34",IF(HR_Data[[#This Row],[Age]]&lt;=44,"35-44",IF(HR_Data[[#This Row],[Age]]&lt;=54,"45-54","55+"))))</f>
        <v>25-34</v>
      </c>
      <c r="AM376" t="str">
        <f>IF(HR_Data[[#This Row],[MonthlyIncome]]&lt;3000,"Low Salary",IF(HR_Data[[#This Row],[MonthlyIncome]]&lt;=7000,"Medium Salary","High Salary"))</f>
        <v>Medium Salary</v>
      </c>
      <c r="AN376" t="str">
        <f>IF(HR_Data[[#This Row],[YearsAtCompany]]&lt;2,"0-1 Years",IF(HR_Data[[#This Row],[YearsAtCompany]]&lt;=5,"2-5 Years",IF(HR_Data[[#This Row],[YearsAtCompany]]&lt;=10,"6-10 Years","10+ Years")))</f>
        <v>6-10 Years</v>
      </c>
      <c r="AO376" t="str">
        <f>IF(HR_Data[[#This Row],[JobSatisfaction]]=1,"Low",IF(HR_Data[[#This Row],[JobSatisfaction]]=2,"Medium",IF(HR_Data[[#This Row],[JobSatisfaction]]=3,"High","Very High")))</f>
        <v>Very High</v>
      </c>
      <c r="AP376" t="str">
        <f>IF(HR_Data[[#This Row],[WorkLifeBalance]]=1,"Bad",IF(HR_Data[[#This Row],[WorkLifeBalance]]=2,"Good",IF(HR_Data[[#This Row],[WorkLifeBalance]]=3,"Better","Best")))</f>
        <v>Better</v>
      </c>
    </row>
    <row r="377" spans="1:42"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IF(HR_Data[[#This Row],[Attrition]]="Yes",1,0)</f>
        <v>0</v>
      </c>
      <c r="AK377">
        <f>IF(HR_Data[[#This Row],[Attrition]]="No",1,0)</f>
        <v>1</v>
      </c>
      <c r="AL377" t="str">
        <f>IF(HR_Data[[#This Row],[Age]]&lt;25,"Under 25",IF(HR_Data[[#This Row],[Age]]&lt;=34,"25-34",IF(HR_Data[[#This Row],[Age]]&lt;=44,"35-44",IF(HR_Data[[#This Row],[Age]]&lt;=54,"45-54","55+"))))</f>
        <v>45-54</v>
      </c>
      <c r="AM377" t="str">
        <f>IF(HR_Data[[#This Row],[MonthlyIncome]]&lt;3000,"Low Salary",IF(HR_Data[[#This Row],[MonthlyIncome]]&lt;=7000,"Medium Salary","High Salary"))</f>
        <v>High Salary</v>
      </c>
      <c r="AN377" t="str">
        <f>IF(HR_Data[[#This Row],[YearsAtCompany]]&lt;2,"0-1 Years",IF(HR_Data[[#This Row],[YearsAtCompany]]&lt;=5,"2-5 Years",IF(HR_Data[[#This Row],[YearsAtCompany]]&lt;=10,"6-10 Years","10+ Years")))</f>
        <v>2-5 Years</v>
      </c>
      <c r="AO377" t="str">
        <f>IF(HR_Data[[#This Row],[JobSatisfaction]]=1,"Low",IF(HR_Data[[#This Row],[JobSatisfaction]]=2,"Medium",IF(HR_Data[[#This Row],[JobSatisfaction]]=3,"High","Very High")))</f>
        <v>High</v>
      </c>
      <c r="AP377" t="str">
        <f>IF(HR_Data[[#This Row],[WorkLifeBalance]]=1,"Bad",IF(HR_Data[[#This Row],[WorkLifeBalance]]=2,"Good",IF(HR_Data[[#This Row],[WorkLifeBalance]]=3,"Better","Best")))</f>
        <v>Better</v>
      </c>
    </row>
    <row r="378" spans="1:42"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IF(HR_Data[[#This Row],[Attrition]]="Yes",1,0)</f>
        <v>0</v>
      </c>
      <c r="AK378">
        <f>IF(HR_Data[[#This Row],[Attrition]]="No",1,0)</f>
        <v>1</v>
      </c>
      <c r="AL378" t="str">
        <f>IF(HR_Data[[#This Row],[Age]]&lt;25,"Under 25",IF(HR_Data[[#This Row],[Age]]&lt;=34,"25-34",IF(HR_Data[[#This Row],[Age]]&lt;=44,"35-44",IF(HR_Data[[#This Row],[Age]]&lt;=54,"45-54","55+"))))</f>
        <v>45-54</v>
      </c>
      <c r="AM378" t="str">
        <f>IF(HR_Data[[#This Row],[MonthlyIncome]]&lt;3000,"Low Salary",IF(HR_Data[[#This Row],[MonthlyIncome]]&lt;=7000,"Medium Salary","High Salary"))</f>
        <v>Medium Salary</v>
      </c>
      <c r="AN378" t="str">
        <f>IF(HR_Data[[#This Row],[YearsAtCompany]]&lt;2,"0-1 Years",IF(HR_Data[[#This Row],[YearsAtCompany]]&lt;=5,"2-5 Years",IF(HR_Data[[#This Row],[YearsAtCompany]]&lt;=10,"6-10 Years","10+ Years")))</f>
        <v>6-10 Years</v>
      </c>
      <c r="AO378" t="str">
        <f>IF(HR_Data[[#This Row],[JobSatisfaction]]=1,"Low",IF(HR_Data[[#This Row],[JobSatisfaction]]=2,"Medium",IF(HR_Data[[#This Row],[JobSatisfaction]]=3,"High","Very High")))</f>
        <v>Very High</v>
      </c>
      <c r="AP378" t="str">
        <f>IF(HR_Data[[#This Row],[WorkLifeBalance]]=1,"Bad",IF(HR_Data[[#This Row],[WorkLifeBalance]]=2,"Good",IF(HR_Data[[#This Row],[WorkLifeBalance]]=3,"Better","Best")))</f>
        <v>Good</v>
      </c>
    </row>
    <row r="379" spans="1:42"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IF(HR_Data[[#This Row],[Attrition]]="Yes",1,0)</f>
        <v>0</v>
      </c>
      <c r="AK379">
        <f>IF(HR_Data[[#This Row],[Attrition]]="No",1,0)</f>
        <v>1</v>
      </c>
      <c r="AL379" t="str">
        <f>IF(HR_Data[[#This Row],[Age]]&lt;25,"Under 25",IF(HR_Data[[#This Row],[Age]]&lt;=34,"25-34",IF(HR_Data[[#This Row],[Age]]&lt;=44,"35-44",IF(HR_Data[[#This Row],[Age]]&lt;=54,"45-54","55+"))))</f>
        <v>35-44</v>
      </c>
      <c r="AM379" t="str">
        <f>IF(HR_Data[[#This Row],[MonthlyIncome]]&lt;3000,"Low Salary",IF(HR_Data[[#This Row],[MonthlyIncome]]&lt;=7000,"Medium Salary","High Salary"))</f>
        <v>Low Salary</v>
      </c>
      <c r="AN379" t="str">
        <f>IF(HR_Data[[#This Row],[YearsAtCompany]]&lt;2,"0-1 Years",IF(HR_Data[[#This Row],[YearsAtCompany]]&lt;=5,"2-5 Years",IF(HR_Data[[#This Row],[YearsAtCompany]]&lt;=10,"6-10 Years","10+ Years")))</f>
        <v>2-5 Years</v>
      </c>
      <c r="AO379" t="str">
        <f>IF(HR_Data[[#This Row],[JobSatisfaction]]=1,"Low",IF(HR_Data[[#This Row],[JobSatisfaction]]=2,"Medium",IF(HR_Data[[#This Row],[JobSatisfaction]]=3,"High","Very High")))</f>
        <v>High</v>
      </c>
      <c r="AP379" t="str">
        <f>IF(HR_Data[[#This Row],[WorkLifeBalance]]=1,"Bad",IF(HR_Data[[#This Row],[WorkLifeBalance]]=2,"Good",IF(HR_Data[[#This Row],[WorkLifeBalance]]=3,"Better","Best")))</f>
        <v>Better</v>
      </c>
    </row>
    <row r="380" spans="1:42"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IF(HR_Data[[#This Row],[Attrition]]="Yes",1,0)</f>
        <v>1</v>
      </c>
      <c r="AK380">
        <f>IF(HR_Data[[#This Row],[Attrition]]="No",1,0)</f>
        <v>0</v>
      </c>
      <c r="AL380" t="str">
        <f>IF(HR_Data[[#This Row],[Age]]&lt;25,"Under 25",IF(HR_Data[[#This Row],[Age]]&lt;=34,"25-34",IF(HR_Data[[#This Row],[Age]]&lt;=44,"35-44",IF(HR_Data[[#This Row],[Age]]&lt;=54,"45-54","55+"))))</f>
        <v>25-34</v>
      </c>
      <c r="AM380" t="str">
        <f>IF(HR_Data[[#This Row],[MonthlyIncome]]&lt;3000,"Low Salary",IF(HR_Data[[#This Row],[MonthlyIncome]]&lt;=7000,"Medium Salary","High Salary"))</f>
        <v>Medium Salary</v>
      </c>
      <c r="AN380" t="str">
        <f>IF(HR_Data[[#This Row],[YearsAtCompany]]&lt;2,"0-1 Years",IF(HR_Data[[#This Row],[YearsAtCompany]]&lt;=5,"2-5 Years",IF(HR_Data[[#This Row],[YearsAtCompany]]&lt;=10,"6-10 Years","10+ Years")))</f>
        <v>2-5 Years</v>
      </c>
      <c r="AO380" t="str">
        <f>IF(HR_Data[[#This Row],[JobSatisfaction]]=1,"Low",IF(HR_Data[[#This Row],[JobSatisfaction]]=2,"Medium",IF(HR_Data[[#This Row],[JobSatisfaction]]=3,"High","Very High")))</f>
        <v>Very High</v>
      </c>
      <c r="AP380" t="str">
        <f>IF(HR_Data[[#This Row],[WorkLifeBalance]]=1,"Bad",IF(HR_Data[[#This Row],[WorkLifeBalance]]=2,"Good",IF(HR_Data[[#This Row],[WorkLifeBalance]]=3,"Better","Best")))</f>
        <v>Good</v>
      </c>
    </row>
    <row r="381" spans="1:42"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IF(HR_Data[[#This Row],[Attrition]]="Yes",1,0)</f>
        <v>0</v>
      </c>
      <c r="AK381">
        <f>IF(HR_Data[[#This Row],[Attrition]]="No",1,0)</f>
        <v>1</v>
      </c>
      <c r="AL381" t="str">
        <f>IF(HR_Data[[#This Row],[Age]]&lt;25,"Under 25",IF(HR_Data[[#This Row],[Age]]&lt;=34,"25-34",IF(HR_Data[[#This Row],[Age]]&lt;=44,"35-44",IF(HR_Data[[#This Row],[Age]]&lt;=54,"45-54","55+"))))</f>
        <v>55+</v>
      </c>
      <c r="AM381" t="str">
        <f>IF(HR_Data[[#This Row],[MonthlyIncome]]&lt;3000,"Low Salary",IF(HR_Data[[#This Row],[MonthlyIncome]]&lt;=7000,"Medium Salary","High Salary"))</f>
        <v>High Salary</v>
      </c>
      <c r="AN381" t="str">
        <f>IF(HR_Data[[#This Row],[YearsAtCompany]]&lt;2,"0-1 Years",IF(HR_Data[[#This Row],[YearsAtCompany]]&lt;=5,"2-5 Years",IF(HR_Data[[#This Row],[YearsAtCompany]]&lt;=10,"6-10 Years","10+ Years")))</f>
        <v>2-5 Years</v>
      </c>
      <c r="AO381" t="str">
        <f>IF(HR_Data[[#This Row],[JobSatisfaction]]=1,"Low",IF(HR_Data[[#This Row],[JobSatisfaction]]=2,"Medium",IF(HR_Data[[#This Row],[JobSatisfaction]]=3,"High","Very High")))</f>
        <v>Very High</v>
      </c>
      <c r="AP381" t="str">
        <f>IF(HR_Data[[#This Row],[WorkLifeBalance]]=1,"Bad",IF(HR_Data[[#This Row],[WorkLifeBalance]]=2,"Good",IF(HR_Data[[#This Row],[WorkLifeBalance]]=3,"Better","Best")))</f>
        <v>Better</v>
      </c>
    </row>
    <row r="382" spans="1:42"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IF(HR_Data[[#This Row],[Attrition]]="Yes",1,0)</f>
        <v>0</v>
      </c>
      <c r="AK382">
        <f>IF(HR_Data[[#This Row],[Attrition]]="No",1,0)</f>
        <v>1</v>
      </c>
      <c r="AL382" t="str">
        <f>IF(HR_Data[[#This Row],[Age]]&lt;25,"Under 25",IF(HR_Data[[#This Row],[Age]]&lt;=34,"25-34",IF(HR_Data[[#This Row],[Age]]&lt;=44,"35-44",IF(HR_Data[[#This Row],[Age]]&lt;=54,"45-54","55+"))))</f>
        <v>Under 25</v>
      </c>
      <c r="AM382" t="str">
        <f>IF(HR_Data[[#This Row],[MonthlyIncome]]&lt;3000,"Low Salary",IF(HR_Data[[#This Row],[MonthlyIncome]]&lt;=7000,"Medium Salary","High Salary"))</f>
        <v>Medium Salary</v>
      </c>
      <c r="AN382" t="str">
        <f>IF(HR_Data[[#This Row],[YearsAtCompany]]&lt;2,"0-1 Years",IF(HR_Data[[#This Row],[YearsAtCompany]]&lt;=5,"2-5 Years",IF(HR_Data[[#This Row],[YearsAtCompany]]&lt;=10,"6-10 Years","10+ Years")))</f>
        <v>2-5 Years</v>
      </c>
      <c r="AO382" t="str">
        <f>IF(HR_Data[[#This Row],[JobSatisfaction]]=1,"Low",IF(HR_Data[[#This Row],[JobSatisfaction]]=2,"Medium",IF(HR_Data[[#This Row],[JobSatisfaction]]=3,"High","Very High")))</f>
        <v>High</v>
      </c>
      <c r="AP382" t="str">
        <f>IF(HR_Data[[#This Row],[WorkLifeBalance]]=1,"Bad",IF(HR_Data[[#This Row],[WorkLifeBalance]]=2,"Good",IF(HR_Data[[#This Row],[WorkLifeBalance]]=3,"Better","Best")))</f>
        <v>Best</v>
      </c>
    </row>
    <row r="383" spans="1:42"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IF(HR_Data[[#This Row],[Attrition]]="Yes",1,0)</f>
        <v>0</v>
      </c>
      <c r="AK383">
        <f>IF(HR_Data[[#This Row],[Attrition]]="No",1,0)</f>
        <v>1</v>
      </c>
      <c r="AL383" t="str">
        <f>IF(HR_Data[[#This Row],[Age]]&lt;25,"Under 25",IF(HR_Data[[#This Row],[Age]]&lt;=34,"25-34",IF(HR_Data[[#This Row],[Age]]&lt;=44,"35-44",IF(HR_Data[[#This Row],[Age]]&lt;=54,"45-54","55+"))))</f>
        <v>25-34</v>
      </c>
      <c r="AM383" t="str">
        <f>IF(HR_Data[[#This Row],[MonthlyIncome]]&lt;3000,"Low Salary",IF(HR_Data[[#This Row],[MonthlyIncome]]&lt;=7000,"Medium Salary","High Salary"))</f>
        <v>Low Salary</v>
      </c>
      <c r="AN383" t="str">
        <f>IF(HR_Data[[#This Row],[YearsAtCompany]]&lt;2,"0-1 Years",IF(HR_Data[[#This Row],[YearsAtCompany]]&lt;=5,"2-5 Years",IF(HR_Data[[#This Row],[YearsAtCompany]]&lt;=10,"6-10 Years","10+ Years")))</f>
        <v>0-1 Years</v>
      </c>
      <c r="AO383" t="str">
        <f>IF(HR_Data[[#This Row],[JobSatisfaction]]=1,"Low",IF(HR_Data[[#This Row],[JobSatisfaction]]=2,"Medium",IF(HR_Data[[#This Row],[JobSatisfaction]]=3,"High","Very High")))</f>
        <v>Medium</v>
      </c>
      <c r="AP383" t="str">
        <f>IF(HR_Data[[#This Row],[WorkLifeBalance]]=1,"Bad",IF(HR_Data[[#This Row],[WorkLifeBalance]]=2,"Good",IF(HR_Data[[#This Row],[WorkLifeBalance]]=3,"Better","Best")))</f>
        <v>Better</v>
      </c>
    </row>
    <row r="384" spans="1:42"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IF(HR_Data[[#This Row],[Attrition]]="Yes",1,0)</f>
        <v>1</v>
      </c>
      <c r="AK384">
        <f>IF(HR_Data[[#This Row],[Attrition]]="No",1,0)</f>
        <v>0</v>
      </c>
      <c r="AL384" t="str">
        <f>IF(HR_Data[[#This Row],[Age]]&lt;25,"Under 25",IF(HR_Data[[#This Row],[Age]]&lt;=34,"25-34",IF(HR_Data[[#This Row],[Age]]&lt;=44,"35-44",IF(HR_Data[[#This Row],[Age]]&lt;=54,"45-54","55+"))))</f>
        <v>25-34</v>
      </c>
      <c r="AM384" t="str">
        <f>IF(HR_Data[[#This Row],[MonthlyIncome]]&lt;3000,"Low Salary",IF(HR_Data[[#This Row],[MonthlyIncome]]&lt;=7000,"Medium Salary","High Salary"))</f>
        <v>Medium Salary</v>
      </c>
      <c r="AN384" t="str">
        <f>IF(HR_Data[[#This Row],[YearsAtCompany]]&lt;2,"0-1 Years",IF(HR_Data[[#This Row],[YearsAtCompany]]&lt;=5,"2-5 Years",IF(HR_Data[[#This Row],[YearsAtCompany]]&lt;=10,"6-10 Years","10+ Years")))</f>
        <v>6-10 Years</v>
      </c>
      <c r="AO384" t="str">
        <f>IF(HR_Data[[#This Row],[JobSatisfaction]]=1,"Low",IF(HR_Data[[#This Row],[JobSatisfaction]]=2,"Medium",IF(HR_Data[[#This Row],[JobSatisfaction]]=3,"High","Very High")))</f>
        <v>Low</v>
      </c>
      <c r="AP384" t="str">
        <f>IF(HR_Data[[#This Row],[WorkLifeBalance]]=1,"Bad",IF(HR_Data[[#This Row],[WorkLifeBalance]]=2,"Good",IF(HR_Data[[#This Row],[WorkLifeBalance]]=3,"Better","Best")))</f>
        <v>Better</v>
      </c>
    </row>
    <row r="385" spans="1:42"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IF(HR_Data[[#This Row],[Attrition]]="Yes",1,0)</f>
        <v>0</v>
      </c>
      <c r="AK385">
        <f>IF(HR_Data[[#This Row],[Attrition]]="No",1,0)</f>
        <v>1</v>
      </c>
      <c r="AL385" t="str">
        <f>IF(HR_Data[[#This Row],[Age]]&lt;25,"Under 25",IF(HR_Data[[#This Row],[Age]]&lt;=34,"25-34",IF(HR_Data[[#This Row],[Age]]&lt;=44,"35-44",IF(HR_Data[[#This Row],[Age]]&lt;=54,"45-54","55+"))))</f>
        <v>Under 25</v>
      </c>
      <c r="AM385" t="str">
        <f>IF(HR_Data[[#This Row],[MonthlyIncome]]&lt;3000,"Low Salary",IF(HR_Data[[#This Row],[MonthlyIncome]]&lt;=7000,"Medium Salary","High Salary"))</f>
        <v>Low Salary</v>
      </c>
      <c r="AN385" t="str">
        <f>IF(HR_Data[[#This Row],[YearsAtCompany]]&lt;2,"0-1 Years",IF(HR_Data[[#This Row],[YearsAtCompany]]&lt;=5,"2-5 Years",IF(HR_Data[[#This Row],[YearsAtCompany]]&lt;=10,"6-10 Years","10+ Years")))</f>
        <v>2-5 Years</v>
      </c>
      <c r="AO385" t="str">
        <f>IF(HR_Data[[#This Row],[JobSatisfaction]]=1,"Low",IF(HR_Data[[#This Row],[JobSatisfaction]]=2,"Medium",IF(HR_Data[[#This Row],[JobSatisfaction]]=3,"High","Very High")))</f>
        <v>Medium</v>
      </c>
      <c r="AP385" t="str">
        <f>IF(HR_Data[[#This Row],[WorkLifeBalance]]=1,"Bad",IF(HR_Data[[#This Row],[WorkLifeBalance]]=2,"Good",IF(HR_Data[[#This Row],[WorkLifeBalance]]=3,"Better","Best")))</f>
        <v>Better</v>
      </c>
    </row>
    <row r="386" spans="1:42"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IF(HR_Data[[#This Row],[Attrition]]="Yes",1,0)</f>
        <v>0</v>
      </c>
      <c r="AK386">
        <f>IF(HR_Data[[#This Row],[Attrition]]="No",1,0)</f>
        <v>1</v>
      </c>
      <c r="AL386" t="str">
        <f>IF(HR_Data[[#This Row],[Age]]&lt;25,"Under 25",IF(HR_Data[[#This Row],[Age]]&lt;=34,"25-34",IF(HR_Data[[#This Row],[Age]]&lt;=44,"35-44",IF(HR_Data[[#This Row],[Age]]&lt;=54,"45-54","55+"))))</f>
        <v>35-44</v>
      </c>
      <c r="AM386" t="str">
        <f>IF(HR_Data[[#This Row],[MonthlyIncome]]&lt;3000,"Low Salary",IF(HR_Data[[#This Row],[MonthlyIncome]]&lt;=7000,"Medium Salary","High Salary"))</f>
        <v>High Salary</v>
      </c>
      <c r="AN386" t="str">
        <f>IF(HR_Data[[#This Row],[YearsAtCompany]]&lt;2,"0-1 Years",IF(HR_Data[[#This Row],[YearsAtCompany]]&lt;=5,"2-5 Years",IF(HR_Data[[#This Row],[YearsAtCompany]]&lt;=10,"6-10 Years","10+ Years")))</f>
        <v>6-10 Years</v>
      </c>
      <c r="AO386" t="str">
        <f>IF(HR_Data[[#This Row],[JobSatisfaction]]=1,"Low",IF(HR_Data[[#This Row],[JobSatisfaction]]=2,"Medium",IF(HR_Data[[#This Row],[JobSatisfaction]]=3,"High","Very High")))</f>
        <v>High</v>
      </c>
      <c r="AP386" t="str">
        <f>IF(HR_Data[[#This Row],[WorkLifeBalance]]=1,"Bad",IF(HR_Data[[#This Row],[WorkLifeBalance]]=2,"Good",IF(HR_Data[[#This Row],[WorkLifeBalance]]=3,"Better","Best")))</f>
        <v>Better</v>
      </c>
    </row>
    <row r="387" spans="1:42"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IF(HR_Data[[#This Row],[Attrition]]="Yes",1,0)</f>
        <v>1</v>
      </c>
      <c r="AK387">
        <f>IF(HR_Data[[#This Row],[Attrition]]="No",1,0)</f>
        <v>0</v>
      </c>
      <c r="AL387" t="str">
        <f>IF(HR_Data[[#This Row],[Age]]&lt;25,"Under 25",IF(HR_Data[[#This Row],[Age]]&lt;=34,"25-34",IF(HR_Data[[#This Row],[Age]]&lt;=44,"35-44",IF(HR_Data[[#This Row],[Age]]&lt;=54,"45-54","55+"))))</f>
        <v>25-34</v>
      </c>
      <c r="AM387" t="str">
        <f>IF(HR_Data[[#This Row],[MonthlyIncome]]&lt;3000,"Low Salary",IF(HR_Data[[#This Row],[MonthlyIncome]]&lt;=7000,"Medium Salary","High Salary"))</f>
        <v>Low Salary</v>
      </c>
      <c r="AN387" t="str">
        <f>IF(HR_Data[[#This Row],[YearsAtCompany]]&lt;2,"0-1 Years",IF(HR_Data[[#This Row],[YearsAtCompany]]&lt;=5,"2-5 Years",IF(HR_Data[[#This Row],[YearsAtCompany]]&lt;=10,"6-10 Years","10+ Years")))</f>
        <v>0-1 Years</v>
      </c>
      <c r="AO387" t="str">
        <f>IF(HR_Data[[#This Row],[JobSatisfaction]]=1,"Low",IF(HR_Data[[#This Row],[JobSatisfaction]]=2,"Medium",IF(HR_Data[[#This Row],[JobSatisfaction]]=3,"High","Very High")))</f>
        <v>Very High</v>
      </c>
      <c r="AP387" t="str">
        <f>IF(HR_Data[[#This Row],[WorkLifeBalance]]=1,"Bad",IF(HR_Data[[#This Row],[WorkLifeBalance]]=2,"Good",IF(HR_Data[[#This Row],[WorkLifeBalance]]=3,"Better","Best")))</f>
        <v>Better</v>
      </c>
    </row>
    <row r="388" spans="1:42"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IF(HR_Data[[#This Row],[Attrition]]="Yes",1,0)</f>
        <v>0</v>
      </c>
      <c r="AK388">
        <f>IF(HR_Data[[#This Row],[Attrition]]="No",1,0)</f>
        <v>1</v>
      </c>
      <c r="AL388" t="str">
        <f>IF(HR_Data[[#This Row],[Age]]&lt;25,"Under 25",IF(HR_Data[[#This Row],[Age]]&lt;=34,"25-34",IF(HR_Data[[#This Row],[Age]]&lt;=44,"35-44",IF(HR_Data[[#This Row],[Age]]&lt;=54,"45-54","55+"))))</f>
        <v>35-44</v>
      </c>
      <c r="AM388" t="str">
        <f>IF(HR_Data[[#This Row],[MonthlyIncome]]&lt;3000,"Low Salary",IF(HR_Data[[#This Row],[MonthlyIncome]]&lt;=7000,"Medium Salary","High Salary"))</f>
        <v>Medium Salary</v>
      </c>
      <c r="AN388" t="str">
        <f>IF(HR_Data[[#This Row],[YearsAtCompany]]&lt;2,"0-1 Years",IF(HR_Data[[#This Row],[YearsAtCompany]]&lt;=5,"2-5 Years",IF(HR_Data[[#This Row],[YearsAtCompany]]&lt;=10,"6-10 Years","10+ Years")))</f>
        <v>10+ Years</v>
      </c>
      <c r="AO388" t="str">
        <f>IF(HR_Data[[#This Row],[JobSatisfaction]]=1,"Low",IF(HR_Data[[#This Row],[JobSatisfaction]]=2,"Medium",IF(HR_Data[[#This Row],[JobSatisfaction]]=3,"High","Very High")))</f>
        <v>Low</v>
      </c>
      <c r="AP388" t="str">
        <f>IF(HR_Data[[#This Row],[WorkLifeBalance]]=1,"Bad",IF(HR_Data[[#This Row],[WorkLifeBalance]]=2,"Good",IF(HR_Data[[#This Row],[WorkLifeBalance]]=3,"Better","Best")))</f>
        <v>Good</v>
      </c>
    </row>
    <row r="389" spans="1:42"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IF(HR_Data[[#This Row],[Attrition]]="Yes",1,0)</f>
        <v>0</v>
      </c>
      <c r="AK389">
        <f>IF(HR_Data[[#This Row],[Attrition]]="No",1,0)</f>
        <v>1</v>
      </c>
      <c r="AL389" t="str">
        <f>IF(HR_Data[[#This Row],[Age]]&lt;25,"Under 25",IF(HR_Data[[#This Row],[Age]]&lt;=34,"25-34",IF(HR_Data[[#This Row],[Age]]&lt;=44,"35-44",IF(HR_Data[[#This Row],[Age]]&lt;=54,"45-54","55+"))))</f>
        <v>35-44</v>
      </c>
      <c r="AM389" t="str">
        <f>IF(HR_Data[[#This Row],[MonthlyIncome]]&lt;3000,"Low Salary",IF(HR_Data[[#This Row],[MonthlyIncome]]&lt;=7000,"Medium Salary","High Salary"))</f>
        <v>Medium Salary</v>
      </c>
      <c r="AN389" t="str">
        <f>IF(HR_Data[[#This Row],[YearsAtCompany]]&lt;2,"0-1 Years",IF(HR_Data[[#This Row],[YearsAtCompany]]&lt;=5,"2-5 Years",IF(HR_Data[[#This Row],[YearsAtCompany]]&lt;=10,"6-10 Years","10+ Years")))</f>
        <v>2-5 Years</v>
      </c>
      <c r="AO389" t="str">
        <f>IF(HR_Data[[#This Row],[JobSatisfaction]]=1,"Low",IF(HR_Data[[#This Row],[JobSatisfaction]]=2,"Medium",IF(HR_Data[[#This Row],[JobSatisfaction]]=3,"High","Very High")))</f>
        <v>Medium</v>
      </c>
      <c r="AP389" t="str">
        <f>IF(HR_Data[[#This Row],[WorkLifeBalance]]=1,"Bad",IF(HR_Data[[#This Row],[WorkLifeBalance]]=2,"Good",IF(HR_Data[[#This Row],[WorkLifeBalance]]=3,"Better","Best")))</f>
        <v>Better</v>
      </c>
    </row>
    <row r="390" spans="1:42"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IF(HR_Data[[#This Row],[Attrition]]="Yes",1,0)</f>
        <v>0</v>
      </c>
      <c r="AK390">
        <f>IF(HR_Data[[#This Row],[Attrition]]="No",1,0)</f>
        <v>1</v>
      </c>
      <c r="AL390" t="str">
        <f>IF(HR_Data[[#This Row],[Age]]&lt;25,"Under 25",IF(HR_Data[[#This Row],[Age]]&lt;=34,"25-34",IF(HR_Data[[#This Row],[Age]]&lt;=44,"35-44",IF(HR_Data[[#This Row],[Age]]&lt;=54,"45-54","55+"))))</f>
        <v>35-44</v>
      </c>
      <c r="AM390" t="str">
        <f>IF(HR_Data[[#This Row],[MonthlyIncome]]&lt;3000,"Low Salary",IF(HR_Data[[#This Row],[MonthlyIncome]]&lt;=7000,"Medium Salary","High Salary"))</f>
        <v>Low Salary</v>
      </c>
      <c r="AN390" t="str">
        <f>IF(HR_Data[[#This Row],[YearsAtCompany]]&lt;2,"0-1 Years",IF(HR_Data[[#This Row],[YearsAtCompany]]&lt;=5,"2-5 Years",IF(HR_Data[[#This Row],[YearsAtCompany]]&lt;=10,"6-10 Years","10+ Years")))</f>
        <v>2-5 Years</v>
      </c>
      <c r="AO390" t="str">
        <f>IF(HR_Data[[#This Row],[JobSatisfaction]]=1,"Low",IF(HR_Data[[#This Row],[JobSatisfaction]]=2,"Medium",IF(HR_Data[[#This Row],[JobSatisfaction]]=3,"High","Very High")))</f>
        <v>Low</v>
      </c>
      <c r="AP390" t="str">
        <f>IF(HR_Data[[#This Row],[WorkLifeBalance]]=1,"Bad",IF(HR_Data[[#This Row],[WorkLifeBalance]]=2,"Good",IF(HR_Data[[#This Row],[WorkLifeBalance]]=3,"Better","Best")))</f>
        <v>Better</v>
      </c>
    </row>
    <row r="391" spans="1:42"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IF(HR_Data[[#This Row],[Attrition]]="Yes",1,0)</f>
        <v>0</v>
      </c>
      <c r="AK391">
        <f>IF(HR_Data[[#This Row],[Attrition]]="No",1,0)</f>
        <v>1</v>
      </c>
      <c r="AL391" t="str">
        <f>IF(HR_Data[[#This Row],[Age]]&lt;25,"Under 25",IF(HR_Data[[#This Row],[Age]]&lt;=34,"25-34",IF(HR_Data[[#This Row],[Age]]&lt;=44,"35-44",IF(HR_Data[[#This Row],[Age]]&lt;=54,"45-54","55+"))))</f>
        <v>35-44</v>
      </c>
      <c r="AM391" t="str">
        <f>IF(HR_Data[[#This Row],[MonthlyIncome]]&lt;3000,"Low Salary",IF(HR_Data[[#This Row],[MonthlyIncome]]&lt;=7000,"Medium Salary","High Salary"))</f>
        <v>Medium Salary</v>
      </c>
      <c r="AN391" t="str">
        <f>IF(HR_Data[[#This Row],[YearsAtCompany]]&lt;2,"0-1 Years",IF(HR_Data[[#This Row],[YearsAtCompany]]&lt;=5,"2-5 Years",IF(HR_Data[[#This Row],[YearsAtCompany]]&lt;=10,"6-10 Years","10+ Years")))</f>
        <v>0-1 Years</v>
      </c>
      <c r="AO391" t="str">
        <f>IF(HR_Data[[#This Row],[JobSatisfaction]]=1,"Low",IF(HR_Data[[#This Row],[JobSatisfaction]]=2,"Medium",IF(HR_Data[[#This Row],[JobSatisfaction]]=3,"High","Very High")))</f>
        <v>Medium</v>
      </c>
      <c r="AP391" t="str">
        <f>IF(HR_Data[[#This Row],[WorkLifeBalance]]=1,"Bad",IF(HR_Data[[#This Row],[WorkLifeBalance]]=2,"Good",IF(HR_Data[[#This Row],[WorkLifeBalance]]=3,"Better","Best")))</f>
        <v>Good</v>
      </c>
    </row>
    <row r="392" spans="1:42"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IF(HR_Data[[#This Row],[Attrition]]="Yes",1,0)</f>
        <v>0</v>
      </c>
      <c r="AK392">
        <f>IF(HR_Data[[#This Row],[Attrition]]="No",1,0)</f>
        <v>1</v>
      </c>
      <c r="AL392" t="str">
        <f>IF(HR_Data[[#This Row],[Age]]&lt;25,"Under 25",IF(HR_Data[[#This Row],[Age]]&lt;=34,"25-34",IF(HR_Data[[#This Row],[Age]]&lt;=44,"35-44",IF(HR_Data[[#This Row],[Age]]&lt;=54,"45-54","55+"))))</f>
        <v>35-44</v>
      </c>
      <c r="AM392" t="str">
        <f>IF(HR_Data[[#This Row],[MonthlyIncome]]&lt;3000,"Low Salary",IF(HR_Data[[#This Row],[MonthlyIncome]]&lt;=7000,"Medium Salary","High Salary"))</f>
        <v>High Salary</v>
      </c>
      <c r="AN392" t="str">
        <f>IF(HR_Data[[#This Row],[YearsAtCompany]]&lt;2,"0-1 Years",IF(HR_Data[[#This Row],[YearsAtCompany]]&lt;=5,"2-5 Years",IF(HR_Data[[#This Row],[YearsAtCompany]]&lt;=10,"6-10 Years","10+ Years")))</f>
        <v>10+ Years</v>
      </c>
      <c r="AO392" t="str">
        <f>IF(HR_Data[[#This Row],[JobSatisfaction]]=1,"Low",IF(HR_Data[[#This Row],[JobSatisfaction]]=2,"Medium",IF(HR_Data[[#This Row],[JobSatisfaction]]=3,"High","Very High")))</f>
        <v>Medium</v>
      </c>
      <c r="AP392" t="str">
        <f>IF(HR_Data[[#This Row],[WorkLifeBalance]]=1,"Bad",IF(HR_Data[[#This Row],[WorkLifeBalance]]=2,"Good",IF(HR_Data[[#This Row],[WorkLifeBalance]]=3,"Better","Best")))</f>
        <v>Better</v>
      </c>
    </row>
    <row r="393" spans="1:42"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IF(HR_Data[[#This Row],[Attrition]]="Yes",1,0)</f>
        <v>0</v>
      </c>
      <c r="AK393">
        <f>IF(HR_Data[[#This Row],[Attrition]]="No",1,0)</f>
        <v>1</v>
      </c>
      <c r="AL393" t="str">
        <f>IF(HR_Data[[#This Row],[Age]]&lt;25,"Under 25",IF(HR_Data[[#This Row],[Age]]&lt;=34,"25-34",IF(HR_Data[[#This Row],[Age]]&lt;=44,"35-44",IF(HR_Data[[#This Row],[Age]]&lt;=54,"45-54","55+"))))</f>
        <v>35-44</v>
      </c>
      <c r="AM393" t="str">
        <f>IF(HR_Data[[#This Row],[MonthlyIncome]]&lt;3000,"Low Salary",IF(HR_Data[[#This Row],[MonthlyIncome]]&lt;=7000,"Medium Salary","High Salary"))</f>
        <v>Medium Salary</v>
      </c>
      <c r="AN393" t="str">
        <f>IF(HR_Data[[#This Row],[YearsAtCompany]]&lt;2,"0-1 Years",IF(HR_Data[[#This Row],[YearsAtCompany]]&lt;=5,"2-5 Years",IF(HR_Data[[#This Row],[YearsAtCompany]]&lt;=10,"6-10 Years","10+ Years")))</f>
        <v>0-1 Years</v>
      </c>
      <c r="AO393" t="str">
        <f>IF(HR_Data[[#This Row],[JobSatisfaction]]=1,"Low",IF(HR_Data[[#This Row],[JobSatisfaction]]=2,"Medium",IF(HR_Data[[#This Row],[JobSatisfaction]]=3,"High","Very High")))</f>
        <v>High</v>
      </c>
      <c r="AP393" t="str">
        <f>IF(HR_Data[[#This Row],[WorkLifeBalance]]=1,"Bad",IF(HR_Data[[#This Row],[WorkLifeBalance]]=2,"Good",IF(HR_Data[[#This Row],[WorkLifeBalance]]=3,"Better","Best")))</f>
        <v>Better</v>
      </c>
    </row>
    <row r="394" spans="1:42"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IF(HR_Data[[#This Row],[Attrition]]="Yes",1,0)</f>
        <v>0</v>
      </c>
      <c r="AK394">
        <f>IF(HR_Data[[#This Row],[Attrition]]="No",1,0)</f>
        <v>1</v>
      </c>
      <c r="AL394" t="str">
        <f>IF(HR_Data[[#This Row],[Age]]&lt;25,"Under 25",IF(HR_Data[[#This Row],[Age]]&lt;=34,"25-34",IF(HR_Data[[#This Row],[Age]]&lt;=44,"35-44",IF(HR_Data[[#This Row],[Age]]&lt;=54,"45-54","55+"))))</f>
        <v>45-54</v>
      </c>
      <c r="AM394" t="str">
        <f>IF(HR_Data[[#This Row],[MonthlyIncome]]&lt;3000,"Low Salary",IF(HR_Data[[#This Row],[MonthlyIncome]]&lt;=7000,"Medium Salary","High Salary"))</f>
        <v>High Salary</v>
      </c>
      <c r="AN394" t="str">
        <f>IF(HR_Data[[#This Row],[YearsAtCompany]]&lt;2,"0-1 Years",IF(HR_Data[[#This Row],[YearsAtCompany]]&lt;=5,"2-5 Years",IF(HR_Data[[#This Row],[YearsAtCompany]]&lt;=10,"6-10 Years","10+ Years")))</f>
        <v>2-5 Years</v>
      </c>
      <c r="AO394" t="str">
        <f>IF(HR_Data[[#This Row],[JobSatisfaction]]=1,"Low",IF(HR_Data[[#This Row],[JobSatisfaction]]=2,"Medium",IF(HR_Data[[#This Row],[JobSatisfaction]]=3,"High","Very High")))</f>
        <v>Low</v>
      </c>
      <c r="AP394" t="str">
        <f>IF(HR_Data[[#This Row],[WorkLifeBalance]]=1,"Bad",IF(HR_Data[[#This Row],[WorkLifeBalance]]=2,"Good",IF(HR_Data[[#This Row],[WorkLifeBalance]]=3,"Better","Best")))</f>
        <v>Good</v>
      </c>
    </row>
    <row r="395" spans="1:42"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IF(HR_Data[[#This Row],[Attrition]]="Yes",1,0)</f>
        <v>0</v>
      </c>
      <c r="AK395">
        <f>IF(HR_Data[[#This Row],[Attrition]]="No",1,0)</f>
        <v>1</v>
      </c>
      <c r="AL395" t="str">
        <f>IF(HR_Data[[#This Row],[Age]]&lt;25,"Under 25",IF(HR_Data[[#This Row],[Age]]&lt;=34,"25-34",IF(HR_Data[[#This Row],[Age]]&lt;=44,"35-44",IF(HR_Data[[#This Row],[Age]]&lt;=54,"45-54","55+"))))</f>
        <v>25-34</v>
      </c>
      <c r="AM395" t="str">
        <f>IF(HR_Data[[#This Row],[MonthlyIncome]]&lt;3000,"Low Salary",IF(HR_Data[[#This Row],[MonthlyIncome]]&lt;=7000,"Medium Salary","High Salary"))</f>
        <v>Medium Salary</v>
      </c>
      <c r="AN395" t="str">
        <f>IF(HR_Data[[#This Row],[YearsAtCompany]]&lt;2,"0-1 Years",IF(HR_Data[[#This Row],[YearsAtCompany]]&lt;=5,"2-5 Years",IF(HR_Data[[#This Row],[YearsAtCompany]]&lt;=10,"6-10 Years","10+ Years")))</f>
        <v>2-5 Years</v>
      </c>
      <c r="AO395" t="str">
        <f>IF(HR_Data[[#This Row],[JobSatisfaction]]=1,"Low",IF(HR_Data[[#This Row],[JobSatisfaction]]=2,"Medium",IF(HR_Data[[#This Row],[JobSatisfaction]]=3,"High","Very High")))</f>
        <v>High</v>
      </c>
      <c r="AP395" t="str">
        <f>IF(HR_Data[[#This Row],[WorkLifeBalance]]=1,"Bad",IF(HR_Data[[#This Row],[WorkLifeBalance]]=2,"Good",IF(HR_Data[[#This Row],[WorkLifeBalance]]=3,"Better","Best")))</f>
        <v>Better</v>
      </c>
    </row>
    <row r="396" spans="1:42"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IF(HR_Data[[#This Row],[Attrition]]="Yes",1,0)</f>
        <v>0</v>
      </c>
      <c r="AK396">
        <f>IF(HR_Data[[#This Row],[Attrition]]="No",1,0)</f>
        <v>1</v>
      </c>
      <c r="AL396" t="str">
        <f>IF(HR_Data[[#This Row],[Age]]&lt;25,"Under 25",IF(HR_Data[[#This Row],[Age]]&lt;=34,"25-34",IF(HR_Data[[#This Row],[Age]]&lt;=44,"35-44",IF(HR_Data[[#This Row],[Age]]&lt;=54,"45-54","55+"))))</f>
        <v>25-34</v>
      </c>
      <c r="AM396" t="str">
        <f>IF(HR_Data[[#This Row],[MonthlyIncome]]&lt;3000,"Low Salary",IF(HR_Data[[#This Row],[MonthlyIncome]]&lt;=7000,"Medium Salary","High Salary"))</f>
        <v>Medium Salary</v>
      </c>
      <c r="AN396" t="str">
        <f>IF(HR_Data[[#This Row],[YearsAtCompany]]&lt;2,"0-1 Years",IF(HR_Data[[#This Row],[YearsAtCompany]]&lt;=5,"2-5 Years",IF(HR_Data[[#This Row],[YearsAtCompany]]&lt;=10,"6-10 Years","10+ Years")))</f>
        <v>10+ Years</v>
      </c>
      <c r="AO396" t="str">
        <f>IF(HR_Data[[#This Row],[JobSatisfaction]]=1,"Low",IF(HR_Data[[#This Row],[JobSatisfaction]]=2,"Medium",IF(HR_Data[[#This Row],[JobSatisfaction]]=3,"High","Very High")))</f>
        <v>Low</v>
      </c>
      <c r="AP396" t="str">
        <f>IF(HR_Data[[#This Row],[WorkLifeBalance]]=1,"Bad",IF(HR_Data[[#This Row],[WorkLifeBalance]]=2,"Good",IF(HR_Data[[#This Row],[WorkLifeBalance]]=3,"Better","Best")))</f>
        <v>Bad</v>
      </c>
    </row>
    <row r="397" spans="1:42"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IF(HR_Data[[#This Row],[Attrition]]="Yes",1,0)</f>
        <v>0</v>
      </c>
      <c r="AK397">
        <f>IF(HR_Data[[#This Row],[Attrition]]="No",1,0)</f>
        <v>1</v>
      </c>
      <c r="AL397" t="str">
        <f>IF(HR_Data[[#This Row],[Age]]&lt;25,"Under 25",IF(HR_Data[[#This Row],[Age]]&lt;=34,"25-34",IF(HR_Data[[#This Row],[Age]]&lt;=44,"35-44",IF(HR_Data[[#This Row],[Age]]&lt;=54,"45-54","55+"))))</f>
        <v>35-44</v>
      </c>
      <c r="AM397" t="str">
        <f>IF(HR_Data[[#This Row],[MonthlyIncome]]&lt;3000,"Low Salary",IF(HR_Data[[#This Row],[MonthlyIncome]]&lt;=7000,"Medium Salary","High Salary"))</f>
        <v>Low Salary</v>
      </c>
      <c r="AN397" t="str">
        <f>IF(HR_Data[[#This Row],[YearsAtCompany]]&lt;2,"0-1 Years",IF(HR_Data[[#This Row],[YearsAtCompany]]&lt;=5,"2-5 Years",IF(HR_Data[[#This Row],[YearsAtCompany]]&lt;=10,"6-10 Years","10+ Years")))</f>
        <v>2-5 Years</v>
      </c>
      <c r="AO397" t="str">
        <f>IF(HR_Data[[#This Row],[JobSatisfaction]]=1,"Low",IF(HR_Data[[#This Row],[JobSatisfaction]]=2,"Medium",IF(HR_Data[[#This Row],[JobSatisfaction]]=3,"High","Very High")))</f>
        <v>Very High</v>
      </c>
      <c r="AP397" t="str">
        <f>IF(HR_Data[[#This Row],[WorkLifeBalance]]=1,"Bad",IF(HR_Data[[#This Row],[WorkLifeBalance]]=2,"Good",IF(HR_Data[[#This Row],[WorkLifeBalance]]=3,"Better","Best")))</f>
        <v>Better</v>
      </c>
    </row>
    <row r="398" spans="1:42"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IF(HR_Data[[#This Row],[Attrition]]="Yes",1,0)</f>
        <v>0</v>
      </c>
      <c r="AK398">
        <f>IF(HR_Data[[#This Row],[Attrition]]="No",1,0)</f>
        <v>1</v>
      </c>
      <c r="AL398" t="str">
        <f>IF(HR_Data[[#This Row],[Age]]&lt;25,"Under 25",IF(HR_Data[[#This Row],[Age]]&lt;=34,"25-34",IF(HR_Data[[#This Row],[Age]]&lt;=44,"35-44",IF(HR_Data[[#This Row],[Age]]&lt;=54,"45-54","55+"))))</f>
        <v>35-44</v>
      </c>
      <c r="AM398" t="str">
        <f>IF(HR_Data[[#This Row],[MonthlyIncome]]&lt;3000,"Low Salary",IF(HR_Data[[#This Row],[MonthlyIncome]]&lt;=7000,"Medium Salary","High Salary"))</f>
        <v>Medium Salary</v>
      </c>
      <c r="AN398" t="str">
        <f>IF(HR_Data[[#This Row],[YearsAtCompany]]&lt;2,"0-1 Years",IF(HR_Data[[#This Row],[YearsAtCompany]]&lt;=5,"2-5 Years",IF(HR_Data[[#This Row],[YearsAtCompany]]&lt;=10,"6-10 Years","10+ Years")))</f>
        <v>2-5 Years</v>
      </c>
      <c r="AO398" t="str">
        <f>IF(HR_Data[[#This Row],[JobSatisfaction]]=1,"Low",IF(HR_Data[[#This Row],[JobSatisfaction]]=2,"Medium",IF(HR_Data[[#This Row],[JobSatisfaction]]=3,"High","Very High")))</f>
        <v>High</v>
      </c>
      <c r="AP398" t="str">
        <f>IF(HR_Data[[#This Row],[WorkLifeBalance]]=1,"Bad",IF(HR_Data[[#This Row],[WorkLifeBalance]]=2,"Good",IF(HR_Data[[#This Row],[WorkLifeBalance]]=3,"Better","Best")))</f>
        <v>Better</v>
      </c>
    </row>
    <row r="399" spans="1:42"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IF(HR_Data[[#This Row],[Attrition]]="Yes",1,0)</f>
        <v>0</v>
      </c>
      <c r="AK399">
        <f>IF(HR_Data[[#This Row],[Attrition]]="No",1,0)</f>
        <v>1</v>
      </c>
      <c r="AL399" t="str">
        <f>IF(HR_Data[[#This Row],[Age]]&lt;25,"Under 25",IF(HR_Data[[#This Row],[Age]]&lt;=34,"25-34",IF(HR_Data[[#This Row],[Age]]&lt;=44,"35-44",IF(HR_Data[[#This Row],[Age]]&lt;=54,"45-54","55+"))))</f>
        <v>25-34</v>
      </c>
      <c r="AM399" t="str">
        <f>IF(HR_Data[[#This Row],[MonthlyIncome]]&lt;3000,"Low Salary",IF(HR_Data[[#This Row],[MonthlyIncome]]&lt;=7000,"Medium Salary","High Salary"))</f>
        <v>Medium Salary</v>
      </c>
      <c r="AN399" t="str">
        <f>IF(HR_Data[[#This Row],[YearsAtCompany]]&lt;2,"0-1 Years",IF(HR_Data[[#This Row],[YearsAtCompany]]&lt;=5,"2-5 Years",IF(HR_Data[[#This Row],[YearsAtCompany]]&lt;=10,"6-10 Years","10+ Years")))</f>
        <v>2-5 Years</v>
      </c>
      <c r="AO399" t="str">
        <f>IF(HR_Data[[#This Row],[JobSatisfaction]]=1,"Low",IF(HR_Data[[#This Row],[JobSatisfaction]]=2,"Medium",IF(HR_Data[[#This Row],[JobSatisfaction]]=3,"High","Very High")))</f>
        <v>Very High</v>
      </c>
      <c r="AP399" t="str">
        <f>IF(HR_Data[[#This Row],[WorkLifeBalance]]=1,"Bad",IF(HR_Data[[#This Row],[WorkLifeBalance]]=2,"Good",IF(HR_Data[[#This Row],[WorkLifeBalance]]=3,"Better","Best")))</f>
        <v>Better</v>
      </c>
    </row>
    <row r="400" spans="1:42"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IF(HR_Data[[#This Row],[Attrition]]="Yes",1,0)</f>
        <v>0</v>
      </c>
      <c r="AK400">
        <f>IF(HR_Data[[#This Row],[Attrition]]="No",1,0)</f>
        <v>1</v>
      </c>
      <c r="AL400" t="str">
        <f>IF(HR_Data[[#This Row],[Age]]&lt;25,"Under 25",IF(HR_Data[[#This Row],[Age]]&lt;=34,"25-34",IF(HR_Data[[#This Row],[Age]]&lt;=44,"35-44",IF(HR_Data[[#This Row],[Age]]&lt;=54,"45-54","55+"))))</f>
        <v>35-44</v>
      </c>
      <c r="AM400" t="str">
        <f>IF(HR_Data[[#This Row],[MonthlyIncome]]&lt;3000,"Low Salary",IF(HR_Data[[#This Row],[MonthlyIncome]]&lt;=7000,"Medium Salary","High Salary"))</f>
        <v>Medium Salary</v>
      </c>
      <c r="AN400" t="str">
        <f>IF(HR_Data[[#This Row],[YearsAtCompany]]&lt;2,"0-1 Years",IF(HR_Data[[#This Row],[YearsAtCompany]]&lt;=5,"2-5 Years",IF(HR_Data[[#This Row],[YearsAtCompany]]&lt;=10,"6-10 Years","10+ Years")))</f>
        <v>10+ Years</v>
      </c>
      <c r="AO400" t="str">
        <f>IF(HR_Data[[#This Row],[JobSatisfaction]]=1,"Low",IF(HR_Data[[#This Row],[JobSatisfaction]]=2,"Medium",IF(HR_Data[[#This Row],[JobSatisfaction]]=3,"High","Very High")))</f>
        <v>High</v>
      </c>
      <c r="AP400" t="str">
        <f>IF(HR_Data[[#This Row],[WorkLifeBalance]]=1,"Bad",IF(HR_Data[[#This Row],[WorkLifeBalance]]=2,"Good",IF(HR_Data[[#This Row],[WorkLifeBalance]]=3,"Better","Best")))</f>
        <v>Better</v>
      </c>
    </row>
    <row r="401" spans="1:42"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IF(HR_Data[[#This Row],[Attrition]]="Yes",1,0)</f>
        <v>0</v>
      </c>
      <c r="AK401">
        <f>IF(HR_Data[[#This Row],[Attrition]]="No",1,0)</f>
        <v>1</v>
      </c>
      <c r="AL401" t="str">
        <f>IF(HR_Data[[#This Row],[Age]]&lt;25,"Under 25",IF(HR_Data[[#This Row],[Age]]&lt;=34,"25-34",IF(HR_Data[[#This Row],[Age]]&lt;=44,"35-44",IF(HR_Data[[#This Row],[Age]]&lt;=54,"45-54","55+"))))</f>
        <v>25-34</v>
      </c>
      <c r="AM401" t="str">
        <f>IF(HR_Data[[#This Row],[MonthlyIncome]]&lt;3000,"Low Salary",IF(HR_Data[[#This Row],[MonthlyIncome]]&lt;=7000,"Medium Salary","High Salary"))</f>
        <v>Low Salary</v>
      </c>
      <c r="AN401" t="str">
        <f>IF(HR_Data[[#This Row],[YearsAtCompany]]&lt;2,"0-1 Years",IF(HR_Data[[#This Row],[YearsAtCompany]]&lt;=5,"2-5 Years",IF(HR_Data[[#This Row],[YearsAtCompany]]&lt;=10,"6-10 Years","10+ Years")))</f>
        <v>2-5 Years</v>
      </c>
      <c r="AO401" t="str">
        <f>IF(HR_Data[[#This Row],[JobSatisfaction]]=1,"Low",IF(HR_Data[[#This Row],[JobSatisfaction]]=2,"Medium",IF(HR_Data[[#This Row],[JobSatisfaction]]=3,"High","Very High")))</f>
        <v>Low</v>
      </c>
      <c r="AP401" t="str">
        <f>IF(HR_Data[[#This Row],[WorkLifeBalance]]=1,"Bad",IF(HR_Data[[#This Row],[WorkLifeBalance]]=2,"Good",IF(HR_Data[[#This Row],[WorkLifeBalance]]=3,"Better","Best")))</f>
        <v>Better</v>
      </c>
    </row>
    <row r="402" spans="1:42"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IF(HR_Data[[#This Row],[Attrition]]="Yes",1,0)</f>
        <v>0</v>
      </c>
      <c r="AK402">
        <f>IF(HR_Data[[#This Row],[Attrition]]="No",1,0)</f>
        <v>1</v>
      </c>
      <c r="AL402" t="str">
        <f>IF(HR_Data[[#This Row],[Age]]&lt;25,"Under 25",IF(HR_Data[[#This Row],[Age]]&lt;=34,"25-34",IF(HR_Data[[#This Row],[Age]]&lt;=44,"35-44",IF(HR_Data[[#This Row],[Age]]&lt;=54,"45-54","55+"))))</f>
        <v>35-44</v>
      </c>
      <c r="AM402" t="str">
        <f>IF(HR_Data[[#This Row],[MonthlyIncome]]&lt;3000,"Low Salary",IF(HR_Data[[#This Row],[MonthlyIncome]]&lt;=7000,"Medium Salary","High Salary"))</f>
        <v>High Salary</v>
      </c>
      <c r="AN402" t="str">
        <f>IF(HR_Data[[#This Row],[YearsAtCompany]]&lt;2,"0-1 Years",IF(HR_Data[[#This Row],[YearsAtCompany]]&lt;=5,"2-5 Years",IF(HR_Data[[#This Row],[YearsAtCompany]]&lt;=10,"6-10 Years","10+ Years")))</f>
        <v>10+ Years</v>
      </c>
      <c r="AO402" t="str">
        <f>IF(HR_Data[[#This Row],[JobSatisfaction]]=1,"Low",IF(HR_Data[[#This Row],[JobSatisfaction]]=2,"Medium",IF(HR_Data[[#This Row],[JobSatisfaction]]=3,"High","Very High")))</f>
        <v>High</v>
      </c>
      <c r="AP402" t="str">
        <f>IF(HR_Data[[#This Row],[WorkLifeBalance]]=1,"Bad",IF(HR_Data[[#This Row],[WorkLifeBalance]]=2,"Good",IF(HR_Data[[#This Row],[WorkLifeBalance]]=3,"Better","Best")))</f>
        <v>Better</v>
      </c>
    </row>
    <row r="403" spans="1:42"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IF(HR_Data[[#This Row],[Attrition]]="Yes",1,0)</f>
        <v>0</v>
      </c>
      <c r="AK403">
        <f>IF(HR_Data[[#This Row],[Attrition]]="No",1,0)</f>
        <v>1</v>
      </c>
      <c r="AL403" t="str">
        <f>IF(HR_Data[[#This Row],[Age]]&lt;25,"Under 25",IF(HR_Data[[#This Row],[Age]]&lt;=34,"25-34",IF(HR_Data[[#This Row],[Age]]&lt;=44,"35-44",IF(HR_Data[[#This Row],[Age]]&lt;=54,"45-54","55+"))))</f>
        <v>55+</v>
      </c>
      <c r="AM403" t="str">
        <f>IF(HR_Data[[#This Row],[MonthlyIncome]]&lt;3000,"Low Salary",IF(HR_Data[[#This Row],[MonthlyIncome]]&lt;=7000,"Medium Salary","High Salary"))</f>
        <v>High Salary</v>
      </c>
      <c r="AN403" t="str">
        <f>IF(HR_Data[[#This Row],[YearsAtCompany]]&lt;2,"0-1 Years",IF(HR_Data[[#This Row],[YearsAtCompany]]&lt;=5,"2-5 Years",IF(HR_Data[[#This Row],[YearsAtCompany]]&lt;=10,"6-10 Years","10+ Years")))</f>
        <v>6-10 Years</v>
      </c>
      <c r="AO403" t="str">
        <f>IF(HR_Data[[#This Row],[JobSatisfaction]]=1,"Low",IF(HR_Data[[#This Row],[JobSatisfaction]]=2,"Medium",IF(HR_Data[[#This Row],[JobSatisfaction]]=3,"High","Very High")))</f>
        <v>Low</v>
      </c>
      <c r="AP403" t="str">
        <f>IF(HR_Data[[#This Row],[WorkLifeBalance]]=1,"Bad",IF(HR_Data[[#This Row],[WorkLifeBalance]]=2,"Good",IF(HR_Data[[#This Row],[WorkLifeBalance]]=3,"Better","Best")))</f>
        <v>Good</v>
      </c>
    </row>
    <row r="404" spans="1:42"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IF(HR_Data[[#This Row],[Attrition]]="Yes",1,0)</f>
        <v>0</v>
      </c>
      <c r="AK404">
        <f>IF(HR_Data[[#This Row],[Attrition]]="No",1,0)</f>
        <v>1</v>
      </c>
      <c r="AL404" t="str">
        <f>IF(HR_Data[[#This Row],[Age]]&lt;25,"Under 25",IF(HR_Data[[#This Row],[Age]]&lt;=34,"25-34",IF(HR_Data[[#This Row],[Age]]&lt;=44,"35-44",IF(HR_Data[[#This Row],[Age]]&lt;=54,"45-54","55+"))))</f>
        <v>25-34</v>
      </c>
      <c r="AM404" t="str">
        <f>IF(HR_Data[[#This Row],[MonthlyIncome]]&lt;3000,"Low Salary",IF(HR_Data[[#This Row],[MonthlyIncome]]&lt;=7000,"Medium Salary","High Salary"))</f>
        <v>Medium Salary</v>
      </c>
      <c r="AN404" t="str">
        <f>IF(HR_Data[[#This Row],[YearsAtCompany]]&lt;2,"0-1 Years",IF(HR_Data[[#This Row],[YearsAtCompany]]&lt;=5,"2-5 Years",IF(HR_Data[[#This Row],[YearsAtCompany]]&lt;=10,"6-10 Years","10+ Years")))</f>
        <v>2-5 Years</v>
      </c>
      <c r="AO404" t="str">
        <f>IF(HR_Data[[#This Row],[JobSatisfaction]]=1,"Low",IF(HR_Data[[#This Row],[JobSatisfaction]]=2,"Medium",IF(HR_Data[[#This Row],[JobSatisfaction]]=3,"High","Very High")))</f>
        <v>High</v>
      </c>
      <c r="AP404" t="str">
        <f>IF(HR_Data[[#This Row],[WorkLifeBalance]]=1,"Bad",IF(HR_Data[[#This Row],[WorkLifeBalance]]=2,"Good",IF(HR_Data[[#This Row],[WorkLifeBalance]]=3,"Better","Best")))</f>
        <v>Better</v>
      </c>
    </row>
    <row r="405" spans="1:42"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IF(HR_Data[[#This Row],[Attrition]]="Yes",1,0)</f>
        <v>0</v>
      </c>
      <c r="AK405">
        <f>IF(HR_Data[[#This Row],[Attrition]]="No",1,0)</f>
        <v>1</v>
      </c>
      <c r="AL405" t="str">
        <f>IF(HR_Data[[#This Row],[Age]]&lt;25,"Under 25",IF(HR_Data[[#This Row],[Age]]&lt;=34,"25-34",IF(HR_Data[[#This Row],[Age]]&lt;=44,"35-44",IF(HR_Data[[#This Row],[Age]]&lt;=54,"45-54","55+"))))</f>
        <v>35-44</v>
      </c>
      <c r="AM405" t="str">
        <f>IF(HR_Data[[#This Row],[MonthlyIncome]]&lt;3000,"Low Salary",IF(HR_Data[[#This Row],[MonthlyIncome]]&lt;=7000,"Medium Salary","High Salary"))</f>
        <v>High Salary</v>
      </c>
      <c r="AN405" t="str">
        <f>IF(HR_Data[[#This Row],[YearsAtCompany]]&lt;2,"0-1 Years",IF(HR_Data[[#This Row],[YearsAtCompany]]&lt;=5,"2-5 Years",IF(HR_Data[[#This Row],[YearsAtCompany]]&lt;=10,"6-10 Years","10+ Years")))</f>
        <v>6-10 Years</v>
      </c>
      <c r="AO405" t="str">
        <f>IF(HR_Data[[#This Row],[JobSatisfaction]]=1,"Low",IF(HR_Data[[#This Row],[JobSatisfaction]]=2,"Medium",IF(HR_Data[[#This Row],[JobSatisfaction]]=3,"High","Very High")))</f>
        <v>Low</v>
      </c>
      <c r="AP405" t="str">
        <f>IF(HR_Data[[#This Row],[WorkLifeBalance]]=1,"Bad",IF(HR_Data[[#This Row],[WorkLifeBalance]]=2,"Good",IF(HR_Data[[#This Row],[WorkLifeBalance]]=3,"Better","Best")))</f>
        <v>Better</v>
      </c>
    </row>
    <row r="406" spans="1:42"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IF(HR_Data[[#This Row],[Attrition]]="Yes",1,0)</f>
        <v>0</v>
      </c>
      <c r="AK406">
        <f>IF(HR_Data[[#This Row],[Attrition]]="No",1,0)</f>
        <v>1</v>
      </c>
      <c r="AL406" t="str">
        <f>IF(HR_Data[[#This Row],[Age]]&lt;25,"Under 25",IF(HR_Data[[#This Row],[Age]]&lt;=34,"25-34",IF(HR_Data[[#This Row],[Age]]&lt;=44,"35-44",IF(HR_Data[[#This Row],[Age]]&lt;=54,"45-54","55+"))))</f>
        <v>25-34</v>
      </c>
      <c r="AM406" t="str">
        <f>IF(HR_Data[[#This Row],[MonthlyIncome]]&lt;3000,"Low Salary",IF(HR_Data[[#This Row],[MonthlyIncome]]&lt;=7000,"Medium Salary","High Salary"))</f>
        <v>Medium Salary</v>
      </c>
      <c r="AN406" t="str">
        <f>IF(HR_Data[[#This Row],[YearsAtCompany]]&lt;2,"0-1 Years",IF(HR_Data[[#This Row],[YearsAtCompany]]&lt;=5,"2-5 Years",IF(HR_Data[[#This Row],[YearsAtCompany]]&lt;=10,"6-10 Years","10+ Years")))</f>
        <v>6-10 Years</v>
      </c>
      <c r="AO406" t="str">
        <f>IF(HR_Data[[#This Row],[JobSatisfaction]]=1,"Low",IF(HR_Data[[#This Row],[JobSatisfaction]]=2,"Medium",IF(HR_Data[[#This Row],[JobSatisfaction]]=3,"High","Very High")))</f>
        <v>Low</v>
      </c>
      <c r="AP406" t="str">
        <f>IF(HR_Data[[#This Row],[WorkLifeBalance]]=1,"Bad",IF(HR_Data[[#This Row],[WorkLifeBalance]]=2,"Good",IF(HR_Data[[#This Row],[WorkLifeBalance]]=3,"Better","Best")))</f>
        <v>Better</v>
      </c>
    </row>
    <row r="407" spans="1:42"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IF(HR_Data[[#This Row],[Attrition]]="Yes",1,0)</f>
        <v>1</v>
      </c>
      <c r="AK407">
        <f>IF(HR_Data[[#This Row],[Attrition]]="No",1,0)</f>
        <v>0</v>
      </c>
      <c r="AL407" t="str">
        <f>IF(HR_Data[[#This Row],[Age]]&lt;25,"Under 25",IF(HR_Data[[#This Row],[Age]]&lt;=34,"25-34",IF(HR_Data[[#This Row],[Age]]&lt;=44,"35-44",IF(HR_Data[[#This Row],[Age]]&lt;=54,"45-54","55+"))))</f>
        <v>25-34</v>
      </c>
      <c r="AM407" t="str">
        <f>IF(HR_Data[[#This Row],[MonthlyIncome]]&lt;3000,"Low Salary",IF(HR_Data[[#This Row],[MonthlyIncome]]&lt;=7000,"Medium Salary","High Salary"))</f>
        <v>Medium Salary</v>
      </c>
      <c r="AN407" t="str">
        <f>IF(HR_Data[[#This Row],[YearsAtCompany]]&lt;2,"0-1 Years",IF(HR_Data[[#This Row],[YearsAtCompany]]&lt;=5,"2-5 Years",IF(HR_Data[[#This Row],[YearsAtCompany]]&lt;=10,"6-10 Years","10+ Years")))</f>
        <v>2-5 Years</v>
      </c>
      <c r="AO407" t="str">
        <f>IF(HR_Data[[#This Row],[JobSatisfaction]]=1,"Low",IF(HR_Data[[#This Row],[JobSatisfaction]]=2,"Medium",IF(HR_Data[[#This Row],[JobSatisfaction]]=3,"High","Very High")))</f>
        <v>Low</v>
      </c>
      <c r="AP407" t="str">
        <f>IF(HR_Data[[#This Row],[WorkLifeBalance]]=1,"Bad",IF(HR_Data[[#This Row],[WorkLifeBalance]]=2,"Good",IF(HR_Data[[#This Row],[WorkLifeBalance]]=3,"Better","Best")))</f>
        <v>Better</v>
      </c>
    </row>
    <row r="408" spans="1:42"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IF(HR_Data[[#This Row],[Attrition]]="Yes",1,0)</f>
        <v>0</v>
      </c>
      <c r="AK408">
        <f>IF(HR_Data[[#This Row],[Attrition]]="No",1,0)</f>
        <v>1</v>
      </c>
      <c r="AL408" t="str">
        <f>IF(HR_Data[[#This Row],[Age]]&lt;25,"Under 25",IF(HR_Data[[#This Row],[Age]]&lt;=34,"25-34",IF(HR_Data[[#This Row],[Age]]&lt;=44,"35-44",IF(HR_Data[[#This Row],[Age]]&lt;=54,"45-54","55+"))))</f>
        <v>45-54</v>
      </c>
      <c r="AM408" t="str">
        <f>IF(HR_Data[[#This Row],[MonthlyIncome]]&lt;3000,"Low Salary",IF(HR_Data[[#This Row],[MonthlyIncome]]&lt;=7000,"Medium Salary","High Salary"))</f>
        <v>High Salary</v>
      </c>
      <c r="AN408" t="str">
        <f>IF(HR_Data[[#This Row],[YearsAtCompany]]&lt;2,"0-1 Years",IF(HR_Data[[#This Row],[YearsAtCompany]]&lt;=5,"2-5 Years",IF(HR_Data[[#This Row],[YearsAtCompany]]&lt;=10,"6-10 Years","10+ Years")))</f>
        <v>2-5 Years</v>
      </c>
      <c r="AO408" t="str">
        <f>IF(HR_Data[[#This Row],[JobSatisfaction]]=1,"Low",IF(HR_Data[[#This Row],[JobSatisfaction]]=2,"Medium",IF(HR_Data[[#This Row],[JobSatisfaction]]=3,"High","Very High")))</f>
        <v>High</v>
      </c>
      <c r="AP408" t="str">
        <f>IF(HR_Data[[#This Row],[WorkLifeBalance]]=1,"Bad",IF(HR_Data[[#This Row],[WorkLifeBalance]]=2,"Good",IF(HR_Data[[#This Row],[WorkLifeBalance]]=3,"Better","Best")))</f>
        <v>Better</v>
      </c>
    </row>
    <row r="409" spans="1:42"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IF(HR_Data[[#This Row],[Attrition]]="Yes",1,0)</f>
        <v>0</v>
      </c>
      <c r="AK409">
        <f>IF(HR_Data[[#This Row],[Attrition]]="No",1,0)</f>
        <v>1</v>
      </c>
      <c r="AL409" t="str">
        <f>IF(HR_Data[[#This Row],[Age]]&lt;25,"Under 25",IF(HR_Data[[#This Row],[Age]]&lt;=34,"25-34",IF(HR_Data[[#This Row],[Age]]&lt;=44,"35-44",IF(HR_Data[[#This Row],[Age]]&lt;=54,"45-54","55+"))))</f>
        <v>45-54</v>
      </c>
      <c r="AM409" t="str">
        <f>IF(HR_Data[[#This Row],[MonthlyIncome]]&lt;3000,"Low Salary",IF(HR_Data[[#This Row],[MonthlyIncome]]&lt;=7000,"Medium Salary","High Salary"))</f>
        <v>Low Salary</v>
      </c>
      <c r="AN409" t="str">
        <f>IF(HR_Data[[#This Row],[YearsAtCompany]]&lt;2,"0-1 Years",IF(HR_Data[[#This Row],[YearsAtCompany]]&lt;=5,"2-5 Years",IF(HR_Data[[#This Row],[YearsAtCompany]]&lt;=10,"6-10 Years","10+ Years")))</f>
        <v>2-5 Years</v>
      </c>
      <c r="AO409" t="str">
        <f>IF(HR_Data[[#This Row],[JobSatisfaction]]=1,"Low",IF(HR_Data[[#This Row],[JobSatisfaction]]=2,"Medium",IF(HR_Data[[#This Row],[JobSatisfaction]]=3,"High","Very High")))</f>
        <v>Very High</v>
      </c>
      <c r="AP409" t="str">
        <f>IF(HR_Data[[#This Row],[WorkLifeBalance]]=1,"Bad",IF(HR_Data[[#This Row],[WorkLifeBalance]]=2,"Good",IF(HR_Data[[#This Row],[WorkLifeBalance]]=3,"Better","Best")))</f>
        <v>Good</v>
      </c>
    </row>
    <row r="410" spans="1:42"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IF(HR_Data[[#This Row],[Attrition]]="Yes",1,0)</f>
        <v>0</v>
      </c>
      <c r="AK410">
        <f>IF(HR_Data[[#This Row],[Attrition]]="No",1,0)</f>
        <v>1</v>
      </c>
      <c r="AL410" t="str">
        <f>IF(HR_Data[[#This Row],[Age]]&lt;25,"Under 25",IF(HR_Data[[#This Row],[Age]]&lt;=34,"25-34",IF(HR_Data[[#This Row],[Age]]&lt;=44,"35-44",IF(HR_Data[[#This Row],[Age]]&lt;=54,"45-54","55+"))))</f>
        <v>45-54</v>
      </c>
      <c r="AM410" t="str">
        <f>IF(HR_Data[[#This Row],[MonthlyIncome]]&lt;3000,"Low Salary",IF(HR_Data[[#This Row],[MonthlyIncome]]&lt;=7000,"Medium Salary","High Salary"))</f>
        <v>High Salary</v>
      </c>
      <c r="AN410" t="str">
        <f>IF(HR_Data[[#This Row],[YearsAtCompany]]&lt;2,"0-1 Years",IF(HR_Data[[#This Row],[YearsAtCompany]]&lt;=5,"2-5 Years",IF(HR_Data[[#This Row],[YearsAtCompany]]&lt;=10,"6-10 Years","10+ Years")))</f>
        <v>2-5 Years</v>
      </c>
      <c r="AO410" t="str">
        <f>IF(HR_Data[[#This Row],[JobSatisfaction]]=1,"Low",IF(HR_Data[[#This Row],[JobSatisfaction]]=2,"Medium",IF(HR_Data[[#This Row],[JobSatisfaction]]=3,"High","Very High")))</f>
        <v>Very High</v>
      </c>
      <c r="AP410" t="str">
        <f>IF(HR_Data[[#This Row],[WorkLifeBalance]]=1,"Bad",IF(HR_Data[[#This Row],[WorkLifeBalance]]=2,"Good",IF(HR_Data[[#This Row],[WorkLifeBalance]]=3,"Better","Best")))</f>
        <v>Bad</v>
      </c>
    </row>
    <row r="411" spans="1:42"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IF(HR_Data[[#This Row],[Attrition]]="Yes",1,0)</f>
        <v>0</v>
      </c>
      <c r="AK411">
        <f>IF(HR_Data[[#This Row],[Attrition]]="No",1,0)</f>
        <v>1</v>
      </c>
      <c r="AL411" t="str">
        <f>IF(HR_Data[[#This Row],[Age]]&lt;25,"Under 25",IF(HR_Data[[#This Row],[Age]]&lt;=34,"25-34",IF(HR_Data[[#This Row],[Age]]&lt;=44,"35-44",IF(HR_Data[[#This Row],[Age]]&lt;=54,"45-54","55+"))))</f>
        <v>35-44</v>
      </c>
      <c r="AM411" t="str">
        <f>IF(HR_Data[[#This Row],[MonthlyIncome]]&lt;3000,"Low Salary",IF(HR_Data[[#This Row],[MonthlyIncome]]&lt;=7000,"Medium Salary","High Salary"))</f>
        <v>Medium Salary</v>
      </c>
      <c r="AN411" t="str">
        <f>IF(HR_Data[[#This Row],[YearsAtCompany]]&lt;2,"0-1 Years",IF(HR_Data[[#This Row],[YearsAtCompany]]&lt;=5,"2-5 Years",IF(HR_Data[[#This Row],[YearsAtCompany]]&lt;=10,"6-10 Years","10+ Years")))</f>
        <v>2-5 Years</v>
      </c>
      <c r="AO411" t="str">
        <f>IF(HR_Data[[#This Row],[JobSatisfaction]]=1,"Low",IF(HR_Data[[#This Row],[JobSatisfaction]]=2,"Medium",IF(HR_Data[[#This Row],[JobSatisfaction]]=3,"High","Very High")))</f>
        <v>High</v>
      </c>
      <c r="AP411" t="str">
        <f>IF(HR_Data[[#This Row],[WorkLifeBalance]]=1,"Bad",IF(HR_Data[[#This Row],[WorkLifeBalance]]=2,"Good",IF(HR_Data[[#This Row],[WorkLifeBalance]]=3,"Better","Best")))</f>
        <v>Better</v>
      </c>
    </row>
    <row r="412" spans="1:42"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IF(HR_Data[[#This Row],[Attrition]]="Yes",1,0)</f>
        <v>0</v>
      </c>
      <c r="AK412">
        <f>IF(HR_Data[[#This Row],[Attrition]]="No",1,0)</f>
        <v>1</v>
      </c>
      <c r="AL412" t="str">
        <f>IF(HR_Data[[#This Row],[Age]]&lt;25,"Under 25",IF(HR_Data[[#This Row],[Age]]&lt;=34,"25-34",IF(HR_Data[[#This Row],[Age]]&lt;=44,"35-44",IF(HR_Data[[#This Row],[Age]]&lt;=54,"45-54","55+"))))</f>
        <v>25-34</v>
      </c>
      <c r="AM412" t="str">
        <f>IF(HR_Data[[#This Row],[MonthlyIncome]]&lt;3000,"Low Salary",IF(HR_Data[[#This Row],[MonthlyIncome]]&lt;=7000,"Medium Salary","High Salary"))</f>
        <v>Medium Salary</v>
      </c>
      <c r="AN412" t="str">
        <f>IF(HR_Data[[#This Row],[YearsAtCompany]]&lt;2,"0-1 Years",IF(HR_Data[[#This Row],[YearsAtCompany]]&lt;=5,"2-5 Years",IF(HR_Data[[#This Row],[YearsAtCompany]]&lt;=10,"6-10 Years","10+ Years")))</f>
        <v>2-5 Years</v>
      </c>
      <c r="AO412" t="str">
        <f>IF(HR_Data[[#This Row],[JobSatisfaction]]=1,"Low",IF(HR_Data[[#This Row],[JobSatisfaction]]=2,"Medium",IF(HR_Data[[#This Row],[JobSatisfaction]]=3,"High","Very High")))</f>
        <v>Very High</v>
      </c>
      <c r="AP412" t="str">
        <f>IF(HR_Data[[#This Row],[WorkLifeBalance]]=1,"Bad",IF(HR_Data[[#This Row],[WorkLifeBalance]]=2,"Good",IF(HR_Data[[#This Row],[WorkLifeBalance]]=3,"Better","Best")))</f>
        <v>Better</v>
      </c>
    </row>
    <row r="413" spans="1:42"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IF(HR_Data[[#This Row],[Attrition]]="Yes",1,0)</f>
        <v>0</v>
      </c>
      <c r="AK413">
        <f>IF(HR_Data[[#This Row],[Attrition]]="No",1,0)</f>
        <v>1</v>
      </c>
      <c r="AL413" t="str">
        <f>IF(HR_Data[[#This Row],[Age]]&lt;25,"Under 25",IF(HR_Data[[#This Row],[Age]]&lt;=34,"25-34",IF(HR_Data[[#This Row],[Age]]&lt;=44,"35-44",IF(HR_Data[[#This Row],[Age]]&lt;=54,"45-54","55+"))))</f>
        <v>55+</v>
      </c>
      <c r="AM413" t="str">
        <f>IF(HR_Data[[#This Row],[MonthlyIncome]]&lt;3000,"Low Salary",IF(HR_Data[[#This Row],[MonthlyIncome]]&lt;=7000,"Medium Salary","High Salary"))</f>
        <v>High Salary</v>
      </c>
      <c r="AN413" t="str">
        <f>IF(HR_Data[[#This Row],[YearsAtCompany]]&lt;2,"0-1 Years",IF(HR_Data[[#This Row],[YearsAtCompany]]&lt;=5,"2-5 Years",IF(HR_Data[[#This Row],[YearsAtCompany]]&lt;=10,"6-10 Years","10+ Years")))</f>
        <v>10+ Years</v>
      </c>
      <c r="AO413" t="str">
        <f>IF(HR_Data[[#This Row],[JobSatisfaction]]=1,"Low",IF(HR_Data[[#This Row],[JobSatisfaction]]=2,"Medium",IF(HR_Data[[#This Row],[JobSatisfaction]]=3,"High","Very High")))</f>
        <v>Low</v>
      </c>
      <c r="AP413" t="str">
        <f>IF(HR_Data[[#This Row],[WorkLifeBalance]]=1,"Bad",IF(HR_Data[[#This Row],[WorkLifeBalance]]=2,"Good",IF(HR_Data[[#This Row],[WorkLifeBalance]]=3,"Better","Best")))</f>
        <v>Bad</v>
      </c>
    </row>
    <row r="414" spans="1:42"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IF(HR_Data[[#This Row],[Attrition]]="Yes",1,0)</f>
        <v>0</v>
      </c>
      <c r="AK414">
        <f>IF(HR_Data[[#This Row],[Attrition]]="No",1,0)</f>
        <v>1</v>
      </c>
      <c r="AL414" t="str">
        <f>IF(HR_Data[[#This Row],[Age]]&lt;25,"Under 25",IF(HR_Data[[#This Row],[Age]]&lt;=34,"25-34",IF(HR_Data[[#This Row],[Age]]&lt;=44,"35-44",IF(HR_Data[[#This Row],[Age]]&lt;=54,"45-54","55+"))))</f>
        <v>45-54</v>
      </c>
      <c r="AM414" t="str">
        <f>IF(HR_Data[[#This Row],[MonthlyIncome]]&lt;3000,"Low Salary",IF(HR_Data[[#This Row],[MonthlyIncome]]&lt;=7000,"Medium Salary","High Salary"))</f>
        <v>Medium Salary</v>
      </c>
      <c r="AN414" t="str">
        <f>IF(HR_Data[[#This Row],[YearsAtCompany]]&lt;2,"0-1 Years",IF(HR_Data[[#This Row],[YearsAtCompany]]&lt;=5,"2-5 Years",IF(HR_Data[[#This Row],[YearsAtCompany]]&lt;=10,"6-10 Years","10+ Years")))</f>
        <v>6-10 Years</v>
      </c>
      <c r="AO414" t="str">
        <f>IF(HR_Data[[#This Row],[JobSatisfaction]]=1,"Low",IF(HR_Data[[#This Row],[JobSatisfaction]]=2,"Medium",IF(HR_Data[[#This Row],[JobSatisfaction]]=3,"High","Very High")))</f>
        <v>High</v>
      </c>
      <c r="AP414" t="str">
        <f>IF(HR_Data[[#This Row],[WorkLifeBalance]]=1,"Bad",IF(HR_Data[[#This Row],[WorkLifeBalance]]=2,"Good",IF(HR_Data[[#This Row],[WorkLifeBalance]]=3,"Better","Best")))</f>
        <v>Good</v>
      </c>
    </row>
    <row r="415" spans="1:42"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IF(HR_Data[[#This Row],[Attrition]]="Yes",1,0)</f>
        <v>0</v>
      </c>
      <c r="AK415">
        <f>IF(HR_Data[[#This Row],[Attrition]]="No",1,0)</f>
        <v>1</v>
      </c>
      <c r="AL415" t="str">
        <f>IF(HR_Data[[#This Row],[Age]]&lt;25,"Under 25",IF(HR_Data[[#This Row],[Age]]&lt;=34,"25-34",IF(HR_Data[[#This Row],[Age]]&lt;=44,"35-44",IF(HR_Data[[#This Row],[Age]]&lt;=54,"45-54","55+"))))</f>
        <v>35-44</v>
      </c>
      <c r="AM415" t="str">
        <f>IF(HR_Data[[#This Row],[MonthlyIncome]]&lt;3000,"Low Salary",IF(HR_Data[[#This Row],[MonthlyIncome]]&lt;=7000,"Medium Salary","High Salary"))</f>
        <v>Medium Salary</v>
      </c>
      <c r="AN415" t="str">
        <f>IF(HR_Data[[#This Row],[YearsAtCompany]]&lt;2,"0-1 Years",IF(HR_Data[[#This Row],[YearsAtCompany]]&lt;=5,"2-5 Years",IF(HR_Data[[#This Row],[YearsAtCompany]]&lt;=10,"6-10 Years","10+ Years")))</f>
        <v>6-10 Years</v>
      </c>
      <c r="AO415" t="str">
        <f>IF(HR_Data[[#This Row],[JobSatisfaction]]=1,"Low",IF(HR_Data[[#This Row],[JobSatisfaction]]=2,"Medium",IF(HR_Data[[#This Row],[JobSatisfaction]]=3,"High","Very High")))</f>
        <v>Very High</v>
      </c>
      <c r="AP415" t="str">
        <f>IF(HR_Data[[#This Row],[WorkLifeBalance]]=1,"Bad",IF(HR_Data[[#This Row],[WorkLifeBalance]]=2,"Good",IF(HR_Data[[#This Row],[WorkLifeBalance]]=3,"Better","Best")))</f>
        <v>Best</v>
      </c>
    </row>
    <row r="416" spans="1:42"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IF(HR_Data[[#This Row],[Attrition]]="Yes",1,0)</f>
        <v>1</v>
      </c>
      <c r="AK416">
        <f>IF(HR_Data[[#This Row],[Attrition]]="No",1,0)</f>
        <v>0</v>
      </c>
      <c r="AL416" t="str">
        <f>IF(HR_Data[[#This Row],[Age]]&lt;25,"Under 25",IF(HR_Data[[#This Row],[Age]]&lt;=34,"25-34",IF(HR_Data[[#This Row],[Age]]&lt;=44,"35-44",IF(HR_Data[[#This Row],[Age]]&lt;=54,"45-54","55+"))))</f>
        <v>Under 25</v>
      </c>
      <c r="AM416" t="str">
        <f>IF(HR_Data[[#This Row],[MonthlyIncome]]&lt;3000,"Low Salary",IF(HR_Data[[#This Row],[MonthlyIncome]]&lt;=7000,"Medium Salary","High Salary"))</f>
        <v>Medium Salary</v>
      </c>
      <c r="AN416" t="str">
        <f>IF(HR_Data[[#This Row],[YearsAtCompany]]&lt;2,"0-1 Years",IF(HR_Data[[#This Row],[YearsAtCompany]]&lt;=5,"2-5 Years",IF(HR_Data[[#This Row],[YearsAtCompany]]&lt;=10,"6-10 Years","10+ Years")))</f>
        <v>2-5 Years</v>
      </c>
      <c r="AO416" t="str">
        <f>IF(HR_Data[[#This Row],[JobSatisfaction]]=1,"Low",IF(HR_Data[[#This Row],[JobSatisfaction]]=2,"Medium",IF(HR_Data[[#This Row],[JobSatisfaction]]=3,"High","Very High")))</f>
        <v>Medium</v>
      </c>
      <c r="AP416" t="str">
        <f>IF(HR_Data[[#This Row],[WorkLifeBalance]]=1,"Bad",IF(HR_Data[[#This Row],[WorkLifeBalance]]=2,"Good",IF(HR_Data[[#This Row],[WorkLifeBalance]]=3,"Better","Best")))</f>
        <v>Better</v>
      </c>
    </row>
    <row r="417" spans="1:42"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IF(HR_Data[[#This Row],[Attrition]]="Yes",1,0)</f>
        <v>1</v>
      </c>
      <c r="AK417">
        <f>IF(HR_Data[[#This Row],[Attrition]]="No",1,0)</f>
        <v>0</v>
      </c>
      <c r="AL417" t="str">
        <f>IF(HR_Data[[#This Row],[Age]]&lt;25,"Under 25",IF(HR_Data[[#This Row],[Age]]&lt;=34,"25-34",IF(HR_Data[[#This Row],[Age]]&lt;=44,"35-44",IF(HR_Data[[#This Row],[Age]]&lt;=54,"45-54","55+"))))</f>
        <v>25-34</v>
      </c>
      <c r="AM417" t="str">
        <f>IF(HR_Data[[#This Row],[MonthlyIncome]]&lt;3000,"Low Salary",IF(HR_Data[[#This Row],[MonthlyIncome]]&lt;=7000,"Medium Salary","High Salary"))</f>
        <v>Low Salary</v>
      </c>
      <c r="AN417" t="str">
        <f>IF(HR_Data[[#This Row],[YearsAtCompany]]&lt;2,"0-1 Years",IF(HR_Data[[#This Row],[YearsAtCompany]]&lt;=5,"2-5 Years",IF(HR_Data[[#This Row],[YearsAtCompany]]&lt;=10,"6-10 Years","10+ Years")))</f>
        <v>2-5 Years</v>
      </c>
      <c r="AO417" t="str">
        <f>IF(HR_Data[[#This Row],[JobSatisfaction]]=1,"Low",IF(HR_Data[[#This Row],[JobSatisfaction]]=2,"Medium",IF(HR_Data[[#This Row],[JobSatisfaction]]=3,"High","Very High")))</f>
        <v>High</v>
      </c>
      <c r="AP417" t="str">
        <f>IF(HR_Data[[#This Row],[WorkLifeBalance]]=1,"Bad",IF(HR_Data[[#This Row],[WorkLifeBalance]]=2,"Good",IF(HR_Data[[#This Row],[WorkLifeBalance]]=3,"Better","Best")))</f>
        <v>Good</v>
      </c>
    </row>
    <row r="418" spans="1:42"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IF(HR_Data[[#This Row],[Attrition]]="Yes",1,0)</f>
        <v>0</v>
      </c>
      <c r="AK418">
        <f>IF(HR_Data[[#This Row],[Attrition]]="No",1,0)</f>
        <v>1</v>
      </c>
      <c r="AL418" t="str">
        <f>IF(HR_Data[[#This Row],[Age]]&lt;25,"Under 25",IF(HR_Data[[#This Row],[Age]]&lt;=34,"25-34",IF(HR_Data[[#This Row],[Age]]&lt;=44,"35-44",IF(HR_Data[[#This Row],[Age]]&lt;=54,"45-54","55+"))))</f>
        <v>35-44</v>
      </c>
      <c r="AM418" t="str">
        <f>IF(HR_Data[[#This Row],[MonthlyIncome]]&lt;3000,"Low Salary",IF(HR_Data[[#This Row],[MonthlyIncome]]&lt;=7000,"Medium Salary","High Salary"))</f>
        <v>Low Salary</v>
      </c>
      <c r="AN418" t="str">
        <f>IF(HR_Data[[#This Row],[YearsAtCompany]]&lt;2,"0-1 Years",IF(HR_Data[[#This Row],[YearsAtCompany]]&lt;=5,"2-5 Years",IF(HR_Data[[#This Row],[YearsAtCompany]]&lt;=10,"6-10 Years","10+ Years")))</f>
        <v>0-1 Years</v>
      </c>
      <c r="AO418" t="str">
        <f>IF(HR_Data[[#This Row],[JobSatisfaction]]=1,"Low",IF(HR_Data[[#This Row],[JobSatisfaction]]=2,"Medium",IF(HR_Data[[#This Row],[JobSatisfaction]]=3,"High","Very High")))</f>
        <v>Very High</v>
      </c>
      <c r="AP418" t="str">
        <f>IF(HR_Data[[#This Row],[WorkLifeBalance]]=1,"Bad",IF(HR_Data[[#This Row],[WorkLifeBalance]]=2,"Good",IF(HR_Data[[#This Row],[WorkLifeBalance]]=3,"Better","Best")))</f>
        <v>Better</v>
      </c>
    </row>
    <row r="419" spans="1:42"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IF(HR_Data[[#This Row],[Attrition]]="Yes",1,0)</f>
        <v>0</v>
      </c>
      <c r="AK419">
        <f>IF(HR_Data[[#This Row],[Attrition]]="No",1,0)</f>
        <v>1</v>
      </c>
      <c r="AL419" t="str">
        <f>IF(HR_Data[[#This Row],[Age]]&lt;25,"Under 25",IF(HR_Data[[#This Row],[Age]]&lt;=34,"25-34",IF(HR_Data[[#This Row],[Age]]&lt;=44,"35-44",IF(HR_Data[[#This Row],[Age]]&lt;=54,"45-54","55+"))))</f>
        <v>35-44</v>
      </c>
      <c r="AM419" t="str">
        <f>IF(HR_Data[[#This Row],[MonthlyIncome]]&lt;3000,"Low Salary",IF(HR_Data[[#This Row],[MonthlyIncome]]&lt;=7000,"Medium Salary","High Salary"))</f>
        <v>High Salary</v>
      </c>
      <c r="AN419" t="str">
        <f>IF(HR_Data[[#This Row],[YearsAtCompany]]&lt;2,"0-1 Years",IF(HR_Data[[#This Row],[YearsAtCompany]]&lt;=5,"2-5 Years",IF(HR_Data[[#This Row],[YearsAtCompany]]&lt;=10,"6-10 Years","10+ Years")))</f>
        <v>10+ Years</v>
      </c>
      <c r="AO419" t="str">
        <f>IF(HR_Data[[#This Row],[JobSatisfaction]]=1,"Low",IF(HR_Data[[#This Row],[JobSatisfaction]]=2,"Medium",IF(HR_Data[[#This Row],[JobSatisfaction]]=3,"High","Very High")))</f>
        <v>High</v>
      </c>
      <c r="AP419" t="str">
        <f>IF(HR_Data[[#This Row],[WorkLifeBalance]]=1,"Bad",IF(HR_Data[[#This Row],[WorkLifeBalance]]=2,"Good",IF(HR_Data[[#This Row],[WorkLifeBalance]]=3,"Better","Best")))</f>
        <v>Better</v>
      </c>
    </row>
    <row r="420" spans="1:42"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IF(HR_Data[[#This Row],[Attrition]]="Yes",1,0)</f>
        <v>0</v>
      </c>
      <c r="AK420">
        <f>IF(HR_Data[[#This Row],[Attrition]]="No",1,0)</f>
        <v>1</v>
      </c>
      <c r="AL420" t="str">
        <f>IF(HR_Data[[#This Row],[Age]]&lt;25,"Under 25",IF(HR_Data[[#This Row],[Age]]&lt;=34,"25-34",IF(HR_Data[[#This Row],[Age]]&lt;=44,"35-44",IF(HR_Data[[#This Row],[Age]]&lt;=54,"45-54","55+"))))</f>
        <v>25-34</v>
      </c>
      <c r="AM420" t="str">
        <f>IF(HR_Data[[#This Row],[MonthlyIncome]]&lt;3000,"Low Salary",IF(HR_Data[[#This Row],[MonthlyIncome]]&lt;=7000,"Medium Salary","High Salary"))</f>
        <v>Low Salary</v>
      </c>
      <c r="AN420" t="str">
        <f>IF(HR_Data[[#This Row],[YearsAtCompany]]&lt;2,"0-1 Years",IF(HR_Data[[#This Row],[YearsAtCompany]]&lt;=5,"2-5 Years",IF(HR_Data[[#This Row],[YearsAtCompany]]&lt;=10,"6-10 Years","10+ Years")))</f>
        <v>2-5 Years</v>
      </c>
      <c r="AO420" t="str">
        <f>IF(HR_Data[[#This Row],[JobSatisfaction]]=1,"Low",IF(HR_Data[[#This Row],[JobSatisfaction]]=2,"Medium",IF(HR_Data[[#This Row],[JobSatisfaction]]=3,"High","Very High")))</f>
        <v>Very High</v>
      </c>
      <c r="AP420" t="str">
        <f>IF(HR_Data[[#This Row],[WorkLifeBalance]]=1,"Bad",IF(HR_Data[[#This Row],[WorkLifeBalance]]=2,"Good",IF(HR_Data[[#This Row],[WorkLifeBalance]]=3,"Better","Best")))</f>
        <v>Bad</v>
      </c>
    </row>
    <row r="421" spans="1:42"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IF(HR_Data[[#This Row],[Attrition]]="Yes",1,0)</f>
        <v>0</v>
      </c>
      <c r="AK421">
        <f>IF(HR_Data[[#This Row],[Attrition]]="No",1,0)</f>
        <v>1</v>
      </c>
      <c r="AL421" t="str">
        <f>IF(HR_Data[[#This Row],[Age]]&lt;25,"Under 25",IF(HR_Data[[#This Row],[Age]]&lt;=34,"25-34",IF(HR_Data[[#This Row],[Age]]&lt;=44,"35-44",IF(HR_Data[[#This Row],[Age]]&lt;=54,"45-54","55+"))))</f>
        <v>25-34</v>
      </c>
      <c r="AM421" t="str">
        <f>IF(HR_Data[[#This Row],[MonthlyIncome]]&lt;3000,"Low Salary",IF(HR_Data[[#This Row],[MonthlyIncome]]&lt;=7000,"Medium Salary","High Salary"))</f>
        <v>Low Salary</v>
      </c>
      <c r="AN421" t="str">
        <f>IF(HR_Data[[#This Row],[YearsAtCompany]]&lt;2,"0-1 Years",IF(HR_Data[[#This Row],[YearsAtCompany]]&lt;=5,"2-5 Years",IF(HR_Data[[#This Row],[YearsAtCompany]]&lt;=10,"6-10 Years","10+ Years")))</f>
        <v>2-5 Years</v>
      </c>
      <c r="AO421" t="str">
        <f>IF(HR_Data[[#This Row],[JobSatisfaction]]=1,"Low",IF(HR_Data[[#This Row],[JobSatisfaction]]=2,"Medium",IF(HR_Data[[#This Row],[JobSatisfaction]]=3,"High","Very High")))</f>
        <v>Very High</v>
      </c>
      <c r="AP421" t="str">
        <f>IF(HR_Data[[#This Row],[WorkLifeBalance]]=1,"Bad",IF(HR_Data[[#This Row],[WorkLifeBalance]]=2,"Good",IF(HR_Data[[#This Row],[WorkLifeBalance]]=3,"Better","Best")))</f>
        <v>Bad</v>
      </c>
    </row>
    <row r="422" spans="1:42"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IF(HR_Data[[#This Row],[Attrition]]="Yes",1,0)</f>
        <v>0</v>
      </c>
      <c r="AK422">
        <f>IF(HR_Data[[#This Row],[Attrition]]="No",1,0)</f>
        <v>1</v>
      </c>
      <c r="AL422" t="str">
        <f>IF(HR_Data[[#This Row],[Age]]&lt;25,"Under 25",IF(HR_Data[[#This Row],[Age]]&lt;=34,"25-34",IF(HR_Data[[#This Row],[Age]]&lt;=44,"35-44",IF(HR_Data[[#This Row],[Age]]&lt;=54,"45-54","55+"))))</f>
        <v>25-34</v>
      </c>
      <c r="AM422" t="str">
        <f>IF(HR_Data[[#This Row],[MonthlyIncome]]&lt;3000,"Low Salary",IF(HR_Data[[#This Row],[MonthlyIncome]]&lt;=7000,"Medium Salary","High Salary"))</f>
        <v>High Salary</v>
      </c>
      <c r="AN422" t="str">
        <f>IF(HR_Data[[#This Row],[YearsAtCompany]]&lt;2,"0-1 Years",IF(HR_Data[[#This Row],[YearsAtCompany]]&lt;=5,"2-5 Years",IF(HR_Data[[#This Row],[YearsAtCompany]]&lt;=10,"6-10 Years","10+ Years")))</f>
        <v>6-10 Years</v>
      </c>
      <c r="AO422" t="str">
        <f>IF(HR_Data[[#This Row],[JobSatisfaction]]=1,"Low",IF(HR_Data[[#This Row],[JobSatisfaction]]=2,"Medium",IF(HR_Data[[#This Row],[JobSatisfaction]]=3,"High","Very High")))</f>
        <v>High</v>
      </c>
      <c r="AP422" t="str">
        <f>IF(HR_Data[[#This Row],[WorkLifeBalance]]=1,"Bad",IF(HR_Data[[#This Row],[WorkLifeBalance]]=2,"Good",IF(HR_Data[[#This Row],[WorkLifeBalance]]=3,"Better","Best")))</f>
        <v>Better</v>
      </c>
    </row>
    <row r="423" spans="1:42"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IF(HR_Data[[#This Row],[Attrition]]="Yes",1,0)</f>
        <v>1</v>
      </c>
      <c r="AK423">
        <f>IF(HR_Data[[#This Row],[Attrition]]="No",1,0)</f>
        <v>0</v>
      </c>
      <c r="AL423" t="str">
        <f>IF(HR_Data[[#This Row],[Age]]&lt;25,"Under 25",IF(HR_Data[[#This Row],[Age]]&lt;=34,"25-34",IF(HR_Data[[#This Row],[Age]]&lt;=44,"35-44",IF(HR_Data[[#This Row],[Age]]&lt;=54,"45-54","55+"))))</f>
        <v>25-34</v>
      </c>
      <c r="AM423" t="str">
        <f>IF(HR_Data[[#This Row],[MonthlyIncome]]&lt;3000,"Low Salary",IF(HR_Data[[#This Row],[MonthlyIncome]]&lt;=7000,"Medium Salary","High Salary"))</f>
        <v>Low Salary</v>
      </c>
      <c r="AN423" t="str">
        <f>IF(HR_Data[[#This Row],[YearsAtCompany]]&lt;2,"0-1 Years",IF(HR_Data[[#This Row],[YearsAtCompany]]&lt;=5,"2-5 Years",IF(HR_Data[[#This Row],[YearsAtCompany]]&lt;=10,"6-10 Years","10+ Years")))</f>
        <v>2-5 Years</v>
      </c>
      <c r="AO423" t="str">
        <f>IF(HR_Data[[#This Row],[JobSatisfaction]]=1,"Low",IF(HR_Data[[#This Row],[JobSatisfaction]]=2,"Medium",IF(HR_Data[[#This Row],[JobSatisfaction]]=3,"High","Very High")))</f>
        <v>Medium</v>
      </c>
      <c r="AP423" t="str">
        <f>IF(HR_Data[[#This Row],[WorkLifeBalance]]=1,"Bad",IF(HR_Data[[#This Row],[WorkLifeBalance]]=2,"Good",IF(HR_Data[[#This Row],[WorkLifeBalance]]=3,"Better","Best")))</f>
        <v>Best</v>
      </c>
    </row>
    <row r="424" spans="1:42"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IF(HR_Data[[#This Row],[Attrition]]="Yes",1,0)</f>
        <v>1</v>
      </c>
      <c r="AK424">
        <f>IF(HR_Data[[#This Row],[Attrition]]="No",1,0)</f>
        <v>0</v>
      </c>
      <c r="AL424" t="str">
        <f>IF(HR_Data[[#This Row],[Age]]&lt;25,"Under 25",IF(HR_Data[[#This Row],[Age]]&lt;=34,"25-34",IF(HR_Data[[#This Row],[Age]]&lt;=44,"35-44",IF(HR_Data[[#This Row],[Age]]&lt;=54,"45-54","55+"))))</f>
        <v>Under 25</v>
      </c>
      <c r="AM424" t="str">
        <f>IF(HR_Data[[#This Row],[MonthlyIncome]]&lt;3000,"Low Salary",IF(HR_Data[[#This Row],[MonthlyIncome]]&lt;=7000,"Medium Salary","High Salary"))</f>
        <v>Low Salary</v>
      </c>
      <c r="AN424" t="str">
        <f>IF(HR_Data[[#This Row],[YearsAtCompany]]&lt;2,"0-1 Years",IF(HR_Data[[#This Row],[YearsAtCompany]]&lt;=5,"2-5 Years",IF(HR_Data[[#This Row],[YearsAtCompany]]&lt;=10,"6-10 Years","10+ Years")))</f>
        <v>0-1 Years</v>
      </c>
      <c r="AO424" t="str">
        <f>IF(HR_Data[[#This Row],[JobSatisfaction]]=1,"Low",IF(HR_Data[[#This Row],[JobSatisfaction]]=2,"Medium",IF(HR_Data[[#This Row],[JobSatisfaction]]=3,"High","Very High")))</f>
        <v>Very High</v>
      </c>
      <c r="AP424" t="str">
        <f>IF(HR_Data[[#This Row],[WorkLifeBalance]]=1,"Bad",IF(HR_Data[[#This Row],[WorkLifeBalance]]=2,"Good",IF(HR_Data[[#This Row],[WorkLifeBalance]]=3,"Better","Best")))</f>
        <v>Best</v>
      </c>
    </row>
    <row r="425" spans="1:42"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IF(HR_Data[[#This Row],[Attrition]]="Yes",1,0)</f>
        <v>0</v>
      </c>
      <c r="AK425">
        <f>IF(HR_Data[[#This Row],[Attrition]]="No",1,0)</f>
        <v>1</v>
      </c>
      <c r="AL425" t="str">
        <f>IF(HR_Data[[#This Row],[Age]]&lt;25,"Under 25",IF(HR_Data[[#This Row],[Age]]&lt;=34,"25-34",IF(HR_Data[[#This Row],[Age]]&lt;=44,"35-44",IF(HR_Data[[#This Row],[Age]]&lt;=54,"45-54","55+"))))</f>
        <v>25-34</v>
      </c>
      <c r="AM425" t="str">
        <f>IF(HR_Data[[#This Row],[MonthlyIncome]]&lt;3000,"Low Salary",IF(HR_Data[[#This Row],[MonthlyIncome]]&lt;=7000,"Medium Salary","High Salary"))</f>
        <v>High Salary</v>
      </c>
      <c r="AN425" t="str">
        <f>IF(HR_Data[[#This Row],[YearsAtCompany]]&lt;2,"0-1 Years",IF(HR_Data[[#This Row],[YearsAtCompany]]&lt;=5,"2-5 Years",IF(HR_Data[[#This Row],[YearsAtCompany]]&lt;=10,"6-10 Years","10+ Years")))</f>
        <v>6-10 Years</v>
      </c>
      <c r="AO425" t="str">
        <f>IF(HR_Data[[#This Row],[JobSatisfaction]]=1,"Low",IF(HR_Data[[#This Row],[JobSatisfaction]]=2,"Medium",IF(HR_Data[[#This Row],[JobSatisfaction]]=3,"High","Very High")))</f>
        <v>Low</v>
      </c>
      <c r="AP425" t="str">
        <f>IF(HR_Data[[#This Row],[WorkLifeBalance]]=1,"Bad",IF(HR_Data[[#This Row],[WorkLifeBalance]]=2,"Good",IF(HR_Data[[#This Row],[WorkLifeBalance]]=3,"Better","Best")))</f>
        <v>Better</v>
      </c>
    </row>
    <row r="426" spans="1:42"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IF(HR_Data[[#This Row],[Attrition]]="Yes",1,0)</f>
        <v>0</v>
      </c>
      <c r="AK426">
        <f>IF(HR_Data[[#This Row],[Attrition]]="No",1,0)</f>
        <v>1</v>
      </c>
      <c r="AL426" t="str">
        <f>IF(HR_Data[[#This Row],[Age]]&lt;25,"Under 25",IF(HR_Data[[#This Row],[Age]]&lt;=34,"25-34",IF(HR_Data[[#This Row],[Age]]&lt;=44,"35-44",IF(HR_Data[[#This Row],[Age]]&lt;=54,"45-54","55+"))))</f>
        <v>55+</v>
      </c>
      <c r="AM426" t="str">
        <f>IF(HR_Data[[#This Row],[MonthlyIncome]]&lt;3000,"Low Salary",IF(HR_Data[[#This Row],[MonthlyIncome]]&lt;=7000,"Medium Salary","High Salary"))</f>
        <v>High Salary</v>
      </c>
      <c r="AN426" t="str">
        <f>IF(HR_Data[[#This Row],[YearsAtCompany]]&lt;2,"0-1 Years",IF(HR_Data[[#This Row],[YearsAtCompany]]&lt;=5,"2-5 Years",IF(HR_Data[[#This Row],[YearsAtCompany]]&lt;=10,"6-10 Years","10+ Years")))</f>
        <v>0-1 Years</v>
      </c>
      <c r="AO426" t="str">
        <f>IF(HR_Data[[#This Row],[JobSatisfaction]]=1,"Low",IF(HR_Data[[#This Row],[JobSatisfaction]]=2,"Medium",IF(HR_Data[[#This Row],[JobSatisfaction]]=3,"High","Very High")))</f>
        <v>Very High</v>
      </c>
      <c r="AP426" t="str">
        <f>IF(HR_Data[[#This Row],[WorkLifeBalance]]=1,"Bad",IF(HR_Data[[#This Row],[WorkLifeBalance]]=2,"Good",IF(HR_Data[[#This Row],[WorkLifeBalance]]=3,"Better","Best")))</f>
        <v>Good</v>
      </c>
    </row>
    <row r="427" spans="1:42"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IF(HR_Data[[#This Row],[Attrition]]="Yes",1,0)</f>
        <v>0</v>
      </c>
      <c r="AK427">
        <f>IF(HR_Data[[#This Row],[Attrition]]="No",1,0)</f>
        <v>1</v>
      </c>
      <c r="AL427" t="str">
        <f>IF(HR_Data[[#This Row],[Age]]&lt;25,"Under 25",IF(HR_Data[[#This Row],[Age]]&lt;=34,"25-34",IF(HR_Data[[#This Row],[Age]]&lt;=44,"35-44",IF(HR_Data[[#This Row],[Age]]&lt;=54,"45-54","55+"))))</f>
        <v>45-54</v>
      </c>
      <c r="AM427" t="str">
        <f>IF(HR_Data[[#This Row],[MonthlyIncome]]&lt;3000,"Low Salary",IF(HR_Data[[#This Row],[MonthlyIncome]]&lt;=7000,"Medium Salary","High Salary"))</f>
        <v>High Salary</v>
      </c>
      <c r="AN427" t="str">
        <f>IF(HR_Data[[#This Row],[YearsAtCompany]]&lt;2,"0-1 Years",IF(HR_Data[[#This Row],[YearsAtCompany]]&lt;=5,"2-5 Years",IF(HR_Data[[#This Row],[YearsAtCompany]]&lt;=10,"6-10 Years","10+ Years")))</f>
        <v>10+ Years</v>
      </c>
      <c r="AO427" t="str">
        <f>IF(HR_Data[[#This Row],[JobSatisfaction]]=1,"Low",IF(HR_Data[[#This Row],[JobSatisfaction]]=2,"Medium",IF(HR_Data[[#This Row],[JobSatisfaction]]=3,"High","Very High")))</f>
        <v>High</v>
      </c>
      <c r="AP427" t="str">
        <f>IF(HR_Data[[#This Row],[WorkLifeBalance]]=1,"Bad",IF(HR_Data[[#This Row],[WorkLifeBalance]]=2,"Good",IF(HR_Data[[#This Row],[WorkLifeBalance]]=3,"Better","Best")))</f>
        <v>Better</v>
      </c>
    </row>
    <row r="428" spans="1:42"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IF(HR_Data[[#This Row],[Attrition]]="Yes",1,0)</f>
        <v>0</v>
      </c>
      <c r="AK428">
        <f>IF(HR_Data[[#This Row],[Attrition]]="No",1,0)</f>
        <v>1</v>
      </c>
      <c r="AL428" t="str">
        <f>IF(HR_Data[[#This Row],[Age]]&lt;25,"Under 25",IF(HR_Data[[#This Row],[Age]]&lt;=34,"25-34",IF(HR_Data[[#This Row],[Age]]&lt;=44,"35-44",IF(HR_Data[[#This Row],[Age]]&lt;=54,"45-54","55+"))))</f>
        <v>25-34</v>
      </c>
      <c r="AM428" t="str">
        <f>IF(HR_Data[[#This Row],[MonthlyIncome]]&lt;3000,"Low Salary",IF(HR_Data[[#This Row],[MonthlyIncome]]&lt;=7000,"Medium Salary","High Salary"))</f>
        <v>Low Salary</v>
      </c>
      <c r="AN428" t="str">
        <f>IF(HR_Data[[#This Row],[YearsAtCompany]]&lt;2,"0-1 Years",IF(HR_Data[[#This Row],[YearsAtCompany]]&lt;=5,"2-5 Years",IF(HR_Data[[#This Row],[YearsAtCompany]]&lt;=10,"6-10 Years","10+ Years")))</f>
        <v>10+ Years</v>
      </c>
      <c r="AO428" t="str">
        <f>IF(HR_Data[[#This Row],[JobSatisfaction]]=1,"Low",IF(HR_Data[[#This Row],[JobSatisfaction]]=2,"Medium",IF(HR_Data[[#This Row],[JobSatisfaction]]=3,"High","Very High")))</f>
        <v>Very High</v>
      </c>
      <c r="AP428" t="str">
        <f>IF(HR_Data[[#This Row],[WorkLifeBalance]]=1,"Bad",IF(HR_Data[[#This Row],[WorkLifeBalance]]=2,"Good",IF(HR_Data[[#This Row],[WorkLifeBalance]]=3,"Better","Best")))</f>
        <v>Good</v>
      </c>
    </row>
    <row r="429" spans="1:42"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IF(HR_Data[[#This Row],[Attrition]]="Yes",1,0)</f>
        <v>0</v>
      </c>
      <c r="AK429">
        <f>IF(HR_Data[[#This Row],[Attrition]]="No",1,0)</f>
        <v>1</v>
      </c>
      <c r="AL429" t="str">
        <f>IF(HR_Data[[#This Row],[Age]]&lt;25,"Under 25",IF(HR_Data[[#This Row],[Age]]&lt;=34,"25-34",IF(HR_Data[[#This Row],[Age]]&lt;=44,"35-44",IF(HR_Data[[#This Row],[Age]]&lt;=54,"45-54","55+"))))</f>
        <v>55+</v>
      </c>
      <c r="AM429" t="str">
        <f>IF(HR_Data[[#This Row],[MonthlyIncome]]&lt;3000,"Low Salary",IF(HR_Data[[#This Row],[MonthlyIncome]]&lt;=7000,"Medium Salary","High Salary"))</f>
        <v>High Salary</v>
      </c>
      <c r="AN429" t="str">
        <f>IF(HR_Data[[#This Row],[YearsAtCompany]]&lt;2,"0-1 Years",IF(HR_Data[[#This Row],[YearsAtCompany]]&lt;=5,"2-5 Years",IF(HR_Data[[#This Row],[YearsAtCompany]]&lt;=10,"6-10 Years","10+ Years")))</f>
        <v>10+ Years</v>
      </c>
      <c r="AO429" t="str">
        <f>IF(HR_Data[[#This Row],[JobSatisfaction]]=1,"Low",IF(HR_Data[[#This Row],[JobSatisfaction]]=2,"Medium",IF(HR_Data[[#This Row],[JobSatisfaction]]=3,"High","Very High")))</f>
        <v>Low</v>
      </c>
      <c r="AP429" t="str">
        <f>IF(HR_Data[[#This Row],[WorkLifeBalance]]=1,"Bad",IF(HR_Data[[#This Row],[WorkLifeBalance]]=2,"Good",IF(HR_Data[[#This Row],[WorkLifeBalance]]=3,"Better","Best")))</f>
        <v>Best</v>
      </c>
    </row>
    <row r="430" spans="1:42"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IF(HR_Data[[#This Row],[Attrition]]="Yes",1,0)</f>
        <v>0</v>
      </c>
      <c r="AK430">
        <f>IF(HR_Data[[#This Row],[Attrition]]="No",1,0)</f>
        <v>1</v>
      </c>
      <c r="AL430" t="str">
        <f>IF(HR_Data[[#This Row],[Age]]&lt;25,"Under 25",IF(HR_Data[[#This Row],[Age]]&lt;=34,"25-34",IF(HR_Data[[#This Row],[Age]]&lt;=44,"35-44",IF(HR_Data[[#This Row],[Age]]&lt;=54,"45-54","55+"))))</f>
        <v>45-54</v>
      </c>
      <c r="AM430" t="str">
        <f>IF(HR_Data[[#This Row],[MonthlyIncome]]&lt;3000,"Low Salary",IF(HR_Data[[#This Row],[MonthlyIncome]]&lt;=7000,"Medium Salary","High Salary"))</f>
        <v>Medium Salary</v>
      </c>
      <c r="AN430" t="str">
        <f>IF(HR_Data[[#This Row],[YearsAtCompany]]&lt;2,"0-1 Years",IF(HR_Data[[#This Row],[YearsAtCompany]]&lt;=5,"2-5 Years",IF(HR_Data[[#This Row],[YearsAtCompany]]&lt;=10,"6-10 Years","10+ Years")))</f>
        <v>2-5 Years</v>
      </c>
      <c r="AO430" t="str">
        <f>IF(HR_Data[[#This Row],[JobSatisfaction]]=1,"Low",IF(HR_Data[[#This Row],[JobSatisfaction]]=2,"Medium",IF(HR_Data[[#This Row],[JobSatisfaction]]=3,"High","Very High")))</f>
        <v>Very High</v>
      </c>
      <c r="AP430" t="str">
        <f>IF(HR_Data[[#This Row],[WorkLifeBalance]]=1,"Bad",IF(HR_Data[[#This Row],[WorkLifeBalance]]=2,"Good",IF(HR_Data[[#This Row],[WorkLifeBalance]]=3,"Better","Best")))</f>
        <v>Better</v>
      </c>
    </row>
    <row r="431" spans="1:42"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IF(HR_Data[[#This Row],[Attrition]]="Yes",1,0)</f>
        <v>0</v>
      </c>
      <c r="AK431">
        <f>IF(HR_Data[[#This Row],[Attrition]]="No",1,0)</f>
        <v>1</v>
      </c>
      <c r="AL431" t="str">
        <f>IF(HR_Data[[#This Row],[Age]]&lt;25,"Under 25",IF(HR_Data[[#This Row],[Age]]&lt;=34,"25-34",IF(HR_Data[[#This Row],[Age]]&lt;=44,"35-44",IF(HR_Data[[#This Row],[Age]]&lt;=54,"45-54","55+"))))</f>
        <v>45-54</v>
      </c>
      <c r="AM431" t="str">
        <f>IF(HR_Data[[#This Row],[MonthlyIncome]]&lt;3000,"Low Salary",IF(HR_Data[[#This Row],[MonthlyIncome]]&lt;=7000,"Medium Salary","High Salary"))</f>
        <v>High Salary</v>
      </c>
      <c r="AN431" t="str">
        <f>IF(HR_Data[[#This Row],[YearsAtCompany]]&lt;2,"0-1 Years",IF(HR_Data[[#This Row],[YearsAtCompany]]&lt;=5,"2-5 Years",IF(HR_Data[[#This Row],[YearsAtCompany]]&lt;=10,"6-10 Years","10+ Years")))</f>
        <v>2-5 Years</v>
      </c>
      <c r="AO431" t="str">
        <f>IF(HR_Data[[#This Row],[JobSatisfaction]]=1,"Low",IF(HR_Data[[#This Row],[JobSatisfaction]]=2,"Medium",IF(HR_Data[[#This Row],[JobSatisfaction]]=3,"High","Very High")))</f>
        <v>High</v>
      </c>
      <c r="AP431" t="str">
        <f>IF(HR_Data[[#This Row],[WorkLifeBalance]]=1,"Bad",IF(HR_Data[[#This Row],[WorkLifeBalance]]=2,"Good",IF(HR_Data[[#This Row],[WorkLifeBalance]]=3,"Better","Best")))</f>
        <v>Bad</v>
      </c>
    </row>
    <row r="432" spans="1:42"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IF(HR_Data[[#This Row],[Attrition]]="Yes",1,0)</f>
        <v>0</v>
      </c>
      <c r="AK432">
        <f>IF(HR_Data[[#This Row],[Attrition]]="No",1,0)</f>
        <v>1</v>
      </c>
      <c r="AL432" t="str">
        <f>IF(HR_Data[[#This Row],[Age]]&lt;25,"Under 25",IF(HR_Data[[#This Row],[Age]]&lt;=34,"25-34",IF(HR_Data[[#This Row],[Age]]&lt;=44,"35-44",IF(HR_Data[[#This Row],[Age]]&lt;=54,"45-54","55+"))))</f>
        <v>35-44</v>
      </c>
      <c r="AM432" t="str">
        <f>IF(HR_Data[[#This Row],[MonthlyIncome]]&lt;3000,"Low Salary",IF(HR_Data[[#This Row],[MonthlyIncome]]&lt;=7000,"Medium Salary","High Salary"))</f>
        <v>Medium Salary</v>
      </c>
      <c r="AN432" t="str">
        <f>IF(HR_Data[[#This Row],[YearsAtCompany]]&lt;2,"0-1 Years",IF(HR_Data[[#This Row],[YearsAtCompany]]&lt;=5,"2-5 Years",IF(HR_Data[[#This Row],[YearsAtCompany]]&lt;=10,"6-10 Years","10+ Years")))</f>
        <v>2-5 Years</v>
      </c>
      <c r="AO432" t="str">
        <f>IF(HR_Data[[#This Row],[JobSatisfaction]]=1,"Low",IF(HR_Data[[#This Row],[JobSatisfaction]]=2,"Medium",IF(HR_Data[[#This Row],[JobSatisfaction]]=3,"High","Very High")))</f>
        <v>High</v>
      </c>
      <c r="AP432" t="str">
        <f>IF(HR_Data[[#This Row],[WorkLifeBalance]]=1,"Bad",IF(HR_Data[[#This Row],[WorkLifeBalance]]=2,"Good",IF(HR_Data[[#This Row],[WorkLifeBalance]]=3,"Better","Best")))</f>
        <v>Better</v>
      </c>
    </row>
    <row r="433" spans="1:42"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IF(HR_Data[[#This Row],[Attrition]]="Yes",1,0)</f>
        <v>0</v>
      </c>
      <c r="AK433">
        <f>IF(HR_Data[[#This Row],[Attrition]]="No",1,0)</f>
        <v>1</v>
      </c>
      <c r="AL433" t="str">
        <f>IF(HR_Data[[#This Row],[Age]]&lt;25,"Under 25",IF(HR_Data[[#This Row],[Age]]&lt;=34,"25-34",IF(HR_Data[[#This Row],[Age]]&lt;=44,"35-44",IF(HR_Data[[#This Row],[Age]]&lt;=54,"45-54","55+"))))</f>
        <v>45-54</v>
      </c>
      <c r="AM433" t="str">
        <f>IF(HR_Data[[#This Row],[MonthlyIncome]]&lt;3000,"Low Salary",IF(HR_Data[[#This Row],[MonthlyIncome]]&lt;=7000,"Medium Salary","High Salary"))</f>
        <v>Medium Salary</v>
      </c>
      <c r="AN433" t="str">
        <f>IF(HR_Data[[#This Row],[YearsAtCompany]]&lt;2,"0-1 Years",IF(HR_Data[[#This Row],[YearsAtCompany]]&lt;=5,"2-5 Years",IF(HR_Data[[#This Row],[YearsAtCompany]]&lt;=10,"6-10 Years","10+ Years")))</f>
        <v>0-1 Years</v>
      </c>
      <c r="AO433" t="str">
        <f>IF(HR_Data[[#This Row],[JobSatisfaction]]=1,"Low",IF(HR_Data[[#This Row],[JobSatisfaction]]=2,"Medium",IF(HR_Data[[#This Row],[JobSatisfaction]]=3,"High","Very High")))</f>
        <v>High</v>
      </c>
      <c r="AP433" t="str">
        <f>IF(HR_Data[[#This Row],[WorkLifeBalance]]=1,"Bad",IF(HR_Data[[#This Row],[WorkLifeBalance]]=2,"Good",IF(HR_Data[[#This Row],[WorkLifeBalance]]=3,"Better","Best")))</f>
        <v>Better</v>
      </c>
    </row>
    <row r="434" spans="1:42"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IF(HR_Data[[#This Row],[Attrition]]="Yes",1,0)</f>
        <v>0</v>
      </c>
      <c r="AK434">
        <f>IF(HR_Data[[#This Row],[Attrition]]="No",1,0)</f>
        <v>1</v>
      </c>
      <c r="AL434" t="str">
        <f>IF(HR_Data[[#This Row],[Age]]&lt;25,"Under 25",IF(HR_Data[[#This Row],[Age]]&lt;=34,"25-34",IF(HR_Data[[#This Row],[Age]]&lt;=44,"35-44",IF(HR_Data[[#This Row],[Age]]&lt;=54,"45-54","55+"))))</f>
        <v>25-34</v>
      </c>
      <c r="AM434" t="str">
        <f>IF(HR_Data[[#This Row],[MonthlyIncome]]&lt;3000,"Low Salary",IF(HR_Data[[#This Row],[MonthlyIncome]]&lt;=7000,"Medium Salary","High Salary"))</f>
        <v>Low Salary</v>
      </c>
      <c r="AN434" t="str">
        <f>IF(HR_Data[[#This Row],[YearsAtCompany]]&lt;2,"0-1 Years",IF(HR_Data[[#This Row],[YearsAtCompany]]&lt;=5,"2-5 Years",IF(HR_Data[[#This Row],[YearsAtCompany]]&lt;=10,"6-10 Years","10+ Years")))</f>
        <v>6-10 Years</v>
      </c>
      <c r="AO434" t="str">
        <f>IF(HR_Data[[#This Row],[JobSatisfaction]]=1,"Low",IF(HR_Data[[#This Row],[JobSatisfaction]]=2,"Medium",IF(HR_Data[[#This Row],[JobSatisfaction]]=3,"High","Very High")))</f>
        <v>High</v>
      </c>
      <c r="AP434" t="str">
        <f>IF(HR_Data[[#This Row],[WorkLifeBalance]]=1,"Bad",IF(HR_Data[[#This Row],[WorkLifeBalance]]=2,"Good",IF(HR_Data[[#This Row],[WorkLifeBalance]]=3,"Better","Best")))</f>
        <v>Better</v>
      </c>
    </row>
    <row r="435" spans="1:42"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IF(HR_Data[[#This Row],[Attrition]]="Yes",1,0)</f>
        <v>0</v>
      </c>
      <c r="AK435">
        <f>IF(HR_Data[[#This Row],[Attrition]]="No",1,0)</f>
        <v>1</v>
      </c>
      <c r="AL435" t="str">
        <f>IF(HR_Data[[#This Row],[Age]]&lt;25,"Under 25",IF(HR_Data[[#This Row],[Age]]&lt;=34,"25-34",IF(HR_Data[[#This Row],[Age]]&lt;=44,"35-44",IF(HR_Data[[#This Row],[Age]]&lt;=54,"45-54","55+"))))</f>
        <v>45-54</v>
      </c>
      <c r="AM435" t="str">
        <f>IF(HR_Data[[#This Row],[MonthlyIncome]]&lt;3000,"Low Salary",IF(HR_Data[[#This Row],[MonthlyIncome]]&lt;=7000,"Medium Salary","High Salary"))</f>
        <v>High Salary</v>
      </c>
      <c r="AN435" t="str">
        <f>IF(HR_Data[[#This Row],[YearsAtCompany]]&lt;2,"0-1 Years",IF(HR_Data[[#This Row],[YearsAtCompany]]&lt;=5,"2-5 Years",IF(HR_Data[[#This Row],[YearsAtCompany]]&lt;=10,"6-10 Years","10+ Years")))</f>
        <v>2-5 Years</v>
      </c>
      <c r="AO435" t="str">
        <f>IF(HR_Data[[#This Row],[JobSatisfaction]]=1,"Low",IF(HR_Data[[#This Row],[JobSatisfaction]]=2,"Medium",IF(HR_Data[[#This Row],[JobSatisfaction]]=3,"High","Very High")))</f>
        <v>Very High</v>
      </c>
      <c r="AP435" t="str">
        <f>IF(HR_Data[[#This Row],[WorkLifeBalance]]=1,"Bad",IF(HR_Data[[#This Row],[WorkLifeBalance]]=2,"Good",IF(HR_Data[[#This Row],[WorkLifeBalance]]=3,"Better","Best")))</f>
        <v>Better</v>
      </c>
    </row>
    <row r="436" spans="1:42"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IF(HR_Data[[#This Row],[Attrition]]="Yes",1,0)</f>
        <v>0</v>
      </c>
      <c r="AK436">
        <f>IF(HR_Data[[#This Row],[Attrition]]="No",1,0)</f>
        <v>1</v>
      </c>
      <c r="AL436" t="str">
        <f>IF(HR_Data[[#This Row],[Age]]&lt;25,"Under 25",IF(HR_Data[[#This Row],[Age]]&lt;=34,"25-34",IF(HR_Data[[#This Row],[Age]]&lt;=44,"35-44",IF(HR_Data[[#This Row],[Age]]&lt;=54,"45-54","55+"))))</f>
        <v>25-34</v>
      </c>
      <c r="AM436" t="str">
        <f>IF(HR_Data[[#This Row],[MonthlyIncome]]&lt;3000,"Low Salary",IF(HR_Data[[#This Row],[MonthlyIncome]]&lt;=7000,"Medium Salary","High Salary"))</f>
        <v>High Salary</v>
      </c>
      <c r="AN436" t="str">
        <f>IF(HR_Data[[#This Row],[YearsAtCompany]]&lt;2,"0-1 Years",IF(HR_Data[[#This Row],[YearsAtCompany]]&lt;=5,"2-5 Years",IF(HR_Data[[#This Row],[YearsAtCompany]]&lt;=10,"6-10 Years","10+ Years")))</f>
        <v>10+ Years</v>
      </c>
      <c r="AO436" t="str">
        <f>IF(HR_Data[[#This Row],[JobSatisfaction]]=1,"Low",IF(HR_Data[[#This Row],[JobSatisfaction]]=2,"Medium",IF(HR_Data[[#This Row],[JobSatisfaction]]=3,"High","Very High")))</f>
        <v>Medium</v>
      </c>
      <c r="AP436" t="str">
        <f>IF(HR_Data[[#This Row],[WorkLifeBalance]]=1,"Bad",IF(HR_Data[[#This Row],[WorkLifeBalance]]=2,"Good",IF(HR_Data[[#This Row],[WorkLifeBalance]]=3,"Better","Best")))</f>
        <v>Best</v>
      </c>
    </row>
    <row r="437" spans="1:42"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IF(HR_Data[[#This Row],[Attrition]]="Yes",1,0)</f>
        <v>1</v>
      </c>
      <c r="AK437">
        <f>IF(HR_Data[[#This Row],[Attrition]]="No",1,0)</f>
        <v>0</v>
      </c>
      <c r="AL437" t="str">
        <f>IF(HR_Data[[#This Row],[Age]]&lt;25,"Under 25",IF(HR_Data[[#This Row],[Age]]&lt;=34,"25-34",IF(HR_Data[[#This Row],[Age]]&lt;=44,"35-44",IF(HR_Data[[#This Row],[Age]]&lt;=54,"45-54","55+"))))</f>
        <v>25-34</v>
      </c>
      <c r="AM437" t="str">
        <f>IF(HR_Data[[#This Row],[MonthlyIncome]]&lt;3000,"Low Salary",IF(HR_Data[[#This Row],[MonthlyIncome]]&lt;=7000,"Medium Salary","High Salary"))</f>
        <v>High Salary</v>
      </c>
      <c r="AN437" t="str">
        <f>IF(HR_Data[[#This Row],[YearsAtCompany]]&lt;2,"0-1 Years",IF(HR_Data[[#This Row],[YearsAtCompany]]&lt;=5,"2-5 Years",IF(HR_Data[[#This Row],[YearsAtCompany]]&lt;=10,"6-10 Years","10+ Years")))</f>
        <v>6-10 Years</v>
      </c>
      <c r="AO437" t="str">
        <f>IF(HR_Data[[#This Row],[JobSatisfaction]]=1,"Low",IF(HR_Data[[#This Row],[JobSatisfaction]]=2,"Medium",IF(HR_Data[[#This Row],[JobSatisfaction]]=3,"High","Very High")))</f>
        <v>High</v>
      </c>
      <c r="AP437" t="str">
        <f>IF(HR_Data[[#This Row],[WorkLifeBalance]]=1,"Bad",IF(HR_Data[[#This Row],[WorkLifeBalance]]=2,"Good",IF(HR_Data[[#This Row],[WorkLifeBalance]]=3,"Better","Best")))</f>
        <v>Best</v>
      </c>
    </row>
    <row r="438" spans="1:42"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IF(HR_Data[[#This Row],[Attrition]]="Yes",1,0)</f>
        <v>1</v>
      </c>
      <c r="AK438">
        <f>IF(HR_Data[[#This Row],[Attrition]]="No",1,0)</f>
        <v>0</v>
      </c>
      <c r="AL438" t="str">
        <f>IF(HR_Data[[#This Row],[Age]]&lt;25,"Under 25",IF(HR_Data[[#This Row],[Age]]&lt;=34,"25-34",IF(HR_Data[[#This Row],[Age]]&lt;=44,"35-44",IF(HR_Data[[#This Row],[Age]]&lt;=54,"45-54","55+"))))</f>
        <v>25-34</v>
      </c>
      <c r="AM438" t="str">
        <f>IF(HR_Data[[#This Row],[MonthlyIncome]]&lt;3000,"Low Salary",IF(HR_Data[[#This Row],[MonthlyIncome]]&lt;=7000,"Medium Salary","High Salary"))</f>
        <v>Medium Salary</v>
      </c>
      <c r="AN438" t="str">
        <f>IF(HR_Data[[#This Row],[YearsAtCompany]]&lt;2,"0-1 Years",IF(HR_Data[[#This Row],[YearsAtCompany]]&lt;=5,"2-5 Years",IF(HR_Data[[#This Row],[YearsAtCompany]]&lt;=10,"6-10 Years","10+ Years")))</f>
        <v>2-5 Years</v>
      </c>
      <c r="AO438" t="str">
        <f>IF(HR_Data[[#This Row],[JobSatisfaction]]=1,"Low",IF(HR_Data[[#This Row],[JobSatisfaction]]=2,"Medium",IF(HR_Data[[#This Row],[JobSatisfaction]]=3,"High","Very High")))</f>
        <v>Very High</v>
      </c>
      <c r="AP438" t="str">
        <f>IF(HR_Data[[#This Row],[WorkLifeBalance]]=1,"Bad",IF(HR_Data[[#This Row],[WorkLifeBalance]]=2,"Good",IF(HR_Data[[#This Row],[WorkLifeBalance]]=3,"Better","Best")))</f>
        <v>Better</v>
      </c>
    </row>
    <row r="439" spans="1:42"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IF(HR_Data[[#This Row],[Attrition]]="Yes",1,0)</f>
        <v>0</v>
      </c>
      <c r="AK439">
        <f>IF(HR_Data[[#This Row],[Attrition]]="No",1,0)</f>
        <v>1</v>
      </c>
      <c r="AL439" t="str">
        <f>IF(HR_Data[[#This Row],[Age]]&lt;25,"Under 25",IF(HR_Data[[#This Row],[Age]]&lt;=34,"25-34",IF(HR_Data[[#This Row],[Age]]&lt;=44,"35-44",IF(HR_Data[[#This Row],[Age]]&lt;=54,"45-54","55+"))))</f>
        <v>25-34</v>
      </c>
      <c r="AM439" t="str">
        <f>IF(HR_Data[[#This Row],[MonthlyIncome]]&lt;3000,"Low Salary",IF(HR_Data[[#This Row],[MonthlyIncome]]&lt;=7000,"Medium Salary","High Salary"))</f>
        <v>Low Salary</v>
      </c>
      <c r="AN439" t="str">
        <f>IF(HR_Data[[#This Row],[YearsAtCompany]]&lt;2,"0-1 Years",IF(HR_Data[[#This Row],[YearsAtCompany]]&lt;=5,"2-5 Years",IF(HR_Data[[#This Row],[YearsAtCompany]]&lt;=10,"6-10 Years","10+ Years")))</f>
        <v>2-5 Years</v>
      </c>
      <c r="AO439" t="str">
        <f>IF(HR_Data[[#This Row],[JobSatisfaction]]=1,"Low",IF(HR_Data[[#This Row],[JobSatisfaction]]=2,"Medium",IF(HR_Data[[#This Row],[JobSatisfaction]]=3,"High","Very High")))</f>
        <v>Medium</v>
      </c>
      <c r="AP439" t="str">
        <f>IF(HR_Data[[#This Row],[WorkLifeBalance]]=1,"Bad",IF(HR_Data[[#This Row],[WorkLifeBalance]]=2,"Good",IF(HR_Data[[#This Row],[WorkLifeBalance]]=3,"Better","Best")))</f>
        <v>Better</v>
      </c>
    </row>
    <row r="440" spans="1:42"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IF(HR_Data[[#This Row],[Attrition]]="Yes",1,0)</f>
        <v>0</v>
      </c>
      <c r="AK440">
        <f>IF(HR_Data[[#This Row],[Attrition]]="No",1,0)</f>
        <v>1</v>
      </c>
      <c r="AL440" t="str">
        <f>IF(HR_Data[[#This Row],[Age]]&lt;25,"Under 25",IF(HR_Data[[#This Row],[Age]]&lt;=34,"25-34",IF(HR_Data[[#This Row],[Age]]&lt;=44,"35-44",IF(HR_Data[[#This Row],[Age]]&lt;=54,"45-54","55+"))))</f>
        <v>35-44</v>
      </c>
      <c r="AM440" t="str">
        <f>IF(HR_Data[[#This Row],[MonthlyIncome]]&lt;3000,"Low Salary",IF(HR_Data[[#This Row],[MonthlyIncome]]&lt;=7000,"Medium Salary","High Salary"))</f>
        <v>High Salary</v>
      </c>
      <c r="AN440" t="str">
        <f>IF(HR_Data[[#This Row],[YearsAtCompany]]&lt;2,"0-1 Years",IF(HR_Data[[#This Row],[YearsAtCompany]]&lt;=5,"2-5 Years",IF(HR_Data[[#This Row],[YearsAtCompany]]&lt;=10,"6-10 Years","10+ Years")))</f>
        <v>6-10 Years</v>
      </c>
      <c r="AO440" t="str">
        <f>IF(HR_Data[[#This Row],[JobSatisfaction]]=1,"Low",IF(HR_Data[[#This Row],[JobSatisfaction]]=2,"Medium",IF(HR_Data[[#This Row],[JobSatisfaction]]=3,"High","Very High")))</f>
        <v>High</v>
      </c>
      <c r="AP440" t="str">
        <f>IF(HR_Data[[#This Row],[WorkLifeBalance]]=1,"Bad",IF(HR_Data[[#This Row],[WorkLifeBalance]]=2,"Good",IF(HR_Data[[#This Row],[WorkLifeBalance]]=3,"Better","Best")))</f>
        <v>Better</v>
      </c>
    </row>
    <row r="441" spans="1:42"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IF(HR_Data[[#This Row],[Attrition]]="Yes",1,0)</f>
        <v>1</v>
      </c>
      <c r="AK441">
        <f>IF(HR_Data[[#This Row],[Attrition]]="No",1,0)</f>
        <v>0</v>
      </c>
      <c r="AL441" t="str">
        <f>IF(HR_Data[[#This Row],[Age]]&lt;25,"Under 25",IF(HR_Data[[#This Row],[Age]]&lt;=34,"25-34",IF(HR_Data[[#This Row],[Age]]&lt;=44,"35-44",IF(HR_Data[[#This Row],[Age]]&lt;=54,"45-54","55+"))))</f>
        <v>25-34</v>
      </c>
      <c r="AM441" t="str">
        <f>IF(HR_Data[[#This Row],[MonthlyIncome]]&lt;3000,"Low Salary",IF(HR_Data[[#This Row],[MonthlyIncome]]&lt;=7000,"Medium Salary","High Salary"))</f>
        <v>High Salary</v>
      </c>
      <c r="AN441" t="str">
        <f>IF(HR_Data[[#This Row],[YearsAtCompany]]&lt;2,"0-1 Years",IF(HR_Data[[#This Row],[YearsAtCompany]]&lt;=5,"2-5 Years",IF(HR_Data[[#This Row],[YearsAtCompany]]&lt;=10,"6-10 Years","10+ Years")))</f>
        <v>0-1 Years</v>
      </c>
      <c r="AO441" t="str">
        <f>IF(HR_Data[[#This Row],[JobSatisfaction]]=1,"Low",IF(HR_Data[[#This Row],[JobSatisfaction]]=2,"Medium",IF(HR_Data[[#This Row],[JobSatisfaction]]=3,"High","Very High")))</f>
        <v>High</v>
      </c>
      <c r="AP441" t="str">
        <f>IF(HR_Data[[#This Row],[WorkLifeBalance]]=1,"Bad",IF(HR_Data[[#This Row],[WorkLifeBalance]]=2,"Good",IF(HR_Data[[#This Row],[WorkLifeBalance]]=3,"Better","Best")))</f>
        <v>Better</v>
      </c>
    </row>
    <row r="442" spans="1:42"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IF(HR_Data[[#This Row],[Attrition]]="Yes",1,0)</f>
        <v>1</v>
      </c>
      <c r="AK442">
        <f>IF(HR_Data[[#This Row],[Attrition]]="No",1,0)</f>
        <v>0</v>
      </c>
      <c r="AL442" t="str">
        <f>IF(HR_Data[[#This Row],[Age]]&lt;25,"Under 25",IF(HR_Data[[#This Row],[Age]]&lt;=34,"25-34",IF(HR_Data[[#This Row],[Age]]&lt;=44,"35-44",IF(HR_Data[[#This Row],[Age]]&lt;=54,"45-54","55+"))))</f>
        <v>25-34</v>
      </c>
      <c r="AM442" t="str">
        <f>IF(HR_Data[[#This Row],[MonthlyIncome]]&lt;3000,"Low Salary",IF(HR_Data[[#This Row],[MonthlyIncome]]&lt;=7000,"Medium Salary","High Salary"))</f>
        <v>High Salary</v>
      </c>
      <c r="AN442" t="str">
        <f>IF(HR_Data[[#This Row],[YearsAtCompany]]&lt;2,"0-1 Years",IF(HR_Data[[#This Row],[YearsAtCompany]]&lt;=5,"2-5 Years",IF(HR_Data[[#This Row],[YearsAtCompany]]&lt;=10,"6-10 Years","10+ Years")))</f>
        <v>2-5 Years</v>
      </c>
      <c r="AO442" t="str">
        <f>IF(HR_Data[[#This Row],[JobSatisfaction]]=1,"Low",IF(HR_Data[[#This Row],[JobSatisfaction]]=2,"Medium",IF(HR_Data[[#This Row],[JobSatisfaction]]=3,"High","Very High")))</f>
        <v>Low</v>
      </c>
      <c r="AP442" t="str">
        <f>IF(HR_Data[[#This Row],[WorkLifeBalance]]=1,"Bad",IF(HR_Data[[#This Row],[WorkLifeBalance]]=2,"Good",IF(HR_Data[[#This Row],[WorkLifeBalance]]=3,"Better","Best")))</f>
        <v>Better</v>
      </c>
    </row>
    <row r="443" spans="1:42"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IF(HR_Data[[#This Row],[Attrition]]="Yes",1,0)</f>
        <v>0</v>
      </c>
      <c r="AK443">
        <f>IF(HR_Data[[#This Row],[Attrition]]="No",1,0)</f>
        <v>1</v>
      </c>
      <c r="AL443" t="str">
        <f>IF(HR_Data[[#This Row],[Age]]&lt;25,"Under 25",IF(HR_Data[[#This Row],[Age]]&lt;=34,"25-34",IF(HR_Data[[#This Row],[Age]]&lt;=44,"35-44",IF(HR_Data[[#This Row],[Age]]&lt;=54,"45-54","55+"))))</f>
        <v>35-44</v>
      </c>
      <c r="AM443" t="str">
        <f>IF(HR_Data[[#This Row],[MonthlyIncome]]&lt;3000,"Low Salary",IF(HR_Data[[#This Row],[MonthlyIncome]]&lt;=7000,"Medium Salary","High Salary"))</f>
        <v>Low Salary</v>
      </c>
      <c r="AN443" t="str">
        <f>IF(HR_Data[[#This Row],[YearsAtCompany]]&lt;2,"0-1 Years",IF(HR_Data[[#This Row],[YearsAtCompany]]&lt;=5,"2-5 Years",IF(HR_Data[[#This Row],[YearsAtCompany]]&lt;=10,"6-10 Years","10+ Years")))</f>
        <v>2-5 Years</v>
      </c>
      <c r="AO443" t="str">
        <f>IF(HR_Data[[#This Row],[JobSatisfaction]]=1,"Low",IF(HR_Data[[#This Row],[JobSatisfaction]]=2,"Medium",IF(HR_Data[[#This Row],[JobSatisfaction]]=3,"High","Very High")))</f>
        <v>High</v>
      </c>
      <c r="AP443" t="str">
        <f>IF(HR_Data[[#This Row],[WorkLifeBalance]]=1,"Bad",IF(HR_Data[[#This Row],[WorkLifeBalance]]=2,"Good",IF(HR_Data[[#This Row],[WorkLifeBalance]]=3,"Better","Best")))</f>
        <v>Better</v>
      </c>
    </row>
    <row r="444" spans="1:42"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IF(HR_Data[[#This Row],[Attrition]]="Yes",1,0)</f>
        <v>0</v>
      </c>
      <c r="AK444">
        <f>IF(HR_Data[[#This Row],[Attrition]]="No",1,0)</f>
        <v>1</v>
      </c>
      <c r="AL444" t="str">
        <f>IF(HR_Data[[#This Row],[Age]]&lt;25,"Under 25",IF(HR_Data[[#This Row],[Age]]&lt;=34,"25-34",IF(HR_Data[[#This Row],[Age]]&lt;=44,"35-44",IF(HR_Data[[#This Row],[Age]]&lt;=54,"45-54","55+"))))</f>
        <v>35-44</v>
      </c>
      <c r="AM444" t="str">
        <f>IF(HR_Data[[#This Row],[MonthlyIncome]]&lt;3000,"Low Salary",IF(HR_Data[[#This Row],[MonthlyIncome]]&lt;=7000,"Medium Salary","High Salary"))</f>
        <v>High Salary</v>
      </c>
      <c r="AN444" t="str">
        <f>IF(HR_Data[[#This Row],[YearsAtCompany]]&lt;2,"0-1 Years",IF(HR_Data[[#This Row],[YearsAtCompany]]&lt;=5,"2-5 Years",IF(HR_Data[[#This Row],[YearsAtCompany]]&lt;=10,"6-10 Years","10+ Years")))</f>
        <v>6-10 Years</v>
      </c>
      <c r="AO444" t="str">
        <f>IF(HR_Data[[#This Row],[JobSatisfaction]]=1,"Low",IF(HR_Data[[#This Row],[JobSatisfaction]]=2,"Medium",IF(HR_Data[[#This Row],[JobSatisfaction]]=3,"High","Very High")))</f>
        <v>Very High</v>
      </c>
      <c r="AP444" t="str">
        <f>IF(HR_Data[[#This Row],[WorkLifeBalance]]=1,"Bad",IF(HR_Data[[#This Row],[WorkLifeBalance]]=2,"Good",IF(HR_Data[[#This Row],[WorkLifeBalance]]=3,"Better","Best")))</f>
        <v>Good</v>
      </c>
    </row>
    <row r="445" spans="1:42"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IF(HR_Data[[#This Row],[Attrition]]="Yes",1,0)</f>
        <v>1</v>
      </c>
      <c r="AK445">
        <f>IF(HR_Data[[#This Row],[Attrition]]="No",1,0)</f>
        <v>0</v>
      </c>
      <c r="AL445" t="str">
        <f>IF(HR_Data[[#This Row],[Age]]&lt;25,"Under 25",IF(HR_Data[[#This Row],[Age]]&lt;=34,"25-34",IF(HR_Data[[#This Row],[Age]]&lt;=44,"35-44",IF(HR_Data[[#This Row],[Age]]&lt;=54,"45-54","55+"))))</f>
        <v>Under 25</v>
      </c>
      <c r="AM445" t="str">
        <f>IF(HR_Data[[#This Row],[MonthlyIncome]]&lt;3000,"Low Salary",IF(HR_Data[[#This Row],[MonthlyIncome]]&lt;=7000,"Medium Salary","High Salary"))</f>
        <v>Medium Salary</v>
      </c>
      <c r="AN445" t="str">
        <f>IF(HR_Data[[#This Row],[YearsAtCompany]]&lt;2,"0-1 Years",IF(HR_Data[[#This Row],[YearsAtCompany]]&lt;=5,"2-5 Years",IF(HR_Data[[#This Row],[YearsAtCompany]]&lt;=10,"6-10 Years","10+ Years")))</f>
        <v>2-5 Years</v>
      </c>
      <c r="AO445" t="str">
        <f>IF(HR_Data[[#This Row],[JobSatisfaction]]=1,"Low",IF(HR_Data[[#This Row],[JobSatisfaction]]=2,"Medium",IF(HR_Data[[#This Row],[JobSatisfaction]]=3,"High","Very High")))</f>
        <v>High</v>
      </c>
      <c r="AP445" t="str">
        <f>IF(HR_Data[[#This Row],[WorkLifeBalance]]=1,"Bad",IF(HR_Data[[#This Row],[WorkLifeBalance]]=2,"Good",IF(HR_Data[[#This Row],[WorkLifeBalance]]=3,"Better","Best")))</f>
        <v>Better</v>
      </c>
    </row>
    <row r="446" spans="1:42"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IF(HR_Data[[#This Row],[Attrition]]="Yes",1,0)</f>
        <v>0</v>
      </c>
      <c r="AK446">
        <f>IF(HR_Data[[#This Row],[Attrition]]="No",1,0)</f>
        <v>1</v>
      </c>
      <c r="AL446" t="str">
        <f>IF(HR_Data[[#This Row],[Age]]&lt;25,"Under 25",IF(HR_Data[[#This Row],[Age]]&lt;=34,"25-34",IF(HR_Data[[#This Row],[Age]]&lt;=44,"35-44",IF(HR_Data[[#This Row],[Age]]&lt;=54,"45-54","55+"))))</f>
        <v>45-54</v>
      </c>
      <c r="AM446" t="str">
        <f>IF(HR_Data[[#This Row],[MonthlyIncome]]&lt;3000,"Low Salary",IF(HR_Data[[#This Row],[MonthlyIncome]]&lt;=7000,"Medium Salary","High Salary"))</f>
        <v>Medium Salary</v>
      </c>
      <c r="AN446" t="str">
        <f>IF(HR_Data[[#This Row],[YearsAtCompany]]&lt;2,"0-1 Years",IF(HR_Data[[#This Row],[YearsAtCompany]]&lt;=5,"2-5 Years",IF(HR_Data[[#This Row],[YearsAtCompany]]&lt;=10,"6-10 Years","10+ Years")))</f>
        <v>6-10 Years</v>
      </c>
      <c r="AO446" t="str">
        <f>IF(HR_Data[[#This Row],[JobSatisfaction]]=1,"Low",IF(HR_Data[[#This Row],[JobSatisfaction]]=2,"Medium",IF(HR_Data[[#This Row],[JobSatisfaction]]=3,"High","Very High")))</f>
        <v>Very High</v>
      </c>
      <c r="AP446" t="str">
        <f>IF(HR_Data[[#This Row],[WorkLifeBalance]]=1,"Bad",IF(HR_Data[[#This Row],[WorkLifeBalance]]=2,"Good",IF(HR_Data[[#This Row],[WorkLifeBalance]]=3,"Better","Best")))</f>
        <v>Better</v>
      </c>
    </row>
    <row r="447" spans="1:42"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IF(HR_Data[[#This Row],[Attrition]]="Yes",1,0)</f>
        <v>0</v>
      </c>
      <c r="AK447">
        <f>IF(HR_Data[[#This Row],[Attrition]]="No",1,0)</f>
        <v>1</v>
      </c>
      <c r="AL447" t="str">
        <f>IF(HR_Data[[#This Row],[Age]]&lt;25,"Under 25",IF(HR_Data[[#This Row],[Age]]&lt;=34,"25-34",IF(HR_Data[[#This Row],[Age]]&lt;=44,"35-44",IF(HR_Data[[#This Row],[Age]]&lt;=54,"45-54","55+"))))</f>
        <v>55+</v>
      </c>
      <c r="AM447" t="str">
        <f>IF(HR_Data[[#This Row],[MonthlyIncome]]&lt;3000,"Low Salary",IF(HR_Data[[#This Row],[MonthlyIncome]]&lt;=7000,"Medium Salary","High Salary"))</f>
        <v>High Salary</v>
      </c>
      <c r="AN447" t="str">
        <f>IF(HR_Data[[#This Row],[YearsAtCompany]]&lt;2,"0-1 Years",IF(HR_Data[[#This Row],[YearsAtCompany]]&lt;=5,"2-5 Years",IF(HR_Data[[#This Row],[YearsAtCompany]]&lt;=10,"6-10 Years","10+ Years")))</f>
        <v>6-10 Years</v>
      </c>
      <c r="AO447" t="str">
        <f>IF(HR_Data[[#This Row],[JobSatisfaction]]=1,"Low",IF(HR_Data[[#This Row],[JobSatisfaction]]=2,"Medium",IF(HR_Data[[#This Row],[JobSatisfaction]]=3,"High","Very High")))</f>
        <v>Medium</v>
      </c>
      <c r="AP447" t="str">
        <f>IF(HR_Data[[#This Row],[WorkLifeBalance]]=1,"Bad",IF(HR_Data[[#This Row],[WorkLifeBalance]]=2,"Good",IF(HR_Data[[#This Row],[WorkLifeBalance]]=3,"Better","Best")))</f>
        <v>Better</v>
      </c>
    </row>
    <row r="448" spans="1:42"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IF(HR_Data[[#This Row],[Attrition]]="Yes",1,0)</f>
        <v>0</v>
      </c>
      <c r="AK448">
        <f>IF(HR_Data[[#This Row],[Attrition]]="No",1,0)</f>
        <v>1</v>
      </c>
      <c r="AL448" t="str">
        <f>IF(HR_Data[[#This Row],[Age]]&lt;25,"Under 25",IF(HR_Data[[#This Row],[Age]]&lt;=34,"25-34",IF(HR_Data[[#This Row],[Age]]&lt;=44,"35-44",IF(HR_Data[[#This Row],[Age]]&lt;=54,"45-54","55+"))))</f>
        <v>35-44</v>
      </c>
      <c r="AM448" t="str">
        <f>IF(HR_Data[[#This Row],[MonthlyIncome]]&lt;3000,"Low Salary",IF(HR_Data[[#This Row],[MonthlyIncome]]&lt;=7000,"Medium Salary","High Salary"))</f>
        <v>Medium Salary</v>
      </c>
      <c r="AN448" t="str">
        <f>IF(HR_Data[[#This Row],[YearsAtCompany]]&lt;2,"0-1 Years",IF(HR_Data[[#This Row],[YearsAtCompany]]&lt;=5,"2-5 Years",IF(HR_Data[[#This Row],[YearsAtCompany]]&lt;=10,"6-10 Years","10+ Years")))</f>
        <v>10+ Years</v>
      </c>
      <c r="AO448" t="str">
        <f>IF(HR_Data[[#This Row],[JobSatisfaction]]=1,"Low",IF(HR_Data[[#This Row],[JobSatisfaction]]=2,"Medium",IF(HR_Data[[#This Row],[JobSatisfaction]]=3,"High","Very High")))</f>
        <v>Very High</v>
      </c>
      <c r="AP448" t="str">
        <f>IF(HR_Data[[#This Row],[WorkLifeBalance]]=1,"Bad",IF(HR_Data[[#This Row],[WorkLifeBalance]]=2,"Good",IF(HR_Data[[#This Row],[WorkLifeBalance]]=3,"Better","Best")))</f>
        <v>Better</v>
      </c>
    </row>
    <row r="449" spans="1:42"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IF(HR_Data[[#This Row],[Attrition]]="Yes",1,0)</f>
        <v>0</v>
      </c>
      <c r="AK449">
        <f>IF(HR_Data[[#This Row],[Attrition]]="No",1,0)</f>
        <v>1</v>
      </c>
      <c r="AL449" t="str">
        <f>IF(HR_Data[[#This Row],[Age]]&lt;25,"Under 25",IF(HR_Data[[#This Row],[Age]]&lt;=34,"25-34",IF(HR_Data[[#This Row],[Age]]&lt;=44,"35-44",IF(HR_Data[[#This Row],[Age]]&lt;=54,"45-54","55+"))))</f>
        <v>35-44</v>
      </c>
      <c r="AM449" t="str">
        <f>IF(HR_Data[[#This Row],[MonthlyIncome]]&lt;3000,"Low Salary",IF(HR_Data[[#This Row],[MonthlyIncome]]&lt;=7000,"Medium Salary","High Salary"))</f>
        <v>Medium Salary</v>
      </c>
      <c r="AN449" t="str">
        <f>IF(HR_Data[[#This Row],[YearsAtCompany]]&lt;2,"0-1 Years",IF(HR_Data[[#This Row],[YearsAtCompany]]&lt;=5,"2-5 Years",IF(HR_Data[[#This Row],[YearsAtCompany]]&lt;=10,"6-10 Years","10+ Years")))</f>
        <v>10+ Years</v>
      </c>
      <c r="AO449" t="str">
        <f>IF(HR_Data[[#This Row],[JobSatisfaction]]=1,"Low",IF(HR_Data[[#This Row],[JobSatisfaction]]=2,"Medium",IF(HR_Data[[#This Row],[JobSatisfaction]]=3,"High","Very High")))</f>
        <v>High</v>
      </c>
      <c r="AP449" t="str">
        <f>IF(HR_Data[[#This Row],[WorkLifeBalance]]=1,"Bad",IF(HR_Data[[#This Row],[WorkLifeBalance]]=2,"Good",IF(HR_Data[[#This Row],[WorkLifeBalance]]=3,"Better","Best")))</f>
        <v>Better</v>
      </c>
    </row>
    <row r="450" spans="1:42"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IF(HR_Data[[#This Row],[Attrition]]="Yes",1,0)</f>
        <v>0</v>
      </c>
      <c r="AK450">
        <f>IF(HR_Data[[#This Row],[Attrition]]="No",1,0)</f>
        <v>1</v>
      </c>
      <c r="AL450" t="str">
        <f>IF(HR_Data[[#This Row],[Age]]&lt;25,"Under 25",IF(HR_Data[[#This Row],[Age]]&lt;=34,"25-34",IF(HR_Data[[#This Row],[Age]]&lt;=44,"35-44",IF(HR_Data[[#This Row],[Age]]&lt;=54,"45-54","55+"))))</f>
        <v>35-44</v>
      </c>
      <c r="AM450" t="str">
        <f>IF(HR_Data[[#This Row],[MonthlyIncome]]&lt;3000,"Low Salary",IF(HR_Data[[#This Row],[MonthlyIncome]]&lt;=7000,"Medium Salary","High Salary"))</f>
        <v>High Salary</v>
      </c>
      <c r="AN450" t="str">
        <f>IF(HR_Data[[#This Row],[YearsAtCompany]]&lt;2,"0-1 Years",IF(HR_Data[[#This Row],[YearsAtCompany]]&lt;=5,"2-5 Years",IF(HR_Data[[#This Row],[YearsAtCompany]]&lt;=10,"6-10 Years","10+ Years")))</f>
        <v>10+ Years</v>
      </c>
      <c r="AO450" t="str">
        <f>IF(HR_Data[[#This Row],[JobSatisfaction]]=1,"Low",IF(HR_Data[[#This Row],[JobSatisfaction]]=2,"Medium",IF(HR_Data[[#This Row],[JobSatisfaction]]=3,"High","Very High")))</f>
        <v>High</v>
      </c>
      <c r="AP450" t="str">
        <f>IF(HR_Data[[#This Row],[WorkLifeBalance]]=1,"Bad",IF(HR_Data[[#This Row],[WorkLifeBalance]]=2,"Good",IF(HR_Data[[#This Row],[WorkLifeBalance]]=3,"Better","Best")))</f>
        <v>Better</v>
      </c>
    </row>
    <row r="451" spans="1:42"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IF(HR_Data[[#This Row],[Attrition]]="Yes",1,0)</f>
        <v>0</v>
      </c>
      <c r="AK451">
        <f>IF(HR_Data[[#This Row],[Attrition]]="No",1,0)</f>
        <v>1</v>
      </c>
      <c r="AL451" t="str">
        <f>IF(HR_Data[[#This Row],[Age]]&lt;25,"Under 25",IF(HR_Data[[#This Row],[Age]]&lt;=34,"25-34",IF(HR_Data[[#This Row],[Age]]&lt;=44,"35-44",IF(HR_Data[[#This Row],[Age]]&lt;=54,"45-54","55+"))))</f>
        <v>35-44</v>
      </c>
      <c r="AM451" t="str">
        <f>IF(HR_Data[[#This Row],[MonthlyIncome]]&lt;3000,"Low Salary",IF(HR_Data[[#This Row],[MonthlyIncome]]&lt;=7000,"Medium Salary","High Salary"))</f>
        <v>Medium Salary</v>
      </c>
      <c r="AN451" t="str">
        <f>IF(HR_Data[[#This Row],[YearsAtCompany]]&lt;2,"0-1 Years",IF(HR_Data[[#This Row],[YearsAtCompany]]&lt;=5,"2-5 Years",IF(HR_Data[[#This Row],[YearsAtCompany]]&lt;=10,"6-10 Years","10+ Years")))</f>
        <v>6-10 Years</v>
      </c>
      <c r="AO451" t="str">
        <f>IF(HR_Data[[#This Row],[JobSatisfaction]]=1,"Low",IF(HR_Data[[#This Row],[JobSatisfaction]]=2,"Medium",IF(HR_Data[[#This Row],[JobSatisfaction]]=3,"High","Very High")))</f>
        <v>High</v>
      </c>
      <c r="AP451" t="str">
        <f>IF(HR_Data[[#This Row],[WorkLifeBalance]]=1,"Bad",IF(HR_Data[[#This Row],[WorkLifeBalance]]=2,"Good",IF(HR_Data[[#This Row],[WorkLifeBalance]]=3,"Better","Best")))</f>
        <v>Better</v>
      </c>
    </row>
    <row r="452" spans="1:42"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IF(HR_Data[[#This Row],[Attrition]]="Yes",1,0)</f>
        <v>0</v>
      </c>
      <c r="AK452">
        <f>IF(HR_Data[[#This Row],[Attrition]]="No",1,0)</f>
        <v>1</v>
      </c>
      <c r="AL452" t="str">
        <f>IF(HR_Data[[#This Row],[Age]]&lt;25,"Under 25",IF(HR_Data[[#This Row],[Age]]&lt;=34,"25-34",IF(HR_Data[[#This Row],[Age]]&lt;=44,"35-44",IF(HR_Data[[#This Row],[Age]]&lt;=54,"45-54","55+"))))</f>
        <v>25-34</v>
      </c>
      <c r="AM452" t="str">
        <f>IF(HR_Data[[#This Row],[MonthlyIncome]]&lt;3000,"Low Salary",IF(HR_Data[[#This Row],[MonthlyIncome]]&lt;=7000,"Medium Salary","High Salary"))</f>
        <v>Medium Salary</v>
      </c>
      <c r="AN452" t="str">
        <f>IF(HR_Data[[#This Row],[YearsAtCompany]]&lt;2,"0-1 Years",IF(HR_Data[[#This Row],[YearsAtCompany]]&lt;=5,"2-5 Years",IF(HR_Data[[#This Row],[YearsAtCompany]]&lt;=10,"6-10 Years","10+ Years")))</f>
        <v>6-10 Years</v>
      </c>
      <c r="AO452" t="str">
        <f>IF(HR_Data[[#This Row],[JobSatisfaction]]=1,"Low",IF(HR_Data[[#This Row],[JobSatisfaction]]=2,"Medium",IF(HR_Data[[#This Row],[JobSatisfaction]]=3,"High","Very High")))</f>
        <v>Very High</v>
      </c>
      <c r="AP452" t="str">
        <f>IF(HR_Data[[#This Row],[WorkLifeBalance]]=1,"Bad",IF(HR_Data[[#This Row],[WorkLifeBalance]]=2,"Good",IF(HR_Data[[#This Row],[WorkLifeBalance]]=3,"Better","Best")))</f>
        <v>Best</v>
      </c>
    </row>
    <row r="453" spans="1:42"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IF(HR_Data[[#This Row],[Attrition]]="Yes",1,0)</f>
        <v>0</v>
      </c>
      <c r="AK453">
        <f>IF(HR_Data[[#This Row],[Attrition]]="No",1,0)</f>
        <v>1</v>
      </c>
      <c r="AL453" t="str">
        <f>IF(HR_Data[[#This Row],[Age]]&lt;25,"Under 25",IF(HR_Data[[#This Row],[Age]]&lt;=34,"25-34",IF(HR_Data[[#This Row],[Age]]&lt;=44,"35-44",IF(HR_Data[[#This Row],[Age]]&lt;=54,"45-54","55+"))))</f>
        <v>35-44</v>
      </c>
      <c r="AM453" t="str">
        <f>IF(HR_Data[[#This Row],[MonthlyIncome]]&lt;3000,"Low Salary",IF(HR_Data[[#This Row],[MonthlyIncome]]&lt;=7000,"Medium Salary","High Salary"))</f>
        <v>High Salary</v>
      </c>
      <c r="AN453" t="str">
        <f>IF(HR_Data[[#This Row],[YearsAtCompany]]&lt;2,"0-1 Years",IF(HR_Data[[#This Row],[YearsAtCompany]]&lt;=5,"2-5 Years",IF(HR_Data[[#This Row],[YearsAtCompany]]&lt;=10,"6-10 Years","10+ Years")))</f>
        <v>6-10 Years</v>
      </c>
      <c r="AO453" t="str">
        <f>IF(HR_Data[[#This Row],[JobSatisfaction]]=1,"Low",IF(HR_Data[[#This Row],[JobSatisfaction]]=2,"Medium",IF(HR_Data[[#This Row],[JobSatisfaction]]=3,"High","Very High")))</f>
        <v>Low</v>
      </c>
      <c r="AP453" t="str">
        <f>IF(HR_Data[[#This Row],[WorkLifeBalance]]=1,"Bad",IF(HR_Data[[#This Row],[WorkLifeBalance]]=2,"Good",IF(HR_Data[[#This Row],[WorkLifeBalance]]=3,"Better","Best")))</f>
        <v>Good</v>
      </c>
    </row>
    <row r="454" spans="1:42"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IF(HR_Data[[#This Row],[Attrition]]="Yes",1,0)</f>
        <v>0</v>
      </c>
      <c r="AK454">
        <f>IF(HR_Data[[#This Row],[Attrition]]="No",1,0)</f>
        <v>1</v>
      </c>
      <c r="AL454" t="str">
        <f>IF(HR_Data[[#This Row],[Age]]&lt;25,"Under 25",IF(HR_Data[[#This Row],[Age]]&lt;=34,"25-34",IF(HR_Data[[#This Row],[Age]]&lt;=44,"35-44",IF(HR_Data[[#This Row],[Age]]&lt;=54,"45-54","55+"))))</f>
        <v>45-54</v>
      </c>
      <c r="AM454" t="str">
        <f>IF(HR_Data[[#This Row],[MonthlyIncome]]&lt;3000,"Low Salary",IF(HR_Data[[#This Row],[MonthlyIncome]]&lt;=7000,"Medium Salary","High Salary"))</f>
        <v>Medium Salary</v>
      </c>
      <c r="AN454" t="str">
        <f>IF(HR_Data[[#This Row],[YearsAtCompany]]&lt;2,"0-1 Years",IF(HR_Data[[#This Row],[YearsAtCompany]]&lt;=5,"2-5 Years",IF(HR_Data[[#This Row],[YearsAtCompany]]&lt;=10,"6-10 Years","10+ Years")))</f>
        <v>6-10 Years</v>
      </c>
      <c r="AO454" t="str">
        <f>IF(HR_Data[[#This Row],[JobSatisfaction]]=1,"Low",IF(HR_Data[[#This Row],[JobSatisfaction]]=2,"Medium",IF(HR_Data[[#This Row],[JobSatisfaction]]=3,"High","Very High")))</f>
        <v>Medium</v>
      </c>
      <c r="AP454" t="str">
        <f>IF(HR_Data[[#This Row],[WorkLifeBalance]]=1,"Bad",IF(HR_Data[[#This Row],[WorkLifeBalance]]=2,"Good",IF(HR_Data[[#This Row],[WorkLifeBalance]]=3,"Better","Best")))</f>
        <v>Best</v>
      </c>
    </row>
    <row r="455" spans="1:42"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IF(HR_Data[[#This Row],[Attrition]]="Yes",1,0)</f>
        <v>1</v>
      </c>
      <c r="AK455">
        <f>IF(HR_Data[[#This Row],[Attrition]]="No",1,0)</f>
        <v>0</v>
      </c>
      <c r="AL455" t="str">
        <f>IF(HR_Data[[#This Row],[Age]]&lt;25,"Under 25",IF(HR_Data[[#This Row],[Age]]&lt;=34,"25-34",IF(HR_Data[[#This Row],[Age]]&lt;=44,"35-44",IF(HR_Data[[#This Row],[Age]]&lt;=54,"45-54","55+"))))</f>
        <v>25-34</v>
      </c>
      <c r="AM455" t="str">
        <f>IF(HR_Data[[#This Row],[MonthlyIncome]]&lt;3000,"Low Salary",IF(HR_Data[[#This Row],[MonthlyIncome]]&lt;=7000,"Medium Salary","High Salary"))</f>
        <v>Low Salary</v>
      </c>
      <c r="AN455" t="str">
        <f>IF(HR_Data[[#This Row],[YearsAtCompany]]&lt;2,"0-1 Years",IF(HR_Data[[#This Row],[YearsAtCompany]]&lt;=5,"2-5 Years",IF(HR_Data[[#This Row],[YearsAtCompany]]&lt;=10,"6-10 Years","10+ Years")))</f>
        <v>6-10 Years</v>
      </c>
      <c r="AO455" t="str">
        <f>IF(HR_Data[[#This Row],[JobSatisfaction]]=1,"Low",IF(HR_Data[[#This Row],[JobSatisfaction]]=2,"Medium",IF(HR_Data[[#This Row],[JobSatisfaction]]=3,"High","Very High")))</f>
        <v>High</v>
      </c>
      <c r="AP455" t="str">
        <f>IF(HR_Data[[#This Row],[WorkLifeBalance]]=1,"Bad",IF(HR_Data[[#This Row],[WorkLifeBalance]]=2,"Good",IF(HR_Data[[#This Row],[WorkLifeBalance]]=3,"Better","Best")))</f>
        <v>Good</v>
      </c>
    </row>
    <row r="456" spans="1:42"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IF(HR_Data[[#This Row],[Attrition]]="Yes",1,0)</f>
        <v>0</v>
      </c>
      <c r="AK456">
        <f>IF(HR_Data[[#This Row],[Attrition]]="No",1,0)</f>
        <v>1</v>
      </c>
      <c r="AL456" t="str">
        <f>IF(HR_Data[[#This Row],[Age]]&lt;25,"Under 25",IF(HR_Data[[#This Row],[Age]]&lt;=34,"25-34",IF(HR_Data[[#This Row],[Age]]&lt;=44,"35-44",IF(HR_Data[[#This Row],[Age]]&lt;=54,"45-54","55+"))))</f>
        <v>25-34</v>
      </c>
      <c r="AM456" t="str">
        <f>IF(HR_Data[[#This Row],[MonthlyIncome]]&lt;3000,"Low Salary",IF(HR_Data[[#This Row],[MonthlyIncome]]&lt;=7000,"Medium Salary","High Salary"))</f>
        <v>Medium Salary</v>
      </c>
      <c r="AN456" t="str">
        <f>IF(HR_Data[[#This Row],[YearsAtCompany]]&lt;2,"0-1 Years",IF(HR_Data[[#This Row],[YearsAtCompany]]&lt;=5,"2-5 Years",IF(HR_Data[[#This Row],[YearsAtCompany]]&lt;=10,"6-10 Years","10+ Years")))</f>
        <v>2-5 Years</v>
      </c>
      <c r="AO456" t="str">
        <f>IF(HR_Data[[#This Row],[JobSatisfaction]]=1,"Low",IF(HR_Data[[#This Row],[JobSatisfaction]]=2,"Medium",IF(HR_Data[[#This Row],[JobSatisfaction]]=3,"High","Very High")))</f>
        <v>Very High</v>
      </c>
      <c r="AP456" t="str">
        <f>IF(HR_Data[[#This Row],[WorkLifeBalance]]=1,"Bad",IF(HR_Data[[#This Row],[WorkLifeBalance]]=2,"Good",IF(HR_Data[[#This Row],[WorkLifeBalance]]=3,"Better","Best")))</f>
        <v>Best</v>
      </c>
    </row>
    <row r="457" spans="1:42"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IF(HR_Data[[#This Row],[Attrition]]="Yes",1,0)</f>
        <v>0</v>
      </c>
      <c r="AK457">
        <f>IF(HR_Data[[#This Row],[Attrition]]="No",1,0)</f>
        <v>1</v>
      </c>
      <c r="AL457" t="str">
        <f>IF(HR_Data[[#This Row],[Age]]&lt;25,"Under 25",IF(HR_Data[[#This Row],[Age]]&lt;=34,"25-34",IF(HR_Data[[#This Row],[Age]]&lt;=44,"35-44",IF(HR_Data[[#This Row],[Age]]&lt;=54,"45-54","55+"))))</f>
        <v>25-34</v>
      </c>
      <c r="AM457" t="str">
        <f>IF(HR_Data[[#This Row],[MonthlyIncome]]&lt;3000,"Low Salary",IF(HR_Data[[#This Row],[MonthlyIncome]]&lt;=7000,"Medium Salary","High Salary"))</f>
        <v>High Salary</v>
      </c>
      <c r="AN457" t="str">
        <f>IF(HR_Data[[#This Row],[YearsAtCompany]]&lt;2,"0-1 Years",IF(HR_Data[[#This Row],[YearsAtCompany]]&lt;=5,"2-5 Years",IF(HR_Data[[#This Row],[YearsAtCompany]]&lt;=10,"6-10 Years","10+ Years")))</f>
        <v>6-10 Years</v>
      </c>
      <c r="AO457" t="str">
        <f>IF(HR_Data[[#This Row],[JobSatisfaction]]=1,"Low",IF(HR_Data[[#This Row],[JobSatisfaction]]=2,"Medium",IF(HR_Data[[#This Row],[JobSatisfaction]]=3,"High","Very High")))</f>
        <v>High</v>
      </c>
      <c r="AP457" t="str">
        <f>IF(HR_Data[[#This Row],[WorkLifeBalance]]=1,"Bad",IF(HR_Data[[#This Row],[WorkLifeBalance]]=2,"Good",IF(HR_Data[[#This Row],[WorkLifeBalance]]=3,"Better","Best")))</f>
        <v>Better</v>
      </c>
    </row>
    <row r="458" spans="1:42"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IF(HR_Data[[#This Row],[Attrition]]="Yes",1,0)</f>
        <v>0</v>
      </c>
      <c r="AK458">
        <f>IF(HR_Data[[#This Row],[Attrition]]="No",1,0)</f>
        <v>1</v>
      </c>
      <c r="AL458" t="str">
        <f>IF(HR_Data[[#This Row],[Age]]&lt;25,"Under 25",IF(HR_Data[[#This Row],[Age]]&lt;=34,"25-34",IF(HR_Data[[#This Row],[Age]]&lt;=44,"35-44",IF(HR_Data[[#This Row],[Age]]&lt;=54,"45-54","55+"))))</f>
        <v>25-34</v>
      </c>
      <c r="AM458" t="str">
        <f>IF(HR_Data[[#This Row],[MonthlyIncome]]&lt;3000,"Low Salary",IF(HR_Data[[#This Row],[MonthlyIncome]]&lt;=7000,"Medium Salary","High Salary"))</f>
        <v>High Salary</v>
      </c>
      <c r="AN458" t="str">
        <f>IF(HR_Data[[#This Row],[YearsAtCompany]]&lt;2,"0-1 Years",IF(HR_Data[[#This Row],[YearsAtCompany]]&lt;=5,"2-5 Years",IF(HR_Data[[#This Row],[YearsAtCompany]]&lt;=10,"6-10 Years","10+ Years")))</f>
        <v>2-5 Years</v>
      </c>
      <c r="AO458" t="str">
        <f>IF(HR_Data[[#This Row],[JobSatisfaction]]=1,"Low",IF(HR_Data[[#This Row],[JobSatisfaction]]=2,"Medium",IF(HR_Data[[#This Row],[JobSatisfaction]]=3,"High","Very High")))</f>
        <v>Very High</v>
      </c>
      <c r="AP458" t="str">
        <f>IF(HR_Data[[#This Row],[WorkLifeBalance]]=1,"Bad",IF(HR_Data[[#This Row],[WorkLifeBalance]]=2,"Good",IF(HR_Data[[#This Row],[WorkLifeBalance]]=3,"Better","Best")))</f>
        <v>Good</v>
      </c>
    </row>
    <row r="459" spans="1:42"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IF(HR_Data[[#This Row],[Attrition]]="Yes",1,0)</f>
        <v>1</v>
      </c>
      <c r="AK459">
        <f>IF(HR_Data[[#This Row],[Attrition]]="No",1,0)</f>
        <v>0</v>
      </c>
      <c r="AL459" t="str">
        <f>IF(HR_Data[[#This Row],[Age]]&lt;25,"Under 25",IF(HR_Data[[#This Row],[Age]]&lt;=34,"25-34",IF(HR_Data[[#This Row],[Age]]&lt;=44,"35-44",IF(HR_Data[[#This Row],[Age]]&lt;=54,"45-54","55+"))))</f>
        <v>Under 25</v>
      </c>
      <c r="AM459" t="str">
        <f>IF(HR_Data[[#This Row],[MonthlyIncome]]&lt;3000,"Low Salary",IF(HR_Data[[#This Row],[MonthlyIncome]]&lt;=7000,"Medium Salary","High Salary"))</f>
        <v>Low Salary</v>
      </c>
      <c r="AN459" t="str">
        <f>IF(HR_Data[[#This Row],[YearsAtCompany]]&lt;2,"0-1 Years",IF(HR_Data[[#This Row],[YearsAtCompany]]&lt;=5,"2-5 Years",IF(HR_Data[[#This Row],[YearsAtCompany]]&lt;=10,"6-10 Years","10+ Years")))</f>
        <v>0-1 Years</v>
      </c>
      <c r="AO459" t="str">
        <f>IF(HR_Data[[#This Row],[JobSatisfaction]]=1,"Low",IF(HR_Data[[#This Row],[JobSatisfaction]]=2,"Medium",IF(HR_Data[[#This Row],[JobSatisfaction]]=3,"High","Very High")))</f>
        <v>Medium</v>
      </c>
      <c r="AP459" t="str">
        <f>IF(HR_Data[[#This Row],[WorkLifeBalance]]=1,"Bad",IF(HR_Data[[#This Row],[WorkLifeBalance]]=2,"Good",IF(HR_Data[[#This Row],[WorkLifeBalance]]=3,"Better","Best")))</f>
        <v>Better</v>
      </c>
    </row>
    <row r="460" spans="1:42"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IF(HR_Data[[#This Row],[Attrition]]="Yes",1,0)</f>
        <v>0</v>
      </c>
      <c r="AK460">
        <f>IF(HR_Data[[#This Row],[Attrition]]="No",1,0)</f>
        <v>1</v>
      </c>
      <c r="AL460" t="str">
        <f>IF(HR_Data[[#This Row],[Age]]&lt;25,"Under 25",IF(HR_Data[[#This Row],[Age]]&lt;=34,"25-34",IF(HR_Data[[#This Row],[Age]]&lt;=44,"35-44",IF(HR_Data[[#This Row],[Age]]&lt;=54,"45-54","55+"))))</f>
        <v>35-44</v>
      </c>
      <c r="AM460" t="str">
        <f>IF(HR_Data[[#This Row],[MonthlyIncome]]&lt;3000,"Low Salary",IF(HR_Data[[#This Row],[MonthlyIncome]]&lt;=7000,"Medium Salary","High Salary"))</f>
        <v>High Salary</v>
      </c>
      <c r="AN460" t="str">
        <f>IF(HR_Data[[#This Row],[YearsAtCompany]]&lt;2,"0-1 Years",IF(HR_Data[[#This Row],[YearsAtCompany]]&lt;=5,"2-5 Years",IF(HR_Data[[#This Row],[YearsAtCompany]]&lt;=10,"6-10 Years","10+ Years")))</f>
        <v>0-1 Years</v>
      </c>
      <c r="AO460" t="str">
        <f>IF(HR_Data[[#This Row],[JobSatisfaction]]=1,"Low",IF(HR_Data[[#This Row],[JobSatisfaction]]=2,"Medium",IF(HR_Data[[#This Row],[JobSatisfaction]]=3,"High","Very High")))</f>
        <v>Low</v>
      </c>
      <c r="AP460" t="str">
        <f>IF(HR_Data[[#This Row],[WorkLifeBalance]]=1,"Bad",IF(HR_Data[[#This Row],[WorkLifeBalance]]=2,"Good",IF(HR_Data[[#This Row],[WorkLifeBalance]]=3,"Better","Best")))</f>
        <v>Better</v>
      </c>
    </row>
    <row r="461" spans="1:42"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IF(HR_Data[[#This Row],[Attrition]]="Yes",1,0)</f>
        <v>0</v>
      </c>
      <c r="AK461">
        <f>IF(HR_Data[[#This Row],[Attrition]]="No",1,0)</f>
        <v>1</v>
      </c>
      <c r="AL461" t="str">
        <f>IF(HR_Data[[#This Row],[Age]]&lt;25,"Under 25",IF(HR_Data[[#This Row],[Age]]&lt;=34,"25-34",IF(HR_Data[[#This Row],[Age]]&lt;=44,"35-44",IF(HR_Data[[#This Row],[Age]]&lt;=54,"45-54","55+"))))</f>
        <v>35-44</v>
      </c>
      <c r="AM461" t="str">
        <f>IF(HR_Data[[#This Row],[MonthlyIncome]]&lt;3000,"Low Salary",IF(HR_Data[[#This Row],[MonthlyIncome]]&lt;=7000,"Medium Salary","High Salary"))</f>
        <v>Medium Salary</v>
      </c>
      <c r="AN461" t="str">
        <f>IF(HR_Data[[#This Row],[YearsAtCompany]]&lt;2,"0-1 Years",IF(HR_Data[[#This Row],[YearsAtCompany]]&lt;=5,"2-5 Years",IF(HR_Data[[#This Row],[YearsAtCompany]]&lt;=10,"6-10 Years","10+ Years")))</f>
        <v>6-10 Years</v>
      </c>
      <c r="AO461" t="str">
        <f>IF(HR_Data[[#This Row],[JobSatisfaction]]=1,"Low",IF(HR_Data[[#This Row],[JobSatisfaction]]=2,"Medium",IF(HR_Data[[#This Row],[JobSatisfaction]]=3,"High","Very High")))</f>
        <v>High</v>
      </c>
      <c r="AP461" t="str">
        <f>IF(HR_Data[[#This Row],[WorkLifeBalance]]=1,"Bad",IF(HR_Data[[#This Row],[WorkLifeBalance]]=2,"Good",IF(HR_Data[[#This Row],[WorkLifeBalance]]=3,"Better","Best")))</f>
        <v>Better</v>
      </c>
    </row>
    <row r="462" spans="1:42"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IF(HR_Data[[#This Row],[Attrition]]="Yes",1,0)</f>
        <v>0</v>
      </c>
      <c r="AK462">
        <f>IF(HR_Data[[#This Row],[Attrition]]="No",1,0)</f>
        <v>1</v>
      </c>
      <c r="AL462" t="str">
        <f>IF(HR_Data[[#This Row],[Age]]&lt;25,"Under 25",IF(HR_Data[[#This Row],[Age]]&lt;=34,"25-34",IF(HR_Data[[#This Row],[Age]]&lt;=44,"35-44",IF(HR_Data[[#This Row],[Age]]&lt;=54,"45-54","55+"))))</f>
        <v>25-34</v>
      </c>
      <c r="AM462" t="str">
        <f>IF(HR_Data[[#This Row],[MonthlyIncome]]&lt;3000,"Low Salary",IF(HR_Data[[#This Row],[MonthlyIncome]]&lt;=7000,"Medium Salary","High Salary"))</f>
        <v>Medium Salary</v>
      </c>
      <c r="AN462" t="str">
        <f>IF(HR_Data[[#This Row],[YearsAtCompany]]&lt;2,"0-1 Years",IF(HR_Data[[#This Row],[YearsAtCompany]]&lt;=5,"2-5 Years",IF(HR_Data[[#This Row],[YearsAtCompany]]&lt;=10,"6-10 Years","10+ Years")))</f>
        <v>0-1 Years</v>
      </c>
      <c r="AO462" t="str">
        <f>IF(HR_Data[[#This Row],[JobSatisfaction]]=1,"Low",IF(HR_Data[[#This Row],[JobSatisfaction]]=2,"Medium",IF(HR_Data[[#This Row],[JobSatisfaction]]=3,"High","Very High")))</f>
        <v>High</v>
      </c>
      <c r="AP462" t="str">
        <f>IF(HR_Data[[#This Row],[WorkLifeBalance]]=1,"Bad",IF(HR_Data[[#This Row],[WorkLifeBalance]]=2,"Good",IF(HR_Data[[#This Row],[WorkLifeBalance]]=3,"Better","Best")))</f>
        <v>Better</v>
      </c>
    </row>
    <row r="463" spans="1:42"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IF(HR_Data[[#This Row],[Attrition]]="Yes",1,0)</f>
        <v>0</v>
      </c>
      <c r="AK463">
        <f>IF(HR_Data[[#This Row],[Attrition]]="No",1,0)</f>
        <v>1</v>
      </c>
      <c r="AL463" t="str">
        <f>IF(HR_Data[[#This Row],[Age]]&lt;25,"Under 25",IF(HR_Data[[#This Row],[Age]]&lt;=34,"25-34",IF(HR_Data[[#This Row],[Age]]&lt;=44,"35-44",IF(HR_Data[[#This Row],[Age]]&lt;=54,"45-54","55+"))))</f>
        <v>35-44</v>
      </c>
      <c r="AM463" t="str">
        <f>IF(HR_Data[[#This Row],[MonthlyIncome]]&lt;3000,"Low Salary",IF(HR_Data[[#This Row],[MonthlyIncome]]&lt;=7000,"Medium Salary","High Salary"))</f>
        <v>Medium Salary</v>
      </c>
      <c r="AN463" t="str">
        <f>IF(HR_Data[[#This Row],[YearsAtCompany]]&lt;2,"0-1 Years",IF(HR_Data[[#This Row],[YearsAtCompany]]&lt;=5,"2-5 Years",IF(HR_Data[[#This Row],[YearsAtCompany]]&lt;=10,"6-10 Years","10+ Years")))</f>
        <v>2-5 Years</v>
      </c>
      <c r="AO463" t="str">
        <f>IF(HR_Data[[#This Row],[JobSatisfaction]]=1,"Low",IF(HR_Data[[#This Row],[JobSatisfaction]]=2,"Medium",IF(HR_Data[[#This Row],[JobSatisfaction]]=3,"High","Very High")))</f>
        <v>High</v>
      </c>
      <c r="AP463" t="str">
        <f>IF(HR_Data[[#This Row],[WorkLifeBalance]]=1,"Bad",IF(HR_Data[[#This Row],[WorkLifeBalance]]=2,"Good",IF(HR_Data[[#This Row],[WorkLifeBalance]]=3,"Better","Best")))</f>
        <v>Better</v>
      </c>
    </row>
    <row r="464" spans="1:42"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IF(HR_Data[[#This Row],[Attrition]]="Yes",1,0)</f>
        <v>0</v>
      </c>
      <c r="AK464">
        <f>IF(HR_Data[[#This Row],[Attrition]]="No",1,0)</f>
        <v>1</v>
      </c>
      <c r="AL464" t="str">
        <f>IF(HR_Data[[#This Row],[Age]]&lt;25,"Under 25",IF(HR_Data[[#This Row],[Age]]&lt;=34,"25-34",IF(HR_Data[[#This Row],[Age]]&lt;=44,"35-44",IF(HR_Data[[#This Row],[Age]]&lt;=54,"45-54","55+"))))</f>
        <v>25-34</v>
      </c>
      <c r="AM464" t="str">
        <f>IF(HR_Data[[#This Row],[MonthlyIncome]]&lt;3000,"Low Salary",IF(HR_Data[[#This Row],[MonthlyIncome]]&lt;=7000,"Medium Salary","High Salary"))</f>
        <v>Medium Salary</v>
      </c>
      <c r="AN464" t="str">
        <f>IF(HR_Data[[#This Row],[YearsAtCompany]]&lt;2,"0-1 Years",IF(HR_Data[[#This Row],[YearsAtCompany]]&lt;=5,"2-5 Years",IF(HR_Data[[#This Row],[YearsAtCompany]]&lt;=10,"6-10 Years","10+ Years")))</f>
        <v>6-10 Years</v>
      </c>
      <c r="AO464" t="str">
        <f>IF(HR_Data[[#This Row],[JobSatisfaction]]=1,"Low",IF(HR_Data[[#This Row],[JobSatisfaction]]=2,"Medium",IF(HR_Data[[#This Row],[JobSatisfaction]]=3,"High","Very High")))</f>
        <v>Very High</v>
      </c>
      <c r="AP464" t="str">
        <f>IF(HR_Data[[#This Row],[WorkLifeBalance]]=1,"Bad",IF(HR_Data[[#This Row],[WorkLifeBalance]]=2,"Good",IF(HR_Data[[#This Row],[WorkLifeBalance]]=3,"Better","Best")))</f>
        <v>Better</v>
      </c>
    </row>
    <row r="465" spans="1:42"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IF(HR_Data[[#This Row],[Attrition]]="Yes",1,0)</f>
        <v>1</v>
      </c>
      <c r="AK465">
        <f>IF(HR_Data[[#This Row],[Attrition]]="No",1,0)</f>
        <v>0</v>
      </c>
      <c r="AL465" t="str">
        <f>IF(HR_Data[[#This Row],[Age]]&lt;25,"Under 25",IF(HR_Data[[#This Row],[Age]]&lt;=34,"25-34",IF(HR_Data[[#This Row],[Age]]&lt;=44,"35-44",IF(HR_Data[[#This Row],[Age]]&lt;=54,"45-54","55+"))))</f>
        <v>25-34</v>
      </c>
      <c r="AM465" t="str">
        <f>IF(HR_Data[[#This Row],[MonthlyIncome]]&lt;3000,"Low Salary",IF(HR_Data[[#This Row],[MonthlyIncome]]&lt;=7000,"Medium Salary","High Salary"))</f>
        <v>Low Salary</v>
      </c>
      <c r="AN465" t="str">
        <f>IF(HR_Data[[#This Row],[YearsAtCompany]]&lt;2,"0-1 Years",IF(HR_Data[[#This Row],[YearsAtCompany]]&lt;=5,"2-5 Years",IF(HR_Data[[#This Row],[YearsAtCompany]]&lt;=10,"6-10 Years","10+ Years")))</f>
        <v>0-1 Years</v>
      </c>
      <c r="AO465" t="str">
        <f>IF(HR_Data[[#This Row],[JobSatisfaction]]=1,"Low",IF(HR_Data[[#This Row],[JobSatisfaction]]=2,"Medium",IF(HR_Data[[#This Row],[JobSatisfaction]]=3,"High","Very High")))</f>
        <v>Very High</v>
      </c>
      <c r="AP465" t="str">
        <f>IF(HR_Data[[#This Row],[WorkLifeBalance]]=1,"Bad",IF(HR_Data[[#This Row],[WorkLifeBalance]]=2,"Good",IF(HR_Data[[#This Row],[WorkLifeBalance]]=3,"Better","Best")))</f>
        <v>Bad</v>
      </c>
    </row>
    <row r="466" spans="1:42"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IF(HR_Data[[#This Row],[Attrition]]="Yes",1,0)</f>
        <v>0</v>
      </c>
      <c r="AK466">
        <f>IF(HR_Data[[#This Row],[Attrition]]="No",1,0)</f>
        <v>1</v>
      </c>
      <c r="AL466" t="str">
        <f>IF(HR_Data[[#This Row],[Age]]&lt;25,"Under 25",IF(HR_Data[[#This Row],[Age]]&lt;=34,"25-34",IF(HR_Data[[#This Row],[Age]]&lt;=44,"35-44",IF(HR_Data[[#This Row],[Age]]&lt;=54,"45-54","55+"))))</f>
        <v>35-44</v>
      </c>
      <c r="AM466" t="str">
        <f>IF(HR_Data[[#This Row],[MonthlyIncome]]&lt;3000,"Low Salary",IF(HR_Data[[#This Row],[MonthlyIncome]]&lt;=7000,"Medium Salary","High Salary"))</f>
        <v>High Salary</v>
      </c>
      <c r="AN466" t="str">
        <f>IF(HR_Data[[#This Row],[YearsAtCompany]]&lt;2,"0-1 Years",IF(HR_Data[[#This Row],[YearsAtCompany]]&lt;=5,"2-5 Years",IF(HR_Data[[#This Row],[YearsAtCompany]]&lt;=10,"6-10 Years","10+ Years")))</f>
        <v>6-10 Years</v>
      </c>
      <c r="AO466" t="str">
        <f>IF(HR_Data[[#This Row],[JobSatisfaction]]=1,"Low",IF(HR_Data[[#This Row],[JobSatisfaction]]=2,"Medium",IF(HR_Data[[#This Row],[JobSatisfaction]]=3,"High","Very High")))</f>
        <v>Very High</v>
      </c>
      <c r="AP466" t="str">
        <f>IF(HR_Data[[#This Row],[WorkLifeBalance]]=1,"Bad",IF(HR_Data[[#This Row],[WorkLifeBalance]]=2,"Good",IF(HR_Data[[#This Row],[WorkLifeBalance]]=3,"Better","Best")))</f>
        <v>Best</v>
      </c>
    </row>
    <row r="467" spans="1:42"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IF(HR_Data[[#This Row],[Attrition]]="Yes",1,0)</f>
        <v>0</v>
      </c>
      <c r="AK467">
        <f>IF(HR_Data[[#This Row],[Attrition]]="No",1,0)</f>
        <v>1</v>
      </c>
      <c r="AL467" t="str">
        <f>IF(HR_Data[[#This Row],[Age]]&lt;25,"Under 25",IF(HR_Data[[#This Row],[Age]]&lt;=34,"25-34",IF(HR_Data[[#This Row],[Age]]&lt;=44,"35-44",IF(HR_Data[[#This Row],[Age]]&lt;=54,"45-54","55+"))))</f>
        <v>45-54</v>
      </c>
      <c r="AM467" t="str">
        <f>IF(HR_Data[[#This Row],[MonthlyIncome]]&lt;3000,"Low Salary",IF(HR_Data[[#This Row],[MonthlyIncome]]&lt;=7000,"Medium Salary","High Salary"))</f>
        <v>High Salary</v>
      </c>
      <c r="AN467" t="str">
        <f>IF(HR_Data[[#This Row],[YearsAtCompany]]&lt;2,"0-1 Years",IF(HR_Data[[#This Row],[YearsAtCompany]]&lt;=5,"2-5 Years",IF(HR_Data[[#This Row],[YearsAtCompany]]&lt;=10,"6-10 Years","10+ Years")))</f>
        <v>2-5 Years</v>
      </c>
      <c r="AO467" t="str">
        <f>IF(HR_Data[[#This Row],[JobSatisfaction]]=1,"Low",IF(HR_Data[[#This Row],[JobSatisfaction]]=2,"Medium",IF(HR_Data[[#This Row],[JobSatisfaction]]=3,"High","Very High")))</f>
        <v>High</v>
      </c>
      <c r="AP467" t="str">
        <f>IF(HR_Data[[#This Row],[WorkLifeBalance]]=1,"Bad",IF(HR_Data[[#This Row],[WorkLifeBalance]]=2,"Good",IF(HR_Data[[#This Row],[WorkLifeBalance]]=3,"Better","Best")))</f>
        <v>Good</v>
      </c>
    </row>
    <row r="468" spans="1:42"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IF(HR_Data[[#This Row],[Attrition]]="Yes",1,0)</f>
        <v>0</v>
      </c>
      <c r="AK468">
        <f>IF(HR_Data[[#This Row],[Attrition]]="No",1,0)</f>
        <v>1</v>
      </c>
      <c r="AL468" t="str">
        <f>IF(HR_Data[[#This Row],[Age]]&lt;25,"Under 25",IF(HR_Data[[#This Row],[Age]]&lt;=34,"25-34",IF(HR_Data[[#This Row],[Age]]&lt;=44,"35-44",IF(HR_Data[[#This Row],[Age]]&lt;=54,"45-54","55+"))))</f>
        <v>35-44</v>
      </c>
      <c r="AM468" t="str">
        <f>IF(HR_Data[[#This Row],[MonthlyIncome]]&lt;3000,"Low Salary",IF(HR_Data[[#This Row],[MonthlyIncome]]&lt;=7000,"Medium Salary","High Salary"))</f>
        <v>High Salary</v>
      </c>
      <c r="AN468" t="str">
        <f>IF(HR_Data[[#This Row],[YearsAtCompany]]&lt;2,"0-1 Years",IF(HR_Data[[#This Row],[YearsAtCompany]]&lt;=5,"2-5 Years",IF(HR_Data[[#This Row],[YearsAtCompany]]&lt;=10,"6-10 Years","10+ Years")))</f>
        <v>10+ Years</v>
      </c>
      <c r="AO468" t="str">
        <f>IF(HR_Data[[#This Row],[JobSatisfaction]]=1,"Low",IF(HR_Data[[#This Row],[JobSatisfaction]]=2,"Medium",IF(HR_Data[[#This Row],[JobSatisfaction]]=3,"High","Very High")))</f>
        <v>Low</v>
      </c>
      <c r="AP468" t="str">
        <f>IF(HR_Data[[#This Row],[WorkLifeBalance]]=1,"Bad",IF(HR_Data[[#This Row],[WorkLifeBalance]]=2,"Good",IF(HR_Data[[#This Row],[WorkLifeBalance]]=3,"Better","Best")))</f>
        <v>Better</v>
      </c>
    </row>
    <row r="469" spans="1:42"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IF(HR_Data[[#This Row],[Attrition]]="Yes",1,0)</f>
        <v>0</v>
      </c>
      <c r="AK469">
        <f>IF(HR_Data[[#This Row],[Attrition]]="No",1,0)</f>
        <v>1</v>
      </c>
      <c r="AL469" t="str">
        <f>IF(HR_Data[[#This Row],[Age]]&lt;25,"Under 25",IF(HR_Data[[#This Row],[Age]]&lt;=34,"25-34",IF(HR_Data[[#This Row],[Age]]&lt;=44,"35-44",IF(HR_Data[[#This Row],[Age]]&lt;=54,"45-54","55+"))))</f>
        <v>35-44</v>
      </c>
      <c r="AM469" t="str">
        <f>IF(HR_Data[[#This Row],[MonthlyIncome]]&lt;3000,"Low Salary",IF(HR_Data[[#This Row],[MonthlyIncome]]&lt;=7000,"Medium Salary","High Salary"))</f>
        <v>High Salary</v>
      </c>
      <c r="AN469" t="str">
        <f>IF(HR_Data[[#This Row],[YearsAtCompany]]&lt;2,"0-1 Years",IF(HR_Data[[#This Row],[YearsAtCompany]]&lt;=5,"2-5 Years",IF(HR_Data[[#This Row],[YearsAtCompany]]&lt;=10,"6-10 Years","10+ Years")))</f>
        <v>6-10 Years</v>
      </c>
      <c r="AO469" t="str">
        <f>IF(HR_Data[[#This Row],[JobSatisfaction]]=1,"Low",IF(HR_Data[[#This Row],[JobSatisfaction]]=2,"Medium",IF(HR_Data[[#This Row],[JobSatisfaction]]=3,"High","Very High")))</f>
        <v>Medium</v>
      </c>
      <c r="AP469" t="str">
        <f>IF(HR_Data[[#This Row],[WorkLifeBalance]]=1,"Bad",IF(HR_Data[[#This Row],[WorkLifeBalance]]=2,"Good",IF(HR_Data[[#This Row],[WorkLifeBalance]]=3,"Better","Best")))</f>
        <v>Better</v>
      </c>
    </row>
    <row r="470" spans="1:42"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IF(HR_Data[[#This Row],[Attrition]]="Yes",1,0)</f>
        <v>0</v>
      </c>
      <c r="AK470">
        <f>IF(HR_Data[[#This Row],[Attrition]]="No",1,0)</f>
        <v>1</v>
      </c>
      <c r="AL470" t="str">
        <f>IF(HR_Data[[#This Row],[Age]]&lt;25,"Under 25",IF(HR_Data[[#This Row],[Age]]&lt;=34,"25-34",IF(HR_Data[[#This Row],[Age]]&lt;=44,"35-44",IF(HR_Data[[#This Row],[Age]]&lt;=54,"45-54","55+"))))</f>
        <v>45-54</v>
      </c>
      <c r="AM470" t="str">
        <f>IF(HR_Data[[#This Row],[MonthlyIncome]]&lt;3000,"Low Salary",IF(HR_Data[[#This Row],[MonthlyIncome]]&lt;=7000,"Medium Salary","High Salary"))</f>
        <v>Medium Salary</v>
      </c>
      <c r="AN470" t="str">
        <f>IF(HR_Data[[#This Row],[YearsAtCompany]]&lt;2,"0-1 Years",IF(HR_Data[[#This Row],[YearsAtCompany]]&lt;=5,"2-5 Years",IF(HR_Data[[#This Row],[YearsAtCompany]]&lt;=10,"6-10 Years","10+ Years")))</f>
        <v>6-10 Years</v>
      </c>
      <c r="AO470" t="str">
        <f>IF(HR_Data[[#This Row],[JobSatisfaction]]=1,"Low",IF(HR_Data[[#This Row],[JobSatisfaction]]=2,"Medium",IF(HR_Data[[#This Row],[JobSatisfaction]]=3,"High","Very High")))</f>
        <v>Low</v>
      </c>
      <c r="AP470" t="str">
        <f>IF(HR_Data[[#This Row],[WorkLifeBalance]]=1,"Bad",IF(HR_Data[[#This Row],[WorkLifeBalance]]=2,"Good",IF(HR_Data[[#This Row],[WorkLifeBalance]]=3,"Better","Best")))</f>
        <v>Better</v>
      </c>
    </row>
    <row r="471" spans="1:42"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IF(HR_Data[[#This Row],[Attrition]]="Yes",1,0)</f>
        <v>1</v>
      </c>
      <c r="AK471">
        <f>IF(HR_Data[[#This Row],[Attrition]]="No",1,0)</f>
        <v>0</v>
      </c>
      <c r="AL471" t="str">
        <f>IF(HR_Data[[#This Row],[Age]]&lt;25,"Under 25",IF(HR_Data[[#This Row],[Age]]&lt;=34,"25-34",IF(HR_Data[[#This Row],[Age]]&lt;=44,"35-44",IF(HR_Data[[#This Row],[Age]]&lt;=54,"45-54","55+"))))</f>
        <v>25-34</v>
      </c>
      <c r="AM471" t="str">
        <f>IF(HR_Data[[#This Row],[MonthlyIncome]]&lt;3000,"Low Salary",IF(HR_Data[[#This Row],[MonthlyIncome]]&lt;=7000,"Medium Salary","High Salary"))</f>
        <v>Medium Salary</v>
      </c>
      <c r="AN471" t="str">
        <f>IF(HR_Data[[#This Row],[YearsAtCompany]]&lt;2,"0-1 Years",IF(HR_Data[[#This Row],[YearsAtCompany]]&lt;=5,"2-5 Years",IF(HR_Data[[#This Row],[YearsAtCompany]]&lt;=10,"6-10 Years","10+ Years")))</f>
        <v>2-5 Years</v>
      </c>
      <c r="AO471" t="str">
        <f>IF(HR_Data[[#This Row],[JobSatisfaction]]=1,"Low",IF(HR_Data[[#This Row],[JobSatisfaction]]=2,"Medium",IF(HR_Data[[#This Row],[JobSatisfaction]]=3,"High","Very High")))</f>
        <v>High</v>
      </c>
      <c r="AP471" t="str">
        <f>IF(HR_Data[[#This Row],[WorkLifeBalance]]=1,"Bad",IF(HR_Data[[#This Row],[WorkLifeBalance]]=2,"Good",IF(HR_Data[[#This Row],[WorkLifeBalance]]=3,"Better","Best")))</f>
        <v>Better</v>
      </c>
    </row>
    <row r="472" spans="1:42"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IF(HR_Data[[#This Row],[Attrition]]="Yes",1,0)</f>
        <v>0</v>
      </c>
      <c r="AK472">
        <f>IF(HR_Data[[#This Row],[Attrition]]="No",1,0)</f>
        <v>1</v>
      </c>
      <c r="AL472" t="str">
        <f>IF(HR_Data[[#This Row],[Age]]&lt;25,"Under 25",IF(HR_Data[[#This Row],[Age]]&lt;=34,"25-34",IF(HR_Data[[#This Row],[Age]]&lt;=44,"35-44",IF(HR_Data[[#This Row],[Age]]&lt;=54,"45-54","55+"))))</f>
        <v>Under 25</v>
      </c>
      <c r="AM472" t="str">
        <f>IF(HR_Data[[#This Row],[MonthlyIncome]]&lt;3000,"Low Salary",IF(HR_Data[[#This Row],[MonthlyIncome]]&lt;=7000,"Medium Salary","High Salary"))</f>
        <v>Low Salary</v>
      </c>
      <c r="AN472" t="str">
        <f>IF(HR_Data[[#This Row],[YearsAtCompany]]&lt;2,"0-1 Years",IF(HR_Data[[#This Row],[YearsAtCompany]]&lt;=5,"2-5 Years",IF(HR_Data[[#This Row],[YearsAtCompany]]&lt;=10,"6-10 Years","10+ Years")))</f>
        <v>2-5 Years</v>
      </c>
      <c r="AO472" t="str">
        <f>IF(HR_Data[[#This Row],[JobSatisfaction]]=1,"Low",IF(HR_Data[[#This Row],[JobSatisfaction]]=2,"Medium",IF(HR_Data[[#This Row],[JobSatisfaction]]=3,"High","Very High")))</f>
        <v>Very High</v>
      </c>
      <c r="AP472" t="str">
        <f>IF(HR_Data[[#This Row],[WorkLifeBalance]]=1,"Bad",IF(HR_Data[[#This Row],[WorkLifeBalance]]=2,"Good",IF(HR_Data[[#This Row],[WorkLifeBalance]]=3,"Better","Best")))</f>
        <v>Better</v>
      </c>
    </row>
    <row r="473" spans="1:42"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IF(HR_Data[[#This Row],[Attrition]]="Yes",1,0)</f>
        <v>0</v>
      </c>
      <c r="AK473">
        <f>IF(HR_Data[[#This Row],[Attrition]]="No",1,0)</f>
        <v>1</v>
      </c>
      <c r="AL473" t="str">
        <f>IF(HR_Data[[#This Row],[Age]]&lt;25,"Under 25",IF(HR_Data[[#This Row],[Age]]&lt;=34,"25-34",IF(HR_Data[[#This Row],[Age]]&lt;=44,"35-44",IF(HR_Data[[#This Row],[Age]]&lt;=54,"45-54","55+"))))</f>
        <v>35-44</v>
      </c>
      <c r="AM473" t="str">
        <f>IF(HR_Data[[#This Row],[MonthlyIncome]]&lt;3000,"Low Salary",IF(HR_Data[[#This Row],[MonthlyIncome]]&lt;=7000,"Medium Salary","High Salary"))</f>
        <v>High Salary</v>
      </c>
      <c r="AN473" t="str">
        <f>IF(HR_Data[[#This Row],[YearsAtCompany]]&lt;2,"0-1 Years",IF(HR_Data[[#This Row],[YearsAtCompany]]&lt;=5,"2-5 Years",IF(HR_Data[[#This Row],[YearsAtCompany]]&lt;=10,"6-10 Years","10+ Years")))</f>
        <v>0-1 Years</v>
      </c>
      <c r="AO473" t="str">
        <f>IF(HR_Data[[#This Row],[JobSatisfaction]]=1,"Low",IF(HR_Data[[#This Row],[JobSatisfaction]]=2,"Medium",IF(HR_Data[[#This Row],[JobSatisfaction]]=3,"High","Very High")))</f>
        <v>High</v>
      </c>
      <c r="AP473" t="str">
        <f>IF(HR_Data[[#This Row],[WorkLifeBalance]]=1,"Bad",IF(HR_Data[[#This Row],[WorkLifeBalance]]=2,"Good",IF(HR_Data[[#This Row],[WorkLifeBalance]]=3,"Better","Best")))</f>
        <v>Better</v>
      </c>
    </row>
    <row r="474" spans="1:42"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IF(HR_Data[[#This Row],[Attrition]]="Yes",1,0)</f>
        <v>0</v>
      </c>
      <c r="AK474">
        <f>IF(HR_Data[[#This Row],[Attrition]]="No",1,0)</f>
        <v>1</v>
      </c>
      <c r="AL474" t="str">
        <f>IF(HR_Data[[#This Row],[Age]]&lt;25,"Under 25",IF(HR_Data[[#This Row],[Age]]&lt;=34,"25-34",IF(HR_Data[[#This Row],[Age]]&lt;=44,"35-44",IF(HR_Data[[#This Row],[Age]]&lt;=54,"45-54","55+"))))</f>
        <v>35-44</v>
      </c>
      <c r="AM474" t="str">
        <f>IF(HR_Data[[#This Row],[MonthlyIncome]]&lt;3000,"Low Salary",IF(HR_Data[[#This Row],[MonthlyIncome]]&lt;=7000,"Medium Salary","High Salary"))</f>
        <v>Medium Salary</v>
      </c>
      <c r="AN474" t="str">
        <f>IF(HR_Data[[#This Row],[YearsAtCompany]]&lt;2,"0-1 Years",IF(HR_Data[[#This Row],[YearsAtCompany]]&lt;=5,"2-5 Years",IF(HR_Data[[#This Row],[YearsAtCompany]]&lt;=10,"6-10 Years","10+ Years")))</f>
        <v>6-10 Years</v>
      </c>
      <c r="AO474" t="str">
        <f>IF(HR_Data[[#This Row],[JobSatisfaction]]=1,"Low",IF(HR_Data[[#This Row],[JobSatisfaction]]=2,"Medium",IF(HR_Data[[#This Row],[JobSatisfaction]]=3,"High","Very High")))</f>
        <v>Medium</v>
      </c>
      <c r="AP474" t="str">
        <f>IF(HR_Data[[#This Row],[WorkLifeBalance]]=1,"Bad",IF(HR_Data[[#This Row],[WorkLifeBalance]]=2,"Good",IF(HR_Data[[#This Row],[WorkLifeBalance]]=3,"Better","Best")))</f>
        <v>Good</v>
      </c>
    </row>
    <row r="475" spans="1:42"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IF(HR_Data[[#This Row],[Attrition]]="Yes",1,0)</f>
        <v>0</v>
      </c>
      <c r="AK475">
        <f>IF(HR_Data[[#This Row],[Attrition]]="No",1,0)</f>
        <v>1</v>
      </c>
      <c r="AL475" t="str">
        <f>IF(HR_Data[[#This Row],[Age]]&lt;25,"Under 25",IF(HR_Data[[#This Row],[Age]]&lt;=34,"25-34",IF(HR_Data[[#This Row],[Age]]&lt;=44,"35-44",IF(HR_Data[[#This Row],[Age]]&lt;=54,"45-54","55+"))))</f>
        <v>45-54</v>
      </c>
      <c r="AM475" t="str">
        <f>IF(HR_Data[[#This Row],[MonthlyIncome]]&lt;3000,"Low Salary",IF(HR_Data[[#This Row],[MonthlyIncome]]&lt;=7000,"Medium Salary","High Salary"))</f>
        <v>High Salary</v>
      </c>
      <c r="AN475" t="str">
        <f>IF(HR_Data[[#This Row],[YearsAtCompany]]&lt;2,"0-1 Years",IF(HR_Data[[#This Row],[YearsAtCompany]]&lt;=5,"2-5 Years",IF(HR_Data[[#This Row],[YearsAtCompany]]&lt;=10,"6-10 Years","10+ Years")))</f>
        <v>10+ Years</v>
      </c>
      <c r="AO475" t="str">
        <f>IF(HR_Data[[#This Row],[JobSatisfaction]]=1,"Low",IF(HR_Data[[#This Row],[JobSatisfaction]]=2,"Medium",IF(HR_Data[[#This Row],[JobSatisfaction]]=3,"High","Very High")))</f>
        <v>High</v>
      </c>
      <c r="AP475" t="str">
        <f>IF(HR_Data[[#This Row],[WorkLifeBalance]]=1,"Bad",IF(HR_Data[[#This Row],[WorkLifeBalance]]=2,"Good",IF(HR_Data[[#This Row],[WorkLifeBalance]]=3,"Better","Best")))</f>
        <v>Better</v>
      </c>
    </row>
    <row r="476" spans="1:42"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IF(HR_Data[[#This Row],[Attrition]]="Yes",1,0)</f>
        <v>0</v>
      </c>
      <c r="AK476">
        <f>IF(HR_Data[[#This Row],[Attrition]]="No",1,0)</f>
        <v>1</v>
      </c>
      <c r="AL476" t="str">
        <f>IF(HR_Data[[#This Row],[Age]]&lt;25,"Under 25",IF(HR_Data[[#This Row],[Age]]&lt;=34,"25-34",IF(HR_Data[[#This Row],[Age]]&lt;=44,"35-44",IF(HR_Data[[#This Row],[Age]]&lt;=54,"45-54","55+"))))</f>
        <v>Under 25</v>
      </c>
      <c r="AM476" t="str">
        <f>IF(HR_Data[[#This Row],[MonthlyIncome]]&lt;3000,"Low Salary",IF(HR_Data[[#This Row],[MonthlyIncome]]&lt;=7000,"Medium Salary","High Salary"))</f>
        <v>Low Salary</v>
      </c>
      <c r="AN476" t="str">
        <f>IF(HR_Data[[#This Row],[YearsAtCompany]]&lt;2,"0-1 Years",IF(HR_Data[[#This Row],[YearsAtCompany]]&lt;=5,"2-5 Years",IF(HR_Data[[#This Row],[YearsAtCompany]]&lt;=10,"6-10 Years","10+ Years")))</f>
        <v>6-10 Years</v>
      </c>
      <c r="AO476" t="str">
        <f>IF(HR_Data[[#This Row],[JobSatisfaction]]=1,"Low",IF(HR_Data[[#This Row],[JobSatisfaction]]=2,"Medium",IF(HR_Data[[#This Row],[JobSatisfaction]]=3,"High","Very High")))</f>
        <v>Very High</v>
      </c>
      <c r="AP476" t="str">
        <f>IF(HR_Data[[#This Row],[WorkLifeBalance]]=1,"Bad",IF(HR_Data[[#This Row],[WorkLifeBalance]]=2,"Good",IF(HR_Data[[#This Row],[WorkLifeBalance]]=3,"Better","Best")))</f>
        <v>Better</v>
      </c>
    </row>
    <row r="477" spans="1:42"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IF(HR_Data[[#This Row],[Attrition]]="Yes",1,0)</f>
        <v>0</v>
      </c>
      <c r="AK477">
        <f>IF(HR_Data[[#This Row],[Attrition]]="No",1,0)</f>
        <v>1</v>
      </c>
      <c r="AL477" t="str">
        <f>IF(HR_Data[[#This Row],[Age]]&lt;25,"Under 25",IF(HR_Data[[#This Row],[Age]]&lt;=34,"25-34",IF(HR_Data[[#This Row],[Age]]&lt;=44,"35-44",IF(HR_Data[[#This Row],[Age]]&lt;=54,"45-54","55+"))))</f>
        <v>25-34</v>
      </c>
      <c r="AM477" t="str">
        <f>IF(HR_Data[[#This Row],[MonthlyIncome]]&lt;3000,"Low Salary",IF(HR_Data[[#This Row],[MonthlyIncome]]&lt;=7000,"Medium Salary","High Salary"))</f>
        <v>Medium Salary</v>
      </c>
      <c r="AN477" t="str">
        <f>IF(HR_Data[[#This Row],[YearsAtCompany]]&lt;2,"0-1 Years",IF(HR_Data[[#This Row],[YearsAtCompany]]&lt;=5,"2-5 Years",IF(HR_Data[[#This Row],[YearsAtCompany]]&lt;=10,"6-10 Years","10+ Years")))</f>
        <v>2-5 Years</v>
      </c>
      <c r="AO477" t="str">
        <f>IF(HR_Data[[#This Row],[JobSatisfaction]]=1,"Low",IF(HR_Data[[#This Row],[JobSatisfaction]]=2,"Medium",IF(HR_Data[[#This Row],[JobSatisfaction]]=3,"High","Very High")))</f>
        <v>Medium</v>
      </c>
      <c r="AP477" t="str">
        <f>IF(HR_Data[[#This Row],[WorkLifeBalance]]=1,"Bad",IF(HR_Data[[#This Row],[WorkLifeBalance]]=2,"Good",IF(HR_Data[[#This Row],[WorkLifeBalance]]=3,"Better","Best")))</f>
        <v>Best</v>
      </c>
    </row>
    <row r="478" spans="1:42"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IF(HR_Data[[#This Row],[Attrition]]="Yes",1,0)</f>
        <v>0</v>
      </c>
      <c r="AK478">
        <f>IF(HR_Data[[#This Row],[Attrition]]="No",1,0)</f>
        <v>1</v>
      </c>
      <c r="AL478" t="str">
        <f>IF(HR_Data[[#This Row],[Age]]&lt;25,"Under 25",IF(HR_Data[[#This Row],[Age]]&lt;=34,"25-34",IF(HR_Data[[#This Row],[Age]]&lt;=44,"35-44",IF(HR_Data[[#This Row],[Age]]&lt;=54,"45-54","55+"))))</f>
        <v>Under 25</v>
      </c>
      <c r="AM478" t="str">
        <f>IF(HR_Data[[#This Row],[MonthlyIncome]]&lt;3000,"Low Salary",IF(HR_Data[[#This Row],[MonthlyIncome]]&lt;=7000,"Medium Salary","High Salary"))</f>
        <v>Low Salary</v>
      </c>
      <c r="AN478" t="str">
        <f>IF(HR_Data[[#This Row],[YearsAtCompany]]&lt;2,"0-1 Years",IF(HR_Data[[#This Row],[YearsAtCompany]]&lt;=5,"2-5 Years",IF(HR_Data[[#This Row],[YearsAtCompany]]&lt;=10,"6-10 Years","10+ Years")))</f>
        <v>0-1 Years</v>
      </c>
      <c r="AO478" t="str">
        <f>IF(HR_Data[[#This Row],[JobSatisfaction]]=1,"Low",IF(HR_Data[[#This Row],[JobSatisfaction]]=2,"Medium",IF(HR_Data[[#This Row],[JobSatisfaction]]=3,"High","Very High")))</f>
        <v>Medium</v>
      </c>
      <c r="AP478" t="str">
        <f>IF(HR_Data[[#This Row],[WorkLifeBalance]]=1,"Bad",IF(HR_Data[[#This Row],[WorkLifeBalance]]=2,"Good",IF(HR_Data[[#This Row],[WorkLifeBalance]]=3,"Better","Best")))</f>
        <v>Better</v>
      </c>
    </row>
    <row r="479" spans="1:42"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IF(HR_Data[[#This Row],[Attrition]]="Yes",1,0)</f>
        <v>0</v>
      </c>
      <c r="AK479">
        <f>IF(HR_Data[[#This Row],[Attrition]]="No",1,0)</f>
        <v>1</v>
      </c>
      <c r="AL479" t="str">
        <f>IF(HR_Data[[#This Row],[Age]]&lt;25,"Under 25",IF(HR_Data[[#This Row],[Age]]&lt;=34,"25-34",IF(HR_Data[[#This Row],[Age]]&lt;=44,"35-44",IF(HR_Data[[#This Row],[Age]]&lt;=54,"45-54","55+"))))</f>
        <v>45-54</v>
      </c>
      <c r="AM479" t="str">
        <f>IF(HR_Data[[#This Row],[MonthlyIncome]]&lt;3000,"Low Salary",IF(HR_Data[[#This Row],[MonthlyIncome]]&lt;=7000,"Medium Salary","High Salary"))</f>
        <v>High Salary</v>
      </c>
      <c r="AN479" t="str">
        <f>IF(HR_Data[[#This Row],[YearsAtCompany]]&lt;2,"0-1 Years",IF(HR_Data[[#This Row],[YearsAtCompany]]&lt;=5,"2-5 Years",IF(HR_Data[[#This Row],[YearsAtCompany]]&lt;=10,"6-10 Years","10+ Years")))</f>
        <v>10+ Years</v>
      </c>
      <c r="AO479" t="str">
        <f>IF(HR_Data[[#This Row],[JobSatisfaction]]=1,"Low",IF(HR_Data[[#This Row],[JobSatisfaction]]=2,"Medium",IF(HR_Data[[#This Row],[JobSatisfaction]]=3,"High","Very High")))</f>
        <v>Medium</v>
      </c>
      <c r="AP479" t="str">
        <f>IF(HR_Data[[#This Row],[WorkLifeBalance]]=1,"Bad",IF(HR_Data[[#This Row],[WorkLifeBalance]]=2,"Good",IF(HR_Data[[#This Row],[WorkLifeBalance]]=3,"Better","Best")))</f>
        <v>Better</v>
      </c>
    </row>
    <row r="480" spans="1:42"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IF(HR_Data[[#This Row],[Attrition]]="Yes",1,0)</f>
        <v>0</v>
      </c>
      <c r="AK480">
        <f>IF(HR_Data[[#This Row],[Attrition]]="No",1,0)</f>
        <v>1</v>
      </c>
      <c r="AL480" t="str">
        <f>IF(HR_Data[[#This Row],[Age]]&lt;25,"Under 25",IF(HR_Data[[#This Row],[Age]]&lt;=34,"25-34",IF(HR_Data[[#This Row],[Age]]&lt;=44,"35-44",IF(HR_Data[[#This Row],[Age]]&lt;=54,"45-54","55+"))))</f>
        <v>25-34</v>
      </c>
      <c r="AM480" t="str">
        <f>IF(HR_Data[[#This Row],[MonthlyIncome]]&lt;3000,"Low Salary",IF(HR_Data[[#This Row],[MonthlyIncome]]&lt;=7000,"Medium Salary","High Salary"))</f>
        <v>Low Salary</v>
      </c>
      <c r="AN480" t="str">
        <f>IF(HR_Data[[#This Row],[YearsAtCompany]]&lt;2,"0-1 Years",IF(HR_Data[[#This Row],[YearsAtCompany]]&lt;=5,"2-5 Years",IF(HR_Data[[#This Row],[YearsAtCompany]]&lt;=10,"6-10 Years","10+ Years")))</f>
        <v>6-10 Years</v>
      </c>
      <c r="AO480" t="str">
        <f>IF(HR_Data[[#This Row],[JobSatisfaction]]=1,"Low",IF(HR_Data[[#This Row],[JobSatisfaction]]=2,"Medium",IF(HR_Data[[#This Row],[JobSatisfaction]]=3,"High","Very High")))</f>
        <v>High</v>
      </c>
      <c r="AP480" t="str">
        <f>IF(HR_Data[[#This Row],[WorkLifeBalance]]=1,"Bad",IF(HR_Data[[#This Row],[WorkLifeBalance]]=2,"Good",IF(HR_Data[[#This Row],[WorkLifeBalance]]=3,"Better","Best")))</f>
        <v>Better</v>
      </c>
    </row>
    <row r="481" spans="1:42"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IF(HR_Data[[#This Row],[Attrition]]="Yes",1,0)</f>
        <v>1</v>
      </c>
      <c r="AK481">
        <f>IF(HR_Data[[#This Row],[Attrition]]="No",1,0)</f>
        <v>0</v>
      </c>
      <c r="AL481" t="str">
        <f>IF(HR_Data[[#This Row],[Age]]&lt;25,"Under 25",IF(HR_Data[[#This Row],[Age]]&lt;=34,"25-34",IF(HR_Data[[#This Row],[Age]]&lt;=44,"35-44",IF(HR_Data[[#This Row],[Age]]&lt;=54,"45-54","55+"))))</f>
        <v>Under 25</v>
      </c>
      <c r="AM481" t="str">
        <f>IF(HR_Data[[#This Row],[MonthlyIncome]]&lt;3000,"Low Salary",IF(HR_Data[[#This Row],[MonthlyIncome]]&lt;=7000,"Medium Salary","High Salary"))</f>
        <v>Low Salary</v>
      </c>
      <c r="AN481" t="str">
        <f>IF(HR_Data[[#This Row],[YearsAtCompany]]&lt;2,"0-1 Years",IF(HR_Data[[#This Row],[YearsAtCompany]]&lt;=5,"2-5 Years",IF(HR_Data[[#This Row],[YearsAtCompany]]&lt;=10,"6-10 Years","10+ Years")))</f>
        <v>6-10 Years</v>
      </c>
      <c r="AO481" t="str">
        <f>IF(HR_Data[[#This Row],[JobSatisfaction]]=1,"Low",IF(HR_Data[[#This Row],[JobSatisfaction]]=2,"Medium",IF(HR_Data[[#This Row],[JobSatisfaction]]=3,"High","Very High")))</f>
        <v>High</v>
      </c>
      <c r="AP481" t="str">
        <f>IF(HR_Data[[#This Row],[WorkLifeBalance]]=1,"Bad",IF(HR_Data[[#This Row],[WorkLifeBalance]]=2,"Good",IF(HR_Data[[#This Row],[WorkLifeBalance]]=3,"Better","Best")))</f>
        <v>Better</v>
      </c>
    </row>
    <row r="482" spans="1:42"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IF(HR_Data[[#This Row],[Attrition]]="Yes",1,0)</f>
        <v>1</v>
      </c>
      <c r="AK482">
        <f>IF(HR_Data[[#This Row],[Attrition]]="No",1,0)</f>
        <v>0</v>
      </c>
      <c r="AL482" t="str">
        <f>IF(HR_Data[[#This Row],[Age]]&lt;25,"Under 25",IF(HR_Data[[#This Row],[Age]]&lt;=34,"25-34",IF(HR_Data[[#This Row],[Age]]&lt;=44,"35-44",IF(HR_Data[[#This Row],[Age]]&lt;=54,"45-54","55+"))))</f>
        <v>25-34</v>
      </c>
      <c r="AM482" t="str">
        <f>IF(HR_Data[[#This Row],[MonthlyIncome]]&lt;3000,"Low Salary",IF(HR_Data[[#This Row],[MonthlyIncome]]&lt;=7000,"Medium Salary","High Salary"))</f>
        <v>Low Salary</v>
      </c>
      <c r="AN482" t="str">
        <f>IF(HR_Data[[#This Row],[YearsAtCompany]]&lt;2,"0-1 Years",IF(HR_Data[[#This Row],[YearsAtCompany]]&lt;=5,"2-5 Years",IF(HR_Data[[#This Row],[YearsAtCompany]]&lt;=10,"6-10 Years","10+ Years")))</f>
        <v>0-1 Years</v>
      </c>
      <c r="AO482" t="str">
        <f>IF(HR_Data[[#This Row],[JobSatisfaction]]=1,"Low",IF(HR_Data[[#This Row],[JobSatisfaction]]=2,"Medium",IF(HR_Data[[#This Row],[JobSatisfaction]]=3,"High","Very High")))</f>
        <v>Low</v>
      </c>
      <c r="AP482" t="str">
        <f>IF(HR_Data[[#This Row],[WorkLifeBalance]]=1,"Bad",IF(HR_Data[[#This Row],[WorkLifeBalance]]=2,"Good",IF(HR_Data[[#This Row],[WorkLifeBalance]]=3,"Better","Best")))</f>
        <v>Best</v>
      </c>
    </row>
    <row r="483" spans="1:42"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IF(HR_Data[[#This Row],[Attrition]]="Yes",1,0)</f>
        <v>0</v>
      </c>
      <c r="AK483">
        <f>IF(HR_Data[[#This Row],[Attrition]]="No",1,0)</f>
        <v>1</v>
      </c>
      <c r="AL483" t="str">
        <f>IF(HR_Data[[#This Row],[Age]]&lt;25,"Under 25",IF(HR_Data[[#This Row],[Age]]&lt;=34,"25-34",IF(HR_Data[[#This Row],[Age]]&lt;=44,"35-44",IF(HR_Data[[#This Row],[Age]]&lt;=54,"45-54","55+"))))</f>
        <v>25-34</v>
      </c>
      <c r="AM483" t="str">
        <f>IF(HR_Data[[#This Row],[MonthlyIncome]]&lt;3000,"Low Salary",IF(HR_Data[[#This Row],[MonthlyIncome]]&lt;=7000,"Medium Salary","High Salary"))</f>
        <v>Medium Salary</v>
      </c>
      <c r="AN483" t="str">
        <f>IF(HR_Data[[#This Row],[YearsAtCompany]]&lt;2,"0-1 Years",IF(HR_Data[[#This Row],[YearsAtCompany]]&lt;=5,"2-5 Years",IF(HR_Data[[#This Row],[YearsAtCompany]]&lt;=10,"6-10 Years","10+ Years")))</f>
        <v>6-10 Years</v>
      </c>
      <c r="AO483" t="str">
        <f>IF(HR_Data[[#This Row],[JobSatisfaction]]=1,"Low",IF(HR_Data[[#This Row],[JobSatisfaction]]=2,"Medium",IF(HR_Data[[#This Row],[JobSatisfaction]]=3,"High","Very High")))</f>
        <v>Very High</v>
      </c>
      <c r="AP483" t="str">
        <f>IF(HR_Data[[#This Row],[WorkLifeBalance]]=1,"Bad",IF(HR_Data[[#This Row],[WorkLifeBalance]]=2,"Good",IF(HR_Data[[#This Row],[WorkLifeBalance]]=3,"Better","Best")))</f>
        <v>Better</v>
      </c>
    </row>
    <row r="484" spans="1:42"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IF(HR_Data[[#This Row],[Attrition]]="Yes",1,0)</f>
        <v>1</v>
      </c>
      <c r="AK484">
        <f>IF(HR_Data[[#This Row],[Attrition]]="No",1,0)</f>
        <v>0</v>
      </c>
      <c r="AL484" t="str">
        <f>IF(HR_Data[[#This Row],[Age]]&lt;25,"Under 25",IF(HR_Data[[#This Row],[Age]]&lt;=34,"25-34",IF(HR_Data[[#This Row],[Age]]&lt;=44,"35-44",IF(HR_Data[[#This Row],[Age]]&lt;=54,"45-54","55+"))))</f>
        <v>25-34</v>
      </c>
      <c r="AM484" t="str">
        <f>IF(HR_Data[[#This Row],[MonthlyIncome]]&lt;3000,"Low Salary",IF(HR_Data[[#This Row],[MonthlyIncome]]&lt;=7000,"Medium Salary","High Salary"))</f>
        <v>Medium Salary</v>
      </c>
      <c r="AN484" t="str">
        <f>IF(HR_Data[[#This Row],[YearsAtCompany]]&lt;2,"0-1 Years",IF(HR_Data[[#This Row],[YearsAtCompany]]&lt;=5,"2-5 Years",IF(HR_Data[[#This Row],[YearsAtCompany]]&lt;=10,"6-10 Years","10+ Years")))</f>
        <v>2-5 Years</v>
      </c>
      <c r="AO484" t="str">
        <f>IF(HR_Data[[#This Row],[JobSatisfaction]]=1,"Low",IF(HR_Data[[#This Row],[JobSatisfaction]]=2,"Medium",IF(HR_Data[[#This Row],[JobSatisfaction]]=3,"High","Very High")))</f>
        <v>Low</v>
      </c>
      <c r="AP484" t="str">
        <f>IF(HR_Data[[#This Row],[WorkLifeBalance]]=1,"Bad",IF(HR_Data[[#This Row],[WorkLifeBalance]]=2,"Good",IF(HR_Data[[#This Row],[WorkLifeBalance]]=3,"Better","Best")))</f>
        <v>Bad</v>
      </c>
    </row>
    <row r="485" spans="1:42"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IF(HR_Data[[#This Row],[Attrition]]="Yes",1,0)</f>
        <v>0</v>
      </c>
      <c r="AK485">
        <f>IF(HR_Data[[#This Row],[Attrition]]="No",1,0)</f>
        <v>1</v>
      </c>
      <c r="AL485" t="str">
        <f>IF(HR_Data[[#This Row],[Age]]&lt;25,"Under 25",IF(HR_Data[[#This Row],[Age]]&lt;=34,"25-34",IF(HR_Data[[#This Row],[Age]]&lt;=44,"35-44",IF(HR_Data[[#This Row],[Age]]&lt;=54,"45-54","55+"))))</f>
        <v>35-44</v>
      </c>
      <c r="AM485" t="str">
        <f>IF(HR_Data[[#This Row],[MonthlyIncome]]&lt;3000,"Low Salary",IF(HR_Data[[#This Row],[MonthlyIncome]]&lt;=7000,"Medium Salary","High Salary"))</f>
        <v>Medium Salary</v>
      </c>
      <c r="AN485" t="str">
        <f>IF(HR_Data[[#This Row],[YearsAtCompany]]&lt;2,"0-1 Years",IF(HR_Data[[#This Row],[YearsAtCompany]]&lt;=5,"2-5 Years",IF(HR_Data[[#This Row],[YearsAtCompany]]&lt;=10,"6-10 Years","10+ Years")))</f>
        <v>2-5 Years</v>
      </c>
      <c r="AO485" t="str">
        <f>IF(HR_Data[[#This Row],[JobSatisfaction]]=1,"Low",IF(HR_Data[[#This Row],[JobSatisfaction]]=2,"Medium",IF(HR_Data[[#This Row],[JobSatisfaction]]=3,"High","Very High")))</f>
        <v>Very High</v>
      </c>
      <c r="AP485" t="str">
        <f>IF(HR_Data[[#This Row],[WorkLifeBalance]]=1,"Bad",IF(HR_Data[[#This Row],[WorkLifeBalance]]=2,"Good",IF(HR_Data[[#This Row],[WorkLifeBalance]]=3,"Better","Best")))</f>
        <v>Better</v>
      </c>
    </row>
    <row r="486" spans="1:42"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IF(HR_Data[[#This Row],[Attrition]]="Yes",1,0)</f>
        <v>0</v>
      </c>
      <c r="AK486">
        <f>IF(HR_Data[[#This Row],[Attrition]]="No",1,0)</f>
        <v>1</v>
      </c>
      <c r="AL486" t="str">
        <f>IF(HR_Data[[#This Row],[Age]]&lt;25,"Under 25",IF(HR_Data[[#This Row],[Age]]&lt;=34,"25-34",IF(HR_Data[[#This Row],[Age]]&lt;=44,"35-44",IF(HR_Data[[#This Row],[Age]]&lt;=54,"45-54","55+"))))</f>
        <v>25-34</v>
      </c>
      <c r="AM486" t="str">
        <f>IF(HR_Data[[#This Row],[MonthlyIncome]]&lt;3000,"Low Salary",IF(HR_Data[[#This Row],[MonthlyIncome]]&lt;=7000,"Medium Salary","High Salary"))</f>
        <v>Medium Salary</v>
      </c>
      <c r="AN486" t="str">
        <f>IF(HR_Data[[#This Row],[YearsAtCompany]]&lt;2,"0-1 Years",IF(HR_Data[[#This Row],[YearsAtCompany]]&lt;=5,"2-5 Years",IF(HR_Data[[#This Row],[YearsAtCompany]]&lt;=10,"6-10 Years","10+ Years")))</f>
        <v>6-10 Years</v>
      </c>
      <c r="AO486" t="str">
        <f>IF(HR_Data[[#This Row],[JobSatisfaction]]=1,"Low",IF(HR_Data[[#This Row],[JobSatisfaction]]=2,"Medium",IF(HR_Data[[#This Row],[JobSatisfaction]]=3,"High","Very High")))</f>
        <v>Very High</v>
      </c>
      <c r="AP486" t="str">
        <f>IF(HR_Data[[#This Row],[WorkLifeBalance]]=1,"Bad",IF(HR_Data[[#This Row],[WorkLifeBalance]]=2,"Good",IF(HR_Data[[#This Row],[WorkLifeBalance]]=3,"Better","Best")))</f>
        <v>Best</v>
      </c>
    </row>
    <row r="487" spans="1:42"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IF(HR_Data[[#This Row],[Attrition]]="Yes",1,0)</f>
        <v>0</v>
      </c>
      <c r="AK487">
        <f>IF(HR_Data[[#This Row],[Attrition]]="No",1,0)</f>
        <v>1</v>
      </c>
      <c r="AL487" t="str">
        <f>IF(HR_Data[[#This Row],[Age]]&lt;25,"Under 25",IF(HR_Data[[#This Row],[Age]]&lt;=34,"25-34",IF(HR_Data[[#This Row],[Age]]&lt;=44,"35-44",IF(HR_Data[[#This Row],[Age]]&lt;=54,"45-54","55+"))))</f>
        <v>25-34</v>
      </c>
      <c r="AM487" t="str">
        <f>IF(HR_Data[[#This Row],[MonthlyIncome]]&lt;3000,"Low Salary",IF(HR_Data[[#This Row],[MonthlyIncome]]&lt;=7000,"Medium Salary","High Salary"))</f>
        <v>Low Salary</v>
      </c>
      <c r="AN487" t="str">
        <f>IF(HR_Data[[#This Row],[YearsAtCompany]]&lt;2,"0-1 Years",IF(HR_Data[[#This Row],[YearsAtCompany]]&lt;=5,"2-5 Years",IF(HR_Data[[#This Row],[YearsAtCompany]]&lt;=10,"6-10 Years","10+ Years")))</f>
        <v>2-5 Years</v>
      </c>
      <c r="AO487" t="str">
        <f>IF(HR_Data[[#This Row],[JobSatisfaction]]=1,"Low",IF(HR_Data[[#This Row],[JobSatisfaction]]=2,"Medium",IF(HR_Data[[#This Row],[JobSatisfaction]]=3,"High","Very High")))</f>
        <v>High</v>
      </c>
      <c r="AP487" t="str">
        <f>IF(HR_Data[[#This Row],[WorkLifeBalance]]=1,"Bad",IF(HR_Data[[#This Row],[WorkLifeBalance]]=2,"Good",IF(HR_Data[[#This Row],[WorkLifeBalance]]=3,"Better","Best")))</f>
        <v>Good</v>
      </c>
    </row>
    <row r="488" spans="1:42"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IF(HR_Data[[#This Row],[Attrition]]="Yes",1,0)</f>
        <v>0</v>
      </c>
      <c r="AK488">
        <f>IF(HR_Data[[#This Row],[Attrition]]="No",1,0)</f>
        <v>1</v>
      </c>
      <c r="AL488" t="str">
        <f>IF(HR_Data[[#This Row],[Age]]&lt;25,"Under 25",IF(HR_Data[[#This Row],[Age]]&lt;=34,"25-34",IF(HR_Data[[#This Row],[Age]]&lt;=44,"35-44",IF(HR_Data[[#This Row],[Age]]&lt;=54,"45-54","55+"))))</f>
        <v>35-44</v>
      </c>
      <c r="AM488" t="str">
        <f>IF(HR_Data[[#This Row],[MonthlyIncome]]&lt;3000,"Low Salary",IF(HR_Data[[#This Row],[MonthlyIncome]]&lt;=7000,"Medium Salary","High Salary"))</f>
        <v>High Salary</v>
      </c>
      <c r="AN488" t="str">
        <f>IF(HR_Data[[#This Row],[YearsAtCompany]]&lt;2,"0-1 Years",IF(HR_Data[[#This Row],[YearsAtCompany]]&lt;=5,"2-5 Years",IF(HR_Data[[#This Row],[YearsAtCompany]]&lt;=10,"6-10 Years","10+ Years")))</f>
        <v>2-5 Years</v>
      </c>
      <c r="AO488" t="str">
        <f>IF(HR_Data[[#This Row],[JobSatisfaction]]=1,"Low",IF(HR_Data[[#This Row],[JobSatisfaction]]=2,"Medium",IF(HR_Data[[#This Row],[JobSatisfaction]]=3,"High","Very High")))</f>
        <v>High</v>
      </c>
      <c r="AP488" t="str">
        <f>IF(HR_Data[[#This Row],[WorkLifeBalance]]=1,"Bad",IF(HR_Data[[#This Row],[WorkLifeBalance]]=2,"Good",IF(HR_Data[[#This Row],[WorkLifeBalance]]=3,"Better","Best")))</f>
        <v>Good</v>
      </c>
    </row>
    <row r="489" spans="1:42"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IF(HR_Data[[#This Row],[Attrition]]="Yes",1,0)</f>
        <v>0</v>
      </c>
      <c r="AK489">
        <f>IF(HR_Data[[#This Row],[Attrition]]="No",1,0)</f>
        <v>1</v>
      </c>
      <c r="AL489" t="str">
        <f>IF(HR_Data[[#This Row],[Age]]&lt;25,"Under 25",IF(HR_Data[[#This Row],[Age]]&lt;=34,"25-34",IF(HR_Data[[#This Row],[Age]]&lt;=44,"35-44",IF(HR_Data[[#This Row],[Age]]&lt;=54,"45-54","55+"))))</f>
        <v>Under 25</v>
      </c>
      <c r="AM489" t="str">
        <f>IF(HR_Data[[#This Row],[MonthlyIncome]]&lt;3000,"Low Salary",IF(HR_Data[[#This Row],[MonthlyIncome]]&lt;=7000,"Medium Salary","High Salary"))</f>
        <v>Low Salary</v>
      </c>
      <c r="AN489" t="str">
        <f>IF(HR_Data[[#This Row],[YearsAtCompany]]&lt;2,"0-1 Years",IF(HR_Data[[#This Row],[YearsAtCompany]]&lt;=5,"2-5 Years",IF(HR_Data[[#This Row],[YearsAtCompany]]&lt;=10,"6-10 Years","10+ Years")))</f>
        <v>0-1 Years</v>
      </c>
      <c r="AO489" t="str">
        <f>IF(HR_Data[[#This Row],[JobSatisfaction]]=1,"Low",IF(HR_Data[[#This Row],[JobSatisfaction]]=2,"Medium",IF(HR_Data[[#This Row],[JobSatisfaction]]=3,"High","Very High")))</f>
        <v>Medium</v>
      </c>
      <c r="AP489" t="str">
        <f>IF(HR_Data[[#This Row],[WorkLifeBalance]]=1,"Bad",IF(HR_Data[[#This Row],[WorkLifeBalance]]=2,"Good",IF(HR_Data[[#This Row],[WorkLifeBalance]]=3,"Better","Best")))</f>
        <v>Best</v>
      </c>
    </row>
    <row r="490" spans="1:42"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IF(HR_Data[[#This Row],[Attrition]]="Yes",1,0)</f>
        <v>0</v>
      </c>
      <c r="AK490">
        <f>IF(HR_Data[[#This Row],[Attrition]]="No",1,0)</f>
        <v>1</v>
      </c>
      <c r="AL490" t="str">
        <f>IF(HR_Data[[#This Row],[Age]]&lt;25,"Under 25",IF(HR_Data[[#This Row],[Age]]&lt;=34,"25-34",IF(HR_Data[[#This Row],[Age]]&lt;=44,"35-44",IF(HR_Data[[#This Row],[Age]]&lt;=54,"45-54","55+"))))</f>
        <v>35-44</v>
      </c>
      <c r="AM490" t="str">
        <f>IF(HR_Data[[#This Row],[MonthlyIncome]]&lt;3000,"Low Salary",IF(HR_Data[[#This Row],[MonthlyIncome]]&lt;=7000,"Medium Salary","High Salary"))</f>
        <v>Medium Salary</v>
      </c>
      <c r="AN490" t="str">
        <f>IF(HR_Data[[#This Row],[YearsAtCompany]]&lt;2,"0-1 Years",IF(HR_Data[[#This Row],[YearsAtCompany]]&lt;=5,"2-5 Years",IF(HR_Data[[#This Row],[YearsAtCompany]]&lt;=10,"6-10 Years","10+ Years")))</f>
        <v>6-10 Years</v>
      </c>
      <c r="AO490" t="str">
        <f>IF(HR_Data[[#This Row],[JobSatisfaction]]=1,"Low",IF(HR_Data[[#This Row],[JobSatisfaction]]=2,"Medium",IF(HR_Data[[#This Row],[JobSatisfaction]]=3,"High","Very High")))</f>
        <v>Very High</v>
      </c>
      <c r="AP490" t="str">
        <f>IF(HR_Data[[#This Row],[WorkLifeBalance]]=1,"Bad",IF(HR_Data[[#This Row],[WorkLifeBalance]]=2,"Good",IF(HR_Data[[#This Row],[WorkLifeBalance]]=3,"Better","Best")))</f>
        <v>Better</v>
      </c>
    </row>
    <row r="491" spans="1:42"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IF(HR_Data[[#This Row],[Attrition]]="Yes",1,0)</f>
        <v>0</v>
      </c>
      <c r="AK491">
        <f>IF(HR_Data[[#This Row],[Attrition]]="No",1,0)</f>
        <v>1</v>
      </c>
      <c r="AL491" t="str">
        <f>IF(HR_Data[[#This Row],[Age]]&lt;25,"Under 25",IF(HR_Data[[#This Row],[Age]]&lt;=34,"25-34",IF(HR_Data[[#This Row],[Age]]&lt;=44,"35-44",IF(HR_Data[[#This Row],[Age]]&lt;=54,"45-54","55+"))))</f>
        <v>35-44</v>
      </c>
      <c r="AM491" t="str">
        <f>IF(HR_Data[[#This Row],[MonthlyIncome]]&lt;3000,"Low Salary",IF(HR_Data[[#This Row],[MonthlyIncome]]&lt;=7000,"Medium Salary","High Salary"))</f>
        <v>High Salary</v>
      </c>
      <c r="AN491" t="str">
        <f>IF(HR_Data[[#This Row],[YearsAtCompany]]&lt;2,"0-1 Years",IF(HR_Data[[#This Row],[YearsAtCompany]]&lt;=5,"2-5 Years",IF(HR_Data[[#This Row],[YearsAtCompany]]&lt;=10,"6-10 Years","10+ Years")))</f>
        <v>0-1 Years</v>
      </c>
      <c r="AO491" t="str">
        <f>IF(HR_Data[[#This Row],[JobSatisfaction]]=1,"Low",IF(HR_Data[[#This Row],[JobSatisfaction]]=2,"Medium",IF(HR_Data[[#This Row],[JobSatisfaction]]=3,"High","Very High")))</f>
        <v>Very High</v>
      </c>
      <c r="AP491" t="str">
        <f>IF(HR_Data[[#This Row],[WorkLifeBalance]]=1,"Bad",IF(HR_Data[[#This Row],[WorkLifeBalance]]=2,"Good",IF(HR_Data[[#This Row],[WorkLifeBalance]]=3,"Better","Best")))</f>
        <v>Good</v>
      </c>
    </row>
    <row r="492" spans="1:42"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IF(HR_Data[[#This Row],[Attrition]]="Yes",1,0)</f>
        <v>0</v>
      </c>
      <c r="AK492">
        <f>IF(HR_Data[[#This Row],[Attrition]]="No",1,0)</f>
        <v>1</v>
      </c>
      <c r="AL492" t="str">
        <f>IF(HR_Data[[#This Row],[Age]]&lt;25,"Under 25",IF(HR_Data[[#This Row],[Age]]&lt;=34,"25-34",IF(HR_Data[[#This Row],[Age]]&lt;=44,"35-44",IF(HR_Data[[#This Row],[Age]]&lt;=54,"45-54","55+"))))</f>
        <v>35-44</v>
      </c>
      <c r="AM492" t="str">
        <f>IF(HR_Data[[#This Row],[MonthlyIncome]]&lt;3000,"Low Salary",IF(HR_Data[[#This Row],[MonthlyIncome]]&lt;=7000,"Medium Salary","High Salary"))</f>
        <v>Low Salary</v>
      </c>
      <c r="AN492" t="str">
        <f>IF(HR_Data[[#This Row],[YearsAtCompany]]&lt;2,"0-1 Years",IF(HR_Data[[#This Row],[YearsAtCompany]]&lt;=5,"2-5 Years",IF(HR_Data[[#This Row],[YearsAtCompany]]&lt;=10,"6-10 Years","10+ Years")))</f>
        <v>0-1 Years</v>
      </c>
      <c r="AO492" t="str">
        <f>IF(HR_Data[[#This Row],[JobSatisfaction]]=1,"Low",IF(HR_Data[[#This Row],[JobSatisfaction]]=2,"Medium",IF(HR_Data[[#This Row],[JobSatisfaction]]=3,"High","Very High")))</f>
        <v>Low</v>
      </c>
      <c r="AP492" t="str">
        <f>IF(HR_Data[[#This Row],[WorkLifeBalance]]=1,"Bad",IF(HR_Data[[#This Row],[WorkLifeBalance]]=2,"Good",IF(HR_Data[[#This Row],[WorkLifeBalance]]=3,"Better","Best")))</f>
        <v>Good</v>
      </c>
    </row>
    <row r="493" spans="1:42"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IF(HR_Data[[#This Row],[Attrition]]="Yes",1,0)</f>
        <v>0</v>
      </c>
      <c r="AK493">
        <f>IF(HR_Data[[#This Row],[Attrition]]="No",1,0)</f>
        <v>1</v>
      </c>
      <c r="AL493" t="str">
        <f>IF(HR_Data[[#This Row],[Age]]&lt;25,"Under 25",IF(HR_Data[[#This Row],[Age]]&lt;=34,"25-34",IF(HR_Data[[#This Row],[Age]]&lt;=44,"35-44",IF(HR_Data[[#This Row],[Age]]&lt;=54,"45-54","55+"))))</f>
        <v>35-44</v>
      </c>
      <c r="AM493" t="str">
        <f>IF(HR_Data[[#This Row],[MonthlyIncome]]&lt;3000,"Low Salary",IF(HR_Data[[#This Row],[MonthlyIncome]]&lt;=7000,"Medium Salary","High Salary"))</f>
        <v>Medium Salary</v>
      </c>
      <c r="AN493" t="str">
        <f>IF(HR_Data[[#This Row],[YearsAtCompany]]&lt;2,"0-1 Years",IF(HR_Data[[#This Row],[YearsAtCompany]]&lt;=5,"2-5 Years",IF(HR_Data[[#This Row],[YearsAtCompany]]&lt;=10,"6-10 Years","10+ Years")))</f>
        <v>6-10 Years</v>
      </c>
      <c r="AO493" t="str">
        <f>IF(HR_Data[[#This Row],[JobSatisfaction]]=1,"Low",IF(HR_Data[[#This Row],[JobSatisfaction]]=2,"Medium",IF(HR_Data[[#This Row],[JobSatisfaction]]=3,"High","Very High")))</f>
        <v>High</v>
      </c>
      <c r="AP493" t="str">
        <f>IF(HR_Data[[#This Row],[WorkLifeBalance]]=1,"Bad",IF(HR_Data[[#This Row],[WorkLifeBalance]]=2,"Good",IF(HR_Data[[#This Row],[WorkLifeBalance]]=3,"Better","Best")))</f>
        <v>Better</v>
      </c>
    </row>
    <row r="494" spans="1:42"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IF(HR_Data[[#This Row],[Attrition]]="Yes",1,0)</f>
        <v>0</v>
      </c>
      <c r="AK494">
        <f>IF(HR_Data[[#This Row],[Attrition]]="No",1,0)</f>
        <v>1</v>
      </c>
      <c r="AL494" t="str">
        <f>IF(HR_Data[[#This Row],[Age]]&lt;25,"Under 25",IF(HR_Data[[#This Row],[Age]]&lt;=34,"25-34",IF(HR_Data[[#This Row],[Age]]&lt;=44,"35-44",IF(HR_Data[[#This Row],[Age]]&lt;=54,"45-54","55+"))))</f>
        <v>45-54</v>
      </c>
      <c r="AM494" t="str">
        <f>IF(HR_Data[[#This Row],[MonthlyIncome]]&lt;3000,"Low Salary",IF(HR_Data[[#This Row],[MonthlyIncome]]&lt;=7000,"Medium Salary","High Salary"))</f>
        <v>High Salary</v>
      </c>
      <c r="AN494" t="str">
        <f>IF(HR_Data[[#This Row],[YearsAtCompany]]&lt;2,"0-1 Years",IF(HR_Data[[#This Row],[YearsAtCompany]]&lt;=5,"2-5 Years",IF(HR_Data[[#This Row],[YearsAtCompany]]&lt;=10,"6-10 Years","10+ Years")))</f>
        <v>2-5 Years</v>
      </c>
      <c r="AO494" t="str">
        <f>IF(HR_Data[[#This Row],[JobSatisfaction]]=1,"Low",IF(HR_Data[[#This Row],[JobSatisfaction]]=2,"Medium",IF(HR_Data[[#This Row],[JobSatisfaction]]=3,"High","Very High")))</f>
        <v>Low</v>
      </c>
      <c r="AP494" t="str">
        <f>IF(HR_Data[[#This Row],[WorkLifeBalance]]=1,"Bad",IF(HR_Data[[#This Row],[WorkLifeBalance]]=2,"Good",IF(HR_Data[[#This Row],[WorkLifeBalance]]=3,"Better","Best")))</f>
        <v>Bad</v>
      </c>
    </row>
    <row r="495" spans="1:42"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IF(HR_Data[[#This Row],[Attrition]]="Yes",1,0)</f>
        <v>0</v>
      </c>
      <c r="AK495">
        <f>IF(HR_Data[[#This Row],[Attrition]]="No",1,0)</f>
        <v>1</v>
      </c>
      <c r="AL495" t="str">
        <f>IF(HR_Data[[#This Row],[Age]]&lt;25,"Under 25",IF(HR_Data[[#This Row],[Age]]&lt;=34,"25-34",IF(HR_Data[[#This Row],[Age]]&lt;=44,"35-44",IF(HR_Data[[#This Row],[Age]]&lt;=54,"45-54","55+"))))</f>
        <v>35-44</v>
      </c>
      <c r="AM495" t="str">
        <f>IF(HR_Data[[#This Row],[MonthlyIncome]]&lt;3000,"Low Salary",IF(HR_Data[[#This Row],[MonthlyIncome]]&lt;=7000,"Medium Salary","High Salary"))</f>
        <v>Medium Salary</v>
      </c>
      <c r="AN495" t="str">
        <f>IF(HR_Data[[#This Row],[YearsAtCompany]]&lt;2,"0-1 Years",IF(HR_Data[[#This Row],[YearsAtCompany]]&lt;=5,"2-5 Years",IF(HR_Data[[#This Row],[YearsAtCompany]]&lt;=10,"6-10 Years","10+ Years")))</f>
        <v>2-5 Years</v>
      </c>
      <c r="AO495" t="str">
        <f>IF(HR_Data[[#This Row],[JobSatisfaction]]=1,"Low",IF(HR_Data[[#This Row],[JobSatisfaction]]=2,"Medium",IF(HR_Data[[#This Row],[JobSatisfaction]]=3,"High","Very High")))</f>
        <v>High</v>
      </c>
      <c r="AP495" t="str">
        <f>IF(HR_Data[[#This Row],[WorkLifeBalance]]=1,"Bad",IF(HR_Data[[#This Row],[WorkLifeBalance]]=2,"Good",IF(HR_Data[[#This Row],[WorkLifeBalance]]=3,"Better","Best")))</f>
        <v>Best</v>
      </c>
    </row>
    <row r="496" spans="1:42"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IF(HR_Data[[#This Row],[Attrition]]="Yes",1,0)</f>
        <v>0</v>
      </c>
      <c r="AK496">
        <f>IF(HR_Data[[#This Row],[Attrition]]="No",1,0)</f>
        <v>1</v>
      </c>
      <c r="AL496" t="str">
        <f>IF(HR_Data[[#This Row],[Age]]&lt;25,"Under 25",IF(HR_Data[[#This Row],[Age]]&lt;=34,"25-34",IF(HR_Data[[#This Row],[Age]]&lt;=44,"35-44",IF(HR_Data[[#This Row],[Age]]&lt;=54,"45-54","55+"))))</f>
        <v>25-34</v>
      </c>
      <c r="AM496" t="str">
        <f>IF(HR_Data[[#This Row],[MonthlyIncome]]&lt;3000,"Low Salary",IF(HR_Data[[#This Row],[MonthlyIncome]]&lt;=7000,"Medium Salary","High Salary"))</f>
        <v>Low Salary</v>
      </c>
      <c r="AN496" t="str">
        <f>IF(HR_Data[[#This Row],[YearsAtCompany]]&lt;2,"0-1 Years",IF(HR_Data[[#This Row],[YearsAtCompany]]&lt;=5,"2-5 Years",IF(HR_Data[[#This Row],[YearsAtCompany]]&lt;=10,"6-10 Years","10+ Years")))</f>
        <v>6-10 Years</v>
      </c>
      <c r="AO496" t="str">
        <f>IF(HR_Data[[#This Row],[JobSatisfaction]]=1,"Low",IF(HR_Data[[#This Row],[JobSatisfaction]]=2,"Medium",IF(HR_Data[[#This Row],[JobSatisfaction]]=3,"High","Very High")))</f>
        <v>High</v>
      </c>
      <c r="AP496" t="str">
        <f>IF(HR_Data[[#This Row],[WorkLifeBalance]]=1,"Bad",IF(HR_Data[[#This Row],[WorkLifeBalance]]=2,"Good",IF(HR_Data[[#This Row],[WorkLifeBalance]]=3,"Better","Best")))</f>
        <v>Better</v>
      </c>
    </row>
    <row r="497" spans="1:42"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IF(HR_Data[[#This Row],[Attrition]]="Yes",1,0)</f>
        <v>1</v>
      </c>
      <c r="AK497">
        <f>IF(HR_Data[[#This Row],[Attrition]]="No",1,0)</f>
        <v>0</v>
      </c>
      <c r="AL497" t="str">
        <f>IF(HR_Data[[#This Row],[Age]]&lt;25,"Under 25",IF(HR_Data[[#This Row],[Age]]&lt;=34,"25-34",IF(HR_Data[[#This Row],[Age]]&lt;=44,"35-44",IF(HR_Data[[#This Row],[Age]]&lt;=54,"45-54","55+"))))</f>
        <v>25-34</v>
      </c>
      <c r="AM497" t="str">
        <f>IF(HR_Data[[#This Row],[MonthlyIncome]]&lt;3000,"Low Salary",IF(HR_Data[[#This Row],[MonthlyIncome]]&lt;=7000,"Medium Salary","High Salary"))</f>
        <v>Medium Salary</v>
      </c>
      <c r="AN497" t="str">
        <f>IF(HR_Data[[#This Row],[YearsAtCompany]]&lt;2,"0-1 Years",IF(HR_Data[[#This Row],[YearsAtCompany]]&lt;=5,"2-5 Years",IF(HR_Data[[#This Row],[YearsAtCompany]]&lt;=10,"6-10 Years","10+ Years")))</f>
        <v>2-5 Years</v>
      </c>
      <c r="AO497" t="str">
        <f>IF(HR_Data[[#This Row],[JobSatisfaction]]=1,"Low",IF(HR_Data[[#This Row],[JobSatisfaction]]=2,"Medium",IF(HR_Data[[#This Row],[JobSatisfaction]]=3,"High","Very High")))</f>
        <v>Low</v>
      </c>
      <c r="AP497" t="str">
        <f>IF(HR_Data[[#This Row],[WorkLifeBalance]]=1,"Bad",IF(HR_Data[[#This Row],[WorkLifeBalance]]=2,"Good",IF(HR_Data[[#This Row],[WorkLifeBalance]]=3,"Better","Best")))</f>
        <v>Better</v>
      </c>
    </row>
    <row r="498" spans="1:42"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IF(HR_Data[[#This Row],[Attrition]]="Yes",1,0)</f>
        <v>0</v>
      </c>
      <c r="AK498">
        <f>IF(HR_Data[[#This Row],[Attrition]]="No",1,0)</f>
        <v>1</v>
      </c>
      <c r="AL498" t="str">
        <f>IF(HR_Data[[#This Row],[Age]]&lt;25,"Under 25",IF(HR_Data[[#This Row],[Age]]&lt;=34,"25-34",IF(HR_Data[[#This Row],[Age]]&lt;=44,"35-44",IF(HR_Data[[#This Row],[Age]]&lt;=54,"45-54","55+"))))</f>
        <v>Under 25</v>
      </c>
      <c r="AM498" t="str">
        <f>IF(HR_Data[[#This Row],[MonthlyIncome]]&lt;3000,"Low Salary",IF(HR_Data[[#This Row],[MonthlyIncome]]&lt;=7000,"Medium Salary","High Salary"))</f>
        <v>Medium Salary</v>
      </c>
      <c r="AN498" t="str">
        <f>IF(HR_Data[[#This Row],[YearsAtCompany]]&lt;2,"0-1 Years",IF(HR_Data[[#This Row],[YearsAtCompany]]&lt;=5,"2-5 Years",IF(HR_Data[[#This Row],[YearsAtCompany]]&lt;=10,"6-10 Years","10+ Years")))</f>
        <v>2-5 Years</v>
      </c>
      <c r="AO498" t="str">
        <f>IF(HR_Data[[#This Row],[JobSatisfaction]]=1,"Low",IF(HR_Data[[#This Row],[JobSatisfaction]]=2,"Medium",IF(HR_Data[[#This Row],[JobSatisfaction]]=3,"High","Very High")))</f>
        <v>High</v>
      </c>
      <c r="AP498" t="str">
        <f>IF(HR_Data[[#This Row],[WorkLifeBalance]]=1,"Bad",IF(HR_Data[[#This Row],[WorkLifeBalance]]=2,"Good",IF(HR_Data[[#This Row],[WorkLifeBalance]]=3,"Better","Best")))</f>
        <v>Better</v>
      </c>
    </row>
    <row r="499" spans="1:42"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IF(HR_Data[[#This Row],[Attrition]]="Yes",1,0)</f>
        <v>0</v>
      </c>
      <c r="AK499">
        <f>IF(HR_Data[[#This Row],[Attrition]]="No",1,0)</f>
        <v>1</v>
      </c>
      <c r="AL499" t="str">
        <f>IF(HR_Data[[#This Row],[Age]]&lt;25,"Under 25",IF(HR_Data[[#This Row],[Age]]&lt;=34,"25-34",IF(HR_Data[[#This Row],[Age]]&lt;=44,"35-44",IF(HR_Data[[#This Row],[Age]]&lt;=54,"45-54","55+"))))</f>
        <v>35-44</v>
      </c>
      <c r="AM499" t="str">
        <f>IF(HR_Data[[#This Row],[MonthlyIncome]]&lt;3000,"Low Salary",IF(HR_Data[[#This Row],[MonthlyIncome]]&lt;=7000,"Medium Salary","High Salary"))</f>
        <v>High Salary</v>
      </c>
      <c r="AN499" t="str">
        <f>IF(HR_Data[[#This Row],[YearsAtCompany]]&lt;2,"0-1 Years",IF(HR_Data[[#This Row],[YearsAtCompany]]&lt;=5,"2-5 Years",IF(HR_Data[[#This Row],[YearsAtCompany]]&lt;=10,"6-10 Years","10+ Years")))</f>
        <v>2-5 Years</v>
      </c>
      <c r="AO499" t="str">
        <f>IF(HR_Data[[#This Row],[JobSatisfaction]]=1,"Low",IF(HR_Data[[#This Row],[JobSatisfaction]]=2,"Medium",IF(HR_Data[[#This Row],[JobSatisfaction]]=3,"High","Very High")))</f>
        <v>Very High</v>
      </c>
      <c r="AP499" t="str">
        <f>IF(HR_Data[[#This Row],[WorkLifeBalance]]=1,"Bad",IF(HR_Data[[#This Row],[WorkLifeBalance]]=2,"Good",IF(HR_Data[[#This Row],[WorkLifeBalance]]=3,"Better","Best")))</f>
        <v>Best</v>
      </c>
    </row>
    <row r="500" spans="1:42"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IF(HR_Data[[#This Row],[Attrition]]="Yes",1,0)</f>
        <v>0</v>
      </c>
      <c r="AK500">
        <f>IF(HR_Data[[#This Row],[Attrition]]="No",1,0)</f>
        <v>1</v>
      </c>
      <c r="AL500" t="str">
        <f>IF(HR_Data[[#This Row],[Age]]&lt;25,"Under 25",IF(HR_Data[[#This Row],[Age]]&lt;=34,"25-34",IF(HR_Data[[#This Row],[Age]]&lt;=44,"35-44",IF(HR_Data[[#This Row],[Age]]&lt;=54,"45-54","55+"))))</f>
        <v>Under 25</v>
      </c>
      <c r="AM500" t="str">
        <f>IF(HR_Data[[#This Row],[MonthlyIncome]]&lt;3000,"Low Salary",IF(HR_Data[[#This Row],[MonthlyIncome]]&lt;=7000,"Medium Salary","High Salary"))</f>
        <v>Low Salary</v>
      </c>
      <c r="AN500" t="str">
        <f>IF(HR_Data[[#This Row],[YearsAtCompany]]&lt;2,"0-1 Years",IF(HR_Data[[#This Row],[YearsAtCompany]]&lt;=5,"2-5 Years",IF(HR_Data[[#This Row],[YearsAtCompany]]&lt;=10,"6-10 Years","10+ Years")))</f>
        <v>2-5 Years</v>
      </c>
      <c r="AO500" t="str">
        <f>IF(HR_Data[[#This Row],[JobSatisfaction]]=1,"Low",IF(HR_Data[[#This Row],[JobSatisfaction]]=2,"Medium",IF(HR_Data[[#This Row],[JobSatisfaction]]=3,"High","Very High")))</f>
        <v>High</v>
      </c>
      <c r="AP500" t="str">
        <f>IF(HR_Data[[#This Row],[WorkLifeBalance]]=1,"Bad",IF(HR_Data[[#This Row],[WorkLifeBalance]]=2,"Good",IF(HR_Data[[#This Row],[WorkLifeBalance]]=3,"Better","Best")))</f>
        <v>Better</v>
      </c>
    </row>
    <row r="501" spans="1:42"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IF(HR_Data[[#This Row],[Attrition]]="Yes",1,0)</f>
        <v>0</v>
      </c>
      <c r="AK501">
        <f>IF(HR_Data[[#This Row],[Attrition]]="No",1,0)</f>
        <v>1</v>
      </c>
      <c r="AL501" t="str">
        <f>IF(HR_Data[[#This Row],[Age]]&lt;25,"Under 25",IF(HR_Data[[#This Row],[Age]]&lt;=34,"25-34",IF(HR_Data[[#This Row],[Age]]&lt;=44,"35-44",IF(HR_Data[[#This Row],[Age]]&lt;=54,"45-54","55+"))))</f>
        <v>25-34</v>
      </c>
      <c r="AM501" t="str">
        <f>IF(HR_Data[[#This Row],[MonthlyIncome]]&lt;3000,"Low Salary",IF(HR_Data[[#This Row],[MonthlyIncome]]&lt;=7000,"Medium Salary","High Salary"))</f>
        <v>High Salary</v>
      </c>
      <c r="AN501" t="str">
        <f>IF(HR_Data[[#This Row],[YearsAtCompany]]&lt;2,"0-1 Years",IF(HR_Data[[#This Row],[YearsAtCompany]]&lt;=5,"2-5 Years",IF(HR_Data[[#This Row],[YearsAtCompany]]&lt;=10,"6-10 Years","10+ Years")))</f>
        <v>2-5 Years</v>
      </c>
      <c r="AO501" t="str">
        <f>IF(HR_Data[[#This Row],[JobSatisfaction]]=1,"Low",IF(HR_Data[[#This Row],[JobSatisfaction]]=2,"Medium",IF(HR_Data[[#This Row],[JobSatisfaction]]=3,"High","Very High")))</f>
        <v>High</v>
      </c>
      <c r="AP501" t="str">
        <f>IF(HR_Data[[#This Row],[WorkLifeBalance]]=1,"Bad",IF(HR_Data[[#This Row],[WorkLifeBalance]]=2,"Good",IF(HR_Data[[#This Row],[WorkLifeBalance]]=3,"Better","Best")))</f>
        <v>Better</v>
      </c>
    </row>
    <row r="502" spans="1:42"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IF(HR_Data[[#This Row],[Attrition]]="Yes",1,0)</f>
        <v>0</v>
      </c>
      <c r="AK502">
        <f>IF(HR_Data[[#This Row],[Attrition]]="No",1,0)</f>
        <v>1</v>
      </c>
      <c r="AL502" t="str">
        <f>IF(HR_Data[[#This Row],[Age]]&lt;25,"Under 25",IF(HR_Data[[#This Row],[Age]]&lt;=34,"25-34",IF(HR_Data[[#This Row],[Age]]&lt;=44,"35-44",IF(HR_Data[[#This Row],[Age]]&lt;=54,"45-54","55+"))))</f>
        <v>25-34</v>
      </c>
      <c r="AM502" t="str">
        <f>IF(HR_Data[[#This Row],[MonthlyIncome]]&lt;3000,"Low Salary",IF(HR_Data[[#This Row],[MonthlyIncome]]&lt;=7000,"Medium Salary","High Salary"))</f>
        <v>Medium Salary</v>
      </c>
      <c r="AN502" t="str">
        <f>IF(HR_Data[[#This Row],[YearsAtCompany]]&lt;2,"0-1 Years",IF(HR_Data[[#This Row],[YearsAtCompany]]&lt;=5,"2-5 Years",IF(HR_Data[[#This Row],[YearsAtCompany]]&lt;=10,"6-10 Years","10+ Years")))</f>
        <v>6-10 Years</v>
      </c>
      <c r="AO502" t="str">
        <f>IF(HR_Data[[#This Row],[JobSatisfaction]]=1,"Low",IF(HR_Data[[#This Row],[JobSatisfaction]]=2,"Medium",IF(HR_Data[[#This Row],[JobSatisfaction]]=3,"High","Very High")))</f>
        <v>Very High</v>
      </c>
      <c r="AP502" t="str">
        <f>IF(HR_Data[[#This Row],[WorkLifeBalance]]=1,"Bad",IF(HR_Data[[#This Row],[WorkLifeBalance]]=2,"Good",IF(HR_Data[[#This Row],[WorkLifeBalance]]=3,"Better","Best")))</f>
        <v>Good</v>
      </c>
    </row>
    <row r="503" spans="1:42"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IF(HR_Data[[#This Row],[Attrition]]="Yes",1,0)</f>
        <v>0</v>
      </c>
      <c r="AK503">
        <f>IF(HR_Data[[#This Row],[Attrition]]="No",1,0)</f>
        <v>1</v>
      </c>
      <c r="AL503" t="str">
        <f>IF(HR_Data[[#This Row],[Age]]&lt;25,"Under 25",IF(HR_Data[[#This Row],[Age]]&lt;=34,"25-34",IF(HR_Data[[#This Row],[Age]]&lt;=44,"35-44",IF(HR_Data[[#This Row],[Age]]&lt;=54,"45-54","55+"))))</f>
        <v>25-34</v>
      </c>
      <c r="AM503" t="str">
        <f>IF(HR_Data[[#This Row],[MonthlyIncome]]&lt;3000,"Low Salary",IF(HR_Data[[#This Row],[MonthlyIncome]]&lt;=7000,"Medium Salary","High Salary"))</f>
        <v>Low Salary</v>
      </c>
      <c r="AN503" t="str">
        <f>IF(HR_Data[[#This Row],[YearsAtCompany]]&lt;2,"0-1 Years",IF(HR_Data[[#This Row],[YearsAtCompany]]&lt;=5,"2-5 Years",IF(HR_Data[[#This Row],[YearsAtCompany]]&lt;=10,"6-10 Years","10+ Years")))</f>
        <v>0-1 Years</v>
      </c>
      <c r="AO503" t="str">
        <f>IF(HR_Data[[#This Row],[JobSatisfaction]]=1,"Low",IF(HR_Data[[#This Row],[JobSatisfaction]]=2,"Medium",IF(HR_Data[[#This Row],[JobSatisfaction]]=3,"High","Very High")))</f>
        <v>High</v>
      </c>
      <c r="AP503" t="str">
        <f>IF(HR_Data[[#This Row],[WorkLifeBalance]]=1,"Bad",IF(HR_Data[[#This Row],[WorkLifeBalance]]=2,"Good",IF(HR_Data[[#This Row],[WorkLifeBalance]]=3,"Better","Best")))</f>
        <v>Better</v>
      </c>
    </row>
    <row r="504" spans="1:42"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IF(HR_Data[[#This Row],[Attrition]]="Yes",1,0)</f>
        <v>0</v>
      </c>
      <c r="AK504">
        <f>IF(HR_Data[[#This Row],[Attrition]]="No",1,0)</f>
        <v>1</v>
      </c>
      <c r="AL504" t="str">
        <f>IF(HR_Data[[#This Row],[Age]]&lt;25,"Under 25",IF(HR_Data[[#This Row],[Age]]&lt;=34,"25-34",IF(HR_Data[[#This Row],[Age]]&lt;=44,"35-44",IF(HR_Data[[#This Row],[Age]]&lt;=54,"45-54","55+"))))</f>
        <v>45-54</v>
      </c>
      <c r="AM504" t="str">
        <f>IF(HR_Data[[#This Row],[MonthlyIncome]]&lt;3000,"Low Salary",IF(HR_Data[[#This Row],[MonthlyIncome]]&lt;=7000,"Medium Salary","High Salary"))</f>
        <v>High Salary</v>
      </c>
      <c r="AN504" t="str">
        <f>IF(HR_Data[[#This Row],[YearsAtCompany]]&lt;2,"0-1 Years",IF(HR_Data[[#This Row],[YearsAtCompany]]&lt;=5,"2-5 Years",IF(HR_Data[[#This Row],[YearsAtCompany]]&lt;=10,"6-10 Years","10+ Years")))</f>
        <v>10+ Years</v>
      </c>
      <c r="AO504" t="str">
        <f>IF(HR_Data[[#This Row],[JobSatisfaction]]=1,"Low",IF(HR_Data[[#This Row],[JobSatisfaction]]=2,"Medium",IF(HR_Data[[#This Row],[JobSatisfaction]]=3,"High","Very High")))</f>
        <v>Low</v>
      </c>
      <c r="AP504" t="str">
        <f>IF(HR_Data[[#This Row],[WorkLifeBalance]]=1,"Bad",IF(HR_Data[[#This Row],[WorkLifeBalance]]=2,"Good",IF(HR_Data[[#This Row],[WorkLifeBalance]]=3,"Better","Best")))</f>
        <v>Best</v>
      </c>
    </row>
    <row r="505" spans="1:42"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IF(HR_Data[[#This Row],[Attrition]]="Yes",1,0)</f>
        <v>0</v>
      </c>
      <c r="AK505">
        <f>IF(HR_Data[[#This Row],[Attrition]]="No",1,0)</f>
        <v>1</v>
      </c>
      <c r="AL505" t="str">
        <f>IF(HR_Data[[#This Row],[Age]]&lt;25,"Under 25",IF(HR_Data[[#This Row],[Age]]&lt;=34,"25-34",IF(HR_Data[[#This Row],[Age]]&lt;=44,"35-44",IF(HR_Data[[#This Row],[Age]]&lt;=54,"45-54","55+"))))</f>
        <v>25-34</v>
      </c>
      <c r="AM505" t="str">
        <f>IF(HR_Data[[#This Row],[MonthlyIncome]]&lt;3000,"Low Salary",IF(HR_Data[[#This Row],[MonthlyIncome]]&lt;=7000,"Medium Salary","High Salary"))</f>
        <v>Low Salary</v>
      </c>
      <c r="AN505" t="str">
        <f>IF(HR_Data[[#This Row],[YearsAtCompany]]&lt;2,"0-1 Years",IF(HR_Data[[#This Row],[YearsAtCompany]]&lt;=5,"2-5 Years",IF(HR_Data[[#This Row],[YearsAtCompany]]&lt;=10,"6-10 Years","10+ Years")))</f>
        <v>6-10 Years</v>
      </c>
      <c r="AO505" t="str">
        <f>IF(HR_Data[[#This Row],[JobSatisfaction]]=1,"Low",IF(HR_Data[[#This Row],[JobSatisfaction]]=2,"Medium",IF(HR_Data[[#This Row],[JobSatisfaction]]=3,"High","Very High")))</f>
        <v>Very High</v>
      </c>
      <c r="AP505" t="str">
        <f>IF(HR_Data[[#This Row],[WorkLifeBalance]]=1,"Bad",IF(HR_Data[[#This Row],[WorkLifeBalance]]=2,"Good",IF(HR_Data[[#This Row],[WorkLifeBalance]]=3,"Better","Best")))</f>
        <v>Good</v>
      </c>
    </row>
    <row r="506" spans="1:42"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IF(HR_Data[[#This Row],[Attrition]]="Yes",1,0)</f>
        <v>1</v>
      </c>
      <c r="AK506">
        <f>IF(HR_Data[[#This Row],[Attrition]]="No",1,0)</f>
        <v>0</v>
      </c>
      <c r="AL506" t="str">
        <f>IF(HR_Data[[#This Row],[Age]]&lt;25,"Under 25",IF(HR_Data[[#This Row],[Age]]&lt;=34,"25-34",IF(HR_Data[[#This Row],[Age]]&lt;=44,"35-44",IF(HR_Data[[#This Row],[Age]]&lt;=54,"45-54","55+"))))</f>
        <v>45-54</v>
      </c>
      <c r="AM506" t="str">
        <f>IF(HR_Data[[#This Row],[MonthlyIncome]]&lt;3000,"Low Salary",IF(HR_Data[[#This Row],[MonthlyIncome]]&lt;=7000,"Medium Salary","High Salary"))</f>
        <v>Medium Salary</v>
      </c>
      <c r="AN506" t="str">
        <f>IF(HR_Data[[#This Row],[YearsAtCompany]]&lt;2,"0-1 Years",IF(HR_Data[[#This Row],[YearsAtCompany]]&lt;=5,"2-5 Years",IF(HR_Data[[#This Row],[YearsAtCompany]]&lt;=10,"6-10 Years","10+ Years")))</f>
        <v>0-1 Years</v>
      </c>
      <c r="AO506" t="str">
        <f>IF(HR_Data[[#This Row],[JobSatisfaction]]=1,"Low",IF(HR_Data[[#This Row],[JobSatisfaction]]=2,"Medium",IF(HR_Data[[#This Row],[JobSatisfaction]]=3,"High","Very High")))</f>
        <v>Low</v>
      </c>
      <c r="AP506" t="str">
        <f>IF(HR_Data[[#This Row],[WorkLifeBalance]]=1,"Bad",IF(HR_Data[[#This Row],[WorkLifeBalance]]=2,"Good",IF(HR_Data[[#This Row],[WorkLifeBalance]]=3,"Better","Best")))</f>
        <v>Better</v>
      </c>
    </row>
    <row r="507" spans="1:42"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IF(HR_Data[[#This Row],[Attrition]]="Yes",1,0)</f>
        <v>0</v>
      </c>
      <c r="AK507">
        <f>IF(HR_Data[[#This Row],[Attrition]]="No",1,0)</f>
        <v>1</v>
      </c>
      <c r="AL507" t="str">
        <f>IF(HR_Data[[#This Row],[Age]]&lt;25,"Under 25",IF(HR_Data[[#This Row],[Age]]&lt;=34,"25-34",IF(HR_Data[[#This Row],[Age]]&lt;=44,"35-44",IF(HR_Data[[#This Row],[Age]]&lt;=54,"45-54","55+"))))</f>
        <v>25-34</v>
      </c>
      <c r="AM507" t="str">
        <f>IF(HR_Data[[#This Row],[MonthlyIncome]]&lt;3000,"Low Salary",IF(HR_Data[[#This Row],[MonthlyIncome]]&lt;=7000,"Medium Salary","High Salary"))</f>
        <v>Low Salary</v>
      </c>
      <c r="AN507" t="str">
        <f>IF(HR_Data[[#This Row],[YearsAtCompany]]&lt;2,"0-1 Years",IF(HR_Data[[#This Row],[YearsAtCompany]]&lt;=5,"2-5 Years",IF(HR_Data[[#This Row],[YearsAtCompany]]&lt;=10,"6-10 Years","10+ Years")))</f>
        <v>2-5 Years</v>
      </c>
      <c r="AO507" t="str">
        <f>IF(HR_Data[[#This Row],[JobSatisfaction]]=1,"Low",IF(HR_Data[[#This Row],[JobSatisfaction]]=2,"Medium",IF(HR_Data[[#This Row],[JobSatisfaction]]=3,"High","Very High")))</f>
        <v>Very High</v>
      </c>
      <c r="AP507" t="str">
        <f>IF(HR_Data[[#This Row],[WorkLifeBalance]]=1,"Bad",IF(HR_Data[[#This Row],[WorkLifeBalance]]=2,"Good",IF(HR_Data[[#This Row],[WorkLifeBalance]]=3,"Better","Best")))</f>
        <v>Better</v>
      </c>
    </row>
    <row r="508" spans="1:42"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IF(HR_Data[[#This Row],[Attrition]]="Yes",1,0)</f>
        <v>0</v>
      </c>
      <c r="AK508">
        <f>IF(HR_Data[[#This Row],[Attrition]]="No",1,0)</f>
        <v>1</v>
      </c>
      <c r="AL508" t="str">
        <f>IF(HR_Data[[#This Row],[Age]]&lt;25,"Under 25",IF(HR_Data[[#This Row],[Age]]&lt;=34,"25-34",IF(HR_Data[[#This Row],[Age]]&lt;=44,"35-44",IF(HR_Data[[#This Row],[Age]]&lt;=54,"45-54","55+"))))</f>
        <v>35-44</v>
      </c>
      <c r="AM508" t="str">
        <f>IF(HR_Data[[#This Row],[MonthlyIncome]]&lt;3000,"Low Salary",IF(HR_Data[[#This Row],[MonthlyIncome]]&lt;=7000,"Medium Salary","High Salary"))</f>
        <v>High Salary</v>
      </c>
      <c r="AN508" t="str">
        <f>IF(HR_Data[[#This Row],[YearsAtCompany]]&lt;2,"0-1 Years",IF(HR_Data[[#This Row],[YearsAtCompany]]&lt;=5,"2-5 Years",IF(HR_Data[[#This Row],[YearsAtCompany]]&lt;=10,"6-10 Years","10+ Years")))</f>
        <v>6-10 Years</v>
      </c>
      <c r="AO508" t="str">
        <f>IF(HR_Data[[#This Row],[JobSatisfaction]]=1,"Low",IF(HR_Data[[#This Row],[JobSatisfaction]]=2,"Medium",IF(HR_Data[[#This Row],[JobSatisfaction]]=3,"High","Very High")))</f>
        <v>High</v>
      </c>
      <c r="AP508" t="str">
        <f>IF(HR_Data[[#This Row],[WorkLifeBalance]]=1,"Bad",IF(HR_Data[[#This Row],[WorkLifeBalance]]=2,"Good",IF(HR_Data[[#This Row],[WorkLifeBalance]]=3,"Better","Best")))</f>
        <v>Better</v>
      </c>
    </row>
    <row r="509" spans="1:42"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IF(HR_Data[[#This Row],[Attrition]]="Yes",1,0)</f>
        <v>0</v>
      </c>
      <c r="AK509">
        <f>IF(HR_Data[[#This Row],[Attrition]]="No",1,0)</f>
        <v>1</v>
      </c>
      <c r="AL509" t="str">
        <f>IF(HR_Data[[#This Row],[Age]]&lt;25,"Under 25",IF(HR_Data[[#This Row],[Age]]&lt;=34,"25-34",IF(HR_Data[[#This Row],[Age]]&lt;=44,"35-44",IF(HR_Data[[#This Row],[Age]]&lt;=54,"45-54","55+"))))</f>
        <v>25-34</v>
      </c>
      <c r="AM509" t="str">
        <f>IF(HR_Data[[#This Row],[MonthlyIncome]]&lt;3000,"Low Salary",IF(HR_Data[[#This Row],[MonthlyIncome]]&lt;=7000,"Medium Salary","High Salary"))</f>
        <v>Medium Salary</v>
      </c>
      <c r="AN509" t="str">
        <f>IF(HR_Data[[#This Row],[YearsAtCompany]]&lt;2,"0-1 Years",IF(HR_Data[[#This Row],[YearsAtCompany]]&lt;=5,"2-5 Years",IF(HR_Data[[#This Row],[YearsAtCompany]]&lt;=10,"6-10 Years","10+ Years")))</f>
        <v>6-10 Years</v>
      </c>
      <c r="AO509" t="str">
        <f>IF(HR_Data[[#This Row],[JobSatisfaction]]=1,"Low",IF(HR_Data[[#This Row],[JobSatisfaction]]=2,"Medium",IF(HR_Data[[#This Row],[JobSatisfaction]]=3,"High","Very High")))</f>
        <v>High</v>
      </c>
      <c r="AP509" t="str">
        <f>IF(HR_Data[[#This Row],[WorkLifeBalance]]=1,"Bad",IF(HR_Data[[#This Row],[WorkLifeBalance]]=2,"Good",IF(HR_Data[[#This Row],[WorkLifeBalance]]=3,"Better","Best")))</f>
        <v>Good</v>
      </c>
    </row>
    <row r="510" spans="1:42"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IF(HR_Data[[#This Row],[Attrition]]="Yes",1,0)</f>
        <v>0</v>
      </c>
      <c r="AK510">
        <f>IF(HR_Data[[#This Row],[Attrition]]="No",1,0)</f>
        <v>1</v>
      </c>
      <c r="AL510" t="str">
        <f>IF(HR_Data[[#This Row],[Age]]&lt;25,"Under 25",IF(HR_Data[[#This Row],[Age]]&lt;=34,"25-34",IF(HR_Data[[#This Row],[Age]]&lt;=44,"35-44",IF(HR_Data[[#This Row],[Age]]&lt;=54,"45-54","55+"))))</f>
        <v>35-44</v>
      </c>
      <c r="AM510" t="str">
        <f>IF(HR_Data[[#This Row],[MonthlyIncome]]&lt;3000,"Low Salary",IF(HR_Data[[#This Row],[MonthlyIncome]]&lt;=7000,"Medium Salary","High Salary"))</f>
        <v>Medium Salary</v>
      </c>
      <c r="AN510" t="str">
        <f>IF(HR_Data[[#This Row],[YearsAtCompany]]&lt;2,"0-1 Years",IF(HR_Data[[#This Row],[YearsAtCompany]]&lt;=5,"2-5 Years",IF(HR_Data[[#This Row],[YearsAtCompany]]&lt;=10,"6-10 Years","10+ Years")))</f>
        <v>10+ Years</v>
      </c>
      <c r="AO510" t="str">
        <f>IF(HR_Data[[#This Row],[JobSatisfaction]]=1,"Low",IF(HR_Data[[#This Row],[JobSatisfaction]]=2,"Medium",IF(HR_Data[[#This Row],[JobSatisfaction]]=3,"High","Very High")))</f>
        <v>Very High</v>
      </c>
      <c r="AP510" t="str">
        <f>IF(HR_Data[[#This Row],[WorkLifeBalance]]=1,"Bad",IF(HR_Data[[#This Row],[WorkLifeBalance]]=2,"Good",IF(HR_Data[[#This Row],[WorkLifeBalance]]=3,"Better","Best")))</f>
        <v>Better</v>
      </c>
    </row>
    <row r="511" spans="1:42"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IF(HR_Data[[#This Row],[Attrition]]="Yes",1,0)</f>
        <v>0</v>
      </c>
      <c r="AK511">
        <f>IF(HR_Data[[#This Row],[Attrition]]="No",1,0)</f>
        <v>1</v>
      </c>
      <c r="AL511" t="str">
        <f>IF(HR_Data[[#This Row],[Age]]&lt;25,"Under 25",IF(HR_Data[[#This Row],[Age]]&lt;=34,"25-34",IF(HR_Data[[#This Row],[Age]]&lt;=44,"35-44",IF(HR_Data[[#This Row],[Age]]&lt;=54,"45-54","55+"))))</f>
        <v>25-34</v>
      </c>
      <c r="AM511" t="str">
        <f>IF(HR_Data[[#This Row],[MonthlyIncome]]&lt;3000,"Low Salary",IF(HR_Data[[#This Row],[MonthlyIncome]]&lt;=7000,"Medium Salary","High Salary"))</f>
        <v>High Salary</v>
      </c>
      <c r="AN511" t="str">
        <f>IF(HR_Data[[#This Row],[YearsAtCompany]]&lt;2,"0-1 Years",IF(HR_Data[[#This Row],[YearsAtCompany]]&lt;=5,"2-5 Years",IF(HR_Data[[#This Row],[YearsAtCompany]]&lt;=10,"6-10 Years","10+ Years")))</f>
        <v>10+ Years</v>
      </c>
      <c r="AO511" t="str">
        <f>IF(HR_Data[[#This Row],[JobSatisfaction]]=1,"Low",IF(HR_Data[[#This Row],[JobSatisfaction]]=2,"Medium",IF(HR_Data[[#This Row],[JobSatisfaction]]=3,"High","Very High")))</f>
        <v>Very High</v>
      </c>
      <c r="AP511" t="str">
        <f>IF(HR_Data[[#This Row],[WorkLifeBalance]]=1,"Bad",IF(HR_Data[[#This Row],[WorkLifeBalance]]=2,"Good",IF(HR_Data[[#This Row],[WorkLifeBalance]]=3,"Better","Best")))</f>
        <v>Bad</v>
      </c>
    </row>
    <row r="512" spans="1:42"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IF(HR_Data[[#This Row],[Attrition]]="Yes",1,0)</f>
        <v>0</v>
      </c>
      <c r="AK512">
        <f>IF(HR_Data[[#This Row],[Attrition]]="No",1,0)</f>
        <v>1</v>
      </c>
      <c r="AL512" t="str">
        <f>IF(HR_Data[[#This Row],[Age]]&lt;25,"Under 25",IF(HR_Data[[#This Row],[Age]]&lt;=34,"25-34",IF(HR_Data[[#This Row],[Age]]&lt;=44,"35-44",IF(HR_Data[[#This Row],[Age]]&lt;=54,"45-54","55+"))))</f>
        <v>45-54</v>
      </c>
      <c r="AM512" t="str">
        <f>IF(HR_Data[[#This Row],[MonthlyIncome]]&lt;3000,"Low Salary",IF(HR_Data[[#This Row],[MonthlyIncome]]&lt;=7000,"Medium Salary","High Salary"))</f>
        <v>High Salary</v>
      </c>
      <c r="AN512" t="str">
        <f>IF(HR_Data[[#This Row],[YearsAtCompany]]&lt;2,"0-1 Years",IF(HR_Data[[#This Row],[YearsAtCompany]]&lt;=5,"2-5 Years",IF(HR_Data[[#This Row],[YearsAtCompany]]&lt;=10,"6-10 Years","10+ Years")))</f>
        <v>6-10 Years</v>
      </c>
      <c r="AO512" t="str">
        <f>IF(HR_Data[[#This Row],[JobSatisfaction]]=1,"Low",IF(HR_Data[[#This Row],[JobSatisfaction]]=2,"Medium",IF(HR_Data[[#This Row],[JobSatisfaction]]=3,"High","Very High")))</f>
        <v>Medium</v>
      </c>
      <c r="AP512" t="str">
        <f>IF(HR_Data[[#This Row],[WorkLifeBalance]]=1,"Bad",IF(HR_Data[[#This Row],[WorkLifeBalance]]=2,"Good",IF(HR_Data[[#This Row],[WorkLifeBalance]]=3,"Better","Best")))</f>
        <v>Best</v>
      </c>
    </row>
    <row r="513" spans="1:42"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IF(HR_Data[[#This Row],[Attrition]]="Yes",1,0)</f>
        <v>0</v>
      </c>
      <c r="AK513">
        <f>IF(HR_Data[[#This Row],[Attrition]]="No",1,0)</f>
        <v>1</v>
      </c>
      <c r="AL513" t="str">
        <f>IF(HR_Data[[#This Row],[Age]]&lt;25,"Under 25",IF(HR_Data[[#This Row],[Age]]&lt;=34,"25-34",IF(HR_Data[[#This Row],[Age]]&lt;=44,"35-44",IF(HR_Data[[#This Row],[Age]]&lt;=54,"45-54","55+"))))</f>
        <v>35-44</v>
      </c>
      <c r="AM513" t="str">
        <f>IF(HR_Data[[#This Row],[MonthlyIncome]]&lt;3000,"Low Salary",IF(HR_Data[[#This Row],[MonthlyIncome]]&lt;=7000,"Medium Salary","High Salary"))</f>
        <v>High Salary</v>
      </c>
      <c r="AN513" t="str">
        <f>IF(HR_Data[[#This Row],[YearsAtCompany]]&lt;2,"0-1 Years",IF(HR_Data[[#This Row],[YearsAtCompany]]&lt;=5,"2-5 Years",IF(HR_Data[[#This Row],[YearsAtCompany]]&lt;=10,"6-10 Years","10+ Years")))</f>
        <v>2-5 Years</v>
      </c>
      <c r="AO513" t="str">
        <f>IF(HR_Data[[#This Row],[JobSatisfaction]]=1,"Low",IF(HR_Data[[#This Row],[JobSatisfaction]]=2,"Medium",IF(HR_Data[[#This Row],[JobSatisfaction]]=3,"High","Very High")))</f>
        <v>Medium</v>
      </c>
      <c r="AP513" t="str">
        <f>IF(HR_Data[[#This Row],[WorkLifeBalance]]=1,"Bad",IF(HR_Data[[#This Row],[WorkLifeBalance]]=2,"Good",IF(HR_Data[[#This Row],[WorkLifeBalance]]=3,"Better","Best")))</f>
        <v>Better</v>
      </c>
    </row>
    <row r="514" spans="1:42"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IF(HR_Data[[#This Row],[Attrition]]="Yes",1,0)</f>
        <v>0</v>
      </c>
      <c r="AK514">
        <f>IF(HR_Data[[#This Row],[Attrition]]="No",1,0)</f>
        <v>1</v>
      </c>
      <c r="AL514" t="str">
        <f>IF(HR_Data[[#This Row],[Age]]&lt;25,"Under 25",IF(HR_Data[[#This Row],[Age]]&lt;=34,"25-34",IF(HR_Data[[#This Row],[Age]]&lt;=44,"35-44",IF(HR_Data[[#This Row],[Age]]&lt;=54,"45-54","55+"))))</f>
        <v>25-34</v>
      </c>
      <c r="AM514" t="str">
        <f>IF(HR_Data[[#This Row],[MonthlyIncome]]&lt;3000,"Low Salary",IF(HR_Data[[#This Row],[MonthlyIncome]]&lt;=7000,"Medium Salary","High Salary"))</f>
        <v>Low Salary</v>
      </c>
      <c r="AN514" t="str">
        <f>IF(HR_Data[[#This Row],[YearsAtCompany]]&lt;2,"0-1 Years",IF(HR_Data[[#This Row],[YearsAtCompany]]&lt;=5,"2-5 Years",IF(HR_Data[[#This Row],[YearsAtCompany]]&lt;=10,"6-10 Years","10+ Years")))</f>
        <v>2-5 Years</v>
      </c>
      <c r="AO514" t="str">
        <f>IF(HR_Data[[#This Row],[JobSatisfaction]]=1,"Low",IF(HR_Data[[#This Row],[JobSatisfaction]]=2,"Medium",IF(HR_Data[[#This Row],[JobSatisfaction]]=3,"High","Very High")))</f>
        <v>Very High</v>
      </c>
      <c r="AP514" t="str">
        <f>IF(HR_Data[[#This Row],[WorkLifeBalance]]=1,"Bad",IF(HR_Data[[#This Row],[WorkLifeBalance]]=2,"Good",IF(HR_Data[[#This Row],[WorkLifeBalance]]=3,"Better","Best")))</f>
        <v>Better</v>
      </c>
    </row>
    <row r="515" spans="1:42"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IF(HR_Data[[#This Row],[Attrition]]="Yes",1,0)</f>
        <v>1</v>
      </c>
      <c r="AK515">
        <f>IF(HR_Data[[#This Row],[Attrition]]="No",1,0)</f>
        <v>0</v>
      </c>
      <c r="AL515" t="str">
        <f>IF(HR_Data[[#This Row],[Age]]&lt;25,"Under 25",IF(HR_Data[[#This Row],[Age]]&lt;=34,"25-34",IF(HR_Data[[#This Row],[Age]]&lt;=44,"35-44",IF(HR_Data[[#This Row],[Age]]&lt;=54,"45-54","55+"))))</f>
        <v>Under 25</v>
      </c>
      <c r="AM515" t="str">
        <f>IF(HR_Data[[#This Row],[MonthlyIncome]]&lt;3000,"Low Salary",IF(HR_Data[[#This Row],[MonthlyIncome]]&lt;=7000,"Medium Salary","High Salary"))</f>
        <v>Low Salary</v>
      </c>
      <c r="AN515" t="str">
        <f>IF(HR_Data[[#This Row],[YearsAtCompany]]&lt;2,"0-1 Years",IF(HR_Data[[#This Row],[YearsAtCompany]]&lt;=5,"2-5 Years",IF(HR_Data[[#This Row],[YearsAtCompany]]&lt;=10,"6-10 Years","10+ Years")))</f>
        <v>0-1 Years</v>
      </c>
      <c r="AO515" t="str">
        <f>IF(HR_Data[[#This Row],[JobSatisfaction]]=1,"Low",IF(HR_Data[[#This Row],[JobSatisfaction]]=2,"Medium",IF(HR_Data[[#This Row],[JobSatisfaction]]=3,"High","Very High")))</f>
        <v>High</v>
      </c>
      <c r="AP515" t="str">
        <f>IF(HR_Data[[#This Row],[WorkLifeBalance]]=1,"Bad",IF(HR_Data[[#This Row],[WorkLifeBalance]]=2,"Good",IF(HR_Data[[#This Row],[WorkLifeBalance]]=3,"Better","Best")))</f>
        <v>Better</v>
      </c>
    </row>
    <row r="516" spans="1:42"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IF(HR_Data[[#This Row],[Attrition]]="Yes",1,0)</f>
        <v>1</v>
      </c>
      <c r="AK516">
        <f>IF(HR_Data[[#This Row],[Attrition]]="No",1,0)</f>
        <v>0</v>
      </c>
      <c r="AL516" t="str">
        <f>IF(HR_Data[[#This Row],[Age]]&lt;25,"Under 25",IF(HR_Data[[#This Row],[Age]]&lt;=34,"25-34",IF(HR_Data[[#This Row],[Age]]&lt;=44,"35-44",IF(HR_Data[[#This Row],[Age]]&lt;=54,"45-54","55+"))))</f>
        <v>25-34</v>
      </c>
      <c r="AM516" t="str">
        <f>IF(HR_Data[[#This Row],[MonthlyIncome]]&lt;3000,"Low Salary",IF(HR_Data[[#This Row],[MonthlyIncome]]&lt;=7000,"Medium Salary","High Salary"))</f>
        <v>Medium Salary</v>
      </c>
      <c r="AN516" t="str">
        <f>IF(HR_Data[[#This Row],[YearsAtCompany]]&lt;2,"0-1 Years",IF(HR_Data[[#This Row],[YearsAtCompany]]&lt;=5,"2-5 Years",IF(HR_Data[[#This Row],[YearsAtCompany]]&lt;=10,"6-10 Years","10+ Years")))</f>
        <v>6-10 Years</v>
      </c>
      <c r="AO516" t="str">
        <f>IF(HR_Data[[#This Row],[JobSatisfaction]]=1,"Low",IF(HR_Data[[#This Row],[JobSatisfaction]]=2,"Medium",IF(HR_Data[[#This Row],[JobSatisfaction]]=3,"High","Very High")))</f>
        <v>Low</v>
      </c>
      <c r="AP516" t="str">
        <f>IF(HR_Data[[#This Row],[WorkLifeBalance]]=1,"Bad",IF(HR_Data[[#This Row],[WorkLifeBalance]]=2,"Good",IF(HR_Data[[#This Row],[WorkLifeBalance]]=3,"Better","Best")))</f>
        <v>Better</v>
      </c>
    </row>
    <row r="517" spans="1:42"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IF(HR_Data[[#This Row],[Attrition]]="Yes",1,0)</f>
        <v>0</v>
      </c>
      <c r="AK517">
        <f>IF(HR_Data[[#This Row],[Attrition]]="No",1,0)</f>
        <v>1</v>
      </c>
      <c r="AL517" t="str">
        <f>IF(HR_Data[[#This Row],[Age]]&lt;25,"Under 25",IF(HR_Data[[#This Row],[Age]]&lt;=34,"25-34",IF(HR_Data[[#This Row],[Age]]&lt;=44,"35-44",IF(HR_Data[[#This Row],[Age]]&lt;=54,"45-54","55+"))))</f>
        <v>35-44</v>
      </c>
      <c r="AM517" t="str">
        <f>IF(HR_Data[[#This Row],[MonthlyIncome]]&lt;3000,"Low Salary",IF(HR_Data[[#This Row],[MonthlyIncome]]&lt;=7000,"Medium Salary","High Salary"))</f>
        <v>Low Salary</v>
      </c>
      <c r="AN517" t="str">
        <f>IF(HR_Data[[#This Row],[YearsAtCompany]]&lt;2,"0-1 Years",IF(HR_Data[[#This Row],[YearsAtCompany]]&lt;=5,"2-5 Years",IF(HR_Data[[#This Row],[YearsAtCompany]]&lt;=10,"6-10 Years","10+ Years")))</f>
        <v>0-1 Years</v>
      </c>
      <c r="AO517" t="str">
        <f>IF(HR_Data[[#This Row],[JobSatisfaction]]=1,"Low",IF(HR_Data[[#This Row],[JobSatisfaction]]=2,"Medium",IF(HR_Data[[#This Row],[JobSatisfaction]]=3,"High","Very High")))</f>
        <v>High</v>
      </c>
      <c r="AP517" t="str">
        <f>IF(HR_Data[[#This Row],[WorkLifeBalance]]=1,"Bad",IF(HR_Data[[#This Row],[WorkLifeBalance]]=2,"Good",IF(HR_Data[[#This Row],[WorkLifeBalance]]=3,"Better","Best")))</f>
        <v>Better</v>
      </c>
    </row>
    <row r="518" spans="1:42"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IF(HR_Data[[#This Row],[Attrition]]="Yes",1,0)</f>
        <v>0</v>
      </c>
      <c r="AK518">
        <f>IF(HR_Data[[#This Row],[Attrition]]="No",1,0)</f>
        <v>1</v>
      </c>
      <c r="AL518" t="str">
        <f>IF(HR_Data[[#This Row],[Age]]&lt;25,"Under 25",IF(HR_Data[[#This Row],[Age]]&lt;=34,"25-34",IF(HR_Data[[#This Row],[Age]]&lt;=44,"35-44",IF(HR_Data[[#This Row],[Age]]&lt;=54,"45-54","55+"))))</f>
        <v>Under 25</v>
      </c>
      <c r="AM518" t="str">
        <f>IF(HR_Data[[#This Row],[MonthlyIncome]]&lt;3000,"Low Salary",IF(HR_Data[[#This Row],[MonthlyIncome]]&lt;=7000,"Medium Salary","High Salary"))</f>
        <v>Low Salary</v>
      </c>
      <c r="AN518" t="str">
        <f>IF(HR_Data[[#This Row],[YearsAtCompany]]&lt;2,"0-1 Years",IF(HR_Data[[#This Row],[YearsAtCompany]]&lt;=5,"2-5 Years",IF(HR_Data[[#This Row],[YearsAtCompany]]&lt;=10,"6-10 Years","10+ Years")))</f>
        <v>2-5 Years</v>
      </c>
      <c r="AO518" t="str">
        <f>IF(HR_Data[[#This Row],[JobSatisfaction]]=1,"Low",IF(HR_Data[[#This Row],[JobSatisfaction]]=2,"Medium",IF(HR_Data[[#This Row],[JobSatisfaction]]=3,"High","Very High")))</f>
        <v>Low</v>
      </c>
      <c r="AP518" t="str">
        <f>IF(HR_Data[[#This Row],[WorkLifeBalance]]=1,"Bad",IF(HR_Data[[#This Row],[WorkLifeBalance]]=2,"Good",IF(HR_Data[[#This Row],[WorkLifeBalance]]=3,"Better","Best")))</f>
        <v>Best</v>
      </c>
    </row>
    <row r="519" spans="1:42"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IF(HR_Data[[#This Row],[Attrition]]="Yes",1,0)</f>
        <v>0</v>
      </c>
      <c r="AK519">
        <f>IF(HR_Data[[#This Row],[Attrition]]="No",1,0)</f>
        <v>1</v>
      </c>
      <c r="AL519" t="str">
        <f>IF(HR_Data[[#This Row],[Age]]&lt;25,"Under 25",IF(HR_Data[[#This Row],[Age]]&lt;=34,"25-34",IF(HR_Data[[#This Row],[Age]]&lt;=44,"35-44",IF(HR_Data[[#This Row],[Age]]&lt;=54,"45-54","55+"))))</f>
        <v>25-34</v>
      </c>
      <c r="AM519" t="str">
        <f>IF(HR_Data[[#This Row],[MonthlyIncome]]&lt;3000,"Low Salary",IF(HR_Data[[#This Row],[MonthlyIncome]]&lt;=7000,"Medium Salary","High Salary"))</f>
        <v>Medium Salary</v>
      </c>
      <c r="AN519" t="str">
        <f>IF(HR_Data[[#This Row],[YearsAtCompany]]&lt;2,"0-1 Years",IF(HR_Data[[#This Row],[YearsAtCompany]]&lt;=5,"2-5 Years",IF(HR_Data[[#This Row],[YearsAtCompany]]&lt;=10,"6-10 Years","10+ Years")))</f>
        <v>2-5 Years</v>
      </c>
      <c r="AO519" t="str">
        <f>IF(HR_Data[[#This Row],[JobSatisfaction]]=1,"Low",IF(HR_Data[[#This Row],[JobSatisfaction]]=2,"Medium",IF(HR_Data[[#This Row],[JobSatisfaction]]=3,"High","Very High")))</f>
        <v>Medium</v>
      </c>
      <c r="AP519" t="str">
        <f>IF(HR_Data[[#This Row],[WorkLifeBalance]]=1,"Bad",IF(HR_Data[[#This Row],[WorkLifeBalance]]=2,"Good",IF(HR_Data[[#This Row],[WorkLifeBalance]]=3,"Better","Best")))</f>
        <v>Better</v>
      </c>
    </row>
    <row r="520" spans="1:42"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IF(HR_Data[[#This Row],[Attrition]]="Yes",1,0)</f>
        <v>0</v>
      </c>
      <c r="AK520">
        <f>IF(HR_Data[[#This Row],[Attrition]]="No",1,0)</f>
        <v>1</v>
      </c>
      <c r="AL520" t="str">
        <f>IF(HR_Data[[#This Row],[Age]]&lt;25,"Under 25",IF(HR_Data[[#This Row],[Age]]&lt;=34,"25-34",IF(HR_Data[[#This Row],[Age]]&lt;=44,"35-44",IF(HR_Data[[#This Row],[Age]]&lt;=54,"45-54","55+"))))</f>
        <v>35-44</v>
      </c>
      <c r="AM520" t="str">
        <f>IF(HR_Data[[#This Row],[MonthlyIncome]]&lt;3000,"Low Salary",IF(HR_Data[[#This Row],[MonthlyIncome]]&lt;=7000,"Medium Salary","High Salary"))</f>
        <v>Medium Salary</v>
      </c>
      <c r="AN520" t="str">
        <f>IF(HR_Data[[#This Row],[YearsAtCompany]]&lt;2,"0-1 Years",IF(HR_Data[[#This Row],[YearsAtCompany]]&lt;=5,"2-5 Years",IF(HR_Data[[#This Row],[YearsAtCompany]]&lt;=10,"6-10 Years","10+ Years")))</f>
        <v>6-10 Years</v>
      </c>
      <c r="AO520" t="str">
        <f>IF(HR_Data[[#This Row],[JobSatisfaction]]=1,"Low",IF(HR_Data[[#This Row],[JobSatisfaction]]=2,"Medium",IF(HR_Data[[#This Row],[JobSatisfaction]]=3,"High","Very High")))</f>
        <v>Very High</v>
      </c>
      <c r="AP520" t="str">
        <f>IF(HR_Data[[#This Row],[WorkLifeBalance]]=1,"Bad",IF(HR_Data[[#This Row],[WorkLifeBalance]]=2,"Good",IF(HR_Data[[#This Row],[WorkLifeBalance]]=3,"Better","Best")))</f>
        <v>Better</v>
      </c>
    </row>
    <row r="521" spans="1:42"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IF(HR_Data[[#This Row],[Attrition]]="Yes",1,0)</f>
        <v>0</v>
      </c>
      <c r="AK521">
        <f>IF(HR_Data[[#This Row],[Attrition]]="No",1,0)</f>
        <v>1</v>
      </c>
      <c r="AL521" t="str">
        <f>IF(HR_Data[[#This Row],[Age]]&lt;25,"Under 25",IF(HR_Data[[#This Row],[Age]]&lt;=34,"25-34",IF(HR_Data[[#This Row],[Age]]&lt;=44,"35-44",IF(HR_Data[[#This Row],[Age]]&lt;=54,"45-54","55+"))))</f>
        <v>25-34</v>
      </c>
      <c r="AM521" t="str">
        <f>IF(HR_Data[[#This Row],[MonthlyIncome]]&lt;3000,"Low Salary",IF(HR_Data[[#This Row],[MonthlyIncome]]&lt;=7000,"Medium Salary","High Salary"))</f>
        <v>Low Salary</v>
      </c>
      <c r="AN521" t="str">
        <f>IF(HR_Data[[#This Row],[YearsAtCompany]]&lt;2,"0-1 Years",IF(HR_Data[[#This Row],[YearsAtCompany]]&lt;=5,"2-5 Years",IF(HR_Data[[#This Row],[YearsAtCompany]]&lt;=10,"6-10 Years","10+ Years")))</f>
        <v>6-10 Years</v>
      </c>
      <c r="AO521" t="str">
        <f>IF(HR_Data[[#This Row],[JobSatisfaction]]=1,"Low",IF(HR_Data[[#This Row],[JobSatisfaction]]=2,"Medium",IF(HR_Data[[#This Row],[JobSatisfaction]]=3,"High","Very High")))</f>
        <v>Very High</v>
      </c>
      <c r="AP521" t="str">
        <f>IF(HR_Data[[#This Row],[WorkLifeBalance]]=1,"Bad",IF(HR_Data[[#This Row],[WorkLifeBalance]]=2,"Good",IF(HR_Data[[#This Row],[WorkLifeBalance]]=3,"Better","Best")))</f>
        <v>Better</v>
      </c>
    </row>
    <row r="522" spans="1:42"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IF(HR_Data[[#This Row],[Attrition]]="Yes",1,0)</f>
        <v>0</v>
      </c>
      <c r="AK522">
        <f>IF(HR_Data[[#This Row],[Attrition]]="No",1,0)</f>
        <v>1</v>
      </c>
      <c r="AL522" t="str">
        <f>IF(HR_Data[[#This Row],[Age]]&lt;25,"Under 25",IF(HR_Data[[#This Row],[Age]]&lt;=34,"25-34",IF(HR_Data[[#This Row],[Age]]&lt;=44,"35-44",IF(HR_Data[[#This Row],[Age]]&lt;=54,"45-54","55+"))))</f>
        <v>45-54</v>
      </c>
      <c r="AM522" t="str">
        <f>IF(HR_Data[[#This Row],[MonthlyIncome]]&lt;3000,"Low Salary",IF(HR_Data[[#This Row],[MonthlyIncome]]&lt;=7000,"Medium Salary","High Salary"))</f>
        <v>High Salary</v>
      </c>
      <c r="AN522" t="str">
        <f>IF(HR_Data[[#This Row],[YearsAtCompany]]&lt;2,"0-1 Years",IF(HR_Data[[#This Row],[YearsAtCompany]]&lt;=5,"2-5 Years",IF(HR_Data[[#This Row],[YearsAtCompany]]&lt;=10,"6-10 Years","10+ Years")))</f>
        <v>2-5 Years</v>
      </c>
      <c r="AO522" t="str">
        <f>IF(HR_Data[[#This Row],[JobSatisfaction]]=1,"Low",IF(HR_Data[[#This Row],[JobSatisfaction]]=2,"Medium",IF(HR_Data[[#This Row],[JobSatisfaction]]=3,"High","Very High")))</f>
        <v>Medium</v>
      </c>
      <c r="AP522" t="str">
        <f>IF(HR_Data[[#This Row],[WorkLifeBalance]]=1,"Bad",IF(HR_Data[[#This Row],[WorkLifeBalance]]=2,"Good",IF(HR_Data[[#This Row],[WorkLifeBalance]]=3,"Better","Best")))</f>
        <v>Better</v>
      </c>
    </row>
    <row r="523" spans="1:42"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IF(HR_Data[[#This Row],[Attrition]]="Yes",1,0)</f>
        <v>0</v>
      </c>
      <c r="AK523">
        <f>IF(HR_Data[[#This Row],[Attrition]]="No",1,0)</f>
        <v>1</v>
      </c>
      <c r="AL523" t="str">
        <f>IF(HR_Data[[#This Row],[Age]]&lt;25,"Under 25",IF(HR_Data[[#This Row],[Age]]&lt;=34,"25-34",IF(HR_Data[[#This Row],[Age]]&lt;=44,"35-44",IF(HR_Data[[#This Row],[Age]]&lt;=54,"45-54","55+"))))</f>
        <v>25-34</v>
      </c>
      <c r="AM523" t="str">
        <f>IF(HR_Data[[#This Row],[MonthlyIncome]]&lt;3000,"Low Salary",IF(HR_Data[[#This Row],[MonthlyIncome]]&lt;=7000,"Medium Salary","High Salary"))</f>
        <v>Medium Salary</v>
      </c>
      <c r="AN523" t="str">
        <f>IF(HR_Data[[#This Row],[YearsAtCompany]]&lt;2,"0-1 Years",IF(HR_Data[[#This Row],[YearsAtCompany]]&lt;=5,"2-5 Years",IF(HR_Data[[#This Row],[YearsAtCompany]]&lt;=10,"6-10 Years","10+ Years")))</f>
        <v>6-10 Years</v>
      </c>
      <c r="AO523" t="str">
        <f>IF(HR_Data[[#This Row],[JobSatisfaction]]=1,"Low",IF(HR_Data[[#This Row],[JobSatisfaction]]=2,"Medium",IF(HR_Data[[#This Row],[JobSatisfaction]]=3,"High","Very High")))</f>
        <v>Very High</v>
      </c>
      <c r="AP523" t="str">
        <f>IF(HR_Data[[#This Row],[WorkLifeBalance]]=1,"Bad",IF(HR_Data[[#This Row],[WorkLifeBalance]]=2,"Good",IF(HR_Data[[#This Row],[WorkLifeBalance]]=3,"Better","Best")))</f>
        <v>Better</v>
      </c>
    </row>
    <row r="524" spans="1:42"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IF(HR_Data[[#This Row],[Attrition]]="Yes",1,0)</f>
        <v>0</v>
      </c>
      <c r="AK524">
        <f>IF(HR_Data[[#This Row],[Attrition]]="No",1,0)</f>
        <v>1</v>
      </c>
      <c r="AL524" t="str">
        <f>IF(HR_Data[[#This Row],[Age]]&lt;25,"Under 25",IF(HR_Data[[#This Row],[Age]]&lt;=34,"25-34",IF(HR_Data[[#This Row],[Age]]&lt;=44,"35-44",IF(HR_Data[[#This Row],[Age]]&lt;=54,"45-54","55+"))))</f>
        <v>35-44</v>
      </c>
      <c r="AM524" t="str">
        <f>IF(HR_Data[[#This Row],[MonthlyIncome]]&lt;3000,"Low Salary",IF(HR_Data[[#This Row],[MonthlyIncome]]&lt;=7000,"Medium Salary","High Salary"))</f>
        <v>Medium Salary</v>
      </c>
      <c r="AN524" t="str">
        <f>IF(HR_Data[[#This Row],[YearsAtCompany]]&lt;2,"0-1 Years",IF(HR_Data[[#This Row],[YearsAtCompany]]&lt;=5,"2-5 Years",IF(HR_Data[[#This Row],[YearsAtCompany]]&lt;=10,"6-10 Years","10+ Years")))</f>
        <v>0-1 Years</v>
      </c>
      <c r="AO524" t="str">
        <f>IF(HR_Data[[#This Row],[JobSatisfaction]]=1,"Low",IF(HR_Data[[#This Row],[JobSatisfaction]]=2,"Medium",IF(HR_Data[[#This Row],[JobSatisfaction]]=3,"High","Very High")))</f>
        <v>Very High</v>
      </c>
      <c r="AP524" t="str">
        <f>IF(HR_Data[[#This Row],[WorkLifeBalance]]=1,"Bad",IF(HR_Data[[#This Row],[WorkLifeBalance]]=2,"Good",IF(HR_Data[[#This Row],[WorkLifeBalance]]=3,"Better","Best")))</f>
        <v>Better</v>
      </c>
    </row>
    <row r="525" spans="1:42"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IF(HR_Data[[#This Row],[Attrition]]="Yes",1,0)</f>
        <v>0</v>
      </c>
      <c r="AK525">
        <f>IF(HR_Data[[#This Row],[Attrition]]="No",1,0)</f>
        <v>1</v>
      </c>
      <c r="AL525" t="str">
        <f>IF(HR_Data[[#This Row],[Age]]&lt;25,"Under 25",IF(HR_Data[[#This Row],[Age]]&lt;=34,"25-34",IF(HR_Data[[#This Row],[Age]]&lt;=44,"35-44",IF(HR_Data[[#This Row],[Age]]&lt;=54,"45-54","55+"))))</f>
        <v>45-54</v>
      </c>
      <c r="AM525" t="str">
        <f>IF(HR_Data[[#This Row],[MonthlyIncome]]&lt;3000,"Low Salary",IF(HR_Data[[#This Row],[MonthlyIncome]]&lt;=7000,"Medium Salary","High Salary"))</f>
        <v>Medium Salary</v>
      </c>
      <c r="AN525" t="str">
        <f>IF(HR_Data[[#This Row],[YearsAtCompany]]&lt;2,"0-1 Years",IF(HR_Data[[#This Row],[YearsAtCompany]]&lt;=5,"2-5 Years",IF(HR_Data[[#This Row],[YearsAtCompany]]&lt;=10,"6-10 Years","10+ Years")))</f>
        <v>10+ Years</v>
      </c>
      <c r="AO525" t="str">
        <f>IF(HR_Data[[#This Row],[JobSatisfaction]]=1,"Low",IF(HR_Data[[#This Row],[JobSatisfaction]]=2,"Medium",IF(HR_Data[[#This Row],[JobSatisfaction]]=3,"High","Very High")))</f>
        <v>High</v>
      </c>
      <c r="AP525" t="str">
        <f>IF(HR_Data[[#This Row],[WorkLifeBalance]]=1,"Bad",IF(HR_Data[[#This Row],[WorkLifeBalance]]=2,"Good",IF(HR_Data[[#This Row],[WorkLifeBalance]]=3,"Better","Best")))</f>
        <v>Better</v>
      </c>
    </row>
    <row r="526" spans="1:42"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IF(HR_Data[[#This Row],[Attrition]]="Yes",1,0)</f>
        <v>0</v>
      </c>
      <c r="AK526">
        <f>IF(HR_Data[[#This Row],[Attrition]]="No",1,0)</f>
        <v>1</v>
      </c>
      <c r="AL526" t="str">
        <f>IF(HR_Data[[#This Row],[Age]]&lt;25,"Under 25",IF(HR_Data[[#This Row],[Age]]&lt;=34,"25-34",IF(HR_Data[[#This Row],[Age]]&lt;=44,"35-44",IF(HR_Data[[#This Row],[Age]]&lt;=54,"45-54","55+"))))</f>
        <v>25-34</v>
      </c>
      <c r="AM526" t="str">
        <f>IF(HR_Data[[#This Row],[MonthlyIncome]]&lt;3000,"Low Salary",IF(HR_Data[[#This Row],[MonthlyIncome]]&lt;=7000,"Medium Salary","High Salary"))</f>
        <v>High Salary</v>
      </c>
      <c r="AN526" t="str">
        <f>IF(HR_Data[[#This Row],[YearsAtCompany]]&lt;2,"0-1 Years",IF(HR_Data[[#This Row],[YearsAtCompany]]&lt;=5,"2-5 Years",IF(HR_Data[[#This Row],[YearsAtCompany]]&lt;=10,"6-10 Years","10+ Years")))</f>
        <v>6-10 Years</v>
      </c>
      <c r="AO526" t="str">
        <f>IF(HR_Data[[#This Row],[JobSatisfaction]]=1,"Low",IF(HR_Data[[#This Row],[JobSatisfaction]]=2,"Medium",IF(HR_Data[[#This Row],[JobSatisfaction]]=3,"High","Very High")))</f>
        <v>Medium</v>
      </c>
      <c r="AP526" t="str">
        <f>IF(HR_Data[[#This Row],[WorkLifeBalance]]=1,"Bad",IF(HR_Data[[#This Row],[WorkLifeBalance]]=2,"Good",IF(HR_Data[[#This Row],[WorkLifeBalance]]=3,"Better","Best")))</f>
        <v>Best</v>
      </c>
    </row>
    <row r="527" spans="1:42"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IF(HR_Data[[#This Row],[Attrition]]="Yes",1,0)</f>
        <v>1</v>
      </c>
      <c r="AK527">
        <f>IF(HR_Data[[#This Row],[Attrition]]="No",1,0)</f>
        <v>0</v>
      </c>
      <c r="AL527" t="str">
        <f>IF(HR_Data[[#This Row],[Age]]&lt;25,"Under 25",IF(HR_Data[[#This Row],[Age]]&lt;=34,"25-34",IF(HR_Data[[#This Row],[Age]]&lt;=44,"35-44",IF(HR_Data[[#This Row],[Age]]&lt;=54,"45-54","55+"))))</f>
        <v>Under 25</v>
      </c>
      <c r="AM527" t="str">
        <f>IF(HR_Data[[#This Row],[MonthlyIncome]]&lt;3000,"Low Salary",IF(HR_Data[[#This Row],[MonthlyIncome]]&lt;=7000,"Medium Salary","High Salary"))</f>
        <v>Medium Salary</v>
      </c>
      <c r="AN527" t="str">
        <f>IF(HR_Data[[#This Row],[YearsAtCompany]]&lt;2,"0-1 Years",IF(HR_Data[[#This Row],[YearsAtCompany]]&lt;=5,"2-5 Years",IF(HR_Data[[#This Row],[YearsAtCompany]]&lt;=10,"6-10 Years","10+ Years")))</f>
        <v>2-5 Years</v>
      </c>
      <c r="AO527" t="str">
        <f>IF(HR_Data[[#This Row],[JobSatisfaction]]=1,"Low",IF(HR_Data[[#This Row],[JobSatisfaction]]=2,"Medium",IF(HR_Data[[#This Row],[JobSatisfaction]]=3,"High","Very High")))</f>
        <v>High</v>
      </c>
      <c r="AP527" t="str">
        <f>IF(HR_Data[[#This Row],[WorkLifeBalance]]=1,"Bad",IF(HR_Data[[#This Row],[WorkLifeBalance]]=2,"Good",IF(HR_Data[[#This Row],[WorkLifeBalance]]=3,"Better","Best")))</f>
        <v>Better</v>
      </c>
    </row>
    <row r="528" spans="1:42"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IF(HR_Data[[#This Row],[Attrition]]="Yes",1,0)</f>
        <v>0</v>
      </c>
      <c r="AK528">
        <f>IF(HR_Data[[#This Row],[Attrition]]="No",1,0)</f>
        <v>1</v>
      </c>
      <c r="AL528" t="str">
        <f>IF(HR_Data[[#This Row],[Age]]&lt;25,"Under 25",IF(HR_Data[[#This Row],[Age]]&lt;=34,"25-34",IF(HR_Data[[#This Row],[Age]]&lt;=44,"35-44",IF(HR_Data[[#This Row],[Age]]&lt;=54,"45-54","55+"))))</f>
        <v>35-44</v>
      </c>
      <c r="AM528" t="str">
        <f>IF(HR_Data[[#This Row],[MonthlyIncome]]&lt;3000,"Low Salary",IF(HR_Data[[#This Row],[MonthlyIncome]]&lt;=7000,"Medium Salary","High Salary"))</f>
        <v>Medium Salary</v>
      </c>
      <c r="AN528" t="str">
        <f>IF(HR_Data[[#This Row],[YearsAtCompany]]&lt;2,"0-1 Years",IF(HR_Data[[#This Row],[YearsAtCompany]]&lt;=5,"2-5 Years",IF(HR_Data[[#This Row],[YearsAtCompany]]&lt;=10,"6-10 Years","10+ Years")))</f>
        <v>10+ Years</v>
      </c>
      <c r="AO528" t="str">
        <f>IF(HR_Data[[#This Row],[JobSatisfaction]]=1,"Low",IF(HR_Data[[#This Row],[JobSatisfaction]]=2,"Medium",IF(HR_Data[[#This Row],[JobSatisfaction]]=3,"High","Very High")))</f>
        <v>High</v>
      </c>
      <c r="AP528" t="str">
        <f>IF(HR_Data[[#This Row],[WorkLifeBalance]]=1,"Bad",IF(HR_Data[[#This Row],[WorkLifeBalance]]=2,"Good",IF(HR_Data[[#This Row],[WorkLifeBalance]]=3,"Better","Best")))</f>
        <v>Better</v>
      </c>
    </row>
    <row r="529" spans="1:42"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IF(HR_Data[[#This Row],[Attrition]]="Yes",1,0)</f>
        <v>0</v>
      </c>
      <c r="AK529">
        <f>IF(HR_Data[[#This Row],[Attrition]]="No",1,0)</f>
        <v>1</v>
      </c>
      <c r="AL529" t="str">
        <f>IF(HR_Data[[#This Row],[Age]]&lt;25,"Under 25",IF(HR_Data[[#This Row],[Age]]&lt;=34,"25-34",IF(HR_Data[[#This Row],[Age]]&lt;=44,"35-44",IF(HR_Data[[#This Row],[Age]]&lt;=54,"45-54","55+"))))</f>
        <v>25-34</v>
      </c>
      <c r="AM529" t="str">
        <f>IF(HR_Data[[#This Row],[MonthlyIncome]]&lt;3000,"Low Salary",IF(HR_Data[[#This Row],[MonthlyIncome]]&lt;=7000,"Medium Salary","High Salary"))</f>
        <v>Medium Salary</v>
      </c>
      <c r="AN529" t="str">
        <f>IF(HR_Data[[#This Row],[YearsAtCompany]]&lt;2,"0-1 Years",IF(HR_Data[[#This Row],[YearsAtCompany]]&lt;=5,"2-5 Years",IF(HR_Data[[#This Row],[YearsAtCompany]]&lt;=10,"6-10 Years","10+ Years")))</f>
        <v>6-10 Years</v>
      </c>
      <c r="AO529" t="str">
        <f>IF(HR_Data[[#This Row],[JobSatisfaction]]=1,"Low",IF(HR_Data[[#This Row],[JobSatisfaction]]=2,"Medium",IF(HR_Data[[#This Row],[JobSatisfaction]]=3,"High","Very High")))</f>
        <v>Very High</v>
      </c>
      <c r="AP529" t="str">
        <f>IF(HR_Data[[#This Row],[WorkLifeBalance]]=1,"Bad",IF(HR_Data[[#This Row],[WorkLifeBalance]]=2,"Good",IF(HR_Data[[#This Row],[WorkLifeBalance]]=3,"Better","Best")))</f>
        <v>Good</v>
      </c>
    </row>
    <row r="530" spans="1:42"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IF(HR_Data[[#This Row],[Attrition]]="Yes",1,0)</f>
        <v>1</v>
      </c>
      <c r="AK530">
        <f>IF(HR_Data[[#This Row],[Attrition]]="No",1,0)</f>
        <v>0</v>
      </c>
      <c r="AL530" t="str">
        <f>IF(HR_Data[[#This Row],[Age]]&lt;25,"Under 25",IF(HR_Data[[#This Row],[Age]]&lt;=34,"25-34",IF(HR_Data[[#This Row],[Age]]&lt;=44,"35-44",IF(HR_Data[[#This Row],[Age]]&lt;=54,"45-54","55+"))))</f>
        <v>45-54</v>
      </c>
      <c r="AM530" t="str">
        <f>IF(HR_Data[[#This Row],[MonthlyIncome]]&lt;3000,"Low Salary",IF(HR_Data[[#This Row],[MonthlyIncome]]&lt;=7000,"Medium Salary","High Salary"))</f>
        <v>Medium Salary</v>
      </c>
      <c r="AN530" t="str">
        <f>IF(HR_Data[[#This Row],[YearsAtCompany]]&lt;2,"0-1 Years",IF(HR_Data[[#This Row],[YearsAtCompany]]&lt;=5,"2-5 Years",IF(HR_Data[[#This Row],[YearsAtCompany]]&lt;=10,"6-10 Years","10+ Years")))</f>
        <v>2-5 Years</v>
      </c>
      <c r="AO530" t="str">
        <f>IF(HR_Data[[#This Row],[JobSatisfaction]]=1,"Low",IF(HR_Data[[#This Row],[JobSatisfaction]]=2,"Medium",IF(HR_Data[[#This Row],[JobSatisfaction]]=3,"High","Very High")))</f>
        <v>High</v>
      </c>
      <c r="AP530" t="str">
        <f>IF(HR_Data[[#This Row],[WorkLifeBalance]]=1,"Bad",IF(HR_Data[[#This Row],[WorkLifeBalance]]=2,"Good",IF(HR_Data[[#This Row],[WorkLifeBalance]]=3,"Better","Best")))</f>
        <v>Better</v>
      </c>
    </row>
    <row r="531" spans="1:42"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IF(HR_Data[[#This Row],[Attrition]]="Yes",1,0)</f>
        <v>0</v>
      </c>
      <c r="AK531">
        <f>IF(HR_Data[[#This Row],[Attrition]]="No",1,0)</f>
        <v>1</v>
      </c>
      <c r="AL531" t="str">
        <f>IF(HR_Data[[#This Row],[Age]]&lt;25,"Under 25",IF(HR_Data[[#This Row],[Age]]&lt;=34,"25-34",IF(HR_Data[[#This Row],[Age]]&lt;=44,"35-44",IF(HR_Data[[#This Row],[Age]]&lt;=54,"45-54","55+"))))</f>
        <v>35-44</v>
      </c>
      <c r="AM531" t="str">
        <f>IF(HR_Data[[#This Row],[MonthlyIncome]]&lt;3000,"Low Salary",IF(HR_Data[[#This Row],[MonthlyIncome]]&lt;=7000,"Medium Salary","High Salary"))</f>
        <v>High Salary</v>
      </c>
      <c r="AN531" t="str">
        <f>IF(HR_Data[[#This Row],[YearsAtCompany]]&lt;2,"0-1 Years",IF(HR_Data[[#This Row],[YearsAtCompany]]&lt;=5,"2-5 Years",IF(HR_Data[[#This Row],[YearsAtCompany]]&lt;=10,"6-10 Years","10+ Years")))</f>
        <v>6-10 Years</v>
      </c>
      <c r="AO531" t="str">
        <f>IF(HR_Data[[#This Row],[JobSatisfaction]]=1,"Low",IF(HR_Data[[#This Row],[JobSatisfaction]]=2,"Medium",IF(HR_Data[[#This Row],[JobSatisfaction]]=3,"High","Very High")))</f>
        <v>Very High</v>
      </c>
      <c r="AP531" t="str">
        <f>IF(HR_Data[[#This Row],[WorkLifeBalance]]=1,"Bad",IF(HR_Data[[#This Row],[WorkLifeBalance]]=2,"Good",IF(HR_Data[[#This Row],[WorkLifeBalance]]=3,"Better","Best")))</f>
        <v>Good</v>
      </c>
    </row>
    <row r="532" spans="1:42"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IF(HR_Data[[#This Row],[Attrition]]="Yes",1,0)</f>
        <v>0</v>
      </c>
      <c r="AK532">
        <f>IF(HR_Data[[#This Row],[Attrition]]="No",1,0)</f>
        <v>1</v>
      </c>
      <c r="AL532" t="str">
        <f>IF(HR_Data[[#This Row],[Age]]&lt;25,"Under 25",IF(HR_Data[[#This Row],[Age]]&lt;=34,"25-34",IF(HR_Data[[#This Row],[Age]]&lt;=44,"35-44",IF(HR_Data[[#This Row],[Age]]&lt;=54,"45-54","55+"))))</f>
        <v>25-34</v>
      </c>
      <c r="AM532" t="str">
        <f>IF(HR_Data[[#This Row],[MonthlyIncome]]&lt;3000,"Low Salary",IF(HR_Data[[#This Row],[MonthlyIncome]]&lt;=7000,"Medium Salary","High Salary"))</f>
        <v>High Salary</v>
      </c>
      <c r="AN532" t="str">
        <f>IF(HR_Data[[#This Row],[YearsAtCompany]]&lt;2,"0-1 Years",IF(HR_Data[[#This Row],[YearsAtCompany]]&lt;=5,"2-5 Years",IF(HR_Data[[#This Row],[YearsAtCompany]]&lt;=10,"6-10 Years","10+ Years")))</f>
        <v>6-10 Years</v>
      </c>
      <c r="AO532" t="str">
        <f>IF(HR_Data[[#This Row],[JobSatisfaction]]=1,"Low",IF(HR_Data[[#This Row],[JobSatisfaction]]=2,"Medium",IF(HR_Data[[#This Row],[JobSatisfaction]]=3,"High","Very High")))</f>
        <v>Low</v>
      </c>
      <c r="AP532" t="str">
        <f>IF(HR_Data[[#This Row],[WorkLifeBalance]]=1,"Bad",IF(HR_Data[[#This Row],[WorkLifeBalance]]=2,"Good",IF(HR_Data[[#This Row],[WorkLifeBalance]]=3,"Better","Best")))</f>
        <v>Better</v>
      </c>
    </row>
    <row r="533" spans="1:42"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IF(HR_Data[[#This Row],[Attrition]]="Yes",1,0)</f>
        <v>0</v>
      </c>
      <c r="AK533">
        <f>IF(HR_Data[[#This Row],[Attrition]]="No",1,0)</f>
        <v>1</v>
      </c>
      <c r="AL533" t="str">
        <f>IF(HR_Data[[#This Row],[Age]]&lt;25,"Under 25",IF(HR_Data[[#This Row],[Age]]&lt;=34,"25-34",IF(HR_Data[[#This Row],[Age]]&lt;=44,"35-44",IF(HR_Data[[#This Row],[Age]]&lt;=54,"45-54","55+"))))</f>
        <v>25-34</v>
      </c>
      <c r="AM533" t="str">
        <f>IF(HR_Data[[#This Row],[MonthlyIncome]]&lt;3000,"Low Salary",IF(HR_Data[[#This Row],[MonthlyIncome]]&lt;=7000,"Medium Salary","High Salary"))</f>
        <v>High Salary</v>
      </c>
      <c r="AN533" t="str">
        <f>IF(HR_Data[[#This Row],[YearsAtCompany]]&lt;2,"0-1 Years",IF(HR_Data[[#This Row],[YearsAtCompany]]&lt;=5,"2-5 Years",IF(HR_Data[[#This Row],[YearsAtCompany]]&lt;=10,"6-10 Years","10+ Years")))</f>
        <v>6-10 Years</v>
      </c>
      <c r="AO533" t="str">
        <f>IF(HR_Data[[#This Row],[JobSatisfaction]]=1,"Low",IF(HR_Data[[#This Row],[JobSatisfaction]]=2,"Medium",IF(HR_Data[[#This Row],[JobSatisfaction]]=3,"High","Very High")))</f>
        <v>Very High</v>
      </c>
      <c r="AP533" t="str">
        <f>IF(HR_Data[[#This Row],[WorkLifeBalance]]=1,"Bad",IF(HR_Data[[#This Row],[WorkLifeBalance]]=2,"Good",IF(HR_Data[[#This Row],[WorkLifeBalance]]=3,"Better","Best")))</f>
        <v>Better</v>
      </c>
    </row>
    <row r="534" spans="1:42"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IF(HR_Data[[#This Row],[Attrition]]="Yes",1,0)</f>
        <v>0</v>
      </c>
      <c r="AK534">
        <f>IF(HR_Data[[#This Row],[Attrition]]="No",1,0)</f>
        <v>1</v>
      </c>
      <c r="AL534" t="str">
        <f>IF(HR_Data[[#This Row],[Age]]&lt;25,"Under 25",IF(HR_Data[[#This Row],[Age]]&lt;=34,"25-34",IF(HR_Data[[#This Row],[Age]]&lt;=44,"35-44",IF(HR_Data[[#This Row],[Age]]&lt;=54,"45-54","55+"))))</f>
        <v>45-54</v>
      </c>
      <c r="AM534" t="str">
        <f>IF(HR_Data[[#This Row],[MonthlyIncome]]&lt;3000,"Low Salary",IF(HR_Data[[#This Row],[MonthlyIncome]]&lt;=7000,"Medium Salary","High Salary"))</f>
        <v>Medium Salary</v>
      </c>
      <c r="AN534" t="str">
        <f>IF(HR_Data[[#This Row],[YearsAtCompany]]&lt;2,"0-1 Years",IF(HR_Data[[#This Row],[YearsAtCompany]]&lt;=5,"2-5 Years",IF(HR_Data[[#This Row],[YearsAtCompany]]&lt;=10,"6-10 Years","10+ Years")))</f>
        <v>6-10 Years</v>
      </c>
      <c r="AO534" t="str">
        <f>IF(HR_Data[[#This Row],[JobSatisfaction]]=1,"Low",IF(HR_Data[[#This Row],[JobSatisfaction]]=2,"Medium",IF(HR_Data[[#This Row],[JobSatisfaction]]=3,"High","Very High")))</f>
        <v>Low</v>
      </c>
      <c r="AP534" t="str">
        <f>IF(HR_Data[[#This Row],[WorkLifeBalance]]=1,"Bad",IF(HR_Data[[#This Row],[WorkLifeBalance]]=2,"Good",IF(HR_Data[[#This Row],[WorkLifeBalance]]=3,"Better","Best")))</f>
        <v>Better</v>
      </c>
    </row>
    <row r="535" spans="1:42"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IF(HR_Data[[#This Row],[Attrition]]="Yes",1,0)</f>
        <v>0</v>
      </c>
      <c r="AK535">
        <f>IF(HR_Data[[#This Row],[Attrition]]="No",1,0)</f>
        <v>1</v>
      </c>
      <c r="AL535" t="str">
        <f>IF(HR_Data[[#This Row],[Age]]&lt;25,"Under 25",IF(HR_Data[[#This Row],[Age]]&lt;=34,"25-34",IF(HR_Data[[#This Row],[Age]]&lt;=44,"35-44",IF(HR_Data[[#This Row],[Age]]&lt;=54,"45-54","55+"))))</f>
        <v>35-44</v>
      </c>
      <c r="AM535" t="str">
        <f>IF(HR_Data[[#This Row],[MonthlyIncome]]&lt;3000,"Low Salary",IF(HR_Data[[#This Row],[MonthlyIncome]]&lt;=7000,"Medium Salary","High Salary"))</f>
        <v>High Salary</v>
      </c>
      <c r="AN535" t="str">
        <f>IF(HR_Data[[#This Row],[YearsAtCompany]]&lt;2,"0-1 Years",IF(HR_Data[[#This Row],[YearsAtCompany]]&lt;=5,"2-5 Years",IF(HR_Data[[#This Row],[YearsAtCompany]]&lt;=10,"6-10 Years","10+ Years")))</f>
        <v>10+ Years</v>
      </c>
      <c r="AO535" t="str">
        <f>IF(HR_Data[[#This Row],[JobSatisfaction]]=1,"Low",IF(HR_Data[[#This Row],[JobSatisfaction]]=2,"Medium",IF(HR_Data[[#This Row],[JobSatisfaction]]=3,"High","Very High")))</f>
        <v>Low</v>
      </c>
      <c r="AP535" t="str">
        <f>IF(HR_Data[[#This Row],[WorkLifeBalance]]=1,"Bad",IF(HR_Data[[#This Row],[WorkLifeBalance]]=2,"Good",IF(HR_Data[[#This Row],[WorkLifeBalance]]=3,"Better","Best")))</f>
        <v>Better</v>
      </c>
    </row>
    <row r="536" spans="1:42"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IF(HR_Data[[#This Row],[Attrition]]="Yes",1,0)</f>
        <v>0</v>
      </c>
      <c r="AK536">
        <f>IF(HR_Data[[#This Row],[Attrition]]="No",1,0)</f>
        <v>1</v>
      </c>
      <c r="AL536" t="str">
        <f>IF(HR_Data[[#This Row],[Age]]&lt;25,"Under 25",IF(HR_Data[[#This Row],[Age]]&lt;=34,"25-34",IF(HR_Data[[#This Row],[Age]]&lt;=44,"35-44",IF(HR_Data[[#This Row],[Age]]&lt;=54,"45-54","55+"))))</f>
        <v>45-54</v>
      </c>
      <c r="AM536" t="str">
        <f>IF(HR_Data[[#This Row],[MonthlyIncome]]&lt;3000,"Low Salary",IF(HR_Data[[#This Row],[MonthlyIncome]]&lt;=7000,"Medium Salary","High Salary"))</f>
        <v>High Salary</v>
      </c>
      <c r="AN536" t="str">
        <f>IF(HR_Data[[#This Row],[YearsAtCompany]]&lt;2,"0-1 Years",IF(HR_Data[[#This Row],[YearsAtCompany]]&lt;=5,"2-5 Years",IF(HR_Data[[#This Row],[YearsAtCompany]]&lt;=10,"6-10 Years","10+ Years")))</f>
        <v>2-5 Years</v>
      </c>
      <c r="AO536" t="str">
        <f>IF(HR_Data[[#This Row],[JobSatisfaction]]=1,"Low",IF(HR_Data[[#This Row],[JobSatisfaction]]=2,"Medium",IF(HR_Data[[#This Row],[JobSatisfaction]]=3,"High","Very High")))</f>
        <v>High</v>
      </c>
      <c r="AP536" t="str">
        <f>IF(HR_Data[[#This Row],[WorkLifeBalance]]=1,"Bad",IF(HR_Data[[#This Row],[WorkLifeBalance]]=2,"Good",IF(HR_Data[[#This Row],[WorkLifeBalance]]=3,"Better","Best")))</f>
        <v>Better</v>
      </c>
    </row>
    <row r="537" spans="1:42"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IF(HR_Data[[#This Row],[Attrition]]="Yes",1,0)</f>
        <v>0</v>
      </c>
      <c r="AK537">
        <f>IF(HR_Data[[#This Row],[Attrition]]="No",1,0)</f>
        <v>1</v>
      </c>
      <c r="AL537" t="str">
        <f>IF(HR_Data[[#This Row],[Age]]&lt;25,"Under 25",IF(HR_Data[[#This Row],[Age]]&lt;=34,"25-34",IF(HR_Data[[#This Row],[Age]]&lt;=44,"35-44",IF(HR_Data[[#This Row],[Age]]&lt;=54,"45-54","55+"))))</f>
        <v>35-44</v>
      </c>
      <c r="AM537" t="str">
        <f>IF(HR_Data[[#This Row],[MonthlyIncome]]&lt;3000,"Low Salary",IF(HR_Data[[#This Row],[MonthlyIncome]]&lt;=7000,"Medium Salary","High Salary"))</f>
        <v>High Salary</v>
      </c>
      <c r="AN537" t="str">
        <f>IF(HR_Data[[#This Row],[YearsAtCompany]]&lt;2,"0-1 Years",IF(HR_Data[[#This Row],[YearsAtCompany]]&lt;=5,"2-5 Years",IF(HR_Data[[#This Row],[YearsAtCompany]]&lt;=10,"6-10 Years","10+ Years")))</f>
        <v>10+ Years</v>
      </c>
      <c r="AO537" t="str">
        <f>IF(HR_Data[[#This Row],[JobSatisfaction]]=1,"Low",IF(HR_Data[[#This Row],[JobSatisfaction]]=2,"Medium",IF(HR_Data[[#This Row],[JobSatisfaction]]=3,"High","Very High")))</f>
        <v>Very High</v>
      </c>
      <c r="AP537" t="str">
        <f>IF(HR_Data[[#This Row],[WorkLifeBalance]]=1,"Bad",IF(HR_Data[[#This Row],[WorkLifeBalance]]=2,"Good",IF(HR_Data[[#This Row],[WorkLifeBalance]]=3,"Better","Best")))</f>
        <v>Good</v>
      </c>
    </row>
    <row r="538" spans="1:42"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IF(HR_Data[[#This Row],[Attrition]]="Yes",1,0)</f>
        <v>0</v>
      </c>
      <c r="AK538">
        <f>IF(HR_Data[[#This Row],[Attrition]]="No",1,0)</f>
        <v>1</v>
      </c>
      <c r="AL538" t="str">
        <f>IF(HR_Data[[#This Row],[Age]]&lt;25,"Under 25",IF(HR_Data[[#This Row],[Age]]&lt;=34,"25-34",IF(HR_Data[[#This Row],[Age]]&lt;=44,"35-44",IF(HR_Data[[#This Row],[Age]]&lt;=54,"45-54","55+"))))</f>
        <v>55+</v>
      </c>
      <c r="AM538" t="str">
        <f>IF(HR_Data[[#This Row],[MonthlyIncome]]&lt;3000,"Low Salary",IF(HR_Data[[#This Row],[MonthlyIncome]]&lt;=7000,"Medium Salary","High Salary"))</f>
        <v>Medium Salary</v>
      </c>
      <c r="AN538" t="str">
        <f>IF(HR_Data[[#This Row],[YearsAtCompany]]&lt;2,"0-1 Years",IF(HR_Data[[#This Row],[YearsAtCompany]]&lt;=5,"2-5 Years",IF(HR_Data[[#This Row],[YearsAtCompany]]&lt;=10,"6-10 Years","10+ Years")))</f>
        <v>2-5 Years</v>
      </c>
      <c r="AO538" t="str">
        <f>IF(HR_Data[[#This Row],[JobSatisfaction]]=1,"Low",IF(HR_Data[[#This Row],[JobSatisfaction]]=2,"Medium",IF(HR_Data[[#This Row],[JobSatisfaction]]=3,"High","Very High")))</f>
        <v>Low</v>
      </c>
      <c r="AP538" t="str">
        <f>IF(HR_Data[[#This Row],[WorkLifeBalance]]=1,"Bad",IF(HR_Data[[#This Row],[WorkLifeBalance]]=2,"Good",IF(HR_Data[[#This Row],[WorkLifeBalance]]=3,"Better","Best")))</f>
        <v>Better</v>
      </c>
    </row>
    <row r="539" spans="1:42"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IF(HR_Data[[#This Row],[Attrition]]="Yes",1,0)</f>
        <v>0</v>
      </c>
      <c r="AK539">
        <f>IF(HR_Data[[#This Row],[Attrition]]="No",1,0)</f>
        <v>1</v>
      </c>
      <c r="AL539" t="str">
        <f>IF(HR_Data[[#This Row],[Age]]&lt;25,"Under 25",IF(HR_Data[[#This Row],[Age]]&lt;=34,"25-34",IF(HR_Data[[#This Row],[Age]]&lt;=44,"35-44",IF(HR_Data[[#This Row],[Age]]&lt;=54,"45-54","55+"))))</f>
        <v>25-34</v>
      </c>
      <c r="AM539" t="str">
        <f>IF(HR_Data[[#This Row],[MonthlyIncome]]&lt;3000,"Low Salary",IF(HR_Data[[#This Row],[MonthlyIncome]]&lt;=7000,"Medium Salary","High Salary"))</f>
        <v>High Salary</v>
      </c>
      <c r="AN539" t="str">
        <f>IF(HR_Data[[#This Row],[YearsAtCompany]]&lt;2,"0-1 Years",IF(HR_Data[[#This Row],[YearsAtCompany]]&lt;=5,"2-5 Years",IF(HR_Data[[#This Row],[YearsAtCompany]]&lt;=10,"6-10 Years","10+ Years")))</f>
        <v>6-10 Years</v>
      </c>
      <c r="AO539" t="str">
        <f>IF(HR_Data[[#This Row],[JobSatisfaction]]=1,"Low",IF(HR_Data[[#This Row],[JobSatisfaction]]=2,"Medium",IF(HR_Data[[#This Row],[JobSatisfaction]]=3,"High","Very High")))</f>
        <v>Low</v>
      </c>
      <c r="AP539" t="str">
        <f>IF(HR_Data[[#This Row],[WorkLifeBalance]]=1,"Bad",IF(HR_Data[[#This Row],[WorkLifeBalance]]=2,"Good",IF(HR_Data[[#This Row],[WorkLifeBalance]]=3,"Better","Best")))</f>
        <v>Good</v>
      </c>
    </row>
    <row r="540" spans="1:42"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IF(HR_Data[[#This Row],[Attrition]]="Yes",1,0)</f>
        <v>0</v>
      </c>
      <c r="AK540">
        <f>IF(HR_Data[[#This Row],[Attrition]]="No",1,0)</f>
        <v>1</v>
      </c>
      <c r="AL540" t="str">
        <f>IF(HR_Data[[#This Row],[Age]]&lt;25,"Under 25",IF(HR_Data[[#This Row],[Age]]&lt;=34,"25-34",IF(HR_Data[[#This Row],[Age]]&lt;=44,"35-44",IF(HR_Data[[#This Row],[Age]]&lt;=54,"45-54","55+"))))</f>
        <v>35-44</v>
      </c>
      <c r="AM540" t="str">
        <f>IF(HR_Data[[#This Row],[MonthlyIncome]]&lt;3000,"Low Salary",IF(HR_Data[[#This Row],[MonthlyIncome]]&lt;=7000,"Medium Salary","High Salary"))</f>
        <v>High Salary</v>
      </c>
      <c r="AN540" t="str">
        <f>IF(HR_Data[[#This Row],[YearsAtCompany]]&lt;2,"0-1 Years",IF(HR_Data[[#This Row],[YearsAtCompany]]&lt;=5,"2-5 Years",IF(HR_Data[[#This Row],[YearsAtCompany]]&lt;=10,"6-10 Years","10+ Years")))</f>
        <v>10+ Years</v>
      </c>
      <c r="AO540" t="str">
        <f>IF(HR_Data[[#This Row],[JobSatisfaction]]=1,"Low",IF(HR_Data[[#This Row],[JobSatisfaction]]=2,"Medium",IF(HR_Data[[#This Row],[JobSatisfaction]]=3,"High","Very High")))</f>
        <v>High</v>
      </c>
      <c r="AP540" t="str">
        <f>IF(HR_Data[[#This Row],[WorkLifeBalance]]=1,"Bad",IF(HR_Data[[#This Row],[WorkLifeBalance]]=2,"Good",IF(HR_Data[[#This Row],[WorkLifeBalance]]=3,"Better","Best")))</f>
        <v>Better</v>
      </c>
    </row>
    <row r="541" spans="1:42"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IF(HR_Data[[#This Row],[Attrition]]="Yes",1,0)</f>
        <v>0</v>
      </c>
      <c r="AK541">
        <f>IF(HR_Data[[#This Row],[Attrition]]="No",1,0)</f>
        <v>1</v>
      </c>
      <c r="AL541" t="str">
        <f>IF(HR_Data[[#This Row],[Age]]&lt;25,"Under 25",IF(HR_Data[[#This Row],[Age]]&lt;=34,"25-34",IF(HR_Data[[#This Row],[Age]]&lt;=44,"35-44",IF(HR_Data[[#This Row],[Age]]&lt;=54,"45-54","55+"))))</f>
        <v>45-54</v>
      </c>
      <c r="AM541" t="str">
        <f>IF(HR_Data[[#This Row],[MonthlyIncome]]&lt;3000,"Low Salary",IF(HR_Data[[#This Row],[MonthlyIncome]]&lt;=7000,"Medium Salary","High Salary"))</f>
        <v>Medium Salary</v>
      </c>
      <c r="AN541" t="str">
        <f>IF(HR_Data[[#This Row],[YearsAtCompany]]&lt;2,"0-1 Years",IF(HR_Data[[#This Row],[YearsAtCompany]]&lt;=5,"2-5 Years",IF(HR_Data[[#This Row],[YearsAtCompany]]&lt;=10,"6-10 Years","10+ Years")))</f>
        <v>2-5 Years</v>
      </c>
      <c r="AO541" t="str">
        <f>IF(HR_Data[[#This Row],[JobSatisfaction]]=1,"Low",IF(HR_Data[[#This Row],[JobSatisfaction]]=2,"Medium",IF(HR_Data[[#This Row],[JobSatisfaction]]=3,"High","Very High")))</f>
        <v>Medium</v>
      </c>
      <c r="AP541" t="str">
        <f>IF(HR_Data[[#This Row],[WorkLifeBalance]]=1,"Bad",IF(HR_Data[[#This Row],[WorkLifeBalance]]=2,"Good",IF(HR_Data[[#This Row],[WorkLifeBalance]]=3,"Better","Best")))</f>
        <v>Better</v>
      </c>
    </row>
    <row r="542" spans="1:42"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IF(HR_Data[[#This Row],[Attrition]]="Yes",1,0)</f>
        <v>1</v>
      </c>
      <c r="AK542">
        <f>IF(HR_Data[[#This Row],[Attrition]]="No",1,0)</f>
        <v>0</v>
      </c>
      <c r="AL542" t="str">
        <f>IF(HR_Data[[#This Row],[Age]]&lt;25,"Under 25",IF(HR_Data[[#This Row],[Age]]&lt;=34,"25-34",IF(HR_Data[[#This Row],[Age]]&lt;=44,"35-44",IF(HR_Data[[#This Row],[Age]]&lt;=54,"45-54","55+"))))</f>
        <v>25-34</v>
      </c>
      <c r="AM542" t="str">
        <f>IF(HR_Data[[#This Row],[MonthlyIncome]]&lt;3000,"Low Salary",IF(HR_Data[[#This Row],[MonthlyIncome]]&lt;=7000,"Medium Salary","High Salary"))</f>
        <v>Low Salary</v>
      </c>
      <c r="AN542" t="str">
        <f>IF(HR_Data[[#This Row],[YearsAtCompany]]&lt;2,"0-1 Years",IF(HR_Data[[#This Row],[YearsAtCompany]]&lt;=5,"2-5 Years",IF(HR_Data[[#This Row],[YearsAtCompany]]&lt;=10,"6-10 Years","10+ Years")))</f>
        <v>6-10 Years</v>
      </c>
      <c r="AO542" t="str">
        <f>IF(HR_Data[[#This Row],[JobSatisfaction]]=1,"Low",IF(HR_Data[[#This Row],[JobSatisfaction]]=2,"Medium",IF(HR_Data[[#This Row],[JobSatisfaction]]=3,"High","Very High")))</f>
        <v>Medium</v>
      </c>
      <c r="AP542" t="str">
        <f>IF(HR_Data[[#This Row],[WorkLifeBalance]]=1,"Bad",IF(HR_Data[[#This Row],[WorkLifeBalance]]=2,"Good",IF(HR_Data[[#This Row],[WorkLifeBalance]]=3,"Better","Best")))</f>
        <v>Better</v>
      </c>
    </row>
    <row r="543" spans="1:42"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IF(HR_Data[[#This Row],[Attrition]]="Yes",1,0)</f>
        <v>0</v>
      </c>
      <c r="AK543">
        <f>IF(HR_Data[[#This Row],[Attrition]]="No",1,0)</f>
        <v>1</v>
      </c>
      <c r="AL543" t="str">
        <f>IF(HR_Data[[#This Row],[Age]]&lt;25,"Under 25",IF(HR_Data[[#This Row],[Age]]&lt;=34,"25-34",IF(HR_Data[[#This Row],[Age]]&lt;=44,"35-44",IF(HR_Data[[#This Row],[Age]]&lt;=54,"45-54","55+"))))</f>
        <v>35-44</v>
      </c>
      <c r="AM543" t="str">
        <f>IF(HR_Data[[#This Row],[MonthlyIncome]]&lt;3000,"Low Salary",IF(HR_Data[[#This Row],[MonthlyIncome]]&lt;=7000,"Medium Salary","High Salary"))</f>
        <v>High Salary</v>
      </c>
      <c r="AN543" t="str">
        <f>IF(HR_Data[[#This Row],[YearsAtCompany]]&lt;2,"0-1 Years",IF(HR_Data[[#This Row],[YearsAtCompany]]&lt;=5,"2-5 Years",IF(HR_Data[[#This Row],[YearsAtCompany]]&lt;=10,"6-10 Years","10+ Years")))</f>
        <v>6-10 Years</v>
      </c>
      <c r="AO543" t="str">
        <f>IF(HR_Data[[#This Row],[JobSatisfaction]]=1,"Low",IF(HR_Data[[#This Row],[JobSatisfaction]]=2,"Medium",IF(HR_Data[[#This Row],[JobSatisfaction]]=3,"High","Very High")))</f>
        <v>Low</v>
      </c>
      <c r="AP543" t="str">
        <f>IF(HR_Data[[#This Row],[WorkLifeBalance]]=1,"Bad",IF(HR_Data[[#This Row],[WorkLifeBalance]]=2,"Good",IF(HR_Data[[#This Row],[WorkLifeBalance]]=3,"Better","Best")))</f>
        <v>Better</v>
      </c>
    </row>
    <row r="544" spans="1:42"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IF(HR_Data[[#This Row],[Attrition]]="Yes",1,0)</f>
        <v>0</v>
      </c>
      <c r="AK544">
        <f>IF(HR_Data[[#This Row],[Attrition]]="No",1,0)</f>
        <v>1</v>
      </c>
      <c r="AL544" t="str">
        <f>IF(HR_Data[[#This Row],[Age]]&lt;25,"Under 25",IF(HR_Data[[#This Row],[Age]]&lt;=34,"25-34",IF(HR_Data[[#This Row],[Age]]&lt;=44,"35-44",IF(HR_Data[[#This Row],[Age]]&lt;=54,"45-54","55+"))))</f>
        <v>35-44</v>
      </c>
      <c r="AM544" t="str">
        <f>IF(HR_Data[[#This Row],[MonthlyIncome]]&lt;3000,"Low Salary",IF(HR_Data[[#This Row],[MonthlyIncome]]&lt;=7000,"Medium Salary","High Salary"))</f>
        <v>High Salary</v>
      </c>
      <c r="AN544" t="str">
        <f>IF(HR_Data[[#This Row],[YearsAtCompany]]&lt;2,"0-1 Years",IF(HR_Data[[#This Row],[YearsAtCompany]]&lt;=5,"2-5 Years",IF(HR_Data[[#This Row],[YearsAtCompany]]&lt;=10,"6-10 Years","10+ Years")))</f>
        <v>0-1 Years</v>
      </c>
      <c r="AO544" t="str">
        <f>IF(HR_Data[[#This Row],[JobSatisfaction]]=1,"Low",IF(HR_Data[[#This Row],[JobSatisfaction]]=2,"Medium",IF(HR_Data[[#This Row],[JobSatisfaction]]=3,"High","Very High")))</f>
        <v>High</v>
      </c>
      <c r="AP544" t="str">
        <f>IF(HR_Data[[#This Row],[WorkLifeBalance]]=1,"Bad",IF(HR_Data[[#This Row],[WorkLifeBalance]]=2,"Good",IF(HR_Data[[#This Row],[WorkLifeBalance]]=3,"Better","Best")))</f>
        <v>Best</v>
      </c>
    </row>
    <row r="545" spans="1:42"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IF(HR_Data[[#This Row],[Attrition]]="Yes",1,0)</f>
        <v>0</v>
      </c>
      <c r="AK545">
        <f>IF(HR_Data[[#This Row],[Attrition]]="No",1,0)</f>
        <v>1</v>
      </c>
      <c r="AL545" t="str">
        <f>IF(HR_Data[[#This Row],[Age]]&lt;25,"Under 25",IF(HR_Data[[#This Row],[Age]]&lt;=34,"25-34",IF(HR_Data[[#This Row],[Age]]&lt;=44,"35-44",IF(HR_Data[[#This Row],[Age]]&lt;=54,"45-54","55+"))))</f>
        <v>35-44</v>
      </c>
      <c r="AM545" t="str">
        <f>IF(HR_Data[[#This Row],[MonthlyIncome]]&lt;3000,"Low Salary",IF(HR_Data[[#This Row],[MonthlyIncome]]&lt;=7000,"Medium Salary","High Salary"))</f>
        <v>Medium Salary</v>
      </c>
      <c r="AN545" t="str">
        <f>IF(HR_Data[[#This Row],[YearsAtCompany]]&lt;2,"0-1 Years",IF(HR_Data[[#This Row],[YearsAtCompany]]&lt;=5,"2-5 Years",IF(HR_Data[[#This Row],[YearsAtCompany]]&lt;=10,"6-10 Years","10+ Years")))</f>
        <v>2-5 Years</v>
      </c>
      <c r="AO545" t="str">
        <f>IF(HR_Data[[#This Row],[JobSatisfaction]]=1,"Low",IF(HR_Data[[#This Row],[JobSatisfaction]]=2,"Medium",IF(HR_Data[[#This Row],[JobSatisfaction]]=3,"High","Very High")))</f>
        <v>High</v>
      </c>
      <c r="AP545" t="str">
        <f>IF(HR_Data[[#This Row],[WorkLifeBalance]]=1,"Bad",IF(HR_Data[[#This Row],[WorkLifeBalance]]=2,"Good",IF(HR_Data[[#This Row],[WorkLifeBalance]]=3,"Better","Best")))</f>
        <v>Better</v>
      </c>
    </row>
    <row r="546" spans="1:42"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IF(HR_Data[[#This Row],[Attrition]]="Yes",1,0)</f>
        <v>0</v>
      </c>
      <c r="AK546">
        <f>IF(HR_Data[[#This Row],[Attrition]]="No",1,0)</f>
        <v>1</v>
      </c>
      <c r="AL546" t="str">
        <f>IF(HR_Data[[#This Row],[Age]]&lt;25,"Under 25",IF(HR_Data[[#This Row],[Age]]&lt;=34,"25-34",IF(HR_Data[[#This Row],[Age]]&lt;=44,"35-44",IF(HR_Data[[#This Row],[Age]]&lt;=54,"45-54","55+"))))</f>
        <v>45-54</v>
      </c>
      <c r="AM546" t="str">
        <f>IF(HR_Data[[#This Row],[MonthlyIncome]]&lt;3000,"Low Salary",IF(HR_Data[[#This Row],[MonthlyIncome]]&lt;=7000,"Medium Salary","High Salary"))</f>
        <v>High Salary</v>
      </c>
      <c r="AN546" t="str">
        <f>IF(HR_Data[[#This Row],[YearsAtCompany]]&lt;2,"0-1 Years",IF(HR_Data[[#This Row],[YearsAtCompany]]&lt;=5,"2-5 Years",IF(HR_Data[[#This Row],[YearsAtCompany]]&lt;=10,"6-10 Years","10+ Years")))</f>
        <v>10+ Years</v>
      </c>
      <c r="AO546" t="str">
        <f>IF(HR_Data[[#This Row],[JobSatisfaction]]=1,"Low",IF(HR_Data[[#This Row],[JobSatisfaction]]=2,"Medium",IF(HR_Data[[#This Row],[JobSatisfaction]]=3,"High","Very High")))</f>
        <v>High</v>
      </c>
      <c r="AP546" t="str">
        <f>IF(HR_Data[[#This Row],[WorkLifeBalance]]=1,"Bad",IF(HR_Data[[#This Row],[WorkLifeBalance]]=2,"Good",IF(HR_Data[[#This Row],[WorkLifeBalance]]=3,"Better","Best")))</f>
        <v>Good</v>
      </c>
    </row>
    <row r="547" spans="1:42"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IF(HR_Data[[#This Row],[Attrition]]="Yes",1,0)</f>
        <v>0</v>
      </c>
      <c r="AK547">
        <f>IF(HR_Data[[#This Row],[Attrition]]="No",1,0)</f>
        <v>1</v>
      </c>
      <c r="AL547" t="str">
        <f>IF(HR_Data[[#This Row],[Age]]&lt;25,"Under 25",IF(HR_Data[[#This Row],[Age]]&lt;=34,"25-34",IF(HR_Data[[#This Row],[Age]]&lt;=44,"35-44",IF(HR_Data[[#This Row],[Age]]&lt;=54,"45-54","55+"))))</f>
        <v>25-34</v>
      </c>
      <c r="AM547" t="str">
        <f>IF(HR_Data[[#This Row],[MonthlyIncome]]&lt;3000,"Low Salary",IF(HR_Data[[#This Row],[MonthlyIncome]]&lt;=7000,"Medium Salary","High Salary"))</f>
        <v>Medium Salary</v>
      </c>
      <c r="AN547" t="str">
        <f>IF(HR_Data[[#This Row],[YearsAtCompany]]&lt;2,"0-1 Years",IF(HR_Data[[#This Row],[YearsAtCompany]]&lt;=5,"2-5 Years",IF(HR_Data[[#This Row],[YearsAtCompany]]&lt;=10,"6-10 Years","10+ Years")))</f>
        <v>6-10 Years</v>
      </c>
      <c r="AO547" t="str">
        <f>IF(HR_Data[[#This Row],[JobSatisfaction]]=1,"Low",IF(HR_Data[[#This Row],[JobSatisfaction]]=2,"Medium",IF(HR_Data[[#This Row],[JobSatisfaction]]=3,"High","Very High")))</f>
        <v>Very High</v>
      </c>
      <c r="AP547" t="str">
        <f>IF(HR_Data[[#This Row],[WorkLifeBalance]]=1,"Bad",IF(HR_Data[[#This Row],[WorkLifeBalance]]=2,"Good",IF(HR_Data[[#This Row],[WorkLifeBalance]]=3,"Better","Best")))</f>
        <v>Good</v>
      </c>
    </row>
    <row r="548" spans="1:42"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IF(HR_Data[[#This Row],[Attrition]]="Yes",1,0)</f>
        <v>0</v>
      </c>
      <c r="AK548">
        <f>IF(HR_Data[[#This Row],[Attrition]]="No",1,0)</f>
        <v>1</v>
      </c>
      <c r="AL548" t="str">
        <f>IF(HR_Data[[#This Row],[Age]]&lt;25,"Under 25",IF(HR_Data[[#This Row],[Age]]&lt;=34,"25-34",IF(HR_Data[[#This Row],[Age]]&lt;=44,"35-44",IF(HR_Data[[#This Row],[Age]]&lt;=54,"45-54","55+"))))</f>
        <v>25-34</v>
      </c>
      <c r="AM548" t="str">
        <f>IF(HR_Data[[#This Row],[MonthlyIncome]]&lt;3000,"Low Salary",IF(HR_Data[[#This Row],[MonthlyIncome]]&lt;=7000,"Medium Salary","High Salary"))</f>
        <v>Low Salary</v>
      </c>
      <c r="AN548" t="str">
        <f>IF(HR_Data[[#This Row],[YearsAtCompany]]&lt;2,"0-1 Years",IF(HR_Data[[#This Row],[YearsAtCompany]]&lt;=5,"2-5 Years",IF(HR_Data[[#This Row],[YearsAtCompany]]&lt;=10,"6-10 Years","10+ Years")))</f>
        <v>0-1 Years</v>
      </c>
      <c r="AO548" t="str">
        <f>IF(HR_Data[[#This Row],[JobSatisfaction]]=1,"Low",IF(HR_Data[[#This Row],[JobSatisfaction]]=2,"Medium",IF(HR_Data[[#This Row],[JobSatisfaction]]=3,"High","Very High")))</f>
        <v>High</v>
      </c>
      <c r="AP548" t="str">
        <f>IF(HR_Data[[#This Row],[WorkLifeBalance]]=1,"Bad",IF(HR_Data[[#This Row],[WorkLifeBalance]]=2,"Good",IF(HR_Data[[#This Row],[WorkLifeBalance]]=3,"Better","Best")))</f>
        <v>Better</v>
      </c>
    </row>
    <row r="549" spans="1:42"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IF(HR_Data[[#This Row],[Attrition]]="Yes",1,0)</f>
        <v>1</v>
      </c>
      <c r="AK549">
        <f>IF(HR_Data[[#This Row],[Attrition]]="No",1,0)</f>
        <v>0</v>
      </c>
      <c r="AL549" t="str">
        <f>IF(HR_Data[[#This Row],[Age]]&lt;25,"Under 25",IF(HR_Data[[#This Row],[Age]]&lt;=34,"25-34",IF(HR_Data[[#This Row],[Age]]&lt;=44,"35-44",IF(HR_Data[[#This Row],[Age]]&lt;=54,"45-54","55+"))))</f>
        <v>35-44</v>
      </c>
      <c r="AM549" t="str">
        <f>IF(HR_Data[[#This Row],[MonthlyIncome]]&lt;3000,"Low Salary",IF(HR_Data[[#This Row],[MonthlyIncome]]&lt;=7000,"Medium Salary","High Salary"))</f>
        <v>Low Salary</v>
      </c>
      <c r="AN549" t="str">
        <f>IF(HR_Data[[#This Row],[YearsAtCompany]]&lt;2,"0-1 Years",IF(HR_Data[[#This Row],[YearsAtCompany]]&lt;=5,"2-5 Years",IF(HR_Data[[#This Row],[YearsAtCompany]]&lt;=10,"6-10 Years","10+ Years")))</f>
        <v>2-5 Years</v>
      </c>
      <c r="AO549" t="str">
        <f>IF(HR_Data[[#This Row],[JobSatisfaction]]=1,"Low",IF(HR_Data[[#This Row],[JobSatisfaction]]=2,"Medium",IF(HR_Data[[#This Row],[JobSatisfaction]]=3,"High","Very High")))</f>
        <v>High</v>
      </c>
      <c r="AP549" t="str">
        <f>IF(HR_Data[[#This Row],[WorkLifeBalance]]=1,"Bad",IF(HR_Data[[#This Row],[WorkLifeBalance]]=2,"Good",IF(HR_Data[[#This Row],[WorkLifeBalance]]=3,"Better","Best")))</f>
        <v>Better</v>
      </c>
    </row>
    <row r="550" spans="1:42"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IF(HR_Data[[#This Row],[Attrition]]="Yes",1,0)</f>
        <v>0</v>
      </c>
      <c r="AK550">
        <f>IF(HR_Data[[#This Row],[Attrition]]="No",1,0)</f>
        <v>1</v>
      </c>
      <c r="AL550" t="str">
        <f>IF(HR_Data[[#This Row],[Age]]&lt;25,"Under 25",IF(HR_Data[[#This Row],[Age]]&lt;=34,"25-34",IF(HR_Data[[#This Row],[Age]]&lt;=44,"35-44",IF(HR_Data[[#This Row],[Age]]&lt;=54,"45-54","55+"))))</f>
        <v>35-44</v>
      </c>
      <c r="AM550" t="str">
        <f>IF(HR_Data[[#This Row],[MonthlyIncome]]&lt;3000,"Low Salary",IF(HR_Data[[#This Row],[MonthlyIncome]]&lt;=7000,"Medium Salary","High Salary"))</f>
        <v>Medium Salary</v>
      </c>
      <c r="AN550" t="str">
        <f>IF(HR_Data[[#This Row],[YearsAtCompany]]&lt;2,"0-1 Years",IF(HR_Data[[#This Row],[YearsAtCompany]]&lt;=5,"2-5 Years",IF(HR_Data[[#This Row],[YearsAtCompany]]&lt;=10,"6-10 Years","10+ Years")))</f>
        <v>2-5 Years</v>
      </c>
      <c r="AO550" t="str">
        <f>IF(HR_Data[[#This Row],[JobSatisfaction]]=1,"Low",IF(HR_Data[[#This Row],[JobSatisfaction]]=2,"Medium",IF(HR_Data[[#This Row],[JobSatisfaction]]=3,"High","Very High")))</f>
        <v>Very High</v>
      </c>
      <c r="AP550" t="str">
        <f>IF(HR_Data[[#This Row],[WorkLifeBalance]]=1,"Bad",IF(HR_Data[[#This Row],[WorkLifeBalance]]=2,"Good",IF(HR_Data[[#This Row],[WorkLifeBalance]]=3,"Better","Best")))</f>
        <v>Better</v>
      </c>
    </row>
    <row r="551" spans="1:42"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IF(HR_Data[[#This Row],[Attrition]]="Yes",1,0)</f>
        <v>0</v>
      </c>
      <c r="AK551">
        <f>IF(HR_Data[[#This Row],[Attrition]]="No",1,0)</f>
        <v>1</v>
      </c>
      <c r="AL551" t="str">
        <f>IF(HR_Data[[#This Row],[Age]]&lt;25,"Under 25",IF(HR_Data[[#This Row],[Age]]&lt;=34,"25-34",IF(HR_Data[[#This Row],[Age]]&lt;=44,"35-44",IF(HR_Data[[#This Row],[Age]]&lt;=54,"45-54","55+"))))</f>
        <v>25-34</v>
      </c>
      <c r="AM551" t="str">
        <f>IF(HR_Data[[#This Row],[MonthlyIncome]]&lt;3000,"Low Salary",IF(HR_Data[[#This Row],[MonthlyIncome]]&lt;=7000,"Medium Salary","High Salary"))</f>
        <v>Medium Salary</v>
      </c>
      <c r="AN551" t="str">
        <f>IF(HR_Data[[#This Row],[YearsAtCompany]]&lt;2,"0-1 Years",IF(HR_Data[[#This Row],[YearsAtCompany]]&lt;=5,"2-5 Years",IF(HR_Data[[#This Row],[YearsAtCompany]]&lt;=10,"6-10 Years","10+ Years")))</f>
        <v>2-5 Years</v>
      </c>
      <c r="AO551" t="str">
        <f>IF(HR_Data[[#This Row],[JobSatisfaction]]=1,"Low",IF(HR_Data[[#This Row],[JobSatisfaction]]=2,"Medium",IF(HR_Data[[#This Row],[JobSatisfaction]]=3,"High","Very High")))</f>
        <v>High</v>
      </c>
      <c r="AP551" t="str">
        <f>IF(HR_Data[[#This Row],[WorkLifeBalance]]=1,"Bad",IF(HR_Data[[#This Row],[WorkLifeBalance]]=2,"Good",IF(HR_Data[[#This Row],[WorkLifeBalance]]=3,"Better","Best")))</f>
        <v>Better</v>
      </c>
    </row>
    <row r="552" spans="1:42"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IF(HR_Data[[#This Row],[Attrition]]="Yes",1,0)</f>
        <v>0</v>
      </c>
      <c r="AK552">
        <f>IF(HR_Data[[#This Row],[Attrition]]="No",1,0)</f>
        <v>1</v>
      </c>
      <c r="AL552" t="str">
        <f>IF(HR_Data[[#This Row],[Age]]&lt;25,"Under 25",IF(HR_Data[[#This Row],[Age]]&lt;=34,"25-34",IF(HR_Data[[#This Row],[Age]]&lt;=44,"35-44",IF(HR_Data[[#This Row],[Age]]&lt;=54,"45-54","55+"))))</f>
        <v>Under 25</v>
      </c>
      <c r="AM552" t="str">
        <f>IF(HR_Data[[#This Row],[MonthlyIncome]]&lt;3000,"Low Salary",IF(HR_Data[[#This Row],[MonthlyIncome]]&lt;=7000,"Medium Salary","High Salary"))</f>
        <v>Low Salary</v>
      </c>
      <c r="AN552" t="str">
        <f>IF(HR_Data[[#This Row],[YearsAtCompany]]&lt;2,"0-1 Years",IF(HR_Data[[#This Row],[YearsAtCompany]]&lt;=5,"2-5 Years",IF(HR_Data[[#This Row],[YearsAtCompany]]&lt;=10,"6-10 Years","10+ Years")))</f>
        <v>2-5 Years</v>
      </c>
      <c r="AO552" t="str">
        <f>IF(HR_Data[[#This Row],[JobSatisfaction]]=1,"Low",IF(HR_Data[[#This Row],[JobSatisfaction]]=2,"Medium",IF(HR_Data[[#This Row],[JobSatisfaction]]=3,"High","Very High")))</f>
        <v>Low</v>
      </c>
      <c r="AP552" t="str">
        <f>IF(HR_Data[[#This Row],[WorkLifeBalance]]=1,"Bad",IF(HR_Data[[#This Row],[WorkLifeBalance]]=2,"Good",IF(HR_Data[[#This Row],[WorkLifeBalance]]=3,"Better","Best")))</f>
        <v>Best</v>
      </c>
    </row>
    <row r="553" spans="1:42"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IF(HR_Data[[#This Row],[Attrition]]="Yes",1,0)</f>
        <v>0</v>
      </c>
      <c r="AK553">
        <f>IF(HR_Data[[#This Row],[Attrition]]="No",1,0)</f>
        <v>1</v>
      </c>
      <c r="AL553" t="str">
        <f>IF(HR_Data[[#This Row],[Age]]&lt;25,"Under 25",IF(HR_Data[[#This Row],[Age]]&lt;=34,"25-34",IF(HR_Data[[#This Row],[Age]]&lt;=44,"35-44",IF(HR_Data[[#This Row],[Age]]&lt;=54,"45-54","55+"))))</f>
        <v>35-44</v>
      </c>
      <c r="AM553" t="str">
        <f>IF(HR_Data[[#This Row],[MonthlyIncome]]&lt;3000,"Low Salary",IF(HR_Data[[#This Row],[MonthlyIncome]]&lt;=7000,"Medium Salary","High Salary"))</f>
        <v>Medium Salary</v>
      </c>
      <c r="AN553" t="str">
        <f>IF(HR_Data[[#This Row],[YearsAtCompany]]&lt;2,"0-1 Years",IF(HR_Data[[#This Row],[YearsAtCompany]]&lt;=5,"2-5 Years",IF(HR_Data[[#This Row],[YearsAtCompany]]&lt;=10,"6-10 Years","10+ Years")))</f>
        <v>6-10 Years</v>
      </c>
      <c r="AO553" t="str">
        <f>IF(HR_Data[[#This Row],[JobSatisfaction]]=1,"Low",IF(HR_Data[[#This Row],[JobSatisfaction]]=2,"Medium",IF(HR_Data[[#This Row],[JobSatisfaction]]=3,"High","Very High")))</f>
        <v>Medium</v>
      </c>
      <c r="AP553" t="str">
        <f>IF(HR_Data[[#This Row],[WorkLifeBalance]]=1,"Bad",IF(HR_Data[[#This Row],[WorkLifeBalance]]=2,"Good",IF(HR_Data[[#This Row],[WorkLifeBalance]]=3,"Better","Best")))</f>
        <v>Bad</v>
      </c>
    </row>
    <row r="554" spans="1:42"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IF(HR_Data[[#This Row],[Attrition]]="Yes",1,0)</f>
        <v>0</v>
      </c>
      <c r="AK554">
        <f>IF(HR_Data[[#This Row],[Attrition]]="No",1,0)</f>
        <v>1</v>
      </c>
      <c r="AL554" t="str">
        <f>IF(HR_Data[[#This Row],[Age]]&lt;25,"Under 25",IF(HR_Data[[#This Row],[Age]]&lt;=34,"25-34",IF(HR_Data[[#This Row],[Age]]&lt;=44,"35-44",IF(HR_Data[[#This Row],[Age]]&lt;=54,"45-54","55+"))))</f>
        <v>55+</v>
      </c>
      <c r="AM554" t="str">
        <f>IF(HR_Data[[#This Row],[MonthlyIncome]]&lt;3000,"Low Salary",IF(HR_Data[[#This Row],[MonthlyIncome]]&lt;=7000,"Medium Salary","High Salary"))</f>
        <v>High Salary</v>
      </c>
      <c r="AN554" t="str">
        <f>IF(HR_Data[[#This Row],[YearsAtCompany]]&lt;2,"0-1 Years",IF(HR_Data[[#This Row],[YearsAtCompany]]&lt;=5,"2-5 Years",IF(HR_Data[[#This Row],[YearsAtCompany]]&lt;=10,"6-10 Years","10+ Years")))</f>
        <v>6-10 Years</v>
      </c>
      <c r="AO554" t="str">
        <f>IF(HR_Data[[#This Row],[JobSatisfaction]]=1,"Low",IF(HR_Data[[#This Row],[JobSatisfaction]]=2,"Medium",IF(HR_Data[[#This Row],[JobSatisfaction]]=3,"High","Very High")))</f>
        <v>Very High</v>
      </c>
      <c r="AP554" t="str">
        <f>IF(HR_Data[[#This Row],[WorkLifeBalance]]=1,"Bad",IF(HR_Data[[#This Row],[WorkLifeBalance]]=2,"Good",IF(HR_Data[[#This Row],[WorkLifeBalance]]=3,"Better","Best")))</f>
        <v>Good</v>
      </c>
    </row>
    <row r="555" spans="1:42"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IF(HR_Data[[#This Row],[Attrition]]="Yes",1,0)</f>
        <v>0</v>
      </c>
      <c r="AK555">
        <f>IF(HR_Data[[#This Row],[Attrition]]="No",1,0)</f>
        <v>1</v>
      </c>
      <c r="AL555" t="str">
        <f>IF(HR_Data[[#This Row],[Age]]&lt;25,"Under 25",IF(HR_Data[[#This Row],[Age]]&lt;=34,"25-34",IF(HR_Data[[#This Row],[Age]]&lt;=44,"35-44",IF(HR_Data[[#This Row],[Age]]&lt;=54,"45-54","55+"))))</f>
        <v>35-44</v>
      </c>
      <c r="AM555" t="str">
        <f>IF(HR_Data[[#This Row],[MonthlyIncome]]&lt;3000,"Low Salary",IF(HR_Data[[#This Row],[MonthlyIncome]]&lt;=7000,"Medium Salary","High Salary"))</f>
        <v>Low Salary</v>
      </c>
      <c r="AN555" t="str">
        <f>IF(HR_Data[[#This Row],[YearsAtCompany]]&lt;2,"0-1 Years",IF(HR_Data[[#This Row],[YearsAtCompany]]&lt;=5,"2-5 Years",IF(HR_Data[[#This Row],[YearsAtCompany]]&lt;=10,"6-10 Years","10+ Years")))</f>
        <v>2-5 Years</v>
      </c>
      <c r="AO555" t="str">
        <f>IF(HR_Data[[#This Row],[JobSatisfaction]]=1,"Low",IF(HR_Data[[#This Row],[JobSatisfaction]]=2,"Medium",IF(HR_Data[[#This Row],[JobSatisfaction]]=3,"High","Very High")))</f>
        <v>Very High</v>
      </c>
      <c r="AP555" t="str">
        <f>IF(HR_Data[[#This Row],[WorkLifeBalance]]=1,"Bad",IF(HR_Data[[#This Row],[WorkLifeBalance]]=2,"Good",IF(HR_Data[[#This Row],[WorkLifeBalance]]=3,"Better","Best")))</f>
        <v>Good</v>
      </c>
    </row>
    <row r="556" spans="1:42"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IF(HR_Data[[#This Row],[Attrition]]="Yes",1,0)</f>
        <v>0</v>
      </c>
      <c r="AK556">
        <f>IF(HR_Data[[#This Row],[Attrition]]="No",1,0)</f>
        <v>1</v>
      </c>
      <c r="AL556" t="str">
        <f>IF(HR_Data[[#This Row],[Age]]&lt;25,"Under 25",IF(HR_Data[[#This Row],[Age]]&lt;=34,"25-34",IF(HR_Data[[#This Row],[Age]]&lt;=44,"35-44",IF(HR_Data[[#This Row],[Age]]&lt;=54,"45-54","55+"))))</f>
        <v>25-34</v>
      </c>
      <c r="AM556" t="str">
        <f>IF(HR_Data[[#This Row],[MonthlyIncome]]&lt;3000,"Low Salary",IF(HR_Data[[#This Row],[MonthlyIncome]]&lt;=7000,"Medium Salary","High Salary"))</f>
        <v>Medium Salary</v>
      </c>
      <c r="AN556" t="str">
        <f>IF(HR_Data[[#This Row],[YearsAtCompany]]&lt;2,"0-1 Years",IF(HR_Data[[#This Row],[YearsAtCompany]]&lt;=5,"2-5 Years",IF(HR_Data[[#This Row],[YearsAtCompany]]&lt;=10,"6-10 Years","10+ Years")))</f>
        <v>6-10 Years</v>
      </c>
      <c r="AO556" t="str">
        <f>IF(HR_Data[[#This Row],[JobSatisfaction]]=1,"Low",IF(HR_Data[[#This Row],[JobSatisfaction]]=2,"Medium",IF(HR_Data[[#This Row],[JobSatisfaction]]=3,"High","Very High")))</f>
        <v>Low</v>
      </c>
      <c r="AP556" t="str">
        <f>IF(HR_Data[[#This Row],[WorkLifeBalance]]=1,"Bad",IF(HR_Data[[#This Row],[WorkLifeBalance]]=2,"Good",IF(HR_Data[[#This Row],[WorkLifeBalance]]=3,"Better","Best")))</f>
        <v>Bad</v>
      </c>
    </row>
    <row r="557" spans="1:42"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IF(HR_Data[[#This Row],[Attrition]]="Yes",1,0)</f>
        <v>0</v>
      </c>
      <c r="AK557">
        <f>IF(HR_Data[[#This Row],[Attrition]]="No",1,0)</f>
        <v>1</v>
      </c>
      <c r="AL557" t="str">
        <f>IF(HR_Data[[#This Row],[Age]]&lt;25,"Under 25",IF(HR_Data[[#This Row],[Age]]&lt;=34,"25-34",IF(HR_Data[[#This Row],[Age]]&lt;=44,"35-44",IF(HR_Data[[#This Row],[Age]]&lt;=54,"45-54","55+"))))</f>
        <v>25-34</v>
      </c>
      <c r="AM557" t="str">
        <f>IF(HR_Data[[#This Row],[MonthlyIncome]]&lt;3000,"Low Salary",IF(HR_Data[[#This Row],[MonthlyIncome]]&lt;=7000,"Medium Salary","High Salary"))</f>
        <v>Low Salary</v>
      </c>
      <c r="AN557" t="str">
        <f>IF(HR_Data[[#This Row],[YearsAtCompany]]&lt;2,"0-1 Years",IF(HR_Data[[#This Row],[YearsAtCompany]]&lt;=5,"2-5 Years",IF(HR_Data[[#This Row],[YearsAtCompany]]&lt;=10,"6-10 Years","10+ Years")))</f>
        <v>2-5 Years</v>
      </c>
      <c r="AO557" t="str">
        <f>IF(HR_Data[[#This Row],[JobSatisfaction]]=1,"Low",IF(HR_Data[[#This Row],[JobSatisfaction]]=2,"Medium",IF(HR_Data[[#This Row],[JobSatisfaction]]=3,"High","Very High")))</f>
        <v>Medium</v>
      </c>
      <c r="AP557" t="str">
        <f>IF(HR_Data[[#This Row],[WorkLifeBalance]]=1,"Bad",IF(HR_Data[[#This Row],[WorkLifeBalance]]=2,"Good",IF(HR_Data[[#This Row],[WorkLifeBalance]]=3,"Better","Best")))</f>
        <v>Better</v>
      </c>
    </row>
    <row r="558" spans="1:42"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IF(HR_Data[[#This Row],[Attrition]]="Yes",1,0)</f>
        <v>0</v>
      </c>
      <c r="AK558">
        <f>IF(HR_Data[[#This Row],[Attrition]]="No",1,0)</f>
        <v>1</v>
      </c>
      <c r="AL558" t="str">
        <f>IF(HR_Data[[#This Row],[Age]]&lt;25,"Under 25",IF(HR_Data[[#This Row],[Age]]&lt;=34,"25-34",IF(HR_Data[[#This Row],[Age]]&lt;=44,"35-44",IF(HR_Data[[#This Row],[Age]]&lt;=54,"45-54","55+"))))</f>
        <v>45-54</v>
      </c>
      <c r="AM558" t="str">
        <f>IF(HR_Data[[#This Row],[MonthlyIncome]]&lt;3000,"Low Salary",IF(HR_Data[[#This Row],[MonthlyIncome]]&lt;=7000,"Medium Salary","High Salary"))</f>
        <v>Low Salary</v>
      </c>
      <c r="AN558" t="str">
        <f>IF(HR_Data[[#This Row],[YearsAtCompany]]&lt;2,"0-1 Years",IF(HR_Data[[#This Row],[YearsAtCompany]]&lt;=5,"2-5 Years",IF(HR_Data[[#This Row],[YearsAtCompany]]&lt;=10,"6-10 Years","10+ Years")))</f>
        <v>2-5 Years</v>
      </c>
      <c r="AO558" t="str">
        <f>IF(HR_Data[[#This Row],[JobSatisfaction]]=1,"Low",IF(HR_Data[[#This Row],[JobSatisfaction]]=2,"Medium",IF(HR_Data[[#This Row],[JobSatisfaction]]=3,"High","Very High")))</f>
        <v>Very High</v>
      </c>
      <c r="AP558" t="str">
        <f>IF(HR_Data[[#This Row],[WorkLifeBalance]]=1,"Bad",IF(HR_Data[[#This Row],[WorkLifeBalance]]=2,"Good",IF(HR_Data[[#This Row],[WorkLifeBalance]]=3,"Better","Best")))</f>
        <v>Better</v>
      </c>
    </row>
    <row r="559" spans="1:42"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IF(HR_Data[[#This Row],[Attrition]]="Yes",1,0)</f>
        <v>0</v>
      </c>
      <c r="AK559">
        <f>IF(HR_Data[[#This Row],[Attrition]]="No",1,0)</f>
        <v>1</v>
      </c>
      <c r="AL559" t="str">
        <f>IF(HR_Data[[#This Row],[Age]]&lt;25,"Under 25",IF(HR_Data[[#This Row],[Age]]&lt;=34,"25-34",IF(HR_Data[[#This Row],[Age]]&lt;=44,"35-44",IF(HR_Data[[#This Row],[Age]]&lt;=54,"45-54","55+"))))</f>
        <v>35-44</v>
      </c>
      <c r="AM559" t="str">
        <f>IF(HR_Data[[#This Row],[MonthlyIncome]]&lt;3000,"Low Salary",IF(HR_Data[[#This Row],[MonthlyIncome]]&lt;=7000,"Medium Salary","High Salary"))</f>
        <v>Medium Salary</v>
      </c>
      <c r="AN559" t="str">
        <f>IF(HR_Data[[#This Row],[YearsAtCompany]]&lt;2,"0-1 Years",IF(HR_Data[[#This Row],[YearsAtCompany]]&lt;=5,"2-5 Years",IF(HR_Data[[#This Row],[YearsAtCompany]]&lt;=10,"6-10 Years","10+ Years")))</f>
        <v>0-1 Years</v>
      </c>
      <c r="AO559" t="str">
        <f>IF(HR_Data[[#This Row],[JobSatisfaction]]=1,"Low",IF(HR_Data[[#This Row],[JobSatisfaction]]=2,"Medium",IF(HR_Data[[#This Row],[JobSatisfaction]]=3,"High","Very High")))</f>
        <v>Low</v>
      </c>
      <c r="AP559" t="str">
        <f>IF(HR_Data[[#This Row],[WorkLifeBalance]]=1,"Bad",IF(HR_Data[[#This Row],[WorkLifeBalance]]=2,"Good",IF(HR_Data[[#This Row],[WorkLifeBalance]]=3,"Better","Best")))</f>
        <v>Best</v>
      </c>
    </row>
    <row r="560" spans="1:42"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IF(HR_Data[[#This Row],[Attrition]]="Yes",1,0)</f>
        <v>0</v>
      </c>
      <c r="AK560">
        <f>IF(HR_Data[[#This Row],[Attrition]]="No",1,0)</f>
        <v>1</v>
      </c>
      <c r="AL560" t="str">
        <f>IF(HR_Data[[#This Row],[Age]]&lt;25,"Under 25",IF(HR_Data[[#This Row],[Age]]&lt;=34,"25-34",IF(HR_Data[[#This Row],[Age]]&lt;=44,"35-44",IF(HR_Data[[#This Row],[Age]]&lt;=54,"45-54","55+"))))</f>
        <v>25-34</v>
      </c>
      <c r="AM560" t="str">
        <f>IF(HR_Data[[#This Row],[MonthlyIncome]]&lt;3000,"Low Salary",IF(HR_Data[[#This Row],[MonthlyIncome]]&lt;=7000,"Medium Salary","High Salary"))</f>
        <v>Medium Salary</v>
      </c>
      <c r="AN560" t="str">
        <f>IF(HR_Data[[#This Row],[YearsAtCompany]]&lt;2,"0-1 Years",IF(HR_Data[[#This Row],[YearsAtCompany]]&lt;=5,"2-5 Years",IF(HR_Data[[#This Row],[YearsAtCompany]]&lt;=10,"6-10 Years","10+ Years")))</f>
        <v>6-10 Years</v>
      </c>
      <c r="AO560" t="str">
        <f>IF(HR_Data[[#This Row],[JobSatisfaction]]=1,"Low",IF(HR_Data[[#This Row],[JobSatisfaction]]=2,"Medium",IF(HR_Data[[#This Row],[JobSatisfaction]]=3,"High","Very High")))</f>
        <v>Very High</v>
      </c>
      <c r="AP560" t="str">
        <f>IF(HR_Data[[#This Row],[WorkLifeBalance]]=1,"Bad",IF(HR_Data[[#This Row],[WorkLifeBalance]]=2,"Good",IF(HR_Data[[#This Row],[WorkLifeBalance]]=3,"Better","Best")))</f>
        <v>Better</v>
      </c>
    </row>
    <row r="561" spans="1:42"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IF(HR_Data[[#This Row],[Attrition]]="Yes",1,0)</f>
        <v>0</v>
      </c>
      <c r="AK561">
        <f>IF(HR_Data[[#This Row],[Attrition]]="No",1,0)</f>
        <v>1</v>
      </c>
      <c r="AL561" t="str">
        <f>IF(HR_Data[[#This Row],[Age]]&lt;25,"Under 25",IF(HR_Data[[#This Row],[Age]]&lt;=34,"25-34",IF(HR_Data[[#This Row],[Age]]&lt;=44,"35-44",IF(HR_Data[[#This Row],[Age]]&lt;=54,"45-54","55+"))))</f>
        <v>35-44</v>
      </c>
      <c r="AM561" t="str">
        <f>IF(HR_Data[[#This Row],[MonthlyIncome]]&lt;3000,"Low Salary",IF(HR_Data[[#This Row],[MonthlyIncome]]&lt;=7000,"Medium Salary","High Salary"))</f>
        <v>Medium Salary</v>
      </c>
      <c r="AN561" t="str">
        <f>IF(HR_Data[[#This Row],[YearsAtCompany]]&lt;2,"0-1 Years",IF(HR_Data[[#This Row],[YearsAtCompany]]&lt;=5,"2-5 Years",IF(HR_Data[[#This Row],[YearsAtCompany]]&lt;=10,"6-10 Years","10+ Years")))</f>
        <v>0-1 Years</v>
      </c>
      <c r="AO561" t="str">
        <f>IF(HR_Data[[#This Row],[JobSatisfaction]]=1,"Low",IF(HR_Data[[#This Row],[JobSatisfaction]]=2,"Medium",IF(HR_Data[[#This Row],[JobSatisfaction]]=3,"High","Very High")))</f>
        <v>High</v>
      </c>
      <c r="AP561" t="str">
        <f>IF(HR_Data[[#This Row],[WorkLifeBalance]]=1,"Bad",IF(HR_Data[[#This Row],[WorkLifeBalance]]=2,"Good",IF(HR_Data[[#This Row],[WorkLifeBalance]]=3,"Better","Best")))</f>
        <v>Bad</v>
      </c>
    </row>
    <row r="562" spans="1:42"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IF(HR_Data[[#This Row],[Attrition]]="Yes",1,0)</f>
        <v>0</v>
      </c>
      <c r="AK562">
        <f>IF(HR_Data[[#This Row],[Attrition]]="No",1,0)</f>
        <v>1</v>
      </c>
      <c r="AL562" t="str">
        <f>IF(HR_Data[[#This Row],[Age]]&lt;25,"Under 25",IF(HR_Data[[#This Row],[Age]]&lt;=34,"25-34",IF(HR_Data[[#This Row],[Age]]&lt;=44,"35-44",IF(HR_Data[[#This Row],[Age]]&lt;=54,"45-54","55+"))))</f>
        <v>25-34</v>
      </c>
      <c r="AM562" t="str">
        <f>IF(HR_Data[[#This Row],[MonthlyIncome]]&lt;3000,"Low Salary",IF(HR_Data[[#This Row],[MonthlyIncome]]&lt;=7000,"Medium Salary","High Salary"))</f>
        <v>Medium Salary</v>
      </c>
      <c r="AN562" t="str">
        <f>IF(HR_Data[[#This Row],[YearsAtCompany]]&lt;2,"0-1 Years",IF(HR_Data[[#This Row],[YearsAtCompany]]&lt;=5,"2-5 Years",IF(HR_Data[[#This Row],[YearsAtCompany]]&lt;=10,"6-10 Years","10+ Years")))</f>
        <v>0-1 Years</v>
      </c>
      <c r="AO562" t="str">
        <f>IF(HR_Data[[#This Row],[JobSatisfaction]]=1,"Low",IF(HR_Data[[#This Row],[JobSatisfaction]]=2,"Medium",IF(HR_Data[[#This Row],[JobSatisfaction]]=3,"High","Very High")))</f>
        <v>Low</v>
      </c>
      <c r="AP562" t="str">
        <f>IF(HR_Data[[#This Row],[WorkLifeBalance]]=1,"Bad",IF(HR_Data[[#This Row],[WorkLifeBalance]]=2,"Good",IF(HR_Data[[#This Row],[WorkLifeBalance]]=3,"Better","Best")))</f>
        <v>Better</v>
      </c>
    </row>
    <row r="563" spans="1:42"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IF(HR_Data[[#This Row],[Attrition]]="Yes",1,0)</f>
        <v>0</v>
      </c>
      <c r="AK563">
        <f>IF(HR_Data[[#This Row],[Attrition]]="No",1,0)</f>
        <v>1</v>
      </c>
      <c r="AL563" t="str">
        <f>IF(HR_Data[[#This Row],[Age]]&lt;25,"Under 25",IF(HR_Data[[#This Row],[Age]]&lt;=34,"25-34",IF(HR_Data[[#This Row],[Age]]&lt;=44,"35-44",IF(HR_Data[[#This Row],[Age]]&lt;=54,"45-54","55+"))))</f>
        <v>45-54</v>
      </c>
      <c r="AM563" t="str">
        <f>IF(HR_Data[[#This Row],[MonthlyIncome]]&lt;3000,"Low Salary",IF(HR_Data[[#This Row],[MonthlyIncome]]&lt;=7000,"Medium Salary","High Salary"))</f>
        <v>High Salary</v>
      </c>
      <c r="AN563" t="str">
        <f>IF(HR_Data[[#This Row],[YearsAtCompany]]&lt;2,"0-1 Years",IF(HR_Data[[#This Row],[YearsAtCompany]]&lt;=5,"2-5 Years",IF(HR_Data[[#This Row],[YearsAtCompany]]&lt;=10,"6-10 Years","10+ Years")))</f>
        <v>10+ Years</v>
      </c>
      <c r="AO563" t="str">
        <f>IF(HR_Data[[#This Row],[JobSatisfaction]]=1,"Low",IF(HR_Data[[#This Row],[JobSatisfaction]]=2,"Medium",IF(HR_Data[[#This Row],[JobSatisfaction]]=3,"High","Very High")))</f>
        <v>Low</v>
      </c>
      <c r="AP563" t="str">
        <f>IF(HR_Data[[#This Row],[WorkLifeBalance]]=1,"Bad",IF(HR_Data[[#This Row],[WorkLifeBalance]]=2,"Good",IF(HR_Data[[#This Row],[WorkLifeBalance]]=3,"Better","Best")))</f>
        <v>Best</v>
      </c>
    </row>
    <row r="564" spans="1:42"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IF(HR_Data[[#This Row],[Attrition]]="Yes",1,0)</f>
        <v>1</v>
      </c>
      <c r="AK564">
        <f>IF(HR_Data[[#This Row],[Attrition]]="No",1,0)</f>
        <v>0</v>
      </c>
      <c r="AL564" t="str">
        <f>IF(HR_Data[[#This Row],[Age]]&lt;25,"Under 25",IF(HR_Data[[#This Row],[Age]]&lt;=34,"25-34",IF(HR_Data[[#This Row],[Age]]&lt;=44,"35-44",IF(HR_Data[[#This Row],[Age]]&lt;=54,"45-54","55+"))))</f>
        <v>25-34</v>
      </c>
      <c r="AM564" t="str">
        <f>IF(HR_Data[[#This Row],[MonthlyIncome]]&lt;3000,"Low Salary",IF(HR_Data[[#This Row],[MonthlyIncome]]&lt;=7000,"Medium Salary","High Salary"))</f>
        <v>Low Salary</v>
      </c>
      <c r="AN564" t="str">
        <f>IF(HR_Data[[#This Row],[YearsAtCompany]]&lt;2,"0-1 Years",IF(HR_Data[[#This Row],[YearsAtCompany]]&lt;=5,"2-5 Years",IF(HR_Data[[#This Row],[YearsAtCompany]]&lt;=10,"6-10 Years","10+ Years")))</f>
        <v>6-10 Years</v>
      </c>
      <c r="AO564" t="str">
        <f>IF(HR_Data[[#This Row],[JobSatisfaction]]=1,"Low",IF(HR_Data[[#This Row],[JobSatisfaction]]=2,"Medium",IF(HR_Data[[#This Row],[JobSatisfaction]]=3,"High","Very High")))</f>
        <v>Very High</v>
      </c>
      <c r="AP564" t="str">
        <f>IF(HR_Data[[#This Row],[WorkLifeBalance]]=1,"Bad",IF(HR_Data[[#This Row],[WorkLifeBalance]]=2,"Good",IF(HR_Data[[#This Row],[WorkLifeBalance]]=3,"Better","Best")))</f>
        <v>Good</v>
      </c>
    </row>
    <row r="565" spans="1:42"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IF(HR_Data[[#This Row],[Attrition]]="Yes",1,0)</f>
        <v>0</v>
      </c>
      <c r="AK565">
        <f>IF(HR_Data[[#This Row],[Attrition]]="No",1,0)</f>
        <v>1</v>
      </c>
      <c r="AL565" t="str">
        <f>IF(HR_Data[[#This Row],[Age]]&lt;25,"Under 25",IF(HR_Data[[#This Row],[Age]]&lt;=34,"25-34",IF(HR_Data[[#This Row],[Age]]&lt;=44,"35-44",IF(HR_Data[[#This Row],[Age]]&lt;=54,"45-54","55+"))))</f>
        <v>25-34</v>
      </c>
      <c r="AM565" t="str">
        <f>IF(HR_Data[[#This Row],[MonthlyIncome]]&lt;3000,"Low Salary",IF(HR_Data[[#This Row],[MonthlyIncome]]&lt;=7000,"Medium Salary","High Salary"))</f>
        <v>Medium Salary</v>
      </c>
      <c r="AN565" t="str">
        <f>IF(HR_Data[[#This Row],[YearsAtCompany]]&lt;2,"0-1 Years",IF(HR_Data[[#This Row],[YearsAtCompany]]&lt;=5,"2-5 Years",IF(HR_Data[[#This Row],[YearsAtCompany]]&lt;=10,"6-10 Years","10+ Years")))</f>
        <v>6-10 Years</v>
      </c>
      <c r="AO565" t="str">
        <f>IF(HR_Data[[#This Row],[JobSatisfaction]]=1,"Low",IF(HR_Data[[#This Row],[JobSatisfaction]]=2,"Medium",IF(HR_Data[[#This Row],[JobSatisfaction]]=3,"High","Very High")))</f>
        <v>Very High</v>
      </c>
      <c r="AP565" t="str">
        <f>IF(HR_Data[[#This Row],[WorkLifeBalance]]=1,"Bad",IF(HR_Data[[#This Row],[WorkLifeBalance]]=2,"Good",IF(HR_Data[[#This Row],[WorkLifeBalance]]=3,"Better","Best")))</f>
        <v>Good</v>
      </c>
    </row>
    <row r="566" spans="1:42"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IF(HR_Data[[#This Row],[Attrition]]="Yes",1,0)</f>
        <v>0</v>
      </c>
      <c r="AK566">
        <f>IF(HR_Data[[#This Row],[Attrition]]="No",1,0)</f>
        <v>1</v>
      </c>
      <c r="AL566" t="str">
        <f>IF(HR_Data[[#This Row],[Age]]&lt;25,"Under 25",IF(HR_Data[[#This Row],[Age]]&lt;=34,"25-34",IF(HR_Data[[#This Row],[Age]]&lt;=44,"35-44",IF(HR_Data[[#This Row],[Age]]&lt;=54,"45-54","55+"))))</f>
        <v>45-54</v>
      </c>
      <c r="AM566" t="str">
        <f>IF(HR_Data[[#This Row],[MonthlyIncome]]&lt;3000,"Low Salary",IF(HR_Data[[#This Row],[MonthlyIncome]]&lt;=7000,"Medium Salary","High Salary"))</f>
        <v>Medium Salary</v>
      </c>
      <c r="AN566" t="str">
        <f>IF(HR_Data[[#This Row],[YearsAtCompany]]&lt;2,"0-1 Years",IF(HR_Data[[#This Row],[YearsAtCompany]]&lt;=5,"2-5 Years",IF(HR_Data[[#This Row],[YearsAtCompany]]&lt;=10,"6-10 Years","10+ Years")))</f>
        <v>6-10 Years</v>
      </c>
      <c r="AO566" t="str">
        <f>IF(HR_Data[[#This Row],[JobSatisfaction]]=1,"Low",IF(HR_Data[[#This Row],[JobSatisfaction]]=2,"Medium",IF(HR_Data[[#This Row],[JobSatisfaction]]=3,"High","Very High")))</f>
        <v>High</v>
      </c>
      <c r="AP566" t="str">
        <f>IF(HR_Data[[#This Row],[WorkLifeBalance]]=1,"Bad",IF(HR_Data[[#This Row],[WorkLifeBalance]]=2,"Good",IF(HR_Data[[#This Row],[WorkLifeBalance]]=3,"Better","Best")))</f>
        <v>Better</v>
      </c>
    </row>
    <row r="567" spans="1:42"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IF(HR_Data[[#This Row],[Attrition]]="Yes",1,0)</f>
        <v>0</v>
      </c>
      <c r="AK567">
        <f>IF(HR_Data[[#This Row],[Attrition]]="No",1,0)</f>
        <v>1</v>
      </c>
      <c r="AL567" t="str">
        <f>IF(HR_Data[[#This Row],[Age]]&lt;25,"Under 25",IF(HR_Data[[#This Row],[Age]]&lt;=34,"25-34",IF(HR_Data[[#This Row],[Age]]&lt;=44,"35-44",IF(HR_Data[[#This Row],[Age]]&lt;=54,"45-54","55+"))))</f>
        <v>Under 25</v>
      </c>
      <c r="AM567" t="str">
        <f>IF(HR_Data[[#This Row],[MonthlyIncome]]&lt;3000,"Low Salary",IF(HR_Data[[#This Row],[MonthlyIncome]]&lt;=7000,"Medium Salary","High Salary"))</f>
        <v>Medium Salary</v>
      </c>
      <c r="AN567" t="str">
        <f>IF(HR_Data[[#This Row],[YearsAtCompany]]&lt;2,"0-1 Years",IF(HR_Data[[#This Row],[YearsAtCompany]]&lt;=5,"2-5 Years",IF(HR_Data[[#This Row],[YearsAtCompany]]&lt;=10,"6-10 Years","10+ Years")))</f>
        <v>2-5 Years</v>
      </c>
      <c r="AO567" t="str">
        <f>IF(HR_Data[[#This Row],[JobSatisfaction]]=1,"Low",IF(HR_Data[[#This Row],[JobSatisfaction]]=2,"Medium",IF(HR_Data[[#This Row],[JobSatisfaction]]=3,"High","Very High")))</f>
        <v>High</v>
      </c>
      <c r="AP567" t="str">
        <f>IF(HR_Data[[#This Row],[WorkLifeBalance]]=1,"Bad",IF(HR_Data[[#This Row],[WorkLifeBalance]]=2,"Good",IF(HR_Data[[#This Row],[WorkLifeBalance]]=3,"Better","Best")))</f>
        <v>Better</v>
      </c>
    </row>
    <row r="568" spans="1:42"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IF(HR_Data[[#This Row],[Attrition]]="Yes",1,0)</f>
        <v>1</v>
      </c>
      <c r="AK568">
        <f>IF(HR_Data[[#This Row],[Attrition]]="No",1,0)</f>
        <v>0</v>
      </c>
      <c r="AL568" t="str">
        <f>IF(HR_Data[[#This Row],[Age]]&lt;25,"Under 25",IF(HR_Data[[#This Row],[Age]]&lt;=34,"25-34",IF(HR_Data[[#This Row],[Age]]&lt;=44,"35-44",IF(HR_Data[[#This Row],[Age]]&lt;=54,"45-54","55+"))))</f>
        <v>45-54</v>
      </c>
      <c r="AM568" t="str">
        <f>IF(HR_Data[[#This Row],[MonthlyIncome]]&lt;3000,"Low Salary",IF(HR_Data[[#This Row],[MonthlyIncome]]&lt;=7000,"Medium Salary","High Salary"))</f>
        <v>Medium Salary</v>
      </c>
      <c r="AN568" t="str">
        <f>IF(HR_Data[[#This Row],[YearsAtCompany]]&lt;2,"0-1 Years",IF(HR_Data[[#This Row],[YearsAtCompany]]&lt;=5,"2-5 Years",IF(HR_Data[[#This Row],[YearsAtCompany]]&lt;=10,"6-10 Years","10+ Years")))</f>
        <v>2-5 Years</v>
      </c>
      <c r="AO568" t="str">
        <f>IF(HR_Data[[#This Row],[JobSatisfaction]]=1,"Low",IF(HR_Data[[#This Row],[JobSatisfaction]]=2,"Medium",IF(HR_Data[[#This Row],[JobSatisfaction]]=3,"High","Very High")))</f>
        <v>High</v>
      </c>
      <c r="AP568" t="str">
        <f>IF(HR_Data[[#This Row],[WorkLifeBalance]]=1,"Bad",IF(HR_Data[[#This Row],[WorkLifeBalance]]=2,"Good",IF(HR_Data[[#This Row],[WorkLifeBalance]]=3,"Better","Best")))</f>
        <v>Better</v>
      </c>
    </row>
    <row r="569" spans="1:42"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IF(HR_Data[[#This Row],[Attrition]]="Yes",1,0)</f>
        <v>0</v>
      </c>
      <c r="AK569">
        <f>IF(HR_Data[[#This Row],[Attrition]]="No",1,0)</f>
        <v>1</v>
      </c>
      <c r="AL569" t="str">
        <f>IF(HR_Data[[#This Row],[Age]]&lt;25,"Under 25",IF(HR_Data[[#This Row],[Age]]&lt;=34,"25-34",IF(HR_Data[[#This Row],[Age]]&lt;=44,"35-44",IF(HR_Data[[#This Row],[Age]]&lt;=54,"45-54","55+"))))</f>
        <v>25-34</v>
      </c>
      <c r="AM569" t="str">
        <f>IF(HR_Data[[#This Row],[MonthlyIncome]]&lt;3000,"Low Salary",IF(HR_Data[[#This Row],[MonthlyIncome]]&lt;=7000,"Medium Salary","High Salary"))</f>
        <v>Medium Salary</v>
      </c>
      <c r="AN569" t="str">
        <f>IF(HR_Data[[#This Row],[YearsAtCompany]]&lt;2,"0-1 Years",IF(HR_Data[[#This Row],[YearsAtCompany]]&lt;=5,"2-5 Years",IF(HR_Data[[#This Row],[YearsAtCompany]]&lt;=10,"6-10 Years","10+ Years")))</f>
        <v>6-10 Years</v>
      </c>
      <c r="AO569" t="str">
        <f>IF(HR_Data[[#This Row],[JobSatisfaction]]=1,"Low",IF(HR_Data[[#This Row],[JobSatisfaction]]=2,"Medium",IF(HR_Data[[#This Row],[JobSatisfaction]]=3,"High","Very High")))</f>
        <v>Very High</v>
      </c>
      <c r="AP569" t="str">
        <f>IF(HR_Data[[#This Row],[WorkLifeBalance]]=1,"Bad",IF(HR_Data[[#This Row],[WorkLifeBalance]]=2,"Good",IF(HR_Data[[#This Row],[WorkLifeBalance]]=3,"Better","Best")))</f>
        <v>Better</v>
      </c>
    </row>
    <row r="570" spans="1:42"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IF(HR_Data[[#This Row],[Attrition]]="Yes",1,0)</f>
        <v>1</v>
      </c>
      <c r="AK570">
        <f>IF(HR_Data[[#This Row],[Attrition]]="No",1,0)</f>
        <v>0</v>
      </c>
      <c r="AL570" t="str">
        <f>IF(HR_Data[[#This Row],[Age]]&lt;25,"Under 25",IF(HR_Data[[#This Row],[Age]]&lt;=34,"25-34",IF(HR_Data[[#This Row],[Age]]&lt;=44,"35-44",IF(HR_Data[[#This Row],[Age]]&lt;=54,"45-54","55+"))))</f>
        <v>55+</v>
      </c>
      <c r="AM570" t="str">
        <f>IF(HR_Data[[#This Row],[MonthlyIncome]]&lt;3000,"Low Salary",IF(HR_Data[[#This Row],[MonthlyIncome]]&lt;=7000,"Medium Salary","High Salary"))</f>
        <v>High Salary</v>
      </c>
      <c r="AN570" t="str">
        <f>IF(HR_Data[[#This Row],[YearsAtCompany]]&lt;2,"0-1 Years",IF(HR_Data[[#This Row],[YearsAtCompany]]&lt;=5,"2-5 Years",IF(HR_Data[[#This Row],[YearsAtCompany]]&lt;=10,"6-10 Years","10+ Years")))</f>
        <v>2-5 Years</v>
      </c>
      <c r="AO570" t="str">
        <f>IF(HR_Data[[#This Row],[JobSatisfaction]]=1,"Low",IF(HR_Data[[#This Row],[JobSatisfaction]]=2,"Medium",IF(HR_Data[[#This Row],[JobSatisfaction]]=3,"High","Very High")))</f>
        <v>Low</v>
      </c>
      <c r="AP570" t="str">
        <f>IF(HR_Data[[#This Row],[WorkLifeBalance]]=1,"Bad",IF(HR_Data[[#This Row],[WorkLifeBalance]]=2,"Good",IF(HR_Data[[#This Row],[WorkLifeBalance]]=3,"Better","Best")))</f>
        <v>Better</v>
      </c>
    </row>
    <row r="571" spans="1:42"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IF(HR_Data[[#This Row],[Attrition]]="Yes",1,0)</f>
        <v>0</v>
      </c>
      <c r="AK571">
        <f>IF(HR_Data[[#This Row],[Attrition]]="No",1,0)</f>
        <v>1</v>
      </c>
      <c r="AL571" t="str">
        <f>IF(HR_Data[[#This Row],[Age]]&lt;25,"Under 25",IF(HR_Data[[#This Row],[Age]]&lt;=34,"25-34",IF(HR_Data[[#This Row],[Age]]&lt;=44,"35-44",IF(HR_Data[[#This Row],[Age]]&lt;=54,"45-54","55+"))))</f>
        <v>35-44</v>
      </c>
      <c r="AM571" t="str">
        <f>IF(HR_Data[[#This Row],[MonthlyIncome]]&lt;3000,"Low Salary",IF(HR_Data[[#This Row],[MonthlyIncome]]&lt;=7000,"Medium Salary","High Salary"))</f>
        <v>High Salary</v>
      </c>
      <c r="AN571" t="str">
        <f>IF(HR_Data[[#This Row],[YearsAtCompany]]&lt;2,"0-1 Years",IF(HR_Data[[#This Row],[YearsAtCompany]]&lt;=5,"2-5 Years",IF(HR_Data[[#This Row],[YearsAtCompany]]&lt;=10,"6-10 Years","10+ Years")))</f>
        <v>6-10 Years</v>
      </c>
      <c r="AO571" t="str">
        <f>IF(HR_Data[[#This Row],[JobSatisfaction]]=1,"Low",IF(HR_Data[[#This Row],[JobSatisfaction]]=2,"Medium",IF(HR_Data[[#This Row],[JobSatisfaction]]=3,"High","Very High")))</f>
        <v>Low</v>
      </c>
      <c r="AP571" t="str">
        <f>IF(HR_Data[[#This Row],[WorkLifeBalance]]=1,"Bad",IF(HR_Data[[#This Row],[WorkLifeBalance]]=2,"Good",IF(HR_Data[[#This Row],[WorkLifeBalance]]=3,"Better","Best")))</f>
        <v>Better</v>
      </c>
    </row>
    <row r="572" spans="1:42"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IF(HR_Data[[#This Row],[Attrition]]="Yes",1,0)</f>
        <v>0</v>
      </c>
      <c r="AK572">
        <f>IF(HR_Data[[#This Row],[Attrition]]="No",1,0)</f>
        <v>1</v>
      </c>
      <c r="AL572" t="str">
        <f>IF(HR_Data[[#This Row],[Age]]&lt;25,"Under 25",IF(HR_Data[[#This Row],[Age]]&lt;=34,"25-34",IF(HR_Data[[#This Row],[Age]]&lt;=44,"35-44",IF(HR_Data[[#This Row],[Age]]&lt;=54,"45-54","55+"))))</f>
        <v>45-54</v>
      </c>
      <c r="AM572" t="str">
        <f>IF(HR_Data[[#This Row],[MonthlyIncome]]&lt;3000,"Low Salary",IF(HR_Data[[#This Row],[MonthlyIncome]]&lt;=7000,"Medium Salary","High Salary"))</f>
        <v>Medium Salary</v>
      </c>
      <c r="AN572" t="str">
        <f>IF(HR_Data[[#This Row],[YearsAtCompany]]&lt;2,"0-1 Years",IF(HR_Data[[#This Row],[YearsAtCompany]]&lt;=5,"2-5 Years",IF(HR_Data[[#This Row],[YearsAtCompany]]&lt;=10,"6-10 Years","10+ Years")))</f>
        <v>2-5 Years</v>
      </c>
      <c r="AO572" t="str">
        <f>IF(HR_Data[[#This Row],[JobSatisfaction]]=1,"Low",IF(HR_Data[[#This Row],[JobSatisfaction]]=2,"Medium",IF(HR_Data[[#This Row],[JobSatisfaction]]=3,"High","Very High")))</f>
        <v>Very High</v>
      </c>
      <c r="AP572" t="str">
        <f>IF(HR_Data[[#This Row],[WorkLifeBalance]]=1,"Bad",IF(HR_Data[[#This Row],[WorkLifeBalance]]=2,"Good",IF(HR_Data[[#This Row],[WorkLifeBalance]]=3,"Better","Best")))</f>
        <v>Better</v>
      </c>
    </row>
    <row r="573" spans="1:42"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IF(HR_Data[[#This Row],[Attrition]]="Yes",1,0)</f>
        <v>0</v>
      </c>
      <c r="AK573">
        <f>IF(HR_Data[[#This Row],[Attrition]]="No",1,0)</f>
        <v>1</v>
      </c>
      <c r="AL573" t="str">
        <f>IF(HR_Data[[#This Row],[Age]]&lt;25,"Under 25",IF(HR_Data[[#This Row],[Age]]&lt;=34,"25-34",IF(HR_Data[[#This Row],[Age]]&lt;=44,"35-44",IF(HR_Data[[#This Row],[Age]]&lt;=54,"45-54","55+"))))</f>
        <v>25-34</v>
      </c>
      <c r="AM573" t="str">
        <f>IF(HR_Data[[#This Row],[MonthlyIncome]]&lt;3000,"Low Salary",IF(HR_Data[[#This Row],[MonthlyIncome]]&lt;=7000,"Medium Salary","High Salary"))</f>
        <v>Medium Salary</v>
      </c>
      <c r="AN573" t="str">
        <f>IF(HR_Data[[#This Row],[YearsAtCompany]]&lt;2,"0-1 Years",IF(HR_Data[[#This Row],[YearsAtCompany]]&lt;=5,"2-5 Years",IF(HR_Data[[#This Row],[YearsAtCompany]]&lt;=10,"6-10 Years","10+ Years")))</f>
        <v>2-5 Years</v>
      </c>
      <c r="AO573" t="str">
        <f>IF(HR_Data[[#This Row],[JobSatisfaction]]=1,"Low",IF(HR_Data[[#This Row],[JobSatisfaction]]=2,"Medium",IF(HR_Data[[#This Row],[JobSatisfaction]]=3,"High","Very High")))</f>
        <v>Very High</v>
      </c>
      <c r="AP573" t="str">
        <f>IF(HR_Data[[#This Row],[WorkLifeBalance]]=1,"Bad",IF(HR_Data[[#This Row],[WorkLifeBalance]]=2,"Good",IF(HR_Data[[#This Row],[WorkLifeBalance]]=3,"Better","Best")))</f>
        <v>Better</v>
      </c>
    </row>
    <row r="574" spans="1:42"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IF(HR_Data[[#This Row],[Attrition]]="Yes",1,0)</f>
        <v>0</v>
      </c>
      <c r="AK574">
        <f>IF(HR_Data[[#This Row],[Attrition]]="No",1,0)</f>
        <v>1</v>
      </c>
      <c r="AL574" t="str">
        <f>IF(HR_Data[[#This Row],[Age]]&lt;25,"Under 25",IF(HR_Data[[#This Row],[Age]]&lt;=34,"25-34",IF(HR_Data[[#This Row],[Age]]&lt;=44,"35-44",IF(HR_Data[[#This Row],[Age]]&lt;=54,"45-54","55+"))))</f>
        <v>25-34</v>
      </c>
      <c r="AM574" t="str">
        <f>IF(HR_Data[[#This Row],[MonthlyIncome]]&lt;3000,"Low Salary",IF(HR_Data[[#This Row],[MonthlyIncome]]&lt;=7000,"Medium Salary","High Salary"))</f>
        <v>Medium Salary</v>
      </c>
      <c r="AN574" t="str">
        <f>IF(HR_Data[[#This Row],[YearsAtCompany]]&lt;2,"0-1 Years",IF(HR_Data[[#This Row],[YearsAtCompany]]&lt;=5,"2-5 Years",IF(HR_Data[[#This Row],[YearsAtCompany]]&lt;=10,"6-10 Years","10+ Years")))</f>
        <v>6-10 Years</v>
      </c>
      <c r="AO574" t="str">
        <f>IF(HR_Data[[#This Row],[JobSatisfaction]]=1,"Low",IF(HR_Data[[#This Row],[JobSatisfaction]]=2,"Medium",IF(HR_Data[[#This Row],[JobSatisfaction]]=3,"High","Very High")))</f>
        <v>High</v>
      </c>
      <c r="AP574" t="str">
        <f>IF(HR_Data[[#This Row],[WorkLifeBalance]]=1,"Bad",IF(HR_Data[[#This Row],[WorkLifeBalance]]=2,"Good",IF(HR_Data[[#This Row],[WorkLifeBalance]]=3,"Better","Best")))</f>
        <v>Good</v>
      </c>
    </row>
    <row r="575" spans="1:42"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IF(HR_Data[[#This Row],[Attrition]]="Yes",1,0)</f>
        <v>1</v>
      </c>
      <c r="AK575">
        <f>IF(HR_Data[[#This Row],[Attrition]]="No",1,0)</f>
        <v>0</v>
      </c>
      <c r="AL575" t="str">
        <f>IF(HR_Data[[#This Row],[Age]]&lt;25,"Under 25",IF(HR_Data[[#This Row],[Age]]&lt;=34,"25-34",IF(HR_Data[[#This Row],[Age]]&lt;=44,"35-44",IF(HR_Data[[#This Row],[Age]]&lt;=54,"45-54","55+"))))</f>
        <v>25-34</v>
      </c>
      <c r="AM575" t="str">
        <f>IF(HR_Data[[#This Row],[MonthlyIncome]]&lt;3000,"Low Salary",IF(HR_Data[[#This Row],[MonthlyIncome]]&lt;=7000,"Medium Salary","High Salary"))</f>
        <v>Medium Salary</v>
      </c>
      <c r="AN575" t="str">
        <f>IF(HR_Data[[#This Row],[YearsAtCompany]]&lt;2,"0-1 Years",IF(HR_Data[[#This Row],[YearsAtCompany]]&lt;=5,"2-5 Years",IF(HR_Data[[#This Row],[YearsAtCompany]]&lt;=10,"6-10 Years","10+ Years")))</f>
        <v>2-5 Years</v>
      </c>
      <c r="AO575" t="str">
        <f>IF(HR_Data[[#This Row],[JobSatisfaction]]=1,"Low",IF(HR_Data[[#This Row],[JobSatisfaction]]=2,"Medium",IF(HR_Data[[#This Row],[JobSatisfaction]]=3,"High","Very High")))</f>
        <v>Low</v>
      </c>
      <c r="AP575" t="str">
        <f>IF(HR_Data[[#This Row],[WorkLifeBalance]]=1,"Bad",IF(HR_Data[[#This Row],[WorkLifeBalance]]=2,"Good",IF(HR_Data[[#This Row],[WorkLifeBalance]]=3,"Better","Best")))</f>
        <v>Good</v>
      </c>
    </row>
    <row r="576" spans="1:42"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IF(HR_Data[[#This Row],[Attrition]]="Yes",1,0)</f>
        <v>0</v>
      </c>
      <c r="AK576">
        <f>IF(HR_Data[[#This Row],[Attrition]]="No",1,0)</f>
        <v>1</v>
      </c>
      <c r="AL576" t="str">
        <f>IF(HR_Data[[#This Row],[Age]]&lt;25,"Under 25",IF(HR_Data[[#This Row],[Age]]&lt;=34,"25-34",IF(HR_Data[[#This Row],[Age]]&lt;=44,"35-44",IF(HR_Data[[#This Row],[Age]]&lt;=54,"45-54","55+"))))</f>
        <v>25-34</v>
      </c>
      <c r="AM576" t="str">
        <f>IF(HR_Data[[#This Row],[MonthlyIncome]]&lt;3000,"Low Salary",IF(HR_Data[[#This Row],[MonthlyIncome]]&lt;=7000,"Medium Salary","High Salary"))</f>
        <v>Medium Salary</v>
      </c>
      <c r="AN576" t="str">
        <f>IF(HR_Data[[#This Row],[YearsAtCompany]]&lt;2,"0-1 Years",IF(HR_Data[[#This Row],[YearsAtCompany]]&lt;=5,"2-5 Years",IF(HR_Data[[#This Row],[YearsAtCompany]]&lt;=10,"6-10 Years","10+ Years")))</f>
        <v>2-5 Years</v>
      </c>
      <c r="AO576" t="str">
        <f>IF(HR_Data[[#This Row],[JobSatisfaction]]=1,"Low",IF(HR_Data[[#This Row],[JobSatisfaction]]=2,"Medium",IF(HR_Data[[#This Row],[JobSatisfaction]]=3,"High","Very High")))</f>
        <v>Very High</v>
      </c>
      <c r="AP576" t="str">
        <f>IF(HR_Data[[#This Row],[WorkLifeBalance]]=1,"Bad",IF(HR_Data[[#This Row],[WorkLifeBalance]]=2,"Good",IF(HR_Data[[#This Row],[WorkLifeBalance]]=3,"Better","Best")))</f>
        <v>Better</v>
      </c>
    </row>
    <row r="577" spans="1:42"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IF(HR_Data[[#This Row],[Attrition]]="Yes",1,0)</f>
        <v>0</v>
      </c>
      <c r="AK577">
        <f>IF(HR_Data[[#This Row],[Attrition]]="No",1,0)</f>
        <v>1</v>
      </c>
      <c r="AL577" t="str">
        <f>IF(HR_Data[[#This Row],[Age]]&lt;25,"Under 25",IF(HR_Data[[#This Row],[Age]]&lt;=34,"25-34",IF(HR_Data[[#This Row],[Age]]&lt;=44,"35-44",IF(HR_Data[[#This Row],[Age]]&lt;=54,"45-54","55+"))))</f>
        <v>45-54</v>
      </c>
      <c r="AM577" t="str">
        <f>IF(HR_Data[[#This Row],[MonthlyIncome]]&lt;3000,"Low Salary",IF(HR_Data[[#This Row],[MonthlyIncome]]&lt;=7000,"Medium Salary","High Salary"))</f>
        <v>Medium Salary</v>
      </c>
      <c r="AN577" t="str">
        <f>IF(HR_Data[[#This Row],[YearsAtCompany]]&lt;2,"0-1 Years",IF(HR_Data[[#This Row],[YearsAtCompany]]&lt;=5,"2-5 Years",IF(HR_Data[[#This Row],[YearsAtCompany]]&lt;=10,"6-10 Years","10+ Years")))</f>
        <v>2-5 Years</v>
      </c>
      <c r="AO577" t="str">
        <f>IF(HR_Data[[#This Row],[JobSatisfaction]]=1,"Low",IF(HR_Data[[#This Row],[JobSatisfaction]]=2,"Medium",IF(HR_Data[[#This Row],[JobSatisfaction]]=3,"High","Very High")))</f>
        <v>Low</v>
      </c>
      <c r="AP577" t="str">
        <f>IF(HR_Data[[#This Row],[WorkLifeBalance]]=1,"Bad",IF(HR_Data[[#This Row],[WorkLifeBalance]]=2,"Good",IF(HR_Data[[#This Row],[WorkLifeBalance]]=3,"Better","Best")))</f>
        <v>Better</v>
      </c>
    </row>
    <row r="578" spans="1:42"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IF(HR_Data[[#This Row],[Attrition]]="Yes",1,0)</f>
        <v>0</v>
      </c>
      <c r="AK578">
        <f>IF(HR_Data[[#This Row],[Attrition]]="No",1,0)</f>
        <v>1</v>
      </c>
      <c r="AL578" t="str">
        <f>IF(HR_Data[[#This Row],[Age]]&lt;25,"Under 25",IF(HR_Data[[#This Row],[Age]]&lt;=34,"25-34",IF(HR_Data[[#This Row],[Age]]&lt;=44,"35-44",IF(HR_Data[[#This Row],[Age]]&lt;=54,"45-54","55+"))))</f>
        <v>25-34</v>
      </c>
      <c r="AM578" t="str">
        <f>IF(HR_Data[[#This Row],[MonthlyIncome]]&lt;3000,"Low Salary",IF(HR_Data[[#This Row],[MonthlyIncome]]&lt;=7000,"Medium Salary","High Salary"))</f>
        <v>Medium Salary</v>
      </c>
      <c r="AN578" t="str">
        <f>IF(HR_Data[[#This Row],[YearsAtCompany]]&lt;2,"0-1 Years",IF(HR_Data[[#This Row],[YearsAtCompany]]&lt;=5,"2-5 Years",IF(HR_Data[[#This Row],[YearsAtCompany]]&lt;=10,"6-10 Years","10+ Years")))</f>
        <v>2-5 Years</v>
      </c>
      <c r="AO578" t="str">
        <f>IF(HR_Data[[#This Row],[JobSatisfaction]]=1,"Low",IF(HR_Data[[#This Row],[JobSatisfaction]]=2,"Medium",IF(HR_Data[[#This Row],[JobSatisfaction]]=3,"High","Very High")))</f>
        <v>Very High</v>
      </c>
      <c r="AP578" t="str">
        <f>IF(HR_Data[[#This Row],[WorkLifeBalance]]=1,"Bad",IF(HR_Data[[#This Row],[WorkLifeBalance]]=2,"Good",IF(HR_Data[[#This Row],[WorkLifeBalance]]=3,"Better","Best")))</f>
        <v>Better</v>
      </c>
    </row>
    <row r="579" spans="1:42"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IF(HR_Data[[#This Row],[Attrition]]="Yes",1,0)</f>
        <v>0</v>
      </c>
      <c r="AK579">
        <f>IF(HR_Data[[#This Row],[Attrition]]="No",1,0)</f>
        <v>1</v>
      </c>
      <c r="AL579" t="str">
        <f>IF(HR_Data[[#This Row],[Age]]&lt;25,"Under 25",IF(HR_Data[[#This Row],[Age]]&lt;=34,"25-34",IF(HR_Data[[#This Row],[Age]]&lt;=44,"35-44",IF(HR_Data[[#This Row],[Age]]&lt;=54,"45-54","55+"))))</f>
        <v>35-44</v>
      </c>
      <c r="AM579" t="str">
        <f>IF(HR_Data[[#This Row],[MonthlyIncome]]&lt;3000,"Low Salary",IF(HR_Data[[#This Row],[MonthlyIncome]]&lt;=7000,"Medium Salary","High Salary"))</f>
        <v>Low Salary</v>
      </c>
      <c r="AN579" t="str">
        <f>IF(HR_Data[[#This Row],[YearsAtCompany]]&lt;2,"0-1 Years",IF(HR_Data[[#This Row],[YearsAtCompany]]&lt;=5,"2-5 Years",IF(HR_Data[[#This Row],[YearsAtCompany]]&lt;=10,"6-10 Years","10+ Years")))</f>
        <v>2-5 Years</v>
      </c>
      <c r="AO579" t="str">
        <f>IF(HR_Data[[#This Row],[JobSatisfaction]]=1,"Low",IF(HR_Data[[#This Row],[JobSatisfaction]]=2,"Medium",IF(HR_Data[[#This Row],[JobSatisfaction]]=3,"High","Very High")))</f>
        <v>Low</v>
      </c>
      <c r="AP579" t="str">
        <f>IF(HR_Data[[#This Row],[WorkLifeBalance]]=1,"Bad",IF(HR_Data[[#This Row],[WorkLifeBalance]]=2,"Good",IF(HR_Data[[#This Row],[WorkLifeBalance]]=3,"Better","Best")))</f>
        <v>Good</v>
      </c>
    </row>
    <row r="580" spans="1:42"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IF(HR_Data[[#This Row],[Attrition]]="Yes",1,0)</f>
        <v>0</v>
      </c>
      <c r="AK580">
        <f>IF(HR_Data[[#This Row],[Attrition]]="No",1,0)</f>
        <v>1</v>
      </c>
      <c r="AL580" t="str">
        <f>IF(HR_Data[[#This Row],[Age]]&lt;25,"Under 25",IF(HR_Data[[#This Row],[Age]]&lt;=34,"25-34",IF(HR_Data[[#This Row],[Age]]&lt;=44,"35-44",IF(HR_Data[[#This Row],[Age]]&lt;=54,"45-54","55+"))))</f>
        <v>35-44</v>
      </c>
      <c r="AM580" t="str">
        <f>IF(HR_Data[[#This Row],[MonthlyIncome]]&lt;3000,"Low Salary",IF(HR_Data[[#This Row],[MonthlyIncome]]&lt;=7000,"Medium Salary","High Salary"))</f>
        <v>Medium Salary</v>
      </c>
      <c r="AN580" t="str">
        <f>IF(HR_Data[[#This Row],[YearsAtCompany]]&lt;2,"0-1 Years",IF(HR_Data[[#This Row],[YearsAtCompany]]&lt;=5,"2-5 Years",IF(HR_Data[[#This Row],[YearsAtCompany]]&lt;=10,"6-10 Years","10+ Years")))</f>
        <v>10+ Years</v>
      </c>
      <c r="AO580" t="str">
        <f>IF(HR_Data[[#This Row],[JobSatisfaction]]=1,"Low",IF(HR_Data[[#This Row],[JobSatisfaction]]=2,"Medium",IF(HR_Data[[#This Row],[JobSatisfaction]]=3,"High","Very High")))</f>
        <v>Low</v>
      </c>
      <c r="AP580" t="str">
        <f>IF(HR_Data[[#This Row],[WorkLifeBalance]]=1,"Bad",IF(HR_Data[[#This Row],[WorkLifeBalance]]=2,"Good",IF(HR_Data[[#This Row],[WorkLifeBalance]]=3,"Better","Best")))</f>
        <v>Better</v>
      </c>
    </row>
    <row r="581" spans="1:42"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IF(HR_Data[[#This Row],[Attrition]]="Yes",1,0)</f>
        <v>0</v>
      </c>
      <c r="AK581">
        <f>IF(HR_Data[[#This Row],[Attrition]]="No",1,0)</f>
        <v>1</v>
      </c>
      <c r="AL581" t="str">
        <f>IF(HR_Data[[#This Row],[Age]]&lt;25,"Under 25",IF(HR_Data[[#This Row],[Age]]&lt;=34,"25-34",IF(HR_Data[[#This Row],[Age]]&lt;=44,"35-44",IF(HR_Data[[#This Row],[Age]]&lt;=54,"45-54","55+"))))</f>
        <v>25-34</v>
      </c>
      <c r="AM581" t="str">
        <f>IF(HR_Data[[#This Row],[MonthlyIncome]]&lt;3000,"Low Salary",IF(HR_Data[[#This Row],[MonthlyIncome]]&lt;=7000,"Medium Salary","High Salary"))</f>
        <v>Medium Salary</v>
      </c>
      <c r="AN581" t="str">
        <f>IF(HR_Data[[#This Row],[YearsAtCompany]]&lt;2,"0-1 Years",IF(HR_Data[[#This Row],[YearsAtCompany]]&lt;=5,"2-5 Years",IF(HR_Data[[#This Row],[YearsAtCompany]]&lt;=10,"6-10 Years","10+ Years")))</f>
        <v>6-10 Years</v>
      </c>
      <c r="AO581" t="str">
        <f>IF(HR_Data[[#This Row],[JobSatisfaction]]=1,"Low",IF(HR_Data[[#This Row],[JobSatisfaction]]=2,"Medium",IF(HR_Data[[#This Row],[JobSatisfaction]]=3,"High","Very High")))</f>
        <v>Low</v>
      </c>
      <c r="AP581" t="str">
        <f>IF(HR_Data[[#This Row],[WorkLifeBalance]]=1,"Bad",IF(HR_Data[[#This Row],[WorkLifeBalance]]=2,"Good",IF(HR_Data[[#This Row],[WorkLifeBalance]]=3,"Better","Best")))</f>
        <v>Better</v>
      </c>
    </row>
    <row r="582" spans="1:42"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IF(HR_Data[[#This Row],[Attrition]]="Yes",1,0)</f>
        <v>0</v>
      </c>
      <c r="AK582">
        <f>IF(HR_Data[[#This Row],[Attrition]]="No",1,0)</f>
        <v>1</v>
      </c>
      <c r="AL582" t="str">
        <f>IF(HR_Data[[#This Row],[Age]]&lt;25,"Under 25",IF(HR_Data[[#This Row],[Age]]&lt;=34,"25-34",IF(HR_Data[[#This Row],[Age]]&lt;=44,"35-44",IF(HR_Data[[#This Row],[Age]]&lt;=54,"45-54","55+"))))</f>
        <v>35-44</v>
      </c>
      <c r="AM582" t="str">
        <f>IF(HR_Data[[#This Row],[MonthlyIncome]]&lt;3000,"Low Salary",IF(HR_Data[[#This Row],[MonthlyIncome]]&lt;=7000,"Medium Salary","High Salary"))</f>
        <v>Low Salary</v>
      </c>
      <c r="AN582" t="str">
        <f>IF(HR_Data[[#This Row],[YearsAtCompany]]&lt;2,"0-1 Years",IF(HR_Data[[#This Row],[YearsAtCompany]]&lt;=5,"2-5 Years",IF(HR_Data[[#This Row],[YearsAtCompany]]&lt;=10,"6-10 Years","10+ Years")))</f>
        <v>2-5 Years</v>
      </c>
      <c r="AO582" t="str">
        <f>IF(HR_Data[[#This Row],[JobSatisfaction]]=1,"Low",IF(HR_Data[[#This Row],[JobSatisfaction]]=2,"Medium",IF(HR_Data[[#This Row],[JobSatisfaction]]=3,"High","Very High")))</f>
        <v>Very High</v>
      </c>
      <c r="AP582" t="str">
        <f>IF(HR_Data[[#This Row],[WorkLifeBalance]]=1,"Bad",IF(HR_Data[[#This Row],[WorkLifeBalance]]=2,"Good",IF(HR_Data[[#This Row],[WorkLifeBalance]]=3,"Better","Best")))</f>
        <v>Good</v>
      </c>
    </row>
    <row r="583" spans="1:42"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IF(HR_Data[[#This Row],[Attrition]]="Yes",1,0)</f>
        <v>0</v>
      </c>
      <c r="AK583">
        <f>IF(HR_Data[[#This Row],[Attrition]]="No",1,0)</f>
        <v>1</v>
      </c>
      <c r="AL583" t="str">
        <f>IF(HR_Data[[#This Row],[Age]]&lt;25,"Under 25",IF(HR_Data[[#This Row],[Age]]&lt;=34,"25-34",IF(HR_Data[[#This Row],[Age]]&lt;=44,"35-44",IF(HR_Data[[#This Row],[Age]]&lt;=54,"45-54","55+"))))</f>
        <v>25-34</v>
      </c>
      <c r="AM583" t="str">
        <f>IF(HR_Data[[#This Row],[MonthlyIncome]]&lt;3000,"Low Salary",IF(HR_Data[[#This Row],[MonthlyIncome]]&lt;=7000,"Medium Salary","High Salary"))</f>
        <v>Medium Salary</v>
      </c>
      <c r="AN583" t="str">
        <f>IF(HR_Data[[#This Row],[YearsAtCompany]]&lt;2,"0-1 Years",IF(HR_Data[[#This Row],[YearsAtCompany]]&lt;=5,"2-5 Years",IF(HR_Data[[#This Row],[YearsAtCompany]]&lt;=10,"6-10 Years","10+ Years")))</f>
        <v>2-5 Years</v>
      </c>
      <c r="AO583" t="str">
        <f>IF(HR_Data[[#This Row],[JobSatisfaction]]=1,"Low",IF(HR_Data[[#This Row],[JobSatisfaction]]=2,"Medium",IF(HR_Data[[#This Row],[JobSatisfaction]]=3,"High","Very High")))</f>
        <v>High</v>
      </c>
      <c r="AP583" t="str">
        <f>IF(HR_Data[[#This Row],[WorkLifeBalance]]=1,"Bad",IF(HR_Data[[#This Row],[WorkLifeBalance]]=2,"Good",IF(HR_Data[[#This Row],[WorkLifeBalance]]=3,"Better","Best")))</f>
        <v>Better</v>
      </c>
    </row>
    <row r="584" spans="1:42"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IF(HR_Data[[#This Row],[Attrition]]="Yes",1,0)</f>
        <v>0</v>
      </c>
      <c r="AK584">
        <f>IF(HR_Data[[#This Row],[Attrition]]="No",1,0)</f>
        <v>1</v>
      </c>
      <c r="AL584" t="str">
        <f>IF(HR_Data[[#This Row],[Age]]&lt;25,"Under 25",IF(HR_Data[[#This Row],[Age]]&lt;=34,"25-34",IF(HR_Data[[#This Row],[Age]]&lt;=44,"35-44",IF(HR_Data[[#This Row],[Age]]&lt;=54,"45-54","55+"))))</f>
        <v>35-44</v>
      </c>
      <c r="AM584" t="str">
        <f>IF(HR_Data[[#This Row],[MonthlyIncome]]&lt;3000,"Low Salary",IF(HR_Data[[#This Row],[MonthlyIncome]]&lt;=7000,"Medium Salary","High Salary"))</f>
        <v>Medium Salary</v>
      </c>
      <c r="AN584" t="str">
        <f>IF(HR_Data[[#This Row],[YearsAtCompany]]&lt;2,"0-1 Years",IF(HR_Data[[#This Row],[YearsAtCompany]]&lt;=5,"2-5 Years",IF(HR_Data[[#This Row],[YearsAtCompany]]&lt;=10,"6-10 Years","10+ Years")))</f>
        <v>6-10 Years</v>
      </c>
      <c r="AO584" t="str">
        <f>IF(HR_Data[[#This Row],[JobSatisfaction]]=1,"Low",IF(HR_Data[[#This Row],[JobSatisfaction]]=2,"Medium",IF(HR_Data[[#This Row],[JobSatisfaction]]=3,"High","Very High")))</f>
        <v>Medium</v>
      </c>
      <c r="AP584" t="str">
        <f>IF(HR_Data[[#This Row],[WorkLifeBalance]]=1,"Bad",IF(HR_Data[[#This Row],[WorkLifeBalance]]=2,"Good",IF(HR_Data[[#This Row],[WorkLifeBalance]]=3,"Better","Best")))</f>
        <v>Better</v>
      </c>
    </row>
    <row r="585" spans="1:42"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IF(HR_Data[[#This Row],[Attrition]]="Yes",1,0)</f>
        <v>0</v>
      </c>
      <c r="AK585">
        <f>IF(HR_Data[[#This Row],[Attrition]]="No",1,0)</f>
        <v>1</v>
      </c>
      <c r="AL585" t="str">
        <f>IF(HR_Data[[#This Row],[Age]]&lt;25,"Under 25",IF(HR_Data[[#This Row],[Age]]&lt;=34,"25-34",IF(HR_Data[[#This Row],[Age]]&lt;=44,"35-44",IF(HR_Data[[#This Row],[Age]]&lt;=54,"45-54","55+"))))</f>
        <v>25-34</v>
      </c>
      <c r="AM585" t="str">
        <f>IF(HR_Data[[#This Row],[MonthlyIncome]]&lt;3000,"Low Salary",IF(HR_Data[[#This Row],[MonthlyIncome]]&lt;=7000,"Medium Salary","High Salary"))</f>
        <v>Medium Salary</v>
      </c>
      <c r="AN585" t="str">
        <f>IF(HR_Data[[#This Row],[YearsAtCompany]]&lt;2,"0-1 Years",IF(HR_Data[[#This Row],[YearsAtCompany]]&lt;=5,"2-5 Years",IF(HR_Data[[#This Row],[YearsAtCompany]]&lt;=10,"6-10 Years","10+ Years")))</f>
        <v>2-5 Years</v>
      </c>
      <c r="AO585" t="str">
        <f>IF(HR_Data[[#This Row],[JobSatisfaction]]=1,"Low",IF(HR_Data[[#This Row],[JobSatisfaction]]=2,"Medium",IF(HR_Data[[#This Row],[JobSatisfaction]]=3,"High","Very High")))</f>
        <v>Low</v>
      </c>
      <c r="AP585" t="str">
        <f>IF(HR_Data[[#This Row],[WorkLifeBalance]]=1,"Bad",IF(HR_Data[[#This Row],[WorkLifeBalance]]=2,"Good",IF(HR_Data[[#This Row],[WorkLifeBalance]]=3,"Better","Best")))</f>
        <v>Better</v>
      </c>
    </row>
    <row r="586" spans="1:42"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IF(HR_Data[[#This Row],[Attrition]]="Yes",1,0)</f>
        <v>0</v>
      </c>
      <c r="AK586">
        <f>IF(HR_Data[[#This Row],[Attrition]]="No",1,0)</f>
        <v>1</v>
      </c>
      <c r="AL586" t="str">
        <f>IF(HR_Data[[#This Row],[Age]]&lt;25,"Under 25",IF(HR_Data[[#This Row],[Age]]&lt;=34,"25-34",IF(HR_Data[[#This Row],[Age]]&lt;=44,"35-44",IF(HR_Data[[#This Row],[Age]]&lt;=54,"45-54","55+"))))</f>
        <v>35-44</v>
      </c>
      <c r="AM586" t="str">
        <f>IF(HR_Data[[#This Row],[MonthlyIncome]]&lt;3000,"Low Salary",IF(HR_Data[[#This Row],[MonthlyIncome]]&lt;=7000,"Medium Salary","High Salary"))</f>
        <v>High Salary</v>
      </c>
      <c r="AN586" t="str">
        <f>IF(HR_Data[[#This Row],[YearsAtCompany]]&lt;2,"0-1 Years",IF(HR_Data[[#This Row],[YearsAtCompany]]&lt;=5,"2-5 Years",IF(HR_Data[[#This Row],[YearsAtCompany]]&lt;=10,"6-10 Years","10+ Years")))</f>
        <v>10+ Years</v>
      </c>
      <c r="AO586" t="str">
        <f>IF(HR_Data[[#This Row],[JobSatisfaction]]=1,"Low",IF(HR_Data[[#This Row],[JobSatisfaction]]=2,"Medium",IF(HR_Data[[#This Row],[JobSatisfaction]]=3,"High","Very High")))</f>
        <v>Very High</v>
      </c>
      <c r="AP586" t="str">
        <f>IF(HR_Data[[#This Row],[WorkLifeBalance]]=1,"Bad",IF(HR_Data[[#This Row],[WorkLifeBalance]]=2,"Good",IF(HR_Data[[#This Row],[WorkLifeBalance]]=3,"Better","Best")))</f>
        <v>Good</v>
      </c>
    </row>
    <row r="587" spans="1:42"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IF(HR_Data[[#This Row],[Attrition]]="Yes",1,0)</f>
        <v>1</v>
      </c>
      <c r="AK587">
        <f>IF(HR_Data[[#This Row],[Attrition]]="No",1,0)</f>
        <v>0</v>
      </c>
      <c r="AL587" t="str">
        <f>IF(HR_Data[[#This Row],[Age]]&lt;25,"Under 25",IF(HR_Data[[#This Row],[Age]]&lt;=34,"25-34",IF(HR_Data[[#This Row],[Age]]&lt;=44,"35-44",IF(HR_Data[[#This Row],[Age]]&lt;=54,"45-54","55+"))))</f>
        <v>Under 25</v>
      </c>
      <c r="AM587" t="str">
        <f>IF(HR_Data[[#This Row],[MonthlyIncome]]&lt;3000,"Low Salary",IF(HR_Data[[#This Row],[MonthlyIncome]]&lt;=7000,"Medium Salary","High Salary"))</f>
        <v>Low Salary</v>
      </c>
      <c r="AN587" t="str">
        <f>IF(HR_Data[[#This Row],[YearsAtCompany]]&lt;2,"0-1 Years",IF(HR_Data[[#This Row],[YearsAtCompany]]&lt;=5,"2-5 Years",IF(HR_Data[[#This Row],[YearsAtCompany]]&lt;=10,"6-10 Years","10+ Years")))</f>
        <v>0-1 Years</v>
      </c>
      <c r="AO587" t="str">
        <f>IF(HR_Data[[#This Row],[JobSatisfaction]]=1,"Low",IF(HR_Data[[#This Row],[JobSatisfaction]]=2,"Medium",IF(HR_Data[[#This Row],[JobSatisfaction]]=3,"High","Very High")))</f>
        <v>Low</v>
      </c>
      <c r="AP587" t="str">
        <f>IF(HR_Data[[#This Row],[WorkLifeBalance]]=1,"Bad",IF(HR_Data[[#This Row],[WorkLifeBalance]]=2,"Good",IF(HR_Data[[#This Row],[WorkLifeBalance]]=3,"Better","Best")))</f>
        <v>Better</v>
      </c>
    </row>
    <row r="588" spans="1:42"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IF(HR_Data[[#This Row],[Attrition]]="Yes",1,0)</f>
        <v>0</v>
      </c>
      <c r="AK588">
        <f>IF(HR_Data[[#This Row],[Attrition]]="No",1,0)</f>
        <v>1</v>
      </c>
      <c r="AL588" t="str">
        <f>IF(HR_Data[[#This Row],[Age]]&lt;25,"Under 25",IF(HR_Data[[#This Row],[Age]]&lt;=34,"25-34",IF(HR_Data[[#This Row],[Age]]&lt;=44,"35-44",IF(HR_Data[[#This Row],[Age]]&lt;=54,"45-54","55+"))))</f>
        <v>Under 25</v>
      </c>
      <c r="AM588" t="str">
        <f>IF(HR_Data[[#This Row],[MonthlyIncome]]&lt;3000,"Low Salary",IF(HR_Data[[#This Row],[MonthlyIncome]]&lt;=7000,"Medium Salary","High Salary"))</f>
        <v>Low Salary</v>
      </c>
      <c r="AN588" t="str">
        <f>IF(HR_Data[[#This Row],[YearsAtCompany]]&lt;2,"0-1 Years",IF(HR_Data[[#This Row],[YearsAtCompany]]&lt;=5,"2-5 Years",IF(HR_Data[[#This Row],[YearsAtCompany]]&lt;=10,"6-10 Years","10+ Years")))</f>
        <v>0-1 Years</v>
      </c>
      <c r="AO588" t="str">
        <f>IF(HR_Data[[#This Row],[JobSatisfaction]]=1,"Low",IF(HR_Data[[#This Row],[JobSatisfaction]]=2,"Medium",IF(HR_Data[[#This Row],[JobSatisfaction]]=3,"High","Very High")))</f>
        <v>Medium</v>
      </c>
      <c r="AP588" t="str">
        <f>IF(HR_Data[[#This Row],[WorkLifeBalance]]=1,"Bad",IF(HR_Data[[#This Row],[WorkLifeBalance]]=2,"Good",IF(HR_Data[[#This Row],[WorkLifeBalance]]=3,"Better","Best")))</f>
        <v>Better</v>
      </c>
    </row>
    <row r="589" spans="1:42"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IF(HR_Data[[#This Row],[Attrition]]="Yes",1,0)</f>
        <v>0</v>
      </c>
      <c r="AK589">
        <f>IF(HR_Data[[#This Row],[Attrition]]="No",1,0)</f>
        <v>1</v>
      </c>
      <c r="AL589" t="str">
        <f>IF(HR_Data[[#This Row],[Age]]&lt;25,"Under 25",IF(HR_Data[[#This Row],[Age]]&lt;=34,"25-34",IF(HR_Data[[#This Row],[Age]]&lt;=44,"35-44",IF(HR_Data[[#This Row],[Age]]&lt;=54,"45-54","55+"))))</f>
        <v>45-54</v>
      </c>
      <c r="AM589" t="str">
        <f>IF(HR_Data[[#This Row],[MonthlyIncome]]&lt;3000,"Low Salary",IF(HR_Data[[#This Row],[MonthlyIncome]]&lt;=7000,"Medium Salary","High Salary"))</f>
        <v>Medium Salary</v>
      </c>
      <c r="AN589" t="str">
        <f>IF(HR_Data[[#This Row],[YearsAtCompany]]&lt;2,"0-1 Years",IF(HR_Data[[#This Row],[YearsAtCompany]]&lt;=5,"2-5 Years",IF(HR_Data[[#This Row],[YearsAtCompany]]&lt;=10,"6-10 Years","10+ Years")))</f>
        <v>2-5 Years</v>
      </c>
      <c r="AO589" t="str">
        <f>IF(HR_Data[[#This Row],[JobSatisfaction]]=1,"Low",IF(HR_Data[[#This Row],[JobSatisfaction]]=2,"Medium",IF(HR_Data[[#This Row],[JobSatisfaction]]=3,"High","Very High")))</f>
        <v>High</v>
      </c>
      <c r="AP589" t="str">
        <f>IF(HR_Data[[#This Row],[WorkLifeBalance]]=1,"Bad",IF(HR_Data[[#This Row],[WorkLifeBalance]]=2,"Good",IF(HR_Data[[#This Row],[WorkLifeBalance]]=3,"Better","Best")))</f>
        <v>Better</v>
      </c>
    </row>
    <row r="590" spans="1:42"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IF(HR_Data[[#This Row],[Attrition]]="Yes",1,0)</f>
        <v>0</v>
      </c>
      <c r="AK590">
        <f>IF(HR_Data[[#This Row],[Attrition]]="No",1,0)</f>
        <v>1</v>
      </c>
      <c r="AL590" t="str">
        <f>IF(HR_Data[[#This Row],[Age]]&lt;25,"Under 25",IF(HR_Data[[#This Row],[Age]]&lt;=34,"25-34",IF(HR_Data[[#This Row],[Age]]&lt;=44,"35-44",IF(HR_Data[[#This Row],[Age]]&lt;=54,"45-54","55+"))))</f>
        <v>45-54</v>
      </c>
      <c r="AM590" t="str">
        <f>IF(HR_Data[[#This Row],[MonthlyIncome]]&lt;3000,"Low Salary",IF(HR_Data[[#This Row],[MonthlyIncome]]&lt;=7000,"Medium Salary","High Salary"))</f>
        <v>High Salary</v>
      </c>
      <c r="AN590" t="str">
        <f>IF(HR_Data[[#This Row],[YearsAtCompany]]&lt;2,"0-1 Years",IF(HR_Data[[#This Row],[YearsAtCompany]]&lt;=5,"2-5 Years",IF(HR_Data[[#This Row],[YearsAtCompany]]&lt;=10,"6-10 Years","10+ Years")))</f>
        <v>2-5 Years</v>
      </c>
      <c r="AO590" t="str">
        <f>IF(HR_Data[[#This Row],[JobSatisfaction]]=1,"Low",IF(HR_Data[[#This Row],[JobSatisfaction]]=2,"Medium",IF(HR_Data[[#This Row],[JobSatisfaction]]=3,"High","Very High")))</f>
        <v>High</v>
      </c>
      <c r="AP590" t="str">
        <f>IF(HR_Data[[#This Row],[WorkLifeBalance]]=1,"Bad",IF(HR_Data[[#This Row],[WorkLifeBalance]]=2,"Good",IF(HR_Data[[#This Row],[WorkLifeBalance]]=3,"Better","Best")))</f>
        <v>Better</v>
      </c>
    </row>
    <row r="591" spans="1:42"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IF(HR_Data[[#This Row],[Attrition]]="Yes",1,0)</f>
        <v>1</v>
      </c>
      <c r="AK591">
        <f>IF(HR_Data[[#This Row],[Attrition]]="No",1,0)</f>
        <v>0</v>
      </c>
      <c r="AL591" t="str">
        <f>IF(HR_Data[[#This Row],[Age]]&lt;25,"Under 25",IF(HR_Data[[#This Row],[Age]]&lt;=34,"25-34",IF(HR_Data[[#This Row],[Age]]&lt;=44,"35-44",IF(HR_Data[[#This Row],[Age]]&lt;=54,"45-54","55+"))))</f>
        <v>25-34</v>
      </c>
      <c r="AM591" t="str">
        <f>IF(HR_Data[[#This Row],[MonthlyIncome]]&lt;3000,"Low Salary",IF(HR_Data[[#This Row],[MonthlyIncome]]&lt;=7000,"Medium Salary","High Salary"))</f>
        <v>Low Salary</v>
      </c>
      <c r="AN591" t="str">
        <f>IF(HR_Data[[#This Row],[YearsAtCompany]]&lt;2,"0-1 Years",IF(HR_Data[[#This Row],[YearsAtCompany]]&lt;=5,"2-5 Years",IF(HR_Data[[#This Row],[YearsAtCompany]]&lt;=10,"6-10 Years","10+ Years")))</f>
        <v>0-1 Years</v>
      </c>
      <c r="AO591" t="str">
        <f>IF(HR_Data[[#This Row],[JobSatisfaction]]=1,"Low",IF(HR_Data[[#This Row],[JobSatisfaction]]=2,"Medium",IF(HR_Data[[#This Row],[JobSatisfaction]]=3,"High","Very High")))</f>
        <v>Low</v>
      </c>
      <c r="AP591" t="str">
        <f>IF(HR_Data[[#This Row],[WorkLifeBalance]]=1,"Bad",IF(HR_Data[[#This Row],[WorkLifeBalance]]=2,"Good",IF(HR_Data[[#This Row],[WorkLifeBalance]]=3,"Better","Best")))</f>
        <v>Better</v>
      </c>
    </row>
    <row r="592" spans="1:42"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IF(HR_Data[[#This Row],[Attrition]]="Yes",1,0)</f>
        <v>0</v>
      </c>
      <c r="AK592">
        <f>IF(HR_Data[[#This Row],[Attrition]]="No",1,0)</f>
        <v>1</v>
      </c>
      <c r="AL592" t="str">
        <f>IF(HR_Data[[#This Row],[Age]]&lt;25,"Under 25",IF(HR_Data[[#This Row],[Age]]&lt;=34,"25-34",IF(HR_Data[[#This Row],[Age]]&lt;=44,"35-44",IF(HR_Data[[#This Row],[Age]]&lt;=54,"45-54","55+"))))</f>
        <v>25-34</v>
      </c>
      <c r="AM592" t="str">
        <f>IF(HR_Data[[#This Row],[MonthlyIncome]]&lt;3000,"Low Salary",IF(HR_Data[[#This Row],[MonthlyIncome]]&lt;=7000,"Medium Salary","High Salary"))</f>
        <v>High Salary</v>
      </c>
      <c r="AN592" t="str">
        <f>IF(HR_Data[[#This Row],[YearsAtCompany]]&lt;2,"0-1 Years",IF(HR_Data[[#This Row],[YearsAtCompany]]&lt;=5,"2-5 Years",IF(HR_Data[[#This Row],[YearsAtCompany]]&lt;=10,"6-10 Years","10+ Years")))</f>
        <v>10+ Years</v>
      </c>
      <c r="AO592" t="str">
        <f>IF(HR_Data[[#This Row],[JobSatisfaction]]=1,"Low",IF(HR_Data[[#This Row],[JobSatisfaction]]=2,"Medium",IF(HR_Data[[#This Row],[JobSatisfaction]]=3,"High","Very High")))</f>
        <v>High</v>
      </c>
      <c r="AP592" t="str">
        <f>IF(HR_Data[[#This Row],[WorkLifeBalance]]=1,"Bad",IF(HR_Data[[#This Row],[WorkLifeBalance]]=2,"Good",IF(HR_Data[[#This Row],[WorkLifeBalance]]=3,"Better","Best")))</f>
        <v>Best</v>
      </c>
    </row>
    <row r="593" spans="1:42"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IF(HR_Data[[#This Row],[Attrition]]="Yes",1,0)</f>
        <v>1</v>
      </c>
      <c r="AK593">
        <f>IF(HR_Data[[#This Row],[Attrition]]="No",1,0)</f>
        <v>0</v>
      </c>
      <c r="AL593" t="str">
        <f>IF(HR_Data[[#This Row],[Age]]&lt;25,"Under 25",IF(HR_Data[[#This Row],[Age]]&lt;=34,"25-34",IF(HR_Data[[#This Row],[Age]]&lt;=44,"35-44",IF(HR_Data[[#This Row],[Age]]&lt;=54,"45-54","55+"))))</f>
        <v>25-34</v>
      </c>
      <c r="AM593" t="str">
        <f>IF(HR_Data[[#This Row],[MonthlyIncome]]&lt;3000,"Low Salary",IF(HR_Data[[#This Row],[MonthlyIncome]]&lt;=7000,"Medium Salary","High Salary"))</f>
        <v>Medium Salary</v>
      </c>
      <c r="AN593" t="str">
        <f>IF(HR_Data[[#This Row],[YearsAtCompany]]&lt;2,"0-1 Years",IF(HR_Data[[#This Row],[YearsAtCompany]]&lt;=5,"2-5 Years",IF(HR_Data[[#This Row],[YearsAtCompany]]&lt;=10,"6-10 Years","10+ Years")))</f>
        <v>2-5 Years</v>
      </c>
      <c r="AO593" t="str">
        <f>IF(HR_Data[[#This Row],[JobSatisfaction]]=1,"Low",IF(HR_Data[[#This Row],[JobSatisfaction]]=2,"Medium",IF(HR_Data[[#This Row],[JobSatisfaction]]=3,"High","Very High")))</f>
        <v>Low</v>
      </c>
      <c r="AP593" t="str">
        <f>IF(HR_Data[[#This Row],[WorkLifeBalance]]=1,"Bad",IF(HR_Data[[#This Row],[WorkLifeBalance]]=2,"Good",IF(HR_Data[[#This Row],[WorkLifeBalance]]=3,"Better","Best")))</f>
        <v>Better</v>
      </c>
    </row>
    <row r="594" spans="1:42"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IF(HR_Data[[#This Row],[Attrition]]="Yes",1,0)</f>
        <v>0</v>
      </c>
      <c r="AK594">
        <f>IF(HR_Data[[#This Row],[Attrition]]="No",1,0)</f>
        <v>1</v>
      </c>
      <c r="AL594" t="str">
        <f>IF(HR_Data[[#This Row],[Age]]&lt;25,"Under 25",IF(HR_Data[[#This Row],[Age]]&lt;=34,"25-34",IF(HR_Data[[#This Row],[Age]]&lt;=44,"35-44",IF(HR_Data[[#This Row],[Age]]&lt;=54,"45-54","55+"))))</f>
        <v>45-54</v>
      </c>
      <c r="AM594" t="str">
        <f>IF(HR_Data[[#This Row],[MonthlyIncome]]&lt;3000,"Low Salary",IF(HR_Data[[#This Row],[MonthlyIncome]]&lt;=7000,"Medium Salary","High Salary"))</f>
        <v>High Salary</v>
      </c>
      <c r="AN594" t="str">
        <f>IF(HR_Data[[#This Row],[YearsAtCompany]]&lt;2,"0-1 Years",IF(HR_Data[[#This Row],[YearsAtCompany]]&lt;=5,"2-5 Years",IF(HR_Data[[#This Row],[YearsAtCompany]]&lt;=10,"6-10 Years","10+ Years")))</f>
        <v>10+ Years</v>
      </c>
      <c r="AO594" t="str">
        <f>IF(HR_Data[[#This Row],[JobSatisfaction]]=1,"Low",IF(HR_Data[[#This Row],[JobSatisfaction]]=2,"Medium",IF(HR_Data[[#This Row],[JobSatisfaction]]=3,"High","Very High")))</f>
        <v>Very High</v>
      </c>
      <c r="AP594" t="str">
        <f>IF(HR_Data[[#This Row],[WorkLifeBalance]]=1,"Bad",IF(HR_Data[[#This Row],[WorkLifeBalance]]=2,"Good",IF(HR_Data[[#This Row],[WorkLifeBalance]]=3,"Better","Best")))</f>
        <v>Good</v>
      </c>
    </row>
    <row r="595" spans="1:42"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IF(HR_Data[[#This Row],[Attrition]]="Yes",1,0)</f>
        <v>0</v>
      </c>
      <c r="AK595">
        <f>IF(HR_Data[[#This Row],[Attrition]]="No",1,0)</f>
        <v>1</v>
      </c>
      <c r="AL595" t="str">
        <f>IF(HR_Data[[#This Row],[Age]]&lt;25,"Under 25",IF(HR_Data[[#This Row],[Age]]&lt;=34,"25-34",IF(HR_Data[[#This Row],[Age]]&lt;=44,"35-44",IF(HR_Data[[#This Row],[Age]]&lt;=54,"45-54","55+"))))</f>
        <v>35-44</v>
      </c>
      <c r="AM595" t="str">
        <f>IF(HR_Data[[#This Row],[MonthlyIncome]]&lt;3000,"Low Salary",IF(HR_Data[[#This Row],[MonthlyIncome]]&lt;=7000,"Medium Salary","High Salary"))</f>
        <v>Medium Salary</v>
      </c>
      <c r="AN595" t="str">
        <f>IF(HR_Data[[#This Row],[YearsAtCompany]]&lt;2,"0-1 Years",IF(HR_Data[[#This Row],[YearsAtCompany]]&lt;=5,"2-5 Years",IF(HR_Data[[#This Row],[YearsAtCompany]]&lt;=10,"6-10 Years","10+ Years")))</f>
        <v>6-10 Years</v>
      </c>
      <c r="AO595" t="str">
        <f>IF(HR_Data[[#This Row],[JobSatisfaction]]=1,"Low",IF(HR_Data[[#This Row],[JobSatisfaction]]=2,"Medium",IF(HR_Data[[#This Row],[JobSatisfaction]]=3,"High","Very High")))</f>
        <v>Medium</v>
      </c>
      <c r="AP595" t="str">
        <f>IF(HR_Data[[#This Row],[WorkLifeBalance]]=1,"Bad",IF(HR_Data[[#This Row],[WorkLifeBalance]]=2,"Good",IF(HR_Data[[#This Row],[WorkLifeBalance]]=3,"Better","Best")))</f>
        <v>Better</v>
      </c>
    </row>
    <row r="596" spans="1:42"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IF(HR_Data[[#This Row],[Attrition]]="Yes",1,0)</f>
        <v>0</v>
      </c>
      <c r="AK596">
        <f>IF(HR_Data[[#This Row],[Attrition]]="No",1,0)</f>
        <v>1</v>
      </c>
      <c r="AL596" t="str">
        <f>IF(HR_Data[[#This Row],[Age]]&lt;25,"Under 25",IF(HR_Data[[#This Row],[Age]]&lt;=34,"25-34",IF(HR_Data[[#This Row],[Age]]&lt;=44,"35-44",IF(HR_Data[[#This Row],[Age]]&lt;=54,"45-54","55+"))))</f>
        <v>25-34</v>
      </c>
      <c r="AM596" t="str">
        <f>IF(HR_Data[[#This Row],[MonthlyIncome]]&lt;3000,"Low Salary",IF(HR_Data[[#This Row],[MonthlyIncome]]&lt;=7000,"Medium Salary","High Salary"))</f>
        <v>Low Salary</v>
      </c>
      <c r="AN596" t="str">
        <f>IF(HR_Data[[#This Row],[YearsAtCompany]]&lt;2,"0-1 Years",IF(HR_Data[[#This Row],[YearsAtCompany]]&lt;=5,"2-5 Years",IF(HR_Data[[#This Row],[YearsAtCompany]]&lt;=10,"6-10 Years","10+ Years")))</f>
        <v>6-10 Years</v>
      </c>
      <c r="AO596" t="str">
        <f>IF(HR_Data[[#This Row],[JobSatisfaction]]=1,"Low",IF(HR_Data[[#This Row],[JobSatisfaction]]=2,"Medium",IF(HR_Data[[#This Row],[JobSatisfaction]]=3,"High","Very High")))</f>
        <v>High</v>
      </c>
      <c r="AP596" t="str">
        <f>IF(HR_Data[[#This Row],[WorkLifeBalance]]=1,"Bad",IF(HR_Data[[#This Row],[WorkLifeBalance]]=2,"Good",IF(HR_Data[[#This Row],[WorkLifeBalance]]=3,"Better","Best")))</f>
        <v>Better</v>
      </c>
    </row>
    <row r="597" spans="1:42"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IF(HR_Data[[#This Row],[Attrition]]="Yes",1,0)</f>
        <v>1</v>
      </c>
      <c r="AK597">
        <f>IF(HR_Data[[#This Row],[Attrition]]="No",1,0)</f>
        <v>0</v>
      </c>
      <c r="AL597" t="str">
        <f>IF(HR_Data[[#This Row],[Age]]&lt;25,"Under 25",IF(HR_Data[[#This Row],[Age]]&lt;=34,"25-34",IF(HR_Data[[#This Row],[Age]]&lt;=44,"35-44",IF(HR_Data[[#This Row],[Age]]&lt;=54,"45-54","55+"))))</f>
        <v>55+</v>
      </c>
      <c r="AM597" t="str">
        <f>IF(HR_Data[[#This Row],[MonthlyIncome]]&lt;3000,"Low Salary",IF(HR_Data[[#This Row],[MonthlyIncome]]&lt;=7000,"Medium Salary","High Salary"))</f>
        <v>High Salary</v>
      </c>
      <c r="AN597" t="str">
        <f>IF(HR_Data[[#This Row],[YearsAtCompany]]&lt;2,"0-1 Years",IF(HR_Data[[#This Row],[YearsAtCompany]]&lt;=5,"2-5 Years",IF(HR_Data[[#This Row],[YearsAtCompany]]&lt;=10,"6-10 Years","10+ Years")))</f>
        <v>10+ Years</v>
      </c>
      <c r="AO597" t="str">
        <f>IF(HR_Data[[#This Row],[JobSatisfaction]]=1,"Low",IF(HR_Data[[#This Row],[JobSatisfaction]]=2,"Medium",IF(HR_Data[[#This Row],[JobSatisfaction]]=3,"High","Very High")))</f>
        <v>Medium</v>
      </c>
      <c r="AP597" t="str">
        <f>IF(HR_Data[[#This Row],[WorkLifeBalance]]=1,"Bad",IF(HR_Data[[#This Row],[WorkLifeBalance]]=2,"Good",IF(HR_Data[[#This Row],[WorkLifeBalance]]=3,"Better","Best")))</f>
        <v>Better</v>
      </c>
    </row>
    <row r="598" spans="1:42"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IF(HR_Data[[#This Row],[Attrition]]="Yes",1,0)</f>
        <v>0</v>
      </c>
      <c r="AK598">
        <f>IF(HR_Data[[#This Row],[Attrition]]="No",1,0)</f>
        <v>1</v>
      </c>
      <c r="AL598" t="str">
        <f>IF(HR_Data[[#This Row],[Age]]&lt;25,"Under 25",IF(HR_Data[[#This Row],[Age]]&lt;=34,"25-34",IF(HR_Data[[#This Row],[Age]]&lt;=44,"35-44",IF(HR_Data[[#This Row],[Age]]&lt;=54,"45-54","55+"))))</f>
        <v>35-44</v>
      </c>
      <c r="AM598" t="str">
        <f>IF(HR_Data[[#This Row],[MonthlyIncome]]&lt;3000,"Low Salary",IF(HR_Data[[#This Row],[MonthlyIncome]]&lt;=7000,"Medium Salary","High Salary"))</f>
        <v>Low Salary</v>
      </c>
      <c r="AN598" t="str">
        <f>IF(HR_Data[[#This Row],[YearsAtCompany]]&lt;2,"0-1 Years",IF(HR_Data[[#This Row],[YearsAtCompany]]&lt;=5,"2-5 Years",IF(HR_Data[[#This Row],[YearsAtCompany]]&lt;=10,"6-10 Years","10+ Years")))</f>
        <v>2-5 Years</v>
      </c>
      <c r="AO598" t="str">
        <f>IF(HR_Data[[#This Row],[JobSatisfaction]]=1,"Low",IF(HR_Data[[#This Row],[JobSatisfaction]]=2,"Medium",IF(HR_Data[[#This Row],[JobSatisfaction]]=3,"High","Very High")))</f>
        <v>High</v>
      </c>
      <c r="AP598" t="str">
        <f>IF(HR_Data[[#This Row],[WorkLifeBalance]]=1,"Bad",IF(HR_Data[[#This Row],[WorkLifeBalance]]=2,"Good",IF(HR_Data[[#This Row],[WorkLifeBalance]]=3,"Better","Best")))</f>
        <v>Better</v>
      </c>
    </row>
    <row r="599" spans="1:42"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IF(HR_Data[[#This Row],[Attrition]]="Yes",1,0)</f>
        <v>0</v>
      </c>
      <c r="AK599">
        <f>IF(HR_Data[[#This Row],[Attrition]]="No",1,0)</f>
        <v>1</v>
      </c>
      <c r="AL599" t="str">
        <f>IF(HR_Data[[#This Row],[Age]]&lt;25,"Under 25",IF(HR_Data[[#This Row],[Age]]&lt;=34,"25-34",IF(HR_Data[[#This Row],[Age]]&lt;=44,"35-44",IF(HR_Data[[#This Row],[Age]]&lt;=54,"45-54","55+"))))</f>
        <v>35-44</v>
      </c>
      <c r="AM599" t="str">
        <f>IF(HR_Data[[#This Row],[MonthlyIncome]]&lt;3000,"Low Salary",IF(HR_Data[[#This Row],[MonthlyIncome]]&lt;=7000,"Medium Salary","High Salary"))</f>
        <v>Medium Salary</v>
      </c>
      <c r="AN599" t="str">
        <f>IF(HR_Data[[#This Row],[YearsAtCompany]]&lt;2,"0-1 Years",IF(HR_Data[[#This Row],[YearsAtCompany]]&lt;=5,"2-5 Years",IF(HR_Data[[#This Row],[YearsAtCompany]]&lt;=10,"6-10 Years","10+ Years")))</f>
        <v>2-5 Years</v>
      </c>
      <c r="AO599" t="str">
        <f>IF(HR_Data[[#This Row],[JobSatisfaction]]=1,"Low",IF(HR_Data[[#This Row],[JobSatisfaction]]=2,"Medium",IF(HR_Data[[#This Row],[JobSatisfaction]]=3,"High","Very High")))</f>
        <v>Very High</v>
      </c>
      <c r="AP599" t="str">
        <f>IF(HR_Data[[#This Row],[WorkLifeBalance]]=1,"Bad",IF(HR_Data[[#This Row],[WorkLifeBalance]]=2,"Good",IF(HR_Data[[#This Row],[WorkLifeBalance]]=3,"Better","Best")))</f>
        <v>Better</v>
      </c>
    </row>
    <row r="600" spans="1:42"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IF(HR_Data[[#This Row],[Attrition]]="Yes",1,0)</f>
        <v>1</v>
      </c>
      <c r="AK600">
        <f>IF(HR_Data[[#This Row],[Attrition]]="No",1,0)</f>
        <v>0</v>
      </c>
      <c r="AL600" t="str">
        <f>IF(HR_Data[[#This Row],[Age]]&lt;25,"Under 25",IF(HR_Data[[#This Row],[Age]]&lt;=34,"25-34",IF(HR_Data[[#This Row],[Age]]&lt;=44,"35-44",IF(HR_Data[[#This Row],[Age]]&lt;=54,"45-54","55+"))))</f>
        <v>25-34</v>
      </c>
      <c r="AM600" t="str">
        <f>IF(HR_Data[[#This Row],[MonthlyIncome]]&lt;3000,"Low Salary",IF(HR_Data[[#This Row],[MonthlyIncome]]&lt;=7000,"Medium Salary","High Salary"))</f>
        <v>Medium Salary</v>
      </c>
      <c r="AN600" t="str">
        <f>IF(HR_Data[[#This Row],[YearsAtCompany]]&lt;2,"0-1 Years",IF(HR_Data[[#This Row],[YearsAtCompany]]&lt;=5,"2-5 Years",IF(HR_Data[[#This Row],[YearsAtCompany]]&lt;=10,"6-10 Years","10+ Years")))</f>
        <v>2-5 Years</v>
      </c>
      <c r="AO600" t="str">
        <f>IF(HR_Data[[#This Row],[JobSatisfaction]]=1,"Low",IF(HR_Data[[#This Row],[JobSatisfaction]]=2,"Medium",IF(HR_Data[[#This Row],[JobSatisfaction]]=3,"High","Very High")))</f>
        <v>High</v>
      </c>
      <c r="AP600" t="str">
        <f>IF(HR_Data[[#This Row],[WorkLifeBalance]]=1,"Bad",IF(HR_Data[[#This Row],[WorkLifeBalance]]=2,"Good",IF(HR_Data[[#This Row],[WorkLifeBalance]]=3,"Better","Best")))</f>
        <v>Good</v>
      </c>
    </row>
    <row r="601" spans="1:42"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IF(HR_Data[[#This Row],[Attrition]]="Yes",1,0)</f>
        <v>0</v>
      </c>
      <c r="AK601">
        <f>IF(HR_Data[[#This Row],[Attrition]]="No",1,0)</f>
        <v>1</v>
      </c>
      <c r="AL601" t="str">
        <f>IF(HR_Data[[#This Row],[Age]]&lt;25,"Under 25",IF(HR_Data[[#This Row],[Age]]&lt;=34,"25-34",IF(HR_Data[[#This Row],[Age]]&lt;=44,"35-44",IF(HR_Data[[#This Row],[Age]]&lt;=54,"45-54","55+"))))</f>
        <v>35-44</v>
      </c>
      <c r="AM601" t="str">
        <f>IF(HR_Data[[#This Row],[MonthlyIncome]]&lt;3000,"Low Salary",IF(HR_Data[[#This Row],[MonthlyIncome]]&lt;=7000,"Medium Salary","High Salary"))</f>
        <v>Low Salary</v>
      </c>
      <c r="AN601" t="str">
        <f>IF(HR_Data[[#This Row],[YearsAtCompany]]&lt;2,"0-1 Years",IF(HR_Data[[#This Row],[YearsAtCompany]]&lt;=5,"2-5 Years",IF(HR_Data[[#This Row],[YearsAtCompany]]&lt;=10,"6-10 Years","10+ Years")))</f>
        <v>2-5 Years</v>
      </c>
      <c r="AO601" t="str">
        <f>IF(HR_Data[[#This Row],[JobSatisfaction]]=1,"Low",IF(HR_Data[[#This Row],[JobSatisfaction]]=2,"Medium",IF(HR_Data[[#This Row],[JobSatisfaction]]=3,"High","Very High")))</f>
        <v>Medium</v>
      </c>
      <c r="AP601" t="str">
        <f>IF(HR_Data[[#This Row],[WorkLifeBalance]]=1,"Bad",IF(HR_Data[[#This Row],[WorkLifeBalance]]=2,"Good",IF(HR_Data[[#This Row],[WorkLifeBalance]]=3,"Better","Best")))</f>
        <v>Better</v>
      </c>
    </row>
    <row r="602" spans="1:42"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IF(HR_Data[[#This Row],[Attrition]]="Yes",1,0)</f>
        <v>0</v>
      </c>
      <c r="AK602">
        <f>IF(HR_Data[[#This Row],[Attrition]]="No",1,0)</f>
        <v>1</v>
      </c>
      <c r="AL602" t="str">
        <f>IF(HR_Data[[#This Row],[Age]]&lt;25,"Under 25",IF(HR_Data[[#This Row],[Age]]&lt;=34,"25-34",IF(HR_Data[[#This Row],[Age]]&lt;=44,"35-44",IF(HR_Data[[#This Row],[Age]]&lt;=54,"45-54","55+"))))</f>
        <v>25-34</v>
      </c>
      <c r="AM602" t="str">
        <f>IF(HR_Data[[#This Row],[MonthlyIncome]]&lt;3000,"Low Salary",IF(HR_Data[[#This Row],[MonthlyIncome]]&lt;=7000,"Medium Salary","High Salary"))</f>
        <v>Medium Salary</v>
      </c>
      <c r="AN602" t="str">
        <f>IF(HR_Data[[#This Row],[YearsAtCompany]]&lt;2,"0-1 Years",IF(HR_Data[[#This Row],[YearsAtCompany]]&lt;=5,"2-5 Years",IF(HR_Data[[#This Row],[YearsAtCompany]]&lt;=10,"6-10 Years","10+ Years")))</f>
        <v>10+ Years</v>
      </c>
      <c r="AO602" t="str">
        <f>IF(HR_Data[[#This Row],[JobSatisfaction]]=1,"Low",IF(HR_Data[[#This Row],[JobSatisfaction]]=2,"Medium",IF(HR_Data[[#This Row],[JobSatisfaction]]=3,"High","Very High")))</f>
        <v>High</v>
      </c>
      <c r="AP602" t="str">
        <f>IF(HR_Data[[#This Row],[WorkLifeBalance]]=1,"Bad",IF(HR_Data[[#This Row],[WorkLifeBalance]]=2,"Good",IF(HR_Data[[#This Row],[WorkLifeBalance]]=3,"Better","Best")))</f>
        <v>Better</v>
      </c>
    </row>
    <row r="603" spans="1:42"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IF(HR_Data[[#This Row],[Attrition]]="Yes",1,0)</f>
        <v>0</v>
      </c>
      <c r="AK603">
        <f>IF(HR_Data[[#This Row],[Attrition]]="No",1,0)</f>
        <v>1</v>
      </c>
      <c r="AL603" t="str">
        <f>IF(HR_Data[[#This Row],[Age]]&lt;25,"Under 25",IF(HR_Data[[#This Row],[Age]]&lt;=34,"25-34",IF(HR_Data[[#This Row],[Age]]&lt;=44,"35-44",IF(HR_Data[[#This Row],[Age]]&lt;=54,"45-54","55+"))))</f>
        <v>35-44</v>
      </c>
      <c r="AM603" t="str">
        <f>IF(HR_Data[[#This Row],[MonthlyIncome]]&lt;3000,"Low Salary",IF(HR_Data[[#This Row],[MonthlyIncome]]&lt;=7000,"Medium Salary","High Salary"))</f>
        <v>Medium Salary</v>
      </c>
      <c r="AN603" t="str">
        <f>IF(HR_Data[[#This Row],[YearsAtCompany]]&lt;2,"0-1 Years",IF(HR_Data[[#This Row],[YearsAtCompany]]&lt;=5,"2-5 Years",IF(HR_Data[[#This Row],[YearsAtCompany]]&lt;=10,"6-10 Years","10+ Years")))</f>
        <v>0-1 Years</v>
      </c>
      <c r="AO603" t="str">
        <f>IF(HR_Data[[#This Row],[JobSatisfaction]]=1,"Low",IF(HR_Data[[#This Row],[JobSatisfaction]]=2,"Medium",IF(HR_Data[[#This Row],[JobSatisfaction]]=3,"High","Very High")))</f>
        <v>High</v>
      </c>
      <c r="AP603" t="str">
        <f>IF(HR_Data[[#This Row],[WorkLifeBalance]]=1,"Bad",IF(HR_Data[[#This Row],[WorkLifeBalance]]=2,"Good",IF(HR_Data[[#This Row],[WorkLifeBalance]]=3,"Better","Best")))</f>
        <v>Better</v>
      </c>
    </row>
    <row r="604" spans="1:42"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IF(HR_Data[[#This Row],[Attrition]]="Yes",1,0)</f>
        <v>0</v>
      </c>
      <c r="AK604">
        <f>IF(HR_Data[[#This Row],[Attrition]]="No",1,0)</f>
        <v>1</v>
      </c>
      <c r="AL604" t="str">
        <f>IF(HR_Data[[#This Row],[Age]]&lt;25,"Under 25",IF(HR_Data[[#This Row],[Age]]&lt;=34,"25-34",IF(HR_Data[[#This Row],[Age]]&lt;=44,"35-44",IF(HR_Data[[#This Row],[Age]]&lt;=54,"45-54","55+"))))</f>
        <v>25-34</v>
      </c>
      <c r="AM604" t="str">
        <f>IF(HR_Data[[#This Row],[MonthlyIncome]]&lt;3000,"Low Salary",IF(HR_Data[[#This Row],[MonthlyIncome]]&lt;=7000,"Medium Salary","High Salary"))</f>
        <v>Medium Salary</v>
      </c>
      <c r="AN604" t="str">
        <f>IF(HR_Data[[#This Row],[YearsAtCompany]]&lt;2,"0-1 Years",IF(HR_Data[[#This Row],[YearsAtCompany]]&lt;=5,"2-5 Years",IF(HR_Data[[#This Row],[YearsAtCompany]]&lt;=10,"6-10 Years","10+ Years")))</f>
        <v>0-1 Years</v>
      </c>
      <c r="AO604" t="str">
        <f>IF(HR_Data[[#This Row],[JobSatisfaction]]=1,"Low",IF(HR_Data[[#This Row],[JobSatisfaction]]=2,"Medium",IF(HR_Data[[#This Row],[JobSatisfaction]]=3,"High","Very High")))</f>
        <v>Very High</v>
      </c>
      <c r="AP604" t="str">
        <f>IF(HR_Data[[#This Row],[WorkLifeBalance]]=1,"Bad",IF(HR_Data[[#This Row],[WorkLifeBalance]]=2,"Good",IF(HR_Data[[#This Row],[WorkLifeBalance]]=3,"Better","Best")))</f>
        <v>Good</v>
      </c>
    </row>
    <row r="605" spans="1:42"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IF(HR_Data[[#This Row],[Attrition]]="Yes",1,0)</f>
        <v>0</v>
      </c>
      <c r="AK605">
        <f>IF(HR_Data[[#This Row],[Attrition]]="No",1,0)</f>
        <v>1</v>
      </c>
      <c r="AL605" t="str">
        <f>IF(HR_Data[[#This Row],[Age]]&lt;25,"Under 25",IF(HR_Data[[#This Row],[Age]]&lt;=34,"25-34",IF(HR_Data[[#This Row],[Age]]&lt;=44,"35-44",IF(HR_Data[[#This Row],[Age]]&lt;=54,"45-54","55+"))))</f>
        <v>45-54</v>
      </c>
      <c r="AM605" t="str">
        <f>IF(HR_Data[[#This Row],[MonthlyIncome]]&lt;3000,"Low Salary",IF(HR_Data[[#This Row],[MonthlyIncome]]&lt;=7000,"Medium Salary","High Salary"))</f>
        <v>Low Salary</v>
      </c>
      <c r="AN605" t="str">
        <f>IF(HR_Data[[#This Row],[YearsAtCompany]]&lt;2,"0-1 Years",IF(HR_Data[[#This Row],[YearsAtCompany]]&lt;=5,"2-5 Years",IF(HR_Data[[#This Row],[YearsAtCompany]]&lt;=10,"6-10 Years","10+ Years")))</f>
        <v>0-1 Years</v>
      </c>
      <c r="AO605" t="str">
        <f>IF(HR_Data[[#This Row],[JobSatisfaction]]=1,"Low",IF(HR_Data[[#This Row],[JobSatisfaction]]=2,"Medium",IF(HR_Data[[#This Row],[JobSatisfaction]]=3,"High","Very High")))</f>
        <v>High</v>
      </c>
      <c r="AP605" t="str">
        <f>IF(HR_Data[[#This Row],[WorkLifeBalance]]=1,"Bad",IF(HR_Data[[#This Row],[WorkLifeBalance]]=2,"Good",IF(HR_Data[[#This Row],[WorkLifeBalance]]=3,"Better","Best")))</f>
        <v>Better</v>
      </c>
    </row>
    <row r="606" spans="1:42"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IF(HR_Data[[#This Row],[Attrition]]="Yes",1,0)</f>
        <v>0</v>
      </c>
      <c r="AK606">
        <f>IF(HR_Data[[#This Row],[Attrition]]="No",1,0)</f>
        <v>1</v>
      </c>
      <c r="AL606" t="str">
        <f>IF(HR_Data[[#This Row],[Age]]&lt;25,"Under 25",IF(HR_Data[[#This Row],[Age]]&lt;=34,"25-34",IF(HR_Data[[#This Row],[Age]]&lt;=44,"35-44",IF(HR_Data[[#This Row],[Age]]&lt;=54,"45-54","55+"))))</f>
        <v>35-44</v>
      </c>
      <c r="AM606" t="str">
        <f>IF(HR_Data[[#This Row],[MonthlyIncome]]&lt;3000,"Low Salary",IF(HR_Data[[#This Row],[MonthlyIncome]]&lt;=7000,"Medium Salary","High Salary"))</f>
        <v>Medium Salary</v>
      </c>
      <c r="AN606" t="str">
        <f>IF(HR_Data[[#This Row],[YearsAtCompany]]&lt;2,"0-1 Years",IF(HR_Data[[#This Row],[YearsAtCompany]]&lt;=5,"2-5 Years",IF(HR_Data[[#This Row],[YearsAtCompany]]&lt;=10,"6-10 Years","10+ Years")))</f>
        <v>6-10 Years</v>
      </c>
      <c r="AO606" t="str">
        <f>IF(HR_Data[[#This Row],[JobSatisfaction]]=1,"Low",IF(HR_Data[[#This Row],[JobSatisfaction]]=2,"Medium",IF(HR_Data[[#This Row],[JobSatisfaction]]=3,"High","Very High")))</f>
        <v>Medium</v>
      </c>
      <c r="AP606" t="str">
        <f>IF(HR_Data[[#This Row],[WorkLifeBalance]]=1,"Bad",IF(HR_Data[[#This Row],[WorkLifeBalance]]=2,"Good",IF(HR_Data[[#This Row],[WorkLifeBalance]]=3,"Better","Best")))</f>
        <v>Good</v>
      </c>
    </row>
    <row r="607" spans="1:42"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IF(HR_Data[[#This Row],[Attrition]]="Yes",1,0)</f>
        <v>0</v>
      </c>
      <c r="AK607">
        <f>IF(HR_Data[[#This Row],[Attrition]]="No",1,0)</f>
        <v>1</v>
      </c>
      <c r="AL607" t="str">
        <f>IF(HR_Data[[#This Row],[Age]]&lt;25,"Under 25",IF(HR_Data[[#This Row],[Age]]&lt;=34,"25-34",IF(HR_Data[[#This Row],[Age]]&lt;=44,"35-44",IF(HR_Data[[#This Row],[Age]]&lt;=54,"45-54","55+"))))</f>
        <v>35-44</v>
      </c>
      <c r="AM607" t="str">
        <f>IF(HR_Data[[#This Row],[MonthlyIncome]]&lt;3000,"Low Salary",IF(HR_Data[[#This Row],[MonthlyIncome]]&lt;=7000,"Medium Salary","High Salary"))</f>
        <v>Medium Salary</v>
      </c>
      <c r="AN607" t="str">
        <f>IF(HR_Data[[#This Row],[YearsAtCompany]]&lt;2,"0-1 Years",IF(HR_Data[[#This Row],[YearsAtCompany]]&lt;=5,"2-5 Years",IF(HR_Data[[#This Row],[YearsAtCompany]]&lt;=10,"6-10 Years","10+ Years")))</f>
        <v>2-5 Years</v>
      </c>
      <c r="AO607" t="str">
        <f>IF(HR_Data[[#This Row],[JobSatisfaction]]=1,"Low",IF(HR_Data[[#This Row],[JobSatisfaction]]=2,"Medium",IF(HR_Data[[#This Row],[JobSatisfaction]]=3,"High","Very High")))</f>
        <v>Low</v>
      </c>
      <c r="AP607" t="str">
        <f>IF(HR_Data[[#This Row],[WorkLifeBalance]]=1,"Bad",IF(HR_Data[[#This Row],[WorkLifeBalance]]=2,"Good",IF(HR_Data[[#This Row],[WorkLifeBalance]]=3,"Better","Best")))</f>
        <v>Good</v>
      </c>
    </row>
    <row r="608" spans="1:42"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IF(HR_Data[[#This Row],[Attrition]]="Yes",1,0)</f>
        <v>0</v>
      </c>
      <c r="AK608">
        <f>IF(HR_Data[[#This Row],[Attrition]]="No",1,0)</f>
        <v>1</v>
      </c>
      <c r="AL608" t="str">
        <f>IF(HR_Data[[#This Row],[Age]]&lt;25,"Under 25",IF(HR_Data[[#This Row],[Age]]&lt;=34,"25-34",IF(HR_Data[[#This Row],[Age]]&lt;=44,"35-44",IF(HR_Data[[#This Row],[Age]]&lt;=54,"45-54","55+"))))</f>
        <v>25-34</v>
      </c>
      <c r="AM608" t="str">
        <f>IF(HR_Data[[#This Row],[MonthlyIncome]]&lt;3000,"Low Salary",IF(HR_Data[[#This Row],[MonthlyIncome]]&lt;=7000,"Medium Salary","High Salary"))</f>
        <v>Low Salary</v>
      </c>
      <c r="AN608" t="str">
        <f>IF(HR_Data[[#This Row],[YearsAtCompany]]&lt;2,"0-1 Years",IF(HR_Data[[#This Row],[YearsAtCompany]]&lt;=5,"2-5 Years",IF(HR_Data[[#This Row],[YearsAtCompany]]&lt;=10,"6-10 Years","10+ Years")))</f>
        <v>2-5 Years</v>
      </c>
      <c r="AO608" t="str">
        <f>IF(HR_Data[[#This Row],[JobSatisfaction]]=1,"Low",IF(HR_Data[[#This Row],[JobSatisfaction]]=2,"Medium",IF(HR_Data[[#This Row],[JobSatisfaction]]=3,"High","Very High")))</f>
        <v>Very High</v>
      </c>
      <c r="AP608" t="str">
        <f>IF(HR_Data[[#This Row],[WorkLifeBalance]]=1,"Bad",IF(HR_Data[[#This Row],[WorkLifeBalance]]=2,"Good",IF(HR_Data[[#This Row],[WorkLifeBalance]]=3,"Better","Best")))</f>
        <v>Better</v>
      </c>
    </row>
    <row r="609" spans="1:42"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IF(HR_Data[[#This Row],[Attrition]]="Yes",1,0)</f>
        <v>1</v>
      </c>
      <c r="AK609">
        <f>IF(HR_Data[[#This Row],[Attrition]]="No",1,0)</f>
        <v>0</v>
      </c>
      <c r="AL609" t="str">
        <f>IF(HR_Data[[#This Row],[Age]]&lt;25,"Under 25",IF(HR_Data[[#This Row],[Age]]&lt;=34,"25-34",IF(HR_Data[[#This Row],[Age]]&lt;=44,"35-44",IF(HR_Data[[#This Row],[Age]]&lt;=54,"45-54","55+"))))</f>
        <v>45-54</v>
      </c>
      <c r="AM609" t="str">
        <f>IF(HR_Data[[#This Row],[MonthlyIncome]]&lt;3000,"Low Salary",IF(HR_Data[[#This Row],[MonthlyIncome]]&lt;=7000,"Medium Salary","High Salary"))</f>
        <v>High Salary</v>
      </c>
      <c r="AN609" t="str">
        <f>IF(HR_Data[[#This Row],[YearsAtCompany]]&lt;2,"0-1 Years",IF(HR_Data[[#This Row],[YearsAtCompany]]&lt;=5,"2-5 Years",IF(HR_Data[[#This Row],[YearsAtCompany]]&lt;=10,"6-10 Years","10+ Years")))</f>
        <v>6-10 Years</v>
      </c>
      <c r="AO609" t="str">
        <f>IF(HR_Data[[#This Row],[JobSatisfaction]]=1,"Low",IF(HR_Data[[#This Row],[JobSatisfaction]]=2,"Medium",IF(HR_Data[[#This Row],[JobSatisfaction]]=3,"High","Very High")))</f>
        <v>Very High</v>
      </c>
      <c r="AP609" t="str">
        <f>IF(HR_Data[[#This Row],[WorkLifeBalance]]=1,"Bad",IF(HR_Data[[#This Row],[WorkLifeBalance]]=2,"Good",IF(HR_Data[[#This Row],[WorkLifeBalance]]=3,"Better","Best")))</f>
        <v>Best</v>
      </c>
    </row>
    <row r="610" spans="1:42"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IF(HR_Data[[#This Row],[Attrition]]="Yes",1,0)</f>
        <v>1</v>
      </c>
      <c r="AK610">
        <f>IF(HR_Data[[#This Row],[Attrition]]="No",1,0)</f>
        <v>0</v>
      </c>
      <c r="AL610" t="str">
        <f>IF(HR_Data[[#This Row],[Age]]&lt;25,"Under 25",IF(HR_Data[[#This Row],[Age]]&lt;=34,"25-34",IF(HR_Data[[#This Row],[Age]]&lt;=44,"35-44",IF(HR_Data[[#This Row],[Age]]&lt;=54,"45-54","55+"))))</f>
        <v>55+</v>
      </c>
      <c r="AM610" t="str">
        <f>IF(HR_Data[[#This Row],[MonthlyIncome]]&lt;3000,"Low Salary",IF(HR_Data[[#This Row],[MonthlyIncome]]&lt;=7000,"Medium Salary","High Salary"))</f>
        <v>Medium Salary</v>
      </c>
      <c r="AN610" t="str">
        <f>IF(HR_Data[[#This Row],[YearsAtCompany]]&lt;2,"0-1 Years",IF(HR_Data[[#This Row],[YearsAtCompany]]&lt;=5,"2-5 Years",IF(HR_Data[[#This Row],[YearsAtCompany]]&lt;=10,"6-10 Years","10+ Years")))</f>
        <v>6-10 Years</v>
      </c>
      <c r="AO610" t="str">
        <f>IF(HR_Data[[#This Row],[JobSatisfaction]]=1,"Low",IF(HR_Data[[#This Row],[JobSatisfaction]]=2,"Medium",IF(HR_Data[[#This Row],[JobSatisfaction]]=3,"High","Very High")))</f>
        <v>Very High</v>
      </c>
      <c r="AP610" t="str">
        <f>IF(HR_Data[[#This Row],[WorkLifeBalance]]=1,"Bad",IF(HR_Data[[#This Row],[WorkLifeBalance]]=2,"Good",IF(HR_Data[[#This Row],[WorkLifeBalance]]=3,"Better","Best")))</f>
        <v>Good</v>
      </c>
    </row>
    <row r="611" spans="1:42"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IF(HR_Data[[#This Row],[Attrition]]="Yes",1,0)</f>
        <v>0</v>
      </c>
      <c r="AK611">
        <f>IF(HR_Data[[#This Row],[Attrition]]="No",1,0)</f>
        <v>1</v>
      </c>
      <c r="AL611" t="str">
        <f>IF(HR_Data[[#This Row],[Age]]&lt;25,"Under 25",IF(HR_Data[[#This Row],[Age]]&lt;=34,"25-34",IF(HR_Data[[#This Row],[Age]]&lt;=44,"35-44",IF(HR_Data[[#This Row],[Age]]&lt;=54,"45-54","55+"))))</f>
        <v>35-44</v>
      </c>
      <c r="AM611" t="str">
        <f>IF(HR_Data[[#This Row],[MonthlyIncome]]&lt;3000,"Low Salary",IF(HR_Data[[#This Row],[MonthlyIncome]]&lt;=7000,"Medium Salary","High Salary"))</f>
        <v>High Salary</v>
      </c>
      <c r="AN611" t="str">
        <f>IF(HR_Data[[#This Row],[YearsAtCompany]]&lt;2,"0-1 Years",IF(HR_Data[[#This Row],[YearsAtCompany]]&lt;=5,"2-5 Years",IF(HR_Data[[#This Row],[YearsAtCompany]]&lt;=10,"6-10 Years","10+ Years")))</f>
        <v>2-5 Years</v>
      </c>
      <c r="AO611" t="str">
        <f>IF(HR_Data[[#This Row],[JobSatisfaction]]=1,"Low",IF(HR_Data[[#This Row],[JobSatisfaction]]=2,"Medium",IF(HR_Data[[#This Row],[JobSatisfaction]]=3,"High","Very High")))</f>
        <v>Low</v>
      </c>
      <c r="AP611" t="str">
        <f>IF(HR_Data[[#This Row],[WorkLifeBalance]]=1,"Bad",IF(HR_Data[[#This Row],[WorkLifeBalance]]=2,"Good",IF(HR_Data[[#This Row],[WorkLifeBalance]]=3,"Better","Best")))</f>
        <v>Better</v>
      </c>
    </row>
    <row r="612" spans="1:42"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IF(HR_Data[[#This Row],[Attrition]]="Yes",1,0)</f>
        <v>0</v>
      </c>
      <c r="AK612">
        <f>IF(HR_Data[[#This Row],[Attrition]]="No",1,0)</f>
        <v>1</v>
      </c>
      <c r="AL612" t="str">
        <f>IF(HR_Data[[#This Row],[Age]]&lt;25,"Under 25",IF(HR_Data[[#This Row],[Age]]&lt;=34,"25-34",IF(HR_Data[[#This Row],[Age]]&lt;=44,"35-44",IF(HR_Data[[#This Row],[Age]]&lt;=54,"45-54","55+"))))</f>
        <v>25-34</v>
      </c>
      <c r="AM612" t="str">
        <f>IF(HR_Data[[#This Row],[MonthlyIncome]]&lt;3000,"Low Salary",IF(HR_Data[[#This Row],[MonthlyIncome]]&lt;=7000,"Medium Salary","High Salary"))</f>
        <v>High Salary</v>
      </c>
      <c r="AN612" t="str">
        <f>IF(HR_Data[[#This Row],[YearsAtCompany]]&lt;2,"0-1 Years",IF(HR_Data[[#This Row],[YearsAtCompany]]&lt;=5,"2-5 Years",IF(HR_Data[[#This Row],[YearsAtCompany]]&lt;=10,"6-10 Years","10+ Years")))</f>
        <v>6-10 Years</v>
      </c>
      <c r="AO612" t="str">
        <f>IF(HR_Data[[#This Row],[JobSatisfaction]]=1,"Low",IF(HR_Data[[#This Row],[JobSatisfaction]]=2,"Medium",IF(HR_Data[[#This Row],[JobSatisfaction]]=3,"High","Very High")))</f>
        <v>Very High</v>
      </c>
      <c r="AP612" t="str">
        <f>IF(HR_Data[[#This Row],[WorkLifeBalance]]=1,"Bad",IF(HR_Data[[#This Row],[WorkLifeBalance]]=2,"Good",IF(HR_Data[[#This Row],[WorkLifeBalance]]=3,"Better","Best")))</f>
        <v>Better</v>
      </c>
    </row>
    <row r="613" spans="1:42"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IF(HR_Data[[#This Row],[Attrition]]="Yes",1,0)</f>
        <v>0</v>
      </c>
      <c r="AK613">
        <f>IF(HR_Data[[#This Row],[Attrition]]="No",1,0)</f>
        <v>1</v>
      </c>
      <c r="AL613" t="str">
        <f>IF(HR_Data[[#This Row],[Age]]&lt;25,"Under 25",IF(HR_Data[[#This Row],[Age]]&lt;=34,"25-34",IF(HR_Data[[#This Row],[Age]]&lt;=44,"35-44",IF(HR_Data[[#This Row],[Age]]&lt;=54,"45-54","55+"))))</f>
        <v>35-44</v>
      </c>
      <c r="AM613" t="str">
        <f>IF(HR_Data[[#This Row],[MonthlyIncome]]&lt;3000,"Low Salary",IF(HR_Data[[#This Row],[MonthlyIncome]]&lt;=7000,"Medium Salary","High Salary"))</f>
        <v>High Salary</v>
      </c>
      <c r="AN613" t="str">
        <f>IF(HR_Data[[#This Row],[YearsAtCompany]]&lt;2,"0-1 Years",IF(HR_Data[[#This Row],[YearsAtCompany]]&lt;=5,"2-5 Years",IF(HR_Data[[#This Row],[YearsAtCompany]]&lt;=10,"6-10 Years","10+ Years")))</f>
        <v>6-10 Years</v>
      </c>
      <c r="AO613" t="str">
        <f>IF(HR_Data[[#This Row],[JobSatisfaction]]=1,"Low",IF(HR_Data[[#This Row],[JobSatisfaction]]=2,"Medium",IF(HR_Data[[#This Row],[JobSatisfaction]]=3,"High","Very High")))</f>
        <v>High</v>
      </c>
      <c r="AP613" t="str">
        <f>IF(HR_Data[[#This Row],[WorkLifeBalance]]=1,"Bad",IF(HR_Data[[#This Row],[WorkLifeBalance]]=2,"Good",IF(HR_Data[[#This Row],[WorkLifeBalance]]=3,"Better","Best")))</f>
        <v>Best</v>
      </c>
    </row>
    <row r="614" spans="1:42"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IF(HR_Data[[#This Row],[Attrition]]="Yes",1,0)</f>
        <v>0</v>
      </c>
      <c r="AK614">
        <f>IF(HR_Data[[#This Row],[Attrition]]="No",1,0)</f>
        <v>1</v>
      </c>
      <c r="AL614" t="str">
        <f>IF(HR_Data[[#This Row],[Age]]&lt;25,"Under 25",IF(HR_Data[[#This Row],[Age]]&lt;=34,"25-34",IF(HR_Data[[#This Row],[Age]]&lt;=44,"35-44",IF(HR_Data[[#This Row],[Age]]&lt;=54,"45-54","55+"))))</f>
        <v>25-34</v>
      </c>
      <c r="AM614" t="str">
        <f>IF(HR_Data[[#This Row],[MonthlyIncome]]&lt;3000,"Low Salary",IF(HR_Data[[#This Row],[MonthlyIncome]]&lt;=7000,"Medium Salary","High Salary"))</f>
        <v>Medium Salary</v>
      </c>
      <c r="AN614" t="str">
        <f>IF(HR_Data[[#This Row],[YearsAtCompany]]&lt;2,"0-1 Years",IF(HR_Data[[#This Row],[YearsAtCompany]]&lt;=5,"2-5 Years",IF(HR_Data[[#This Row],[YearsAtCompany]]&lt;=10,"6-10 Years","10+ Years")))</f>
        <v>6-10 Years</v>
      </c>
      <c r="AO614" t="str">
        <f>IF(HR_Data[[#This Row],[JobSatisfaction]]=1,"Low",IF(HR_Data[[#This Row],[JobSatisfaction]]=2,"Medium",IF(HR_Data[[#This Row],[JobSatisfaction]]=3,"High","Very High")))</f>
        <v>Medium</v>
      </c>
      <c r="AP614" t="str">
        <f>IF(HR_Data[[#This Row],[WorkLifeBalance]]=1,"Bad",IF(HR_Data[[#This Row],[WorkLifeBalance]]=2,"Good",IF(HR_Data[[#This Row],[WorkLifeBalance]]=3,"Better","Best")))</f>
        <v>Better</v>
      </c>
    </row>
    <row r="615" spans="1:42"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IF(HR_Data[[#This Row],[Attrition]]="Yes",1,0)</f>
        <v>0</v>
      </c>
      <c r="AK615">
        <f>IF(HR_Data[[#This Row],[Attrition]]="No",1,0)</f>
        <v>1</v>
      </c>
      <c r="AL615" t="str">
        <f>IF(HR_Data[[#This Row],[Age]]&lt;25,"Under 25",IF(HR_Data[[#This Row],[Age]]&lt;=34,"25-34",IF(HR_Data[[#This Row],[Age]]&lt;=44,"35-44",IF(HR_Data[[#This Row],[Age]]&lt;=54,"45-54","55+"))))</f>
        <v>25-34</v>
      </c>
      <c r="AM615" t="str">
        <f>IF(HR_Data[[#This Row],[MonthlyIncome]]&lt;3000,"Low Salary",IF(HR_Data[[#This Row],[MonthlyIncome]]&lt;=7000,"Medium Salary","High Salary"))</f>
        <v>Medium Salary</v>
      </c>
      <c r="AN615" t="str">
        <f>IF(HR_Data[[#This Row],[YearsAtCompany]]&lt;2,"0-1 Years",IF(HR_Data[[#This Row],[YearsAtCompany]]&lt;=5,"2-5 Years",IF(HR_Data[[#This Row],[YearsAtCompany]]&lt;=10,"6-10 Years","10+ Years")))</f>
        <v>2-5 Years</v>
      </c>
      <c r="AO615" t="str">
        <f>IF(HR_Data[[#This Row],[JobSatisfaction]]=1,"Low",IF(HR_Data[[#This Row],[JobSatisfaction]]=2,"Medium",IF(HR_Data[[#This Row],[JobSatisfaction]]=3,"High","Very High")))</f>
        <v>Very High</v>
      </c>
      <c r="AP615" t="str">
        <f>IF(HR_Data[[#This Row],[WorkLifeBalance]]=1,"Bad",IF(HR_Data[[#This Row],[WorkLifeBalance]]=2,"Good",IF(HR_Data[[#This Row],[WorkLifeBalance]]=3,"Better","Best")))</f>
        <v>Bad</v>
      </c>
    </row>
    <row r="616" spans="1:42"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IF(HR_Data[[#This Row],[Attrition]]="Yes",1,0)</f>
        <v>1</v>
      </c>
      <c r="AK616">
        <f>IF(HR_Data[[#This Row],[Attrition]]="No",1,0)</f>
        <v>0</v>
      </c>
      <c r="AL616" t="str">
        <f>IF(HR_Data[[#This Row],[Age]]&lt;25,"Under 25",IF(HR_Data[[#This Row],[Age]]&lt;=34,"25-34",IF(HR_Data[[#This Row],[Age]]&lt;=44,"35-44",IF(HR_Data[[#This Row],[Age]]&lt;=54,"45-54","55+"))))</f>
        <v>25-34</v>
      </c>
      <c r="AM616" t="str">
        <f>IF(HR_Data[[#This Row],[MonthlyIncome]]&lt;3000,"Low Salary",IF(HR_Data[[#This Row],[MonthlyIncome]]&lt;=7000,"Medium Salary","High Salary"))</f>
        <v>Low Salary</v>
      </c>
      <c r="AN616" t="str">
        <f>IF(HR_Data[[#This Row],[YearsAtCompany]]&lt;2,"0-1 Years",IF(HR_Data[[#This Row],[YearsAtCompany]]&lt;=5,"2-5 Years",IF(HR_Data[[#This Row],[YearsAtCompany]]&lt;=10,"6-10 Years","10+ Years")))</f>
        <v>6-10 Years</v>
      </c>
      <c r="AO616" t="str">
        <f>IF(HR_Data[[#This Row],[JobSatisfaction]]=1,"Low",IF(HR_Data[[#This Row],[JobSatisfaction]]=2,"Medium",IF(HR_Data[[#This Row],[JobSatisfaction]]=3,"High","Very High")))</f>
        <v>High</v>
      </c>
      <c r="AP616" t="str">
        <f>IF(HR_Data[[#This Row],[WorkLifeBalance]]=1,"Bad",IF(HR_Data[[#This Row],[WorkLifeBalance]]=2,"Good",IF(HR_Data[[#This Row],[WorkLifeBalance]]=3,"Better","Best")))</f>
        <v>Better</v>
      </c>
    </row>
    <row r="617" spans="1:42"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IF(HR_Data[[#This Row],[Attrition]]="Yes",1,0)</f>
        <v>0</v>
      </c>
      <c r="AK617">
        <f>IF(HR_Data[[#This Row],[Attrition]]="No",1,0)</f>
        <v>1</v>
      </c>
      <c r="AL617" t="str">
        <f>IF(HR_Data[[#This Row],[Age]]&lt;25,"Under 25",IF(HR_Data[[#This Row],[Age]]&lt;=34,"25-34",IF(HR_Data[[#This Row],[Age]]&lt;=44,"35-44",IF(HR_Data[[#This Row],[Age]]&lt;=54,"45-54","55+"))))</f>
        <v>25-34</v>
      </c>
      <c r="AM617" t="str">
        <f>IF(HR_Data[[#This Row],[MonthlyIncome]]&lt;3000,"Low Salary",IF(HR_Data[[#This Row],[MonthlyIncome]]&lt;=7000,"Medium Salary","High Salary"))</f>
        <v>Low Salary</v>
      </c>
      <c r="AN617" t="str">
        <f>IF(HR_Data[[#This Row],[YearsAtCompany]]&lt;2,"0-1 Years",IF(HR_Data[[#This Row],[YearsAtCompany]]&lt;=5,"2-5 Years",IF(HR_Data[[#This Row],[YearsAtCompany]]&lt;=10,"6-10 Years","10+ Years")))</f>
        <v>0-1 Years</v>
      </c>
      <c r="AO617" t="str">
        <f>IF(HR_Data[[#This Row],[JobSatisfaction]]=1,"Low",IF(HR_Data[[#This Row],[JobSatisfaction]]=2,"Medium",IF(HR_Data[[#This Row],[JobSatisfaction]]=3,"High","Very High")))</f>
        <v>Very High</v>
      </c>
      <c r="AP617" t="str">
        <f>IF(HR_Data[[#This Row],[WorkLifeBalance]]=1,"Bad",IF(HR_Data[[#This Row],[WorkLifeBalance]]=2,"Good",IF(HR_Data[[#This Row],[WorkLifeBalance]]=3,"Better","Best")))</f>
        <v>Good</v>
      </c>
    </row>
    <row r="618" spans="1:42"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IF(HR_Data[[#This Row],[Attrition]]="Yes",1,0)</f>
        <v>0</v>
      </c>
      <c r="AK618">
        <f>IF(HR_Data[[#This Row],[Attrition]]="No",1,0)</f>
        <v>1</v>
      </c>
      <c r="AL618" t="str">
        <f>IF(HR_Data[[#This Row],[Age]]&lt;25,"Under 25",IF(HR_Data[[#This Row],[Age]]&lt;=34,"25-34",IF(HR_Data[[#This Row],[Age]]&lt;=44,"35-44",IF(HR_Data[[#This Row],[Age]]&lt;=54,"45-54","55+"))))</f>
        <v>45-54</v>
      </c>
      <c r="AM618" t="str">
        <f>IF(HR_Data[[#This Row],[MonthlyIncome]]&lt;3000,"Low Salary",IF(HR_Data[[#This Row],[MonthlyIncome]]&lt;=7000,"Medium Salary","High Salary"))</f>
        <v>High Salary</v>
      </c>
      <c r="AN618" t="str">
        <f>IF(HR_Data[[#This Row],[YearsAtCompany]]&lt;2,"0-1 Years",IF(HR_Data[[#This Row],[YearsAtCompany]]&lt;=5,"2-5 Years",IF(HR_Data[[#This Row],[YearsAtCompany]]&lt;=10,"6-10 Years","10+ Years")))</f>
        <v>10+ Years</v>
      </c>
      <c r="AO618" t="str">
        <f>IF(HR_Data[[#This Row],[JobSatisfaction]]=1,"Low",IF(HR_Data[[#This Row],[JobSatisfaction]]=2,"Medium",IF(HR_Data[[#This Row],[JobSatisfaction]]=3,"High","Very High")))</f>
        <v>High</v>
      </c>
      <c r="AP618" t="str">
        <f>IF(HR_Data[[#This Row],[WorkLifeBalance]]=1,"Bad",IF(HR_Data[[#This Row],[WorkLifeBalance]]=2,"Good",IF(HR_Data[[#This Row],[WorkLifeBalance]]=3,"Better","Best")))</f>
        <v>Good</v>
      </c>
    </row>
    <row r="619" spans="1:42"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IF(HR_Data[[#This Row],[Attrition]]="Yes",1,0)</f>
        <v>0</v>
      </c>
      <c r="AK619">
        <f>IF(HR_Data[[#This Row],[Attrition]]="No",1,0)</f>
        <v>1</v>
      </c>
      <c r="AL619" t="str">
        <f>IF(HR_Data[[#This Row],[Age]]&lt;25,"Under 25",IF(HR_Data[[#This Row],[Age]]&lt;=34,"25-34",IF(HR_Data[[#This Row],[Age]]&lt;=44,"35-44",IF(HR_Data[[#This Row],[Age]]&lt;=54,"45-54","55+"))))</f>
        <v>35-44</v>
      </c>
      <c r="AM619" t="str">
        <f>IF(HR_Data[[#This Row],[MonthlyIncome]]&lt;3000,"Low Salary",IF(HR_Data[[#This Row],[MonthlyIncome]]&lt;=7000,"Medium Salary","High Salary"))</f>
        <v>Medium Salary</v>
      </c>
      <c r="AN619" t="str">
        <f>IF(HR_Data[[#This Row],[YearsAtCompany]]&lt;2,"0-1 Years",IF(HR_Data[[#This Row],[YearsAtCompany]]&lt;=5,"2-5 Years",IF(HR_Data[[#This Row],[YearsAtCompany]]&lt;=10,"6-10 Years","10+ Years")))</f>
        <v>2-5 Years</v>
      </c>
      <c r="AO619" t="str">
        <f>IF(HR_Data[[#This Row],[JobSatisfaction]]=1,"Low",IF(HR_Data[[#This Row],[JobSatisfaction]]=2,"Medium",IF(HR_Data[[#This Row],[JobSatisfaction]]=3,"High","Very High")))</f>
        <v>Medium</v>
      </c>
      <c r="AP619" t="str">
        <f>IF(HR_Data[[#This Row],[WorkLifeBalance]]=1,"Bad",IF(HR_Data[[#This Row],[WorkLifeBalance]]=2,"Good",IF(HR_Data[[#This Row],[WorkLifeBalance]]=3,"Better","Best")))</f>
        <v>Good</v>
      </c>
    </row>
    <row r="620" spans="1:42"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IF(HR_Data[[#This Row],[Attrition]]="Yes",1,0)</f>
        <v>0</v>
      </c>
      <c r="AK620">
        <f>IF(HR_Data[[#This Row],[Attrition]]="No",1,0)</f>
        <v>1</v>
      </c>
      <c r="AL620" t="str">
        <f>IF(HR_Data[[#This Row],[Age]]&lt;25,"Under 25",IF(HR_Data[[#This Row],[Age]]&lt;=34,"25-34",IF(HR_Data[[#This Row],[Age]]&lt;=44,"35-44",IF(HR_Data[[#This Row],[Age]]&lt;=54,"45-54","55+"))))</f>
        <v>25-34</v>
      </c>
      <c r="AM620" t="str">
        <f>IF(HR_Data[[#This Row],[MonthlyIncome]]&lt;3000,"Low Salary",IF(HR_Data[[#This Row],[MonthlyIncome]]&lt;=7000,"Medium Salary","High Salary"))</f>
        <v>Medium Salary</v>
      </c>
      <c r="AN620" t="str">
        <f>IF(HR_Data[[#This Row],[YearsAtCompany]]&lt;2,"0-1 Years",IF(HR_Data[[#This Row],[YearsAtCompany]]&lt;=5,"2-5 Years",IF(HR_Data[[#This Row],[YearsAtCompany]]&lt;=10,"6-10 Years","10+ Years")))</f>
        <v>2-5 Years</v>
      </c>
      <c r="AO620" t="str">
        <f>IF(HR_Data[[#This Row],[JobSatisfaction]]=1,"Low",IF(HR_Data[[#This Row],[JobSatisfaction]]=2,"Medium",IF(HR_Data[[#This Row],[JobSatisfaction]]=3,"High","Very High")))</f>
        <v>Low</v>
      </c>
      <c r="AP620" t="str">
        <f>IF(HR_Data[[#This Row],[WorkLifeBalance]]=1,"Bad",IF(HR_Data[[#This Row],[WorkLifeBalance]]=2,"Good",IF(HR_Data[[#This Row],[WorkLifeBalance]]=3,"Better","Best")))</f>
        <v>Good</v>
      </c>
    </row>
    <row r="621" spans="1:42"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IF(HR_Data[[#This Row],[Attrition]]="Yes",1,0)</f>
        <v>0</v>
      </c>
      <c r="AK621">
        <f>IF(HR_Data[[#This Row],[Attrition]]="No",1,0)</f>
        <v>1</v>
      </c>
      <c r="AL621" t="str">
        <f>IF(HR_Data[[#This Row],[Age]]&lt;25,"Under 25",IF(HR_Data[[#This Row],[Age]]&lt;=34,"25-34",IF(HR_Data[[#This Row],[Age]]&lt;=44,"35-44",IF(HR_Data[[#This Row],[Age]]&lt;=54,"45-54","55+"))))</f>
        <v>25-34</v>
      </c>
      <c r="AM621" t="str">
        <f>IF(HR_Data[[#This Row],[MonthlyIncome]]&lt;3000,"Low Salary",IF(HR_Data[[#This Row],[MonthlyIncome]]&lt;=7000,"Medium Salary","High Salary"))</f>
        <v>Medium Salary</v>
      </c>
      <c r="AN621" t="str">
        <f>IF(HR_Data[[#This Row],[YearsAtCompany]]&lt;2,"0-1 Years",IF(HR_Data[[#This Row],[YearsAtCompany]]&lt;=5,"2-5 Years",IF(HR_Data[[#This Row],[YearsAtCompany]]&lt;=10,"6-10 Years","10+ Years")))</f>
        <v>6-10 Years</v>
      </c>
      <c r="AO621" t="str">
        <f>IF(HR_Data[[#This Row],[JobSatisfaction]]=1,"Low",IF(HR_Data[[#This Row],[JobSatisfaction]]=2,"Medium",IF(HR_Data[[#This Row],[JobSatisfaction]]=3,"High","Very High")))</f>
        <v>Low</v>
      </c>
      <c r="AP621" t="str">
        <f>IF(HR_Data[[#This Row],[WorkLifeBalance]]=1,"Bad",IF(HR_Data[[#This Row],[WorkLifeBalance]]=2,"Good",IF(HR_Data[[#This Row],[WorkLifeBalance]]=3,"Better","Best")))</f>
        <v>Better</v>
      </c>
    </row>
    <row r="622" spans="1:42"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IF(HR_Data[[#This Row],[Attrition]]="Yes",1,0)</f>
        <v>0</v>
      </c>
      <c r="AK622">
        <f>IF(HR_Data[[#This Row],[Attrition]]="No",1,0)</f>
        <v>1</v>
      </c>
      <c r="AL622" t="str">
        <f>IF(HR_Data[[#This Row],[Age]]&lt;25,"Under 25",IF(HR_Data[[#This Row],[Age]]&lt;=34,"25-34",IF(HR_Data[[#This Row],[Age]]&lt;=44,"35-44",IF(HR_Data[[#This Row],[Age]]&lt;=54,"45-54","55+"))))</f>
        <v>35-44</v>
      </c>
      <c r="AM622" t="str">
        <f>IF(HR_Data[[#This Row],[MonthlyIncome]]&lt;3000,"Low Salary",IF(HR_Data[[#This Row],[MonthlyIncome]]&lt;=7000,"Medium Salary","High Salary"))</f>
        <v>Low Salary</v>
      </c>
      <c r="AN622" t="str">
        <f>IF(HR_Data[[#This Row],[YearsAtCompany]]&lt;2,"0-1 Years",IF(HR_Data[[#This Row],[YearsAtCompany]]&lt;=5,"2-5 Years",IF(HR_Data[[#This Row],[YearsAtCompany]]&lt;=10,"6-10 Years","10+ Years")))</f>
        <v>6-10 Years</v>
      </c>
      <c r="AO622" t="str">
        <f>IF(HR_Data[[#This Row],[JobSatisfaction]]=1,"Low",IF(HR_Data[[#This Row],[JobSatisfaction]]=2,"Medium",IF(HR_Data[[#This Row],[JobSatisfaction]]=3,"High","Very High")))</f>
        <v>Low</v>
      </c>
      <c r="AP622" t="str">
        <f>IF(HR_Data[[#This Row],[WorkLifeBalance]]=1,"Bad",IF(HR_Data[[#This Row],[WorkLifeBalance]]=2,"Good",IF(HR_Data[[#This Row],[WorkLifeBalance]]=3,"Better","Best")))</f>
        <v>Good</v>
      </c>
    </row>
    <row r="623" spans="1:42"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IF(HR_Data[[#This Row],[Attrition]]="Yes",1,0)</f>
        <v>0</v>
      </c>
      <c r="AK623">
        <f>IF(HR_Data[[#This Row],[Attrition]]="No",1,0)</f>
        <v>1</v>
      </c>
      <c r="AL623" t="str">
        <f>IF(HR_Data[[#This Row],[Age]]&lt;25,"Under 25",IF(HR_Data[[#This Row],[Age]]&lt;=34,"25-34",IF(HR_Data[[#This Row],[Age]]&lt;=44,"35-44",IF(HR_Data[[#This Row],[Age]]&lt;=54,"45-54","55+"))))</f>
        <v>35-44</v>
      </c>
      <c r="AM623" t="str">
        <f>IF(HR_Data[[#This Row],[MonthlyIncome]]&lt;3000,"Low Salary",IF(HR_Data[[#This Row],[MonthlyIncome]]&lt;=7000,"Medium Salary","High Salary"))</f>
        <v>Medium Salary</v>
      </c>
      <c r="AN623" t="str">
        <f>IF(HR_Data[[#This Row],[YearsAtCompany]]&lt;2,"0-1 Years",IF(HR_Data[[#This Row],[YearsAtCompany]]&lt;=5,"2-5 Years",IF(HR_Data[[#This Row],[YearsAtCompany]]&lt;=10,"6-10 Years","10+ Years")))</f>
        <v>10+ Years</v>
      </c>
      <c r="AO623" t="str">
        <f>IF(HR_Data[[#This Row],[JobSatisfaction]]=1,"Low",IF(HR_Data[[#This Row],[JobSatisfaction]]=2,"Medium",IF(HR_Data[[#This Row],[JobSatisfaction]]=3,"High","Very High")))</f>
        <v>Very High</v>
      </c>
      <c r="AP623" t="str">
        <f>IF(HR_Data[[#This Row],[WorkLifeBalance]]=1,"Bad",IF(HR_Data[[#This Row],[WorkLifeBalance]]=2,"Good",IF(HR_Data[[#This Row],[WorkLifeBalance]]=3,"Better","Best")))</f>
        <v>Good</v>
      </c>
    </row>
    <row r="624" spans="1:42"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IF(HR_Data[[#This Row],[Attrition]]="Yes",1,0)</f>
        <v>0</v>
      </c>
      <c r="AK624">
        <f>IF(HR_Data[[#This Row],[Attrition]]="No",1,0)</f>
        <v>1</v>
      </c>
      <c r="AL624" t="str">
        <f>IF(HR_Data[[#This Row],[Age]]&lt;25,"Under 25",IF(HR_Data[[#This Row],[Age]]&lt;=34,"25-34",IF(HR_Data[[#This Row],[Age]]&lt;=44,"35-44",IF(HR_Data[[#This Row],[Age]]&lt;=54,"45-54","55+"))))</f>
        <v>25-34</v>
      </c>
      <c r="AM624" t="str">
        <f>IF(HR_Data[[#This Row],[MonthlyIncome]]&lt;3000,"Low Salary",IF(HR_Data[[#This Row],[MonthlyIncome]]&lt;=7000,"Medium Salary","High Salary"))</f>
        <v>Medium Salary</v>
      </c>
      <c r="AN624" t="str">
        <f>IF(HR_Data[[#This Row],[YearsAtCompany]]&lt;2,"0-1 Years",IF(HR_Data[[#This Row],[YearsAtCompany]]&lt;=5,"2-5 Years",IF(HR_Data[[#This Row],[YearsAtCompany]]&lt;=10,"6-10 Years","10+ Years")))</f>
        <v>2-5 Years</v>
      </c>
      <c r="AO624" t="str">
        <f>IF(HR_Data[[#This Row],[JobSatisfaction]]=1,"Low",IF(HR_Data[[#This Row],[JobSatisfaction]]=2,"Medium",IF(HR_Data[[#This Row],[JobSatisfaction]]=3,"High","Very High")))</f>
        <v>Very High</v>
      </c>
      <c r="AP624" t="str">
        <f>IF(HR_Data[[#This Row],[WorkLifeBalance]]=1,"Bad",IF(HR_Data[[#This Row],[WorkLifeBalance]]=2,"Good",IF(HR_Data[[#This Row],[WorkLifeBalance]]=3,"Better","Best")))</f>
        <v>Good</v>
      </c>
    </row>
    <row r="625" spans="1:42"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IF(HR_Data[[#This Row],[Attrition]]="Yes",1,0)</f>
        <v>0</v>
      </c>
      <c r="AK625">
        <f>IF(HR_Data[[#This Row],[Attrition]]="No",1,0)</f>
        <v>1</v>
      </c>
      <c r="AL625" t="str">
        <f>IF(HR_Data[[#This Row],[Age]]&lt;25,"Under 25",IF(HR_Data[[#This Row],[Age]]&lt;=34,"25-34",IF(HR_Data[[#This Row],[Age]]&lt;=44,"35-44",IF(HR_Data[[#This Row],[Age]]&lt;=54,"45-54","55+"))))</f>
        <v>25-34</v>
      </c>
      <c r="AM625" t="str">
        <f>IF(HR_Data[[#This Row],[MonthlyIncome]]&lt;3000,"Low Salary",IF(HR_Data[[#This Row],[MonthlyIncome]]&lt;=7000,"Medium Salary","High Salary"))</f>
        <v>Medium Salary</v>
      </c>
      <c r="AN625" t="str">
        <f>IF(HR_Data[[#This Row],[YearsAtCompany]]&lt;2,"0-1 Years",IF(HR_Data[[#This Row],[YearsAtCompany]]&lt;=5,"2-5 Years",IF(HR_Data[[#This Row],[YearsAtCompany]]&lt;=10,"6-10 Years","10+ Years")))</f>
        <v>2-5 Years</v>
      </c>
      <c r="AO625" t="str">
        <f>IF(HR_Data[[#This Row],[JobSatisfaction]]=1,"Low",IF(HR_Data[[#This Row],[JobSatisfaction]]=2,"Medium",IF(HR_Data[[#This Row],[JobSatisfaction]]=3,"High","Very High")))</f>
        <v>Very High</v>
      </c>
      <c r="AP625" t="str">
        <f>IF(HR_Data[[#This Row],[WorkLifeBalance]]=1,"Bad",IF(HR_Data[[#This Row],[WorkLifeBalance]]=2,"Good",IF(HR_Data[[#This Row],[WorkLifeBalance]]=3,"Better","Best")))</f>
        <v>Good</v>
      </c>
    </row>
    <row r="626" spans="1:42"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IF(HR_Data[[#This Row],[Attrition]]="Yes",1,0)</f>
        <v>0</v>
      </c>
      <c r="AK626">
        <f>IF(HR_Data[[#This Row],[Attrition]]="No",1,0)</f>
        <v>1</v>
      </c>
      <c r="AL626" t="str">
        <f>IF(HR_Data[[#This Row],[Age]]&lt;25,"Under 25",IF(HR_Data[[#This Row],[Age]]&lt;=34,"25-34",IF(HR_Data[[#This Row],[Age]]&lt;=44,"35-44",IF(HR_Data[[#This Row],[Age]]&lt;=54,"45-54","55+"))))</f>
        <v>45-54</v>
      </c>
      <c r="AM626" t="str">
        <f>IF(HR_Data[[#This Row],[MonthlyIncome]]&lt;3000,"Low Salary",IF(HR_Data[[#This Row],[MonthlyIncome]]&lt;=7000,"Medium Salary","High Salary"))</f>
        <v>High Salary</v>
      </c>
      <c r="AN626" t="str">
        <f>IF(HR_Data[[#This Row],[YearsAtCompany]]&lt;2,"0-1 Years",IF(HR_Data[[#This Row],[YearsAtCompany]]&lt;=5,"2-5 Years",IF(HR_Data[[#This Row],[YearsAtCompany]]&lt;=10,"6-10 Years","10+ Years")))</f>
        <v>2-5 Years</v>
      </c>
      <c r="AO626" t="str">
        <f>IF(HR_Data[[#This Row],[JobSatisfaction]]=1,"Low",IF(HR_Data[[#This Row],[JobSatisfaction]]=2,"Medium",IF(HR_Data[[#This Row],[JobSatisfaction]]=3,"High","Very High")))</f>
        <v>Very High</v>
      </c>
      <c r="AP626" t="str">
        <f>IF(HR_Data[[#This Row],[WorkLifeBalance]]=1,"Bad",IF(HR_Data[[#This Row],[WorkLifeBalance]]=2,"Good",IF(HR_Data[[#This Row],[WorkLifeBalance]]=3,"Better","Best")))</f>
        <v>Better</v>
      </c>
    </row>
    <row r="627" spans="1:42"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IF(HR_Data[[#This Row],[Attrition]]="Yes",1,0)</f>
        <v>0</v>
      </c>
      <c r="AK627">
        <f>IF(HR_Data[[#This Row],[Attrition]]="No",1,0)</f>
        <v>1</v>
      </c>
      <c r="AL627" t="str">
        <f>IF(HR_Data[[#This Row],[Age]]&lt;25,"Under 25",IF(HR_Data[[#This Row],[Age]]&lt;=34,"25-34",IF(HR_Data[[#This Row],[Age]]&lt;=44,"35-44",IF(HR_Data[[#This Row],[Age]]&lt;=54,"45-54","55+"))))</f>
        <v>45-54</v>
      </c>
      <c r="AM627" t="str">
        <f>IF(HR_Data[[#This Row],[MonthlyIncome]]&lt;3000,"Low Salary",IF(HR_Data[[#This Row],[MonthlyIncome]]&lt;=7000,"Medium Salary","High Salary"))</f>
        <v>High Salary</v>
      </c>
      <c r="AN627" t="str">
        <f>IF(HR_Data[[#This Row],[YearsAtCompany]]&lt;2,"0-1 Years",IF(HR_Data[[#This Row],[YearsAtCompany]]&lt;=5,"2-5 Years",IF(HR_Data[[#This Row],[YearsAtCompany]]&lt;=10,"6-10 Years","10+ Years")))</f>
        <v>2-5 Years</v>
      </c>
      <c r="AO627" t="str">
        <f>IF(HR_Data[[#This Row],[JobSatisfaction]]=1,"Low",IF(HR_Data[[#This Row],[JobSatisfaction]]=2,"Medium",IF(HR_Data[[#This Row],[JobSatisfaction]]=3,"High","Very High")))</f>
        <v>Low</v>
      </c>
      <c r="AP627" t="str">
        <f>IF(HR_Data[[#This Row],[WorkLifeBalance]]=1,"Bad",IF(HR_Data[[#This Row],[WorkLifeBalance]]=2,"Good",IF(HR_Data[[#This Row],[WorkLifeBalance]]=3,"Better","Best")))</f>
        <v>Better</v>
      </c>
    </row>
    <row r="628" spans="1:42"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IF(HR_Data[[#This Row],[Attrition]]="Yes",1,0)</f>
        <v>0</v>
      </c>
      <c r="AK628">
        <f>IF(HR_Data[[#This Row],[Attrition]]="No",1,0)</f>
        <v>1</v>
      </c>
      <c r="AL628" t="str">
        <f>IF(HR_Data[[#This Row],[Age]]&lt;25,"Under 25",IF(HR_Data[[#This Row],[Age]]&lt;=34,"25-34",IF(HR_Data[[#This Row],[Age]]&lt;=44,"35-44",IF(HR_Data[[#This Row],[Age]]&lt;=54,"45-54","55+"))))</f>
        <v>25-34</v>
      </c>
      <c r="AM628" t="str">
        <f>IF(HR_Data[[#This Row],[MonthlyIncome]]&lt;3000,"Low Salary",IF(HR_Data[[#This Row],[MonthlyIncome]]&lt;=7000,"Medium Salary","High Salary"))</f>
        <v>Medium Salary</v>
      </c>
      <c r="AN628" t="str">
        <f>IF(HR_Data[[#This Row],[YearsAtCompany]]&lt;2,"0-1 Years",IF(HR_Data[[#This Row],[YearsAtCompany]]&lt;=5,"2-5 Years",IF(HR_Data[[#This Row],[YearsAtCompany]]&lt;=10,"6-10 Years","10+ Years")))</f>
        <v>2-5 Years</v>
      </c>
      <c r="AO628" t="str">
        <f>IF(HR_Data[[#This Row],[JobSatisfaction]]=1,"Low",IF(HR_Data[[#This Row],[JobSatisfaction]]=2,"Medium",IF(HR_Data[[#This Row],[JobSatisfaction]]=3,"High","Very High")))</f>
        <v>High</v>
      </c>
      <c r="AP628" t="str">
        <f>IF(HR_Data[[#This Row],[WorkLifeBalance]]=1,"Bad",IF(HR_Data[[#This Row],[WorkLifeBalance]]=2,"Good",IF(HR_Data[[#This Row],[WorkLifeBalance]]=3,"Better","Best")))</f>
        <v>Good</v>
      </c>
    </row>
    <row r="629" spans="1:42"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IF(HR_Data[[#This Row],[Attrition]]="Yes",1,0)</f>
        <v>0</v>
      </c>
      <c r="AK629">
        <f>IF(HR_Data[[#This Row],[Attrition]]="No",1,0)</f>
        <v>1</v>
      </c>
      <c r="AL629" t="str">
        <f>IF(HR_Data[[#This Row],[Age]]&lt;25,"Under 25",IF(HR_Data[[#This Row],[Age]]&lt;=34,"25-34",IF(HR_Data[[#This Row],[Age]]&lt;=44,"35-44",IF(HR_Data[[#This Row],[Age]]&lt;=54,"45-54","55+"))))</f>
        <v>45-54</v>
      </c>
      <c r="AM629" t="str">
        <f>IF(HR_Data[[#This Row],[MonthlyIncome]]&lt;3000,"Low Salary",IF(HR_Data[[#This Row],[MonthlyIncome]]&lt;=7000,"Medium Salary","High Salary"))</f>
        <v>High Salary</v>
      </c>
      <c r="AN629" t="str">
        <f>IF(HR_Data[[#This Row],[YearsAtCompany]]&lt;2,"0-1 Years",IF(HR_Data[[#This Row],[YearsAtCompany]]&lt;=5,"2-5 Years",IF(HR_Data[[#This Row],[YearsAtCompany]]&lt;=10,"6-10 Years","10+ Years")))</f>
        <v>6-10 Years</v>
      </c>
      <c r="AO629" t="str">
        <f>IF(HR_Data[[#This Row],[JobSatisfaction]]=1,"Low",IF(HR_Data[[#This Row],[JobSatisfaction]]=2,"Medium",IF(HR_Data[[#This Row],[JobSatisfaction]]=3,"High","Very High")))</f>
        <v>Very High</v>
      </c>
      <c r="AP629" t="str">
        <f>IF(HR_Data[[#This Row],[WorkLifeBalance]]=1,"Bad",IF(HR_Data[[#This Row],[WorkLifeBalance]]=2,"Good",IF(HR_Data[[#This Row],[WorkLifeBalance]]=3,"Better","Best")))</f>
        <v>Better</v>
      </c>
    </row>
    <row r="630" spans="1:42"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IF(HR_Data[[#This Row],[Attrition]]="Yes",1,0)</f>
        <v>0</v>
      </c>
      <c r="AK630">
        <f>IF(HR_Data[[#This Row],[Attrition]]="No",1,0)</f>
        <v>1</v>
      </c>
      <c r="AL630" t="str">
        <f>IF(HR_Data[[#This Row],[Age]]&lt;25,"Under 25",IF(HR_Data[[#This Row],[Age]]&lt;=34,"25-34",IF(HR_Data[[#This Row],[Age]]&lt;=44,"35-44",IF(HR_Data[[#This Row],[Age]]&lt;=54,"45-54","55+"))))</f>
        <v>35-44</v>
      </c>
      <c r="AM630" t="str">
        <f>IF(HR_Data[[#This Row],[MonthlyIncome]]&lt;3000,"Low Salary",IF(HR_Data[[#This Row],[MonthlyIncome]]&lt;=7000,"Medium Salary","High Salary"))</f>
        <v>Medium Salary</v>
      </c>
      <c r="AN630" t="str">
        <f>IF(HR_Data[[#This Row],[YearsAtCompany]]&lt;2,"0-1 Years",IF(HR_Data[[#This Row],[YearsAtCompany]]&lt;=5,"2-5 Years",IF(HR_Data[[#This Row],[YearsAtCompany]]&lt;=10,"6-10 Years","10+ Years")))</f>
        <v>0-1 Years</v>
      </c>
      <c r="AO630" t="str">
        <f>IF(HR_Data[[#This Row],[JobSatisfaction]]=1,"Low",IF(HR_Data[[#This Row],[JobSatisfaction]]=2,"Medium",IF(HR_Data[[#This Row],[JobSatisfaction]]=3,"High","Very High")))</f>
        <v>High</v>
      </c>
      <c r="AP630" t="str">
        <f>IF(HR_Data[[#This Row],[WorkLifeBalance]]=1,"Bad",IF(HR_Data[[#This Row],[WorkLifeBalance]]=2,"Good",IF(HR_Data[[#This Row],[WorkLifeBalance]]=3,"Better","Best")))</f>
        <v>Better</v>
      </c>
    </row>
    <row r="631" spans="1:42"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IF(HR_Data[[#This Row],[Attrition]]="Yes",1,0)</f>
        <v>0</v>
      </c>
      <c r="AK631">
        <f>IF(HR_Data[[#This Row],[Attrition]]="No",1,0)</f>
        <v>1</v>
      </c>
      <c r="AL631" t="str">
        <f>IF(HR_Data[[#This Row],[Age]]&lt;25,"Under 25",IF(HR_Data[[#This Row],[Age]]&lt;=34,"25-34",IF(HR_Data[[#This Row],[Age]]&lt;=44,"35-44",IF(HR_Data[[#This Row],[Age]]&lt;=54,"45-54","55+"))))</f>
        <v>25-34</v>
      </c>
      <c r="AM631" t="str">
        <f>IF(HR_Data[[#This Row],[MonthlyIncome]]&lt;3000,"Low Salary",IF(HR_Data[[#This Row],[MonthlyIncome]]&lt;=7000,"Medium Salary","High Salary"))</f>
        <v>Medium Salary</v>
      </c>
      <c r="AN631" t="str">
        <f>IF(HR_Data[[#This Row],[YearsAtCompany]]&lt;2,"0-1 Years",IF(HR_Data[[#This Row],[YearsAtCompany]]&lt;=5,"2-5 Years",IF(HR_Data[[#This Row],[YearsAtCompany]]&lt;=10,"6-10 Years","10+ Years")))</f>
        <v>2-5 Years</v>
      </c>
      <c r="AO631" t="str">
        <f>IF(HR_Data[[#This Row],[JobSatisfaction]]=1,"Low",IF(HR_Data[[#This Row],[JobSatisfaction]]=2,"Medium",IF(HR_Data[[#This Row],[JobSatisfaction]]=3,"High","Very High")))</f>
        <v>Very High</v>
      </c>
      <c r="AP631" t="str">
        <f>IF(HR_Data[[#This Row],[WorkLifeBalance]]=1,"Bad",IF(HR_Data[[#This Row],[WorkLifeBalance]]=2,"Good",IF(HR_Data[[#This Row],[WorkLifeBalance]]=3,"Better","Best")))</f>
        <v>Better</v>
      </c>
    </row>
    <row r="632" spans="1:42"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IF(HR_Data[[#This Row],[Attrition]]="Yes",1,0)</f>
        <v>0</v>
      </c>
      <c r="AK632">
        <f>IF(HR_Data[[#This Row],[Attrition]]="No",1,0)</f>
        <v>1</v>
      </c>
      <c r="AL632" t="str">
        <f>IF(HR_Data[[#This Row],[Age]]&lt;25,"Under 25",IF(HR_Data[[#This Row],[Age]]&lt;=34,"25-34",IF(HR_Data[[#This Row],[Age]]&lt;=44,"35-44",IF(HR_Data[[#This Row],[Age]]&lt;=54,"45-54","55+"))))</f>
        <v>Under 25</v>
      </c>
      <c r="AM632" t="str">
        <f>IF(HR_Data[[#This Row],[MonthlyIncome]]&lt;3000,"Low Salary",IF(HR_Data[[#This Row],[MonthlyIncome]]&lt;=7000,"Medium Salary","High Salary"))</f>
        <v>Medium Salary</v>
      </c>
      <c r="AN632" t="str">
        <f>IF(HR_Data[[#This Row],[YearsAtCompany]]&lt;2,"0-1 Years",IF(HR_Data[[#This Row],[YearsAtCompany]]&lt;=5,"2-5 Years",IF(HR_Data[[#This Row],[YearsAtCompany]]&lt;=10,"6-10 Years","10+ Years")))</f>
        <v>2-5 Years</v>
      </c>
      <c r="AO632" t="str">
        <f>IF(HR_Data[[#This Row],[JobSatisfaction]]=1,"Low",IF(HR_Data[[#This Row],[JobSatisfaction]]=2,"Medium",IF(HR_Data[[#This Row],[JobSatisfaction]]=3,"High","Very High")))</f>
        <v>Very High</v>
      </c>
      <c r="AP632" t="str">
        <f>IF(HR_Data[[#This Row],[WorkLifeBalance]]=1,"Bad",IF(HR_Data[[#This Row],[WorkLifeBalance]]=2,"Good",IF(HR_Data[[#This Row],[WorkLifeBalance]]=3,"Better","Best")))</f>
        <v>Bad</v>
      </c>
    </row>
    <row r="633" spans="1:42"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IF(HR_Data[[#This Row],[Attrition]]="Yes",1,0)</f>
        <v>0</v>
      </c>
      <c r="AK633">
        <f>IF(HR_Data[[#This Row],[Attrition]]="No",1,0)</f>
        <v>1</v>
      </c>
      <c r="AL633" t="str">
        <f>IF(HR_Data[[#This Row],[Age]]&lt;25,"Under 25",IF(HR_Data[[#This Row],[Age]]&lt;=34,"25-34",IF(HR_Data[[#This Row],[Age]]&lt;=44,"35-44",IF(HR_Data[[#This Row],[Age]]&lt;=54,"45-54","55+"))))</f>
        <v>35-44</v>
      </c>
      <c r="AM633" t="str">
        <f>IF(HR_Data[[#This Row],[MonthlyIncome]]&lt;3000,"Low Salary",IF(HR_Data[[#This Row],[MonthlyIncome]]&lt;=7000,"Medium Salary","High Salary"))</f>
        <v>Low Salary</v>
      </c>
      <c r="AN633" t="str">
        <f>IF(HR_Data[[#This Row],[YearsAtCompany]]&lt;2,"0-1 Years",IF(HR_Data[[#This Row],[YearsAtCompany]]&lt;=5,"2-5 Years",IF(HR_Data[[#This Row],[YearsAtCompany]]&lt;=10,"6-10 Years","10+ Years")))</f>
        <v>2-5 Years</v>
      </c>
      <c r="AO633" t="str">
        <f>IF(HR_Data[[#This Row],[JobSatisfaction]]=1,"Low",IF(HR_Data[[#This Row],[JobSatisfaction]]=2,"Medium",IF(HR_Data[[#This Row],[JobSatisfaction]]=3,"High","Very High")))</f>
        <v>Very High</v>
      </c>
      <c r="AP633" t="str">
        <f>IF(HR_Data[[#This Row],[WorkLifeBalance]]=1,"Bad",IF(HR_Data[[#This Row],[WorkLifeBalance]]=2,"Good",IF(HR_Data[[#This Row],[WorkLifeBalance]]=3,"Better","Best")))</f>
        <v>Good</v>
      </c>
    </row>
    <row r="634" spans="1:42"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IF(HR_Data[[#This Row],[Attrition]]="Yes",1,0)</f>
        <v>0</v>
      </c>
      <c r="AK634">
        <f>IF(HR_Data[[#This Row],[Attrition]]="No",1,0)</f>
        <v>1</v>
      </c>
      <c r="AL634" t="str">
        <f>IF(HR_Data[[#This Row],[Age]]&lt;25,"Under 25",IF(HR_Data[[#This Row],[Age]]&lt;=34,"25-34",IF(HR_Data[[#This Row],[Age]]&lt;=44,"35-44",IF(HR_Data[[#This Row],[Age]]&lt;=54,"45-54","55+"))))</f>
        <v>35-44</v>
      </c>
      <c r="AM634" t="str">
        <f>IF(HR_Data[[#This Row],[MonthlyIncome]]&lt;3000,"Low Salary",IF(HR_Data[[#This Row],[MonthlyIncome]]&lt;=7000,"Medium Salary","High Salary"))</f>
        <v>Low Salary</v>
      </c>
      <c r="AN634" t="str">
        <f>IF(HR_Data[[#This Row],[YearsAtCompany]]&lt;2,"0-1 Years",IF(HR_Data[[#This Row],[YearsAtCompany]]&lt;=5,"2-5 Years",IF(HR_Data[[#This Row],[YearsAtCompany]]&lt;=10,"6-10 Years","10+ Years")))</f>
        <v>2-5 Years</v>
      </c>
      <c r="AO634" t="str">
        <f>IF(HR_Data[[#This Row],[JobSatisfaction]]=1,"Low",IF(HR_Data[[#This Row],[JobSatisfaction]]=2,"Medium",IF(HR_Data[[#This Row],[JobSatisfaction]]=3,"High","Very High")))</f>
        <v>Very High</v>
      </c>
      <c r="AP634" t="str">
        <f>IF(HR_Data[[#This Row],[WorkLifeBalance]]=1,"Bad",IF(HR_Data[[#This Row],[WorkLifeBalance]]=2,"Good",IF(HR_Data[[#This Row],[WorkLifeBalance]]=3,"Better","Best")))</f>
        <v>Better</v>
      </c>
    </row>
    <row r="635" spans="1:42"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IF(HR_Data[[#This Row],[Attrition]]="Yes",1,0)</f>
        <v>0</v>
      </c>
      <c r="AK635">
        <f>IF(HR_Data[[#This Row],[Attrition]]="No",1,0)</f>
        <v>1</v>
      </c>
      <c r="AL635" t="str">
        <f>IF(HR_Data[[#This Row],[Age]]&lt;25,"Under 25",IF(HR_Data[[#This Row],[Age]]&lt;=34,"25-34",IF(HR_Data[[#This Row],[Age]]&lt;=44,"35-44",IF(HR_Data[[#This Row],[Age]]&lt;=54,"45-54","55+"))))</f>
        <v>35-44</v>
      </c>
      <c r="AM635" t="str">
        <f>IF(HR_Data[[#This Row],[MonthlyIncome]]&lt;3000,"Low Salary",IF(HR_Data[[#This Row],[MonthlyIncome]]&lt;=7000,"Medium Salary","High Salary"))</f>
        <v>Low Salary</v>
      </c>
      <c r="AN635" t="str">
        <f>IF(HR_Data[[#This Row],[YearsAtCompany]]&lt;2,"0-1 Years",IF(HR_Data[[#This Row],[YearsAtCompany]]&lt;=5,"2-5 Years",IF(HR_Data[[#This Row],[YearsAtCompany]]&lt;=10,"6-10 Years","10+ Years")))</f>
        <v>2-5 Years</v>
      </c>
      <c r="AO635" t="str">
        <f>IF(HR_Data[[#This Row],[JobSatisfaction]]=1,"Low",IF(HR_Data[[#This Row],[JobSatisfaction]]=2,"Medium",IF(HR_Data[[#This Row],[JobSatisfaction]]=3,"High","Very High")))</f>
        <v>Low</v>
      </c>
      <c r="AP635" t="str">
        <f>IF(HR_Data[[#This Row],[WorkLifeBalance]]=1,"Bad",IF(HR_Data[[#This Row],[WorkLifeBalance]]=2,"Good",IF(HR_Data[[#This Row],[WorkLifeBalance]]=3,"Better","Best")))</f>
        <v>Better</v>
      </c>
    </row>
    <row r="636" spans="1:42"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IF(HR_Data[[#This Row],[Attrition]]="Yes",1,0)</f>
        <v>0</v>
      </c>
      <c r="AK636">
        <f>IF(HR_Data[[#This Row],[Attrition]]="No",1,0)</f>
        <v>1</v>
      </c>
      <c r="AL636" t="str">
        <f>IF(HR_Data[[#This Row],[Age]]&lt;25,"Under 25",IF(HR_Data[[#This Row],[Age]]&lt;=34,"25-34",IF(HR_Data[[#This Row],[Age]]&lt;=44,"35-44",IF(HR_Data[[#This Row],[Age]]&lt;=54,"45-54","55+"))))</f>
        <v>25-34</v>
      </c>
      <c r="AM636" t="str">
        <f>IF(HR_Data[[#This Row],[MonthlyIncome]]&lt;3000,"Low Salary",IF(HR_Data[[#This Row],[MonthlyIncome]]&lt;=7000,"Medium Salary","High Salary"))</f>
        <v>Medium Salary</v>
      </c>
      <c r="AN636" t="str">
        <f>IF(HR_Data[[#This Row],[YearsAtCompany]]&lt;2,"0-1 Years",IF(HR_Data[[#This Row],[YearsAtCompany]]&lt;=5,"2-5 Years",IF(HR_Data[[#This Row],[YearsAtCompany]]&lt;=10,"6-10 Years","10+ Years")))</f>
        <v>2-5 Years</v>
      </c>
      <c r="AO636" t="str">
        <f>IF(HR_Data[[#This Row],[JobSatisfaction]]=1,"Low",IF(HR_Data[[#This Row],[JobSatisfaction]]=2,"Medium",IF(HR_Data[[#This Row],[JobSatisfaction]]=3,"High","Very High")))</f>
        <v>Low</v>
      </c>
      <c r="AP636" t="str">
        <f>IF(HR_Data[[#This Row],[WorkLifeBalance]]=1,"Bad",IF(HR_Data[[#This Row],[WorkLifeBalance]]=2,"Good",IF(HR_Data[[#This Row],[WorkLifeBalance]]=3,"Better","Best")))</f>
        <v>Better</v>
      </c>
    </row>
    <row r="637" spans="1:42"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IF(HR_Data[[#This Row],[Attrition]]="Yes",1,0)</f>
        <v>0</v>
      </c>
      <c r="AK637">
        <f>IF(HR_Data[[#This Row],[Attrition]]="No",1,0)</f>
        <v>1</v>
      </c>
      <c r="AL637" t="str">
        <f>IF(HR_Data[[#This Row],[Age]]&lt;25,"Under 25",IF(HR_Data[[#This Row],[Age]]&lt;=34,"25-34",IF(HR_Data[[#This Row],[Age]]&lt;=44,"35-44",IF(HR_Data[[#This Row],[Age]]&lt;=54,"45-54","55+"))))</f>
        <v>35-44</v>
      </c>
      <c r="AM637" t="str">
        <f>IF(HR_Data[[#This Row],[MonthlyIncome]]&lt;3000,"Low Salary",IF(HR_Data[[#This Row],[MonthlyIncome]]&lt;=7000,"Medium Salary","High Salary"))</f>
        <v>High Salary</v>
      </c>
      <c r="AN637" t="str">
        <f>IF(HR_Data[[#This Row],[YearsAtCompany]]&lt;2,"0-1 Years",IF(HR_Data[[#This Row],[YearsAtCompany]]&lt;=5,"2-5 Years",IF(HR_Data[[#This Row],[YearsAtCompany]]&lt;=10,"6-10 Years","10+ Years")))</f>
        <v>10+ Years</v>
      </c>
      <c r="AO637" t="str">
        <f>IF(HR_Data[[#This Row],[JobSatisfaction]]=1,"Low",IF(HR_Data[[#This Row],[JobSatisfaction]]=2,"Medium",IF(HR_Data[[#This Row],[JobSatisfaction]]=3,"High","Very High")))</f>
        <v>High</v>
      </c>
      <c r="AP637" t="str">
        <f>IF(HR_Data[[#This Row],[WorkLifeBalance]]=1,"Bad",IF(HR_Data[[#This Row],[WorkLifeBalance]]=2,"Good",IF(HR_Data[[#This Row],[WorkLifeBalance]]=3,"Better","Best")))</f>
        <v>Better</v>
      </c>
    </row>
    <row r="638" spans="1:42"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IF(HR_Data[[#This Row],[Attrition]]="Yes",1,0)</f>
        <v>1</v>
      </c>
      <c r="AK638">
        <f>IF(HR_Data[[#This Row],[Attrition]]="No",1,0)</f>
        <v>0</v>
      </c>
      <c r="AL638" t="str">
        <f>IF(HR_Data[[#This Row],[Age]]&lt;25,"Under 25",IF(HR_Data[[#This Row],[Age]]&lt;=34,"25-34",IF(HR_Data[[#This Row],[Age]]&lt;=44,"35-44",IF(HR_Data[[#This Row],[Age]]&lt;=54,"45-54","55+"))))</f>
        <v>35-44</v>
      </c>
      <c r="AM638" t="str">
        <f>IF(HR_Data[[#This Row],[MonthlyIncome]]&lt;3000,"Low Salary",IF(HR_Data[[#This Row],[MonthlyIncome]]&lt;=7000,"Medium Salary","High Salary"))</f>
        <v>Low Salary</v>
      </c>
      <c r="AN638" t="str">
        <f>IF(HR_Data[[#This Row],[YearsAtCompany]]&lt;2,"0-1 Years",IF(HR_Data[[#This Row],[YearsAtCompany]]&lt;=5,"2-5 Years",IF(HR_Data[[#This Row],[YearsAtCompany]]&lt;=10,"6-10 Years","10+ Years")))</f>
        <v>6-10 Years</v>
      </c>
      <c r="AO638" t="str">
        <f>IF(HR_Data[[#This Row],[JobSatisfaction]]=1,"Low",IF(HR_Data[[#This Row],[JobSatisfaction]]=2,"Medium",IF(HR_Data[[#This Row],[JobSatisfaction]]=3,"High","Very High")))</f>
        <v>Medium</v>
      </c>
      <c r="AP638" t="str">
        <f>IF(HR_Data[[#This Row],[WorkLifeBalance]]=1,"Bad",IF(HR_Data[[#This Row],[WorkLifeBalance]]=2,"Good",IF(HR_Data[[#This Row],[WorkLifeBalance]]=3,"Better","Best")))</f>
        <v>Good</v>
      </c>
    </row>
    <row r="639" spans="1:42"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IF(HR_Data[[#This Row],[Attrition]]="Yes",1,0)</f>
        <v>0</v>
      </c>
      <c r="AK639">
        <f>IF(HR_Data[[#This Row],[Attrition]]="No",1,0)</f>
        <v>1</v>
      </c>
      <c r="AL639" t="str">
        <f>IF(HR_Data[[#This Row],[Age]]&lt;25,"Under 25",IF(HR_Data[[#This Row],[Age]]&lt;=34,"25-34",IF(HR_Data[[#This Row],[Age]]&lt;=44,"35-44",IF(HR_Data[[#This Row],[Age]]&lt;=54,"45-54","55+"))))</f>
        <v>25-34</v>
      </c>
      <c r="AM639" t="str">
        <f>IF(HR_Data[[#This Row],[MonthlyIncome]]&lt;3000,"Low Salary",IF(HR_Data[[#This Row],[MonthlyIncome]]&lt;=7000,"Medium Salary","High Salary"))</f>
        <v>Low Salary</v>
      </c>
      <c r="AN639" t="str">
        <f>IF(HR_Data[[#This Row],[YearsAtCompany]]&lt;2,"0-1 Years",IF(HR_Data[[#This Row],[YearsAtCompany]]&lt;=5,"2-5 Years",IF(HR_Data[[#This Row],[YearsAtCompany]]&lt;=10,"6-10 Years","10+ Years")))</f>
        <v>2-5 Years</v>
      </c>
      <c r="AO639" t="str">
        <f>IF(HR_Data[[#This Row],[JobSatisfaction]]=1,"Low",IF(HR_Data[[#This Row],[JobSatisfaction]]=2,"Medium",IF(HR_Data[[#This Row],[JobSatisfaction]]=3,"High","Very High")))</f>
        <v>Very High</v>
      </c>
      <c r="AP639" t="str">
        <f>IF(HR_Data[[#This Row],[WorkLifeBalance]]=1,"Bad",IF(HR_Data[[#This Row],[WorkLifeBalance]]=2,"Good",IF(HR_Data[[#This Row],[WorkLifeBalance]]=3,"Better","Best")))</f>
        <v>Better</v>
      </c>
    </row>
    <row r="640" spans="1:42"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IF(HR_Data[[#This Row],[Attrition]]="Yes",1,0)</f>
        <v>0</v>
      </c>
      <c r="AK640">
        <f>IF(HR_Data[[#This Row],[Attrition]]="No",1,0)</f>
        <v>1</v>
      </c>
      <c r="AL640" t="str">
        <f>IF(HR_Data[[#This Row],[Age]]&lt;25,"Under 25",IF(HR_Data[[#This Row],[Age]]&lt;=34,"25-34",IF(HR_Data[[#This Row],[Age]]&lt;=44,"35-44",IF(HR_Data[[#This Row],[Age]]&lt;=54,"45-54","55+"))))</f>
        <v>25-34</v>
      </c>
      <c r="AM640" t="str">
        <f>IF(HR_Data[[#This Row],[MonthlyIncome]]&lt;3000,"Low Salary",IF(HR_Data[[#This Row],[MonthlyIncome]]&lt;=7000,"Medium Salary","High Salary"))</f>
        <v>Medium Salary</v>
      </c>
      <c r="AN640" t="str">
        <f>IF(HR_Data[[#This Row],[YearsAtCompany]]&lt;2,"0-1 Years",IF(HR_Data[[#This Row],[YearsAtCompany]]&lt;=5,"2-5 Years",IF(HR_Data[[#This Row],[YearsAtCompany]]&lt;=10,"6-10 Years","10+ Years")))</f>
        <v>2-5 Years</v>
      </c>
      <c r="AO640" t="str">
        <f>IF(HR_Data[[#This Row],[JobSatisfaction]]=1,"Low",IF(HR_Data[[#This Row],[JobSatisfaction]]=2,"Medium",IF(HR_Data[[#This Row],[JobSatisfaction]]=3,"High","Very High")))</f>
        <v>Low</v>
      </c>
      <c r="AP640" t="str">
        <f>IF(HR_Data[[#This Row],[WorkLifeBalance]]=1,"Bad",IF(HR_Data[[#This Row],[WorkLifeBalance]]=2,"Good",IF(HR_Data[[#This Row],[WorkLifeBalance]]=3,"Better","Best")))</f>
        <v>Best</v>
      </c>
    </row>
    <row r="641" spans="1:42"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IF(HR_Data[[#This Row],[Attrition]]="Yes",1,0)</f>
        <v>0</v>
      </c>
      <c r="AK641">
        <f>IF(HR_Data[[#This Row],[Attrition]]="No",1,0)</f>
        <v>1</v>
      </c>
      <c r="AL641" t="str">
        <f>IF(HR_Data[[#This Row],[Age]]&lt;25,"Under 25",IF(HR_Data[[#This Row],[Age]]&lt;=34,"25-34",IF(HR_Data[[#This Row],[Age]]&lt;=44,"35-44",IF(HR_Data[[#This Row],[Age]]&lt;=54,"45-54","55+"))))</f>
        <v>45-54</v>
      </c>
      <c r="AM641" t="str">
        <f>IF(HR_Data[[#This Row],[MonthlyIncome]]&lt;3000,"Low Salary",IF(HR_Data[[#This Row],[MonthlyIncome]]&lt;=7000,"Medium Salary","High Salary"))</f>
        <v>Medium Salary</v>
      </c>
      <c r="AN641" t="str">
        <f>IF(HR_Data[[#This Row],[YearsAtCompany]]&lt;2,"0-1 Years",IF(HR_Data[[#This Row],[YearsAtCompany]]&lt;=5,"2-5 Years",IF(HR_Data[[#This Row],[YearsAtCompany]]&lt;=10,"6-10 Years","10+ Years")))</f>
        <v>2-5 Years</v>
      </c>
      <c r="AO641" t="str">
        <f>IF(HR_Data[[#This Row],[JobSatisfaction]]=1,"Low",IF(HR_Data[[#This Row],[JobSatisfaction]]=2,"Medium",IF(HR_Data[[#This Row],[JobSatisfaction]]=3,"High","Very High")))</f>
        <v>Low</v>
      </c>
      <c r="AP641" t="str">
        <f>IF(HR_Data[[#This Row],[WorkLifeBalance]]=1,"Bad",IF(HR_Data[[#This Row],[WorkLifeBalance]]=2,"Good",IF(HR_Data[[#This Row],[WorkLifeBalance]]=3,"Better","Best")))</f>
        <v>Better</v>
      </c>
    </row>
    <row r="642" spans="1:42"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IF(HR_Data[[#This Row],[Attrition]]="Yes",1,0)</f>
        <v>0</v>
      </c>
      <c r="AK642">
        <f>IF(HR_Data[[#This Row],[Attrition]]="No",1,0)</f>
        <v>1</v>
      </c>
      <c r="AL642" t="str">
        <f>IF(HR_Data[[#This Row],[Age]]&lt;25,"Under 25",IF(HR_Data[[#This Row],[Age]]&lt;=34,"25-34",IF(HR_Data[[#This Row],[Age]]&lt;=44,"35-44",IF(HR_Data[[#This Row],[Age]]&lt;=54,"45-54","55+"))))</f>
        <v>Under 25</v>
      </c>
      <c r="AM642" t="str">
        <f>IF(HR_Data[[#This Row],[MonthlyIncome]]&lt;3000,"Low Salary",IF(HR_Data[[#This Row],[MonthlyIncome]]&lt;=7000,"Medium Salary","High Salary"))</f>
        <v>Medium Salary</v>
      </c>
      <c r="AN642" t="str">
        <f>IF(HR_Data[[#This Row],[YearsAtCompany]]&lt;2,"0-1 Years",IF(HR_Data[[#This Row],[YearsAtCompany]]&lt;=5,"2-5 Years",IF(HR_Data[[#This Row],[YearsAtCompany]]&lt;=10,"6-10 Years","10+ Years")))</f>
        <v>2-5 Years</v>
      </c>
      <c r="AO642" t="str">
        <f>IF(HR_Data[[#This Row],[JobSatisfaction]]=1,"Low",IF(HR_Data[[#This Row],[JobSatisfaction]]=2,"Medium",IF(HR_Data[[#This Row],[JobSatisfaction]]=3,"High","Very High")))</f>
        <v>Very High</v>
      </c>
      <c r="AP642" t="str">
        <f>IF(HR_Data[[#This Row],[WorkLifeBalance]]=1,"Bad",IF(HR_Data[[#This Row],[WorkLifeBalance]]=2,"Good",IF(HR_Data[[#This Row],[WorkLifeBalance]]=3,"Better","Best")))</f>
        <v>Good</v>
      </c>
    </row>
    <row r="643" spans="1:42"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IF(HR_Data[[#This Row],[Attrition]]="Yes",1,0)</f>
        <v>0</v>
      </c>
      <c r="AK643">
        <f>IF(HR_Data[[#This Row],[Attrition]]="No",1,0)</f>
        <v>1</v>
      </c>
      <c r="AL643" t="str">
        <f>IF(HR_Data[[#This Row],[Age]]&lt;25,"Under 25",IF(HR_Data[[#This Row],[Age]]&lt;=34,"25-34",IF(HR_Data[[#This Row],[Age]]&lt;=44,"35-44",IF(HR_Data[[#This Row],[Age]]&lt;=54,"45-54","55+"))))</f>
        <v>25-34</v>
      </c>
      <c r="AM643" t="str">
        <f>IF(HR_Data[[#This Row],[MonthlyIncome]]&lt;3000,"Low Salary",IF(HR_Data[[#This Row],[MonthlyIncome]]&lt;=7000,"Medium Salary","High Salary"))</f>
        <v>Medium Salary</v>
      </c>
      <c r="AN643" t="str">
        <f>IF(HR_Data[[#This Row],[YearsAtCompany]]&lt;2,"0-1 Years",IF(HR_Data[[#This Row],[YearsAtCompany]]&lt;=5,"2-5 Years",IF(HR_Data[[#This Row],[YearsAtCompany]]&lt;=10,"6-10 Years","10+ Years")))</f>
        <v>6-10 Years</v>
      </c>
      <c r="AO643" t="str">
        <f>IF(HR_Data[[#This Row],[JobSatisfaction]]=1,"Low",IF(HR_Data[[#This Row],[JobSatisfaction]]=2,"Medium",IF(HR_Data[[#This Row],[JobSatisfaction]]=3,"High","Very High")))</f>
        <v>Medium</v>
      </c>
      <c r="AP643" t="str">
        <f>IF(HR_Data[[#This Row],[WorkLifeBalance]]=1,"Bad",IF(HR_Data[[#This Row],[WorkLifeBalance]]=2,"Good",IF(HR_Data[[#This Row],[WorkLifeBalance]]=3,"Better","Best")))</f>
        <v>Better</v>
      </c>
    </row>
    <row r="644" spans="1:42"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IF(HR_Data[[#This Row],[Attrition]]="Yes",1,0)</f>
        <v>0</v>
      </c>
      <c r="AK644">
        <f>IF(HR_Data[[#This Row],[Attrition]]="No",1,0)</f>
        <v>1</v>
      </c>
      <c r="AL644" t="str">
        <f>IF(HR_Data[[#This Row],[Age]]&lt;25,"Under 25",IF(HR_Data[[#This Row],[Age]]&lt;=34,"25-34",IF(HR_Data[[#This Row],[Age]]&lt;=44,"35-44",IF(HR_Data[[#This Row],[Age]]&lt;=54,"45-54","55+"))))</f>
        <v>35-44</v>
      </c>
      <c r="AM644" t="str">
        <f>IF(HR_Data[[#This Row],[MonthlyIncome]]&lt;3000,"Low Salary",IF(HR_Data[[#This Row],[MonthlyIncome]]&lt;=7000,"Medium Salary","High Salary"))</f>
        <v>Low Salary</v>
      </c>
      <c r="AN644" t="str">
        <f>IF(HR_Data[[#This Row],[YearsAtCompany]]&lt;2,"0-1 Years",IF(HR_Data[[#This Row],[YearsAtCompany]]&lt;=5,"2-5 Years",IF(HR_Data[[#This Row],[YearsAtCompany]]&lt;=10,"6-10 Years","10+ Years")))</f>
        <v>2-5 Years</v>
      </c>
      <c r="AO644" t="str">
        <f>IF(HR_Data[[#This Row],[JobSatisfaction]]=1,"Low",IF(HR_Data[[#This Row],[JobSatisfaction]]=2,"Medium",IF(HR_Data[[#This Row],[JobSatisfaction]]=3,"High","Very High")))</f>
        <v>Medium</v>
      </c>
      <c r="AP644" t="str">
        <f>IF(HR_Data[[#This Row],[WorkLifeBalance]]=1,"Bad",IF(HR_Data[[#This Row],[WorkLifeBalance]]=2,"Good",IF(HR_Data[[#This Row],[WorkLifeBalance]]=3,"Better","Best")))</f>
        <v>Better</v>
      </c>
    </row>
    <row r="645" spans="1:42"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IF(HR_Data[[#This Row],[Attrition]]="Yes",1,0)</f>
        <v>0</v>
      </c>
      <c r="AK645">
        <f>IF(HR_Data[[#This Row],[Attrition]]="No",1,0)</f>
        <v>1</v>
      </c>
      <c r="AL645" t="str">
        <f>IF(HR_Data[[#This Row],[Age]]&lt;25,"Under 25",IF(HR_Data[[#This Row],[Age]]&lt;=34,"25-34",IF(HR_Data[[#This Row],[Age]]&lt;=44,"35-44",IF(HR_Data[[#This Row],[Age]]&lt;=54,"45-54","55+"))))</f>
        <v>35-44</v>
      </c>
      <c r="AM645" t="str">
        <f>IF(HR_Data[[#This Row],[MonthlyIncome]]&lt;3000,"Low Salary",IF(HR_Data[[#This Row],[MonthlyIncome]]&lt;=7000,"Medium Salary","High Salary"))</f>
        <v>Medium Salary</v>
      </c>
      <c r="AN645" t="str">
        <f>IF(HR_Data[[#This Row],[YearsAtCompany]]&lt;2,"0-1 Years",IF(HR_Data[[#This Row],[YearsAtCompany]]&lt;=5,"2-5 Years",IF(HR_Data[[#This Row],[YearsAtCompany]]&lt;=10,"6-10 Years","10+ Years")))</f>
        <v>2-5 Years</v>
      </c>
      <c r="AO645" t="str">
        <f>IF(HR_Data[[#This Row],[JobSatisfaction]]=1,"Low",IF(HR_Data[[#This Row],[JobSatisfaction]]=2,"Medium",IF(HR_Data[[#This Row],[JobSatisfaction]]=3,"High","Very High")))</f>
        <v>Very High</v>
      </c>
      <c r="AP645" t="str">
        <f>IF(HR_Data[[#This Row],[WorkLifeBalance]]=1,"Bad",IF(HR_Data[[#This Row],[WorkLifeBalance]]=2,"Good",IF(HR_Data[[#This Row],[WorkLifeBalance]]=3,"Better","Best")))</f>
        <v>Good</v>
      </c>
    </row>
    <row r="646" spans="1:42"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IF(HR_Data[[#This Row],[Attrition]]="Yes",1,0)</f>
        <v>0</v>
      </c>
      <c r="AK646">
        <f>IF(HR_Data[[#This Row],[Attrition]]="No",1,0)</f>
        <v>1</v>
      </c>
      <c r="AL646" t="str">
        <f>IF(HR_Data[[#This Row],[Age]]&lt;25,"Under 25",IF(HR_Data[[#This Row],[Age]]&lt;=34,"25-34",IF(HR_Data[[#This Row],[Age]]&lt;=44,"35-44",IF(HR_Data[[#This Row],[Age]]&lt;=54,"45-54","55+"))))</f>
        <v>25-34</v>
      </c>
      <c r="AM646" t="str">
        <f>IF(HR_Data[[#This Row],[MonthlyIncome]]&lt;3000,"Low Salary",IF(HR_Data[[#This Row],[MonthlyIncome]]&lt;=7000,"Medium Salary","High Salary"))</f>
        <v>Low Salary</v>
      </c>
      <c r="AN646" t="str">
        <f>IF(HR_Data[[#This Row],[YearsAtCompany]]&lt;2,"0-1 Years",IF(HR_Data[[#This Row],[YearsAtCompany]]&lt;=5,"2-5 Years",IF(HR_Data[[#This Row],[YearsAtCompany]]&lt;=10,"6-10 Years","10+ Years")))</f>
        <v>6-10 Years</v>
      </c>
      <c r="AO646" t="str">
        <f>IF(HR_Data[[#This Row],[JobSatisfaction]]=1,"Low",IF(HR_Data[[#This Row],[JobSatisfaction]]=2,"Medium",IF(HR_Data[[#This Row],[JobSatisfaction]]=3,"High","Very High")))</f>
        <v>Very High</v>
      </c>
      <c r="AP646" t="str">
        <f>IF(HR_Data[[#This Row],[WorkLifeBalance]]=1,"Bad",IF(HR_Data[[#This Row],[WorkLifeBalance]]=2,"Good",IF(HR_Data[[#This Row],[WorkLifeBalance]]=3,"Better","Best")))</f>
        <v>Better</v>
      </c>
    </row>
    <row r="647" spans="1:42"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IF(HR_Data[[#This Row],[Attrition]]="Yes",1,0)</f>
        <v>1</v>
      </c>
      <c r="AK647">
        <f>IF(HR_Data[[#This Row],[Attrition]]="No",1,0)</f>
        <v>0</v>
      </c>
      <c r="AL647" t="str">
        <f>IF(HR_Data[[#This Row],[Age]]&lt;25,"Under 25",IF(HR_Data[[#This Row],[Age]]&lt;=34,"25-34",IF(HR_Data[[#This Row],[Age]]&lt;=44,"35-44",IF(HR_Data[[#This Row],[Age]]&lt;=54,"45-54","55+"))))</f>
        <v>25-34</v>
      </c>
      <c r="AM647" t="str">
        <f>IF(HR_Data[[#This Row],[MonthlyIncome]]&lt;3000,"Low Salary",IF(HR_Data[[#This Row],[MonthlyIncome]]&lt;=7000,"Medium Salary","High Salary"))</f>
        <v>Low Salary</v>
      </c>
      <c r="AN647" t="str">
        <f>IF(HR_Data[[#This Row],[YearsAtCompany]]&lt;2,"0-1 Years",IF(HR_Data[[#This Row],[YearsAtCompany]]&lt;=5,"2-5 Years",IF(HR_Data[[#This Row],[YearsAtCompany]]&lt;=10,"6-10 Years","10+ Years")))</f>
        <v>2-5 Years</v>
      </c>
      <c r="AO647" t="str">
        <f>IF(HR_Data[[#This Row],[JobSatisfaction]]=1,"Low",IF(HR_Data[[#This Row],[JobSatisfaction]]=2,"Medium",IF(HR_Data[[#This Row],[JobSatisfaction]]=3,"High","Very High")))</f>
        <v>High</v>
      </c>
      <c r="AP647" t="str">
        <f>IF(HR_Data[[#This Row],[WorkLifeBalance]]=1,"Bad",IF(HR_Data[[#This Row],[WorkLifeBalance]]=2,"Good",IF(HR_Data[[#This Row],[WorkLifeBalance]]=3,"Better","Best")))</f>
        <v>Better</v>
      </c>
    </row>
    <row r="648" spans="1:42"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IF(HR_Data[[#This Row],[Attrition]]="Yes",1,0)</f>
        <v>0</v>
      </c>
      <c r="AK648">
        <f>IF(HR_Data[[#This Row],[Attrition]]="No",1,0)</f>
        <v>1</v>
      </c>
      <c r="AL648" t="str">
        <f>IF(HR_Data[[#This Row],[Age]]&lt;25,"Under 25",IF(HR_Data[[#This Row],[Age]]&lt;=34,"25-34",IF(HR_Data[[#This Row],[Age]]&lt;=44,"35-44",IF(HR_Data[[#This Row],[Age]]&lt;=54,"45-54","55+"))))</f>
        <v>45-54</v>
      </c>
      <c r="AM648" t="str">
        <f>IF(HR_Data[[#This Row],[MonthlyIncome]]&lt;3000,"Low Salary",IF(HR_Data[[#This Row],[MonthlyIncome]]&lt;=7000,"Medium Salary","High Salary"))</f>
        <v>High Salary</v>
      </c>
      <c r="AN648" t="str">
        <f>IF(HR_Data[[#This Row],[YearsAtCompany]]&lt;2,"0-1 Years",IF(HR_Data[[#This Row],[YearsAtCompany]]&lt;=5,"2-5 Years",IF(HR_Data[[#This Row],[YearsAtCompany]]&lt;=10,"6-10 Years","10+ Years")))</f>
        <v>2-5 Years</v>
      </c>
      <c r="AO648" t="str">
        <f>IF(HR_Data[[#This Row],[JobSatisfaction]]=1,"Low",IF(HR_Data[[#This Row],[JobSatisfaction]]=2,"Medium",IF(HR_Data[[#This Row],[JobSatisfaction]]=3,"High","Very High")))</f>
        <v>Very High</v>
      </c>
      <c r="AP648" t="str">
        <f>IF(HR_Data[[#This Row],[WorkLifeBalance]]=1,"Bad",IF(HR_Data[[#This Row],[WorkLifeBalance]]=2,"Good",IF(HR_Data[[#This Row],[WorkLifeBalance]]=3,"Better","Best")))</f>
        <v>Better</v>
      </c>
    </row>
    <row r="649" spans="1:42"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IF(HR_Data[[#This Row],[Attrition]]="Yes",1,0)</f>
        <v>0</v>
      </c>
      <c r="AK649">
        <f>IF(HR_Data[[#This Row],[Attrition]]="No",1,0)</f>
        <v>1</v>
      </c>
      <c r="AL649" t="str">
        <f>IF(HR_Data[[#This Row],[Age]]&lt;25,"Under 25",IF(HR_Data[[#This Row],[Age]]&lt;=34,"25-34",IF(HR_Data[[#This Row],[Age]]&lt;=44,"35-44",IF(HR_Data[[#This Row],[Age]]&lt;=54,"45-54","55+"))))</f>
        <v>35-44</v>
      </c>
      <c r="AM649" t="str">
        <f>IF(HR_Data[[#This Row],[MonthlyIncome]]&lt;3000,"Low Salary",IF(HR_Data[[#This Row],[MonthlyIncome]]&lt;=7000,"Medium Salary","High Salary"))</f>
        <v>High Salary</v>
      </c>
      <c r="AN649" t="str">
        <f>IF(HR_Data[[#This Row],[YearsAtCompany]]&lt;2,"0-1 Years",IF(HR_Data[[#This Row],[YearsAtCompany]]&lt;=5,"2-5 Years",IF(HR_Data[[#This Row],[YearsAtCompany]]&lt;=10,"6-10 Years","10+ Years")))</f>
        <v>10+ Years</v>
      </c>
      <c r="AO649" t="str">
        <f>IF(HR_Data[[#This Row],[JobSatisfaction]]=1,"Low",IF(HR_Data[[#This Row],[JobSatisfaction]]=2,"Medium",IF(HR_Data[[#This Row],[JobSatisfaction]]=3,"High","Very High")))</f>
        <v>Medium</v>
      </c>
      <c r="AP649" t="str">
        <f>IF(HR_Data[[#This Row],[WorkLifeBalance]]=1,"Bad",IF(HR_Data[[#This Row],[WorkLifeBalance]]=2,"Good",IF(HR_Data[[#This Row],[WorkLifeBalance]]=3,"Better","Best")))</f>
        <v>Better</v>
      </c>
    </row>
    <row r="650" spans="1:42"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IF(HR_Data[[#This Row],[Attrition]]="Yes",1,0)</f>
        <v>0</v>
      </c>
      <c r="AK650">
        <f>IF(HR_Data[[#This Row],[Attrition]]="No",1,0)</f>
        <v>1</v>
      </c>
      <c r="AL650" t="str">
        <f>IF(HR_Data[[#This Row],[Age]]&lt;25,"Under 25",IF(HR_Data[[#This Row],[Age]]&lt;=34,"25-34",IF(HR_Data[[#This Row],[Age]]&lt;=44,"35-44",IF(HR_Data[[#This Row],[Age]]&lt;=54,"45-54","55+"))))</f>
        <v>35-44</v>
      </c>
      <c r="AM650" t="str">
        <f>IF(HR_Data[[#This Row],[MonthlyIncome]]&lt;3000,"Low Salary",IF(HR_Data[[#This Row],[MonthlyIncome]]&lt;=7000,"Medium Salary","High Salary"))</f>
        <v>Low Salary</v>
      </c>
      <c r="AN650" t="str">
        <f>IF(HR_Data[[#This Row],[YearsAtCompany]]&lt;2,"0-1 Years",IF(HR_Data[[#This Row],[YearsAtCompany]]&lt;=5,"2-5 Years",IF(HR_Data[[#This Row],[YearsAtCompany]]&lt;=10,"6-10 Years","10+ Years")))</f>
        <v>2-5 Years</v>
      </c>
      <c r="AO650" t="str">
        <f>IF(HR_Data[[#This Row],[JobSatisfaction]]=1,"Low",IF(HR_Data[[#This Row],[JobSatisfaction]]=2,"Medium",IF(HR_Data[[#This Row],[JobSatisfaction]]=3,"High","Very High")))</f>
        <v>Very High</v>
      </c>
      <c r="AP650" t="str">
        <f>IF(HR_Data[[#This Row],[WorkLifeBalance]]=1,"Bad",IF(HR_Data[[#This Row],[WorkLifeBalance]]=2,"Good",IF(HR_Data[[#This Row],[WorkLifeBalance]]=3,"Better","Best")))</f>
        <v>Better</v>
      </c>
    </row>
    <row r="651" spans="1:42"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IF(HR_Data[[#This Row],[Attrition]]="Yes",1,0)</f>
        <v>0</v>
      </c>
      <c r="AK651">
        <f>IF(HR_Data[[#This Row],[Attrition]]="No",1,0)</f>
        <v>1</v>
      </c>
      <c r="AL651" t="str">
        <f>IF(HR_Data[[#This Row],[Age]]&lt;25,"Under 25",IF(HR_Data[[#This Row],[Age]]&lt;=34,"25-34",IF(HR_Data[[#This Row],[Age]]&lt;=44,"35-44",IF(HR_Data[[#This Row],[Age]]&lt;=54,"45-54","55+"))))</f>
        <v>45-54</v>
      </c>
      <c r="AM651" t="str">
        <f>IF(HR_Data[[#This Row],[MonthlyIncome]]&lt;3000,"Low Salary",IF(HR_Data[[#This Row],[MonthlyIncome]]&lt;=7000,"Medium Salary","High Salary"))</f>
        <v>High Salary</v>
      </c>
      <c r="AN651" t="str">
        <f>IF(HR_Data[[#This Row],[YearsAtCompany]]&lt;2,"0-1 Years",IF(HR_Data[[#This Row],[YearsAtCompany]]&lt;=5,"2-5 Years",IF(HR_Data[[#This Row],[YearsAtCompany]]&lt;=10,"6-10 Years","10+ Years")))</f>
        <v>10+ Years</v>
      </c>
      <c r="AO651" t="str">
        <f>IF(HR_Data[[#This Row],[JobSatisfaction]]=1,"Low",IF(HR_Data[[#This Row],[JobSatisfaction]]=2,"Medium",IF(HR_Data[[#This Row],[JobSatisfaction]]=3,"High","Very High")))</f>
        <v>Very High</v>
      </c>
      <c r="AP651" t="str">
        <f>IF(HR_Data[[#This Row],[WorkLifeBalance]]=1,"Bad",IF(HR_Data[[#This Row],[WorkLifeBalance]]=2,"Good",IF(HR_Data[[#This Row],[WorkLifeBalance]]=3,"Better","Best")))</f>
        <v>Better</v>
      </c>
    </row>
    <row r="652" spans="1:42"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IF(HR_Data[[#This Row],[Attrition]]="Yes",1,0)</f>
        <v>0</v>
      </c>
      <c r="AK652">
        <f>IF(HR_Data[[#This Row],[Attrition]]="No",1,0)</f>
        <v>1</v>
      </c>
      <c r="AL652" t="str">
        <f>IF(HR_Data[[#This Row],[Age]]&lt;25,"Under 25",IF(HR_Data[[#This Row],[Age]]&lt;=34,"25-34",IF(HR_Data[[#This Row],[Age]]&lt;=44,"35-44",IF(HR_Data[[#This Row],[Age]]&lt;=54,"45-54","55+"))))</f>
        <v>35-44</v>
      </c>
      <c r="AM652" t="str">
        <f>IF(HR_Data[[#This Row],[MonthlyIncome]]&lt;3000,"Low Salary",IF(HR_Data[[#This Row],[MonthlyIncome]]&lt;=7000,"Medium Salary","High Salary"))</f>
        <v>Medium Salary</v>
      </c>
      <c r="AN652" t="str">
        <f>IF(HR_Data[[#This Row],[YearsAtCompany]]&lt;2,"0-1 Years",IF(HR_Data[[#This Row],[YearsAtCompany]]&lt;=5,"2-5 Years",IF(HR_Data[[#This Row],[YearsAtCompany]]&lt;=10,"6-10 Years","10+ Years")))</f>
        <v>2-5 Years</v>
      </c>
      <c r="AO652" t="str">
        <f>IF(HR_Data[[#This Row],[JobSatisfaction]]=1,"Low",IF(HR_Data[[#This Row],[JobSatisfaction]]=2,"Medium",IF(HR_Data[[#This Row],[JobSatisfaction]]=3,"High","Very High")))</f>
        <v>Very High</v>
      </c>
      <c r="AP652" t="str">
        <f>IF(HR_Data[[#This Row],[WorkLifeBalance]]=1,"Bad",IF(HR_Data[[#This Row],[WorkLifeBalance]]=2,"Good",IF(HR_Data[[#This Row],[WorkLifeBalance]]=3,"Better","Best")))</f>
        <v>Good</v>
      </c>
    </row>
    <row r="653" spans="1:42"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IF(HR_Data[[#This Row],[Attrition]]="Yes",1,0)</f>
        <v>0</v>
      </c>
      <c r="AK653">
        <f>IF(HR_Data[[#This Row],[Attrition]]="No",1,0)</f>
        <v>1</v>
      </c>
      <c r="AL653" t="str">
        <f>IF(HR_Data[[#This Row],[Age]]&lt;25,"Under 25",IF(HR_Data[[#This Row],[Age]]&lt;=34,"25-34",IF(HR_Data[[#This Row],[Age]]&lt;=44,"35-44",IF(HR_Data[[#This Row],[Age]]&lt;=54,"45-54","55+"))))</f>
        <v>45-54</v>
      </c>
      <c r="AM653" t="str">
        <f>IF(HR_Data[[#This Row],[MonthlyIncome]]&lt;3000,"Low Salary",IF(HR_Data[[#This Row],[MonthlyIncome]]&lt;=7000,"Medium Salary","High Salary"))</f>
        <v>Medium Salary</v>
      </c>
      <c r="AN653" t="str">
        <f>IF(HR_Data[[#This Row],[YearsAtCompany]]&lt;2,"0-1 Years",IF(HR_Data[[#This Row],[YearsAtCompany]]&lt;=5,"2-5 Years",IF(HR_Data[[#This Row],[YearsAtCompany]]&lt;=10,"6-10 Years","10+ Years")))</f>
        <v>6-10 Years</v>
      </c>
      <c r="AO653" t="str">
        <f>IF(HR_Data[[#This Row],[JobSatisfaction]]=1,"Low",IF(HR_Data[[#This Row],[JobSatisfaction]]=2,"Medium",IF(HR_Data[[#This Row],[JobSatisfaction]]=3,"High","Very High")))</f>
        <v>Very High</v>
      </c>
      <c r="AP653" t="str">
        <f>IF(HR_Data[[#This Row],[WorkLifeBalance]]=1,"Bad",IF(HR_Data[[#This Row],[WorkLifeBalance]]=2,"Good",IF(HR_Data[[#This Row],[WorkLifeBalance]]=3,"Better","Best")))</f>
        <v>Better</v>
      </c>
    </row>
    <row r="654" spans="1:42"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IF(HR_Data[[#This Row],[Attrition]]="Yes",1,0)</f>
        <v>0</v>
      </c>
      <c r="AK654">
        <f>IF(HR_Data[[#This Row],[Attrition]]="No",1,0)</f>
        <v>1</v>
      </c>
      <c r="AL654" t="str">
        <f>IF(HR_Data[[#This Row],[Age]]&lt;25,"Under 25",IF(HR_Data[[#This Row],[Age]]&lt;=34,"25-34",IF(HR_Data[[#This Row],[Age]]&lt;=44,"35-44",IF(HR_Data[[#This Row],[Age]]&lt;=54,"45-54","55+"))))</f>
        <v>35-44</v>
      </c>
      <c r="AM654" t="str">
        <f>IF(HR_Data[[#This Row],[MonthlyIncome]]&lt;3000,"Low Salary",IF(HR_Data[[#This Row],[MonthlyIncome]]&lt;=7000,"Medium Salary","High Salary"))</f>
        <v>High Salary</v>
      </c>
      <c r="AN654" t="str">
        <f>IF(HR_Data[[#This Row],[YearsAtCompany]]&lt;2,"0-1 Years",IF(HR_Data[[#This Row],[YearsAtCompany]]&lt;=5,"2-5 Years",IF(HR_Data[[#This Row],[YearsAtCompany]]&lt;=10,"6-10 Years","10+ Years")))</f>
        <v>6-10 Years</v>
      </c>
      <c r="AO654" t="str">
        <f>IF(HR_Data[[#This Row],[JobSatisfaction]]=1,"Low",IF(HR_Data[[#This Row],[JobSatisfaction]]=2,"Medium",IF(HR_Data[[#This Row],[JobSatisfaction]]=3,"High","Very High")))</f>
        <v>Medium</v>
      </c>
      <c r="AP654" t="str">
        <f>IF(HR_Data[[#This Row],[WorkLifeBalance]]=1,"Bad",IF(HR_Data[[#This Row],[WorkLifeBalance]]=2,"Good",IF(HR_Data[[#This Row],[WorkLifeBalance]]=3,"Better","Best")))</f>
        <v>Better</v>
      </c>
    </row>
    <row r="655" spans="1:42"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IF(HR_Data[[#This Row],[Attrition]]="Yes",1,0)</f>
        <v>0</v>
      </c>
      <c r="AK655">
        <f>IF(HR_Data[[#This Row],[Attrition]]="No",1,0)</f>
        <v>1</v>
      </c>
      <c r="AL655" t="str">
        <f>IF(HR_Data[[#This Row],[Age]]&lt;25,"Under 25",IF(HR_Data[[#This Row],[Age]]&lt;=34,"25-34",IF(HR_Data[[#This Row],[Age]]&lt;=44,"35-44",IF(HR_Data[[#This Row],[Age]]&lt;=54,"45-54","55+"))))</f>
        <v>45-54</v>
      </c>
      <c r="AM655" t="str">
        <f>IF(HR_Data[[#This Row],[MonthlyIncome]]&lt;3000,"Low Salary",IF(HR_Data[[#This Row],[MonthlyIncome]]&lt;=7000,"Medium Salary","High Salary"))</f>
        <v>High Salary</v>
      </c>
      <c r="AN655" t="str">
        <f>IF(HR_Data[[#This Row],[YearsAtCompany]]&lt;2,"0-1 Years",IF(HR_Data[[#This Row],[YearsAtCompany]]&lt;=5,"2-5 Years",IF(HR_Data[[#This Row],[YearsAtCompany]]&lt;=10,"6-10 Years","10+ Years")))</f>
        <v>10+ Years</v>
      </c>
      <c r="AO655" t="str">
        <f>IF(HR_Data[[#This Row],[JobSatisfaction]]=1,"Low",IF(HR_Data[[#This Row],[JobSatisfaction]]=2,"Medium",IF(HR_Data[[#This Row],[JobSatisfaction]]=3,"High","Very High")))</f>
        <v>Low</v>
      </c>
      <c r="AP655" t="str">
        <f>IF(HR_Data[[#This Row],[WorkLifeBalance]]=1,"Bad",IF(HR_Data[[#This Row],[WorkLifeBalance]]=2,"Good",IF(HR_Data[[#This Row],[WorkLifeBalance]]=3,"Better","Best")))</f>
        <v>Better</v>
      </c>
    </row>
    <row r="656" spans="1:42"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IF(HR_Data[[#This Row],[Attrition]]="Yes",1,0)</f>
        <v>0</v>
      </c>
      <c r="AK656">
        <f>IF(HR_Data[[#This Row],[Attrition]]="No",1,0)</f>
        <v>1</v>
      </c>
      <c r="AL656" t="str">
        <f>IF(HR_Data[[#This Row],[Age]]&lt;25,"Under 25",IF(HR_Data[[#This Row],[Age]]&lt;=34,"25-34",IF(HR_Data[[#This Row],[Age]]&lt;=44,"35-44",IF(HR_Data[[#This Row],[Age]]&lt;=54,"45-54","55+"))))</f>
        <v>35-44</v>
      </c>
      <c r="AM656" t="str">
        <f>IF(HR_Data[[#This Row],[MonthlyIncome]]&lt;3000,"Low Salary",IF(HR_Data[[#This Row],[MonthlyIncome]]&lt;=7000,"Medium Salary","High Salary"))</f>
        <v>Medium Salary</v>
      </c>
      <c r="AN656" t="str">
        <f>IF(HR_Data[[#This Row],[YearsAtCompany]]&lt;2,"0-1 Years",IF(HR_Data[[#This Row],[YearsAtCompany]]&lt;=5,"2-5 Years",IF(HR_Data[[#This Row],[YearsAtCompany]]&lt;=10,"6-10 Years","10+ Years")))</f>
        <v>2-5 Years</v>
      </c>
      <c r="AO656" t="str">
        <f>IF(HR_Data[[#This Row],[JobSatisfaction]]=1,"Low",IF(HR_Data[[#This Row],[JobSatisfaction]]=2,"Medium",IF(HR_Data[[#This Row],[JobSatisfaction]]=3,"High","Very High")))</f>
        <v>Very High</v>
      </c>
      <c r="AP656" t="str">
        <f>IF(HR_Data[[#This Row],[WorkLifeBalance]]=1,"Bad",IF(HR_Data[[#This Row],[WorkLifeBalance]]=2,"Good",IF(HR_Data[[#This Row],[WorkLifeBalance]]=3,"Better","Best")))</f>
        <v>Better</v>
      </c>
    </row>
    <row r="657" spans="1:42"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IF(HR_Data[[#This Row],[Attrition]]="Yes",1,0)</f>
        <v>0</v>
      </c>
      <c r="AK657">
        <f>IF(HR_Data[[#This Row],[Attrition]]="No",1,0)</f>
        <v>1</v>
      </c>
      <c r="AL657" t="str">
        <f>IF(HR_Data[[#This Row],[Age]]&lt;25,"Under 25",IF(HR_Data[[#This Row],[Age]]&lt;=34,"25-34",IF(HR_Data[[#This Row],[Age]]&lt;=44,"35-44",IF(HR_Data[[#This Row],[Age]]&lt;=54,"45-54","55+"))))</f>
        <v>25-34</v>
      </c>
      <c r="AM657" t="str">
        <f>IF(HR_Data[[#This Row],[MonthlyIncome]]&lt;3000,"Low Salary",IF(HR_Data[[#This Row],[MonthlyIncome]]&lt;=7000,"Medium Salary","High Salary"))</f>
        <v>Low Salary</v>
      </c>
      <c r="AN657" t="str">
        <f>IF(HR_Data[[#This Row],[YearsAtCompany]]&lt;2,"0-1 Years",IF(HR_Data[[#This Row],[YearsAtCompany]]&lt;=5,"2-5 Years",IF(HR_Data[[#This Row],[YearsAtCompany]]&lt;=10,"6-10 Years","10+ Years")))</f>
        <v>2-5 Years</v>
      </c>
      <c r="AO657" t="str">
        <f>IF(HR_Data[[#This Row],[JobSatisfaction]]=1,"Low",IF(HR_Data[[#This Row],[JobSatisfaction]]=2,"Medium",IF(HR_Data[[#This Row],[JobSatisfaction]]=3,"High","Very High")))</f>
        <v>Medium</v>
      </c>
      <c r="AP657" t="str">
        <f>IF(HR_Data[[#This Row],[WorkLifeBalance]]=1,"Bad",IF(HR_Data[[#This Row],[WorkLifeBalance]]=2,"Good",IF(HR_Data[[#This Row],[WorkLifeBalance]]=3,"Better","Best")))</f>
        <v>Best</v>
      </c>
    </row>
    <row r="658" spans="1:42"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IF(HR_Data[[#This Row],[Attrition]]="Yes",1,0)</f>
        <v>1</v>
      </c>
      <c r="AK658">
        <f>IF(HR_Data[[#This Row],[Attrition]]="No",1,0)</f>
        <v>0</v>
      </c>
      <c r="AL658" t="str">
        <f>IF(HR_Data[[#This Row],[Age]]&lt;25,"Under 25",IF(HR_Data[[#This Row],[Age]]&lt;=34,"25-34",IF(HR_Data[[#This Row],[Age]]&lt;=44,"35-44",IF(HR_Data[[#This Row],[Age]]&lt;=54,"45-54","55+"))))</f>
        <v>25-34</v>
      </c>
      <c r="AM658" t="str">
        <f>IF(HR_Data[[#This Row],[MonthlyIncome]]&lt;3000,"Low Salary",IF(HR_Data[[#This Row],[MonthlyIncome]]&lt;=7000,"Medium Salary","High Salary"))</f>
        <v>Low Salary</v>
      </c>
      <c r="AN658" t="str">
        <f>IF(HR_Data[[#This Row],[YearsAtCompany]]&lt;2,"0-1 Years",IF(HR_Data[[#This Row],[YearsAtCompany]]&lt;=5,"2-5 Years",IF(HR_Data[[#This Row],[YearsAtCompany]]&lt;=10,"6-10 Years","10+ Years")))</f>
        <v>0-1 Years</v>
      </c>
      <c r="AO658" t="str">
        <f>IF(HR_Data[[#This Row],[JobSatisfaction]]=1,"Low",IF(HR_Data[[#This Row],[JobSatisfaction]]=2,"Medium",IF(HR_Data[[#This Row],[JobSatisfaction]]=3,"High","Very High")))</f>
        <v>Very High</v>
      </c>
      <c r="AP658" t="str">
        <f>IF(HR_Data[[#This Row],[WorkLifeBalance]]=1,"Bad",IF(HR_Data[[#This Row],[WorkLifeBalance]]=2,"Good",IF(HR_Data[[#This Row],[WorkLifeBalance]]=3,"Better","Best")))</f>
        <v>Bad</v>
      </c>
    </row>
    <row r="659" spans="1:42"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IF(HR_Data[[#This Row],[Attrition]]="Yes",1,0)</f>
        <v>0</v>
      </c>
      <c r="AK659">
        <f>IF(HR_Data[[#This Row],[Attrition]]="No",1,0)</f>
        <v>1</v>
      </c>
      <c r="AL659" t="str">
        <f>IF(HR_Data[[#This Row],[Age]]&lt;25,"Under 25",IF(HR_Data[[#This Row],[Age]]&lt;=34,"25-34",IF(HR_Data[[#This Row],[Age]]&lt;=44,"35-44",IF(HR_Data[[#This Row],[Age]]&lt;=54,"45-54","55+"))))</f>
        <v>25-34</v>
      </c>
      <c r="AM659" t="str">
        <f>IF(HR_Data[[#This Row],[MonthlyIncome]]&lt;3000,"Low Salary",IF(HR_Data[[#This Row],[MonthlyIncome]]&lt;=7000,"Medium Salary","High Salary"))</f>
        <v>Low Salary</v>
      </c>
      <c r="AN659" t="str">
        <f>IF(HR_Data[[#This Row],[YearsAtCompany]]&lt;2,"0-1 Years",IF(HR_Data[[#This Row],[YearsAtCompany]]&lt;=5,"2-5 Years",IF(HR_Data[[#This Row],[YearsAtCompany]]&lt;=10,"6-10 Years","10+ Years")))</f>
        <v>2-5 Years</v>
      </c>
      <c r="AO659" t="str">
        <f>IF(HR_Data[[#This Row],[JobSatisfaction]]=1,"Low",IF(HR_Data[[#This Row],[JobSatisfaction]]=2,"Medium",IF(HR_Data[[#This Row],[JobSatisfaction]]=3,"High","Very High")))</f>
        <v>Very High</v>
      </c>
      <c r="AP659" t="str">
        <f>IF(HR_Data[[#This Row],[WorkLifeBalance]]=1,"Bad",IF(HR_Data[[#This Row],[WorkLifeBalance]]=2,"Good",IF(HR_Data[[#This Row],[WorkLifeBalance]]=3,"Better","Best")))</f>
        <v>Better</v>
      </c>
    </row>
    <row r="660" spans="1:42"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IF(HR_Data[[#This Row],[Attrition]]="Yes",1,0)</f>
        <v>0</v>
      </c>
      <c r="AK660">
        <f>IF(HR_Data[[#This Row],[Attrition]]="No",1,0)</f>
        <v>1</v>
      </c>
      <c r="AL660" t="str">
        <f>IF(HR_Data[[#This Row],[Age]]&lt;25,"Under 25",IF(HR_Data[[#This Row],[Age]]&lt;=34,"25-34",IF(HR_Data[[#This Row],[Age]]&lt;=44,"35-44",IF(HR_Data[[#This Row],[Age]]&lt;=54,"45-54","55+"))))</f>
        <v>35-44</v>
      </c>
      <c r="AM660" t="str">
        <f>IF(HR_Data[[#This Row],[MonthlyIncome]]&lt;3000,"Low Salary",IF(HR_Data[[#This Row],[MonthlyIncome]]&lt;=7000,"Medium Salary","High Salary"))</f>
        <v>Low Salary</v>
      </c>
      <c r="AN660" t="str">
        <f>IF(HR_Data[[#This Row],[YearsAtCompany]]&lt;2,"0-1 Years",IF(HR_Data[[#This Row],[YearsAtCompany]]&lt;=5,"2-5 Years",IF(HR_Data[[#This Row],[YearsAtCompany]]&lt;=10,"6-10 Years","10+ Years")))</f>
        <v>6-10 Years</v>
      </c>
      <c r="AO660" t="str">
        <f>IF(HR_Data[[#This Row],[JobSatisfaction]]=1,"Low",IF(HR_Data[[#This Row],[JobSatisfaction]]=2,"Medium",IF(HR_Data[[#This Row],[JobSatisfaction]]=3,"High","Very High")))</f>
        <v>Low</v>
      </c>
      <c r="AP660" t="str">
        <f>IF(HR_Data[[#This Row],[WorkLifeBalance]]=1,"Bad",IF(HR_Data[[#This Row],[WorkLifeBalance]]=2,"Good",IF(HR_Data[[#This Row],[WorkLifeBalance]]=3,"Better","Best")))</f>
        <v>Better</v>
      </c>
    </row>
    <row r="661" spans="1:42"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IF(HR_Data[[#This Row],[Attrition]]="Yes",1,0)</f>
        <v>0</v>
      </c>
      <c r="AK661">
        <f>IF(HR_Data[[#This Row],[Attrition]]="No",1,0)</f>
        <v>1</v>
      </c>
      <c r="AL661" t="str">
        <f>IF(HR_Data[[#This Row],[Age]]&lt;25,"Under 25",IF(HR_Data[[#This Row],[Age]]&lt;=34,"25-34",IF(HR_Data[[#This Row],[Age]]&lt;=44,"35-44",IF(HR_Data[[#This Row],[Age]]&lt;=54,"45-54","55+"))))</f>
        <v>25-34</v>
      </c>
      <c r="AM661" t="str">
        <f>IF(HR_Data[[#This Row],[MonthlyIncome]]&lt;3000,"Low Salary",IF(HR_Data[[#This Row],[MonthlyIncome]]&lt;=7000,"Medium Salary","High Salary"))</f>
        <v>Medium Salary</v>
      </c>
      <c r="AN661" t="str">
        <f>IF(HR_Data[[#This Row],[YearsAtCompany]]&lt;2,"0-1 Years",IF(HR_Data[[#This Row],[YearsAtCompany]]&lt;=5,"2-5 Years",IF(HR_Data[[#This Row],[YearsAtCompany]]&lt;=10,"6-10 Years","10+ Years")))</f>
        <v>2-5 Years</v>
      </c>
      <c r="AO661" t="str">
        <f>IF(HR_Data[[#This Row],[JobSatisfaction]]=1,"Low",IF(HR_Data[[#This Row],[JobSatisfaction]]=2,"Medium",IF(HR_Data[[#This Row],[JobSatisfaction]]=3,"High","Very High")))</f>
        <v>Very High</v>
      </c>
      <c r="AP661" t="str">
        <f>IF(HR_Data[[#This Row],[WorkLifeBalance]]=1,"Bad",IF(HR_Data[[#This Row],[WorkLifeBalance]]=2,"Good",IF(HR_Data[[#This Row],[WorkLifeBalance]]=3,"Better","Best")))</f>
        <v>Better</v>
      </c>
    </row>
    <row r="662" spans="1:42"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IF(HR_Data[[#This Row],[Attrition]]="Yes",1,0)</f>
        <v>1</v>
      </c>
      <c r="AK662">
        <f>IF(HR_Data[[#This Row],[Attrition]]="No",1,0)</f>
        <v>0</v>
      </c>
      <c r="AL662" t="str">
        <f>IF(HR_Data[[#This Row],[Age]]&lt;25,"Under 25",IF(HR_Data[[#This Row],[Age]]&lt;=34,"25-34",IF(HR_Data[[#This Row],[Age]]&lt;=44,"35-44",IF(HR_Data[[#This Row],[Age]]&lt;=54,"45-54","55+"))))</f>
        <v>55+</v>
      </c>
      <c r="AM662" t="str">
        <f>IF(HR_Data[[#This Row],[MonthlyIncome]]&lt;3000,"Low Salary",IF(HR_Data[[#This Row],[MonthlyIncome]]&lt;=7000,"Medium Salary","High Salary"))</f>
        <v>Low Salary</v>
      </c>
      <c r="AN662" t="str">
        <f>IF(HR_Data[[#This Row],[YearsAtCompany]]&lt;2,"0-1 Years",IF(HR_Data[[#This Row],[YearsAtCompany]]&lt;=5,"2-5 Years",IF(HR_Data[[#This Row],[YearsAtCompany]]&lt;=10,"6-10 Years","10+ Years")))</f>
        <v>0-1 Years</v>
      </c>
      <c r="AO662" t="str">
        <f>IF(HR_Data[[#This Row],[JobSatisfaction]]=1,"Low",IF(HR_Data[[#This Row],[JobSatisfaction]]=2,"Medium",IF(HR_Data[[#This Row],[JobSatisfaction]]=3,"High","Very High")))</f>
        <v>Very High</v>
      </c>
      <c r="AP662" t="str">
        <f>IF(HR_Data[[#This Row],[WorkLifeBalance]]=1,"Bad",IF(HR_Data[[#This Row],[WorkLifeBalance]]=2,"Good",IF(HR_Data[[#This Row],[WorkLifeBalance]]=3,"Better","Best")))</f>
        <v>Good</v>
      </c>
    </row>
    <row r="663" spans="1:42"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IF(HR_Data[[#This Row],[Attrition]]="Yes",1,0)</f>
        <v>0</v>
      </c>
      <c r="AK663">
        <f>IF(HR_Data[[#This Row],[Attrition]]="No",1,0)</f>
        <v>1</v>
      </c>
      <c r="AL663" t="str">
        <f>IF(HR_Data[[#This Row],[Age]]&lt;25,"Under 25",IF(HR_Data[[#This Row],[Age]]&lt;=34,"25-34",IF(HR_Data[[#This Row],[Age]]&lt;=44,"35-44",IF(HR_Data[[#This Row],[Age]]&lt;=54,"45-54","55+"))))</f>
        <v>35-44</v>
      </c>
      <c r="AM663" t="str">
        <f>IF(HR_Data[[#This Row],[MonthlyIncome]]&lt;3000,"Low Salary",IF(HR_Data[[#This Row],[MonthlyIncome]]&lt;=7000,"Medium Salary","High Salary"))</f>
        <v>Medium Salary</v>
      </c>
      <c r="AN663" t="str">
        <f>IF(HR_Data[[#This Row],[YearsAtCompany]]&lt;2,"0-1 Years",IF(HR_Data[[#This Row],[YearsAtCompany]]&lt;=5,"2-5 Years",IF(HR_Data[[#This Row],[YearsAtCompany]]&lt;=10,"6-10 Years","10+ Years")))</f>
        <v>0-1 Years</v>
      </c>
      <c r="AO663" t="str">
        <f>IF(HR_Data[[#This Row],[JobSatisfaction]]=1,"Low",IF(HR_Data[[#This Row],[JobSatisfaction]]=2,"Medium",IF(HR_Data[[#This Row],[JobSatisfaction]]=3,"High","Very High")))</f>
        <v>Medium</v>
      </c>
      <c r="AP663" t="str">
        <f>IF(HR_Data[[#This Row],[WorkLifeBalance]]=1,"Bad",IF(HR_Data[[#This Row],[WorkLifeBalance]]=2,"Good",IF(HR_Data[[#This Row],[WorkLifeBalance]]=3,"Better","Best")))</f>
        <v>Best</v>
      </c>
    </row>
    <row r="664" spans="1:42"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IF(HR_Data[[#This Row],[Attrition]]="Yes",1,0)</f>
        <v>1</v>
      </c>
      <c r="AK664">
        <f>IF(HR_Data[[#This Row],[Attrition]]="No",1,0)</f>
        <v>0</v>
      </c>
      <c r="AL664" t="str">
        <f>IF(HR_Data[[#This Row],[Age]]&lt;25,"Under 25",IF(HR_Data[[#This Row],[Age]]&lt;=34,"25-34",IF(HR_Data[[#This Row],[Age]]&lt;=44,"35-44",IF(HR_Data[[#This Row],[Age]]&lt;=54,"45-54","55+"))))</f>
        <v>Under 25</v>
      </c>
      <c r="AM664" t="str">
        <f>IF(HR_Data[[#This Row],[MonthlyIncome]]&lt;3000,"Low Salary",IF(HR_Data[[#This Row],[MonthlyIncome]]&lt;=7000,"Medium Salary","High Salary"))</f>
        <v>Low Salary</v>
      </c>
      <c r="AN664" t="str">
        <f>IF(HR_Data[[#This Row],[YearsAtCompany]]&lt;2,"0-1 Years",IF(HR_Data[[#This Row],[YearsAtCompany]]&lt;=5,"2-5 Years",IF(HR_Data[[#This Row],[YearsAtCompany]]&lt;=10,"6-10 Years","10+ Years")))</f>
        <v>2-5 Years</v>
      </c>
      <c r="AO664" t="str">
        <f>IF(HR_Data[[#This Row],[JobSatisfaction]]=1,"Low",IF(HR_Data[[#This Row],[JobSatisfaction]]=2,"Medium",IF(HR_Data[[#This Row],[JobSatisfaction]]=3,"High","Very High")))</f>
        <v>High</v>
      </c>
      <c r="AP664" t="str">
        <f>IF(HR_Data[[#This Row],[WorkLifeBalance]]=1,"Bad",IF(HR_Data[[#This Row],[WorkLifeBalance]]=2,"Good",IF(HR_Data[[#This Row],[WorkLifeBalance]]=3,"Better","Best")))</f>
        <v>Good</v>
      </c>
    </row>
    <row r="665" spans="1:42"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IF(HR_Data[[#This Row],[Attrition]]="Yes",1,0)</f>
        <v>1</v>
      </c>
      <c r="AK665">
        <f>IF(HR_Data[[#This Row],[Attrition]]="No",1,0)</f>
        <v>0</v>
      </c>
      <c r="AL665" t="str">
        <f>IF(HR_Data[[#This Row],[Age]]&lt;25,"Under 25",IF(HR_Data[[#This Row],[Age]]&lt;=34,"25-34",IF(HR_Data[[#This Row],[Age]]&lt;=44,"35-44",IF(HR_Data[[#This Row],[Age]]&lt;=54,"45-54","55+"))))</f>
        <v>Under 25</v>
      </c>
      <c r="AM665" t="str">
        <f>IF(HR_Data[[#This Row],[MonthlyIncome]]&lt;3000,"Low Salary",IF(HR_Data[[#This Row],[MonthlyIncome]]&lt;=7000,"Medium Salary","High Salary"))</f>
        <v>Low Salary</v>
      </c>
      <c r="AN665" t="str">
        <f>IF(HR_Data[[#This Row],[YearsAtCompany]]&lt;2,"0-1 Years",IF(HR_Data[[#This Row],[YearsAtCompany]]&lt;=5,"2-5 Years",IF(HR_Data[[#This Row],[YearsAtCompany]]&lt;=10,"6-10 Years","10+ Years")))</f>
        <v>0-1 Years</v>
      </c>
      <c r="AO665" t="str">
        <f>IF(HR_Data[[#This Row],[JobSatisfaction]]=1,"Low",IF(HR_Data[[#This Row],[JobSatisfaction]]=2,"Medium",IF(HR_Data[[#This Row],[JobSatisfaction]]=3,"High","Very High")))</f>
        <v>Very High</v>
      </c>
      <c r="AP665" t="str">
        <f>IF(HR_Data[[#This Row],[WorkLifeBalance]]=1,"Bad",IF(HR_Data[[#This Row],[WorkLifeBalance]]=2,"Good",IF(HR_Data[[#This Row],[WorkLifeBalance]]=3,"Better","Best")))</f>
        <v>Good</v>
      </c>
    </row>
    <row r="666" spans="1:42"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IF(HR_Data[[#This Row],[Attrition]]="Yes",1,0)</f>
        <v>0</v>
      </c>
      <c r="AK666">
        <f>IF(HR_Data[[#This Row],[Attrition]]="No",1,0)</f>
        <v>1</v>
      </c>
      <c r="AL666" t="str">
        <f>IF(HR_Data[[#This Row],[Age]]&lt;25,"Under 25",IF(HR_Data[[#This Row],[Age]]&lt;=34,"25-34",IF(HR_Data[[#This Row],[Age]]&lt;=44,"35-44",IF(HR_Data[[#This Row],[Age]]&lt;=54,"45-54","55+"))))</f>
        <v>35-44</v>
      </c>
      <c r="AM666" t="str">
        <f>IF(HR_Data[[#This Row],[MonthlyIncome]]&lt;3000,"Low Salary",IF(HR_Data[[#This Row],[MonthlyIncome]]&lt;=7000,"Medium Salary","High Salary"))</f>
        <v>Medium Salary</v>
      </c>
      <c r="AN666" t="str">
        <f>IF(HR_Data[[#This Row],[YearsAtCompany]]&lt;2,"0-1 Years",IF(HR_Data[[#This Row],[YearsAtCompany]]&lt;=5,"2-5 Years",IF(HR_Data[[#This Row],[YearsAtCompany]]&lt;=10,"6-10 Years","10+ Years")))</f>
        <v>10+ Years</v>
      </c>
      <c r="AO666" t="str">
        <f>IF(HR_Data[[#This Row],[JobSatisfaction]]=1,"Low",IF(HR_Data[[#This Row],[JobSatisfaction]]=2,"Medium",IF(HR_Data[[#This Row],[JobSatisfaction]]=3,"High","Very High")))</f>
        <v>Very High</v>
      </c>
      <c r="AP666" t="str">
        <f>IF(HR_Data[[#This Row],[WorkLifeBalance]]=1,"Bad",IF(HR_Data[[#This Row],[WorkLifeBalance]]=2,"Good",IF(HR_Data[[#This Row],[WorkLifeBalance]]=3,"Better","Best")))</f>
        <v>Good</v>
      </c>
    </row>
    <row r="667" spans="1:42"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IF(HR_Data[[#This Row],[Attrition]]="Yes",1,0)</f>
        <v>0</v>
      </c>
      <c r="AK667">
        <f>IF(HR_Data[[#This Row],[Attrition]]="No",1,0)</f>
        <v>1</v>
      </c>
      <c r="AL667" t="str">
        <f>IF(HR_Data[[#This Row],[Age]]&lt;25,"Under 25",IF(HR_Data[[#This Row],[Age]]&lt;=34,"25-34",IF(HR_Data[[#This Row],[Age]]&lt;=44,"35-44",IF(HR_Data[[#This Row],[Age]]&lt;=54,"45-54","55+"))))</f>
        <v>45-54</v>
      </c>
      <c r="AM667" t="str">
        <f>IF(HR_Data[[#This Row],[MonthlyIncome]]&lt;3000,"Low Salary",IF(HR_Data[[#This Row],[MonthlyIncome]]&lt;=7000,"Medium Salary","High Salary"))</f>
        <v>Medium Salary</v>
      </c>
      <c r="AN667" t="str">
        <f>IF(HR_Data[[#This Row],[YearsAtCompany]]&lt;2,"0-1 Years",IF(HR_Data[[#This Row],[YearsAtCompany]]&lt;=5,"2-5 Years",IF(HR_Data[[#This Row],[YearsAtCompany]]&lt;=10,"6-10 Years","10+ Years")))</f>
        <v>2-5 Years</v>
      </c>
      <c r="AO667" t="str">
        <f>IF(HR_Data[[#This Row],[JobSatisfaction]]=1,"Low",IF(HR_Data[[#This Row],[JobSatisfaction]]=2,"Medium",IF(HR_Data[[#This Row],[JobSatisfaction]]=3,"High","Very High")))</f>
        <v>Very High</v>
      </c>
      <c r="AP667" t="str">
        <f>IF(HR_Data[[#This Row],[WorkLifeBalance]]=1,"Bad",IF(HR_Data[[#This Row],[WorkLifeBalance]]=2,"Good",IF(HR_Data[[#This Row],[WorkLifeBalance]]=3,"Better","Best")))</f>
        <v>Good</v>
      </c>
    </row>
    <row r="668" spans="1:42"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IF(HR_Data[[#This Row],[Attrition]]="Yes",1,0)</f>
        <v>1</v>
      </c>
      <c r="AK668">
        <f>IF(HR_Data[[#This Row],[Attrition]]="No",1,0)</f>
        <v>0</v>
      </c>
      <c r="AL668" t="str">
        <f>IF(HR_Data[[#This Row],[Age]]&lt;25,"Under 25",IF(HR_Data[[#This Row],[Age]]&lt;=34,"25-34",IF(HR_Data[[#This Row],[Age]]&lt;=44,"35-44",IF(HR_Data[[#This Row],[Age]]&lt;=54,"45-54","55+"))))</f>
        <v>Under 25</v>
      </c>
      <c r="AM668" t="str">
        <f>IF(HR_Data[[#This Row],[MonthlyIncome]]&lt;3000,"Low Salary",IF(HR_Data[[#This Row],[MonthlyIncome]]&lt;=7000,"Medium Salary","High Salary"))</f>
        <v>Medium Salary</v>
      </c>
      <c r="AN668" t="str">
        <f>IF(HR_Data[[#This Row],[YearsAtCompany]]&lt;2,"0-1 Years",IF(HR_Data[[#This Row],[YearsAtCompany]]&lt;=5,"2-5 Years",IF(HR_Data[[#This Row],[YearsAtCompany]]&lt;=10,"6-10 Years","10+ Years")))</f>
        <v>2-5 Years</v>
      </c>
      <c r="AO668" t="str">
        <f>IF(HR_Data[[#This Row],[JobSatisfaction]]=1,"Low",IF(HR_Data[[#This Row],[JobSatisfaction]]=2,"Medium",IF(HR_Data[[#This Row],[JobSatisfaction]]=3,"High","Very High")))</f>
        <v>High</v>
      </c>
      <c r="AP668" t="str">
        <f>IF(HR_Data[[#This Row],[WorkLifeBalance]]=1,"Bad",IF(HR_Data[[#This Row],[WorkLifeBalance]]=2,"Good",IF(HR_Data[[#This Row],[WorkLifeBalance]]=3,"Better","Best")))</f>
        <v>Best</v>
      </c>
    </row>
    <row r="669" spans="1:42"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IF(HR_Data[[#This Row],[Attrition]]="Yes",1,0)</f>
        <v>1</v>
      </c>
      <c r="AK669">
        <f>IF(HR_Data[[#This Row],[Attrition]]="No",1,0)</f>
        <v>0</v>
      </c>
      <c r="AL669" t="str">
        <f>IF(HR_Data[[#This Row],[Age]]&lt;25,"Under 25",IF(HR_Data[[#This Row],[Age]]&lt;=34,"25-34",IF(HR_Data[[#This Row],[Age]]&lt;=44,"35-44",IF(HR_Data[[#This Row],[Age]]&lt;=54,"45-54","55+"))))</f>
        <v>35-44</v>
      </c>
      <c r="AM669" t="str">
        <f>IF(HR_Data[[#This Row],[MonthlyIncome]]&lt;3000,"Low Salary",IF(HR_Data[[#This Row],[MonthlyIncome]]&lt;=7000,"Medium Salary","High Salary"))</f>
        <v>Low Salary</v>
      </c>
      <c r="AN669" t="str">
        <f>IF(HR_Data[[#This Row],[YearsAtCompany]]&lt;2,"0-1 Years",IF(HR_Data[[#This Row],[YearsAtCompany]]&lt;=5,"2-5 Years",IF(HR_Data[[#This Row],[YearsAtCompany]]&lt;=10,"6-10 Years","10+ Years")))</f>
        <v>6-10 Years</v>
      </c>
      <c r="AO669" t="str">
        <f>IF(HR_Data[[#This Row],[JobSatisfaction]]=1,"Low",IF(HR_Data[[#This Row],[JobSatisfaction]]=2,"Medium",IF(HR_Data[[#This Row],[JobSatisfaction]]=3,"High","Very High")))</f>
        <v>Very High</v>
      </c>
      <c r="AP669" t="str">
        <f>IF(HR_Data[[#This Row],[WorkLifeBalance]]=1,"Bad",IF(HR_Data[[#This Row],[WorkLifeBalance]]=2,"Good",IF(HR_Data[[#This Row],[WorkLifeBalance]]=3,"Better","Best")))</f>
        <v>Good</v>
      </c>
    </row>
    <row r="670" spans="1:42"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IF(HR_Data[[#This Row],[Attrition]]="Yes",1,0)</f>
        <v>0</v>
      </c>
      <c r="AK670">
        <f>IF(HR_Data[[#This Row],[Attrition]]="No",1,0)</f>
        <v>1</v>
      </c>
      <c r="AL670" t="str">
        <f>IF(HR_Data[[#This Row],[Age]]&lt;25,"Under 25",IF(HR_Data[[#This Row],[Age]]&lt;=34,"25-34",IF(HR_Data[[#This Row],[Age]]&lt;=44,"35-44",IF(HR_Data[[#This Row],[Age]]&lt;=54,"45-54","55+"))))</f>
        <v>25-34</v>
      </c>
      <c r="AM670" t="str">
        <f>IF(HR_Data[[#This Row],[MonthlyIncome]]&lt;3000,"Low Salary",IF(HR_Data[[#This Row],[MonthlyIncome]]&lt;=7000,"Medium Salary","High Salary"))</f>
        <v>Low Salary</v>
      </c>
      <c r="AN670" t="str">
        <f>IF(HR_Data[[#This Row],[YearsAtCompany]]&lt;2,"0-1 Years",IF(HR_Data[[#This Row],[YearsAtCompany]]&lt;=5,"2-5 Years",IF(HR_Data[[#This Row],[YearsAtCompany]]&lt;=10,"6-10 Years","10+ Years")))</f>
        <v>2-5 Years</v>
      </c>
      <c r="AO670" t="str">
        <f>IF(HR_Data[[#This Row],[JobSatisfaction]]=1,"Low",IF(HR_Data[[#This Row],[JobSatisfaction]]=2,"Medium",IF(HR_Data[[#This Row],[JobSatisfaction]]=3,"High","Very High")))</f>
        <v>High</v>
      </c>
      <c r="AP670" t="str">
        <f>IF(HR_Data[[#This Row],[WorkLifeBalance]]=1,"Bad",IF(HR_Data[[#This Row],[WorkLifeBalance]]=2,"Good",IF(HR_Data[[#This Row],[WorkLifeBalance]]=3,"Better","Best")))</f>
        <v>Better</v>
      </c>
    </row>
    <row r="671" spans="1:42"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IF(HR_Data[[#This Row],[Attrition]]="Yes",1,0)</f>
        <v>1</v>
      </c>
      <c r="AK671">
        <f>IF(HR_Data[[#This Row],[Attrition]]="No",1,0)</f>
        <v>0</v>
      </c>
      <c r="AL671" t="str">
        <f>IF(HR_Data[[#This Row],[Age]]&lt;25,"Under 25",IF(HR_Data[[#This Row],[Age]]&lt;=34,"25-34",IF(HR_Data[[#This Row],[Age]]&lt;=44,"35-44",IF(HR_Data[[#This Row],[Age]]&lt;=54,"45-54","55+"))))</f>
        <v>35-44</v>
      </c>
      <c r="AM671" t="str">
        <f>IF(HR_Data[[#This Row],[MonthlyIncome]]&lt;3000,"Low Salary",IF(HR_Data[[#This Row],[MonthlyIncome]]&lt;=7000,"Medium Salary","High Salary"))</f>
        <v>Low Salary</v>
      </c>
      <c r="AN671" t="str">
        <f>IF(HR_Data[[#This Row],[YearsAtCompany]]&lt;2,"0-1 Years",IF(HR_Data[[#This Row],[YearsAtCompany]]&lt;=5,"2-5 Years",IF(HR_Data[[#This Row],[YearsAtCompany]]&lt;=10,"6-10 Years","10+ Years")))</f>
        <v>2-5 Years</v>
      </c>
      <c r="AO671" t="str">
        <f>IF(HR_Data[[#This Row],[JobSatisfaction]]=1,"Low",IF(HR_Data[[#This Row],[JobSatisfaction]]=2,"Medium",IF(HR_Data[[#This Row],[JobSatisfaction]]=3,"High","Very High")))</f>
        <v>Low</v>
      </c>
      <c r="AP671" t="str">
        <f>IF(HR_Data[[#This Row],[WorkLifeBalance]]=1,"Bad",IF(HR_Data[[#This Row],[WorkLifeBalance]]=2,"Good",IF(HR_Data[[#This Row],[WorkLifeBalance]]=3,"Better","Best")))</f>
        <v>Bad</v>
      </c>
    </row>
    <row r="672" spans="1:42"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IF(HR_Data[[#This Row],[Attrition]]="Yes",1,0)</f>
        <v>0</v>
      </c>
      <c r="AK672">
        <f>IF(HR_Data[[#This Row],[Attrition]]="No",1,0)</f>
        <v>1</v>
      </c>
      <c r="AL672" t="str">
        <f>IF(HR_Data[[#This Row],[Age]]&lt;25,"Under 25",IF(HR_Data[[#This Row],[Age]]&lt;=34,"25-34",IF(HR_Data[[#This Row],[Age]]&lt;=44,"35-44",IF(HR_Data[[#This Row],[Age]]&lt;=54,"45-54","55+"))))</f>
        <v>25-34</v>
      </c>
      <c r="AM672" t="str">
        <f>IF(HR_Data[[#This Row],[MonthlyIncome]]&lt;3000,"Low Salary",IF(HR_Data[[#This Row],[MonthlyIncome]]&lt;=7000,"Medium Salary","High Salary"))</f>
        <v>Low Salary</v>
      </c>
      <c r="AN672" t="str">
        <f>IF(HR_Data[[#This Row],[YearsAtCompany]]&lt;2,"0-1 Years",IF(HR_Data[[#This Row],[YearsAtCompany]]&lt;=5,"2-5 Years",IF(HR_Data[[#This Row],[YearsAtCompany]]&lt;=10,"6-10 Years","10+ Years")))</f>
        <v>0-1 Years</v>
      </c>
      <c r="AO672" t="str">
        <f>IF(HR_Data[[#This Row],[JobSatisfaction]]=1,"Low",IF(HR_Data[[#This Row],[JobSatisfaction]]=2,"Medium",IF(HR_Data[[#This Row],[JobSatisfaction]]=3,"High","Very High")))</f>
        <v>High</v>
      </c>
      <c r="AP672" t="str">
        <f>IF(HR_Data[[#This Row],[WorkLifeBalance]]=1,"Bad",IF(HR_Data[[#This Row],[WorkLifeBalance]]=2,"Good",IF(HR_Data[[#This Row],[WorkLifeBalance]]=3,"Better","Best")))</f>
        <v>Better</v>
      </c>
    </row>
    <row r="673" spans="1:42"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IF(HR_Data[[#This Row],[Attrition]]="Yes",1,0)</f>
        <v>0</v>
      </c>
      <c r="AK673">
        <f>IF(HR_Data[[#This Row],[Attrition]]="No",1,0)</f>
        <v>1</v>
      </c>
      <c r="AL673" t="str">
        <f>IF(HR_Data[[#This Row],[Age]]&lt;25,"Under 25",IF(HR_Data[[#This Row],[Age]]&lt;=34,"25-34",IF(HR_Data[[#This Row],[Age]]&lt;=44,"35-44",IF(HR_Data[[#This Row],[Age]]&lt;=54,"45-54","55+"))))</f>
        <v>25-34</v>
      </c>
      <c r="AM673" t="str">
        <f>IF(HR_Data[[#This Row],[MonthlyIncome]]&lt;3000,"Low Salary",IF(HR_Data[[#This Row],[MonthlyIncome]]&lt;=7000,"Medium Salary","High Salary"))</f>
        <v>Low Salary</v>
      </c>
      <c r="AN673" t="str">
        <f>IF(HR_Data[[#This Row],[YearsAtCompany]]&lt;2,"0-1 Years",IF(HR_Data[[#This Row],[YearsAtCompany]]&lt;=5,"2-5 Years",IF(HR_Data[[#This Row],[YearsAtCompany]]&lt;=10,"6-10 Years","10+ Years")))</f>
        <v>0-1 Years</v>
      </c>
      <c r="AO673" t="str">
        <f>IF(HR_Data[[#This Row],[JobSatisfaction]]=1,"Low",IF(HR_Data[[#This Row],[JobSatisfaction]]=2,"Medium",IF(HR_Data[[#This Row],[JobSatisfaction]]=3,"High","Very High")))</f>
        <v>Medium</v>
      </c>
      <c r="AP673" t="str">
        <f>IF(HR_Data[[#This Row],[WorkLifeBalance]]=1,"Bad",IF(HR_Data[[#This Row],[WorkLifeBalance]]=2,"Good",IF(HR_Data[[#This Row],[WorkLifeBalance]]=3,"Better","Best")))</f>
        <v>Better</v>
      </c>
    </row>
    <row r="674" spans="1:42"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IF(HR_Data[[#This Row],[Attrition]]="Yes",1,0)</f>
        <v>0</v>
      </c>
      <c r="AK674">
        <f>IF(HR_Data[[#This Row],[Attrition]]="No",1,0)</f>
        <v>1</v>
      </c>
      <c r="AL674" t="str">
        <f>IF(HR_Data[[#This Row],[Age]]&lt;25,"Under 25",IF(HR_Data[[#This Row],[Age]]&lt;=34,"25-34",IF(HR_Data[[#This Row],[Age]]&lt;=44,"35-44",IF(HR_Data[[#This Row],[Age]]&lt;=54,"45-54","55+"))))</f>
        <v>35-44</v>
      </c>
      <c r="AM674" t="str">
        <f>IF(HR_Data[[#This Row],[MonthlyIncome]]&lt;3000,"Low Salary",IF(HR_Data[[#This Row],[MonthlyIncome]]&lt;=7000,"Medium Salary","High Salary"))</f>
        <v>Medium Salary</v>
      </c>
      <c r="AN674" t="str">
        <f>IF(HR_Data[[#This Row],[YearsAtCompany]]&lt;2,"0-1 Years",IF(HR_Data[[#This Row],[YearsAtCompany]]&lt;=5,"2-5 Years",IF(HR_Data[[#This Row],[YearsAtCompany]]&lt;=10,"6-10 Years","10+ Years")))</f>
        <v>2-5 Years</v>
      </c>
      <c r="AO674" t="str">
        <f>IF(HR_Data[[#This Row],[JobSatisfaction]]=1,"Low",IF(HR_Data[[#This Row],[JobSatisfaction]]=2,"Medium",IF(HR_Data[[#This Row],[JobSatisfaction]]=3,"High","Very High")))</f>
        <v>High</v>
      </c>
      <c r="AP674" t="str">
        <f>IF(HR_Data[[#This Row],[WorkLifeBalance]]=1,"Bad",IF(HR_Data[[#This Row],[WorkLifeBalance]]=2,"Good",IF(HR_Data[[#This Row],[WorkLifeBalance]]=3,"Better","Best")))</f>
        <v>Better</v>
      </c>
    </row>
    <row r="675" spans="1:42"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IF(HR_Data[[#This Row],[Attrition]]="Yes",1,0)</f>
        <v>0</v>
      </c>
      <c r="AK675">
        <f>IF(HR_Data[[#This Row],[Attrition]]="No",1,0)</f>
        <v>1</v>
      </c>
      <c r="AL675" t="str">
        <f>IF(HR_Data[[#This Row],[Age]]&lt;25,"Under 25",IF(HR_Data[[#This Row],[Age]]&lt;=34,"25-34",IF(HR_Data[[#This Row],[Age]]&lt;=44,"35-44",IF(HR_Data[[#This Row],[Age]]&lt;=54,"45-54","55+"))))</f>
        <v>25-34</v>
      </c>
      <c r="AM675" t="str">
        <f>IF(HR_Data[[#This Row],[MonthlyIncome]]&lt;3000,"Low Salary",IF(HR_Data[[#This Row],[MonthlyIncome]]&lt;=7000,"Medium Salary","High Salary"))</f>
        <v>Low Salary</v>
      </c>
      <c r="AN675" t="str">
        <f>IF(HR_Data[[#This Row],[YearsAtCompany]]&lt;2,"0-1 Years",IF(HR_Data[[#This Row],[YearsAtCompany]]&lt;=5,"2-5 Years",IF(HR_Data[[#This Row],[YearsAtCompany]]&lt;=10,"6-10 Years","10+ Years")))</f>
        <v>2-5 Years</v>
      </c>
      <c r="AO675" t="str">
        <f>IF(HR_Data[[#This Row],[JobSatisfaction]]=1,"Low",IF(HR_Data[[#This Row],[JobSatisfaction]]=2,"Medium",IF(HR_Data[[#This Row],[JobSatisfaction]]=3,"High","Very High")))</f>
        <v>Low</v>
      </c>
      <c r="AP675" t="str">
        <f>IF(HR_Data[[#This Row],[WorkLifeBalance]]=1,"Bad",IF(HR_Data[[#This Row],[WorkLifeBalance]]=2,"Good",IF(HR_Data[[#This Row],[WorkLifeBalance]]=3,"Better","Best")))</f>
        <v>Better</v>
      </c>
    </row>
    <row r="676" spans="1:42"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IF(HR_Data[[#This Row],[Attrition]]="Yes",1,0)</f>
        <v>0</v>
      </c>
      <c r="AK676">
        <f>IF(HR_Data[[#This Row],[Attrition]]="No",1,0)</f>
        <v>1</v>
      </c>
      <c r="AL676" t="str">
        <f>IF(HR_Data[[#This Row],[Age]]&lt;25,"Under 25",IF(HR_Data[[#This Row],[Age]]&lt;=34,"25-34",IF(HR_Data[[#This Row],[Age]]&lt;=44,"35-44",IF(HR_Data[[#This Row],[Age]]&lt;=54,"45-54","55+"))))</f>
        <v>55+</v>
      </c>
      <c r="AM676" t="str">
        <f>IF(HR_Data[[#This Row],[MonthlyIncome]]&lt;3000,"Low Salary",IF(HR_Data[[#This Row],[MonthlyIncome]]&lt;=7000,"Medium Salary","High Salary"))</f>
        <v>High Salary</v>
      </c>
      <c r="AN676" t="str">
        <f>IF(HR_Data[[#This Row],[YearsAtCompany]]&lt;2,"0-1 Years",IF(HR_Data[[#This Row],[YearsAtCompany]]&lt;=5,"2-5 Years",IF(HR_Data[[#This Row],[YearsAtCompany]]&lt;=10,"6-10 Years","10+ Years")))</f>
        <v>6-10 Years</v>
      </c>
      <c r="AO676" t="str">
        <f>IF(HR_Data[[#This Row],[JobSatisfaction]]=1,"Low",IF(HR_Data[[#This Row],[JobSatisfaction]]=2,"Medium",IF(HR_Data[[#This Row],[JobSatisfaction]]=3,"High","Very High")))</f>
        <v>Medium</v>
      </c>
      <c r="AP676" t="str">
        <f>IF(HR_Data[[#This Row],[WorkLifeBalance]]=1,"Bad",IF(HR_Data[[#This Row],[WorkLifeBalance]]=2,"Good",IF(HR_Data[[#This Row],[WorkLifeBalance]]=3,"Better","Best")))</f>
        <v>Better</v>
      </c>
    </row>
    <row r="677" spans="1:42"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IF(HR_Data[[#This Row],[Attrition]]="Yes",1,0)</f>
        <v>0</v>
      </c>
      <c r="AK677">
        <f>IF(HR_Data[[#This Row],[Attrition]]="No",1,0)</f>
        <v>1</v>
      </c>
      <c r="AL677" t="str">
        <f>IF(HR_Data[[#This Row],[Age]]&lt;25,"Under 25",IF(HR_Data[[#This Row],[Age]]&lt;=34,"25-34",IF(HR_Data[[#This Row],[Age]]&lt;=44,"35-44",IF(HR_Data[[#This Row],[Age]]&lt;=54,"45-54","55+"))))</f>
        <v>25-34</v>
      </c>
      <c r="AM677" t="str">
        <f>IF(HR_Data[[#This Row],[MonthlyIncome]]&lt;3000,"Low Salary",IF(HR_Data[[#This Row],[MonthlyIncome]]&lt;=7000,"Medium Salary","High Salary"))</f>
        <v>Low Salary</v>
      </c>
      <c r="AN677" t="str">
        <f>IF(HR_Data[[#This Row],[YearsAtCompany]]&lt;2,"0-1 Years",IF(HR_Data[[#This Row],[YearsAtCompany]]&lt;=5,"2-5 Years",IF(HR_Data[[#This Row],[YearsAtCompany]]&lt;=10,"6-10 Years","10+ Years")))</f>
        <v>6-10 Years</v>
      </c>
      <c r="AO677" t="str">
        <f>IF(HR_Data[[#This Row],[JobSatisfaction]]=1,"Low",IF(HR_Data[[#This Row],[JobSatisfaction]]=2,"Medium",IF(HR_Data[[#This Row],[JobSatisfaction]]=3,"High","Very High")))</f>
        <v>High</v>
      </c>
      <c r="AP677" t="str">
        <f>IF(HR_Data[[#This Row],[WorkLifeBalance]]=1,"Bad",IF(HR_Data[[#This Row],[WorkLifeBalance]]=2,"Good",IF(HR_Data[[#This Row],[WorkLifeBalance]]=3,"Better","Best")))</f>
        <v>Best</v>
      </c>
    </row>
    <row r="678" spans="1:42"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IF(HR_Data[[#This Row],[Attrition]]="Yes",1,0)</f>
        <v>0</v>
      </c>
      <c r="AK678">
        <f>IF(HR_Data[[#This Row],[Attrition]]="No",1,0)</f>
        <v>1</v>
      </c>
      <c r="AL678" t="str">
        <f>IF(HR_Data[[#This Row],[Age]]&lt;25,"Under 25",IF(HR_Data[[#This Row],[Age]]&lt;=34,"25-34",IF(HR_Data[[#This Row],[Age]]&lt;=44,"35-44",IF(HR_Data[[#This Row],[Age]]&lt;=54,"45-54","55+"))))</f>
        <v>35-44</v>
      </c>
      <c r="AM678" t="str">
        <f>IF(HR_Data[[#This Row],[MonthlyIncome]]&lt;3000,"Low Salary",IF(HR_Data[[#This Row],[MonthlyIncome]]&lt;=7000,"Medium Salary","High Salary"))</f>
        <v>Medium Salary</v>
      </c>
      <c r="AN678" t="str">
        <f>IF(HR_Data[[#This Row],[YearsAtCompany]]&lt;2,"0-1 Years",IF(HR_Data[[#This Row],[YearsAtCompany]]&lt;=5,"2-5 Years",IF(HR_Data[[#This Row],[YearsAtCompany]]&lt;=10,"6-10 Years","10+ Years")))</f>
        <v>6-10 Years</v>
      </c>
      <c r="AO678" t="str">
        <f>IF(HR_Data[[#This Row],[JobSatisfaction]]=1,"Low",IF(HR_Data[[#This Row],[JobSatisfaction]]=2,"Medium",IF(HR_Data[[#This Row],[JobSatisfaction]]=3,"High","Very High")))</f>
        <v>Very High</v>
      </c>
      <c r="AP678" t="str">
        <f>IF(HR_Data[[#This Row],[WorkLifeBalance]]=1,"Bad",IF(HR_Data[[#This Row],[WorkLifeBalance]]=2,"Good",IF(HR_Data[[#This Row],[WorkLifeBalance]]=3,"Better","Best")))</f>
        <v>Bad</v>
      </c>
    </row>
    <row r="679" spans="1:42"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IF(HR_Data[[#This Row],[Attrition]]="Yes",1,0)</f>
        <v>0</v>
      </c>
      <c r="AK679">
        <f>IF(HR_Data[[#This Row],[Attrition]]="No",1,0)</f>
        <v>1</v>
      </c>
      <c r="AL679" t="str">
        <f>IF(HR_Data[[#This Row],[Age]]&lt;25,"Under 25",IF(HR_Data[[#This Row],[Age]]&lt;=34,"25-34",IF(HR_Data[[#This Row],[Age]]&lt;=44,"35-44",IF(HR_Data[[#This Row],[Age]]&lt;=54,"45-54","55+"))))</f>
        <v>45-54</v>
      </c>
      <c r="AM679" t="str">
        <f>IF(HR_Data[[#This Row],[MonthlyIncome]]&lt;3000,"Low Salary",IF(HR_Data[[#This Row],[MonthlyIncome]]&lt;=7000,"Medium Salary","High Salary"))</f>
        <v>High Salary</v>
      </c>
      <c r="AN679" t="str">
        <f>IF(HR_Data[[#This Row],[YearsAtCompany]]&lt;2,"0-1 Years",IF(HR_Data[[#This Row],[YearsAtCompany]]&lt;=5,"2-5 Years",IF(HR_Data[[#This Row],[YearsAtCompany]]&lt;=10,"6-10 Years","10+ Years")))</f>
        <v>10+ Years</v>
      </c>
      <c r="AO679" t="str">
        <f>IF(HR_Data[[#This Row],[JobSatisfaction]]=1,"Low",IF(HR_Data[[#This Row],[JobSatisfaction]]=2,"Medium",IF(HR_Data[[#This Row],[JobSatisfaction]]=3,"High","Very High")))</f>
        <v>Medium</v>
      </c>
      <c r="AP679" t="str">
        <f>IF(HR_Data[[#This Row],[WorkLifeBalance]]=1,"Bad",IF(HR_Data[[#This Row],[WorkLifeBalance]]=2,"Good",IF(HR_Data[[#This Row],[WorkLifeBalance]]=3,"Better","Best")))</f>
        <v>Good</v>
      </c>
    </row>
    <row r="680" spans="1:42"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IF(HR_Data[[#This Row],[Attrition]]="Yes",1,0)</f>
        <v>0</v>
      </c>
      <c r="AK680">
        <f>IF(HR_Data[[#This Row],[Attrition]]="No",1,0)</f>
        <v>1</v>
      </c>
      <c r="AL680" t="str">
        <f>IF(HR_Data[[#This Row],[Age]]&lt;25,"Under 25",IF(HR_Data[[#This Row],[Age]]&lt;=34,"25-34",IF(HR_Data[[#This Row],[Age]]&lt;=44,"35-44",IF(HR_Data[[#This Row],[Age]]&lt;=54,"45-54","55+"))))</f>
        <v>45-54</v>
      </c>
      <c r="AM680" t="str">
        <f>IF(HR_Data[[#This Row],[MonthlyIncome]]&lt;3000,"Low Salary",IF(HR_Data[[#This Row],[MonthlyIncome]]&lt;=7000,"Medium Salary","High Salary"))</f>
        <v>Low Salary</v>
      </c>
      <c r="AN680" t="str">
        <f>IF(HR_Data[[#This Row],[YearsAtCompany]]&lt;2,"0-1 Years",IF(HR_Data[[#This Row],[YearsAtCompany]]&lt;=5,"2-5 Years",IF(HR_Data[[#This Row],[YearsAtCompany]]&lt;=10,"6-10 Years","10+ Years")))</f>
        <v>0-1 Years</v>
      </c>
      <c r="AO680" t="str">
        <f>IF(HR_Data[[#This Row],[JobSatisfaction]]=1,"Low",IF(HR_Data[[#This Row],[JobSatisfaction]]=2,"Medium",IF(HR_Data[[#This Row],[JobSatisfaction]]=3,"High","Very High")))</f>
        <v>High</v>
      </c>
      <c r="AP680" t="str">
        <f>IF(HR_Data[[#This Row],[WorkLifeBalance]]=1,"Bad",IF(HR_Data[[#This Row],[WorkLifeBalance]]=2,"Good",IF(HR_Data[[#This Row],[WorkLifeBalance]]=3,"Better","Best")))</f>
        <v>Good</v>
      </c>
    </row>
    <row r="681" spans="1:42"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IF(HR_Data[[#This Row],[Attrition]]="Yes",1,0)</f>
        <v>0</v>
      </c>
      <c r="AK681">
        <f>IF(HR_Data[[#This Row],[Attrition]]="No",1,0)</f>
        <v>1</v>
      </c>
      <c r="AL681" t="str">
        <f>IF(HR_Data[[#This Row],[Age]]&lt;25,"Under 25",IF(HR_Data[[#This Row],[Age]]&lt;=34,"25-34",IF(HR_Data[[#This Row],[Age]]&lt;=44,"35-44",IF(HR_Data[[#This Row],[Age]]&lt;=54,"45-54","55+"))))</f>
        <v>25-34</v>
      </c>
      <c r="AM681" t="str">
        <f>IF(HR_Data[[#This Row],[MonthlyIncome]]&lt;3000,"Low Salary",IF(HR_Data[[#This Row],[MonthlyIncome]]&lt;=7000,"Medium Salary","High Salary"))</f>
        <v>Medium Salary</v>
      </c>
      <c r="AN681" t="str">
        <f>IF(HR_Data[[#This Row],[YearsAtCompany]]&lt;2,"0-1 Years",IF(HR_Data[[#This Row],[YearsAtCompany]]&lt;=5,"2-5 Years",IF(HR_Data[[#This Row],[YearsAtCompany]]&lt;=10,"6-10 Years","10+ Years")))</f>
        <v>6-10 Years</v>
      </c>
      <c r="AO681" t="str">
        <f>IF(HR_Data[[#This Row],[JobSatisfaction]]=1,"Low",IF(HR_Data[[#This Row],[JobSatisfaction]]=2,"Medium",IF(HR_Data[[#This Row],[JobSatisfaction]]=3,"High","Very High")))</f>
        <v>High</v>
      </c>
      <c r="AP681" t="str">
        <f>IF(HR_Data[[#This Row],[WorkLifeBalance]]=1,"Bad",IF(HR_Data[[#This Row],[WorkLifeBalance]]=2,"Good",IF(HR_Data[[#This Row],[WorkLifeBalance]]=3,"Better","Best")))</f>
        <v>Good</v>
      </c>
    </row>
    <row r="682" spans="1:42"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IF(HR_Data[[#This Row],[Attrition]]="Yes",1,0)</f>
        <v>0</v>
      </c>
      <c r="AK682">
        <f>IF(HR_Data[[#This Row],[Attrition]]="No",1,0)</f>
        <v>1</v>
      </c>
      <c r="AL682" t="str">
        <f>IF(HR_Data[[#This Row],[Age]]&lt;25,"Under 25",IF(HR_Data[[#This Row],[Age]]&lt;=34,"25-34",IF(HR_Data[[#This Row],[Age]]&lt;=44,"35-44",IF(HR_Data[[#This Row],[Age]]&lt;=54,"45-54","55+"))))</f>
        <v>35-44</v>
      </c>
      <c r="AM682" t="str">
        <f>IF(HR_Data[[#This Row],[MonthlyIncome]]&lt;3000,"Low Salary",IF(HR_Data[[#This Row],[MonthlyIncome]]&lt;=7000,"Medium Salary","High Salary"))</f>
        <v>Medium Salary</v>
      </c>
      <c r="AN682" t="str">
        <f>IF(HR_Data[[#This Row],[YearsAtCompany]]&lt;2,"0-1 Years",IF(HR_Data[[#This Row],[YearsAtCompany]]&lt;=5,"2-5 Years",IF(HR_Data[[#This Row],[YearsAtCompany]]&lt;=10,"6-10 Years","10+ Years")))</f>
        <v>6-10 Years</v>
      </c>
      <c r="AO682" t="str">
        <f>IF(HR_Data[[#This Row],[JobSatisfaction]]=1,"Low",IF(HR_Data[[#This Row],[JobSatisfaction]]=2,"Medium",IF(HR_Data[[#This Row],[JobSatisfaction]]=3,"High","Very High")))</f>
        <v>Very High</v>
      </c>
      <c r="AP682" t="str">
        <f>IF(HR_Data[[#This Row],[WorkLifeBalance]]=1,"Bad",IF(HR_Data[[#This Row],[WorkLifeBalance]]=2,"Good",IF(HR_Data[[#This Row],[WorkLifeBalance]]=3,"Better","Best")))</f>
        <v>Better</v>
      </c>
    </row>
    <row r="683" spans="1:42"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IF(HR_Data[[#This Row],[Attrition]]="Yes",1,0)</f>
        <v>0</v>
      </c>
      <c r="AK683">
        <f>IF(HR_Data[[#This Row],[Attrition]]="No",1,0)</f>
        <v>1</v>
      </c>
      <c r="AL683" t="str">
        <f>IF(HR_Data[[#This Row],[Age]]&lt;25,"Under 25",IF(HR_Data[[#This Row],[Age]]&lt;=34,"25-34",IF(HR_Data[[#This Row],[Age]]&lt;=44,"35-44",IF(HR_Data[[#This Row],[Age]]&lt;=54,"45-54","55+"))))</f>
        <v>35-44</v>
      </c>
      <c r="AM683" t="str">
        <f>IF(HR_Data[[#This Row],[MonthlyIncome]]&lt;3000,"Low Salary",IF(HR_Data[[#This Row],[MonthlyIncome]]&lt;=7000,"Medium Salary","High Salary"))</f>
        <v>High Salary</v>
      </c>
      <c r="AN683" t="str">
        <f>IF(HR_Data[[#This Row],[YearsAtCompany]]&lt;2,"0-1 Years",IF(HR_Data[[#This Row],[YearsAtCompany]]&lt;=5,"2-5 Years",IF(HR_Data[[#This Row],[YearsAtCompany]]&lt;=10,"6-10 Years","10+ Years")))</f>
        <v>10+ Years</v>
      </c>
      <c r="AO683" t="str">
        <f>IF(HR_Data[[#This Row],[JobSatisfaction]]=1,"Low",IF(HR_Data[[#This Row],[JobSatisfaction]]=2,"Medium",IF(HR_Data[[#This Row],[JobSatisfaction]]=3,"High","Very High")))</f>
        <v>Low</v>
      </c>
      <c r="AP683" t="str">
        <f>IF(HR_Data[[#This Row],[WorkLifeBalance]]=1,"Bad",IF(HR_Data[[#This Row],[WorkLifeBalance]]=2,"Good",IF(HR_Data[[#This Row],[WorkLifeBalance]]=3,"Better","Best")))</f>
        <v>Better</v>
      </c>
    </row>
    <row r="684" spans="1:42"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IF(HR_Data[[#This Row],[Attrition]]="Yes",1,0)</f>
        <v>0</v>
      </c>
      <c r="AK684">
        <f>IF(HR_Data[[#This Row],[Attrition]]="No",1,0)</f>
        <v>1</v>
      </c>
      <c r="AL684" t="str">
        <f>IF(HR_Data[[#This Row],[Age]]&lt;25,"Under 25",IF(HR_Data[[#This Row],[Age]]&lt;=34,"25-34",IF(HR_Data[[#This Row],[Age]]&lt;=44,"35-44",IF(HR_Data[[#This Row],[Age]]&lt;=54,"45-54","55+"))))</f>
        <v>25-34</v>
      </c>
      <c r="AM684" t="str">
        <f>IF(HR_Data[[#This Row],[MonthlyIncome]]&lt;3000,"Low Salary",IF(HR_Data[[#This Row],[MonthlyIncome]]&lt;=7000,"Medium Salary","High Salary"))</f>
        <v>Low Salary</v>
      </c>
      <c r="AN684" t="str">
        <f>IF(HR_Data[[#This Row],[YearsAtCompany]]&lt;2,"0-1 Years",IF(HR_Data[[#This Row],[YearsAtCompany]]&lt;=5,"2-5 Years",IF(HR_Data[[#This Row],[YearsAtCompany]]&lt;=10,"6-10 Years","10+ Years")))</f>
        <v>2-5 Years</v>
      </c>
      <c r="AO684" t="str">
        <f>IF(HR_Data[[#This Row],[JobSatisfaction]]=1,"Low",IF(HR_Data[[#This Row],[JobSatisfaction]]=2,"Medium",IF(HR_Data[[#This Row],[JobSatisfaction]]=3,"High","Very High")))</f>
        <v>Medium</v>
      </c>
      <c r="AP684" t="str">
        <f>IF(HR_Data[[#This Row],[WorkLifeBalance]]=1,"Bad",IF(HR_Data[[#This Row],[WorkLifeBalance]]=2,"Good",IF(HR_Data[[#This Row],[WorkLifeBalance]]=3,"Better","Best")))</f>
        <v>Better</v>
      </c>
    </row>
    <row r="685" spans="1:42"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IF(HR_Data[[#This Row],[Attrition]]="Yes",1,0)</f>
        <v>1</v>
      </c>
      <c r="AK685">
        <f>IF(HR_Data[[#This Row],[Attrition]]="No",1,0)</f>
        <v>0</v>
      </c>
      <c r="AL685" t="str">
        <f>IF(HR_Data[[#This Row],[Age]]&lt;25,"Under 25",IF(HR_Data[[#This Row],[Age]]&lt;=34,"25-34",IF(HR_Data[[#This Row],[Age]]&lt;=44,"35-44",IF(HR_Data[[#This Row],[Age]]&lt;=54,"45-54","55+"))))</f>
        <v>25-34</v>
      </c>
      <c r="AM685" t="str">
        <f>IF(HR_Data[[#This Row],[MonthlyIncome]]&lt;3000,"Low Salary",IF(HR_Data[[#This Row],[MonthlyIncome]]&lt;=7000,"Medium Salary","High Salary"))</f>
        <v>Low Salary</v>
      </c>
      <c r="AN685" t="str">
        <f>IF(HR_Data[[#This Row],[YearsAtCompany]]&lt;2,"0-1 Years",IF(HR_Data[[#This Row],[YearsAtCompany]]&lt;=5,"2-5 Years",IF(HR_Data[[#This Row],[YearsAtCompany]]&lt;=10,"6-10 Years","10+ Years")))</f>
        <v>0-1 Years</v>
      </c>
      <c r="AO685" t="str">
        <f>IF(HR_Data[[#This Row],[JobSatisfaction]]=1,"Low",IF(HR_Data[[#This Row],[JobSatisfaction]]=2,"Medium",IF(HR_Data[[#This Row],[JobSatisfaction]]=3,"High","Very High")))</f>
        <v>Medium</v>
      </c>
      <c r="AP685" t="str">
        <f>IF(HR_Data[[#This Row],[WorkLifeBalance]]=1,"Bad",IF(HR_Data[[#This Row],[WorkLifeBalance]]=2,"Good",IF(HR_Data[[#This Row],[WorkLifeBalance]]=3,"Better","Best")))</f>
        <v>Better</v>
      </c>
    </row>
    <row r="686" spans="1:42"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IF(HR_Data[[#This Row],[Attrition]]="Yes",1,0)</f>
        <v>0</v>
      </c>
      <c r="AK686">
        <f>IF(HR_Data[[#This Row],[Attrition]]="No",1,0)</f>
        <v>1</v>
      </c>
      <c r="AL686" t="str">
        <f>IF(HR_Data[[#This Row],[Age]]&lt;25,"Under 25",IF(HR_Data[[#This Row],[Age]]&lt;=34,"25-34",IF(HR_Data[[#This Row],[Age]]&lt;=44,"35-44",IF(HR_Data[[#This Row],[Age]]&lt;=54,"45-54","55+"))))</f>
        <v>35-44</v>
      </c>
      <c r="AM686" t="str">
        <f>IF(HR_Data[[#This Row],[MonthlyIncome]]&lt;3000,"Low Salary",IF(HR_Data[[#This Row],[MonthlyIncome]]&lt;=7000,"Medium Salary","High Salary"))</f>
        <v>High Salary</v>
      </c>
      <c r="AN686" t="str">
        <f>IF(HR_Data[[#This Row],[YearsAtCompany]]&lt;2,"0-1 Years",IF(HR_Data[[#This Row],[YearsAtCompany]]&lt;=5,"2-5 Years",IF(HR_Data[[#This Row],[YearsAtCompany]]&lt;=10,"6-10 Years","10+ Years")))</f>
        <v>0-1 Years</v>
      </c>
      <c r="AO686" t="str">
        <f>IF(HR_Data[[#This Row],[JobSatisfaction]]=1,"Low",IF(HR_Data[[#This Row],[JobSatisfaction]]=2,"Medium",IF(HR_Data[[#This Row],[JobSatisfaction]]=3,"High","Very High")))</f>
        <v>Medium</v>
      </c>
      <c r="AP686" t="str">
        <f>IF(HR_Data[[#This Row],[WorkLifeBalance]]=1,"Bad",IF(HR_Data[[#This Row],[WorkLifeBalance]]=2,"Good",IF(HR_Data[[#This Row],[WorkLifeBalance]]=3,"Better","Best")))</f>
        <v>Good</v>
      </c>
    </row>
    <row r="687" spans="1:42"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IF(HR_Data[[#This Row],[Attrition]]="Yes",1,0)</f>
        <v>0</v>
      </c>
      <c r="AK687">
        <f>IF(HR_Data[[#This Row],[Attrition]]="No",1,0)</f>
        <v>1</v>
      </c>
      <c r="AL687" t="str">
        <f>IF(HR_Data[[#This Row],[Age]]&lt;25,"Under 25",IF(HR_Data[[#This Row],[Age]]&lt;=34,"25-34",IF(HR_Data[[#This Row],[Age]]&lt;=44,"35-44",IF(HR_Data[[#This Row],[Age]]&lt;=54,"45-54","55+"))))</f>
        <v>25-34</v>
      </c>
      <c r="AM687" t="str">
        <f>IF(HR_Data[[#This Row],[MonthlyIncome]]&lt;3000,"Low Salary",IF(HR_Data[[#This Row],[MonthlyIncome]]&lt;=7000,"Medium Salary","High Salary"))</f>
        <v>Medium Salary</v>
      </c>
      <c r="AN687" t="str">
        <f>IF(HR_Data[[#This Row],[YearsAtCompany]]&lt;2,"0-1 Years",IF(HR_Data[[#This Row],[YearsAtCompany]]&lt;=5,"2-5 Years",IF(HR_Data[[#This Row],[YearsAtCompany]]&lt;=10,"6-10 Years","10+ Years")))</f>
        <v>6-10 Years</v>
      </c>
      <c r="AO687" t="str">
        <f>IF(HR_Data[[#This Row],[JobSatisfaction]]=1,"Low",IF(HR_Data[[#This Row],[JobSatisfaction]]=2,"Medium",IF(HR_Data[[#This Row],[JobSatisfaction]]=3,"High","Very High")))</f>
        <v>Low</v>
      </c>
      <c r="AP687" t="str">
        <f>IF(HR_Data[[#This Row],[WorkLifeBalance]]=1,"Bad",IF(HR_Data[[#This Row],[WorkLifeBalance]]=2,"Good",IF(HR_Data[[#This Row],[WorkLifeBalance]]=3,"Better","Best")))</f>
        <v>Better</v>
      </c>
    </row>
    <row r="688" spans="1:42"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IF(HR_Data[[#This Row],[Attrition]]="Yes",1,0)</f>
        <v>0</v>
      </c>
      <c r="AK688">
        <f>IF(HR_Data[[#This Row],[Attrition]]="No",1,0)</f>
        <v>1</v>
      </c>
      <c r="AL688" t="str">
        <f>IF(HR_Data[[#This Row],[Age]]&lt;25,"Under 25",IF(HR_Data[[#This Row],[Age]]&lt;=34,"25-34",IF(HR_Data[[#This Row],[Age]]&lt;=44,"35-44",IF(HR_Data[[#This Row],[Age]]&lt;=54,"45-54","55+"))))</f>
        <v>35-44</v>
      </c>
      <c r="AM688" t="str">
        <f>IF(HR_Data[[#This Row],[MonthlyIncome]]&lt;3000,"Low Salary",IF(HR_Data[[#This Row],[MonthlyIncome]]&lt;=7000,"Medium Salary","High Salary"))</f>
        <v>Medium Salary</v>
      </c>
      <c r="AN688" t="str">
        <f>IF(HR_Data[[#This Row],[YearsAtCompany]]&lt;2,"0-1 Years",IF(HR_Data[[#This Row],[YearsAtCompany]]&lt;=5,"2-5 Years",IF(HR_Data[[#This Row],[YearsAtCompany]]&lt;=10,"6-10 Years","10+ Years")))</f>
        <v>10+ Years</v>
      </c>
      <c r="AO688" t="str">
        <f>IF(HR_Data[[#This Row],[JobSatisfaction]]=1,"Low",IF(HR_Data[[#This Row],[JobSatisfaction]]=2,"Medium",IF(HR_Data[[#This Row],[JobSatisfaction]]=3,"High","Very High")))</f>
        <v>Low</v>
      </c>
      <c r="AP688" t="str">
        <f>IF(HR_Data[[#This Row],[WorkLifeBalance]]=1,"Bad",IF(HR_Data[[#This Row],[WorkLifeBalance]]=2,"Good",IF(HR_Data[[#This Row],[WorkLifeBalance]]=3,"Better","Best")))</f>
        <v>Better</v>
      </c>
    </row>
    <row r="689" spans="1:42"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IF(HR_Data[[#This Row],[Attrition]]="Yes",1,0)</f>
        <v>0</v>
      </c>
      <c r="AK689">
        <f>IF(HR_Data[[#This Row],[Attrition]]="No",1,0)</f>
        <v>1</v>
      </c>
      <c r="AL689" t="str">
        <f>IF(HR_Data[[#This Row],[Age]]&lt;25,"Under 25",IF(HR_Data[[#This Row],[Age]]&lt;=34,"25-34",IF(HR_Data[[#This Row],[Age]]&lt;=44,"35-44",IF(HR_Data[[#This Row],[Age]]&lt;=54,"45-54","55+"))))</f>
        <v>35-44</v>
      </c>
      <c r="AM689" t="str">
        <f>IF(HR_Data[[#This Row],[MonthlyIncome]]&lt;3000,"Low Salary",IF(HR_Data[[#This Row],[MonthlyIncome]]&lt;=7000,"Medium Salary","High Salary"))</f>
        <v>Low Salary</v>
      </c>
      <c r="AN689" t="str">
        <f>IF(HR_Data[[#This Row],[YearsAtCompany]]&lt;2,"0-1 Years",IF(HR_Data[[#This Row],[YearsAtCompany]]&lt;=5,"2-5 Years",IF(HR_Data[[#This Row],[YearsAtCompany]]&lt;=10,"6-10 Years","10+ Years")))</f>
        <v>10+ Years</v>
      </c>
      <c r="AO689" t="str">
        <f>IF(HR_Data[[#This Row],[JobSatisfaction]]=1,"Low",IF(HR_Data[[#This Row],[JobSatisfaction]]=2,"Medium",IF(HR_Data[[#This Row],[JobSatisfaction]]=3,"High","Very High")))</f>
        <v>High</v>
      </c>
      <c r="AP689" t="str">
        <f>IF(HR_Data[[#This Row],[WorkLifeBalance]]=1,"Bad",IF(HR_Data[[#This Row],[WorkLifeBalance]]=2,"Good",IF(HR_Data[[#This Row],[WorkLifeBalance]]=3,"Better","Best")))</f>
        <v>Better</v>
      </c>
    </row>
    <row r="690" spans="1:42"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IF(HR_Data[[#This Row],[Attrition]]="Yes",1,0)</f>
        <v>1</v>
      </c>
      <c r="AK690">
        <f>IF(HR_Data[[#This Row],[Attrition]]="No",1,0)</f>
        <v>0</v>
      </c>
      <c r="AL690" t="str">
        <f>IF(HR_Data[[#This Row],[Age]]&lt;25,"Under 25",IF(HR_Data[[#This Row],[Age]]&lt;=34,"25-34",IF(HR_Data[[#This Row],[Age]]&lt;=44,"35-44",IF(HR_Data[[#This Row],[Age]]&lt;=54,"45-54","55+"))))</f>
        <v>Under 25</v>
      </c>
      <c r="AM690" t="str">
        <f>IF(HR_Data[[#This Row],[MonthlyIncome]]&lt;3000,"Low Salary",IF(HR_Data[[#This Row],[MonthlyIncome]]&lt;=7000,"Medium Salary","High Salary"))</f>
        <v>Low Salary</v>
      </c>
      <c r="AN690" t="str">
        <f>IF(HR_Data[[#This Row],[YearsAtCompany]]&lt;2,"0-1 Years",IF(HR_Data[[#This Row],[YearsAtCompany]]&lt;=5,"2-5 Years",IF(HR_Data[[#This Row],[YearsAtCompany]]&lt;=10,"6-10 Years","10+ Years")))</f>
        <v>0-1 Years</v>
      </c>
      <c r="AO690" t="str">
        <f>IF(HR_Data[[#This Row],[JobSatisfaction]]=1,"Low",IF(HR_Data[[#This Row],[JobSatisfaction]]=2,"Medium",IF(HR_Data[[#This Row],[JobSatisfaction]]=3,"High","Very High")))</f>
        <v>Medium</v>
      </c>
      <c r="AP690" t="str">
        <f>IF(HR_Data[[#This Row],[WorkLifeBalance]]=1,"Bad",IF(HR_Data[[#This Row],[WorkLifeBalance]]=2,"Good",IF(HR_Data[[#This Row],[WorkLifeBalance]]=3,"Better","Best")))</f>
        <v>Best</v>
      </c>
    </row>
    <row r="691" spans="1:42"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IF(HR_Data[[#This Row],[Attrition]]="Yes",1,0)</f>
        <v>1</v>
      </c>
      <c r="AK691">
        <f>IF(HR_Data[[#This Row],[Attrition]]="No",1,0)</f>
        <v>0</v>
      </c>
      <c r="AL691" t="str">
        <f>IF(HR_Data[[#This Row],[Age]]&lt;25,"Under 25",IF(HR_Data[[#This Row],[Age]]&lt;=34,"25-34",IF(HR_Data[[#This Row],[Age]]&lt;=44,"35-44",IF(HR_Data[[#This Row],[Age]]&lt;=54,"45-54","55+"))))</f>
        <v>Under 25</v>
      </c>
      <c r="AM691" t="str">
        <f>IF(HR_Data[[#This Row],[MonthlyIncome]]&lt;3000,"Low Salary",IF(HR_Data[[#This Row],[MonthlyIncome]]&lt;=7000,"Medium Salary","High Salary"))</f>
        <v>Low Salary</v>
      </c>
      <c r="AN691" t="str">
        <f>IF(HR_Data[[#This Row],[YearsAtCompany]]&lt;2,"0-1 Years",IF(HR_Data[[#This Row],[YearsAtCompany]]&lt;=5,"2-5 Years",IF(HR_Data[[#This Row],[YearsAtCompany]]&lt;=10,"6-10 Years","10+ Years")))</f>
        <v>0-1 Years</v>
      </c>
      <c r="AO691" t="str">
        <f>IF(HR_Data[[#This Row],[JobSatisfaction]]=1,"Low",IF(HR_Data[[#This Row],[JobSatisfaction]]=2,"Medium",IF(HR_Data[[#This Row],[JobSatisfaction]]=3,"High","Very High")))</f>
        <v>Low</v>
      </c>
      <c r="AP691" t="str">
        <f>IF(HR_Data[[#This Row],[WorkLifeBalance]]=1,"Bad",IF(HR_Data[[#This Row],[WorkLifeBalance]]=2,"Good",IF(HR_Data[[#This Row],[WorkLifeBalance]]=3,"Better","Best")))</f>
        <v>Better</v>
      </c>
    </row>
    <row r="692" spans="1:42"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IF(HR_Data[[#This Row],[Attrition]]="Yes",1,0)</f>
        <v>0</v>
      </c>
      <c r="AK692">
        <f>IF(HR_Data[[#This Row],[Attrition]]="No",1,0)</f>
        <v>1</v>
      </c>
      <c r="AL692" t="str">
        <f>IF(HR_Data[[#This Row],[Age]]&lt;25,"Under 25",IF(HR_Data[[#This Row],[Age]]&lt;=34,"25-34",IF(HR_Data[[#This Row],[Age]]&lt;=44,"35-44",IF(HR_Data[[#This Row],[Age]]&lt;=54,"45-54","55+"))))</f>
        <v>25-34</v>
      </c>
      <c r="AM692" t="str">
        <f>IF(HR_Data[[#This Row],[MonthlyIncome]]&lt;3000,"Low Salary",IF(HR_Data[[#This Row],[MonthlyIncome]]&lt;=7000,"Medium Salary","High Salary"))</f>
        <v>Medium Salary</v>
      </c>
      <c r="AN692" t="str">
        <f>IF(HR_Data[[#This Row],[YearsAtCompany]]&lt;2,"0-1 Years",IF(HR_Data[[#This Row],[YearsAtCompany]]&lt;=5,"2-5 Years",IF(HR_Data[[#This Row],[YearsAtCompany]]&lt;=10,"6-10 Years","10+ Years")))</f>
        <v>6-10 Years</v>
      </c>
      <c r="AO692" t="str">
        <f>IF(HR_Data[[#This Row],[JobSatisfaction]]=1,"Low",IF(HR_Data[[#This Row],[JobSatisfaction]]=2,"Medium",IF(HR_Data[[#This Row],[JobSatisfaction]]=3,"High","Very High")))</f>
        <v>Very High</v>
      </c>
      <c r="AP692" t="str">
        <f>IF(HR_Data[[#This Row],[WorkLifeBalance]]=1,"Bad",IF(HR_Data[[#This Row],[WorkLifeBalance]]=2,"Good",IF(HR_Data[[#This Row],[WorkLifeBalance]]=3,"Better","Best")))</f>
        <v>Bad</v>
      </c>
    </row>
    <row r="693" spans="1:42"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IF(HR_Data[[#This Row],[Attrition]]="Yes",1,0)</f>
        <v>0</v>
      </c>
      <c r="AK693">
        <f>IF(HR_Data[[#This Row],[Attrition]]="No",1,0)</f>
        <v>1</v>
      </c>
      <c r="AL693" t="str">
        <f>IF(HR_Data[[#This Row],[Age]]&lt;25,"Under 25",IF(HR_Data[[#This Row],[Age]]&lt;=34,"25-34",IF(HR_Data[[#This Row],[Age]]&lt;=44,"35-44",IF(HR_Data[[#This Row],[Age]]&lt;=54,"45-54","55+"))))</f>
        <v>35-44</v>
      </c>
      <c r="AM693" t="str">
        <f>IF(HR_Data[[#This Row],[MonthlyIncome]]&lt;3000,"Low Salary",IF(HR_Data[[#This Row],[MonthlyIncome]]&lt;=7000,"Medium Salary","High Salary"))</f>
        <v>Medium Salary</v>
      </c>
      <c r="AN693" t="str">
        <f>IF(HR_Data[[#This Row],[YearsAtCompany]]&lt;2,"0-1 Years",IF(HR_Data[[#This Row],[YearsAtCompany]]&lt;=5,"2-5 Years",IF(HR_Data[[#This Row],[YearsAtCompany]]&lt;=10,"6-10 Years","10+ Years")))</f>
        <v>0-1 Years</v>
      </c>
      <c r="AO693" t="str">
        <f>IF(HR_Data[[#This Row],[JobSatisfaction]]=1,"Low",IF(HR_Data[[#This Row],[JobSatisfaction]]=2,"Medium",IF(HR_Data[[#This Row],[JobSatisfaction]]=3,"High","Very High")))</f>
        <v>Medium</v>
      </c>
      <c r="AP693" t="str">
        <f>IF(HR_Data[[#This Row],[WorkLifeBalance]]=1,"Bad",IF(HR_Data[[#This Row],[WorkLifeBalance]]=2,"Good",IF(HR_Data[[#This Row],[WorkLifeBalance]]=3,"Better","Best")))</f>
        <v>Better</v>
      </c>
    </row>
    <row r="694" spans="1:42"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IF(HR_Data[[#This Row],[Attrition]]="Yes",1,0)</f>
        <v>0</v>
      </c>
      <c r="AK694">
        <f>IF(HR_Data[[#This Row],[Attrition]]="No",1,0)</f>
        <v>1</v>
      </c>
      <c r="AL694" t="str">
        <f>IF(HR_Data[[#This Row],[Age]]&lt;25,"Under 25",IF(HR_Data[[#This Row],[Age]]&lt;=34,"25-34",IF(HR_Data[[#This Row],[Age]]&lt;=44,"35-44",IF(HR_Data[[#This Row],[Age]]&lt;=54,"45-54","55+"))))</f>
        <v>25-34</v>
      </c>
      <c r="AM694" t="str">
        <f>IF(HR_Data[[#This Row],[MonthlyIncome]]&lt;3000,"Low Salary",IF(HR_Data[[#This Row],[MonthlyIncome]]&lt;=7000,"Medium Salary","High Salary"))</f>
        <v>Medium Salary</v>
      </c>
      <c r="AN694" t="str">
        <f>IF(HR_Data[[#This Row],[YearsAtCompany]]&lt;2,"0-1 Years",IF(HR_Data[[#This Row],[YearsAtCompany]]&lt;=5,"2-5 Years",IF(HR_Data[[#This Row],[YearsAtCompany]]&lt;=10,"6-10 Years","10+ Years")))</f>
        <v>6-10 Years</v>
      </c>
      <c r="AO694" t="str">
        <f>IF(HR_Data[[#This Row],[JobSatisfaction]]=1,"Low",IF(HR_Data[[#This Row],[JobSatisfaction]]=2,"Medium",IF(HR_Data[[#This Row],[JobSatisfaction]]=3,"High","Very High")))</f>
        <v>Low</v>
      </c>
      <c r="AP694" t="str">
        <f>IF(HR_Data[[#This Row],[WorkLifeBalance]]=1,"Bad",IF(HR_Data[[#This Row],[WorkLifeBalance]]=2,"Good",IF(HR_Data[[#This Row],[WorkLifeBalance]]=3,"Better","Best")))</f>
        <v>Best</v>
      </c>
    </row>
    <row r="695" spans="1:42"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IF(HR_Data[[#This Row],[Attrition]]="Yes",1,0)</f>
        <v>1</v>
      </c>
      <c r="AK695">
        <f>IF(HR_Data[[#This Row],[Attrition]]="No",1,0)</f>
        <v>0</v>
      </c>
      <c r="AL695" t="str">
        <f>IF(HR_Data[[#This Row],[Age]]&lt;25,"Under 25",IF(HR_Data[[#This Row],[Age]]&lt;=34,"25-34",IF(HR_Data[[#This Row],[Age]]&lt;=44,"35-44",IF(HR_Data[[#This Row],[Age]]&lt;=54,"45-54","55+"))))</f>
        <v>35-44</v>
      </c>
      <c r="AM695" t="str">
        <f>IF(HR_Data[[#This Row],[MonthlyIncome]]&lt;3000,"Low Salary",IF(HR_Data[[#This Row],[MonthlyIncome]]&lt;=7000,"Medium Salary","High Salary"))</f>
        <v>High Salary</v>
      </c>
      <c r="AN695" t="str">
        <f>IF(HR_Data[[#This Row],[YearsAtCompany]]&lt;2,"0-1 Years",IF(HR_Data[[#This Row],[YearsAtCompany]]&lt;=5,"2-5 Years",IF(HR_Data[[#This Row],[YearsAtCompany]]&lt;=10,"6-10 Years","10+ Years")))</f>
        <v>10+ Years</v>
      </c>
      <c r="AO695" t="str">
        <f>IF(HR_Data[[#This Row],[JobSatisfaction]]=1,"Low",IF(HR_Data[[#This Row],[JobSatisfaction]]=2,"Medium",IF(HR_Data[[#This Row],[JobSatisfaction]]=3,"High","Very High")))</f>
        <v>Very High</v>
      </c>
      <c r="AP695" t="str">
        <f>IF(HR_Data[[#This Row],[WorkLifeBalance]]=1,"Bad",IF(HR_Data[[#This Row],[WorkLifeBalance]]=2,"Good",IF(HR_Data[[#This Row],[WorkLifeBalance]]=3,"Better","Best")))</f>
        <v>Better</v>
      </c>
    </row>
    <row r="696" spans="1:42"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IF(HR_Data[[#This Row],[Attrition]]="Yes",1,0)</f>
        <v>0</v>
      </c>
      <c r="AK696">
        <f>IF(HR_Data[[#This Row],[Attrition]]="No",1,0)</f>
        <v>1</v>
      </c>
      <c r="AL696" t="str">
        <f>IF(HR_Data[[#This Row],[Age]]&lt;25,"Under 25",IF(HR_Data[[#This Row],[Age]]&lt;=34,"25-34",IF(HR_Data[[#This Row],[Age]]&lt;=44,"35-44",IF(HR_Data[[#This Row],[Age]]&lt;=54,"45-54","55+"))))</f>
        <v>25-34</v>
      </c>
      <c r="AM696" t="str">
        <f>IF(HR_Data[[#This Row],[MonthlyIncome]]&lt;3000,"Low Salary",IF(HR_Data[[#This Row],[MonthlyIncome]]&lt;=7000,"Medium Salary","High Salary"))</f>
        <v>Medium Salary</v>
      </c>
      <c r="AN696" t="str">
        <f>IF(HR_Data[[#This Row],[YearsAtCompany]]&lt;2,"0-1 Years",IF(HR_Data[[#This Row],[YearsAtCompany]]&lt;=5,"2-5 Years",IF(HR_Data[[#This Row],[YearsAtCompany]]&lt;=10,"6-10 Years","10+ Years")))</f>
        <v>2-5 Years</v>
      </c>
      <c r="AO696" t="str">
        <f>IF(HR_Data[[#This Row],[JobSatisfaction]]=1,"Low",IF(HR_Data[[#This Row],[JobSatisfaction]]=2,"Medium",IF(HR_Data[[#This Row],[JobSatisfaction]]=3,"High","Very High")))</f>
        <v>Very High</v>
      </c>
      <c r="AP696" t="str">
        <f>IF(HR_Data[[#This Row],[WorkLifeBalance]]=1,"Bad",IF(HR_Data[[#This Row],[WorkLifeBalance]]=2,"Good",IF(HR_Data[[#This Row],[WorkLifeBalance]]=3,"Better","Best")))</f>
        <v>Better</v>
      </c>
    </row>
    <row r="697" spans="1:42"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IF(HR_Data[[#This Row],[Attrition]]="Yes",1,0)</f>
        <v>1</v>
      </c>
      <c r="AK697">
        <f>IF(HR_Data[[#This Row],[Attrition]]="No",1,0)</f>
        <v>0</v>
      </c>
      <c r="AL697" t="str">
        <f>IF(HR_Data[[#This Row],[Age]]&lt;25,"Under 25",IF(HR_Data[[#This Row],[Age]]&lt;=34,"25-34",IF(HR_Data[[#This Row],[Age]]&lt;=44,"35-44",IF(HR_Data[[#This Row],[Age]]&lt;=54,"45-54","55+"))))</f>
        <v>35-44</v>
      </c>
      <c r="AM697" t="str">
        <f>IF(HR_Data[[#This Row],[MonthlyIncome]]&lt;3000,"Low Salary",IF(HR_Data[[#This Row],[MonthlyIncome]]&lt;=7000,"Medium Salary","High Salary"))</f>
        <v>High Salary</v>
      </c>
      <c r="AN697" t="str">
        <f>IF(HR_Data[[#This Row],[YearsAtCompany]]&lt;2,"0-1 Years",IF(HR_Data[[#This Row],[YearsAtCompany]]&lt;=5,"2-5 Years",IF(HR_Data[[#This Row],[YearsAtCompany]]&lt;=10,"6-10 Years","10+ Years")))</f>
        <v>10+ Years</v>
      </c>
      <c r="AO697" t="str">
        <f>IF(HR_Data[[#This Row],[JobSatisfaction]]=1,"Low",IF(HR_Data[[#This Row],[JobSatisfaction]]=2,"Medium",IF(HR_Data[[#This Row],[JobSatisfaction]]=3,"High","Very High")))</f>
        <v>High</v>
      </c>
      <c r="AP697" t="str">
        <f>IF(HR_Data[[#This Row],[WorkLifeBalance]]=1,"Bad",IF(HR_Data[[#This Row],[WorkLifeBalance]]=2,"Good",IF(HR_Data[[#This Row],[WorkLifeBalance]]=3,"Better","Best")))</f>
        <v>Bad</v>
      </c>
    </row>
    <row r="698" spans="1:42"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IF(HR_Data[[#This Row],[Attrition]]="Yes",1,0)</f>
        <v>0</v>
      </c>
      <c r="AK698">
        <f>IF(HR_Data[[#This Row],[Attrition]]="No",1,0)</f>
        <v>1</v>
      </c>
      <c r="AL698" t="str">
        <f>IF(HR_Data[[#This Row],[Age]]&lt;25,"Under 25",IF(HR_Data[[#This Row],[Age]]&lt;=34,"25-34",IF(HR_Data[[#This Row],[Age]]&lt;=44,"35-44",IF(HR_Data[[#This Row],[Age]]&lt;=54,"45-54","55+"))))</f>
        <v>45-54</v>
      </c>
      <c r="AM698" t="str">
        <f>IF(HR_Data[[#This Row],[MonthlyIncome]]&lt;3000,"Low Salary",IF(HR_Data[[#This Row],[MonthlyIncome]]&lt;=7000,"Medium Salary","High Salary"))</f>
        <v>Medium Salary</v>
      </c>
      <c r="AN698" t="str">
        <f>IF(HR_Data[[#This Row],[YearsAtCompany]]&lt;2,"0-1 Years",IF(HR_Data[[#This Row],[YearsAtCompany]]&lt;=5,"2-5 Years",IF(HR_Data[[#This Row],[YearsAtCompany]]&lt;=10,"6-10 Years","10+ Years")))</f>
        <v>6-10 Years</v>
      </c>
      <c r="AO698" t="str">
        <f>IF(HR_Data[[#This Row],[JobSatisfaction]]=1,"Low",IF(HR_Data[[#This Row],[JobSatisfaction]]=2,"Medium",IF(HR_Data[[#This Row],[JobSatisfaction]]=3,"High","Very High")))</f>
        <v>Medium</v>
      </c>
      <c r="AP698" t="str">
        <f>IF(HR_Data[[#This Row],[WorkLifeBalance]]=1,"Bad",IF(HR_Data[[#This Row],[WorkLifeBalance]]=2,"Good",IF(HR_Data[[#This Row],[WorkLifeBalance]]=3,"Better","Best")))</f>
        <v>Good</v>
      </c>
    </row>
    <row r="699" spans="1:42"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IF(HR_Data[[#This Row],[Attrition]]="Yes",1,0)</f>
        <v>0</v>
      </c>
      <c r="AK699">
        <f>IF(HR_Data[[#This Row],[Attrition]]="No",1,0)</f>
        <v>1</v>
      </c>
      <c r="AL699" t="str">
        <f>IF(HR_Data[[#This Row],[Age]]&lt;25,"Under 25",IF(HR_Data[[#This Row],[Age]]&lt;=34,"25-34",IF(HR_Data[[#This Row],[Age]]&lt;=44,"35-44",IF(HR_Data[[#This Row],[Age]]&lt;=54,"45-54","55+"))))</f>
        <v>25-34</v>
      </c>
      <c r="AM699" t="str">
        <f>IF(HR_Data[[#This Row],[MonthlyIncome]]&lt;3000,"Low Salary",IF(HR_Data[[#This Row],[MonthlyIncome]]&lt;=7000,"Medium Salary","High Salary"))</f>
        <v>Low Salary</v>
      </c>
      <c r="AN699" t="str">
        <f>IF(HR_Data[[#This Row],[YearsAtCompany]]&lt;2,"0-1 Years",IF(HR_Data[[#This Row],[YearsAtCompany]]&lt;=5,"2-5 Years",IF(HR_Data[[#This Row],[YearsAtCompany]]&lt;=10,"6-10 Years","10+ Years")))</f>
        <v>2-5 Years</v>
      </c>
      <c r="AO699" t="str">
        <f>IF(HR_Data[[#This Row],[JobSatisfaction]]=1,"Low",IF(HR_Data[[#This Row],[JobSatisfaction]]=2,"Medium",IF(HR_Data[[#This Row],[JobSatisfaction]]=3,"High","Very High")))</f>
        <v>Very High</v>
      </c>
      <c r="AP699" t="str">
        <f>IF(HR_Data[[#This Row],[WorkLifeBalance]]=1,"Bad",IF(HR_Data[[#This Row],[WorkLifeBalance]]=2,"Good",IF(HR_Data[[#This Row],[WorkLifeBalance]]=3,"Better","Best")))</f>
        <v>Better</v>
      </c>
    </row>
    <row r="700" spans="1:42"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IF(HR_Data[[#This Row],[Attrition]]="Yes",1,0)</f>
        <v>0</v>
      </c>
      <c r="AK700">
        <f>IF(HR_Data[[#This Row],[Attrition]]="No",1,0)</f>
        <v>1</v>
      </c>
      <c r="AL700" t="str">
        <f>IF(HR_Data[[#This Row],[Age]]&lt;25,"Under 25",IF(HR_Data[[#This Row],[Age]]&lt;=34,"25-34",IF(HR_Data[[#This Row],[Age]]&lt;=44,"35-44",IF(HR_Data[[#This Row],[Age]]&lt;=54,"45-54","55+"))))</f>
        <v>35-44</v>
      </c>
      <c r="AM700" t="str">
        <f>IF(HR_Data[[#This Row],[MonthlyIncome]]&lt;3000,"Low Salary",IF(HR_Data[[#This Row],[MonthlyIncome]]&lt;=7000,"Medium Salary","High Salary"))</f>
        <v>Medium Salary</v>
      </c>
      <c r="AN700" t="str">
        <f>IF(HR_Data[[#This Row],[YearsAtCompany]]&lt;2,"0-1 Years",IF(HR_Data[[#This Row],[YearsAtCompany]]&lt;=5,"2-5 Years",IF(HR_Data[[#This Row],[YearsAtCompany]]&lt;=10,"6-10 Years","10+ Years")))</f>
        <v>2-5 Years</v>
      </c>
      <c r="AO700" t="str">
        <f>IF(HR_Data[[#This Row],[JobSatisfaction]]=1,"Low",IF(HR_Data[[#This Row],[JobSatisfaction]]=2,"Medium",IF(HR_Data[[#This Row],[JobSatisfaction]]=3,"High","Very High")))</f>
        <v>High</v>
      </c>
      <c r="AP700" t="str">
        <f>IF(HR_Data[[#This Row],[WorkLifeBalance]]=1,"Bad",IF(HR_Data[[#This Row],[WorkLifeBalance]]=2,"Good",IF(HR_Data[[#This Row],[WorkLifeBalance]]=3,"Better","Best")))</f>
        <v>Better</v>
      </c>
    </row>
    <row r="701" spans="1:42"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IF(HR_Data[[#This Row],[Attrition]]="Yes",1,0)</f>
        <v>0</v>
      </c>
      <c r="AK701">
        <f>IF(HR_Data[[#This Row],[Attrition]]="No",1,0)</f>
        <v>1</v>
      </c>
      <c r="AL701" t="str">
        <f>IF(HR_Data[[#This Row],[Age]]&lt;25,"Under 25",IF(HR_Data[[#This Row],[Age]]&lt;=34,"25-34",IF(HR_Data[[#This Row],[Age]]&lt;=44,"35-44",IF(HR_Data[[#This Row],[Age]]&lt;=54,"45-54","55+"))))</f>
        <v>45-54</v>
      </c>
      <c r="AM701" t="str">
        <f>IF(HR_Data[[#This Row],[MonthlyIncome]]&lt;3000,"Low Salary",IF(HR_Data[[#This Row],[MonthlyIncome]]&lt;=7000,"Medium Salary","High Salary"))</f>
        <v>High Salary</v>
      </c>
      <c r="AN701" t="str">
        <f>IF(HR_Data[[#This Row],[YearsAtCompany]]&lt;2,"0-1 Years",IF(HR_Data[[#This Row],[YearsAtCompany]]&lt;=5,"2-5 Years",IF(HR_Data[[#This Row],[YearsAtCompany]]&lt;=10,"6-10 Years","10+ Years")))</f>
        <v>6-10 Years</v>
      </c>
      <c r="AO701" t="str">
        <f>IF(HR_Data[[#This Row],[JobSatisfaction]]=1,"Low",IF(HR_Data[[#This Row],[JobSatisfaction]]=2,"Medium",IF(HR_Data[[#This Row],[JobSatisfaction]]=3,"High","Very High")))</f>
        <v>Very High</v>
      </c>
      <c r="AP701" t="str">
        <f>IF(HR_Data[[#This Row],[WorkLifeBalance]]=1,"Bad",IF(HR_Data[[#This Row],[WorkLifeBalance]]=2,"Good",IF(HR_Data[[#This Row],[WorkLifeBalance]]=3,"Better","Best")))</f>
        <v>Good</v>
      </c>
    </row>
    <row r="702" spans="1:42"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IF(HR_Data[[#This Row],[Attrition]]="Yes",1,0)</f>
        <v>1</v>
      </c>
      <c r="AK702">
        <f>IF(HR_Data[[#This Row],[Attrition]]="No",1,0)</f>
        <v>0</v>
      </c>
      <c r="AL702" t="str">
        <f>IF(HR_Data[[#This Row],[Age]]&lt;25,"Under 25",IF(HR_Data[[#This Row],[Age]]&lt;=34,"25-34",IF(HR_Data[[#This Row],[Age]]&lt;=44,"35-44",IF(HR_Data[[#This Row],[Age]]&lt;=54,"45-54","55+"))))</f>
        <v>55+</v>
      </c>
      <c r="AM702" t="str">
        <f>IF(HR_Data[[#This Row],[MonthlyIncome]]&lt;3000,"Low Salary",IF(HR_Data[[#This Row],[MonthlyIncome]]&lt;=7000,"Medium Salary","High Salary"))</f>
        <v>Low Salary</v>
      </c>
      <c r="AN702" t="str">
        <f>IF(HR_Data[[#This Row],[YearsAtCompany]]&lt;2,"0-1 Years",IF(HR_Data[[#This Row],[YearsAtCompany]]&lt;=5,"2-5 Years",IF(HR_Data[[#This Row],[YearsAtCompany]]&lt;=10,"6-10 Years","10+ Years")))</f>
        <v>0-1 Years</v>
      </c>
      <c r="AO702" t="str">
        <f>IF(HR_Data[[#This Row],[JobSatisfaction]]=1,"Low",IF(HR_Data[[#This Row],[JobSatisfaction]]=2,"Medium",IF(HR_Data[[#This Row],[JobSatisfaction]]=3,"High","Very High")))</f>
        <v>High</v>
      </c>
      <c r="AP702" t="str">
        <f>IF(HR_Data[[#This Row],[WorkLifeBalance]]=1,"Bad",IF(HR_Data[[#This Row],[WorkLifeBalance]]=2,"Good",IF(HR_Data[[#This Row],[WorkLifeBalance]]=3,"Better","Best")))</f>
        <v>Better</v>
      </c>
    </row>
    <row r="703" spans="1:42"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IF(HR_Data[[#This Row],[Attrition]]="Yes",1,0)</f>
        <v>0</v>
      </c>
      <c r="AK703">
        <f>IF(HR_Data[[#This Row],[Attrition]]="No",1,0)</f>
        <v>1</v>
      </c>
      <c r="AL703" t="str">
        <f>IF(HR_Data[[#This Row],[Age]]&lt;25,"Under 25",IF(HR_Data[[#This Row],[Age]]&lt;=34,"25-34",IF(HR_Data[[#This Row],[Age]]&lt;=44,"35-44",IF(HR_Data[[#This Row],[Age]]&lt;=54,"45-54","55+"))))</f>
        <v>45-54</v>
      </c>
      <c r="AM703" t="str">
        <f>IF(HR_Data[[#This Row],[MonthlyIncome]]&lt;3000,"Low Salary",IF(HR_Data[[#This Row],[MonthlyIncome]]&lt;=7000,"Medium Salary","High Salary"))</f>
        <v>High Salary</v>
      </c>
      <c r="AN703" t="str">
        <f>IF(HR_Data[[#This Row],[YearsAtCompany]]&lt;2,"0-1 Years",IF(HR_Data[[#This Row],[YearsAtCompany]]&lt;=5,"2-5 Years",IF(HR_Data[[#This Row],[YearsAtCompany]]&lt;=10,"6-10 Years","10+ Years")))</f>
        <v>10+ Years</v>
      </c>
      <c r="AO703" t="str">
        <f>IF(HR_Data[[#This Row],[JobSatisfaction]]=1,"Low",IF(HR_Data[[#This Row],[JobSatisfaction]]=2,"Medium",IF(HR_Data[[#This Row],[JobSatisfaction]]=3,"High","Very High")))</f>
        <v>High</v>
      </c>
      <c r="AP703" t="str">
        <f>IF(HR_Data[[#This Row],[WorkLifeBalance]]=1,"Bad",IF(HR_Data[[#This Row],[WorkLifeBalance]]=2,"Good",IF(HR_Data[[#This Row],[WorkLifeBalance]]=3,"Better","Best")))</f>
        <v>Best</v>
      </c>
    </row>
    <row r="704" spans="1:42"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IF(HR_Data[[#This Row],[Attrition]]="Yes",1,0)</f>
        <v>0</v>
      </c>
      <c r="AK704">
        <f>IF(HR_Data[[#This Row],[Attrition]]="No",1,0)</f>
        <v>1</v>
      </c>
      <c r="AL704" t="str">
        <f>IF(HR_Data[[#This Row],[Age]]&lt;25,"Under 25",IF(HR_Data[[#This Row],[Age]]&lt;=34,"25-34",IF(HR_Data[[#This Row],[Age]]&lt;=44,"35-44",IF(HR_Data[[#This Row],[Age]]&lt;=54,"45-54","55+"))))</f>
        <v>25-34</v>
      </c>
      <c r="AM704" t="str">
        <f>IF(HR_Data[[#This Row],[MonthlyIncome]]&lt;3000,"Low Salary",IF(HR_Data[[#This Row],[MonthlyIncome]]&lt;=7000,"Medium Salary","High Salary"))</f>
        <v>High Salary</v>
      </c>
      <c r="AN704" t="str">
        <f>IF(HR_Data[[#This Row],[YearsAtCompany]]&lt;2,"0-1 Years",IF(HR_Data[[#This Row],[YearsAtCompany]]&lt;=5,"2-5 Years",IF(HR_Data[[#This Row],[YearsAtCompany]]&lt;=10,"6-10 Years","10+ Years")))</f>
        <v>6-10 Years</v>
      </c>
      <c r="AO704" t="str">
        <f>IF(HR_Data[[#This Row],[JobSatisfaction]]=1,"Low",IF(HR_Data[[#This Row],[JobSatisfaction]]=2,"Medium",IF(HR_Data[[#This Row],[JobSatisfaction]]=3,"High","Very High")))</f>
        <v>High</v>
      </c>
      <c r="AP704" t="str">
        <f>IF(HR_Data[[#This Row],[WorkLifeBalance]]=1,"Bad",IF(HR_Data[[#This Row],[WorkLifeBalance]]=2,"Good",IF(HR_Data[[#This Row],[WorkLifeBalance]]=3,"Better","Best")))</f>
        <v>Best</v>
      </c>
    </row>
    <row r="705" spans="1:42"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IF(HR_Data[[#This Row],[Attrition]]="Yes",1,0)</f>
        <v>0</v>
      </c>
      <c r="AK705">
        <f>IF(HR_Data[[#This Row],[Attrition]]="No",1,0)</f>
        <v>1</v>
      </c>
      <c r="AL705" t="str">
        <f>IF(HR_Data[[#This Row],[Age]]&lt;25,"Under 25",IF(HR_Data[[#This Row],[Age]]&lt;=34,"25-34",IF(HR_Data[[#This Row],[Age]]&lt;=44,"35-44",IF(HR_Data[[#This Row],[Age]]&lt;=54,"45-54","55+"))))</f>
        <v>35-44</v>
      </c>
      <c r="AM705" t="str">
        <f>IF(HR_Data[[#This Row],[MonthlyIncome]]&lt;3000,"Low Salary",IF(HR_Data[[#This Row],[MonthlyIncome]]&lt;=7000,"Medium Salary","High Salary"))</f>
        <v>Medium Salary</v>
      </c>
      <c r="AN705" t="str">
        <f>IF(HR_Data[[#This Row],[YearsAtCompany]]&lt;2,"0-1 Years",IF(HR_Data[[#This Row],[YearsAtCompany]]&lt;=5,"2-5 Years",IF(HR_Data[[#This Row],[YearsAtCompany]]&lt;=10,"6-10 Years","10+ Years")))</f>
        <v>2-5 Years</v>
      </c>
      <c r="AO705" t="str">
        <f>IF(HR_Data[[#This Row],[JobSatisfaction]]=1,"Low",IF(HR_Data[[#This Row],[JobSatisfaction]]=2,"Medium",IF(HR_Data[[#This Row],[JobSatisfaction]]=3,"High","Very High")))</f>
        <v>Very High</v>
      </c>
      <c r="AP705" t="str">
        <f>IF(HR_Data[[#This Row],[WorkLifeBalance]]=1,"Bad",IF(HR_Data[[#This Row],[WorkLifeBalance]]=2,"Good",IF(HR_Data[[#This Row],[WorkLifeBalance]]=3,"Better","Best")))</f>
        <v>Better</v>
      </c>
    </row>
    <row r="706" spans="1:42"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IF(HR_Data[[#This Row],[Attrition]]="Yes",1,0)</f>
        <v>0</v>
      </c>
      <c r="AK706">
        <f>IF(HR_Data[[#This Row],[Attrition]]="No",1,0)</f>
        <v>1</v>
      </c>
      <c r="AL706" t="str">
        <f>IF(HR_Data[[#This Row],[Age]]&lt;25,"Under 25",IF(HR_Data[[#This Row],[Age]]&lt;=34,"25-34",IF(HR_Data[[#This Row],[Age]]&lt;=44,"35-44",IF(HR_Data[[#This Row],[Age]]&lt;=54,"45-54","55+"))))</f>
        <v>35-44</v>
      </c>
      <c r="AM706" t="str">
        <f>IF(HR_Data[[#This Row],[MonthlyIncome]]&lt;3000,"Low Salary",IF(HR_Data[[#This Row],[MonthlyIncome]]&lt;=7000,"Medium Salary","High Salary"))</f>
        <v>High Salary</v>
      </c>
      <c r="AN706" t="str">
        <f>IF(HR_Data[[#This Row],[YearsAtCompany]]&lt;2,"0-1 Years",IF(HR_Data[[#This Row],[YearsAtCompany]]&lt;=5,"2-5 Years",IF(HR_Data[[#This Row],[YearsAtCompany]]&lt;=10,"6-10 Years","10+ Years")))</f>
        <v>6-10 Years</v>
      </c>
      <c r="AO706" t="str">
        <f>IF(HR_Data[[#This Row],[JobSatisfaction]]=1,"Low",IF(HR_Data[[#This Row],[JobSatisfaction]]=2,"Medium",IF(HR_Data[[#This Row],[JobSatisfaction]]=3,"High","Very High")))</f>
        <v>Very High</v>
      </c>
      <c r="AP706" t="str">
        <f>IF(HR_Data[[#This Row],[WorkLifeBalance]]=1,"Bad",IF(HR_Data[[#This Row],[WorkLifeBalance]]=2,"Good",IF(HR_Data[[#This Row],[WorkLifeBalance]]=3,"Better","Best")))</f>
        <v>Better</v>
      </c>
    </row>
    <row r="707" spans="1:42"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IF(HR_Data[[#This Row],[Attrition]]="Yes",1,0)</f>
        <v>0</v>
      </c>
      <c r="AK707">
        <f>IF(HR_Data[[#This Row],[Attrition]]="No",1,0)</f>
        <v>1</v>
      </c>
      <c r="AL707" t="str">
        <f>IF(HR_Data[[#This Row],[Age]]&lt;25,"Under 25",IF(HR_Data[[#This Row],[Age]]&lt;=34,"25-34",IF(HR_Data[[#This Row],[Age]]&lt;=44,"35-44",IF(HR_Data[[#This Row],[Age]]&lt;=54,"45-54","55+"))))</f>
        <v>35-44</v>
      </c>
      <c r="AM707" t="str">
        <f>IF(HR_Data[[#This Row],[MonthlyIncome]]&lt;3000,"Low Salary",IF(HR_Data[[#This Row],[MonthlyIncome]]&lt;=7000,"Medium Salary","High Salary"))</f>
        <v>High Salary</v>
      </c>
      <c r="AN707" t="str">
        <f>IF(HR_Data[[#This Row],[YearsAtCompany]]&lt;2,"0-1 Years",IF(HR_Data[[#This Row],[YearsAtCompany]]&lt;=5,"2-5 Years",IF(HR_Data[[#This Row],[YearsAtCompany]]&lt;=10,"6-10 Years","10+ Years")))</f>
        <v>6-10 Years</v>
      </c>
      <c r="AO707" t="str">
        <f>IF(HR_Data[[#This Row],[JobSatisfaction]]=1,"Low",IF(HR_Data[[#This Row],[JobSatisfaction]]=2,"Medium",IF(HR_Data[[#This Row],[JobSatisfaction]]=3,"High","Very High")))</f>
        <v>High</v>
      </c>
      <c r="AP707" t="str">
        <f>IF(HR_Data[[#This Row],[WorkLifeBalance]]=1,"Bad",IF(HR_Data[[#This Row],[WorkLifeBalance]]=2,"Good",IF(HR_Data[[#This Row],[WorkLifeBalance]]=3,"Better","Best")))</f>
        <v>Better</v>
      </c>
    </row>
    <row r="708" spans="1:42"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IF(HR_Data[[#This Row],[Attrition]]="Yes",1,0)</f>
        <v>1</v>
      </c>
      <c r="AK708">
        <f>IF(HR_Data[[#This Row],[Attrition]]="No",1,0)</f>
        <v>0</v>
      </c>
      <c r="AL708" t="str">
        <f>IF(HR_Data[[#This Row],[Age]]&lt;25,"Under 25",IF(HR_Data[[#This Row],[Age]]&lt;=34,"25-34",IF(HR_Data[[#This Row],[Age]]&lt;=44,"35-44",IF(HR_Data[[#This Row],[Age]]&lt;=54,"45-54","55+"))))</f>
        <v>35-44</v>
      </c>
      <c r="AM708" t="str">
        <f>IF(HR_Data[[#This Row],[MonthlyIncome]]&lt;3000,"Low Salary",IF(HR_Data[[#This Row],[MonthlyIncome]]&lt;=7000,"Medium Salary","High Salary"))</f>
        <v>High Salary</v>
      </c>
      <c r="AN708" t="str">
        <f>IF(HR_Data[[#This Row],[YearsAtCompany]]&lt;2,"0-1 Years",IF(HR_Data[[#This Row],[YearsAtCompany]]&lt;=5,"2-5 Years",IF(HR_Data[[#This Row],[YearsAtCompany]]&lt;=10,"6-10 Years","10+ Years")))</f>
        <v>0-1 Years</v>
      </c>
      <c r="AO708" t="str">
        <f>IF(HR_Data[[#This Row],[JobSatisfaction]]=1,"Low",IF(HR_Data[[#This Row],[JobSatisfaction]]=2,"Medium",IF(HR_Data[[#This Row],[JobSatisfaction]]=3,"High","Very High")))</f>
        <v>Medium</v>
      </c>
      <c r="AP708" t="str">
        <f>IF(HR_Data[[#This Row],[WorkLifeBalance]]=1,"Bad",IF(HR_Data[[#This Row],[WorkLifeBalance]]=2,"Good",IF(HR_Data[[#This Row],[WorkLifeBalance]]=3,"Better","Best")))</f>
        <v>Good</v>
      </c>
    </row>
    <row r="709" spans="1:42"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IF(HR_Data[[#This Row],[Attrition]]="Yes",1,0)</f>
        <v>0</v>
      </c>
      <c r="AK709">
        <f>IF(HR_Data[[#This Row],[Attrition]]="No",1,0)</f>
        <v>1</v>
      </c>
      <c r="AL709" t="str">
        <f>IF(HR_Data[[#This Row],[Age]]&lt;25,"Under 25",IF(HR_Data[[#This Row],[Age]]&lt;=34,"25-34",IF(HR_Data[[#This Row],[Age]]&lt;=44,"35-44",IF(HR_Data[[#This Row],[Age]]&lt;=54,"45-54","55+"))))</f>
        <v>45-54</v>
      </c>
      <c r="AM709" t="str">
        <f>IF(HR_Data[[#This Row],[MonthlyIncome]]&lt;3000,"Low Salary",IF(HR_Data[[#This Row],[MonthlyIncome]]&lt;=7000,"Medium Salary","High Salary"))</f>
        <v>Medium Salary</v>
      </c>
      <c r="AN709" t="str">
        <f>IF(HR_Data[[#This Row],[YearsAtCompany]]&lt;2,"0-1 Years",IF(HR_Data[[#This Row],[YearsAtCompany]]&lt;=5,"2-5 Years",IF(HR_Data[[#This Row],[YearsAtCompany]]&lt;=10,"6-10 Years","10+ Years")))</f>
        <v>10+ Years</v>
      </c>
      <c r="AO709" t="str">
        <f>IF(HR_Data[[#This Row],[JobSatisfaction]]=1,"Low",IF(HR_Data[[#This Row],[JobSatisfaction]]=2,"Medium",IF(HR_Data[[#This Row],[JobSatisfaction]]=3,"High","Very High")))</f>
        <v>High</v>
      </c>
      <c r="AP709" t="str">
        <f>IF(HR_Data[[#This Row],[WorkLifeBalance]]=1,"Bad",IF(HR_Data[[#This Row],[WorkLifeBalance]]=2,"Good",IF(HR_Data[[#This Row],[WorkLifeBalance]]=3,"Better","Best")))</f>
        <v>Best</v>
      </c>
    </row>
    <row r="710" spans="1:42"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IF(HR_Data[[#This Row],[Attrition]]="Yes",1,0)</f>
        <v>0</v>
      </c>
      <c r="AK710">
        <f>IF(HR_Data[[#This Row],[Attrition]]="No",1,0)</f>
        <v>1</v>
      </c>
      <c r="AL710" t="str">
        <f>IF(HR_Data[[#This Row],[Age]]&lt;25,"Under 25",IF(HR_Data[[#This Row],[Age]]&lt;=34,"25-34",IF(HR_Data[[#This Row],[Age]]&lt;=44,"35-44",IF(HR_Data[[#This Row],[Age]]&lt;=54,"45-54","55+"))))</f>
        <v>35-44</v>
      </c>
      <c r="AM710" t="str">
        <f>IF(HR_Data[[#This Row],[MonthlyIncome]]&lt;3000,"Low Salary",IF(HR_Data[[#This Row],[MonthlyIncome]]&lt;=7000,"Medium Salary","High Salary"))</f>
        <v>Medium Salary</v>
      </c>
      <c r="AN710" t="str">
        <f>IF(HR_Data[[#This Row],[YearsAtCompany]]&lt;2,"0-1 Years",IF(HR_Data[[#This Row],[YearsAtCompany]]&lt;=5,"2-5 Years",IF(HR_Data[[#This Row],[YearsAtCompany]]&lt;=10,"6-10 Years","10+ Years")))</f>
        <v>6-10 Years</v>
      </c>
      <c r="AO710" t="str">
        <f>IF(HR_Data[[#This Row],[JobSatisfaction]]=1,"Low",IF(HR_Data[[#This Row],[JobSatisfaction]]=2,"Medium",IF(HR_Data[[#This Row],[JobSatisfaction]]=3,"High","Very High")))</f>
        <v>Very High</v>
      </c>
      <c r="AP710" t="str">
        <f>IF(HR_Data[[#This Row],[WorkLifeBalance]]=1,"Bad",IF(HR_Data[[#This Row],[WorkLifeBalance]]=2,"Good",IF(HR_Data[[#This Row],[WorkLifeBalance]]=3,"Better","Best")))</f>
        <v>Better</v>
      </c>
    </row>
    <row r="711" spans="1:42"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IF(HR_Data[[#This Row],[Attrition]]="Yes",1,0)</f>
        <v>1</v>
      </c>
      <c r="AK711">
        <f>IF(HR_Data[[#This Row],[Attrition]]="No",1,0)</f>
        <v>0</v>
      </c>
      <c r="AL711" t="str">
        <f>IF(HR_Data[[#This Row],[Age]]&lt;25,"Under 25",IF(HR_Data[[#This Row],[Age]]&lt;=34,"25-34",IF(HR_Data[[#This Row],[Age]]&lt;=44,"35-44",IF(HR_Data[[#This Row],[Age]]&lt;=54,"45-54","55+"))))</f>
        <v>25-34</v>
      </c>
      <c r="AM711" t="str">
        <f>IF(HR_Data[[#This Row],[MonthlyIncome]]&lt;3000,"Low Salary",IF(HR_Data[[#This Row],[MonthlyIncome]]&lt;=7000,"Medium Salary","High Salary"))</f>
        <v>Low Salary</v>
      </c>
      <c r="AN711" t="str">
        <f>IF(HR_Data[[#This Row],[YearsAtCompany]]&lt;2,"0-1 Years",IF(HR_Data[[#This Row],[YearsAtCompany]]&lt;=5,"2-5 Years",IF(HR_Data[[#This Row],[YearsAtCompany]]&lt;=10,"6-10 Years","10+ Years")))</f>
        <v>2-5 Years</v>
      </c>
      <c r="AO711" t="str">
        <f>IF(HR_Data[[#This Row],[JobSatisfaction]]=1,"Low",IF(HR_Data[[#This Row],[JobSatisfaction]]=2,"Medium",IF(HR_Data[[#This Row],[JobSatisfaction]]=3,"High","Very High")))</f>
        <v>Low</v>
      </c>
      <c r="AP711" t="str">
        <f>IF(HR_Data[[#This Row],[WorkLifeBalance]]=1,"Bad",IF(HR_Data[[#This Row],[WorkLifeBalance]]=2,"Good",IF(HR_Data[[#This Row],[WorkLifeBalance]]=3,"Better","Best")))</f>
        <v>Better</v>
      </c>
    </row>
    <row r="712" spans="1:42"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IF(HR_Data[[#This Row],[Attrition]]="Yes",1,0)</f>
        <v>0</v>
      </c>
      <c r="AK712">
        <f>IF(HR_Data[[#This Row],[Attrition]]="No",1,0)</f>
        <v>1</v>
      </c>
      <c r="AL712" t="str">
        <f>IF(HR_Data[[#This Row],[Age]]&lt;25,"Under 25",IF(HR_Data[[#This Row],[Age]]&lt;=34,"25-34",IF(HR_Data[[#This Row],[Age]]&lt;=44,"35-44",IF(HR_Data[[#This Row],[Age]]&lt;=54,"45-54","55+"))))</f>
        <v>25-34</v>
      </c>
      <c r="AM712" t="str">
        <f>IF(HR_Data[[#This Row],[MonthlyIncome]]&lt;3000,"Low Salary",IF(HR_Data[[#This Row],[MonthlyIncome]]&lt;=7000,"Medium Salary","High Salary"))</f>
        <v>High Salary</v>
      </c>
      <c r="AN712" t="str">
        <f>IF(HR_Data[[#This Row],[YearsAtCompany]]&lt;2,"0-1 Years",IF(HR_Data[[#This Row],[YearsAtCompany]]&lt;=5,"2-5 Years",IF(HR_Data[[#This Row],[YearsAtCompany]]&lt;=10,"6-10 Years","10+ Years")))</f>
        <v>6-10 Years</v>
      </c>
      <c r="AO712" t="str">
        <f>IF(HR_Data[[#This Row],[JobSatisfaction]]=1,"Low",IF(HR_Data[[#This Row],[JobSatisfaction]]=2,"Medium",IF(HR_Data[[#This Row],[JobSatisfaction]]=3,"High","Very High")))</f>
        <v>High</v>
      </c>
      <c r="AP712" t="str">
        <f>IF(HR_Data[[#This Row],[WorkLifeBalance]]=1,"Bad",IF(HR_Data[[#This Row],[WorkLifeBalance]]=2,"Good",IF(HR_Data[[#This Row],[WorkLifeBalance]]=3,"Better","Best")))</f>
        <v>Better</v>
      </c>
    </row>
    <row r="713" spans="1:42"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IF(HR_Data[[#This Row],[Attrition]]="Yes",1,0)</f>
        <v>1</v>
      </c>
      <c r="AK713">
        <f>IF(HR_Data[[#This Row],[Attrition]]="No",1,0)</f>
        <v>0</v>
      </c>
      <c r="AL713" t="str">
        <f>IF(HR_Data[[#This Row],[Age]]&lt;25,"Under 25",IF(HR_Data[[#This Row],[Age]]&lt;=34,"25-34",IF(HR_Data[[#This Row],[Age]]&lt;=44,"35-44",IF(HR_Data[[#This Row],[Age]]&lt;=54,"45-54","55+"))))</f>
        <v>25-34</v>
      </c>
      <c r="AM713" t="str">
        <f>IF(HR_Data[[#This Row],[MonthlyIncome]]&lt;3000,"Low Salary",IF(HR_Data[[#This Row],[MonthlyIncome]]&lt;=7000,"Medium Salary","High Salary"))</f>
        <v>Low Salary</v>
      </c>
      <c r="AN713" t="str">
        <f>IF(HR_Data[[#This Row],[YearsAtCompany]]&lt;2,"0-1 Years",IF(HR_Data[[#This Row],[YearsAtCompany]]&lt;=5,"2-5 Years",IF(HR_Data[[#This Row],[YearsAtCompany]]&lt;=10,"6-10 Years","10+ Years")))</f>
        <v>0-1 Years</v>
      </c>
      <c r="AO713" t="str">
        <f>IF(HR_Data[[#This Row],[JobSatisfaction]]=1,"Low",IF(HR_Data[[#This Row],[JobSatisfaction]]=2,"Medium",IF(HR_Data[[#This Row],[JobSatisfaction]]=3,"High","Very High")))</f>
        <v>Low</v>
      </c>
      <c r="AP713" t="str">
        <f>IF(HR_Data[[#This Row],[WorkLifeBalance]]=1,"Bad",IF(HR_Data[[#This Row],[WorkLifeBalance]]=2,"Good",IF(HR_Data[[#This Row],[WorkLifeBalance]]=3,"Better","Best")))</f>
        <v>Better</v>
      </c>
    </row>
    <row r="714" spans="1:42"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IF(HR_Data[[#This Row],[Attrition]]="Yes",1,0)</f>
        <v>0</v>
      </c>
      <c r="AK714">
        <f>IF(HR_Data[[#This Row],[Attrition]]="No",1,0)</f>
        <v>1</v>
      </c>
      <c r="AL714" t="str">
        <f>IF(HR_Data[[#This Row],[Age]]&lt;25,"Under 25",IF(HR_Data[[#This Row],[Age]]&lt;=34,"25-34",IF(HR_Data[[#This Row],[Age]]&lt;=44,"35-44",IF(HR_Data[[#This Row],[Age]]&lt;=54,"45-54","55+"))))</f>
        <v>25-34</v>
      </c>
      <c r="AM714" t="str">
        <f>IF(HR_Data[[#This Row],[MonthlyIncome]]&lt;3000,"Low Salary",IF(HR_Data[[#This Row],[MonthlyIncome]]&lt;=7000,"Medium Salary","High Salary"))</f>
        <v>Medium Salary</v>
      </c>
      <c r="AN714" t="str">
        <f>IF(HR_Data[[#This Row],[YearsAtCompany]]&lt;2,"0-1 Years",IF(HR_Data[[#This Row],[YearsAtCompany]]&lt;=5,"2-5 Years",IF(HR_Data[[#This Row],[YearsAtCompany]]&lt;=10,"6-10 Years","10+ Years")))</f>
        <v>2-5 Years</v>
      </c>
      <c r="AO714" t="str">
        <f>IF(HR_Data[[#This Row],[JobSatisfaction]]=1,"Low",IF(HR_Data[[#This Row],[JobSatisfaction]]=2,"Medium",IF(HR_Data[[#This Row],[JobSatisfaction]]=3,"High","Very High")))</f>
        <v>Very High</v>
      </c>
      <c r="AP714" t="str">
        <f>IF(HR_Data[[#This Row],[WorkLifeBalance]]=1,"Bad",IF(HR_Data[[#This Row],[WorkLifeBalance]]=2,"Good",IF(HR_Data[[#This Row],[WorkLifeBalance]]=3,"Better","Best")))</f>
        <v>Better</v>
      </c>
    </row>
    <row r="715" spans="1:42"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IF(HR_Data[[#This Row],[Attrition]]="Yes",1,0)</f>
        <v>0</v>
      </c>
      <c r="AK715">
        <f>IF(HR_Data[[#This Row],[Attrition]]="No",1,0)</f>
        <v>1</v>
      </c>
      <c r="AL715" t="str">
        <f>IF(HR_Data[[#This Row],[Age]]&lt;25,"Under 25",IF(HR_Data[[#This Row],[Age]]&lt;=34,"25-34",IF(HR_Data[[#This Row],[Age]]&lt;=44,"35-44",IF(HR_Data[[#This Row],[Age]]&lt;=54,"45-54","55+"))))</f>
        <v>45-54</v>
      </c>
      <c r="AM715" t="str">
        <f>IF(HR_Data[[#This Row],[MonthlyIncome]]&lt;3000,"Low Salary",IF(HR_Data[[#This Row],[MonthlyIncome]]&lt;=7000,"Medium Salary","High Salary"))</f>
        <v>Low Salary</v>
      </c>
      <c r="AN715" t="str">
        <f>IF(HR_Data[[#This Row],[YearsAtCompany]]&lt;2,"0-1 Years",IF(HR_Data[[#This Row],[YearsAtCompany]]&lt;=5,"2-5 Years",IF(HR_Data[[#This Row],[YearsAtCompany]]&lt;=10,"6-10 Years","10+ Years")))</f>
        <v>2-5 Years</v>
      </c>
      <c r="AO715" t="str">
        <f>IF(HR_Data[[#This Row],[JobSatisfaction]]=1,"Low",IF(HR_Data[[#This Row],[JobSatisfaction]]=2,"Medium",IF(HR_Data[[#This Row],[JobSatisfaction]]=3,"High","Very High")))</f>
        <v>Very High</v>
      </c>
      <c r="AP715" t="str">
        <f>IF(HR_Data[[#This Row],[WorkLifeBalance]]=1,"Bad",IF(HR_Data[[#This Row],[WorkLifeBalance]]=2,"Good",IF(HR_Data[[#This Row],[WorkLifeBalance]]=3,"Better","Best")))</f>
        <v>Better</v>
      </c>
    </row>
    <row r="716" spans="1:42"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IF(HR_Data[[#This Row],[Attrition]]="Yes",1,0)</f>
        <v>0</v>
      </c>
      <c r="AK716">
        <f>IF(HR_Data[[#This Row],[Attrition]]="No",1,0)</f>
        <v>1</v>
      </c>
      <c r="AL716" t="str">
        <f>IF(HR_Data[[#This Row],[Age]]&lt;25,"Under 25",IF(HR_Data[[#This Row],[Age]]&lt;=34,"25-34",IF(HR_Data[[#This Row],[Age]]&lt;=44,"35-44",IF(HR_Data[[#This Row],[Age]]&lt;=54,"45-54","55+"))))</f>
        <v>45-54</v>
      </c>
      <c r="AM716" t="str">
        <f>IF(HR_Data[[#This Row],[MonthlyIncome]]&lt;3000,"Low Salary",IF(HR_Data[[#This Row],[MonthlyIncome]]&lt;=7000,"Medium Salary","High Salary"))</f>
        <v>High Salary</v>
      </c>
      <c r="AN716" t="str">
        <f>IF(HR_Data[[#This Row],[YearsAtCompany]]&lt;2,"0-1 Years",IF(HR_Data[[#This Row],[YearsAtCompany]]&lt;=5,"2-5 Years",IF(HR_Data[[#This Row],[YearsAtCompany]]&lt;=10,"6-10 Years","10+ Years")))</f>
        <v>2-5 Years</v>
      </c>
      <c r="AO716" t="str">
        <f>IF(HR_Data[[#This Row],[JobSatisfaction]]=1,"Low",IF(HR_Data[[#This Row],[JobSatisfaction]]=2,"Medium",IF(HR_Data[[#This Row],[JobSatisfaction]]=3,"High","Very High")))</f>
        <v>Very High</v>
      </c>
      <c r="AP716" t="str">
        <f>IF(HR_Data[[#This Row],[WorkLifeBalance]]=1,"Bad",IF(HR_Data[[#This Row],[WorkLifeBalance]]=2,"Good",IF(HR_Data[[#This Row],[WorkLifeBalance]]=3,"Better","Best")))</f>
        <v>Good</v>
      </c>
    </row>
    <row r="717" spans="1:42"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IF(HR_Data[[#This Row],[Attrition]]="Yes",1,0)</f>
        <v>0</v>
      </c>
      <c r="AK717">
        <f>IF(HR_Data[[#This Row],[Attrition]]="No",1,0)</f>
        <v>1</v>
      </c>
      <c r="AL717" t="str">
        <f>IF(HR_Data[[#This Row],[Age]]&lt;25,"Under 25",IF(HR_Data[[#This Row],[Age]]&lt;=34,"25-34",IF(HR_Data[[#This Row],[Age]]&lt;=44,"35-44",IF(HR_Data[[#This Row],[Age]]&lt;=54,"45-54","55+"))))</f>
        <v>25-34</v>
      </c>
      <c r="AM717" t="str">
        <f>IF(HR_Data[[#This Row],[MonthlyIncome]]&lt;3000,"Low Salary",IF(HR_Data[[#This Row],[MonthlyIncome]]&lt;=7000,"Medium Salary","High Salary"))</f>
        <v>Medium Salary</v>
      </c>
      <c r="AN717" t="str">
        <f>IF(HR_Data[[#This Row],[YearsAtCompany]]&lt;2,"0-1 Years",IF(HR_Data[[#This Row],[YearsAtCompany]]&lt;=5,"2-5 Years",IF(HR_Data[[#This Row],[YearsAtCompany]]&lt;=10,"6-10 Years","10+ Years")))</f>
        <v>6-10 Years</v>
      </c>
      <c r="AO717" t="str">
        <f>IF(HR_Data[[#This Row],[JobSatisfaction]]=1,"Low",IF(HR_Data[[#This Row],[JobSatisfaction]]=2,"Medium",IF(HR_Data[[#This Row],[JobSatisfaction]]=3,"High","Very High")))</f>
        <v>Medium</v>
      </c>
      <c r="AP717" t="str">
        <f>IF(HR_Data[[#This Row],[WorkLifeBalance]]=1,"Bad",IF(HR_Data[[#This Row],[WorkLifeBalance]]=2,"Good",IF(HR_Data[[#This Row],[WorkLifeBalance]]=3,"Better","Best")))</f>
        <v>Better</v>
      </c>
    </row>
    <row r="718" spans="1:42"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IF(HR_Data[[#This Row],[Attrition]]="Yes",1,0)</f>
        <v>0</v>
      </c>
      <c r="AK718">
        <f>IF(HR_Data[[#This Row],[Attrition]]="No",1,0)</f>
        <v>1</v>
      </c>
      <c r="AL718" t="str">
        <f>IF(HR_Data[[#This Row],[Age]]&lt;25,"Under 25",IF(HR_Data[[#This Row],[Age]]&lt;=34,"25-34",IF(HR_Data[[#This Row],[Age]]&lt;=44,"35-44",IF(HR_Data[[#This Row],[Age]]&lt;=54,"45-54","55+"))))</f>
        <v>35-44</v>
      </c>
      <c r="AM718" t="str">
        <f>IF(HR_Data[[#This Row],[MonthlyIncome]]&lt;3000,"Low Salary",IF(HR_Data[[#This Row],[MonthlyIncome]]&lt;=7000,"Medium Salary","High Salary"))</f>
        <v>High Salary</v>
      </c>
      <c r="AN718" t="str">
        <f>IF(HR_Data[[#This Row],[YearsAtCompany]]&lt;2,"0-1 Years",IF(HR_Data[[#This Row],[YearsAtCompany]]&lt;=5,"2-5 Years",IF(HR_Data[[#This Row],[YearsAtCompany]]&lt;=10,"6-10 Years","10+ Years")))</f>
        <v>10+ Years</v>
      </c>
      <c r="AO718" t="str">
        <f>IF(HR_Data[[#This Row],[JobSatisfaction]]=1,"Low",IF(HR_Data[[#This Row],[JobSatisfaction]]=2,"Medium",IF(HR_Data[[#This Row],[JobSatisfaction]]=3,"High","Very High")))</f>
        <v>High</v>
      </c>
      <c r="AP718" t="str">
        <f>IF(HR_Data[[#This Row],[WorkLifeBalance]]=1,"Bad",IF(HR_Data[[#This Row],[WorkLifeBalance]]=2,"Good",IF(HR_Data[[#This Row],[WorkLifeBalance]]=3,"Better","Best")))</f>
        <v>Best</v>
      </c>
    </row>
    <row r="719" spans="1:42"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IF(HR_Data[[#This Row],[Attrition]]="Yes",1,0)</f>
        <v>0</v>
      </c>
      <c r="AK719">
        <f>IF(HR_Data[[#This Row],[Attrition]]="No",1,0)</f>
        <v>1</v>
      </c>
      <c r="AL719" t="str">
        <f>IF(HR_Data[[#This Row],[Age]]&lt;25,"Under 25",IF(HR_Data[[#This Row],[Age]]&lt;=34,"25-34",IF(HR_Data[[#This Row],[Age]]&lt;=44,"35-44",IF(HR_Data[[#This Row],[Age]]&lt;=54,"45-54","55+"))))</f>
        <v>25-34</v>
      </c>
      <c r="AM719" t="str">
        <f>IF(HR_Data[[#This Row],[MonthlyIncome]]&lt;3000,"Low Salary",IF(HR_Data[[#This Row],[MonthlyIncome]]&lt;=7000,"Medium Salary","High Salary"))</f>
        <v>Low Salary</v>
      </c>
      <c r="AN719" t="str">
        <f>IF(HR_Data[[#This Row],[YearsAtCompany]]&lt;2,"0-1 Years",IF(HR_Data[[#This Row],[YearsAtCompany]]&lt;=5,"2-5 Years",IF(HR_Data[[#This Row],[YearsAtCompany]]&lt;=10,"6-10 Years","10+ Years")))</f>
        <v>2-5 Years</v>
      </c>
      <c r="AO719" t="str">
        <f>IF(HR_Data[[#This Row],[JobSatisfaction]]=1,"Low",IF(HR_Data[[#This Row],[JobSatisfaction]]=2,"Medium",IF(HR_Data[[#This Row],[JobSatisfaction]]=3,"High","Very High")))</f>
        <v>Medium</v>
      </c>
      <c r="AP719" t="str">
        <f>IF(HR_Data[[#This Row],[WorkLifeBalance]]=1,"Bad",IF(HR_Data[[#This Row],[WorkLifeBalance]]=2,"Good",IF(HR_Data[[#This Row],[WorkLifeBalance]]=3,"Better","Best")))</f>
        <v>Better</v>
      </c>
    </row>
    <row r="720" spans="1:42"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IF(HR_Data[[#This Row],[Attrition]]="Yes",1,0)</f>
        <v>0</v>
      </c>
      <c r="AK720">
        <f>IF(HR_Data[[#This Row],[Attrition]]="No",1,0)</f>
        <v>1</v>
      </c>
      <c r="AL720" t="str">
        <f>IF(HR_Data[[#This Row],[Age]]&lt;25,"Under 25",IF(HR_Data[[#This Row],[Age]]&lt;=34,"25-34",IF(HR_Data[[#This Row],[Age]]&lt;=44,"35-44",IF(HR_Data[[#This Row],[Age]]&lt;=54,"45-54","55+"))))</f>
        <v>45-54</v>
      </c>
      <c r="AM720" t="str">
        <f>IF(HR_Data[[#This Row],[MonthlyIncome]]&lt;3000,"Low Salary",IF(HR_Data[[#This Row],[MonthlyIncome]]&lt;=7000,"Medium Salary","High Salary"))</f>
        <v>Medium Salary</v>
      </c>
      <c r="AN720" t="str">
        <f>IF(HR_Data[[#This Row],[YearsAtCompany]]&lt;2,"0-1 Years",IF(HR_Data[[#This Row],[YearsAtCompany]]&lt;=5,"2-5 Years",IF(HR_Data[[#This Row],[YearsAtCompany]]&lt;=10,"6-10 Years","10+ Years")))</f>
        <v>6-10 Years</v>
      </c>
      <c r="AO720" t="str">
        <f>IF(HR_Data[[#This Row],[JobSatisfaction]]=1,"Low",IF(HR_Data[[#This Row],[JobSatisfaction]]=2,"Medium",IF(HR_Data[[#This Row],[JobSatisfaction]]=3,"High","Very High")))</f>
        <v>Low</v>
      </c>
      <c r="AP720" t="str">
        <f>IF(HR_Data[[#This Row],[WorkLifeBalance]]=1,"Bad",IF(HR_Data[[#This Row],[WorkLifeBalance]]=2,"Good",IF(HR_Data[[#This Row],[WorkLifeBalance]]=3,"Better","Best")))</f>
        <v>Better</v>
      </c>
    </row>
    <row r="721" spans="1:42"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IF(HR_Data[[#This Row],[Attrition]]="Yes",1,0)</f>
        <v>0</v>
      </c>
      <c r="AK721">
        <f>IF(HR_Data[[#This Row],[Attrition]]="No",1,0)</f>
        <v>1</v>
      </c>
      <c r="AL721" t="str">
        <f>IF(HR_Data[[#This Row],[Age]]&lt;25,"Under 25",IF(HR_Data[[#This Row],[Age]]&lt;=34,"25-34",IF(HR_Data[[#This Row],[Age]]&lt;=44,"35-44",IF(HR_Data[[#This Row],[Age]]&lt;=54,"45-54","55+"))))</f>
        <v>45-54</v>
      </c>
      <c r="AM721" t="str">
        <f>IF(HR_Data[[#This Row],[MonthlyIncome]]&lt;3000,"Low Salary",IF(HR_Data[[#This Row],[MonthlyIncome]]&lt;=7000,"Medium Salary","High Salary"))</f>
        <v>Medium Salary</v>
      </c>
      <c r="AN721" t="str">
        <f>IF(HR_Data[[#This Row],[YearsAtCompany]]&lt;2,"0-1 Years",IF(HR_Data[[#This Row],[YearsAtCompany]]&lt;=5,"2-5 Years",IF(HR_Data[[#This Row],[YearsAtCompany]]&lt;=10,"6-10 Years","10+ Years")))</f>
        <v>6-10 Years</v>
      </c>
      <c r="AO721" t="str">
        <f>IF(HR_Data[[#This Row],[JobSatisfaction]]=1,"Low",IF(HR_Data[[#This Row],[JobSatisfaction]]=2,"Medium",IF(HR_Data[[#This Row],[JobSatisfaction]]=3,"High","Very High")))</f>
        <v>Very High</v>
      </c>
      <c r="AP721" t="str">
        <f>IF(HR_Data[[#This Row],[WorkLifeBalance]]=1,"Bad",IF(HR_Data[[#This Row],[WorkLifeBalance]]=2,"Good",IF(HR_Data[[#This Row],[WorkLifeBalance]]=3,"Better","Best")))</f>
        <v>Better</v>
      </c>
    </row>
    <row r="722" spans="1:42"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IF(HR_Data[[#This Row],[Attrition]]="Yes",1,0)</f>
        <v>1</v>
      </c>
      <c r="AK722">
        <f>IF(HR_Data[[#This Row],[Attrition]]="No",1,0)</f>
        <v>0</v>
      </c>
      <c r="AL722" t="str">
        <f>IF(HR_Data[[#This Row],[Age]]&lt;25,"Under 25",IF(HR_Data[[#This Row],[Age]]&lt;=34,"25-34",IF(HR_Data[[#This Row],[Age]]&lt;=44,"35-44",IF(HR_Data[[#This Row],[Age]]&lt;=54,"45-54","55+"))))</f>
        <v>25-34</v>
      </c>
      <c r="AM722" t="str">
        <f>IF(HR_Data[[#This Row],[MonthlyIncome]]&lt;3000,"Low Salary",IF(HR_Data[[#This Row],[MonthlyIncome]]&lt;=7000,"Medium Salary","High Salary"))</f>
        <v>Low Salary</v>
      </c>
      <c r="AN722" t="str">
        <f>IF(HR_Data[[#This Row],[YearsAtCompany]]&lt;2,"0-1 Years",IF(HR_Data[[#This Row],[YearsAtCompany]]&lt;=5,"2-5 Years",IF(HR_Data[[#This Row],[YearsAtCompany]]&lt;=10,"6-10 Years","10+ Years")))</f>
        <v>2-5 Years</v>
      </c>
      <c r="AO722" t="str">
        <f>IF(HR_Data[[#This Row],[JobSatisfaction]]=1,"Low",IF(HR_Data[[#This Row],[JobSatisfaction]]=2,"Medium",IF(HR_Data[[#This Row],[JobSatisfaction]]=3,"High","Very High")))</f>
        <v>High</v>
      </c>
      <c r="AP722" t="str">
        <f>IF(HR_Data[[#This Row],[WorkLifeBalance]]=1,"Bad",IF(HR_Data[[#This Row],[WorkLifeBalance]]=2,"Good",IF(HR_Data[[#This Row],[WorkLifeBalance]]=3,"Better","Best")))</f>
        <v>Better</v>
      </c>
    </row>
    <row r="723" spans="1:42"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IF(HR_Data[[#This Row],[Attrition]]="Yes",1,0)</f>
        <v>0</v>
      </c>
      <c r="AK723">
        <f>IF(HR_Data[[#This Row],[Attrition]]="No",1,0)</f>
        <v>1</v>
      </c>
      <c r="AL723" t="str">
        <f>IF(HR_Data[[#This Row],[Age]]&lt;25,"Under 25",IF(HR_Data[[#This Row],[Age]]&lt;=34,"25-34",IF(HR_Data[[#This Row],[Age]]&lt;=44,"35-44",IF(HR_Data[[#This Row],[Age]]&lt;=54,"45-54","55+"))))</f>
        <v>45-54</v>
      </c>
      <c r="AM723" t="str">
        <f>IF(HR_Data[[#This Row],[MonthlyIncome]]&lt;3000,"Low Salary",IF(HR_Data[[#This Row],[MonthlyIncome]]&lt;=7000,"Medium Salary","High Salary"))</f>
        <v>High Salary</v>
      </c>
      <c r="AN723" t="str">
        <f>IF(HR_Data[[#This Row],[YearsAtCompany]]&lt;2,"0-1 Years",IF(HR_Data[[#This Row],[YearsAtCompany]]&lt;=5,"2-5 Years",IF(HR_Data[[#This Row],[YearsAtCompany]]&lt;=10,"6-10 Years","10+ Years")))</f>
        <v>10+ Years</v>
      </c>
      <c r="AO723" t="str">
        <f>IF(HR_Data[[#This Row],[JobSatisfaction]]=1,"Low",IF(HR_Data[[#This Row],[JobSatisfaction]]=2,"Medium",IF(HR_Data[[#This Row],[JobSatisfaction]]=3,"High","Very High")))</f>
        <v>High</v>
      </c>
      <c r="AP723" t="str">
        <f>IF(HR_Data[[#This Row],[WorkLifeBalance]]=1,"Bad",IF(HR_Data[[#This Row],[WorkLifeBalance]]=2,"Good",IF(HR_Data[[#This Row],[WorkLifeBalance]]=3,"Better","Best")))</f>
        <v>Better</v>
      </c>
    </row>
    <row r="724" spans="1:42"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IF(HR_Data[[#This Row],[Attrition]]="Yes",1,0)</f>
        <v>0</v>
      </c>
      <c r="AK724">
        <f>IF(HR_Data[[#This Row],[Attrition]]="No",1,0)</f>
        <v>1</v>
      </c>
      <c r="AL724" t="str">
        <f>IF(HR_Data[[#This Row],[Age]]&lt;25,"Under 25",IF(HR_Data[[#This Row],[Age]]&lt;=34,"25-34",IF(HR_Data[[#This Row],[Age]]&lt;=44,"35-44",IF(HR_Data[[#This Row],[Age]]&lt;=54,"45-54","55+"))))</f>
        <v>35-44</v>
      </c>
      <c r="AM724" t="str">
        <f>IF(HR_Data[[#This Row],[MonthlyIncome]]&lt;3000,"Low Salary",IF(HR_Data[[#This Row],[MonthlyIncome]]&lt;=7000,"Medium Salary","High Salary"))</f>
        <v>Low Salary</v>
      </c>
      <c r="AN724" t="str">
        <f>IF(HR_Data[[#This Row],[YearsAtCompany]]&lt;2,"0-1 Years",IF(HR_Data[[#This Row],[YearsAtCompany]]&lt;=5,"2-5 Years",IF(HR_Data[[#This Row],[YearsAtCompany]]&lt;=10,"6-10 Years","10+ Years")))</f>
        <v>2-5 Years</v>
      </c>
      <c r="AO724" t="str">
        <f>IF(HR_Data[[#This Row],[JobSatisfaction]]=1,"Low",IF(HR_Data[[#This Row],[JobSatisfaction]]=2,"Medium",IF(HR_Data[[#This Row],[JobSatisfaction]]=3,"High","Very High")))</f>
        <v>High</v>
      </c>
      <c r="AP724" t="str">
        <f>IF(HR_Data[[#This Row],[WorkLifeBalance]]=1,"Bad",IF(HR_Data[[#This Row],[WorkLifeBalance]]=2,"Good",IF(HR_Data[[#This Row],[WorkLifeBalance]]=3,"Better","Best")))</f>
        <v>Good</v>
      </c>
    </row>
    <row r="725" spans="1:42"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IF(HR_Data[[#This Row],[Attrition]]="Yes",1,0)</f>
        <v>0</v>
      </c>
      <c r="AK725">
        <f>IF(HR_Data[[#This Row],[Attrition]]="No",1,0)</f>
        <v>1</v>
      </c>
      <c r="AL725" t="str">
        <f>IF(HR_Data[[#This Row],[Age]]&lt;25,"Under 25",IF(HR_Data[[#This Row],[Age]]&lt;=34,"25-34",IF(HR_Data[[#This Row],[Age]]&lt;=44,"35-44",IF(HR_Data[[#This Row],[Age]]&lt;=54,"45-54","55+"))))</f>
        <v>45-54</v>
      </c>
      <c r="AM725" t="str">
        <f>IF(HR_Data[[#This Row],[MonthlyIncome]]&lt;3000,"Low Salary",IF(HR_Data[[#This Row],[MonthlyIncome]]&lt;=7000,"Medium Salary","High Salary"))</f>
        <v>High Salary</v>
      </c>
      <c r="AN725" t="str">
        <f>IF(HR_Data[[#This Row],[YearsAtCompany]]&lt;2,"0-1 Years",IF(HR_Data[[#This Row],[YearsAtCompany]]&lt;=5,"2-5 Years",IF(HR_Data[[#This Row],[YearsAtCompany]]&lt;=10,"6-10 Years","10+ Years")))</f>
        <v>6-10 Years</v>
      </c>
      <c r="AO725" t="str">
        <f>IF(HR_Data[[#This Row],[JobSatisfaction]]=1,"Low",IF(HR_Data[[#This Row],[JobSatisfaction]]=2,"Medium",IF(HR_Data[[#This Row],[JobSatisfaction]]=3,"High","Very High")))</f>
        <v>High</v>
      </c>
      <c r="AP725" t="str">
        <f>IF(HR_Data[[#This Row],[WorkLifeBalance]]=1,"Bad",IF(HR_Data[[#This Row],[WorkLifeBalance]]=2,"Good",IF(HR_Data[[#This Row],[WorkLifeBalance]]=3,"Better","Best")))</f>
        <v>Better</v>
      </c>
    </row>
    <row r="726" spans="1:42"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IF(HR_Data[[#This Row],[Attrition]]="Yes",1,0)</f>
        <v>0</v>
      </c>
      <c r="AK726">
        <f>IF(HR_Data[[#This Row],[Attrition]]="No",1,0)</f>
        <v>1</v>
      </c>
      <c r="AL726" t="str">
        <f>IF(HR_Data[[#This Row],[Age]]&lt;25,"Under 25",IF(HR_Data[[#This Row],[Age]]&lt;=34,"25-34",IF(HR_Data[[#This Row],[Age]]&lt;=44,"35-44",IF(HR_Data[[#This Row],[Age]]&lt;=54,"45-54","55+"))))</f>
        <v>Under 25</v>
      </c>
      <c r="AM726" t="str">
        <f>IF(HR_Data[[#This Row],[MonthlyIncome]]&lt;3000,"Low Salary",IF(HR_Data[[#This Row],[MonthlyIncome]]&lt;=7000,"Medium Salary","High Salary"))</f>
        <v>Medium Salary</v>
      </c>
      <c r="AN726" t="str">
        <f>IF(HR_Data[[#This Row],[YearsAtCompany]]&lt;2,"0-1 Years",IF(HR_Data[[#This Row],[YearsAtCompany]]&lt;=5,"2-5 Years",IF(HR_Data[[#This Row],[YearsAtCompany]]&lt;=10,"6-10 Years","10+ Years")))</f>
        <v>2-5 Years</v>
      </c>
      <c r="AO726" t="str">
        <f>IF(HR_Data[[#This Row],[JobSatisfaction]]=1,"Low",IF(HR_Data[[#This Row],[JobSatisfaction]]=2,"Medium",IF(HR_Data[[#This Row],[JobSatisfaction]]=3,"High","Very High")))</f>
        <v>High</v>
      </c>
      <c r="AP726" t="str">
        <f>IF(HR_Data[[#This Row],[WorkLifeBalance]]=1,"Bad",IF(HR_Data[[#This Row],[WorkLifeBalance]]=2,"Good",IF(HR_Data[[#This Row],[WorkLifeBalance]]=3,"Better","Best")))</f>
        <v>Better</v>
      </c>
    </row>
    <row r="727" spans="1:42"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IF(HR_Data[[#This Row],[Attrition]]="Yes",1,0)</f>
        <v>1</v>
      </c>
      <c r="AK727">
        <f>IF(HR_Data[[#This Row],[Attrition]]="No",1,0)</f>
        <v>0</v>
      </c>
      <c r="AL727" t="str">
        <f>IF(HR_Data[[#This Row],[Age]]&lt;25,"Under 25",IF(HR_Data[[#This Row],[Age]]&lt;=34,"25-34",IF(HR_Data[[#This Row],[Age]]&lt;=44,"35-44",IF(HR_Data[[#This Row],[Age]]&lt;=54,"45-54","55+"))))</f>
        <v>35-44</v>
      </c>
      <c r="AM727" t="str">
        <f>IF(HR_Data[[#This Row],[MonthlyIncome]]&lt;3000,"Low Salary",IF(HR_Data[[#This Row],[MonthlyIncome]]&lt;=7000,"Medium Salary","High Salary"))</f>
        <v>Medium Salary</v>
      </c>
      <c r="AN727" t="str">
        <f>IF(HR_Data[[#This Row],[YearsAtCompany]]&lt;2,"0-1 Years",IF(HR_Data[[#This Row],[YearsAtCompany]]&lt;=5,"2-5 Years",IF(HR_Data[[#This Row],[YearsAtCompany]]&lt;=10,"6-10 Years","10+ Years")))</f>
        <v>2-5 Years</v>
      </c>
      <c r="AO727" t="str">
        <f>IF(HR_Data[[#This Row],[JobSatisfaction]]=1,"Low",IF(HR_Data[[#This Row],[JobSatisfaction]]=2,"Medium",IF(HR_Data[[#This Row],[JobSatisfaction]]=3,"High","Very High")))</f>
        <v>Medium</v>
      </c>
      <c r="AP727" t="str">
        <f>IF(HR_Data[[#This Row],[WorkLifeBalance]]=1,"Bad",IF(HR_Data[[#This Row],[WorkLifeBalance]]=2,"Good",IF(HR_Data[[#This Row],[WorkLifeBalance]]=3,"Better","Best")))</f>
        <v>Bad</v>
      </c>
    </row>
    <row r="728" spans="1:42"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IF(HR_Data[[#This Row],[Attrition]]="Yes",1,0)</f>
        <v>0</v>
      </c>
      <c r="AK728">
        <f>IF(HR_Data[[#This Row],[Attrition]]="No",1,0)</f>
        <v>1</v>
      </c>
      <c r="AL728" t="str">
        <f>IF(HR_Data[[#This Row],[Age]]&lt;25,"Under 25",IF(HR_Data[[#This Row],[Age]]&lt;=34,"25-34",IF(HR_Data[[#This Row],[Age]]&lt;=44,"35-44",IF(HR_Data[[#This Row],[Age]]&lt;=54,"45-54","55+"))))</f>
        <v>25-34</v>
      </c>
      <c r="AM728" t="str">
        <f>IF(HR_Data[[#This Row],[MonthlyIncome]]&lt;3000,"Low Salary",IF(HR_Data[[#This Row],[MonthlyIncome]]&lt;=7000,"Medium Salary","High Salary"))</f>
        <v>Medium Salary</v>
      </c>
      <c r="AN728" t="str">
        <f>IF(HR_Data[[#This Row],[YearsAtCompany]]&lt;2,"0-1 Years",IF(HR_Data[[#This Row],[YearsAtCompany]]&lt;=5,"2-5 Years",IF(HR_Data[[#This Row],[YearsAtCompany]]&lt;=10,"6-10 Years","10+ Years")))</f>
        <v>2-5 Years</v>
      </c>
      <c r="AO728" t="str">
        <f>IF(HR_Data[[#This Row],[JobSatisfaction]]=1,"Low",IF(HR_Data[[#This Row],[JobSatisfaction]]=2,"Medium",IF(HR_Data[[#This Row],[JobSatisfaction]]=3,"High","Very High")))</f>
        <v>Low</v>
      </c>
      <c r="AP728" t="str">
        <f>IF(HR_Data[[#This Row],[WorkLifeBalance]]=1,"Bad",IF(HR_Data[[#This Row],[WorkLifeBalance]]=2,"Good",IF(HR_Data[[#This Row],[WorkLifeBalance]]=3,"Better","Best")))</f>
        <v>Better</v>
      </c>
    </row>
    <row r="729" spans="1:42"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IF(HR_Data[[#This Row],[Attrition]]="Yes",1,0)</f>
        <v>0</v>
      </c>
      <c r="AK729">
        <f>IF(HR_Data[[#This Row],[Attrition]]="No",1,0)</f>
        <v>1</v>
      </c>
      <c r="AL729" t="str">
        <f>IF(HR_Data[[#This Row],[Age]]&lt;25,"Under 25",IF(HR_Data[[#This Row],[Age]]&lt;=34,"25-34",IF(HR_Data[[#This Row],[Age]]&lt;=44,"35-44",IF(HR_Data[[#This Row],[Age]]&lt;=54,"45-54","55+"))))</f>
        <v>Under 25</v>
      </c>
      <c r="AM729" t="str">
        <f>IF(HR_Data[[#This Row],[MonthlyIncome]]&lt;3000,"Low Salary",IF(HR_Data[[#This Row],[MonthlyIncome]]&lt;=7000,"Medium Salary","High Salary"))</f>
        <v>Low Salary</v>
      </c>
      <c r="AN729" t="str">
        <f>IF(HR_Data[[#This Row],[YearsAtCompany]]&lt;2,"0-1 Years",IF(HR_Data[[#This Row],[YearsAtCompany]]&lt;=5,"2-5 Years",IF(HR_Data[[#This Row],[YearsAtCompany]]&lt;=10,"6-10 Years","10+ Years")))</f>
        <v>0-1 Years</v>
      </c>
      <c r="AO729" t="str">
        <f>IF(HR_Data[[#This Row],[JobSatisfaction]]=1,"Low",IF(HR_Data[[#This Row],[JobSatisfaction]]=2,"Medium",IF(HR_Data[[#This Row],[JobSatisfaction]]=3,"High","Very High")))</f>
        <v>Very High</v>
      </c>
      <c r="AP729" t="str">
        <f>IF(HR_Data[[#This Row],[WorkLifeBalance]]=1,"Bad",IF(HR_Data[[#This Row],[WorkLifeBalance]]=2,"Good",IF(HR_Data[[#This Row],[WorkLifeBalance]]=3,"Better","Best")))</f>
        <v>Better</v>
      </c>
    </row>
    <row r="730" spans="1:42"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IF(HR_Data[[#This Row],[Attrition]]="Yes",1,0)</f>
        <v>0</v>
      </c>
      <c r="AK730">
        <f>IF(HR_Data[[#This Row],[Attrition]]="No",1,0)</f>
        <v>1</v>
      </c>
      <c r="AL730" t="str">
        <f>IF(HR_Data[[#This Row],[Age]]&lt;25,"Under 25",IF(HR_Data[[#This Row],[Age]]&lt;=34,"25-34",IF(HR_Data[[#This Row],[Age]]&lt;=44,"35-44",IF(HR_Data[[#This Row],[Age]]&lt;=54,"45-54","55+"))))</f>
        <v>45-54</v>
      </c>
      <c r="AM730" t="str">
        <f>IF(HR_Data[[#This Row],[MonthlyIncome]]&lt;3000,"Low Salary",IF(HR_Data[[#This Row],[MonthlyIncome]]&lt;=7000,"Medium Salary","High Salary"))</f>
        <v>High Salary</v>
      </c>
      <c r="AN730" t="str">
        <f>IF(HR_Data[[#This Row],[YearsAtCompany]]&lt;2,"0-1 Years",IF(HR_Data[[#This Row],[YearsAtCompany]]&lt;=5,"2-5 Years",IF(HR_Data[[#This Row],[YearsAtCompany]]&lt;=10,"6-10 Years","10+ Years")))</f>
        <v>6-10 Years</v>
      </c>
      <c r="AO730" t="str">
        <f>IF(HR_Data[[#This Row],[JobSatisfaction]]=1,"Low",IF(HR_Data[[#This Row],[JobSatisfaction]]=2,"Medium",IF(HR_Data[[#This Row],[JobSatisfaction]]=3,"High","Very High")))</f>
        <v>High</v>
      </c>
      <c r="AP730" t="str">
        <f>IF(HR_Data[[#This Row],[WorkLifeBalance]]=1,"Bad",IF(HR_Data[[#This Row],[WorkLifeBalance]]=2,"Good",IF(HR_Data[[#This Row],[WorkLifeBalance]]=3,"Better","Best")))</f>
        <v>Better</v>
      </c>
    </row>
    <row r="731" spans="1:42"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IF(HR_Data[[#This Row],[Attrition]]="Yes",1,0)</f>
        <v>0</v>
      </c>
      <c r="AK731">
        <f>IF(HR_Data[[#This Row],[Attrition]]="No",1,0)</f>
        <v>1</v>
      </c>
      <c r="AL731" t="str">
        <f>IF(HR_Data[[#This Row],[Age]]&lt;25,"Under 25",IF(HR_Data[[#This Row],[Age]]&lt;=34,"25-34",IF(HR_Data[[#This Row],[Age]]&lt;=44,"35-44",IF(HR_Data[[#This Row],[Age]]&lt;=54,"45-54","55+"))))</f>
        <v>35-44</v>
      </c>
      <c r="AM731" t="str">
        <f>IF(HR_Data[[#This Row],[MonthlyIncome]]&lt;3000,"Low Salary",IF(HR_Data[[#This Row],[MonthlyIncome]]&lt;=7000,"Medium Salary","High Salary"))</f>
        <v>High Salary</v>
      </c>
      <c r="AN731" t="str">
        <f>IF(HR_Data[[#This Row],[YearsAtCompany]]&lt;2,"0-1 Years",IF(HR_Data[[#This Row],[YearsAtCompany]]&lt;=5,"2-5 Years",IF(HR_Data[[#This Row],[YearsAtCompany]]&lt;=10,"6-10 Years","10+ Years")))</f>
        <v>10+ Years</v>
      </c>
      <c r="AO731" t="str">
        <f>IF(HR_Data[[#This Row],[JobSatisfaction]]=1,"Low",IF(HR_Data[[#This Row],[JobSatisfaction]]=2,"Medium",IF(HR_Data[[#This Row],[JobSatisfaction]]=3,"High","Very High")))</f>
        <v>High</v>
      </c>
      <c r="AP731" t="str">
        <f>IF(HR_Data[[#This Row],[WorkLifeBalance]]=1,"Bad",IF(HR_Data[[#This Row],[WorkLifeBalance]]=2,"Good",IF(HR_Data[[#This Row],[WorkLifeBalance]]=3,"Better","Best")))</f>
        <v>Good</v>
      </c>
    </row>
    <row r="732" spans="1:42"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IF(HR_Data[[#This Row],[Attrition]]="Yes",1,0)</f>
        <v>0</v>
      </c>
      <c r="AK732">
        <f>IF(HR_Data[[#This Row],[Attrition]]="No",1,0)</f>
        <v>1</v>
      </c>
      <c r="AL732" t="str">
        <f>IF(HR_Data[[#This Row],[Age]]&lt;25,"Under 25",IF(HR_Data[[#This Row],[Age]]&lt;=34,"25-34",IF(HR_Data[[#This Row],[Age]]&lt;=44,"35-44",IF(HR_Data[[#This Row],[Age]]&lt;=54,"45-54","55+"))))</f>
        <v>25-34</v>
      </c>
      <c r="AM732" t="str">
        <f>IF(HR_Data[[#This Row],[MonthlyIncome]]&lt;3000,"Low Salary",IF(HR_Data[[#This Row],[MonthlyIncome]]&lt;=7000,"Medium Salary","High Salary"))</f>
        <v>High Salary</v>
      </c>
      <c r="AN732" t="str">
        <f>IF(HR_Data[[#This Row],[YearsAtCompany]]&lt;2,"0-1 Years",IF(HR_Data[[#This Row],[YearsAtCompany]]&lt;=5,"2-5 Years",IF(HR_Data[[#This Row],[YearsAtCompany]]&lt;=10,"6-10 Years","10+ Years")))</f>
        <v>6-10 Years</v>
      </c>
      <c r="AO732" t="str">
        <f>IF(HR_Data[[#This Row],[JobSatisfaction]]=1,"Low",IF(HR_Data[[#This Row],[JobSatisfaction]]=2,"Medium",IF(HR_Data[[#This Row],[JobSatisfaction]]=3,"High","Very High")))</f>
        <v>Low</v>
      </c>
      <c r="AP732" t="str">
        <f>IF(HR_Data[[#This Row],[WorkLifeBalance]]=1,"Bad",IF(HR_Data[[#This Row],[WorkLifeBalance]]=2,"Good",IF(HR_Data[[#This Row],[WorkLifeBalance]]=3,"Better","Best")))</f>
        <v>Good</v>
      </c>
    </row>
    <row r="733" spans="1:42"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IF(HR_Data[[#This Row],[Attrition]]="Yes",1,0)</f>
        <v>1</v>
      </c>
      <c r="AK733">
        <f>IF(HR_Data[[#This Row],[Attrition]]="No",1,0)</f>
        <v>0</v>
      </c>
      <c r="AL733" t="str">
        <f>IF(HR_Data[[#This Row],[Age]]&lt;25,"Under 25",IF(HR_Data[[#This Row],[Age]]&lt;=34,"25-34",IF(HR_Data[[#This Row],[Age]]&lt;=44,"35-44",IF(HR_Data[[#This Row],[Age]]&lt;=54,"45-54","55+"))))</f>
        <v>Under 25</v>
      </c>
      <c r="AM733" t="str">
        <f>IF(HR_Data[[#This Row],[MonthlyIncome]]&lt;3000,"Low Salary",IF(HR_Data[[#This Row],[MonthlyIncome]]&lt;=7000,"Medium Salary","High Salary"))</f>
        <v>Low Salary</v>
      </c>
      <c r="AN733" t="str">
        <f>IF(HR_Data[[#This Row],[YearsAtCompany]]&lt;2,"0-1 Years",IF(HR_Data[[#This Row],[YearsAtCompany]]&lt;=5,"2-5 Years",IF(HR_Data[[#This Row],[YearsAtCompany]]&lt;=10,"6-10 Years","10+ Years")))</f>
        <v>0-1 Years</v>
      </c>
      <c r="AO733" t="str">
        <f>IF(HR_Data[[#This Row],[JobSatisfaction]]=1,"Low",IF(HR_Data[[#This Row],[JobSatisfaction]]=2,"Medium",IF(HR_Data[[#This Row],[JobSatisfaction]]=3,"High","Very High")))</f>
        <v>Low</v>
      </c>
      <c r="AP733" t="str">
        <f>IF(HR_Data[[#This Row],[WorkLifeBalance]]=1,"Bad",IF(HR_Data[[#This Row],[WorkLifeBalance]]=2,"Good",IF(HR_Data[[#This Row],[WorkLifeBalance]]=3,"Better","Best")))</f>
        <v>Better</v>
      </c>
    </row>
    <row r="734" spans="1:42"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IF(HR_Data[[#This Row],[Attrition]]="Yes",1,0)</f>
        <v>1</v>
      </c>
      <c r="AK734">
        <f>IF(HR_Data[[#This Row],[Attrition]]="No",1,0)</f>
        <v>0</v>
      </c>
      <c r="AL734" t="str">
        <f>IF(HR_Data[[#This Row],[Age]]&lt;25,"Under 25",IF(HR_Data[[#This Row],[Age]]&lt;=34,"25-34",IF(HR_Data[[#This Row],[Age]]&lt;=44,"35-44",IF(HR_Data[[#This Row],[Age]]&lt;=54,"45-54","55+"))))</f>
        <v>25-34</v>
      </c>
      <c r="AM734" t="str">
        <f>IF(HR_Data[[#This Row],[MonthlyIncome]]&lt;3000,"Low Salary",IF(HR_Data[[#This Row],[MonthlyIncome]]&lt;=7000,"Medium Salary","High Salary"))</f>
        <v>Low Salary</v>
      </c>
      <c r="AN734" t="str">
        <f>IF(HR_Data[[#This Row],[YearsAtCompany]]&lt;2,"0-1 Years",IF(HR_Data[[#This Row],[YearsAtCompany]]&lt;=5,"2-5 Years",IF(HR_Data[[#This Row],[YearsAtCompany]]&lt;=10,"6-10 Years","10+ Years")))</f>
        <v>2-5 Years</v>
      </c>
      <c r="AO734" t="str">
        <f>IF(HR_Data[[#This Row],[JobSatisfaction]]=1,"Low",IF(HR_Data[[#This Row],[JobSatisfaction]]=2,"Medium",IF(HR_Data[[#This Row],[JobSatisfaction]]=3,"High","Very High")))</f>
        <v>Medium</v>
      </c>
      <c r="AP734" t="str">
        <f>IF(HR_Data[[#This Row],[WorkLifeBalance]]=1,"Bad",IF(HR_Data[[#This Row],[WorkLifeBalance]]=2,"Good",IF(HR_Data[[#This Row],[WorkLifeBalance]]=3,"Better","Best")))</f>
        <v>Better</v>
      </c>
    </row>
    <row r="735" spans="1:42"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IF(HR_Data[[#This Row],[Attrition]]="Yes",1,0)</f>
        <v>0</v>
      </c>
      <c r="AK735">
        <f>IF(HR_Data[[#This Row],[Attrition]]="No",1,0)</f>
        <v>1</v>
      </c>
      <c r="AL735" t="str">
        <f>IF(HR_Data[[#This Row],[Age]]&lt;25,"Under 25",IF(HR_Data[[#This Row],[Age]]&lt;=34,"25-34",IF(HR_Data[[#This Row],[Age]]&lt;=44,"35-44",IF(HR_Data[[#This Row],[Age]]&lt;=54,"45-54","55+"))))</f>
        <v>25-34</v>
      </c>
      <c r="AM735" t="str">
        <f>IF(HR_Data[[#This Row],[MonthlyIncome]]&lt;3000,"Low Salary",IF(HR_Data[[#This Row],[MonthlyIncome]]&lt;=7000,"Medium Salary","High Salary"))</f>
        <v>Medium Salary</v>
      </c>
      <c r="AN735" t="str">
        <f>IF(HR_Data[[#This Row],[YearsAtCompany]]&lt;2,"0-1 Years",IF(HR_Data[[#This Row],[YearsAtCompany]]&lt;=5,"2-5 Years",IF(HR_Data[[#This Row],[YearsAtCompany]]&lt;=10,"6-10 Years","10+ Years")))</f>
        <v>6-10 Years</v>
      </c>
      <c r="AO735" t="str">
        <f>IF(HR_Data[[#This Row],[JobSatisfaction]]=1,"Low",IF(HR_Data[[#This Row],[JobSatisfaction]]=2,"Medium",IF(HR_Data[[#This Row],[JobSatisfaction]]=3,"High","Very High")))</f>
        <v>Very High</v>
      </c>
      <c r="AP735" t="str">
        <f>IF(HR_Data[[#This Row],[WorkLifeBalance]]=1,"Bad",IF(HR_Data[[#This Row],[WorkLifeBalance]]=2,"Good",IF(HR_Data[[#This Row],[WorkLifeBalance]]=3,"Better","Best")))</f>
        <v>Better</v>
      </c>
    </row>
    <row r="736" spans="1:42"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IF(HR_Data[[#This Row],[Attrition]]="Yes",1,0)</f>
        <v>0</v>
      </c>
      <c r="AK736">
        <f>IF(HR_Data[[#This Row],[Attrition]]="No",1,0)</f>
        <v>1</v>
      </c>
      <c r="AL736" t="str">
        <f>IF(HR_Data[[#This Row],[Age]]&lt;25,"Under 25",IF(HR_Data[[#This Row],[Age]]&lt;=34,"25-34",IF(HR_Data[[#This Row],[Age]]&lt;=44,"35-44",IF(HR_Data[[#This Row],[Age]]&lt;=54,"45-54","55+"))))</f>
        <v>Under 25</v>
      </c>
      <c r="AM736" t="str">
        <f>IF(HR_Data[[#This Row],[MonthlyIncome]]&lt;3000,"Low Salary",IF(HR_Data[[#This Row],[MonthlyIncome]]&lt;=7000,"Medium Salary","High Salary"))</f>
        <v>Low Salary</v>
      </c>
      <c r="AN736" t="str">
        <f>IF(HR_Data[[#This Row],[YearsAtCompany]]&lt;2,"0-1 Years",IF(HR_Data[[#This Row],[YearsAtCompany]]&lt;=5,"2-5 Years",IF(HR_Data[[#This Row],[YearsAtCompany]]&lt;=10,"6-10 Years","10+ Years")))</f>
        <v>2-5 Years</v>
      </c>
      <c r="AO736" t="str">
        <f>IF(HR_Data[[#This Row],[JobSatisfaction]]=1,"Low",IF(HR_Data[[#This Row],[JobSatisfaction]]=2,"Medium",IF(HR_Data[[#This Row],[JobSatisfaction]]=3,"High","Very High")))</f>
        <v>Low</v>
      </c>
      <c r="AP736" t="str">
        <f>IF(HR_Data[[#This Row],[WorkLifeBalance]]=1,"Bad",IF(HR_Data[[#This Row],[WorkLifeBalance]]=2,"Good",IF(HR_Data[[#This Row],[WorkLifeBalance]]=3,"Better","Best")))</f>
        <v>Good</v>
      </c>
    </row>
    <row r="737" spans="1:42"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IF(HR_Data[[#This Row],[Attrition]]="Yes",1,0)</f>
        <v>0</v>
      </c>
      <c r="AK737">
        <f>IF(HR_Data[[#This Row],[Attrition]]="No",1,0)</f>
        <v>1</v>
      </c>
      <c r="AL737" t="str">
        <f>IF(HR_Data[[#This Row],[Age]]&lt;25,"Under 25",IF(HR_Data[[#This Row],[Age]]&lt;=34,"25-34",IF(HR_Data[[#This Row],[Age]]&lt;=44,"35-44",IF(HR_Data[[#This Row],[Age]]&lt;=54,"45-54","55+"))))</f>
        <v>45-54</v>
      </c>
      <c r="AM737" t="str">
        <f>IF(HR_Data[[#This Row],[MonthlyIncome]]&lt;3000,"Low Salary",IF(HR_Data[[#This Row],[MonthlyIncome]]&lt;=7000,"Medium Salary","High Salary"))</f>
        <v>Medium Salary</v>
      </c>
      <c r="AN737" t="str">
        <f>IF(HR_Data[[#This Row],[YearsAtCompany]]&lt;2,"0-1 Years",IF(HR_Data[[#This Row],[YearsAtCompany]]&lt;=5,"2-5 Years",IF(HR_Data[[#This Row],[YearsAtCompany]]&lt;=10,"6-10 Years","10+ Years")))</f>
        <v>2-5 Years</v>
      </c>
      <c r="AO737" t="str">
        <f>IF(HR_Data[[#This Row],[JobSatisfaction]]=1,"Low",IF(HR_Data[[#This Row],[JobSatisfaction]]=2,"Medium",IF(HR_Data[[#This Row],[JobSatisfaction]]=3,"High","Very High")))</f>
        <v>High</v>
      </c>
      <c r="AP737" t="str">
        <f>IF(HR_Data[[#This Row],[WorkLifeBalance]]=1,"Bad",IF(HR_Data[[#This Row],[WorkLifeBalance]]=2,"Good",IF(HR_Data[[#This Row],[WorkLifeBalance]]=3,"Better","Best")))</f>
        <v>Better</v>
      </c>
    </row>
    <row r="738" spans="1:42"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IF(HR_Data[[#This Row],[Attrition]]="Yes",1,0)</f>
        <v>0</v>
      </c>
      <c r="AK738">
        <f>IF(HR_Data[[#This Row],[Attrition]]="No",1,0)</f>
        <v>1</v>
      </c>
      <c r="AL738" t="str">
        <f>IF(HR_Data[[#This Row],[Age]]&lt;25,"Under 25",IF(HR_Data[[#This Row],[Age]]&lt;=34,"25-34",IF(HR_Data[[#This Row],[Age]]&lt;=44,"35-44",IF(HR_Data[[#This Row],[Age]]&lt;=54,"45-54","55+"))))</f>
        <v>45-54</v>
      </c>
      <c r="AM738" t="str">
        <f>IF(HR_Data[[#This Row],[MonthlyIncome]]&lt;3000,"Low Salary",IF(HR_Data[[#This Row],[MonthlyIncome]]&lt;=7000,"Medium Salary","High Salary"))</f>
        <v>High Salary</v>
      </c>
      <c r="AN738" t="str">
        <f>IF(HR_Data[[#This Row],[YearsAtCompany]]&lt;2,"0-1 Years",IF(HR_Data[[#This Row],[YearsAtCompany]]&lt;=5,"2-5 Years",IF(HR_Data[[#This Row],[YearsAtCompany]]&lt;=10,"6-10 Years","10+ Years")))</f>
        <v>10+ Years</v>
      </c>
      <c r="AO738" t="str">
        <f>IF(HR_Data[[#This Row],[JobSatisfaction]]=1,"Low",IF(HR_Data[[#This Row],[JobSatisfaction]]=2,"Medium",IF(HR_Data[[#This Row],[JobSatisfaction]]=3,"High","Very High")))</f>
        <v>High</v>
      </c>
      <c r="AP738" t="str">
        <f>IF(HR_Data[[#This Row],[WorkLifeBalance]]=1,"Bad",IF(HR_Data[[#This Row],[WorkLifeBalance]]=2,"Good",IF(HR_Data[[#This Row],[WorkLifeBalance]]=3,"Better","Best")))</f>
        <v>Better</v>
      </c>
    </row>
    <row r="739" spans="1:42"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IF(HR_Data[[#This Row],[Attrition]]="Yes",1,0)</f>
        <v>0</v>
      </c>
      <c r="AK739">
        <f>IF(HR_Data[[#This Row],[Attrition]]="No",1,0)</f>
        <v>1</v>
      </c>
      <c r="AL739" t="str">
        <f>IF(HR_Data[[#This Row],[Age]]&lt;25,"Under 25",IF(HR_Data[[#This Row],[Age]]&lt;=34,"25-34",IF(HR_Data[[#This Row],[Age]]&lt;=44,"35-44",IF(HR_Data[[#This Row],[Age]]&lt;=54,"45-54","55+"))))</f>
        <v>35-44</v>
      </c>
      <c r="AM739" t="str">
        <f>IF(HR_Data[[#This Row],[MonthlyIncome]]&lt;3000,"Low Salary",IF(HR_Data[[#This Row],[MonthlyIncome]]&lt;=7000,"Medium Salary","High Salary"))</f>
        <v>Medium Salary</v>
      </c>
      <c r="AN739" t="str">
        <f>IF(HR_Data[[#This Row],[YearsAtCompany]]&lt;2,"0-1 Years",IF(HR_Data[[#This Row],[YearsAtCompany]]&lt;=5,"2-5 Years",IF(HR_Data[[#This Row],[YearsAtCompany]]&lt;=10,"6-10 Years","10+ Years")))</f>
        <v>2-5 Years</v>
      </c>
      <c r="AO739" t="str">
        <f>IF(HR_Data[[#This Row],[JobSatisfaction]]=1,"Low",IF(HR_Data[[#This Row],[JobSatisfaction]]=2,"Medium",IF(HR_Data[[#This Row],[JobSatisfaction]]=3,"High","Very High")))</f>
        <v>High</v>
      </c>
      <c r="AP739" t="str">
        <f>IF(HR_Data[[#This Row],[WorkLifeBalance]]=1,"Bad",IF(HR_Data[[#This Row],[WorkLifeBalance]]=2,"Good",IF(HR_Data[[#This Row],[WorkLifeBalance]]=3,"Better","Best")))</f>
        <v>Better</v>
      </c>
    </row>
    <row r="740" spans="1:42"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IF(HR_Data[[#This Row],[Attrition]]="Yes",1,0)</f>
        <v>0</v>
      </c>
      <c r="AK740">
        <f>IF(HR_Data[[#This Row],[Attrition]]="No",1,0)</f>
        <v>1</v>
      </c>
      <c r="AL740" t="str">
        <f>IF(HR_Data[[#This Row],[Age]]&lt;25,"Under 25",IF(HR_Data[[#This Row],[Age]]&lt;=34,"25-34",IF(HR_Data[[#This Row],[Age]]&lt;=44,"35-44",IF(HR_Data[[#This Row],[Age]]&lt;=54,"45-54","55+"))))</f>
        <v>35-44</v>
      </c>
      <c r="AM740" t="str">
        <f>IF(HR_Data[[#This Row],[MonthlyIncome]]&lt;3000,"Low Salary",IF(HR_Data[[#This Row],[MonthlyIncome]]&lt;=7000,"Medium Salary","High Salary"))</f>
        <v>High Salary</v>
      </c>
      <c r="AN740" t="str">
        <f>IF(HR_Data[[#This Row],[YearsAtCompany]]&lt;2,"0-1 Years",IF(HR_Data[[#This Row],[YearsAtCompany]]&lt;=5,"2-5 Years",IF(HR_Data[[#This Row],[YearsAtCompany]]&lt;=10,"6-10 Years","10+ Years")))</f>
        <v>10+ Years</v>
      </c>
      <c r="AO740" t="str">
        <f>IF(HR_Data[[#This Row],[JobSatisfaction]]=1,"Low",IF(HR_Data[[#This Row],[JobSatisfaction]]=2,"Medium",IF(HR_Data[[#This Row],[JobSatisfaction]]=3,"High","Very High")))</f>
        <v>Very High</v>
      </c>
      <c r="AP740" t="str">
        <f>IF(HR_Data[[#This Row],[WorkLifeBalance]]=1,"Bad",IF(HR_Data[[#This Row],[WorkLifeBalance]]=2,"Good",IF(HR_Data[[#This Row],[WorkLifeBalance]]=3,"Better","Best")))</f>
        <v>Better</v>
      </c>
    </row>
    <row r="741" spans="1:42"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IF(HR_Data[[#This Row],[Attrition]]="Yes",1,0)</f>
        <v>0</v>
      </c>
      <c r="AK741">
        <f>IF(HR_Data[[#This Row],[Attrition]]="No",1,0)</f>
        <v>1</v>
      </c>
      <c r="AL741" t="str">
        <f>IF(HR_Data[[#This Row],[Age]]&lt;25,"Under 25",IF(HR_Data[[#This Row],[Age]]&lt;=34,"25-34",IF(HR_Data[[#This Row],[Age]]&lt;=44,"35-44",IF(HR_Data[[#This Row],[Age]]&lt;=54,"45-54","55+"))))</f>
        <v>25-34</v>
      </c>
      <c r="AM741" t="str">
        <f>IF(HR_Data[[#This Row],[MonthlyIncome]]&lt;3000,"Low Salary",IF(HR_Data[[#This Row],[MonthlyIncome]]&lt;=7000,"Medium Salary","High Salary"))</f>
        <v>Medium Salary</v>
      </c>
      <c r="AN741" t="str">
        <f>IF(HR_Data[[#This Row],[YearsAtCompany]]&lt;2,"0-1 Years",IF(HR_Data[[#This Row],[YearsAtCompany]]&lt;=5,"2-5 Years",IF(HR_Data[[#This Row],[YearsAtCompany]]&lt;=10,"6-10 Years","10+ Years")))</f>
        <v>2-5 Years</v>
      </c>
      <c r="AO741" t="str">
        <f>IF(HR_Data[[#This Row],[JobSatisfaction]]=1,"Low",IF(HR_Data[[#This Row],[JobSatisfaction]]=2,"Medium",IF(HR_Data[[#This Row],[JobSatisfaction]]=3,"High","Very High")))</f>
        <v>Very High</v>
      </c>
      <c r="AP741" t="str">
        <f>IF(HR_Data[[#This Row],[WorkLifeBalance]]=1,"Bad",IF(HR_Data[[#This Row],[WorkLifeBalance]]=2,"Good",IF(HR_Data[[#This Row],[WorkLifeBalance]]=3,"Better","Best")))</f>
        <v>Better</v>
      </c>
    </row>
    <row r="742" spans="1:42"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IF(HR_Data[[#This Row],[Attrition]]="Yes",1,0)</f>
        <v>0</v>
      </c>
      <c r="AK742">
        <f>IF(HR_Data[[#This Row],[Attrition]]="No",1,0)</f>
        <v>1</v>
      </c>
      <c r="AL742" t="str">
        <f>IF(HR_Data[[#This Row],[Age]]&lt;25,"Under 25",IF(HR_Data[[#This Row],[Age]]&lt;=34,"25-34",IF(HR_Data[[#This Row],[Age]]&lt;=44,"35-44",IF(HR_Data[[#This Row],[Age]]&lt;=54,"45-54","55+"))))</f>
        <v>35-44</v>
      </c>
      <c r="AM742" t="str">
        <f>IF(HR_Data[[#This Row],[MonthlyIncome]]&lt;3000,"Low Salary",IF(HR_Data[[#This Row],[MonthlyIncome]]&lt;=7000,"Medium Salary","High Salary"))</f>
        <v>Medium Salary</v>
      </c>
      <c r="AN742" t="str">
        <f>IF(HR_Data[[#This Row],[YearsAtCompany]]&lt;2,"0-1 Years",IF(HR_Data[[#This Row],[YearsAtCompany]]&lt;=5,"2-5 Years",IF(HR_Data[[#This Row],[YearsAtCompany]]&lt;=10,"6-10 Years","10+ Years")))</f>
        <v>2-5 Years</v>
      </c>
      <c r="AO742" t="str">
        <f>IF(HR_Data[[#This Row],[JobSatisfaction]]=1,"Low",IF(HR_Data[[#This Row],[JobSatisfaction]]=2,"Medium",IF(HR_Data[[#This Row],[JobSatisfaction]]=3,"High","Very High")))</f>
        <v>Very High</v>
      </c>
      <c r="AP742" t="str">
        <f>IF(HR_Data[[#This Row],[WorkLifeBalance]]=1,"Bad",IF(HR_Data[[#This Row],[WorkLifeBalance]]=2,"Good",IF(HR_Data[[#This Row],[WorkLifeBalance]]=3,"Better","Best")))</f>
        <v>Good</v>
      </c>
    </row>
    <row r="743" spans="1:42"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IF(HR_Data[[#This Row],[Attrition]]="Yes",1,0)</f>
        <v>0</v>
      </c>
      <c r="AK743">
        <f>IF(HR_Data[[#This Row],[Attrition]]="No",1,0)</f>
        <v>1</v>
      </c>
      <c r="AL743" t="str">
        <f>IF(HR_Data[[#This Row],[Age]]&lt;25,"Under 25",IF(HR_Data[[#This Row],[Age]]&lt;=34,"25-34",IF(HR_Data[[#This Row],[Age]]&lt;=44,"35-44",IF(HR_Data[[#This Row],[Age]]&lt;=54,"45-54","55+"))))</f>
        <v>35-44</v>
      </c>
      <c r="AM743" t="str">
        <f>IF(HR_Data[[#This Row],[MonthlyIncome]]&lt;3000,"Low Salary",IF(HR_Data[[#This Row],[MonthlyIncome]]&lt;=7000,"Medium Salary","High Salary"))</f>
        <v>High Salary</v>
      </c>
      <c r="AN743" t="str">
        <f>IF(HR_Data[[#This Row],[YearsAtCompany]]&lt;2,"0-1 Years",IF(HR_Data[[#This Row],[YearsAtCompany]]&lt;=5,"2-5 Years",IF(HR_Data[[#This Row],[YearsAtCompany]]&lt;=10,"6-10 Years","10+ Years")))</f>
        <v>0-1 Years</v>
      </c>
      <c r="AO743" t="str">
        <f>IF(HR_Data[[#This Row],[JobSatisfaction]]=1,"Low",IF(HR_Data[[#This Row],[JobSatisfaction]]=2,"Medium",IF(HR_Data[[#This Row],[JobSatisfaction]]=3,"High","Very High")))</f>
        <v>High</v>
      </c>
      <c r="AP743" t="str">
        <f>IF(HR_Data[[#This Row],[WorkLifeBalance]]=1,"Bad",IF(HR_Data[[#This Row],[WorkLifeBalance]]=2,"Good",IF(HR_Data[[#This Row],[WorkLifeBalance]]=3,"Better","Best")))</f>
        <v>Best</v>
      </c>
    </row>
    <row r="744" spans="1:42"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IF(HR_Data[[#This Row],[Attrition]]="Yes",1,0)</f>
        <v>0</v>
      </c>
      <c r="AK744">
        <f>IF(HR_Data[[#This Row],[Attrition]]="No",1,0)</f>
        <v>1</v>
      </c>
      <c r="AL744" t="str">
        <f>IF(HR_Data[[#This Row],[Age]]&lt;25,"Under 25",IF(HR_Data[[#This Row],[Age]]&lt;=34,"25-34",IF(HR_Data[[#This Row],[Age]]&lt;=44,"35-44",IF(HR_Data[[#This Row],[Age]]&lt;=54,"45-54","55+"))))</f>
        <v>45-54</v>
      </c>
      <c r="AM744" t="str">
        <f>IF(HR_Data[[#This Row],[MonthlyIncome]]&lt;3000,"Low Salary",IF(HR_Data[[#This Row],[MonthlyIncome]]&lt;=7000,"Medium Salary","High Salary"))</f>
        <v>Low Salary</v>
      </c>
      <c r="AN744" t="str">
        <f>IF(HR_Data[[#This Row],[YearsAtCompany]]&lt;2,"0-1 Years",IF(HR_Data[[#This Row],[YearsAtCompany]]&lt;=5,"2-5 Years",IF(HR_Data[[#This Row],[YearsAtCompany]]&lt;=10,"6-10 Years","10+ Years")))</f>
        <v>0-1 Years</v>
      </c>
      <c r="AO744" t="str">
        <f>IF(HR_Data[[#This Row],[JobSatisfaction]]=1,"Low",IF(HR_Data[[#This Row],[JobSatisfaction]]=2,"Medium",IF(HR_Data[[#This Row],[JobSatisfaction]]=3,"High","Very High")))</f>
        <v>Very High</v>
      </c>
      <c r="AP744" t="str">
        <f>IF(HR_Data[[#This Row],[WorkLifeBalance]]=1,"Bad",IF(HR_Data[[#This Row],[WorkLifeBalance]]=2,"Good",IF(HR_Data[[#This Row],[WorkLifeBalance]]=3,"Better","Best")))</f>
        <v>Better</v>
      </c>
    </row>
    <row r="745" spans="1:42"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IF(HR_Data[[#This Row],[Attrition]]="Yes",1,0)</f>
        <v>0</v>
      </c>
      <c r="AK745">
        <f>IF(HR_Data[[#This Row],[Attrition]]="No",1,0)</f>
        <v>1</v>
      </c>
      <c r="AL745" t="str">
        <f>IF(HR_Data[[#This Row],[Age]]&lt;25,"Under 25",IF(HR_Data[[#This Row],[Age]]&lt;=34,"25-34",IF(HR_Data[[#This Row],[Age]]&lt;=44,"35-44",IF(HR_Data[[#This Row],[Age]]&lt;=54,"45-54","55+"))))</f>
        <v>55+</v>
      </c>
      <c r="AM745" t="str">
        <f>IF(HR_Data[[#This Row],[MonthlyIncome]]&lt;3000,"Low Salary",IF(HR_Data[[#This Row],[MonthlyIncome]]&lt;=7000,"Medium Salary","High Salary"))</f>
        <v>High Salary</v>
      </c>
      <c r="AN745" t="str">
        <f>IF(HR_Data[[#This Row],[YearsAtCompany]]&lt;2,"0-1 Years",IF(HR_Data[[#This Row],[YearsAtCompany]]&lt;=5,"2-5 Years",IF(HR_Data[[#This Row],[YearsAtCompany]]&lt;=10,"6-10 Years","10+ Years")))</f>
        <v>2-5 Years</v>
      </c>
      <c r="AO745" t="str">
        <f>IF(HR_Data[[#This Row],[JobSatisfaction]]=1,"Low",IF(HR_Data[[#This Row],[JobSatisfaction]]=2,"Medium",IF(HR_Data[[#This Row],[JobSatisfaction]]=3,"High","Very High")))</f>
        <v>Very High</v>
      </c>
      <c r="AP745" t="str">
        <f>IF(HR_Data[[#This Row],[WorkLifeBalance]]=1,"Bad",IF(HR_Data[[#This Row],[WorkLifeBalance]]=2,"Good",IF(HR_Data[[#This Row],[WorkLifeBalance]]=3,"Better","Best")))</f>
        <v>Better</v>
      </c>
    </row>
    <row r="746" spans="1:42"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IF(HR_Data[[#This Row],[Attrition]]="Yes",1,0)</f>
        <v>1</v>
      </c>
      <c r="AK746">
        <f>IF(HR_Data[[#This Row],[Attrition]]="No",1,0)</f>
        <v>0</v>
      </c>
      <c r="AL746" t="str">
        <f>IF(HR_Data[[#This Row],[Age]]&lt;25,"Under 25",IF(HR_Data[[#This Row],[Age]]&lt;=34,"25-34",IF(HR_Data[[#This Row],[Age]]&lt;=44,"35-44",IF(HR_Data[[#This Row],[Age]]&lt;=54,"45-54","55+"))))</f>
        <v>35-44</v>
      </c>
      <c r="AM746" t="str">
        <f>IF(HR_Data[[#This Row],[MonthlyIncome]]&lt;3000,"Low Salary",IF(HR_Data[[#This Row],[MonthlyIncome]]&lt;=7000,"Medium Salary","High Salary"))</f>
        <v>Medium Salary</v>
      </c>
      <c r="AN746" t="str">
        <f>IF(HR_Data[[#This Row],[YearsAtCompany]]&lt;2,"0-1 Years",IF(HR_Data[[#This Row],[YearsAtCompany]]&lt;=5,"2-5 Years",IF(HR_Data[[#This Row],[YearsAtCompany]]&lt;=10,"6-10 Years","10+ Years")))</f>
        <v>0-1 Years</v>
      </c>
      <c r="AO746" t="str">
        <f>IF(HR_Data[[#This Row],[JobSatisfaction]]=1,"Low",IF(HR_Data[[#This Row],[JobSatisfaction]]=2,"Medium",IF(HR_Data[[#This Row],[JobSatisfaction]]=3,"High","Very High")))</f>
        <v>Medium</v>
      </c>
      <c r="AP746" t="str">
        <f>IF(HR_Data[[#This Row],[WorkLifeBalance]]=1,"Bad",IF(HR_Data[[#This Row],[WorkLifeBalance]]=2,"Good",IF(HR_Data[[#This Row],[WorkLifeBalance]]=3,"Better","Best")))</f>
        <v>Bad</v>
      </c>
    </row>
    <row r="747" spans="1:42"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IF(HR_Data[[#This Row],[Attrition]]="Yes",1,0)</f>
        <v>0</v>
      </c>
      <c r="AK747">
        <f>IF(HR_Data[[#This Row],[Attrition]]="No",1,0)</f>
        <v>1</v>
      </c>
      <c r="AL747" t="str">
        <f>IF(HR_Data[[#This Row],[Age]]&lt;25,"Under 25",IF(HR_Data[[#This Row],[Age]]&lt;=34,"25-34",IF(HR_Data[[#This Row],[Age]]&lt;=44,"35-44",IF(HR_Data[[#This Row],[Age]]&lt;=54,"45-54","55+"))))</f>
        <v>55+</v>
      </c>
      <c r="AM747" t="str">
        <f>IF(HR_Data[[#This Row],[MonthlyIncome]]&lt;3000,"Low Salary",IF(HR_Data[[#This Row],[MonthlyIncome]]&lt;=7000,"Medium Salary","High Salary"))</f>
        <v>Medium Salary</v>
      </c>
      <c r="AN747" t="str">
        <f>IF(HR_Data[[#This Row],[YearsAtCompany]]&lt;2,"0-1 Years",IF(HR_Data[[#This Row],[YearsAtCompany]]&lt;=5,"2-5 Years",IF(HR_Data[[#This Row],[YearsAtCompany]]&lt;=10,"6-10 Years","10+ Years")))</f>
        <v>6-10 Years</v>
      </c>
      <c r="AO747" t="str">
        <f>IF(HR_Data[[#This Row],[JobSatisfaction]]=1,"Low",IF(HR_Data[[#This Row],[JobSatisfaction]]=2,"Medium",IF(HR_Data[[#This Row],[JobSatisfaction]]=3,"High","Very High")))</f>
        <v>Medium</v>
      </c>
      <c r="AP747" t="str">
        <f>IF(HR_Data[[#This Row],[WorkLifeBalance]]=1,"Bad",IF(HR_Data[[#This Row],[WorkLifeBalance]]=2,"Good",IF(HR_Data[[#This Row],[WorkLifeBalance]]=3,"Better","Best")))</f>
        <v>Better</v>
      </c>
    </row>
    <row r="748" spans="1:42"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IF(HR_Data[[#This Row],[Attrition]]="Yes",1,0)</f>
        <v>0</v>
      </c>
      <c r="AK748">
        <f>IF(HR_Data[[#This Row],[Attrition]]="No",1,0)</f>
        <v>1</v>
      </c>
      <c r="AL748" t="str">
        <f>IF(HR_Data[[#This Row],[Age]]&lt;25,"Under 25",IF(HR_Data[[#This Row],[Age]]&lt;=34,"25-34",IF(HR_Data[[#This Row],[Age]]&lt;=44,"35-44",IF(HR_Data[[#This Row],[Age]]&lt;=54,"45-54","55+"))))</f>
        <v>35-44</v>
      </c>
      <c r="AM748" t="str">
        <f>IF(HR_Data[[#This Row],[MonthlyIncome]]&lt;3000,"Low Salary",IF(HR_Data[[#This Row],[MonthlyIncome]]&lt;=7000,"Medium Salary","High Salary"))</f>
        <v>High Salary</v>
      </c>
      <c r="AN748" t="str">
        <f>IF(HR_Data[[#This Row],[YearsAtCompany]]&lt;2,"0-1 Years",IF(HR_Data[[#This Row],[YearsAtCompany]]&lt;=5,"2-5 Years",IF(HR_Data[[#This Row],[YearsAtCompany]]&lt;=10,"6-10 Years","10+ Years")))</f>
        <v>10+ Years</v>
      </c>
      <c r="AO748" t="str">
        <f>IF(HR_Data[[#This Row],[JobSatisfaction]]=1,"Low",IF(HR_Data[[#This Row],[JobSatisfaction]]=2,"Medium",IF(HR_Data[[#This Row],[JobSatisfaction]]=3,"High","Very High")))</f>
        <v>High</v>
      </c>
      <c r="AP748" t="str">
        <f>IF(HR_Data[[#This Row],[WorkLifeBalance]]=1,"Bad",IF(HR_Data[[#This Row],[WorkLifeBalance]]=2,"Good",IF(HR_Data[[#This Row],[WorkLifeBalance]]=3,"Better","Best")))</f>
        <v>Better</v>
      </c>
    </row>
    <row r="749" spans="1:42"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IF(HR_Data[[#This Row],[Attrition]]="Yes",1,0)</f>
        <v>0</v>
      </c>
      <c r="AK749">
        <f>IF(HR_Data[[#This Row],[Attrition]]="No",1,0)</f>
        <v>1</v>
      </c>
      <c r="AL749" t="str">
        <f>IF(HR_Data[[#This Row],[Age]]&lt;25,"Under 25",IF(HR_Data[[#This Row],[Age]]&lt;=34,"25-34",IF(HR_Data[[#This Row],[Age]]&lt;=44,"35-44",IF(HR_Data[[#This Row],[Age]]&lt;=54,"45-54","55+"))))</f>
        <v>35-44</v>
      </c>
      <c r="AM749" t="str">
        <f>IF(HR_Data[[#This Row],[MonthlyIncome]]&lt;3000,"Low Salary",IF(HR_Data[[#This Row],[MonthlyIncome]]&lt;=7000,"Medium Salary","High Salary"))</f>
        <v>Medium Salary</v>
      </c>
      <c r="AN749" t="str">
        <f>IF(HR_Data[[#This Row],[YearsAtCompany]]&lt;2,"0-1 Years",IF(HR_Data[[#This Row],[YearsAtCompany]]&lt;=5,"2-5 Years",IF(HR_Data[[#This Row],[YearsAtCompany]]&lt;=10,"6-10 Years","10+ Years")))</f>
        <v>0-1 Years</v>
      </c>
      <c r="AO749" t="str">
        <f>IF(HR_Data[[#This Row],[JobSatisfaction]]=1,"Low",IF(HR_Data[[#This Row],[JobSatisfaction]]=2,"Medium",IF(HR_Data[[#This Row],[JobSatisfaction]]=3,"High","Very High")))</f>
        <v>Very High</v>
      </c>
      <c r="AP749" t="str">
        <f>IF(HR_Data[[#This Row],[WorkLifeBalance]]=1,"Bad",IF(HR_Data[[#This Row],[WorkLifeBalance]]=2,"Good",IF(HR_Data[[#This Row],[WorkLifeBalance]]=3,"Better","Best")))</f>
        <v>Better</v>
      </c>
    </row>
    <row r="750" spans="1:42"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IF(HR_Data[[#This Row],[Attrition]]="Yes",1,0)</f>
        <v>1</v>
      </c>
      <c r="AK750">
        <f>IF(HR_Data[[#This Row],[Attrition]]="No",1,0)</f>
        <v>0</v>
      </c>
      <c r="AL750" t="str">
        <f>IF(HR_Data[[#This Row],[Age]]&lt;25,"Under 25",IF(HR_Data[[#This Row],[Age]]&lt;=34,"25-34",IF(HR_Data[[#This Row],[Age]]&lt;=44,"35-44",IF(HR_Data[[#This Row],[Age]]&lt;=54,"45-54","55+"))))</f>
        <v>25-34</v>
      </c>
      <c r="AM750" t="str">
        <f>IF(HR_Data[[#This Row],[MonthlyIncome]]&lt;3000,"Low Salary",IF(HR_Data[[#This Row],[MonthlyIncome]]&lt;=7000,"Medium Salary","High Salary"))</f>
        <v>Medium Salary</v>
      </c>
      <c r="AN750" t="str">
        <f>IF(HR_Data[[#This Row],[YearsAtCompany]]&lt;2,"0-1 Years",IF(HR_Data[[#This Row],[YearsAtCompany]]&lt;=5,"2-5 Years",IF(HR_Data[[#This Row],[YearsAtCompany]]&lt;=10,"6-10 Years","10+ Years")))</f>
        <v>2-5 Years</v>
      </c>
      <c r="AO750" t="str">
        <f>IF(HR_Data[[#This Row],[JobSatisfaction]]=1,"Low",IF(HR_Data[[#This Row],[JobSatisfaction]]=2,"Medium",IF(HR_Data[[#This Row],[JobSatisfaction]]=3,"High","Very High")))</f>
        <v>Low</v>
      </c>
      <c r="AP750" t="str">
        <f>IF(HR_Data[[#This Row],[WorkLifeBalance]]=1,"Bad",IF(HR_Data[[#This Row],[WorkLifeBalance]]=2,"Good",IF(HR_Data[[#This Row],[WorkLifeBalance]]=3,"Better","Best")))</f>
        <v>Better</v>
      </c>
    </row>
    <row r="751" spans="1:42"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IF(HR_Data[[#This Row],[Attrition]]="Yes",1,0)</f>
        <v>1</v>
      </c>
      <c r="AK751">
        <f>IF(HR_Data[[#This Row],[Attrition]]="No",1,0)</f>
        <v>0</v>
      </c>
      <c r="AL751" t="str">
        <f>IF(HR_Data[[#This Row],[Age]]&lt;25,"Under 25",IF(HR_Data[[#This Row],[Age]]&lt;=34,"25-34",IF(HR_Data[[#This Row],[Age]]&lt;=44,"35-44",IF(HR_Data[[#This Row],[Age]]&lt;=54,"45-54","55+"))))</f>
        <v>45-54</v>
      </c>
      <c r="AM751" t="str">
        <f>IF(HR_Data[[#This Row],[MonthlyIncome]]&lt;3000,"Low Salary",IF(HR_Data[[#This Row],[MonthlyIncome]]&lt;=7000,"Medium Salary","High Salary"))</f>
        <v>High Salary</v>
      </c>
      <c r="AN751" t="str">
        <f>IF(HR_Data[[#This Row],[YearsAtCompany]]&lt;2,"0-1 Years",IF(HR_Data[[#This Row],[YearsAtCompany]]&lt;=5,"2-5 Years",IF(HR_Data[[#This Row],[YearsAtCompany]]&lt;=10,"6-10 Years","10+ Years")))</f>
        <v>10+ Years</v>
      </c>
      <c r="AO751" t="str">
        <f>IF(HR_Data[[#This Row],[JobSatisfaction]]=1,"Low",IF(HR_Data[[#This Row],[JobSatisfaction]]=2,"Medium",IF(HR_Data[[#This Row],[JobSatisfaction]]=3,"High","Very High")))</f>
        <v>Very High</v>
      </c>
      <c r="AP751" t="str">
        <f>IF(HR_Data[[#This Row],[WorkLifeBalance]]=1,"Bad",IF(HR_Data[[#This Row],[WorkLifeBalance]]=2,"Good",IF(HR_Data[[#This Row],[WorkLifeBalance]]=3,"Better","Best")))</f>
        <v>Better</v>
      </c>
    </row>
    <row r="752" spans="1:42"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IF(HR_Data[[#This Row],[Attrition]]="Yes",1,0)</f>
        <v>0</v>
      </c>
      <c r="AK752">
        <f>IF(HR_Data[[#This Row],[Attrition]]="No",1,0)</f>
        <v>1</v>
      </c>
      <c r="AL752" t="str">
        <f>IF(HR_Data[[#This Row],[Age]]&lt;25,"Under 25",IF(HR_Data[[#This Row],[Age]]&lt;=34,"25-34",IF(HR_Data[[#This Row],[Age]]&lt;=44,"35-44",IF(HR_Data[[#This Row],[Age]]&lt;=54,"45-54","55+"))))</f>
        <v>35-44</v>
      </c>
      <c r="AM752" t="str">
        <f>IF(HR_Data[[#This Row],[MonthlyIncome]]&lt;3000,"Low Salary",IF(HR_Data[[#This Row],[MonthlyIncome]]&lt;=7000,"Medium Salary","High Salary"))</f>
        <v>High Salary</v>
      </c>
      <c r="AN752" t="str">
        <f>IF(HR_Data[[#This Row],[YearsAtCompany]]&lt;2,"0-1 Years",IF(HR_Data[[#This Row],[YearsAtCompany]]&lt;=5,"2-5 Years",IF(HR_Data[[#This Row],[YearsAtCompany]]&lt;=10,"6-10 Years","10+ Years")))</f>
        <v>10+ Years</v>
      </c>
      <c r="AO752" t="str">
        <f>IF(HR_Data[[#This Row],[JobSatisfaction]]=1,"Low",IF(HR_Data[[#This Row],[JobSatisfaction]]=2,"Medium",IF(HR_Data[[#This Row],[JobSatisfaction]]=3,"High","Very High")))</f>
        <v>Very High</v>
      </c>
      <c r="AP752" t="str">
        <f>IF(HR_Data[[#This Row],[WorkLifeBalance]]=1,"Bad",IF(HR_Data[[#This Row],[WorkLifeBalance]]=2,"Good",IF(HR_Data[[#This Row],[WorkLifeBalance]]=3,"Better","Best")))</f>
        <v>Better</v>
      </c>
    </row>
    <row r="753" spans="1:42"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IF(HR_Data[[#This Row],[Attrition]]="Yes",1,0)</f>
        <v>0</v>
      </c>
      <c r="AK753">
        <f>IF(HR_Data[[#This Row],[Attrition]]="No",1,0)</f>
        <v>1</v>
      </c>
      <c r="AL753" t="str">
        <f>IF(HR_Data[[#This Row],[Age]]&lt;25,"Under 25",IF(HR_Data[[#This Row],[Age]]&lt;=34,"25-34",IF(HR_Data[[#This Row],[Age]]&lt;=44,"35-44",IF(HR_Data[[#This Row],[Age]]&lt;=54,"45-54","55+"))))</f>
        <v>45-54</v>
      </c>
      <c r="AM753" t="str">
        <f>IF(HR_Data[[#This Row],[MonthlyIncome]]&lt;3000,"Low Salary",IF(HR_Data[[#This Row],[MonthlyIncome]]&lt;=7000,"Medium Salary","High Salary"))</f>
        <v>Medium Salary</v>
      </c>
      <c r="AN753" t="str">
        <f>IF(HR_Data[[#This Row],[YearsAtCompany]]&lt;2,"0-1 Years",IF(HR_Data[[#This Row],[YearsAtCompany]]&lt;=5,"2-5 Years",IF(HR_Data[[#This Row],[YearsAtCompany]]&lt;=10,"6-10 Years","10+ Years")))</f>
        <v>10+ Years</v>
      </c>
      <c r="AO753" t="str">
        <f>IF(HR_Data[[#This Row],[JobSatisfaction]]=1,"Low",IF(HR_Data[[#This Row],[JobSatisfaction]]=2,"Medium",IF(HR_Data[[#This Row],[JobSatisfaction]]=3,"High","Very High")))</f>
        <v>High</v>
      </c>
      <c r="AP753" t="str">
        <f>IF(HR_Data[[#This Row],[WorkLifeBalance]]=1,"Bad",IF(HR_Data[[#This Row],[WorkLifeBalance]]=2,"Good",IF(HR_Data[[#This Row],[WorkLifeBalance]]=3,"Better","Best")))</f>
        <v>Better</v>
      </c>
    </row>
    <row r="754" spans="1:42"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IF(HR_Data[[#This Row],[Attrition]]="Yes",1,0)</f>
        <v>1</v>
      </c>
      <c r="AK754">
        <f>IF(HR_Data[[#This Row],[Attrition]]="No",1,0)</f>
        <v>0</v>
      </c>
      <c r="AL754" t="str">
        <f>IF(HR_Data[[#This Row],[Age]]&lt;25,"Under 25",IF(HR_Data[[#This Row],[Age]]&lt;=34,"25-34",IF(HR_Data[[#This Row],[Age]]&lt;=44,"35-44",IF(HR_Data[[#This Row],[Age]]&lt;=54,"45-54","55+"))))</f>
        <v>35-44</v>
      </c>
      <c r="AM754" t="str">
        <f>IF(HR_Data[[#This Row],[MonthlyIncome]]&lt;3000,"Low Salary",IF(HR_Data[[#This Row],[MonthlyIncome]]&lt;=7000,"Medium Salary","High Salary"))</f>
        <v>Low Salary</v>
      </c>
      <c r="AN754" t="str">
        <f>IF(HR_Data[[#This Row],[YearsAtCompany]]&lt;2,"0-1 Years",IF(HR_Data[[#This Row],[YearsAtCompany]]&lt;=5,"2-5 Years",IF(HR_Data[[#This Row],[YearsAtCompany]]&lt;=10,"6-10 Years","10+ Years")))</f>
        <v>10+ Years</v>
      </c>
      <c r="AO754" t="str">
        <f>IF(HR_Data[[#This Row],[JobSatisfaction]]=1,"Low",IF(HR_Data[[#This Row],[JobSatisfaction]]=2,"Medium",IF(HR_Data[[#This Row],[JobSatisfaction]]=3,"High","Very High")))</f>
        <v>Low</v>
      </c>
      <c r="AP754" t="str">
        <f>IF(HR_Data[[#This Row],[WorkLifeBalance]]=1,"Bad",IF(HR_Data[[#This Row],[WorkLifeBalance]]=2,"Good",IF(HR_Data[[#This Row],[WorkLifeBalance]]=3,"Better","Best")))</f>
        <v>Better</v>
      </c>
    </row>
    <row r="755" spans="1:42"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IF(HR_Data[[#This Row],[Attrition]]="Yes",1,0)</f>
        <v>0</v>
      </c>
      <c r="AK755">
        <f>IF(HR_Data[[#This Row],[Attrition]]="No",1,0)</f>
        <v>1</v>
      </c>
      <c r="AL755" t="str">
        <f>IF(HR_Data[[#This Row],[Age]]&lt;25,"Under 25",IF(HR_Data[[#This Row],[Age]]&lt;=34,"25-34",IF(HR_Data[[#This Row],[Age]]&lt;=44,"35-44",IF(HR_Data[[#This Row],[Age]]&lt;=54,"45-54","55+"))))</f>
        <v>35-44</v>
      </c>
      <c r="AM755" t="str">
        <f>IF(HR_Data[[#This Row],[MonthlyIncome]]&lt;3000,"Low Salary",IF(HR_Data[[#This Row],[MonthlyIncome]]&lt;=7000,"Medium Salary","High Salary"))</f>
        <v>High Salary</v>
      </c>
      <c r="AN755" t="str">
        <f>IF(HR_Data[[#This Row],[YearsAtCompany]]&lt;2,"0-1 Years",IF(HR_Data[[#This Row],[YearsAtCompany]]&lt;=5,"2-5 Years",IF(HR_Data[[#This Row],[YearsAtCompany]]&lt;=10,"6-10 Years","10+ Years")))</f>
        <v>10+ Years</v>
      </c>
      <c r="AO755" t="str">
        <f>IF(HR_Data[[#This Row],[JobSatisfaction]]=1,"Low",IF(HR_Data[[#This Row],[JobSatisfaction]]=2,"Medium",IF(HR_Data[[#This Row],[JobSatisfaction]]=3,"High","Very High")))</f>
        <v>Low</v>
      </c>
      <c r="AP755" t="str">
        <f>IF(HR_Data[[#This Row],[WorkLifeBalance]]=1,"Bad",IF(HR_Data[[#This Row],[WorkLifeBalance]]=2,"Good",IF(HR_Data[[#This Row],[WorkLifeBalance]]=3,"Better","Best")))</f>
        <v>Better</v>
      </c>
    </row>
    <row r="756" spans="1:42"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IF(HR_Data[[#This Row],[Attrition]]="Yes",1,0)</f>
        <v>0</v>
      </c>
      <c r="AK756">
        <f>IF(HR_Data[[#This Row],[Attrition]]="No",1,0)</f>
        <v>1</v>
      </c>
      <c r="AL756" t="str">
        <f>IF(HR_Data[[#This Row],[Age]]&lt;25,"Under 25",IF(HR_Data[[#This Row],[Age]]&lt;=34,"25-34",IF(HR_Data[[#This Row],[Age]]&lt;=44,"35-44",IF(HR_Data[[#This Row],[Age]]&lt;=54,"45-54","55+"))))</f>
        <v>25-34</v>
      </c>
      <c r="AM756" t="str">
        <f>IF(HR_Data[[#This Row],[MonthlyIncome]]&lt;3000,"Low Salary",IF(HR_Data[[#This Row],[MonthlyIncome]]&lt;=7000,"Medium Salary","High Salary"))</f>
        <v>Low Salary</v>
      </c>
      <c r="AN756" t="str">
        <f>IF(HR_Data[[#This Row],[YearsAtCompany]]&lt;2,"0-1 Years",IF(HR_Data[[#This Row],[YearsAtCompany]]&lt;=5,"2-5 Years",IF(HR_Data[[#This Row],[YearsAtCompany]]&lt;=10,"6-10 Years","10+ Years")))</f>
        <v>2-5 Years</v>
      </c>
      <c r="AO756" t="str">
        <f>IF(HR_Data[[#This Row],[JobSatisfaction]]=1,"Low",IF(HR_Data[[#This Row],[JobSatisfaction]]=2,"Medium",IF(HR_Data[[#This Row],[JobSatisfaction]]=3,"High","Very High")))</f>
        <v>Very High</v>
      </c>
      <c r="AP756" t="str">
        <f>IF(HR_Data[[#This Row],[WorkLifeBalance]]=1,"Bad",IF(HR_Data[[#This Row],[WorkLifeBalance]]=2,"Good",IF(HR_Data[[#This Row],[WorkLifeBalance]]=3,"Better","Best")))</f>
        <v>Good</v>
      </c>
    </row>
    <row r="757" spans="1:42"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IF(HR_Data[[#This Row],[Attrition]]="Yes",1,0)</f>
        <v>0</v>
      </c>
      <c r="AK757">
        <f>IF(HR_Data[[#This Row],[Attrition]]="No",1,0)</f>
        <v>1</v>
      </c>
      <c r="AL757" t="str">
        <f>IF(HR_Data[[#This Row],[Age]]&lt;25,"Under 25",IF(HR_Data[[#This Row],[Age]]&lt;=34,"25-34",IF(HR_Data[[#This Row],[Age]]&lt;=44,"35-44",IF(HR_Data[[#This Row],[Age]]&lt;=54,"45-54","55+"))))</f>
        <v>45-54</v>
      </c>
      <c r="AM757" t="str">
        <f>IF(HR_Data[[#This Row],[MonthlyIncome]]&lt;3000,"Low Salary",IF(HR_Data[[#This Row],[MonthlyIncome]]&lt;=7000,"Medium Salary","High Salary"))</f>
        <v>High Salary</v>
      </c>
      <c r="AN757" t="str">
        <f>IF(HR_Data[[#This Row],[YearsAtCompany]]&lt;2,"0-1 Years",IF(HR_Data[[#This Row],[YearsAtCompany]]&lt;=5,"2-5 Years",IF(HR_Data[[#This Row],[YearsAtCompany]]&lt;=10,"6-10 Years","10+ Years")))</f>
        <v>6-10 Years</v>
      </c>
      <c r="AO757" t="str">
        <f>IF(HR_Data[[#This Row],[JobSatisfaction]]=1,"Low",IF(HR_Data[[#This Row],[JobSatisfaction]]=2,"Medium",IF(HR_Data[[#This Row],[JobSatisfaction]]=3,"High","Very High")))</f>
        <v>Very High</v>
      </c>
      <c r="AP757" t="str">
        <f>IF(HR_Data[[#This Row],[WorkLifeBalance]]=1,"Bad",IF(HR_Data[[#This Row],[WorkLifeBalance]]=2,"Good",IF(HR_Data[[#This Row],[WorkLifeBalance]]=3,"Better","Best")))</f>
        <v>Best</v>
      </c>
    </row>
    <row r="758" spans="1:42"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IF(HR_Data[[#This Row],[Attrition]]="Yes",1,0)</f>
        <v>0</v>
      </c>
      <c r="AK758">
        <f>IF(HR_Data[[#This Row],[Attrition]]="No",1,0)</f>
        <v>1</v>
      </c>
      <c r="AL758" t="str">
        <f>IF(HR_Data[[#This Row],[Age]]&lt;25,"Under 25",IF(HR_Data[[#This Row],[Age]]&lt;=34,"25-34",IF(HR_Data[[#This Row],[Age]]&lt;=44,"35-44",IF(HR_Data[[#This Row],[Age]]&lt;=54,"45-54","55+"))))</f>
        <v>25-34</v>
      </c>
      <c r="AM758" t="str">
        <f>IF(HR_Data[[#This Row],[MonthlyIncome]]&lt;3000,"Low Salary",IF(HR_Data[[#This Row],[MonthlyIncome]]&lt;=7000,"Medium Salary","High Salary"))</f>
        <v>Medium Salary</v>
      </c>
      <c r="AN758" t="str">
        <f>IF(HR_Data[[#This Row],[YearsAtCompany]]&lt;2,"0-1 Years",IF(HR_Data[[#This Row],[YearsAtCompany]]&lt;=5,"2-5 Years",IF(HR_Data[[#This Row],[YearsAtCompany]]&lt;=10,"6-10 Years","10+ Years")))</f>
        <v>6-10 Years</v>
      </c>
      <c r="AO758" t="str">
        <f>IF(HR_Data[[#This Row],[JobSatisfaction]]=1,"Low",IF(HR_Data[[#This Row],[JobSatisfaction]]=2,"Medium",IF(HR_Data[[#This Row],[JobSatisfaction]]=3,"High","Very High")))</f>
        <v>High</v>
      </c>
      <c r="AP758" t="str">
        <f>IF(HR_Data[[#This Row],[WorkLifeBalance]]=1,"Bad",IF(HR_Data[[#This Row],[WorkLifeBalance]]=2,"Good",IF(HR_Data[[#This Row],[WorkLifeBalance]]=3,"Better","Best")))</f>
        <v>Better</v>
      </c>
    </row>
    <row r="759" spans="1:42"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IF(HR_Data[[#This Row],[Attrition]]="Yes",1,0)</f>
        <v>0</v>
      </c>
      <c r="AK759">
        <f>IF(HR_Data[[#This Row],[Attrition]]="No",1,0)</f>
        <v>1</v>
      </c>
      <c r="AL759" t="str">
        <f>IF(HR_Data[[#This Row],[Age]]&lt;25,"Under 25",IF(HR_Data[[#This Row],[Age]]&lt;=34,"25-34",IF(HR_Data[[#This Row],[Age]]&lt;=44,"35-44",IF(HR_Data[[#This Row],[Age]]&lt;=54,"45-54","55+"))))</f>
        <v>25-34</v>
      </c>
      <c r="AM759" t="str">
        <f>IF(HR_Data[[#This Row],[MonthlyIncome]]&lt;3000,"Low Salary",IF(HR_Data[[#This Row],[MonthlyIncome]]&lt;=7000,"Medium Salary","High Salary"))</f>
        <v>High Salary</v>
      </c>
      <c r="AN759" t="str">
        <f>IF(HR_Data[[#This Row],[YearsAtCompany]]&lt;2,"0-1 Years",IF(HR_Data[[#This Row],[YearsAtCompany]]&lt;=5,"2-5 Years",IF(HR_Data[[#This Row],[YearsAtCompany]]&lt;=10,"6-10 Years","10+ Years")))</f>
        <v>10+ Years</v>
      </c>
      <c r="AO759" t="str">
        <f>IF(HR_Data[[#This Row],[JobSatisfaction]]=1,"Low",IF(HR_Data[[#This Row],[JobSatisfaction]]=2,"Medium",IF(HR_Data[[#This Row],[JobSatisfaction]]=3,"High","Very High")))</f>
        <v>Very High</v>
      </c>
      <c r="AP759" t="str">
        <f>IF(HR_Data[[#This Row],[WorkLifeBalance]]=1,"Bad",IF(HR_Data[[#This Row],[WorkLifeBalance]]=2,"Good",IF(HR_Data[[#This Row],[WorkLifeBalance]]=3,"Better","Best")))</f>
        <v>Good</v>
      </c>
    </row>
    <row r="760" spans="1:42"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IF(HR_Data[[#This Row],[Attrition]]="Yes",1,0)</f>
        <v>0</v>
      </c>
      <c r="AK760">
        <f>IF(HR_Data[[#This Row],[Attrition]]="No",1,0)</f>
        <v>1</v>
      </c>
      <c r="AL760" t="str">
        <f>IF(HR_Data[[#This Row],[Age]]&lt;25,"Under 25",IF(HR_Data[[#This Row],[Age]]&lt;=34,"25-34",IF(HR_Data[[#This Row],[Age]]&lt;=44,"35-44",IF(HR_Data[[#This Row],[Age]]&lt;=54,"45-54","55+"))))</f>
        <v>55+</v>
      </c>
      <c r="AM760" t="str">
        <f>IF(HR_Data[[#This Row],[MonthlyIncome]]&lt;3000,"Low Salary",IF(HR_Data[[#This Row],[MonthlyIncome]]&lt;=7000,"Medium Salary","High Salary"))</f>
        <v>High Salary</v>
      </c>
      <c r="AN760" t="str">
        <f>IF(HR_Data[[#This Row],[YearsAtCompany]]&lt;2,"0-1 Years",IF(HR_Data[[#This Row],[YearsAtCompany]]&lt;=5,"2-5 Years",IF(HR_Data[[#This Row],[YearsAtCompany]]&lt;=10,"6-10 Years","10+ Years")))</f>
        <v>6-10 Years</v>
      </c>
      <c r="AO760" t="str">
        <f>IF(HR_Data[[#This Row],[JobSatisfaction]]=1,"Low",IF(HR_Data[[#This Row],[JobSatisfaction]]=2,"Medium",IF(HR_Data[[#This Row],[JobSatisfaction]]=3,"High","Very High")))</f>
        <v>Very High</v>
      </c>
      <c r="AP760" t="str">
        <f>IF(HR_Data[[#This Row],[WorkLifeBalance]]=1,"Bad",IF(HR_Data[[#This Row],[WorkLifeBalance]]=2,"Good",IF(HR_Data[[#This Row],[WorkLifeBalance]]=3,"Better","Best")))</f>
        <v>Bad</v>
      </c>
    </row>
    <row r="761" spans="1:42"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IF(HR_Data[[#This Row],[Attrition]]="Yes",1,0)</f>
        <v>0</v>
      </c>
      <c r="AK761">
        <f>IF(HR_Data[[#This Row],[Attrition]]="No",1,0)</f>
        <v>1</v>
      </c>
      <c r="AL761" t="str">
        <f>IF(HR_Data[[#This Row],[Age]]&lt;25,"Under 25",IF(HR_Data[[#This Row],[Age]]&lt;=34,"25-34",IF(HR_Data[[#This Row],[Age]]&lt;=44,"35-44",IF(HR_Data[[#This Row],[Age]]&lt;=54,"45-54","55+"))))</f>
        <v>45-54</v>
      </c>
      <c r="AM761" t="str">
        <f>IF(HR_Data[[#This Row],[MonthlyIncome]]&lt;3000,"Low Salary",IF(HR_Data[[#This Row],[MonthlyIncome]]&lt;=7000,"Medium Salary","High Salary"))</f>
        <v>Low Salary</v>
      </c>
      <c r="AN761" t="str">
        <f>IF(HR_Data[[#This Row],[YearsAtCompany]]&lt;2,"0-1 Years",IF(HR_Data[[#This Row],[YearsAtCompany]]&lt;=5,"2-5 Years",IF(HR_Data[[#This Row],[YearsAtCompany]]&lt;=10,"6-10 Years","10+ Years")))</f>
        <v>6-10 Years</v>
      </c>
      <c r="AO761" t="str">
        <f>IF(HR_Data[[#This Row],[JobSatisfaction]]=1,"Low",IF(HR_Data[[#This Row],[JobSatisfaction]]=2,"Medium",IF(HR_Data[[#This Row],[JobSatisfaction]]=3,"High","Very High")))</f>
        <v>Medium</v>
      </c>
      <c r="AP761" t="str">
        <f>IF(HR_Data[[#This Row],[WorkLifeBalance]]=1,"Bad",IF(HR_Data[[#This Row],[WorkLifeBalance]]=2,"Good",IF(HR_Data[[#This Row],[WorkLifeBalance]]=3,"Better","Best")))</f>
        <v>Better</v>
      </c>
    </row>
    <row r="762" spans="1:42"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IF(HR_Data[[#This Row],[Attrition]]="Yes",1,0)</f>
        <v>0</v>
      </c>
      <c r="AK762">
        <f>IF(HR_Data[[#This Row],[Attrition]]="No",1,0)</f>
        <v>1</v>
      </c>
      <c r="AL762" t="str">
        <f>IF(HR_Data[[#This Row],[Age]]&lt;25,"Under 25",IF(HR_Data[[#This Row],[Age]]&lt;=34,"25-34",IF(HR_Data[[#This Row],[Age]]&lt;=44,"35-44",IF(HR_Data[[#This Row],[Age]]&lt;=54,"45-54","55+"))))</f>
        <v>45-54</v>
      </c>
      <c r="AM762" t="str">
        <f>IF(HR_Data[[#This Row],[MonthlyIncome]]&lt;3000,"Low Salary",IF(HR_Data[[#This Row],[MonthlyIncome]]&lt;=7000,"Medium Salary","High Salary"))</f>
        <v>High Salary</v>
      </c>
      <c r="AN762" t="str">
        <f>IF(HR_Data[[#This Row],[YearsAtCompany]]&lt;2,"0-1 Years",IF(HR_Data[[#This Row],[YearsAtCompany]]&lt;=5,"2-5 Years",IF(HR_Data[[#This Row],[YearsAtCompany]]&lt;=10,"6-10 Years","10+ Years")))</f>
        <v>10+ Years</v>
      </c>
      <c r="AO762" t="str">
        <f>IF(HR_Data[[#This Row],[JobSatisfaction]]=1,"Low",IF(HR_Data[[#This Row],[JobSatisfaction]]=2,"Medium",IF(HR_Data[[#This Row],[JobSatisfaction]]=3,"High","Very High")))</f>
        <v>Medium</v>
      </c>
      <c r="AP762" t="str">
        <f>IF(HR_Data[[#This Row],[WorkLifeBalance]]=1,"Bad",IF(HR_Data[[#This Row],[WorkLifeBalance]]=2,"Good",IF(HR_Data[[#This Row],[WorkLifeBalance]]=3,"Better","Best")))</f>
        <v>Better</v>
      </c>
    </row>
    <row r="763" spans="1:42"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IF(HR_Data[[#This Row],[Attrition]]="Yes",1,0)</f>
        <v>1</v>
      </c>
      <c r="AK763">
        <f>IF(HR_Data[[#This Row],[Attrition]]="No",1,0)</f>
        <v>0</v>
      </c>
      <c r="AL763" t="str">
        <f>IF(HR_Data[[#This Row],[Age]]&lt;25,"Under 25",IF(HR_Data[[#This Row],[Age]]&lt;=34,"25-34",IF(HR_Data[[#This Row],[Age]]&lt;=44,"35-44",IF(HR_Data[[#This Row],[Age]]&lt;=54,"45-54","55+"))))</f>
        <v>35-44</v>
      </c>
      <c r="AM763" t="str">
        <f>IF(HR_Data[[#This Row],[MonthlyIncome]]&lt;3000,"Low Salary",IF(HR_Data[[#This Row],[MonthlyIncome]]&lt;=7000,"Medium Salary","High Salary"))</f>
        <v>Medium Salary</v>
      </c>
      <c r="AN763" t="str">
        <f>IF(HR_Data[[#This Row],[YearsAtCompany]]&lt;2,"0-1 Years",IF(HR_Data[[#This Row],[YearsAtCompany]]&lt;=5,"2-5 Years",IF(HR_Data[[#This Row],[YearsAtCompany]]&lt;=10,"6-10 Years","10+ Years")))</f>
        <v>0-1 Years</v>
      </c>
      <c r="AO763" t="str">
        <f>IF(HR_Data[[#This Row],[JobSatisfaction]]=1,"Low",IF(HR_Data[[#This Row],[JobSatisfaction]]=2,"Medium",IF(HR_Data[[#This Row],[JobSatisfaction]]=3,"High","Very High")))</f>
        <v>High</v>
      </c>
      <c r="AP763" t="str">
        <f>IF(HR_Data[[#This Row],[WorkLifeBalance]]=1,"Bad",IF(HR_Data[[#This Row],[WorkLifeBalance]]=2,"Good",IF(HR_Data[[#This Row],[WorkLifeBalance]]=3,"Better","Best")))</f>
        <v>Good</v>
      </c>
    </row>
    <row r="764" spans="1:42"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IF(HR_Data[[#This Row],[Attrition]]="Yes",1,0)</f>
        <v>1</v>
      </c>
      <c r="AK764">
        <f>IF(HR_Data[[#This Row],[Attrition]]="No",1,0)</f>
        <v>0</v>
      </c>
      <c r="AL764" t="str">
        <f>IF(HR_Data[[#This Row],[Age]]&lt;25,"Under 25",IF(HR_Data[[#This Row],[Age]]&lt;=34,"25-34",IF(HR_Data[[#This Row],[Age]]&lt;=44,"35-44",IF(HR_Data[[#This Row],[Age]]&lt;=54,"45-54","55+"))))</f>
        <v>25-34</v>
      </c>
      <c r="AM764" t="str">
        <f>IF(HR_Data[[#This Row],[MonthlyIncome]]&lt;3000,"Low Salary",IF(HR_Data[[#This Row],[MonthlyIncome]]&lt;=7000,"Medium Salary","High Salary"))</f>
        <v>Low Salary</v>
      </c>
      <c r="AN764" t="str">
        <f>IF(HR_Data[[#This Row],[YearsAtCompany]]&lt;2,"0-1 Years",IF(HR_Data[[#This Row],[YearsAtCompany]]&lt;=5,"2-5 Years",IF(HR_Data[[#This Row],[YearsAtCompany]]&lt;=10,"6-10 Years","10+ Years")))</f>
        <v>2-5 Years</v>
      </c>
      <c r="AO764" t="str">
        <f>IF(HR_Data[[#This Row],[JobSatisfaction]]=1,"Low",IF(HR_Data[[#This Row],[JobSatisfaction]]=2,"Medium",IF(HR_Data[[#This Row],[JobSatisfaction]]=3,"High","Very High")))</f>
        <v>Low</v>
      </c>
      <c r="AP764" t="str">
        <f>IF(HR_Data[[#This Row],[WorkLifeBalance]]=1,"Bad",IF(HR_Data[[#This Row],[WorkLifeBalance]]=2,"Good",IF(HR_Data[[#This Row],[WorkLifeBalance]]=3,"Better","Best")))</f>
        <v>Better</v>
      </c>
    </row>
    <row r="765" spans="1:42"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IF(HR_Data[[#This Row],[Attrition]]="Yes",1,0)</f>
        <v>0</v>
      </c>
      <c r="AK765">
        <f>IF(HR_Data[[#This Row],[Attrition]]="No",1,0)</f>
        <v>1</v>
      </c>
      <c r="AL765" t="str">
        <f>IF(HR_Data[[#This Row],[Age]]&lt;25,"Under 25",IF(HR_Data[[#This Row],[Age]]&lt;=34,"25-34",IF(HR_Data[[#This Row],[Age]]&lt;=44,"35-44",IF(HR_Data[[#This Row],[Age]]&lt;=54,"45-54","55+"))))</f>
        <v>25-34</v>
      </c>
      <c r="AM765" t="str">
        <f>IF(HR_Data[[#This Row],[MonthlyIncome]]&lt;3000,"Low Salary",IF(HR_Data[[#This Row],[MonthlyIncome]]&lt;=7000,"Medium Salary","High Salary"))</f>
        <v>Low Salary</v>
      </c>
      <c r="AN765" t="str">
        <f>IF(HR_Data[[#This Row],[YearsAtCompany]]&lt;2,"0-1 Years",IF(HR_Data[[#This Row],[YearsAtCompany]]&lt;=5,"2-5 Years",IF(HR_Data[[#This Row],[YearsAtCompany]]&lt;=10,"6-10 Years","10+ Years")))</f>
        <v>0-1 Years</v>
      </c>
      <c r="AO765" t="str">
        <f>IF(HR_Data[[#This Row],[JobSatisfaction]]=1,"Low",IF(HR_Data[[#This Row],[JobSatisfaction]]=2,"Medium",IF(HR_Data[[#This Row],[JobSatisfaction]]=3,"High","Very High")))</f>
        <v>High</v>
      </c>
      <c r="AP765" t="str">
        <f>IF(HR_Data[[#This Row],[WorkLifeBalance]]=1,"Bad",IF(HR_Data[[#This Row],[WorkLifeBalance]]=2,"Good",IF(HR_Data[[#This Row],[WorkLifeBalance]]=3,"Better","Best")))</f>
        <v>Better</v>
      </c>
    </row>
    <row r="766" spans="1:42"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IF(HR_Data[[#This Row],[Attrition]]="Yes",1,0)</f>
        <v>0</v>
      </c>
      <c r="AK766">
        <f>IF(HR_Data[[#This Row],[Attrition]]="No",1,0)</f>
        <v>1</v>
      </c>
      <c r="AL766" t="str">
        <f>IF(HR_Data[[#This Row],[Age]]&lt;25,"Under 25",IF(HR_Data[[#This Row],[Age]]&lt;=34,"25-34",IF(HR_Data[[#This Row],[Age]]&lt;=44,"35-44",IF(HR_Data[[#This Row],[Age]]&lt;=54,"45-54","55+"))))</f>
        <v>25-34</v>
      </c>
      <c r="AM766" t="str">
        <f>IF(HR_Data[[#This Row],[MonthlyIncome]]&lt;3000,"Low Salary",IF(HR_Data[[#This Row],[MonthlyIncome]]&lt;=7000,"Medium Salary","High Salary"))</f>
        <v>Low Salary</v>
      </c>
      <c r="AN766" t="str">
        <f>IF(HR_Data[[#This Row],[YearsAtCompany]]&lt;2,"0-1 Years",IF(HR_Data[[#This Row],[YearsAtCompany]]&lt;=5,"2-5 Years",IF(HR_Data[[#This Row],[YearsAtCompany]]&lt;=10,"6-10 Years","10+ Years")))</f>
        <v>0-1 Years</v>
      </c>
      <c r="AO766" t="str">
        <f>IF(HR_Data[[#This Row],[JobSatisfaction]]=1,"Low",IF(HR_Data[[#This Row],[JobSatisfaction]]=2,"Medium",IF(HR_Data[[#This Row],[JobSatisfaction]]=3,"High","Very High")))</f>
        <v>Medium</v>
      </c>
      <c r="AP766" t="str">
        <f>IF(HR_Data[[#This Row],[WorkLifeBalance]]=1,"Bad",IF(HR_Data[[#This Row],[WorkLifeBalance]]=2,"Good",IF(HR_Data[[#This Row],[WorkLifeBalance]]=3,"Better","Best")))</f>
        <v>Better</v>
      </c>
    </row>
    <row r="767" spans="1:42"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IF(HR_Data[[#This Row],[Attrition]]="Yes",1,0)</f>
        <v>0</v>
      </c>
      <c r="AK767">
        <f>IF(HR_Data[[#This Row],[Attrition]]="No",1,0)</f>
        <v>1</v>
      </c>
      <c r="AL767" t="str">
        <f>IF(HR_Data[[#This Row],[Age]]&lt;25,"Under 25",IF(HR_Data[[#This Row],[Age]]&lt;=34,"25-34",IF(HR_Data[[#This Row],[Age]]&lt;=44,"35-44",IF(HR_Data[[#This Row],[Age]]&lt;=54,"45-54","55+"))))</f>
        <v>35-44</v>
      </c>
      <c r="AM767" t="str">
        <f>IF(HR_Data[[#This Row],[MonthlyIncome]]&lt;3000,"Low Salary",IF(HR_Data[[#This Row],[MonthlyIncome]]&lt;=7000,"Medium Salary","High Salary"))</f>
        <v>Low Salary</v>
      </c>
      <c r="AN767" t="str">
        <f>IF(HR_Data[[#This Row],[YearsAtCompany]]&lt;2,"0-1 Years",IF(HR_Data[[#This Row],[YearsAtCompany]]&lt;=5,"2-5 Years",IF(HR_Data[[#This Row],[YearsAtCompany]]&lt;=10,"6-10 Years","10+ Years")))</f>
        <v>2-5 Years</v>
      </c>
      <c r="AO767" t="str">
        <f>IF(HR_Data[[#This Row],[JobSatisfaction]]=1,"Low",IF(HR_Data[[#This Row],[JobSatisfaction]]=2,"Medium",IF(HR_Data[[#This Row],[JobSatisfaction]]=3,"High","Very High")))</f>
        <v>High</v>
      </c>
      <c r="AP767" t="str">
        <f>IF(HR_Data[[#This Row],[WorkLifeBalance]]=1,"Bad",IF(HR_Data[[#This Row],[WorkLifeBalance]]=2,"Good",IF(HR_Data[[#This Row],[WorkLifeBalance]]=3,"Better","Best")))</f>
        <v>Better</v>
      </c>
    </row>
    <row r="768" spans="1:42"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IF(HR_Data[[#This Row],[Attrition]]="Yes",1,0)</f>
        <v>0</v>
      </c>
      <c r="AK768">
        <f>IF(HR_Data[[#This Row],[Attrition]]="No",1,0)</f>
        <v>1</v>
      </c>
      <c r="AL768" t="str">
        <f>IF(HR_Data[[#This Row],[Age]]&lt;25,"Under 25",IF(HR_Data[[#This Row],[Age]]&lt;=34,"25-34",IF(HR_Data[[#This Row],[Age]]&lt;=44,"35-44",IF(HR_Data[[#This Row],[Age]]&lt;=54,"45-54","55+"))))</f>
        <v>45-54</v>
      </c>
      <c r="AM768" t="str">
        <f>IF(HR_Data[[#This Row],[MonthlyIncome]]&lt;3000,"Low Salary",IF(HR_Data[[#This Row],[MonthlyIncome]]&lt;=7000,"Medium Salary","High Salary"))</f>
        <v>High Salary</v>
      </c>
      <c r="AN768" t="str">
        <f>IF(HR_Data[[#This Row],[YearsAtCompany]]&lt;2,"0-1 Years",IF(HR_Data[[#This Row],[YearsAtCompany]]&lt;=5,"2-5 Years",IF(HR_Data[[#This Row],[YearsAtCompany]]&lt;=10,"6-10 Years","10+ Years")))</f>
        <v>6-10 Years</v>
      </c>
      <c r="AO768" t="str">
        <f>IF(HR_Data[[#This Row],[JobSatisfaction]]=1,"Low",IF(HR_Data[[#This Row],[JobSatisfaction]]=2,"Medium",IF(HR_Data[[#This Row],[JobSatisfaction]]=3,"High","Very High")))</f>
        <v>High</v>
      </c>
      <c r="AP768" t="str">
        <f>IF(HR_Data[[#This Row],[WorkLifeBalance]]=1,"Bad",IF(HR_Data[[#This Row],[WorkLifeBalance]]=2,"Good",IF(HR_Data[[#This Row],[WorkLifeBalance]]=3,"Better","Best")))</f>
        <v>Good</v>
      </c>
    </row>
    <row r="769" spans="1:42"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IF(HR_Data[[#This Row],[Attrition]]="Yes",1,0)</f>
        <v>0</v>
      </c>
      <c r="AK769">
        <f>IF(HR_Data[[#This Row],[Attrition]]="No",1,0)</f>
        <v>1</v>
      </c>
      <c r="AL769" t="str">
        <f>IF(HR_Data[[#This Row],[Age]]&lt;25,"Under 25",IF(HR_Data[[#This Row],[Age]]&lt;=34,"25-34",IF(HR_Data[[#This Row],[Age]]&lt;=44,"35-44",IF(HR_Data[[#This Row],[Age]]&lt;=54,"45-54","55+"))))</f>
        <v>35-44</v>
      </c>
      <c r="AM769" t="str">
        <f>IF(HR_Data[[#This Row],[MonthlyIncome]]&lt;3000,"Low Salary",IF(HR_Data[[#This Row],[MonthlyIncome]]&lt;=7000,"Medium Salary","High Salary"))</f>
        <v>Medium Salary</v>
      </c>
      <c r="AN769" t="str">
        <f>IF(HR_Data[[#This Row],[YearsAtCompany]]&lt;2,"0-1 Years",IF(HR_Data[[#This Row],[YearsAtCompany]]&lt;=5,"2-5 Years",IF(HR_Data[[#This Row],[YearsAtCompany]]&lt;=10,"6-10 Years","10+ Years")))</f>
        <v>2-5 Years</v>
      </c>
      <c r="AO769" t="str">
        <f>IF(HR_Data[[#This Row],[JobSatisfaction]]=1,"Low",IF(HR_Data[[#This Row],[JobSatisfaction]]=2,"Medium",IF(HR_Data[[#This Row],[JobSatisfaction]]=3,"High","Very High")))</f>
        <v>Medium</v>
      </c>
      <c r="AP769" t="str">
        <f>IF(HR_Data[[#This Row],[WorkLifeBalance]]=1,"Bad",IF(HR_Data[[#This Row],[WorkLifeBalance]]=2,"Good",IF(HR_Data[[#This Row],[WorkLifeBalance]]=3,"Better","Best")))</f>
        <v>Good</v>
      </c>
    </row>
    <row r="770" spans="1:42"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IF(HR_Data[[#This Row],[Attrition]]="Yes",1,0)</f>
        <v>0</v>
      </c>
      <c r="AK770">
        <f>IF(HR_Data[[#This Row],[Attrition]]="No",1,0)</f>
        <v>1</v>
      </c>
      <c r="AL770" t="str">
        <f>IF(HR_Data[[#This Row],[Age]]&lt;25,"Under 25",IF(HR_Data[[#This Row],[Age]]&lt;=34,"25-34",IF(HR_Data[[#This Row],[Age]]&lt;=44,"35-44",IF(HR_Data[[#This Row],[Age]]&lt;=54,"45-54","55+"))))</f>
        <v>35-44</v>
      </c>
      <c r="AM770" t="str">
        <f>IF(HR_Data[[#This Row],[MonthlyIncome]]&lt;3000,"Low Salary",IF(HR_Data[[#This Row],[MonthlyIncome]]&lt;=7000,"Medium Salary","High Salary"))</f>
        <v>High Salary</v>
      </c>
      <c r="AN770" t="str">
        <f>IF(HR_Data[[#This Row],[YearsAtCompany]]&lt;2,"0-1 Years",IF(HR_Data[[#This Row],[YearsAtCompany]]&lt;=5,"2-5 Years",IF(HR_Data[[#This Row],[YearsAtCompany]]&lt;=10,"6-10 Years","10+ Years")))</f>
        <v>6-10 Years</v>
      </c>
      <c r="AO770" t="str">
        <f>IF(HR_Data[[#This Row],[JobSatisfaction]]=1,"Low",IF(HR_Data[[#This Row],[JobSatisfaction]]=2,"Medium",IF(HR_Data[[#This Row],[JobSatisfaction]]=3,"High","Very High")))</f>
        <v>Low</v>
      </c>
      <c r="AP770" t="str">
        <f>IF(HR_Data[[#This Row],[WorkLifeBalance]]=1,"Bad",IF(HR_Data[[#This Row],[WorkLifeBalance]]=2,"Good",IF(HR_Data[[#This Row],[WorkLifeBalance]]=3,"Better","Best")))</f>
        <v>Good</v>
      </c>
    </row>
    <row r="771" spans="1:42"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IF(HR_Data[[#This Row],[Attrition]]="Yes",1,0)</f>
        <v>0</v>
      </c>
      <c r="AK771">
        <f>IF(HR_Data[[#This Row],[Attrition]]="No",1,0)</f>
        <v>1</v>
      </c>
      <c r="AL771" t="str">
        <f>IF(HR_Data[[#This Row],[Age]]&lt;25,"Under 25",IF(HR_Data[[#This Row],[Age]]&lt;=34,"25-34",IF(HR_Data[[#This Row],[Age]]&lt;=44,"35-44",IF(HR_Data[[#This Row],[Age]]&lt;=54,"45-54","55+"))))</f>
        <v>25-34</v>
      </c>
      <c r="AM771" t="str">
        <f>IF(HR_Data[[#This Row],[MonthlyIncome]]&lt;3000,"Low Salary",IF(HR_Data[[#This Row],[MonthlyIncome]]&lt;=7000,"Medium Salary","High Salary"))</f>
        <v>Low Salary</v>
      </c>
      <c r="AN771" t="str">
        <f>IF(HR_Data[[#This Row],[YearsAtCompany]]&lt;2,"0-1 Years",IF(HR_Data[[#This Row],[YearsAtCompany]]&lt;=5,"2-5 Years",IF(HR_Data[[#This Row],[YearsAtCompany]]&lt;=10,"6-10 Years","10+ Years")))</f>
        <v>2-5 Years</v>
      </c>
      <c r="AO771" t="str">
        <f>IF(HR_Data[[#This Row],[JobSatisfaction]]=1,"Low",IF(HR_Data[[#This Row],[JobSatisfaction]]=2,"Medium",IF(HR_Data[[#This Row],[JobSatisfaction]]=3,"High","Very High")))</f>
        <v>High</v>
      </c>
      <c r="AP771" t="str">
        <f>IF(HR_Data[[#This Row],[WorkLifeBalance]]=1,"Bad",IF(HR_Data[[#This Row],[WorkLifeBalance]]=2,"Good",IF(HR_Data[[#This Row],[WorkLifeBalance]]=3,"Better","Best")))</f>
        <v>Better</v>
      </c>
    </row>
    <row r="772" spans="1:42"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IF(HR_Data[[#This Row],[Attrition]]="Yes",1,0)</f>
        <v>0</v>
      </c>
      <c r="AK772">
        <f>IF(HR_Data[[#This Row],[Attrition]]="No",1,0)</f>
        <v>1</v>
      </c>
      <c r="AL772" t="str">
        <f>IF(HR_Data[[#This Row],[Age]]&lt;25,"Under 25",IF(HR_Data[[#This Row],[Age]]&lt;=34,"25-34",IF(HR_Data[[#This Row],[Age]]&lt;=44,"35-44",IF(HR_Data[[#This Row],[Age]]&lt;=54,"45-54","55+"))))</f>
        <v>45-54</v>
      </c>
      <c r="AM772" t="str">
        <f>IF(HR_Data[[#This Row],[MonthlyIncome]]&lt;3000,"Low Salary",IF(HR_Data[[#This Row],[MonthlyIncome]]&lt;=7000,"Medium Salary","High Salary"))</f>
        <v>High Salary</v>
      </c>
      <c r="AN772" t="str">
        <f>IF(HR_Data[[#This Row],[YearsAtCompany]]&lt;2,"0-1 Years",IF(HR_Data[[#This Row],[YearsAtCompany]]&lt;=5,"2-5 Years",IF(HR_Data[[#This Row],[YearsAtCompany]]&lt;=10,"6-10 Years","10+ Years")))</f>
        <v>2-5 Years</v>
      </c>
      <c r="AO772" t="str">
        <f>IF(HR_Data[[#This Row],[JobSatisfaction]]=1,"Low",IF(HR_Data[[#This Row],[JobSatisfaction]]=2,"Medium",IF(HR_Data[[#This Row],[JobSatisfaction]]=3,"High","Very High")))</f>
        <v>Very High</v>
      </c>
      <c r="AP772" t="str">
        <f>IF(HR_Data[[#This Row],[WorkLifeBalance]]=1,"Bad",IF(HR_Data[[#This Row],[WorkLifeBalance]]=2,"Good",IF(HR_Data[[#This Row],[WorkLifeBalance]]=3,"Better","Best")))</f>
        <v>Better</v>
      </c>
    </row>
    <row r="773" spans="1:42"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IF(HR_Data[[#This Row],[Attrition]]="Yes",1,0)</f>
        <v>0</v>
      </c>
      <c r="AK773">
        <f>IF(HR_Data[[#This Row],[Attrition]]="No",1,0)</f>
        <v>1</v>
      </c>
      <c r="AL773" t="str">
        <f>IF(HR_Data[[#This Row],[Age]]&lt;25,"Under 25",IF(HR_Data[[#This Row],[Age]]&lt;=34,"25-34",IF(HR_Data[[#This Row],[Age]]&lt;=44,"35-44",IF(HR_Data[[#This Row],[Age]]&lt;=54,"45-54","55+"))))</f>
        <v>45-54</v>
      </c>
      <c r="AM773" t="str">
        <f>IF(HR_Data[[#This Row],[MonthlyIncome]]&lt;3000,"Low Salary",IF(HR_Data[[#This Row],[MonthlyIncome]]&lt;=7000,"Medium Salary","High Salary"))</f>
        <v>High Salary</v>
      </c>
      <c r="AN773" t="str">
        <f>IF(HR_Data[[#This Row],[YearsAtCompany]]&lt;2,"0-1 Years",IF(HR_Data[[#This Row],[YearsAtCompany]]&lt;=5,"2-5 Years",IF(HR_Data[[#This Row],[YearsAtCompany]]&lt;=10,"6-10 Years","10+ Years")))</f>
        <v>6-10 Years</v>
      </c>
      <c r="AO773" t="str">
        <f>IF(HR_Data[[#This Row],[JobSatisfaction]]=1,"Low",IF(HR_Data[[#This Row],[JobSatisfaction]]=2,"Medium",IF(HR_Data[[#This Row],[JobSatisfaction]]=3,"High","Very High")))</f>
        <v>High</v>
      </c>
      <c r="AP773" t="str">
        <f>IF(HR_Data[[#This Row],[WorkLifeBalance]]=1,"Bad",IF(HR_Data[[#This Row],[WorkLifeBalance]]=2,"Good",IF(HR_Data[[#This Row],[WorkLifeBalance]]=3,"Better","Best")))</f>
        <v>Better</v>
      </c>
    </row>
    <row r="774" spans="1:42"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IF(HR_Data[[#This Row],[Attrition]]="Yes",1,0)</f>
        <v>0</v>
      </c>
      <c r="AK774">
        <f>IF(HR_Data[[#This Row],[Attrition]]="No",1,0)</f>
        <v>1</v>
      </c>
      <c r="AL774" t="str">
        <f>IF(HR_Data[[#This Row],[Age]]&lt;25,"Under 25",IF(HR_Data[[#This Row],[Age]]&lt;=34,"25-34",IF(HR_Data[[#This Row],[Age]]&lt;=44,"35-44",IF(HR_Data[[#This Row],[Age]]&lt;=54,"45-54","55+"))))</f>
        <v>55+</v>
      </c>
      <c r="AM774" t="str">
        <f>IF(HR_Data[[#This Row],[MonthlyIncome]]&lt;3000,"Low Salary",IF(HR_Data[[#This Row],[MonthlyIncome]]&lt;=7000,"Medium Salary","High Salary"))</f>
        <v>Low Salary</v>
      </c>
      <c r="AN774" t="str">
        <f>IF(HR_Data[[#This Row],[YearsAtCompany]]&lt;2,"0-1 Years",IF(HR_Data[[#This Row],[YearsAtCompany]]&lt;=5,"2-5 Years",IF(HR_Data[[#This Row],[YearsAtCompany]]&lt;=10,"6-10 Years","10+ Years")))</f>
        <v>2-5 Years</v>
      </c>
      <c r="AO774" t="str">
        <f>IF(HR_Data[[#This Row],[JobSatisfaction]]=1,"Low",IF(HR_Data[[#This Row],[JobSatisfaction]]=2,"Medium",IF(HR_Data[[#This Row],[JobSatisfaction]]=3,"High","Very High")))</f>
        <v>High</v>
      </c>
      <c r="AP774" t="str">
        <f>IF(HR_Data[[#This Row],[WorkLifeBalance]]=1,"Bad",IF(HR_Data[[#This Row],[WorkLifeBalance]]=2,"Good",IF(HR_Data[[#This Row],[WorkLifeBalance]]=3,"Better","Best")))</f>
        <v>Better</v>
      </c>
    </row>
    <row r="775" spans="1:42"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IF(HR_Data[[#This Row],[Attrition]]="Yes",1,0)</f>
        <v>0</v>
      </c>
      <c r="AK775">
        <f>IF(HR_Data[[#This Row],[Attrition]]="No",1,0)</f>
        <v>1</v>
      </c>
      <c r="AL775" t="str">
        <f>IF(HR_Data[[#This Row],[Age]]&lt;25,"Under 25",IF(HR_Data[[#This Row],[Age]]&lt;=34,"25-34",IF(HR_Data[[#This Row],[Age]]&lt;=44,"35-44",IF(HR_Data[[#This Row],[Age]]&lt;=54,"45-54","55+"))))</f>
        <v>35-44</v>
      </c>
      <c r="AM775" t="str">
        <f>IF(HR_Data[[#This Row],[MonthlyIncome]]&lt;3000,"Low Salary",IF(HR_Data[[#This Row],[MonthlyIncome]]&lt;=7000,"Medium Salary","High Salary"))</f>
        <v>High Salary</v>
      </c>
      <c r="AN775" t="str">
        <f>IF(HR_Data[[#This Row],[YearsAtCompany]]&lt;2,"0-1 Years",IF(HR_Data[[#This Row],[YearsAtCompany]]&lt;=5,"2-5 Years",IF(HR_Data[[#This Row],[YearsAtCompany]]&lt;=10,"6-10 Years","10+ Years")))</f>
        <v>10+ Years</v>
      </c>
      <c r="AO775" t="str">
        <f>IF(HR_Data[[#This Row],[JobSatisfaction]]=1,"Low",IF(HR_Data[[#This Row],[JobSatisfaction]]=2,"Medium",IF(HR_Data[[#This Row],[JobSatisfaction]]=3,"High","Very High")))</f>
        <v>Very High</v>
      </c>
      <c r="AP775" t="str">
        <f>IF(HR_Data[[#This Row],[WorkLifeBalance]]=1,"Bad",IF(HR_Data[[#This Row],[WorkLifeBalance]]=2,"Good",IF(HR_Data[[#This Row],[WorkLifeBalance]]=3,"Better","Best")))</f>
        <v>Good</v>
      </c>
    </row>
    <row r="776" spans="1:42"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IF(HR_Data[[#This Row],[Attrition]]="Yes",1,0)</f>
        <v>0</v>
      </c>
      <c r="AK776">
        <f>IF(HR_Data[[#This Row],[Attrition]]="No",1,0)</f>
        <v>1</v>
      </c>
      <c r="AL776" t="str">
        <f>IF(HR_Data[[#This Row],[Age]]&lt;25,"Under 25",IF(HR_Data[[#This Row],[Age]]&lt;=34,"25-34",IF(HR_Data[[#This Row],[Age]]&lt;=44,"35-44",IF(HR_Data[[#This Row],[Age]]&lt;=54,"45-54","55+"))))</f>
        <v>55+</v>
      </c>
      <c r="AM776" t="str">
        <f>IF(HR_Data[[#This Row],[MonthlyIncome]]&lt;3000,"Low Salary",IF(HR_Data[[#This Row],[MonthlyIncome]]&lt;=7000,"Medium Salary","High Salary"))</f>
        <v>High Salary</v>
      </c>
      <c r="AN776" t="str">
        <f>IF(HR_Data[[#This Row],[YearsAtCompany]]&lt;2,"0-1 Years",IF(HR_Data[[#This Row],[YearsAtCompany]]&lt;=5,"2-5 Years",IF(HR_Data[[#This Row],[YearsAtCompany]]&lt;=10,"6-10 Years","10+ Years")))</f>
        <v>6-10 Years</v>
      </c>
      <c r="AO776" t="str">
        <f>IF(HR_Data[[#This Row],[JobSatisfaction]]=1,"Low",IF(HR_Data[[#This Row],[JobSatisfaction]]=2,"Medium",IF(HR_Data[[#This Row],[JobSatisfaction]]=3,"High","Very High")))</f>
        <v>Low</v>
      </c>
      <c r="AP776" t="str">
        <f>IF(HR_Data[[#This Row],[WorkLifeBalance]]=1,"Bad",IF(HR_Data[[#This Row],[WorkLifeBalance]]=2,"Good",IF(HR_Data[[#This Row],[WorkLifeBalance]]=3,"Better","Best")))</f>
        <v>Best</v>
      </c>
    </row>
    <row r="777" spans="1:42"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IF(HR_Data[[#This Row],[Attrition]]="Yes",1,0)</f>
        <v>0</v>
      </c>
      <c r="AK777">
        <f>IF(HR_Data[[#This Row],[Attrition]]="No",1,0)</f>
        <v>1</v>
      </c>
      <c r="AL777" t="str">
        <f>IF(HR_Data[[#This Row],[Age]]&lt;25,"Under 25",IF(HR_Data[[#This Row],[Age]]&lt;=34,"25-34",IF(HR_Data[[#This Row],[Age]]&lt;=44,"35-44",IF(HR_Data[[#This Row],[Age]]&lt;=54,"45-54","55+"))))</f>
        <v>35-44</v>
      </c>
      <c r="AM777" t="str">
        <f>IF(HR_Data[[#This Row],[MonthlyIncome]]&lt;3000,"Low Salary",IF(HR_Data[[#This Row],[MonthlyIncome]]&lt;=7000,"Medium Salary","High Salary"))</f>
        <v>High Salary</v>
      </c>
      <c r="AN777" t="str">
        <f>IF(HR_Data[[#This Row],[YearsAtCompany]]&lt;2,"0-1 Years",IF(HR_Data[[#This Row],[YearsAtCompany]]&lt;=5,"2-5 Years",IF(HR_Data[[#This Row],[YearsAtCompany]]&lt;=10,"6-10 Years","10+ Years")))</f>
        <v>0-1 Years</v>
      </c>
      <c r="AO777" t="str">
        <f>IF(HR_Data[[#This Row],[JobSatisfaction]]=1,"Low",IF(HR_Data[[#This Row],[JobSatisfaction]]=2,"Medium",IF(HR_Data[[#This Row],[JobSatisfaction]]=3,"High","Very High")))</f>
        <v>Very High</v>
      </c>
      <c r="AP777" t="str">
        <f>IF(HR_Data[[#This Row],[WorkLifeBalance]]=1,"Bad",IF(HR_Data[[#This Row],[WorkLifeBalance]]=2,"Good",IF(HR_Data[[#This Row],[WorkLifeBalance]]=3,"Better","Best")))</f>
        <v>Better</v>
      </c>
    </row>
    <row r="778" spans="1:42"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IF(HR_Data[[#This Row],[Attrition]]="Yes",1,0)</f>
        <v>1</v>
      </c>
      <c r="AK778">
        <f>IF(HR_Data[[#This Row],[Attrition]]="No",1,0)</f>
        <v>0</v>
      </c>
      <c r="AL778" t="str">
        <f>IF(HR_Data[[#This Row],[Age]]&lt;25,"Under 25",IF(HR_Data[[#This Row],[Age]]&lt;=34,"25-34",IF(HR_Data[[#This Row],[Age]]&lt;=44,"35-44",IF(HR_Data[[#This Row],[Age]]&lt;=54,"45-54","55+"))))</f>
        <v>Under 25</v>
      </c>
      <c r="AM778" t="str">
        <f>IF(HR_Data[[#This Row],[MonthlyIncome]]&lt;3000,"Low Salary",IF(HR_Data[[#This Row],[MonthlyIncome]]&lt;=7000,"Medium Salary","High Salary"))</f>
        <v>Low Salary</v>
      </c>
      <c r="AN778" t="str">
        <f>IF(HR_Data[[#This Row],[YearsAtCompany]]&lt;2,"0-1 Years",IF(HR_Data[[#This Row],[YearsAtCompany]]&lt;=5,"2-5 Years",IF(HR_Data[[#This Row],[YearsAtCompany]]&lt;=10,"6-10 Years","10+ Years")))</f>
        <v>2-5 Years</v>
      </c>
      <c r="AO778" t="str">
        <f>IF(HR_Data[[#This Row],[JobSatisfaction]]=1,"Low",IF(HR_Data[[#This Row],[JobSatisfaction]]=2,"Medium",IF(HR_Data[[#This Row],[JobSatisfaction]]=3,"High","Very High")))</f>
        <v>Very High</v>
      </c>
      <c r="AP778" t="str">
        <f>IF(HR_Data[[#This Row],[WorkLifeBalance]]=1,"Bad",IF(HR_Data[[#This Row],[WorkLifeBalance]]=2,"Good",IF(HR_Data[[#This Row],[WorkLifeBalance]]=3,"Better","Best")))</f>
        <v>Better</v>
      </c>
    </row>
    <row r="779" spans="1:42"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IF(HR_Data[[#This Row],[Attrition]]="Yes",1,0)</f>
        <v>1</v>
      </c>
      <c r="AK779">
        <f>IF(HR_Data[[#This Row],[Attrition]]="No",1,0)</f>
        <v>0</v>
      </c>
      <c r="AL779" t="str">
        <f>IF(HR_Data[[#This Row],[Age]]&lt;25,"Under 25",IF(HR_Data[[#This Row],[Age]]&lt;=34,"25-34",IF(HR_Data[[#This Row],[Age]]&lt;=44,"35-44",IF(HR_Data[[#This Row],[Age]]&lt;=54,"45-54","55+"))))</f>
        <v>Under 25</v>
      </c>
      <c r="AM779" t="str">
        <f>IF(HR_Data[[#This Row],[MonthlyIncome]]&lt;3000,"Low Salary",IF(HR_Data[[#This Row],[MonthlyIncome]]&lt;=7000,"Medium Salary","High Salary"))</f>
        <v>Low Salary</v>
      </c>
      <c r="AN779" t="str">
        <f>IF(HR_Data[[#This Row],[YearsAtCompany]]&lt;2,"0-1 Years",IF(HR_Data[[#This Row],[YearsAtCompany]]&lt;=5,"2-5 Years",IF(HR_Data[[#This Row],[YearsAtCompany]]&lt;=10,"6-10 Years","10+ Years")))</f>
        <v>0-1 Years</v>
      </c>
      <c r="AO779" t="str">
        <f>IF(HR_Data[[#This Row],[JobSatisfaction]]=1,"Low",IF(HR_Data[[#This Row],[JobSatisfaction]]=2,"Medium",IF(HR_Data[[#This Row],[JobSatisfaction]]=3,"High","Very High")))</f>
        <v>Low</v>
      </c>
      <c r="AP779" t="str">
        <f>IF(HR_Data[[#This Row],[WorkLifeBalance]]=1,"Bad",IF(HR_Data[[#This Row],[WorkLifeBalance]]=2,"Good",IF(HR_Data[[#This Row],[WorkLifeBalance]]=3,"Better","Best")))</f>
        <v>Good</v>
      </c>
    </row>
    <row r="780" spans="1:42"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IF(HR_Data[[#This Row],[Attrition]]="Yes",1,0)</f>
        <v>0</v>
      </c>
      <c r="AK780">
        <f>IF(HR_Data[[#This Row],[Attrition]]="No",1,0)</f>
        <v>1</v>
      </c>
      <c r="AL780" t="str">
        <f>IF(HR_Data[[#This Row],[Age]]&lt;25,"Under 25",IF(HR_Data[[#This Row],[Age]]&lt;=34,"25-34",IF(HR_Data[[#This Row],[Age]]&lt;=44,"35-44",IF(HR_Data[[#This Row],[Age]]&lt;=54,"45-54","55+"))))</f>
        <v>45-54</v>
      </c>
      <c r="AM780" t="str">
        <f>IF(HR_Data[[#This Row],[MonthlyIncome]]&lt;3000,"Low Salary",IF(HR_Data[[#This Row],[MonthlyIncome]]&lt;=7000,"Medium Salary","High Salary"))</f>
        <v>Medium Salary</v>
      </c>
      <c r="AN780" t="str">
        <f>IF(HR_Data[[#This Row],[YearsAtCompany]]&lt;2,"0-1 Years",IF(HR_Data[[#This Row],[YearsAtCompany]]&lt;=5,"2-5 Years",IF(HR_Data[[#This Row],[YearsAtCompany]]&lt;=10,"6-10 Years","10+ Years")))</f>
        <v>10+ Years</v>
      </c>
      <c r="AO780" t="str">
        <f>IF(HR_Data[[#This Row],[JobSatisfaction]]=1,"Low",IF(HR_Data[[#This Row],[JobSatisfaction]]=2,"Medium",IF(HR_Data[[#This Row],[JobSatisfaction]]=3,"High","Very High")))</f>
        <v>Low</v>
      </c>
      <c r="AP780" t="str">
        <f>IF(HR_Data[[#This Row],[WorkLifeBalance]]=1,"Bad",IF(HR_Data[[#This Row],[WorkLifeBalance]]=2,"Good",IF(HR_Data[[#This Row],[WorkLifeBalance]]=3,"Better","Best")))</f>
        <v>Better</v>
      </c>
    </row>
    <row r="781" spans="1:42"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IF(HR_Data[[#This Row],[Attrition]]="Yes",1,0)</f>
        <v>1</v>
      </c>
      <c r="AK781">
        <f>IF(HR_Data[[#This Row],[Attrition]]="No",1,0)</f>
        <v>0</v>
      </c>
      <c r="AL781" t="str">
        <f>IF(HR_Data[[#This Row],[Age]]&lt;25,"Under 25",IF(HR_Data[[#This Row],[Age]]&lt;=34,"25-34",IF(HR_Data[[#This Row],[Age]]&lt;=44,"35-44",IF(HR_Data[[#This Row],[Age]]&lt;=54,"45-54","55+"))))</f>
        <v>45-54</v>
      </c>
      <c r="AM781" t="str">
        <f>IF(HR_Data[[#This Row],[MonthlyIncome]]&lt;3000,"Low Salary",IF(HR_Data[[#This Row],[MonthlyIncome]]&lt;=7000,"Medium Salary","High Salary"))</f>
        <v>Low Salary</v>
      </c>
      <c r="AN781" t="str">
        <f>IF(HR_Data[[#This Row],[YearsAtCompany]]&lt;2,"0-1 Years",IF(HR_Data[[#This Row],[YearsAtCompany]]&lt;=5,"2-5 Years",IF(HR_Data[[#This Row],[YearsAtCompany]]&lt;=10,"6-10 Years","10+ Years")))</f>
        <v>6-10 Years</v>
      </c>
      <c r="AO781" t="str">
        <f>IF(HR_Data[[#This Row],[JobSatisfaction]]=1,"Low",IF(HR_Data[[#This Row],[JobSatisfaction]]=2,"Medium",IF(HR_Data[[#This Row],[JobSatisfaction]]=3,"High","Very High")))</f>
        <v>High</v>
      </c>
      <c r="AP781" t="str">
        <f>IF(HR_Data[[#This Row],[WorkLifeBalance]]=1,"Bad",IF(HR_Data[[#This Row],[WorkLifeBalance]]=2,"Good",IF(HR_Data[[#This Row],[WorkLifeBalance]]=3,"Better","Best")))</f>
        <v>Best</v>
      </c>
    </row>
    <row r="782" spans="1:42"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IF(HR_Data[[#This Row],[Attrition]]="Yes",1,0)</f>
        <v>1</v>
      </c>
      <c r="AK782">
        <f>IF(HR_Data[[#This Row],[Attrition]]="No",1,0)</f>
        <v>0</v>
      </c>
      <c r="AL782" t="str">
        <f>IF(HR_Data[[#This Row],[Age]]&lt;25,"Under 25",IF(HR_Data[[#This Row],[Age]]&lt;=34,"25-34",IF(HR_Data[[#This Row],[Age]]&lt;=44,"35-44",IF(HR_Data[[#This Row],[Age]]&lt;=54,"45-54","55+"))))</f>
        <v>25-34</v>
      </c>
      <c r="AM782" t="str">
        <f>IF(HR_Data[[#This Row],[MonthlyIncome]]&lt;3000,"Low Salary",IF(HR_Data[[#This Row],[MonthlyIncome]]&lt;=7000,"Medium Salary","High Salary"))</f>
        <v>High Salary</v>
      </c>
      <c r="AN782" t="str">
        <f>IF(HR_Data[[#This Row],[YearsAtCompany]]&lt;2,"0-1 Years",IF(HR_Data[[#This Row],[YearsAtCompany]]&lt;=5,"2-5 Years",IF(HR_Data[[#This Row],[YearsAtCompany]]&lt;=10,"6-10 Years","10+ Years")))</f>
        <v>6-10 Years</v>
      </c>
      <c r="AO782" t="str">
        <f>IF(HR_Data[[#This Row],[JobSatisfaction]]=1,"Low",IF(HR_Data[[#This Row],[JobSatisfaction]]=2,"Medium",IF(HR_Data[[#This Row],[JobSatisfaction]]=3,"High","Very High")))</f>
        <v>Low</v>
      </c>
      <c r="AP782" t="str">
        <f>IF(HR_Data[[#This Row],[WorkLifeBalance]]=1,"Bad",IF(HR_Data[[#This Row],[WorkLifeBalance]]=2,"Good",IF(HR_Data[[#This Row],[WorkLifeBalance]]=3,"Better","Best")))</f>
        <v>Good</v>
      </c>
    </row>
    <row r="783" spans="1:42"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IF(HR_Data[[#This Row],[Attrition]]="Yes",1,0)</f>
        <v>0</v>
      </c>
      <c r="AK783">
        <f>IF(HR_Data[[#This Row],[Attrition]]="No",1,0)</f>
        <v>1</v>
      </c>
      <c r="AL783" t="str">
        <f>IF(HR_Data[[#This Row],[Age]]&lt;25,"Under 25",IF(HR_Data[[#This Row],[Age]]&lt;=34,"25-34",IF(HR_Data[[#This Row],[Age]]&lt;=44,"35-44",IF(HR_Data[[#This Row],[Age]]&lt;=54,"45-54","55+"))))</f>
        <v>25-34</v>
      </c>
      <c r="AM783" t="str">
        <f>IF(HR_Data[[#This Row],[MonthlyIncome]]&lt;3000,"Low Salary",IF(HR_Data[[#This Row],[MonthlyIncome]]&lt;=7000,"Medium Salary","High Salary"))</f>
        <v>Medium Salary</v>
      </c>
      <c r="AN783" t="str">
        <f>IF(HR_Data[[#This Row],[YearsAtCompany]]&lt;2,"0-1 Years",IF(HR_Data[[#This Row],[YearsAtCompany]]&lt;=5,"2-5 Years",IF(HR_Data[[#This Row],[YearsAtCompany]]&lt;=10,"6-10 Years","10+ Years")))</f>
        <v>2-5 Years</v>
      </c>
      <c r="AO783" t="str">
        <f>IF(HR_Data[[#This Row],[JobSatisfaction]]=1,"Low",IF(HR_Data[[#This Row],[JobSatisfaction]]=2,"Medium",IF(HR_Data[[#This Row],[JobSatisfaction]]=3,"High","Very High")))</f>
        <v>Low</v>
      </c>
      <c r="AP783" t="str">
        <f>IF(HR_Data[[#This Row],[WorkLifeBalance]]=1,"Bad",IF(HR_Data[[#This Row],[WorkLifeBalance]]=2,"Good",IF(HR_Data[[#This Row],[WorkLifeBalance]]=3,"Better","Best")))</f>
        <v>Better</v>
      </c>
    </row>
    <row r="784" spans="1:42"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IF(HR_Data[[#This Row],[Attrition]]="Yes",1,0)</f>
        <v>0</v>
      </c>
      <c r="AK784">
        <f>IF(HR_Data[[#This Row],[Attrition]]="No",1,0)</f>
        <v>1</v>
      </c>
      <c r="AL784" t="str">
        <f>IF(HR_Data[[#This Row],[Age]]&lt;25,"Under 25",IF(HR_Data[[#This Row],[Age]]&lt;=34,"25-34",IF(HR_Data[[#This Row],[Age]]&lt;=44,"35-44",IF(HR_Data[[#This Row],[Age]]&lt;=54,"45-54","55+"))))</f>
        <v>25-34</v>
      </c>
      <c r="AM784" t="str">
        <f>IF(HR_Data[[#This Row],[MonthlyIncome]]&lt;3000,"Low Salary",IF(HR_Data[[#This Row],[MonthlyIncome]]&lt;=7000,"Medium Salary","High Salary"))</f>
        <v>High Salary</v>
      </c>
      <c r="AN784" t="str">
        <f>IF(HR_Data[[#This Row],[YearsAtCompany]]&lt;2,"0-1 Years",IF(HR_Data[[#This Row],[YearsAtCompany]]&lt;=5,"2-5 Years",IF(HR_Data[[#This Row],[YearsAtCompany]]&lt;=10,"6-10 Years","10+ Years")))</f>
        <v>6-10 Years</v>
      </c>
      <c r="AO784" t="str">
        <f>IF(HR_Data[[#This Row],[JobSatisfaction]]=1,"Low",IF(HR_Data[[#This Row],[JobSatisfaction]]=2,"Medium",IF(HR_Data[[#This Row],[JobSatisfaction]]=3,"High","Very High")))</f>
        <v>Low</v>
      </c>
      <c r="AP784" t="str">
        <f>IF(HR_Data[[#This Row],[WorkLifeBalance]]=1,"Bad",IF(HR_Data[[#This Row],[WorkLifeBalance]]=2,"Good",IF(HR_Data[[#This Row],[WorkLifeBalance]]=3,"Better","Best")))</f>
        <v>Good</v>
      </c>
    </row>
    <row r="785" spans="1:42"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IF(HR_Data[[#This Row],[Attrition]]="Yes",1,0)</f>
        <v>0</v>
      </c>
      <c r="AK785">
        <f>IF(HR_Data[[#This Row],[Attrition]]="No",1,0)</f>
        <v>1</v>
      </c>
      <c r="AL785" t="str">
        <f>IF(HR_Data[[#This Row],[Age]]&lt;25,"Under 25",IF(HR_Data[[#This Row],[Age]]&lt;=34,"25-34",IF(HR_Data[[#This Row],[Age]]&lt;=44,"35-44",IF(HR_Data[[#This Row],[Age]]&lt;=54,"45-54","55+"))))</f>
        <v>35-44</v>
      </c>
      <c r="AM785" t="str">
        <f>IF(HR_Data[[#This Row],[MonthlyIncome]]&lt;3000,"Low Salary",IF(HR_Data[[#This Row],[MonthlyIncome]]&lt;=7000,"Medium Salary","High Salary"))</f>
        <v>Medium Salary</v>
      </c>
      <c r="AN785" t="str">
        <f>IF(HR_Data[[#This Row],[YearsAtCompany]]&lt;2,"0-1 Years",IF(HR_Data[[#This Row],[YearsAtCompany]]&lt;=5,"2-5 Years",IF(HR_Data[[#This Row],[YearsAtCompany]]&lt;=10,"6-10 Years","10+ Years")))</f>
        <v>6-10 Years</v>
      </c>
      <c r="AO785" t="str">
        <f>IF(HR_Data[[#This Row],[JobSatisfaction]]=1,"Low",IF(HR_Data[[#This Row],[JobSatisfaction]]=2,"Medium",IF(HR_Data[[#This Row],[JobSatisfaction]]=3,"High","Very High")))</f>
        <v>High</v>
      </c>
      <c r="AP785" t="str">
        <f>IF(HR_Data[[#This Row],[WorkLifeBalance]]=1,"Bad",IF(HR_Data[[#This Row],[WorkLifeBalance]]=2,"Good",IF(HR_Data[[#This Row],[WorkLifeBalance]]=3,"Better","Best")))</f>
        <v>Better</v>
      </c>
    </row>
    <row r="786" spans="1:42"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IF(HR_Data[[#This Row],[Attrition]]="Yes",1,0)</f>
        <v>0</v>
      </c>
      <c r="AK786">
        <f>IF(HR_Data[[#This Row],[Attrition]]="No",1,0)</f>
        <v>1</v>
      </c>
      <c r="AL786" t="str">
        <f>IF(HR_Data[[#This Row],[Age]]&lt;25,"Under 25",IF(HR_Data[[#This Row],[Age]]&lt;=34,"25-34",IF(HR_Data[[#This Row],[Age]]&lt;=44,"35-44",IF(HR_Data[[#This Row],[Age]]&lt;=54,"45-54","55+"))))</f>
        <v>35-44</v>
      </c>
      <c r="AM786" t="str">
        <f>IF(HR_Data[[#This Row],[MonthlyIncome]]&lt;3000,"Low Salary",IF(HR_Data[[#This Row],[MonthlyIncome]]&lt;=7000,"Medium Salary","High Salary"))</f>
        <v>High Salary</v>
      </c>
      <c r="AN786" t="str">
        <f>IF(HR_Data[[#This Row],[YearsAtCompany]]&lt;2,"0-1 Years",IF(HR_Data[[#This Row],[YearsAtCompany]]&lt;=5,"2-5 Years",IF(HR_Data[[#This Row],[YearsAtCompany]]&lt;=10,"6-10 Years","10+ Years")))</f>
        <v>10+ Years</v>
      </c>
      <c r="AO786" t="str">
        <f>IF(HR_Data[[#This Row],[JobSatisfaction]]=1,"Low",IF(HR_Data[[#This Row],[JobSatisfaction]]=2,"Medium",IF(HR_Data[[#This Row],[JobSatisfaction]]=3,"High","Very High")))</f>
        <v>High</v>
      </c>
      <c r="AP786" t="str">
        <f>IF(HR_Data[[#This Row],[WorkLifeBalance]]=1,"Bad",IF(HR_Data[[#This Row],[WorkLifeBalance]]=2,"Good",IF(HR_Data[[#This Row],[WorkLifeBalance]]=3,"Better","Best")))</f>
        <v>Good</v>
      </c>
    </row>
    <row r="787" spans="1:42"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IF(HR_Data[[#This Row],[Attrition]]="Yes",1,0)</f>
        <v>0</v>
      </c>
      <c r="AK787">
        <f>IF(HR_Data[[#This Row],[Attrition]]="No",1,0)</f>
        <v>1</v>
      </c>
      <c r="AL787" t="str">
        <f>IF(HR_Data[[#This Row],[Age]]&lt;25,"Under 25",IF(HR_Data[[#This Row],[Age]]&lt;=34,"25-34",IF(HR_Data[[#This Row],[Age]]&lt;=44,"35-44",IF(HR_Data[[#This Row],[Age]]&lt;=54,"45-54","55+"))))</f>
        <v>35-44</v>
      </c>
      <c r="AM787" t="str">
        <f>IF(HR_Data[[#This Row],[MonthlyIncome]]&lt;3000,"Low Salary",IF(HR_Data[[#This Row],[MonthlyIncome]]&lt;=7000,"Medium Salary","High Salary"))</f>
        <v>High Salary</v>
      </c>
      <c r="AN787" t="str">
        <f>IF(HR_Data[[#This Row],[YearsAtCompany]]&lt;2,"0-1 Years",IF(HR_Data[[#This Row],[YearsAtCompany]]&lt;=5,"2-5 Years",IF(HR_Data[[#This Row],[YearsAtCompany]]&lt;=10,"6-10 Years","10+ Years")))</f>
        <v>10+ Years</v>
      </c>
      <c r="AO787" t="str">
        <f>IF(HR_Data[[#This Row],[JobSatisfaction]]=1,"Low",IF(HR_Data[[#This Row],[JobSatisfaction]]=2,"Medium",IF(HR_Data[[#This Row],[JobSatisfaction]]=3,"High","Very High")))</f>
        <v>Very High</v>
      </c>
      <c r="AP787" t="str">
        <f>IF(HR_Data[[#This Row],[WorkLifeBalance]]=1,"Bad",IF(HR_Data[[#This Row],[WorkLifeBalance]]=2,"Good",IF(HR_Data[[#This Row],[WorkLifeBalance]]=3,"Better","Best")))</f>
        <v>Better</v>
      </c>
    </row>
    <row r="788" spans="1:42"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IF(HR_Data[[#This Row],[Attrition]]="Yes",1,0)</f>
        <v>0</v>
      </c>
      <c r="AK788">
        <f>IF(HR_Data[[#This Row],[Attrition]]="No",1,0)</f>
        <v>1</v>
      </c>
      <c r="AL788" t="str">
        <f>IF(HR_Data[[#This Row],[Age]]&lt;25,"Under 25",IF(HR_Data[[#This Row],[Age]]&lt;=34,"25-34",IF(HR_Data[[#This Row],[Age]]&lt;=44,"35-44",IF(HR_Data[[#This Row],[Age]]&lt;=54,"45-54","55+"))))</f>
        <v>25-34</v>
      </c>
      <c r="AM788" t="str">
        <f>IF(HR_Data[[#This Row],[MonthlyIncome]]&lt;3000,"Low Salary",IF(HR_Data[[#This Row],[MonthlyIncome]]&lt;=7000,"Medium Salary","High Salary"))</f>
        <v>Medium Salary</v>
      </c>
      <c r="AN788" t="str">
        <f>IF(HR_Data[[#This Row],[YearsAtCompany]]&lt;2,"0-1 Years",IF(HR_Data[[#This Row],[YearsAtCompany]]&lt;=5,"2-5 Years",IF(HR_Data[[#This Row],[YearsAtCompany]]&lt;=10,"6-10 Years","10+ Years")))</f>
        <v>2-5 Years</v>
      </c>
      <c r="AO788" t="str">
        <f>IF(HR_Data[[#This Row],[JobSatisfaction]]=1,"Low",IF(HR_Data[[#This Row],[JobSatisfaction]]=2,"Medium",IF(HR_Data[[#This Row],[JobSatisfaction]]=3,"High","Very High")))</f>
        <v>High</v>
      </c>
      <c r="AP788" t="str">
        <f>IF(HR_Data[[#This Row],[WorkLifeBalance]]=1,"Bad",IF(HR_Data[[#This Row],[WorkLifeBalance]]=2,"Good",IF(HR_Data[[#This Row],[WorkLifeBalance]]=3,"Better","Best")))</f>
        <v>Better</v>
      </c>
    </row>
    <row r="789" spans="1:42"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IF(HR_Data[[#This Row],[Attrition]]="Yes",1,0)</f>
        <v>0</v>
      </c>
      <c r="AK789">
        <f>IF(HR_Data[[#This Row],[Attrition]]="No",1,0)</f>
        <v>1</v>
      </c>
      <c r="AL789" t="str">
        <f>IF(HR_Data[[#This Row],[Age]]&lt;25,"Under 25",IF(HR_Data[[#This Row],[Age]]&lt;=34,"25-34",IF(HR_Data[[#This Row],[Age]]&lt;=44,"35-44",IF(HR_Data[[#This Row],[Age]]&lt;=54,"45-54","55+"))))</f>
        <v>55+</v>
      </c>
      <c r="AM789" t="str">
        <f>IF(HR_Data[[#This Row],[MonthlyIncome]]&lt;3000,"Low Salary",IF(HR_Data[[#This Row],[MonthlyIncome]]&lt;=7000,"Medium Salary","High Salary"))</f>
        <v>High Salary</v>
      </c>
      <c r="AN789" t="str">
        <f>IF(HR_Data[[#This Row],[YearsAtCompany]]&lt;2,"0-1 Years",IF(HR_Data[[#This Row],[YearsAtCompany]]&lt;=5,"2-5 Years",IF(HR_Data[[#This Row],[YearsAtCompany]]&lt;=10,"6-10 Years","10+ Years")))</f>
        <v>2-5 Years</v>
      </c>
      <c r="AO789" t="str">
        <f>IF(HR_Data[[#This Row],[JobSatisfaction]]=1,"Low",IF(HR_Data[[#This Row],[JobSatisfaction]]=2,"Medium",IF(HR_Data[[#This Row],[JobSatisfaction]]=3,"High","Very High")))</f>
        <v>Medium</v>
      </c>
      <c r="AP789" t="str">
        <f>IF(HR_Data[[#This Row],[WorkLifeBalance]]=1,"Bad",IF(HR_Data[[#This Row],[WorkLifeBalance]]=2,"Good",IF(HR_Data[[#This Row],[WorkLifeBalance]]=3,"Better","Best")))</f>
        <v>Better</v>
      </c>
    </row>
    <row r="790" spans="1:42"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IF(HR_Data[[#This Row],[Attrition]]="Yes",1,0)</f>
        <v>0</v>
      </c>
      <c r="AK790">
        <f>IF(HR_Data[[#This Row],[Attrition]]="No",1,0)</f>
        <v>1</v>
      </c>
      <c r="AL790" t="str">
        <f>IF(HR_Data[[#This Row],[Age]]&lt;25,"Under 25",IF(HR_Data[[#This Row],[Age]]&lt;=34,"25-34",IF(HR_Data[[#This Row],[Age]]&lt;=44,"35-44",IF(HR_Data[[#This Row],[Age]]&lt;=54,"45-54","55+"))))</f>
        <v>25-34</v>
      </c>
      <c r="AM790" t="str">
        <f>IF(HR_Data[[#This Row],[MonthlyIncome]]&lt;3000,"Low Salary",IF(HR_Data[[#This Row],[MonthlyIncome]]&lt;=7000,"Medium Salary","High Salary"))</f>
        <v>Medium Salary</v>
      </c>
      <c r="AN790" t="str">
        <f>IF(HR_Data[[#This Row],[YearsAtCompany]]&lt;2,"0-1 Years",IF(HR_Data[[#This Row],[YearsAtCompany]]&lt;=5,"2-5 Years",IF(HR_Data[[#This Row],[YearsAtCompany]]&lt;=10,"6-10 Years","10+ Years")))</f>
        <v>6-10 Years</v>
      </c>
      <c r="AO790" t="str">
        <f>IF(HR_Data[[#This Row],[JobSatisfaction]]=1,"Low",IF(HR_Data[[#This Row],[JobSatisfaction]]=2,"Medium",IF(HR_Data[[#This Row],[JobSatisfaction]]=3,"High","Very High")))</f>
        <v>High</v>
      </c>
      <c r="AP790" t="str">
        <f>IF(HR_Data[[#This Row],[WorkLifeBalance]]=1,"Bad",IF(HR_Data[[#This Row],[WorkLifeBalance]]=2,"Good",IF(HR_Data[[#This Row],[WorkLifeBalance]]=3,"Better","Best")))</f>
        <v>Best</v>
      </c>
    </row>
    <row r="791" spans="1:42"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IF(HR_Data[[#This Row],[Attrition]]="Yes",1,0)</f>
        <v>1</v>
      </c>
      <c r="AK791">
        <f>IF(HR_Data[[#This Row],[Attrition]]="No",1,0)</f>
        <v>0</v>
      </c>
      <c r="AL791" t="str">
        <f>IF(HR_Data[[#This Row],[Age]]&lt;25,"Under 25",IF(HR_Data[[#This Row],[Age]]&lt;=34,"25-34",IF(HR_Data[[#This Row],[Age]]&lt;=44,"35-44",IF(HR_Data[[#This Row],[Age]]&lt;=54,"45-54","55+"))))</f>
        <v>35-44</v>
      </c>
      <c r="AM791" t="str">
        <f>IF(HR_Data[[#This Row],[MonthlyIncome]]&lt;3000,"Low Salary",IF(HR_Data[[#This Row],[MonthlyIncome]]&lt;=7000,"Medium Salary","High Salary"))</f>
        <v>High Salary</v>
      </c>
      <c r="AN791" t="str">
        <f>IF(HR_Data[[#This Row],[YearsAtCompany]]&lt;2,"0-1 Years",IF(HR_Data[[#This Row],[YearsAtCompany]]&lt;=5,"2-5 Years",IF(HR_Data[[#This Row],[YearsAtCompany]]&lt;=10,"6-10 Years","10+ Years")))</f>
        <v>10+ Years</v>
      </c>
      <c r="AO791" t="str">
        <f>IF(HR_Data[[#This Row],[JobSatisfaction]]=1,"Low",IF(HR_Data[[#This Row],[JobSatisfaction]]=2,"Medium",IF(HR_Data[[#This Row],[JobSatisfaction]]=3,"High","Very High")))</f>
        <v>Low</v>
      </c>
      <c r="AP791" t="str">
        <f>IF(HR_Data[[#This Row],[WorkLifeBalance]]=1,"Bad",IF(HR_Data[[#This Row],[WorkLifeBalance]]=2,"Good",IF(HR_Data[[#This Row],[WorkLifeBalance]]=3,"Better","Best")))</f>
        <v>Better</v>
      </c>
    </row>
    <row r="792" spans="1:42"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IF(HR_Data[[#This Row],[Attrition]]="Yes",1,0)</f>
        <v>0</v>
      </c>
      <c r="AK792">
        <f>IF(HR_Data[[#This Row],[Attrition]]="No",1,0)</f>
        <v>1</v>
      </c>
      <c r="AL792" t="str">
        <f>IF(HR_Data[[#This Row],[Age]]&lt;25,"Under 25",IF(HR_Data[[#This Row],[Age]]&lt;=34,"25-34",IF(HR_Data[[#This Row],[Age]]&lt;=44,"35-44",IF(HR_Data[[#This Row],[Age]]&lt;=54,"45-54","55+"))))</f>
        <v>25-34</v>
      </c>
      <c r="AM792" t="str">
        <f>IF(HR_Data[[#This Row],[MonthlyIncome]]&lt;3000,"Low Salary",IF(HR_Data[[#This Row],[MonthlyIncome]]&lt;=7000,"Medium Salary","High Salary"))</f>
        <v>High Salary</v>
      </c>
      <c r="AN792" t="str">
        <f>IF(HR_Data[[#This Row],[YearsAtCompany]]&lt;2,"0-1 Years",IF(HR_Data[[#This Row],[YearsAtCompany]]&lt;=5,"2-5 Years",IF(HR_Data[[#This Row],[YearsAtCompany]]&lt;=10,"6-10 Years","10+ Years")))</f>
        <v>2-5 Years</v>
      </c>
      <c r="AO792" t="str">
        <f>IF(HR_Data[[#This Row],[JobSatisfaction]]=1,"Low",IF(HR_Data[[#This Row],[JobSatisfaction]]=2,"Medium",IF(HR_Data[[#This Row],[JobSatisfaction]]=3,"High","Very High")))</f>
        <v>Very High</v>
      </c>
      <c r="AP792" t="str">
        <f>IF(HR_Data[[#This Row],[WorkLifeBalance]]=1,"Bad",IF(HR_Data[[#This Row],[WorkLifeBalance]]=2,"Good",IF(HR_Data[[#This Row],[WorkLifeBalance]]=3,"Better","Best")))</f>
        <v>Better</v>
      </c>
    </row>
    <row r="793" spans="1:42"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IF(HR_Data[[#This Row],[Attrition]]="Yes",1,0)</f>
        <v>1</v>
      </c>
      <c r="AK793">
        <f>IF(HR_Data[[#This Row],[Attrition]]="No",1,0)</f>
        <v>0</v>
      </c>
      <c r="AL793" t="str">
        <f>IF(HR_Data[[#This Row],[Age]]&lt;25,"Under 25",IF(HR_Data[[#This Row],[Age]]&lt;=34,"25-34",IF(HR_Data[[#This Row],[Age]]&lt;=44,"35-44",IF(HR_Data[[#This Row],[Age]]&lt;=54,"45-54","55+"))))</f>
        <v>35-44</v>
      </c>
      <c r="AM793" t="str">
        <f>IF(HR_Data[[#This Row],[MonthlyIncome]]&lt;3000,"Low Salary",IF(HR_Data[[#This Row],[MonthlyIncome]]&lt;=7000,"Medium Salary","High Salary"))</f>
        <v>High Salary</v>
      </c>
      <c r="AN793" t="str">
        <f>IF(HR_Data[[#This Row],[YearsAtCompany]]&lt;2,"0-1 Years",IF(HR_Data[[#This Row],[YearsAtCompany]]&lt;=5,"2-5 Years",IF(HR_Data[[#This Row],[YearsAtCompany]]&lt;=10,"6-10 Years","10+ Years")))</f>
        <v>6-10 Years</v>
      </c>
      <c r="AO793" t="str">
        <f>IF(HR_Data[[#This Row],[JobSatisfaction]]=1,"Low",IF(HR_Data[[#This Row],[JobSatisfaction]]=2,"Medium",IF(HR_Data[[#This Row],[JobSatisfaction]]=3,"High","Very High")))</f>
        <v>Low</v>
      </c>
      <c r="AP793" t="str">
        <f>IF(HR_Data[[#This Row],[WorkLifeBalance]]=1,"Bad",IF(HR_Data[[#This Row],[WorkLifeBalance]]=2,"Good",IF(HR_Data[[#This Row],[WorkLifeBalance]]=3,"Better","Best")))</f>
        <v>Better</v>
      </c>
    </row>
    <row r="794" spans="1:42"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IF(HR_Data[[#This Row],[Attrition]]="Yes",1,0)</f>
        <v>1</v>
      </c>
      <c r="AK794">
        <f>IF(HR_Data[[#This Row],[Attrition]]="No",1,0)</f>
        <v>0</v>
      </c>
      <c r="AL794" t="str">
        <f>IF(HR_Data[[#This Row],[Age]]&lt;25,"Under 25",IF(HR_Data[[#This Row],[Age]]&lt;=34,"25-34",IF(HR_Data[[#This Row],[Age]]&lt;=44,"35-44",IF(HR_Data[[#This Row],[Age]]&lt;=54,"45-54","55+"))))</f>
        <v>25-34</v>
      </c>
      <c r="AM794" t="str">
        <f>IF(HR_Data[[#This Row],[MonthlyIncome]]&lt;3000,"Low Salary",IF(HR_Data[[#This Row],[MonthlyIncome]]&lt;=7000,"Medium Salary","High Salary"))</f>
        <v>Medium Salary</v>
      </c>
      <c r="AN794" t="str">
        <f>IF(HR_Data[[#This Row],[YearsAtCompany]]&lt;2,"0-1 Years",IF(HR_Data[[#This Row],[YearsAtCompany]]&lt;=5,"2-5 Years",IF(HR_Data[[#This Row],[YearsAtCompany]]&lt;=10,"6-10 Years","10+ Years")))</f>
        <v>10+ Years</v>
      </c>
      <c r="AO794" t="str">
        <f>IF(HR_Data[[#This Row],[JobSatisfaction]]=1,"Low",IF(HR_Data[[#This Row],[JobSatisfaction]]=2,"Medium",IF(HR_Data[[#This Row],[JobSatisfaction]]=3,"High","Very High")))</f>
        <v>High</v>
      </c>
      <c r="AP794" t="str">
        <f>IF(HR_Data[[#This Row],[WorkLifeBalance]]=1,"Bad",IF(HR_Data[[#This Row],[WorkLifeBalance]]=2,"Good",IF(HR_Data[[#This Row],[WorkLifeBalance]]=3,"Better","Best")))</f>
        <v>Better</v>
      </c>
    </row>
    <row r="795" spans="1:42"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IF(HR_Data[[#This Row],[Attrition]]="Yes",1,0)</f>
        <v>0</v>
      </c>
      <c r="AK795">
        <f>IF(HR_Data[[#This Row],[Attrition]]="No",1,0)</f>
        <v>1</v>
      </c>
      <c r="AL795" t="str">
        <f>IF(HR_Data[[#This Row],[Age]]&lt;25,"Under 25",IF(HR_Data[[#This Row],[Age]]&lt;=34,"25-34",IF(HR_Data[[#This Row],[Age]]&lt;=44,"35-44",IF(HR_Data[[#This Row],[Age]]&lt;=54,"45-54","55+"))))</f>
        <v>25-34</v>
      </c>
      <c r="AM795" t="str">
        <f>IF(HR_Data[[#This Row],[MonthlyIncome]]&lt;3000,"Low Salary",IF(HR_Data[[#This Row],[MonthlyIncome]]&lt;=7000,"Medium Salary","High Salary"))</f>
        <v>Low Salary</v>
      </c>
      <c r="AN795" t="str">
        <f>IF(HR_Data[[#This Row],[YearsAtCompany]]&lt;2,"0-1 Years",IF(HR_Data[[#This Row],[YearsAtCompany]]&lt;=5,"2-5 Years",IF(HR_Data[[#This Row],[YearsAtCompany]]&lt;=10,"6-10 Years","10+ Years")))</f>
        <v>2-5 Years</v>
      </c>
      <c r="AO795" t="str">
        <f>IF(HR_Data[[#This Row],[JobSatisfaction]]=1,"Low",IF(HR_Data[[#This Row],[JobSatisfaction]]=2,"Medium",IF(HR_Data[[#This Row],[JobSatisfaction]]=3,"High","Very High")))</f>
        <v>High</v>
      </c>
      <c r="AP795" t="str">
        <f>IF(HR_Data[[#This Row],[WorkLifeBalance]]=1,"Bad",IF(HR_Data[[#This Row],[WorkLifeBalance]]=2,"Good",IF(HR_Data[[#This Row],[WorkLifeBalance]]=3,"Better","Best")))</f>
        <v>Good</v>
      </c>
    </row>
    <row r="796" spans="1:42"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IF(HR_Data[[#This Row],[Attrition]]="Yes",1,0)</f>
        <v>0</v>
      </c>
      <c r="AK796">
        <f>IF(HR_Data[[#This Row],[Attrition]]="No",1,0)</f>
        <v>1</v>
      </c>
      <c r="AL796" t="str">
        <f>IF(HR_Data[[#This Row],[Age]]&lt;25,"Under 25",IF(HR_Data[[#This Row],[Age]]&lt;=34,"25-34",IF(HR_Data[[#This Row],[Age]]&lt;=44,"35-44",IF(HR_Data[[#This Row],[Age]]&lt;=54,"45-54","55+"))))</f>
        <v>25-34</v>
      </c>
      <c r="AM796" t="str">
        <f>IF(HR_Data[[#This Row],[MonthlyIncome]]&lt;3000,"Low Salary",IF(HR_Data[[#This Row],[MonthlyIncome]]&lt;=7000,"Medium Salary","High Salary"))</f>
        <v>High Salary</v>
      </c>
      <c r="AN796" t="str">
        <f>IF(HR_Data[[#This Row],[YearsAtCompany]]&lt;2,"0-1 Years",IF(HR_Data[[#This Row],[YearsAtCompany]]&lt;=5,"2-5 Years",IF(HR_Data[[#This Row],[YearsAtCompany]]&lt;=10,"6-10 Years","10+ Years")))</f>
        <v>6-10 Years</v>
      </c>
      <c r="AO796" t="str">
        <f>IF(HR_Data[[#This Row],[JobSatisfaction]]=1,"Low",IF(HR_Data[[#This Row],[JobSatisfaction]]=2,"Medium",IF(HR_Data[[#This Row],[JobSatisfaction]]=3,"High","Very High")))</f>
        <v>Very High</v>
      </c>
      <c r="AP796" t="str">
        <f>IF(HR_Data[[#This Row],[WorkLifeBalance]]=1,"Bad",IF(HR_Data[[#This Row],[WorkLifeBalance]]=2,"Good",IF(HR_Data[[#This Row],[WorkLifeBalance]]=3,"Better","Best")))</f>
        <v>Good</v>
      </c>
    </row>
    <row r="797" spans="1:42"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IF(HR_Data[[#This Row],[Attrition]]="Yes",1,0)</f>
        <v>0</v>
      </c>
      <c r="AK797">
        <f>IF(HR_Data[[#This Row],[Attrition]]="No",1,0)</f>
        <v>1</v>
      </c>
      <c r="AL797" t="str">
        <f>IF(HR_Data[[#This Row],[Age]]&lt;25,"Under 25",IF(HR_Data[[#This Row],[Age]]&lt;=34,"25-34",IF(HR_Data[[#This Row],[Age]]&lt;=44,"35-44",IF(HR_Data[[#This Row],[Age]]&lt;=54,"45-54","55+"))))</f>
        <v>35-44</v>
      </c>
      <c r="AM797" t="str">
        <f>IF(HR_Data[[#This Row],[MonthlyIncome]]&lt;3000,"Low Salary",IF(HR_Data[[#This Row],[MonthlyIncome]]&lt;=7000,"Medium Salary","High Salary"))</f>
        <v>Medium Salary</v>
      </c>
      <c r="AN797" t="str">
        <f>IF(HR_Data[[#This Row],[YearsAtCompany]]&lt;2,"0-1 Years",IF(HR_Data[[#This Row],[YearsAtCompany]]&lt;=5,"2-5 Years",IF(HR_Data[[#This Row],[YearsAtCompany]]&lt;=10,"6-10 Years","10+ Years")))</f>
        <v>0-1 Years</v>
      </c>
      <c r="AO797" t="str">
        <f>IF(HR_Data[[#This Row],[JobSatisfaction]]=1,"Low",IF(HR_Data[[#This Row],[JobSatisfaction]]=2,"Medium",IF(HR_Data[[#This Row],[JobSatisfaction]]=3,"High","Very High")))</f>
        <v>Very High</v>
      </c>
      <c r="AP797" t="str">
        <f>IF(HR_Data[[#This Row],[WorkLifeBalance]]=1,"Bad",IF(HR_Data[[#This Row],[WorkLifeBalance]]=2,"Good",IF(HR_Data[[#This Row],[WorkLifeBalance]]=3,"Better","Best")))</f>
        <v>Better</v>
      </c>
    </row>
    <row r="798" spans="1:42"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IF(HR_Data[[#This Row],[Attrition]]="Yes",1,0)</f>
        <v>1</v>
      </c>
      <c r="AK798">
        <f>IF(HR_Data[[#This Row],[Attrition]]="No",1,0)</f>
        <v>0</v>
      </c>
      <c r="AL798" t="str">
        <f>IF(HR_Data[[#This Row],[Age]]&lt;25,"Under 25",IF(HR_Data[[#This Row],[Age]]&lt;=34,"25-34",IF(HR_Data[[#This Row],[Age]]&lt;=44,"35-44",IF(HR_Data[[#This Row],[Age]]&lt;=54,"45-54","55+"))))</f>
        <v>25-34</v>
      </c>
      <c r="AM798" t="str">
        <f>IF(HR_Data[[#This Row],[MonthlyIncome]]&lt;3000,"Low Salary",IF(HR_Data[[#This Row],[MonthlyIncome]]&lt;=7000,"Medium Salary","High Salary"))</f>
        <v>Medium Salary</v>
      </c>
      <c r="AN798" t="str">
        <f>IF(HR_Data[[#This Row],[YearsAtCompany]]&lt;2,"0-1 Years",IF(HR_Data[[#This Row],[YearsAtCompany]]&lt;=5,"2-5 Years",IF(HR_Data[[#This Row],[YearsAtCompany]]&lt;=10,"6-10 Years","10+ Years")))</f>
        <v>6-10 Years</v>
      </c>
      <c r="AO798" t="str">
        <f>IF(HR_Data[[#This Row],[JobSatisfaction]]=1,"Low",IF(HR_Data[[#This Row],[JobSatisfaction]]=2,"Medium",IF(HR_Data[[#This Row],[JobSatisfaction]]=3,"High","Very High")))</f>
        <v>Very High</v>
      </c>
      <c r="AP798" t="str">
        <f>IF(HR_Data[[#This Row],[WorkLifeBalance]]=1,"Bad",IF(HR_Data[[#This Row],[WorkLifeBalance]]=2,"Good",IF(HR_Data[[#This Row],[WorkLifeBalance]]=3,"Better","Best")))</f>
        <v>Best</v>
      </c>
    </row>
    <row r="799" spans="1:42"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IF(HR_Data[[#This Row],[Attrition]]="Yes",1,0)</f>
        <v>1</v>
      </c>
      <c r="AK799">
        <f>IF(HR_Data[[#This Row],[Attrition]]="No",1,0)</f>
        <v>0</v>
      </c>
      <c r="AL799" t="str">
        <f>IF(HR_Data[[#This Row],[Age]]&lt;25,"Under 25",IF(HR_Data[[#This Row],[Age]]&lt;=34,"25-34",IF(HR_Data[[#This Row],[Age]]&lt;=44,"35-44",IF(HR_Data[[#This Row],[Age]]&lt;=54,"45-54","55+"))))</f>
        <v>25-34</v>
      </c>
      <c r="AM799" t="str">
        <f>IF(HR_Data[[#This Row],[MonthlyIncome]]&lt;3000,"Low Salary",IF(HR_Data[[#This Row],[MonthlyIncome]]&lt;=7000,"Medium Salary","High Salary"))</f>
        <v>Low Salary</v>
      </c>
      <c r="AN799" t="str">
        <f>IF(HR_Data[[#This Row],[YearsAtCompany]]&lt;2,"0-1 Years",IF(HR_Data[[#This Row],[YearsAtCompany]]&lt;=5,"2-5 Years",IF(HR_Data[[#This Row],[YearsAtCompany]]&lt;=10,"6-10 Years","10+ Years")))</f>
        <v>0-1 Years</v>
      </c>
      <c r="AO799" t="str">
        <f>IF(HR_Data[[#This Row],[JobSatisfaction]]=1,"Low",IF(HR_Data[[#This Row],[JobSatisfaction]]=2,"Medium",IF(HR_Data[[#This Row],[JobSatisfaction]]=3,"High","Very High")))</f>
        <v>High</v>
      </c>
      <c r="AP799" t="str">
        <f>IF(HR_Data[[#This Row],[WorkLifeBalance]]=1,"Bad",IF(HR_Data[[#This Row],[WorkLifeBalance]]=2,"Good",IF(HR_Data[[#This Row],[WorkLifeBalance]]=3,"Better","Best")))</f>
        <v>Good</v>
      </c>
    </row>
    <row r="800" spans="1:42"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IF(HR_Data[[#This Row],[Attrition]]="Yes",1,0)</f>
        <v>1</v>
      </c>
      <c r="AK800">
        <f>IF(HR_Data[[#This Row],[Attrition]]="No",1,0)</f>
        <v>0</v>
      </c>
      <c r="AL800" t="str">
        <f>IF(HR_Data[[#This Row],[Age]]&lt;25,"Under 25",IF(HR_Data[[#This Row],[Age]]&lt;=34,"25-34",IF(HR_Data[[#This Row],[Age]]&lt;=44,"35-44",IF(HR_Data[[#This Row],[Age]]&lt;=54,"45-54","55+"))))</f>
        <v>25-34</v>
      </c>
      <c r="AM800" t="str">
        <f>IF(HR_Data[[#This Row],[MonthlyIncome]]&lt;3000,"Low Salary",IF(HR_Data[[#This Row],[MonthlyIncome]]&lt;=7000,"Medium Salary","High Salary"))</f>
        <v>Low Salary</v>
      </c>
      <c r="AN800" t="str">
        <f>IF(HR_Data[[#This Row],[YearsAtCompany]]&lt;2,"0-1 Years",IF(HR_Data[[#This Row],[YearsAtCompany]]&lt;=5,"2-5 Years",IF(HR_Data[[#This Row],[YearsAtCompany]]&lt;=10,"6-10 Years","10+ Years")))</f>
        <v>2-5 Years</v>
      </c>
      <c r="AO800" t="str">
        <f>IF(HR_Data[[#This Row],[JobSatisfaction]]=1,"Low",IF(HR_Data[[#This Row],[JobSatisfaction]]=2,"Medium",IF(HR_Data[[#This Row],[JobSatisfaction]]=3,"High","Very High")))</f>
        <v>Medium</v>
      </c>
      <c r="AP800" t="str">
        <f>IF(HR_Data[[#This Row],[WorkLifeBalance]]=1,"Bad",IF(HR_Data[[#This Row],[WorkLifeBalance]]=2,"Good",IF(HR_Data[[#This Row],[WorkLifeBalance]]=3,"Better","Best")))</f>
        <v>Better</v>
      </c>
    </row>
    <row r="801" spans="1:42"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IF(HR_Data[[#This Row],[Attrition]]="Yes",1,0)</f>
        <v>0</v>
      </c>
      <c r="AK801">
        <f>IF(HR_Data[[#This Row],[Attrition]]="No",1,0)</f>
        <v>1</v>
      </c>
      <c r="AL801" t="str">
        <f>IF(HR_Data[[#This Row],[Age]]&lt;25,"Under 25",IF(HR_Data[[#This Row],[Age]]&lt;=34,"25-34",IF(HR_Data[[#This Row],[Age]]&lt;=44,"35-44",IF(HR_Data[[#This Row],[Age]]&lt;=54,"45-54","55+"))))</f>
        <v>35-44</v>
      </c>
      <c r="AM801" t="str">
        <f>IF(HR_Data[[#This Row],[MonthlyIncome]]&lt;3000,"Low Salary",IF(HR_Data[[#This Row],[MonthlyIncome]]&lt;=7000,"Medium Salary","High Salary"))</f>
        <v>High Salary</v>
      </c>
      <c r="AN801" t="str">
        <f>IF(HR_Data[[#This Row],[YearsAtCompany]]&lt;2,"0-1 Years",IF(HR_Data[[#This Row],[YearsAtCompany]]&lt;=5,"2-5 Years",IF(HR_Data[[#This Row],[YearsAtCompany]]&lt;=10,"6-10 Years","10+ Years")))</f>
        <v>10+ Years</v>
      </c>
      <c r="AO801" t="str">
        <f>IF(HR_Data[[#This Row],[JobSatisfaction]]=1,"Low",IF(HR_Data[[#This Row],[JobSatisfaction]]=2,"Medium",IF(HR_Data[[#This Row],[JobSatisfaction]]=3,"High","Very High")))</f>
        <v>Low</v>
      </c>
      <c r="AP801" t="str">
        <f>IF(HR_Data[[#This Row],[WorkLifeBalance]]=1,"Bad",IF(HR_Data[[#This Row],[WorkLifeBalance]]=2,"Good",IF(HR_Data[[#This Row],[WorkLifeBalance]]=3,"Better","Best")))</f>
        <v>Better</v>
      </c>
    </row>
    <row r="802" spans="1:42"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IF(HR_Data[[#This Row],[Attrition]]="Yes",1,0)</f>
        <v>1</v>
      </c>
      <c r="AK802">
        <f>IF(HR_Data[[#This Row],[Attrition]]="No",1,0)</f>
        <v>0</v>
      </c>
      <c r="AL802" t="str">
        <f>IF(HR_Data[[#This Row],[Age]]&lt;25,"Under 25",IF(HR_Data[[#This Row],[Age]]&lt;=34,"25-34",IF(HR_Data[[#This Row],[Age]]&lt;=44,"35-44",IF(HR_Data[[#This Row],[Age]]&lt;=54,"45-54","55+"))))</f>
        <v>25-34</v>
      </c>
      <c r="AM802" t="str">
        <f>IF(HR_Data[[#This Row],[MonthlyIncome]]&lt;3000,"Low Salary",IF(HR_Data[[#This Row],[MonthlyIncome]]&lt;=7000,"Medium Salary","High Salary"))</f>
        <v>Low Salary</v>
      </c>
      <c r="AN802" t="str">
        <f>IF(HR_Data[[#This Row],[YearsAtCompany]]&lt;2,"0-1 Years",IF(HR_Data[[#This Row],[YearsAtCompany]]&lt;=5,"2-5 Years",IF(HR_Data[[#This Row],[YearsAtCompany]]&lt;=10,"6-10 Years","10+ Years")))</f>
        <v>0-1 Years</v>
      </c>
      <c r="AO802" t="str">
        <f>IF(HR_Data[[#This Row],[JobSatisfaction]]=1,"Low",IF(HR_Data[[#This Row],[JobSatisfaction]]=2,"Medium",IF(HR_Data[[#This Row],[JobSatisfaction]]=3,"High","Very High")))</f>
        <v>Medium</v>
      </c>
      <c r="AP802" t="str">
        <f>IF(HR_Data[[#This Row],[WorkLifeBalance]]=1,"Bad",IF(HR_Data[[#This Row],[WorkLifeBalance]]=2,"Good",IF(HR_Data[[#This Row],[WorkLifeBalance]]=3,"Better","Best")))</f>
        <v>Better</v>
      </c>
    </row>
    <row r="803" spans="1:42"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IF(HR_Data[[#This Row],[Attrition]]="Yes",1,0)</f>
        <v>1</v>
      </c>
      <c r="AK803">
        <f>IF(HR_Data[[#This Row],[Attrition]]="No",1,0)</f>
        <v>0</v>
      </c>
      <c r="AL803" t="str">
        <f>IF(HR_Data[[#This Row],[Age]]&lt;25,"Under 25",IF(HR_Data[[#This Row],[Age]]&lt;=34,"25-34",IF(HR_Data[[#This Row],[Age]]&lt;=44,"35-44",IF(HR_Data[[#This Row],[Age]]&lt;=54,"45-54","55+"))))</f>
        <v>45-54</v>
      </c>
      <c r="AM803" t="str">
        <f>IF(HR_Data[[#This Row],[MonthlyIncome]]&lt;3000,"Low Salary",IF(HR_Data[[#This Row],[MonthlyIncome]]&lt;=7000,"Medium Salary","High Salary"))</f>
        <v>Medium Salary</v>
      </c>
      <c r="AN803" t="str">
        <f>IF(HR_Data[[#This Row],[YearsAtCompany]]&lt;2,"0-1 Years",IF(HR_Data[[#This Row],[YearsAtCompany]]&lt;=5,"2-5 Years",IF(HR_Data[[#This Row],[YearsAtCompany]]&lt;=10,"6-10 Years","10+ Years")))</f>
        <v>0-1 Years</v>
      </c>
      <c r="AO803" t="str">
        <f>IF(HR_Data[[#This Row],[JobSatisfaction]]=1,"Low",IF(HR_Data[[#This Row],[JobSatisfaction]]=2,"Medium",IF(HR_Data[[#This Row],[JobSatisfaction]]=3,"High","Very High")))</f>
        <v>High</v>
      </c>
      <c r="AP803" t="str">
        <f>IF(HR_Data[[#This Row],[WorkLifeBalance]]=1,"Bad",IF(HR_Data[[#This Row],[WorkLifeBalance]]=2,"Good",IF(HR_Data[[#This Row],[WorkLifeBalance]]=3,"Better","Best")))</f>
        <v>Better</v>
      </c>
    </row>
    <row r="804" spans="1:42"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IF(HR_Data[[#This Row],[Attrition]]="Yes",1,0)</f>
        <v>0</v>
      </c>
      <c r="AK804">
        <f>IF(HR_Data[[#This Row],[Attrition]]="No",1,0)</f>
        <v>1</v>
      </c>
      <c r="AL804" t="str">
        <f>IF(HR_Data[[#This Row],[Age]]&lt;25,"Under 25",IF(HR_Data[[#This Row],[Age]]&lt;=34,"25-34",IF(HR_Data[[#This Row],[Age]]&lt;=44,"35-44",IF(HR_Data[[#This Row],[Age]]&lt;=54,"45-54","55+"))))</f>
        <v>25-34</v>
      </c>
      <c r="AM804" t="str">
        <f>IF(HR_Data[[#This Row],[MonthlyIncome]]&lt;3000,"Low Salary",IF(HR_Data[[#This Row],[MonthlyIncome]]&lt;=7000,"Medium Salary","High Salary"))</f>
        <v>Medium Salary</v>
      </c>
      <c r="AN804" t="str">
        <f>IF(HR_Data[[#This Row],[YearsAtCompany]]&lt;2,"0-1 Years",IF(HR_Data[[#This Row],[YearsAtCompany]]&lt;=5,"2-5 Years",IF(HR_Data[[#This Row],[YearsAtCompany]]&lt;=10,"6-10 Years","10+ Years")))</f>
        <v>2-5 Years</v>
      </c>
      <c r="AO804" t="str">
        <f>IF(HR_Data[[#This Row],[JobSatisfaction]]=1,"Low",IF(HR_Data[[#This Row],[JobSatisfaction]]=2,"Medium",IF(HR_Data[[#This Row],[JobSatisfaction]]=3,"High","Very High")))</f>
        <v>Medium</v>
      </c>
      <c r="AP804" t="str">
        <f>IF(HR_Data[[#This Row],[WorkLifeBalance]]=1,"Bad",IF(HR_Data[[#This Row],[WorkLifeBalance]]=2,"Good",IF(HR_Data[[#This Row],[WorkLifeBalance]]=3,"Better","Best")))</f>
        <v>Better</v>
      </c>
    </row>
    <row r="805" spans="1:42"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IF(HR_Data[[#This Row],[Attrition]]="Yes",1,0)</f>
        <v>0</v>
      </c>
      <c r="AK805">
        <f>IF(HR_Data[[#This Row],[Attrition]]="No",1,0)</f>
        <v>1</v>
      </c>
      <c r="AL805" t="str">
        <f>IF(HR_Data[[#This Row],[Age]]&lt;25,"Under 25",IF(HR_Data[[#This Row],[Age]]&lt;=34,"25-34",IF(HR_Data[[#This Row],[Age]]&lt;=44,"35-44",IF(HR_Data[[#This Row],[Age]]&lt;=54,"45-54","55+"))))</f>
        <v>25-34</v>
      </c>
      <c r="AM805" t="str">
        <f>IF(HR_Data[[#This Row],[MonthlyIncome]]&lt;3000,"Low Salary",IF(HR_Data[[#This Row],[MonthlyIncome]]&lt;=7000,"Medium Salary","High Salary"))</f>
        <v>Low Salary</v>
      </c>
      <c r="AN805" t="str">
        <f>IF(HR_Data[[#This Row],[YearsAtCompany]]&lt;2,"0-1 Years",IF(HR_Data[[#This Row],[YearsAtCompany]]&lt;=5,"2-5 Years",IF(HR_Data[[#This Row],[YearsAtCompany]]&lt;=10,"6-10 Years","10+ Years")))</f>
        <v>0-1 Years</v>
      </c>
      <c r="AO805" t="str">
        <f>IF(HR_Data[[#This Row],[JobSatisfaction]]=1,"Low",IF(HR_Data[[#This Row],[JobSatisfaction]]=2,"Medium",IF(HR_Data[[#This Row],[JobSatisfaction]]=3,"High","Very High")))</f>
        <v>Very High</v>
      </c>
      <c r="AP805" t="str">
        <f>IF(HR_Data[[#This Row],[WorkLifeBalance]]=1,"Bad",IF(HR_Data[[#This Row],[WorkLifeBalance]]=2,"Good",IF(HR_Data[[#This Row],[WorkLifeBalance]]=3,"Better","Best")))</f>
        <v>Better</v>
      </c>
    </row>
    <row r="806" spans="1:42"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IF(HR_Data[[#This Row],[Attrition]]="Yes",1,0)</f>
        <v>0</v>
      </c>
      <c r="AK806">
        <f>IF(HR_Data[[#This Row],[Attrition]]="No",1,0)</f>
        <v>1</v>
      </c>
      <c r="AL806" t="str">
        <f>IF(HR_Data[[#This Row],[Age]]&lt;25,"Under 25",IF(HR_Data[[#This Row],[Age]]&lt;=34,"25-34",IF(HR_Data[[#This Row],[Age]]&lt;=44,"35-44",IF(HR_Data[[#This Row],[Age]]&lt;=54,"45-54","55+"))))</f>
        <v>45-54</v>
      </c>
      <c r="AM806" t="str">
        <f>IF(HR_Data[[#This Row],[MonthlyIncome]]&lt;3000,"Low Salary",IF(HR_Data[[#This Row],[MonthlyIncome]]&lt;=7000,"Medium Salary","High Salary"))</f>
        <v>High Salary</v>
      </c>
      <c r="AN806" t="str">
        <f>IF(HR_Data[[#This Row],[YearsAtCompany]]&lt;2,"0-1 Years",IF(HR_Data[[#This Row],[YearsAtCompany]]&lt;=5,"2-5 Years",IF(HR_Data[[#This Row],[YearsAtCompany]]&lt;=10,"6-10 Years","10+ Years")))</f>
        <v>2-5 Years</v>
      </c>
      <c r="AO806" t="str">
        <f>IF(HR_Data[[#This Row],[JobSatisfaction]]=1,"Low",IF(HR_Data[[#This Row],[JobSatisfaction]]=2,"Medium",IF(HR_Data[[#This Row],[JobSatisfaction]]=3,"High","Very High")))</f>
        <v>Very High</v>
      </c>
      <c r="AP806" t="str">
        <f>IF(HR_Data[[#This Row],[WorkLifeBalance]]=1,"Bad",IF(HR_Data[[#This Row],[WorkLifeBalance]]=2,"Good",IF(HR_Data[[#This Row],[WorkLifeBalance]]=3,"Better","Best")))</f>
        <v>Good</v>
      </c>
    </row>
    <row r="807" spans="1:42"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IF(HR_Data[[#This Row],[Attrition]]="Yes",1,0)</f>
        <v>0</v>
      </c>
      <c r="AK807">
        <f>IF(HR_Data[[#This Row],[Attrition]]="No",1,0)</f>
        <v>1</v>
      </c>
      <c r="AL807" t="str">
        <f>IF(HR_Data[[#This Row],[Age]]&lt;25,"Under 25",IF(HR_Data[[#This Row],[Age]]&lt;=34,"25-34",IF(HR_Data[[#This Row],[Age]]&lt;=44,"35-44",IF(HR_Data[[#This Row],[Age]]&lt;=54,"45-54","55+"))))</f>
        <v>45-54</v>
      </c>
      <c r="AM807" t="str">
        <f>IF(HR_Data[[#This Row],[MonthlyIncome]]&lt;3000,"Low Salary",IF(HR_Data[[#This Row],[MonthlyIncome]]&lt;=7000,"Medium Salary","High Salary"))</f>
        <v>Medium Salary</v>
      </c>
      <c r="AN807" t="str">
        <f>IF(HR_Data[[#This Row],[YearsAtCompany]]&lt;2,"0-1 Years",IF(HR_Data[[#This Row],[YearsAtCompany]]&lt;=5,"2-5 Years",IF(HR_Data[[#This Row],[YearsAtCompany]]&lt;=10,"6-10 Years","10+ Years")))</f>
        <v>10+ Years</v>
      </c>
      <c r="AO807" t="str">
        <f>IF(HR_Data[[#This Row],[JobSatisfaction]]=1,"Low",IF(HR_Data[[#This Row],[JobSatisfaction]]=2,"Medium",IF(HR_Data[[#This Row],[JobSatisfaction]]=3,"High","Very High")))</f>
        <v>High</v>
      </c>
      <c r="AP807" t="str">
        <f>IF(HR_Data[[#This Row],[WorkLifeBalance]]=1,"Bad",IF(HR_Data[[#This Row],[WorkLifeBalance]]=2,"Good",IF(HR_Data[[#This Row],[WorkLifeBalance]]=3,"Better","Best")))</f>
        <v>Better</v>
      </c>
    </row>
    <row r="808" spans="1:42"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IF(HR_Data[[#This Row],[Attrition]]="Yes",1,0)</f>
        <v>0</v>
      </c>
      <c r="AK808">
        <f>IF(HR_Data[[#This Row],[Attrition]]="No",1,0)</f>
        <v>1</v>
      </c>
      <c r="AL808" t="str">
        <f>IF(HR_Data[[#This Row],[Age]]&lt;25,"Under 25",IF(HR_Data[[#This Row],[Age]]&lt;=34,"25-34",IF(HR_Data[[#This Row],[Age]]&lt;=44,"35-44",IF(HR_Data[[#This Row],[Age]]&lt;=54,"45-54","55+"))))</f>
        <v>45-54</v>
      </c>
      <c r="AM808" t="str">
        <f>IF(HR_Data[[#This Row],[MonthlyIncome]]&lt;3000,"Low Salary",IF(HR_Data[[#This Row],[MonthlyIncome]]&lt;=7000,"Medium Salary","High Salary"))</f>
        <v>High Salary</v>
      </c>
      <c r="AN808" t="str">
        <f>IF(HR_Data[[#This Row],[YearsAtCompany]]&lt;2,"0-1 Years",IF(HR_Data[[#This Row],[YearsAtCompany]]&lt;=5,"2-5 Years",IF(HR_Data[[#This Row],[YearsAtCompany]]&lt;=10,"6-10 Years","10+ Years")))</f>
        <v>6-10 Years</v>
      </c>
      <c r="AO808" t="str">
        <f>IF(HR_Data[[#This Row],[JobSatisfaction]]=1,"Low",IF(HR_Data[[#This Row],[JobSatisfaction]]=2,"Medium",IF(HR_Data[[#This Row],[JobSatisfaction]]=3,"High","Very High")))</f>
        <v>Medium</v>
      </c>
      <c r="AP808" t="str">
        <f>IF(HR_Data[[#This Row],[WorkLifeBalance]]=1,"Bad",IF(HR_Data[[#This Row],[WorkLifeBalance]]=2,"Good",IF(HR_Data[[#This Row],[WorkLifeBalance]]=3,"Better","Best")))</f>
        <v>Better</v>
      </c>
    </row>
    <row r="809" spans="1:42"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IF(HR_Data[[#This Row],[Attrition]]="Yes",1,0)</f>
        <v>0</v>
      </c>
      <c r="AK809">
        <f>IF(HR_Data[[#This Row],[Attrition]]="No",1,0)</f>
        <v>1</v>
      </c>
      <c r="AL809" t="str">
        <f>IF(HR_Data[[#This Row],[Age]]&lt;25,"Under 25",IF(HR_Data[[#This Row],[Age]]&lt;=34,"25-34",IF(HR_Data[[#This Row],[Age]]&lt;=44,"35-44",IF(HR_Data[[#This Row],[Age]]&lt;=54,"45-54","55+"))))</f>
        <v>35-44</v>
      </c>
      <c r="AM809" t="str">
        <f>IF(HR_Data[[#This Row],[MonthlyIncome]]&lt;3000,"Low Salary",IF(HR_Data[[#This Row],[MonthlyIncome]]&lt;=7000,"Medium Salary","High Salary"))</f>
        <v>High Salary</v>
      </c>
      <c r="AN809" t="str">
        <f>IF(HR_Data[[#This Row],[YearsAtCompany]]&lt;2,"0-1 Years",IF(HR_Data[[#This Row],[YearsAtCompany]]&lt;=5,"2-5 Years",IF(HR_Data[[#This Row],[YearsAtCompany]]&lt;=10,"6-10 Years","10+ Years")))</f>
        <v>6-10 Years</v>
      </c>
      <c r="AO809" t="str">
        <f>IF(HR_Data[[#This Row],[JobSatisfaction]]=1,"Low",IF(HR_Data[[#This Row],[JobSatisfaction]]=2,"Medium",IF(HR_Data[[#This Row],[JobSatisfaction]]=3,"High","Very High")))</f>
        <v>High</v>
      </c>
      <c r="AP809" t="str">
        <f>IF(HR_Data[[#This Row],[WorkLifeBalance]]=1,"Bad",IF(HR_Data[[#This Row],[WorkLifeBalance]]=2,"Good",IF(HR_Data[[#This Row],[WorkLifeBalance]]=3,"Better","Best")))</f>
        <v>Better</v>
      </c>
    </row>
    <row r="810" spans="1:42"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IF(HR_Data[[#This Row],[Attrition]]="Yes",1,0)</f>
        <v>0</v>
      </c>
      <c r="AK810">
        <f>IF(HR_Data[[#This Row],[Attrition]]="No",1,0)</f>
        <v>1</v>
      </c>
      <c r="AL810" t="str">
        <f>IF(HR_Data[[#This Row],[Age]]&lt;25,"Under 25",IF(HR_Data[[#This Row],[Age]]&lt;=34,"25-34",IF(HR_Data[[#This Row],[Age]]&lt;=44,"35-44",IF(HR_Data[[#This Row],[Age]]&lt;=54,"45-54","55+"))))</f>
        <v>25-34</v>
      </c>
      <c r="AM810" t="str">
        <f>IF(HR_Data[[#This Row],[MonthlyIncome]]&lt;3000,"Low Salary",IF(HR_Data[[#This Row],[MonthlyIncome]]&lt;=7000,"Medium Salary","High Salary"))</f>
        <v>Low Salary</v>
      </c>
      <c r="AN810" t="str">
        <f>IF(HR_Data[[#This Row],[YearsAtCompany]]&lt;2,"0-1 Years",IF(HR_Data[[#This Row],[YearsAtCompany]]&lt;=5,"2-5 Years",IF(HR_Data[[#This Row],[YearsAtCompany]]&lt;=10,"6-10 Years","10+ Years")))</f>
        <v>6-10 Years</v>
      </c>
      <c r="AO810" t="str">
        <f>IF(HR_Data[[#This Row],[JobSatisfaction]]=1,"Low",IF(HR_Data[[#This Row],[JobSatisfaction]]=2,"Medium",IF(HR_Data[[#This Row],[JobSatisfaction]]=3,"High","Very High")))</f>
        <v>Very High</v>
      </c>
      <c r="AP810" t="str">
        <f>IF(HR_Data[[#This Row],[WorkLifeBalance]]=1,"Bad",IF(HR_Data[[#This Row],[WorkLifeBalance]]=2,"Good",IF(HR_Data[[#This Row],[WorkLifeBalance]]=3,"Better","Best")))</f>
        <v>Better</v>
      </c>
    </row>
    <row r="811" spans="1:42"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IF(HR_Data[[#This Row],[Attrition]]="Yes",1,0)</f>
        <v>0</v>
      </c>
      <c r="AK811">
        <f>IF(HR_Data[[#This Row],[Attrition]]="No",1,0)</f>
        <v>1</v>
      </c>
      <c r="AL811" t="str">
        <f>IF(HR_Data[[#This Row],[Age]]&lt;25,"Under 25",IF(HR_Data[[#This Row],[Age]]&lt;=34,"25-34",IF(HR_Data[[#This Row],[Age]]&lt;=44,"35-44",IF(HR_Data[[#This Row],[Age]]&lt;=54,"45-54","55+"))))</f>
        <v>25-34</v>
      </c>
      <c r="AM811" t="str">
        <f>IF(HR_Data[[#This Row],[MonthlyIncome]]&lt;3000,"Low Salary",IF(HR_Data[[#This Row],[MonthlyIncome]]&lt;=7000,"Medium Salary","High Salary"))</f>
        <v>High Salary</v>
      </c>
      <c r="AN811" t="str">
        <f>IF(HR_Data[[#This Row],[YearsAtCompany]]&lt;2,"0-1 Years",IF(HR_Data[[#This Row],[YearsAtCompany]]&lt;=5,"2-5 Years",IF(HR_Data[[#This Row],[YearsAtCompany]]&lt;=10,"6-10 Years","10+ Years")))</f>
        <v>6-10 Years</v>
      </c>
      <c r="AO811" t="str">
        <f>IF(HR_Data[[#This Row],[JobSatisfaction]]=1,"Low",IF(HR_Data[[#This Row],[JobSatisfaction]]=2,"Medium",IF(HR_Data[[#This Row],[JobSatisfaction]]=3,"High","Very High")))</f>
        <v>Medium</v>
      </c>
      <c r="AP811" t="str">
        <f>IF(HR_Data[[#This Row],[WorkLifeBalance]]=1,"Bad",IF(HR_Data[[#This Row],[WorkLifeBalance]]=2,"Good",IF(HR_Data[[#This Row],[WorkLifeBalance]]=3,"Better","Best")))</f>
        <v>Good</v>
      </c>
    </row>
    <row r="812" spans="1:42"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IF(HR_Data[[#This Row],[Attrition]]="Yes",1,0)</f>
        <v>0</v>
      </c>
      <c r="AK812">
        <f>IF(HR_Data[[#This Row],[Attrition]]="No",1,0)</f>
        <v>1</v>
      </c>
      <c r="AL812" t="str">
        <f>IF(HR_Data[[#This Row],[Age]]&lt;25,"Under 25",IF(HR_Data[[#This Row],[Age]]&lt;=34,"25-34",IF(HR_Data[[#This Row],[Age]]&lt;=44,"35-44",IF(HR_Data[[#This Row],[Age]]&lt;=54,"45-54","55+"))))</f>
        <v>45-54</v>
      </c>
      <c r="AM812" t="str">
        <f>IF(HR_Data[[#This Row],[MonthlyIncome]]&lt;3000,"Low Salary",IF(HR_Data[[#This Row],[MonthlyIncome]]&lt;=7000,"Medium Salary","High Salary"))</f>
        <v>High Salary</v>
      </c>
      <c r="AN812" t="str">
        <f>IF(HR_Data[[#This Row],[YearsAtCompany]]&lt;2,"0-1 Years",IF(HR_Data[[#This Row],[YearsAtCompany]]&lt;=5,"2-5 Years",IF(HR_Data[[#This Row],[YearsAtCompany]]&lt;=10,"6-10 Years","10+ Years")))</f>
        <v>10+ Years</v>
      </c>
      <c r="AO812" t="str">
        <f>IF(HR_Data[[#This Row],[JobSatisfaction]]=1,"Low",IF(HR_Data[[#This Row],[JobSatisfaction]]=2,"Medium",IF(HR_Data[[#This Row],[JobSatisfaction]]=3,"High","Very High")))</f>
        <v>High</v>
      </c>
      <c r="AP812" t="str">
        <f>IF(HR_Data[[#This Row],[WorkLifeBalance]]=1,"Bad",IF(HR_Data[[#This Row],[WorkLifeBalance]]=2,"Good",IF(HR_Data[[#This Row],[WorkLifeBalance]]=3,"Better","Best")))</f>
        <v>Better</v>
      </c>
    </row>
    <row r="813" spans="1:42"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IF(HR_Data[[#This Row],[Attrition]]="Yes",1,0)</f>
        <v>0</v>
      </c>
      <c r="AK813">
        <f>IF(HR_Data[[#This Row],[Attrition]]="No",1,0)</f>
        <v>1</v>
      </c>
      <c r="AL813" t="str">
        <f>IF(HR_Data[[#This Row],[Age]]&lt;25,"Under 25",IF(HR_Data[[#This Row],[Age]]&lt;=34,"25-34",IF(HR_Data[[#This Row],[Age]]&lt;=44,"35-44",IF(HR_Data[[#This Row],[Age]]&lt;=54,"45-54","55+"))))</f>
        <v>35-44</v>
      </c>
      <c r="AM813" t="str">
        <f>IF(HR_Data[[#This Row],[MonthlyIncome]]&lt;3000,"Low Salary",IF(HR_Data[[#This Row],[MonthlyIncome]]&lt;=7000,"Medium Salary","High Salary"))</f>
        <v>High Salary</v>
      </c>
      <c r="AN813" t="str">
        <f>IF(HR_Data[[#This Row],[YearsAtCompany]]&lt;2,"0-1 Years",IF(HR_Data[[#This Row],[YearsAtCompany]]&lt;=5,"2-5 Years",IF(HR_Data[[#This Row],[YearsAtCompany]]&lt;=10,"6-10 Years","10+ Years")))</f>
        <v>0-1 Years</v>
      </c>
      <c r="AO813" t="str">
        <f>IF(HR_Data[[#This Row],[JobSatisfaction]]=1,"Low",IF(HR_Data[[#This Row],[JobSatisfaction]]=2,"Medium",IF(HR_Data[[#This Row],[JobSatisfaction]]=3,"High","Very High")))</f>
        <v>Medium</v>
      </c>
      <c r="AP813" t="str">
        <f>IF(HR_Data[[#This Row],[WorkLifeBalance]]=1,"Bad",IF(HR_Data[[#This Row],[WorkLifeBalance]]=2,"Good",IF(HR_Data[[#This Row],[WorkLifeBalance]]=3,"Better","Best")))</f>
        <v>Better</v>
      </c>
    </row>
    <row r="814" spans="1:42"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IF(HR_Data[[#This Row],[Attrition]]="Yes",1,0)</f>
        <v>0</v>
      </c>
      <c r="AK814">
        <f>IF(HR_Data[[#This Row],[Attrition]]="No",1,0)</f>
        <v>1</v>
      </c>
      <c r="AL814" t="str">
        <f>IF(HR_Data[[#This Row],[Age]]&lt;25,"Under 25",IF(HR_Data[[#This Row],[Age]]&lt;=34,"25-34",IF(HR_Data[[#This Row],[Age]]&lt;=44,"35-44",IF(HR_Data[[#This Row],[Age]]&lt;=54,"45-54","55+"))))</f>
        <v>35-44</v>
      </c>
      <c r="AM814" t="str">
        <f>IF(HR_Data[[#This Row],[MonthlyIncome]]&lt;3000,"Low Salary",IF(HR_Data[[#This Row],[MonthlyIncome]]&lt;=7000,"Medium Salary","High Salary"))</f>
        <v>High Salary</v>
      </c>
      <c r="AN814" t="str">
        <f>IF(HR_Data[[#This Row],[YearsAtCompany]]&lt;2,"0-1 Years",IF(HR_Data[[#This Row],[YearsAtCompany]]&lt;=5,"2-5 Years",IF(HR_Data[[#This Row],[YearsAtCompany]]&lt;=10,"6-10 Years","10+ Years")))</f>
        <v>6-10 Years</v>
      </c>
      <c r="AO814" t="str">
        <f>IF(HR_Data[[#This Row],[JobSatisfaction]]=1,"Low",IF(HR_Data[[#This Row],[JobSatisfaction]]=2,"Medium",IF(HR_Data[[#This Row],[JobSatisfaction]]=3,"High","Very High")))</f>
        <v>Low</v>
      </c>
      <c r="AP814" t="str">
        <f>IF(HR_Data[[#This Row],[WorkLifeBalance]]=1,"Bad",IF(HR_Data[[#This Row],[WorkLifeBalance]]=2,"Good",IF(HR_Data[[#This Row],[WorkLifeBalance]]=3,"Better","Best")))</f>
        <v>Better</v>
      </c>
    </row>
    <row r="815" spans="1:42"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IF(HR_Data[[#This Row],[Attrition]]="Yes",1,0)</f>
        <v>1</v>
      </c>
      <c r="AK815">
        <f>IF(HR_Data[[#This Row],[Attrition]]="No",1,0)</f>
        <v>0</v>
      </c>
      <c r="AL815" t="str">
        <f>IF(HR_Data[[#This Row],[Age]]&lt;25,"Under 25",IF(HR_Data[[#This Row],[Age]]&lt;=34,"25-34",IF(HR_Data[[#This Row],[Age]]&lt;=44,"35-44",IF(HR_Data[[#This Row],[Age]]&lt;=54,"45-54","55+"))))</f>
        <v>35-44</v>
      </c>
      <c r="AM815" t="str">
        <f>IF(HR_Data[[#This Row],[MonthlyIncome]]&lt;3000,"Low Salary",IF(HR_Data[[#This Row],[MonthlyIncome]]&lt;=7000,"Medium Salary","High Salary"))</f>
        <v>High Salary</v>
      </c>
      <c r="AN815" t="str">
        <f>IF(HR_Data[[#This Row],[YearsAtCompany]]&lt;2,"0-1 Years",IF(HR_Data[[#This Row],[YearsAtCompany]]&lt;=5,"2-5 Years",IF(HR_Data[[#This Row],[YearsAtCompany]]&lt;=10,"6-10 Years","10+ Years")))</f>
        <v>10+ Years</v>
      </c>
      <c r="AO815" t="str">
        <f>IF(HR_Data[[#This Row],[JobSatisfaction]]=1,"Low",IF(HR_Data[[#This Row],[JobSatisfaction]]=2,"Medium",IF(HR_Data[[#This Row],[JobSatisfaction]]=3,"High","Very High")))</f>
        <v>Very High</v>
      </c>
      <c r="AP815" t="str">
        <f>IF(HR_Data[[#This Row],[WorkLifeBalance]]=1,"Bad",IF(HR_Data[[#This Row],[WorkLifeBalance]]=2,"Good",IF(HR_Data[[#This Row],[WorkLifeBalance]]=3,"Better","Best")))</f>
        <v>Better</v>
      </c>
    </row>
    <row r="816" spans="1:42"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IF(HR_Data[[#This Row],[Attrition]]="Yes",1,0)</f>
        <v>0</v>
      </c>
      <c r="AK816">
        <f>IF(HR_Data[[#This Row],[Attrition]]="No",1,0)</f>
        <v>1</v>
      </c>
      <c r="AL816" t="str">
        <f>IF(HR_Data[[#This Row],[Age]]&lt;25,"Under 25",IF(HR_Data[[#This Row],[Age]]&lt;=34,"25-34",IF(HR_Data[[#This Row],[Age]]&lt;=44,"35-44",IF(HR_Data[[#This Row],[Age]]&lt;=54,"45-54","55+"))))</f>
        <v>35-44</v>
      </c>
      <c r="AM816" t="str">
        <f>IF(HR_Data[[#This Row],[MonthlyIncome]]&lt;3000,"Low Salary",IF(HR_Data[[#This Row],[MonthlyIncome]]&lt;=7000,"Medium Salary","High Salary"))</f>
        <v>High Salary</v>
      </c>
      <c r="AN816" t="str">
        <f>IF(HR_Data[[#This Row],[YearsAtCompany]]&lt;2,"0-1 Years",IF(HR_Data[[#This Row],[YearsAtCompany]]&lt;=5,"2-5 Years",IF(HR_Data[[#This Row],[YearsAtCompany]]&lt;=10,"6-10 Years","10+ Years")))</f>
        <v>10+ Years</v>
      </c>
      <c r="AO816" t="str">
        <f>IF(HR_Data[[#This Row],[JobSatisfaction]]=1,"Low",IF(HR_Data[[#This Row],[JobSatisfaction]]=2,"Medium",IF(HR_Data[[#This Row],[JobSatisfaction]]=3,"High","Very High")))</f>
        <v>High</v>
      </c>
      <c r="AP816" t="str">
        <f>IF(HR_Data[[#This Row],[WorkLifeBalance]]=1,"Bad",IF(HR_Data[[#This Row],[WorkLifeBalance]]=2,"Good",IF(HR_Data[[#This Row],[WorkLifeBalance]]=3,"Better","Best")))</f>
        <v>Best</v>
      </c>
    </row>
    <row r="817" spans="1:42"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IF(HR_Data[[#This Row],[Attrition]]="Yes",1,0)</f>
        <v>0</v>
      </c>
      <c r="AK817">
        <f>IF(HR_Data[[#This Row],[Attrition]]="No",1,0)</f>
        <v>1</v>
      </c>
      <c r="AL817" t="str">
        <f>IF(HR_Data[[#This Row],[Age]]&lt;25,"Under 25",IF(HR_Data[[#This Row],[Age]]&lt;=34,"25-34",IF(HR_Data[[#This Row],[Age]]&lt;=44,"35-44",IF(HR_Data[[#This Row],[Age]]&lt;=54,"45-54","55+"))))</f>
        <v>Under 25</v>
      </c>
      <c r="AM817" t="str">
        <f>IF(HR_Data[[#This Row],[MonthlyIncome]]&lt;3000,"Low Salary",IF(HR_Data[[#This Row],[MonthlyIncome]]&lt;=7000,"Medium Salary","High Salary"))</f>
        <v>Low Salary</v>
      </c>
      <c r="AN817" t="str">
        <f>IF(HR_Data[[#This Row],[YearsAtCompany]]&lt;2,"0-1 Years",IF(HR_Data[[#This Row],[YearsAtCompany]]&lt;=5,"2-5 Years",IF(HR_Data[[#This Row],[YearsAtCompany]]&lt;=10,"6-10 Years","10+ Years")))</f>
        <v>2-5 Years</v>
      </c>
      <c r="AO817" t="str">
        <f>IF(HR_Data[[#This Row],[JobSatisfaction]]=1,"Low",IF(HR_Data[[#This Row],[JobSatisfaction]]=2,"Medium",IF(HR_Data[[#This Row],[JobSatisfaction]]=3,"High","Very High")))</f>
        <v>Medium</v>
      </c>
      <c r="AP817" t="str">
        <f>IF(HR_Data[[#This Row],[WorkLifeBalance]]=1,"Bad",IF(HR_Data[[#This Row],[WorkLifeBalance]]=2,"Good",IF(HR_Data[[#This Row],[WorkLifeBalance]]=3,"Better","Best")))</f>
        <v>Best</v>
      </c>
    </row>
    <row r="818" spans="1:42"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IF(HR_Data[[#This Row],[Attrition]]="Yes",1,0)</f>
        <v>0</v>
      </c>
      <c r="AK818">
        <f>IF(HR_Data[[#This Row],[Attrition]]="No",1,0)</f>
        <v>1</v>
      </c>
      <c r="AL818" t="str">
        <f>IF(HR_Data[[#This Row],[Age]]&lt;25,"Under 25",IF(HR_Data[[#This Row],[Age]]&lt;=34,"25-34",IF(HR_Data[[#This Row],[Age]]&lt;=44,"35-44",IF(HR_Data[[#This Row],[Age]]&lt;=54,"45-54","55+"))))</f>
        <v>35-44</v>
      </c>
      <c r="AM818" t="str">
        <f>IF(HR_Data[[#This Row],[MonthlyIncome]]&lt;3000,"Low Salary",IF(HR_Data[[#This Row],[MonthlyIncome]]&lt;=7000,"Medium Salary","High Salary"))</f>
        <v>Medium Salary</v>
      </c>
      <c r="AN818" t="str">
        <f>IF(HR_Data[[#This Row],[YearsAtCompany]]&lt;2,"0-1 Years",IF(HR_Data[[#This Row],[YearsAtCompany]]&lt;=5,"2-5 Years",IF(HR_Data[[#This Row],[YearsAtCompany]]&lt;=10,"6-10 Years","10+ Years")))</f>
        <v>2-5 Years</v>
      </c>
      <c r="AO818" t="str">
        <f>IF(HR_Data[[#This Row],[JobSatisfaction]]=1,"Low",IF(HR_Data[[#This Row],[JobSatisfaction]]=2,"Medium",IF(HR_Data[[#This Row],[JobSatisfaction]]=3,"High","Very High")))</f>
        <v>Medium</v>
      </c>
      <c r="AP818" t="str">
        <f>IF(HR_Data[[#This Row],[WorkLifeBalance]]=1,"Bad",IF(HR_Data[[#This Row],[WorkLifeBalance]]=2,"Good",IF(HR_Data[[#This Row],[WorkLifeBalance]]=3,"Better","Best")))</f>
        <v>Good</v>
      </c>
    </row>
    <row r="819" spans="1:42"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IF(HR_Data[[#This Row],[Attrition]]="Yes",1,0)</f>
        <v>0</v>
      </c>
      <c r="AK819">
        <f>IF(HR_Data[[#This Row],[Attrition]]="No",1,0)</f>
        <v>1</v>
      </c>
      <c r="AL819" t="str">
        <f>IF(HR_Data[[#This Row],[Age]]&lt;25,"Under 25",IF(HR_Data[[#This Row],[Age]]&lt;=34,"25-34",IF(HR_Data[[#This Row],[Age]]&lt;=44,"35-44",IF(HR_Data[[#This Row],[Age]]&lt;=54,"45-54","55+"))))</f>
        <v>35-44</v>
      </c>
      <c r="AM819" t="str">
        <f>IF(HR_Data[[#This Row],[MonthlyIncome]]&lt;3000,"Low Salary",IF(HR_Data[[#This Row],[MonthlyIncome]]&lt;=7000,"Medium Salary","High Salary"))</f>
        <v>High Salary</v>
      </c>
      <c r="AN819" t="str">
        <f>IF(HR_Data[[#This Row],[YearsAtCompany]]&lt;2,"0-1 Years",IF(HR_Data[[#This Row],[YearsAtCompany]]&lt;=5,"2-5 Years",IF(HR_Data[[#This Row],[YearsAtCompany]]&lt;=10,"6-10 Years","10+ Years")))</f>
        <v>10+ Years</v>
      </c>
      <c r="AO819" t="str">
        <f>IF(HR_Data[[#This Row],[JobSatisfaction]]=1,"Low",IF(HR_Data[[#This Row],[JobSatisfaction]]=2,"Medium",IF(HR_Data[[#This Row],[JobSatisfaction]]=3,"High","Very High")))</f>
        <v>Very High</v>
      </c>
      <c r="AP819" t="str">
        <f>IF(HR_Data[[#This Row],[WorkLifeBalance]]=1,"Bad",IF(HR_Data[[#This Row],[WorkLifeBalance]]=2,"Good",IF(HR_Data[[#This Row],[WorkLifeBalance]]=3,"Better","Best")))</f>
        <v>Better</v>
      </c>
    </row>
    <row r="820" spans="1:42"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IF(HR_Data[[#This Row],[Attrition]]="Yes",1,0)</f>
        <v>0</v>
      </c>
      <c r="AK820">
        <f>IF(HR_Data[[#This Row],[Attrition]]="No",1,0)</f>
        <v>1</v>
      </c>
      <c r="AL820" t="str">
        <f>IF(HR_Data[[#This Row],[Age]]&lt;25,"Under 25",IF(HR_Data[[#This Row],[Age]]&lt;=34,"25-34",IF(HR_Data[[#This Row],[Age]]&lt;=44,"35-44",IF(HR_Data[[#This Row],[Age]]&lt;=54,"45-54","55+"))))</f>
        <v>25-34</v>
      </c>
      <c r="AM820" t="str">
        <f>IF(HR_Data[[#This Row],[MonthlyIncome]]&lt;3000,"Low Salary",IF(HR_Data[[#This Row],[MonthlyIncome]]&lt;=7000,"Medium Salary","High Salary"))</f>
        <v>Low Salary</v>
      </c>
      <c r="AN820" t="str">
        <f>IF(HR_Data[[#This Row],[YearsAtCompany]]&lt;2,"0-1 Years",IF(HR_Data[[#This Row],[YearsAtCompany]]&lt;=5,"2-5 Years",IF(HR_Data[[#This Row],[YearsAtCompany]]&lt;=10,"6-10 Years","10+ Years")))</f>
        <v>2-5 Years</v>
      </c>
      <c r="AO820" t="str">
        <f>IF(HR_Data[[#This Row],[JobSatisfaction]]=1,"Low",IF(HR_Data[[#This Row],[JobSatisfaction]]=2,"Medium",IF(HR_Data[[#This Row],[JobSatisfaction]]=3,"High","Very High")))</f>
        <v>Very High</v>
      </c>
      <c r="AP820" t="str">
        <f>IF(HR_Data[[#This Row],[WorkLifeBalance]]=1,"Bad",IF(HR_Data[[#This Row],[WorkLifeBalance]]=2,"Good",IF(HR_Data[[#This Row],[WorkLifeBalance]]=3,"Better","Best")))</f>
        <v>Better</v>
      </c>
    </row>
    <row r="821" spans="1:42"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IF(HR_Data[[#This Row],[Attrition]]="Yes",1,0)</f>
        <v>0</v>
      </c>
      <c r="AK821">
        <f>IF(HR_Data[[#This Row],[Attrition]]="No",1,0)</f>
        <v>1</v>
      </c>
      <c r="AL821" t="str">
        <f>IF(HR_Data[[#This Row],[Age]]&lt;25,"Under 25",IF(HR_Data[[#This Row],[Age]]&lt;=34,"25-34",IF(HR_Data[[#This Row],[Age]]&lt;=44,"35-44",IF(HR_Data[[#This Row],[Age]]&lt;=54,"45-54","55+"))))</f>
        <v>25-34</v>
      </c>
      <c r="AM821" t="str">
        <f>IF(HR_Data[[#This Row],[MonthlyIncome]]&lt;3000,"Low Salary",IF(HR_Data[[#This Row],[MonthlyIncome]]&lt;=7000,"Medium Salary","High Salary"))</f>
        <v>Medium Salary</v>
      </c>
      <c r="AN821" t="str">
        <f>IF(HR_Data[[#This Row],[YearsAtCompany]]&lt;2,"0-1 Years",IF(HR_Data[[#This Row],[YearsAtCompany]]&lt;=5,"2-5 Years",IF(HR_Data[[#This Row],[YearsAtCompany]]&lt;=10,"6-10 Years","10+ Years")))</f>
        <v>2-5 Years</v>
      </c>
      <c r="AO821" t="str">
        <f>IF(HR_Data[[#This Row],[JobSatisfaction]]=1,"Low",IF(HR_Data[[#This Row],[JobSatisfaction]]=2,"Medium",IF(HR_Data[[#This Row],[JobSatisfaction]]=3,"High","Very High")))</f>
        <v>Medium</v>
      </c>
      <c r="AP821" t="str">
        <f>IF(HR_Data[[#This Row],[WorkLifeBalance]]=1,"Bad",IF(HR_Data[[#This Row],[WorkLifeBalance]]=2,"Good",IF(HR_Data[[#This Row],[WorkLifeBalance]]=3,"Better","Best")))</f>
        <v>Bad</v>
      </c>
    </row>
    <row r="822" spans="1:42"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IF(HR_Data[[#This Row],[Attrition]]="Yes",1,0)</f>
        <v>0</v>
      </c>
      <c r="AK822">
        <f>IF(HR_Data[[#This Row],[Attrition]]="No",1,0)</f>
        <v>1</v>
      </c>
      <c r="AL822" t="str">
        <f>IF(HR_Data[[#This Row],[Age]]&lt;25,"Under 25",IF(HR_Data[[#This Row],[Age]]&lt;=34,"25-34",IF(HR_Data[[#This Row],[Age]]&lt;=44,"35-44",IF(HR_Data[[#This Row],[Age]]&lt;=54,"45-54","55+"))))</f>
        <v>35-44</v>
      </c>
      <c r="AM822" t="str">
        <f>IF(HR_Data[[#This Row],[MonthlyIncome]]&lt;3000,"Low Salary",IF(HR_Data[[#This Row],[MonthlyIncome]]&lt;=7000,"Medium Salary","High Salary"))</f>
        <v>Medium Salary</v>
      </c>
      <c r="AN822" t="str">
        <f>IF(HR_Data[[#This Row],[YearsAtCompany]]&lt;2,"0-1 Years",IF(HR_Data[[#This Row],[YearsAtCompany]]&lt;=5,"2-5 Years",IF(HR_Data[[#This Row],[YearsAtCompany]]&lt;=10,"6-10 Years","10+ Years")))</f>
        <v>2-5 Years</v>
      </c>
      <c r="AO822" t="str">
        <f>IF(HR_Data[[#This Row],[JobSatisfaction]]=1,"Low",IF(HR_Data[[#This Row],[JobSatisfaction]]=2,"Medium",IF(HR_Data[[#This Row],[JobSatisfaction]]=3,"High","Very High")))</f>
        <v>Very High</v>
      </c>
      <c r="AP822" t="str">
        <f>IF(HR_Data[[#This Row],[WorkLifeBalance]]=1,"Bad",IF(HR_Data[[#This Row],[WorkLifeBalance]]=2,"Good",IF(HR_Data[[#This Row],[WorkLifeBalance]]=3,"Better","Best")))</f>
        <v>Better</v>
      </c>
    </row>
    <row r="823" spans="1:42"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IF(HR_Data[[#This Row],[Attrition]]="Yes",1,0)</f>
        <v>0</v>
      </c>
      <c r="AK823">
        <f>IF(HR_Data[[#This Row],[Attrition]]="No",1,0)</f>
        <v>1</v>
      </c>
      <c r="AL823" t="str">
        <f>IF(HR_Data[[#This Row],[Age]]&lt;25,"Under 25",IF(HR_Data[[#This Row],[Age]]&lt;=34,"25-34",IF(HR_Data[[#This Row],[Age]]&lt;=44,"35-44",IF(HR_Data[[#This Row],[Age]]&lt;=54,"45-54","55+"))))</f>
        <v>45-54</v>
      </c>
      <c r="AM823" t="str">
        <f>IF(HR_Data[[#This Row],[MonthlyIncome]]&lt;3000,"Low Salary",IF(HR_Data[[#This Row],[MonthlyIncome]]&lt;=7000,"Medium Salary","High Salary"))</f>
        <v>High Salary</v>
      </c>
      <c r="AN823" t="str">
        <f>IF(HR_Data[[#This Row],[YearsAtCompany]]&lt;2,"0-1 Years",IF(HR_Data[[#This Row],[YearsAtCompany]]&lt;=5,"2-5 Years",IF(HR_Data[[#This Row],[YearsAtCompany]]&lt;=10,"6-10 Years","10+ Years")))</f>
        <v>6-10 Years</v>
      </c>
      <c r="AO823" t="str">
        <f>IF(HR_Data[[#This Row],[JobSatisfaction]]=1,"Low",IF(HR_Data[[#This Row],[JobSatisfaction]]=2,"Medium",IF(HR_Data[[#This Row],[JobSatisfaction]]=3,"High","Very High")))</f>
        <v>Medium</v>
      </c>
      <c r="AP823" t="str">
        <f>IF(HR_Data[[#This Row],[WorkLifeBalance]]=1,"Bad",IF(HR_Data[[#This Row],[WorkLifeBalance]]=2,"Good",IF(HR_Data[[#This Row],[WorkLifeBalance]]=3,"Better","Best")))</f>
        <v>Better</v>
      </c>
    </row>
    <row r="824" spans="1:42"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IF(HR_Data[[#This Row],[Attrition]]="Yes",1,0)</f>
        <v>0</v>
      </c>
      <c r="AK824">
        <f>IF(HR_Data[[#This Row],[Attrition]]="No",1,0)</f>
        <v>1</v>
      </c>
      <c r="AL824" t="str">
        <f>IF(HR_Data[[#This Row],[Age]]&lt;25,"Under 25",IF(HR_Data[[#This Row],[Age]]&lt;=34,"25-34",IF(HR_Data[[#This Row],[Age]]&lt;=44,"35-44",IF(HR_Data[[#This Row],[Age]]&lt;=54,"45-54","55+"))))</f>
        <v>25-34</v>
      </c>
      <c r="AM824" t="str">
        <f>IF(HR_Data[[#This Row],[MonthlyIncome]]&lt;3000,"Low Salary",IF(HR_Data[[#This Row],[MonthlyIncome]]&lt;=7000,"Medium Salary","High Salary"))</f>
        <v>Medium Salary</v>
      </c>
      <c r="AN824" t="str">
        <f>IF(HR_Data[[#This Row],[YearsAtCompany]]&lt;2,"0-1 Years",IF(HR_Data[[#This Row],[YearsAtCompany]]&lt;=5,"2-5 Years",IF(HR_Data[[#This Row],[YearsAtCompany]]&lt;=10,"6-10 Years","10+ Years")))</f>
        <v>2-5 Years</v>
      </c>
      <c r="AO824" t="str">
        <f>IF(HR_Data[[#This Row],[JobSatisfaction]]=1,"Low",IF(HR_Data[[#This Row],[JobSatisfaction]]=2,"Medium",IF(HR_Data[[#This Row],[JobSatisfaction]]=3,"High","Very High")))</f>
        <v>High</v>
      </c>
      <c r="AP824" t="str">
        <f>IF(HR_Data[[#This Row],[WorkLifeBalance]]=1,"Bad",IF(HR_Data[[#This Row],[WorkLifeBalance]]=2,"Good",IF(HR_Data[[#This Row],[WorkLifeBalance]]=3,"Better","Best")))</f>
        <v>Good</v>
      </c>
    </row>
    <row r="825" spans="1:42"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IF(HR_Data[[#This Row],[Attrition]]="Yes",1,0)</f>
        <v>0</v>
      </c>
      <c r="AK825">
        <f>IF(HR_Data[[#This Row],[Attrition]]="No",1,0)</f>
        <v>1</v>
      </c>
      <c r="AL825" t="str">
        <f>IF(HR_Data[[#This Row],[Age]]&lt;25,"Under 25",IF(HR_Data[[#This Row],[Age]]&lt;=34,"25-34",IF(HR_Data[[#This Row],[Age]]&lt;=44,"35-44",IF(HR_Data[[#This Row],[Age]]&lt;=54,"45-54","55+"))))</f>
        <v>25-34</v>
      </c>
      <c r="AM825" t="str">
        <f>IF(HR_Data[[#This Row],[MonthlyIncome]]&lt;3000,"Low Salary",IF(HR_Data[[#This Row],[MonthlyIncome]]&lt;=7000,"Medium Salary","High Salary"))</f>
        <v>Medium Salary</v>
      </c>
      <c r="AN825" t="str">
        <f>IF(HR_Data[[#This Row],[YearsAtCompany]]&lt;2,"0-1 Years",IF(HR_Data[[#This Row],[YearsAtCompany]]&lt;=5,"2-5 Years",IF(HR_Data[[#This Row],[YearsAtCompany]]&lt;=10,"6-10 Years","10+ Years")))</f>
        <v>6-10 Years</v>
      </c>
      <c r="AO825" t="str">
        <f>IF(HR_Data[[#This Row],[JobSatisfaction]]=1,"Low",IF(HR_Data[[#This Row],[JobSatisfaction]]=2,"Medium",IF(HR_Data[[#This Row],[JobSatisfaction]]=3,"High","Very High")))</f>
        <v>Medium</v>
      </c>
      <c r="AP825" t="str">
        <f>IF(HR_Data[[#This Row],[WorkLifeBalance]]=1,"Bad",IF(HR_Data[[#This Row],[WorkLifeBalance]]=2,"Good",IF(HR_Data[[#This Row],[WorkLifeBalance]]=3,"Better","Best")))</f>
        <v>Good</v>
      </c>
    </row>
    <row r="826" spans="1:42"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IF(HR_Data[[#This Row],[Attrition]]="Yes",1,0)</f>
        <v>0</v>
      </c>
      <c r="AK826">
        <f>IF(HR_Data[[#This Row],[Attrition]]="No",1,0)</f>
        <v>1</v>
      </c>
      <c r="AL826" t="str">
        <f>IF(HR_Data[[#This Row],[Age]]&lt;25,"Under 25",IF(HR_Data[[#This Row],[Age]]&lt;=34,"25-34",IF(HR_Data[[#This Row],[Age]]&lt;=44,"35-44",IF(HR_Data[[#This Row],[Age]]&lt;=54,"45-54","55+"))))</f>
        <v>35-44</v>
      </c>
      <c r="AM826" t="str">
        <f>IF(HR_Data[[#This Row],[MonthlyIncome]]&lt;3000,"Low Salary",IF(HR_Data[[#This Row],[MonthlyIncome]]&lt;=7000,"Medium Salary","High Salary"))</f>
        <v>Medium Salary</v>
      </c>
      <c r="AN826" t="str">
        <f>IF(HR_Data[[#This Row],[YearsAtCompany]]&lt;2,"0-1 Years",IF(HR_Data[[#This Row],[YearsAtCompany]]&lt;=5,"2-5 Years",IF(HR_Data[[#This Row],[YearsAtCompany]]&lt;=10,"6-10 Years","10+ Years")))</f>
        <v>0-1 Years</v>
      </c>
      <c r="AO826" t="str">
        <f>IF(HR_Data[[#This Row],[JobSatisfaction]]=1,"Low",IF(HR_Data[[#This Row],[JobSatisfaction]]=2,"Medium",IF(HR_Data[[#This Row],[JobSatisfaction]]=3,"High","Very High")))</f>
        <v>Very High</v>
      </c>
      <c r="AP826" t="str">
        <f>IF(HR_Data[[#This Row],[WorkLifeBalance]]=1,"Bad",IF(HR_Data[[#This Row],[WorkLifeBalance]]=2,"Good",IF(HR_Data[[#This Row],[WorkLifeBalance]]=3,"Better","Best")))</f>
        <v>Better</v>
      </c>
    </row>
    <row r="827" spans="1:42"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IF(HR_Data[[#This Row],[Attrition]]="Yes",1,0)</f>
        <v>0</v>
      </c>
      <c r="AK827">
        <f>IF(HR_Data[[#This Row],[Attrition]]="No",1,0)</f>
        <v>1</v>
      </c>
      <c r="AL827" t="str">
        <f>IF(HR_Data[[#This Row],[Age]]&lt;25,"Under 25",IF(HR_Data[[#This Row],[Age]]&lt;=34,"25-34",IF(HR_Data[[#This Row],[Age]]&lt;=44,"35-44",IF(HR_Data[[#This Row],[Age]]&lt;=54,"45-54","55+"))))</f>
        <v>25-34</v>
      </c>
      <c r="AM827" t="str">
        <f>IF(HR_Data[[#This Row],[MonthlyIncome]]&lt;3000,"Low Salary",IF(HR_Data[[#This Row],[MonthlyIncome]]&lt;=7000,"Medium Salary","High Salary"))</f>
        <v>Medium Salary</v>
      </c>
      <c r="AN827" t="str">
        <f>IF(HR_Data[[#This Row],[YearsAtCompany]]&lt;2,"0-1 Years",IF(HR_Data[[#This Row],[YearsAtCompany]]&lt;=5,"2-5 Years",IF(HR_Data[[#This Row],[YearsAtCompany]]&lt;=10,"6-10 Years","10+ Years")))</f>
        <v>6-10 Years</v>
      </c>
      <c r="AO827" t="str">
        <f>IF(HR_Data[[#This Row],[JobSatisfaction]]=1,"Low",IF(HR_Data[[#This Row],[JobSatisfaction]]=2,"Medium",IF(HR_Data[[#This Row],[JobSatisfaction]]=3,"High","Very High")))</f>
        <v>Very High</v>
      </c>
      <c r="AP827" t="str">
        <f>IF(HR_Data[[#This Row],[WorkLifeBalance]]=1,"Bad",IF(HR_Data[[#This Row],[WorkLifeBalance]]=2,"Good",IF(HR_Data[[#This Row],[WorkLifeBalance]]=3,"Better","Best")))</f>
        <v>Good</v>
      </c>
    </row>
    <row r="828" spans="1:42"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IF(HR_Data[[#This Row],[Attrition]]="Yes",1,0)</f>
        <v>0</v>
      </c>
      <c r="AK828">
        <f>IF(HR_Data[[#This Row],[Attrition]]="No",1,0)</f>
        <v>1</v>
      </c>
      <c r="AL828" t="str">
        <f>IF(HR_Data[[#This Row],[Age]]&lt;25,"Under 25",IF(HR_Data[[#This Row],[Age]]&lt;=34,"25-34",IF(HR_Data[[#This Row],[Age]]&lt;=44,"35-44",IF(HR_Data[[#This Row],[Age]]&lt;=54,"45-54","55+"))))</f>
        <v>35-44</v>
      </c>
      <c r="AM828" t="str">
        <f>IF(HR_Data[[#This Row],[MonthlyIncome]]&lt;3000,"Low Salary",IF(HR_Data[[#This Row],[MonthlyIncome]]&lt;=7000,"Medium Salary","High Salary"))</f>
        <v>Low Salary</v>
      </c>
      <c r="AN828" t="str">
        <f>IF(HR_Data[[#This Row],[YearsAtCompany]]&lt;2,"0-1 Years",IF(HR_Data[[#This Row],[YearsAtCompany]]&lt;=5,"2-5 Years",IF(HR_Data[[#This Row],[YearsAtCompany]]&lt;=10,"6-10 Years","10+ Years")))</f>
        <v>6-10 Years</v>
      </c>
      <c r="AO828" t="str">
        <f>IF(HR_Data[[#This Row],[JobSatisfaction]]=1,"Low",IF(HR_Data[[#This Row],[JobSatisfaction]]=2,"Medium",IF(HR_Data[[#This Row],[JobSatisfaction]]=3,"High","Very High")))</f>
        <v>High</v>
      </c>
      <c r="AP828" t="str">
        <f>IF(HR_Data[[#This Row],[WorkLifeBalance]]=1,"Bad",IF(HR_Data[[#This Row],[WorkLifeBalance]]=2,"Good",IF(HR_Data[[#This Row],[WorkLifeBalance]]=3,"Better","Best")))</f>
        <v>Best</v>
      </c>
    </row>
    <row r="829" spans="1:42"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IF(HR_Data[[#This Row],[Attrition]]="Yes",1,0)</f>
        <v>0</v>
      </c>
      <c r="AK829">
        <f>IF(HR_Data[[#This Row],[Attrition]]="No",1,0)</f>
        <v>1</v>
      </c>
      <c r="AL829" t="str">
        <f>IF(HR_Data[[#This Row],[Age]]&lt;25,"Under 25",IF(HR_Data[[#This Row],[Age]]&lt;=34,"25-34",IF(HR_Data[[#This Row],[Age]]&lt;=44,"35-44",IF(HR_Data[[#This Row],[Age]]&lt;=54,"45-54","55+"))))</f>
        <v>25-34</v>
      </c>
      <c r="AM829" t="str">
        <f>IF(HR_Data[[#This Row],[MonthlyIncome]]&lt;3000,"Low Salary",IF(HR_Data[[#This Row],[MonthlyIncome]]&lt;=7000,"Medium Salary","High Salary"))</f>
        <v>Low Salary</v>
      </c>
      <c r="AN829" t="str">
        <f>IF(HR_Data[[#This Row],[YearsAtCompany]]&lt;2,"0-1 Years",IF(HR_Data[[#This Row],[YearsAtCompany]]&lt;=5,"2-5 Years",IF(HR_Data[[#This Row],[YearsAtCompany]]&lt;=10,"6-10 Years","10+ Years")))</f>
        <v>2-5 Years</v>
      </c>
      <c r="AO829" t="str">
        <f>IF(HR_Data[[#This Row],[JobSatisfaction]]=1,"Low",IF(HR_Data[[#This Row],[JobSatisfaction]]=2,"Medium",IF(HR_Data[[#This Row],[JobSatisfaction]]=3,"High","Very High")))</f>
        <v>High</v>
      </c>
      <c r="AP829" t="str">
        <f>IF(HR_Data[[#This Row],[WorkLifeBalance]]=1,"Bad",IF(HR_Data[[#This Row],[WorkLifeBalance]]=2,"Good",IF(HR_Data[[#This Row],[WorkLifeBalance]]=3,"Better","Best")))</f>
        <v>Better</v>
      </c>
    </row>
    <row r="830" spans="1:42"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IF(HR_Data[[#This Row],[Attrition]]="Yes",1,0)</f>
        <v>1</v>
      </c>
      <c r="AK830">
        <f>IF(HR_Data[[#This Row],[Attrition]]="No",1,0)</f>
        <v>0</v>
      </c>
      <c r="AL830" t="str">
        <f>IF(HR_Data[[#This Row],[Age]]&lt;25,"Under 25",IF(HR_Data[[#This Row],[Age]]&lt;=34,"25-34",IF(HR_Data[[#This Row],[Age]]&lt;=44,"35-44",IF(HR_Data[[#This Row],[Age]]&lt;=54,"45-54","55+"))))</f>
        <v>Under 25</v>
      </c>
      <c r="AM830" t="str">
        <f>IF(HR_Data[[#This Row],[MonthlyIncome]]&lt;3000,"Low Salary",IF(HR_Data[[#This Row],[MonthlyIncome]]&lt;=7000,"Medium Salary","High Salary"))</f>
        <v>Low Salary</v>
      </c>
      <c r="AN830" t="str">
        <f>IF(HR_Data[[#This Row],[YearsAtCompany]]&lt;2,"0-1 Years",IF(HR_Data[[#This Row],[YearsAtCompany]]&lt;=5,"2-5 Years",IF(HR_Data[[#This Row],[YearsAtCompany]]&lt;=10,"6-10 Years","10+ Years")))</f>
        <v>0-1 Years</v>
      </c>
      <c r="AO830" t="str">
        <f>IF(HR_Data[[#This Row],[JobSatisfaction]]=1,"Low",IF(HR_Data[[#This Row],[JobSatisfaction]]=2,"Medium",IF(HR_Data[[#This Row],[JobSatisfaction]]=3,"High","Very High")))</f>
        <v>High</v>
      </c>
      <c r="AP830" t="str">
        <f>IF(HR_Data[[#This Row],[WorkLifeBalance]]=1,"Bad",IF(HR_Data[[#This Row],[WorkLifeBalance]]=2,"Good",IF(HR_Data[[#This Row],[WorkLifeBalance]]=3,"Better","Best")))</f>
        <v>Better</v>
      </c>
    </row>
    <row r="831" spans="1:42"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IF(HR_Data[[#This Row],[Attrition]]="Yes",1,0)</f>
        <v>1</v>
      </c>
      <c r="AK831">
        <f>IF(HR_Data[[#This Row],[Attrition]]="No",1,0)</f>
        <v>0</v>
      </c>
      <c r="AL831" t="str">
        <f>IF(HR_Data[[#This Row],[Age]]&lt;25,"Under 25",IF(HR_Data[[#This Row],[Age]]&lt;=34,"25-34",IF(HR_Data[[#This Row],[Age]]&lt;=44,"35-44",IF(HR_Data[[#This Row],[Age]]&lt;=54,"45-54","55+"))))</f>
        <v>25-34</v>
      </c>
      <c r="AM831" t="str">
        <f>IF(HR_Data[[#This Row],[MonthlyIncome]]&lt;3000,"Low Salary",IF(HR_Data[[#This Row],[MonthlyIncome]]&lt;=7000,"Medium Salary","High Salary"))</f>
        <v>High Salary</v>
      </c>
      <c r="AN831" t="str">
        <f>IF(HR_Data[[#This Row],[YearsAtCompany]]&lt;2,"0-1 Years",IF(HR_Data[[#This Row],[YearsAtCompany]]&lt;=5,"2-5 Years",IF(HR_Data[[#This Row],[YearsAtCompany]]&lt;=10,"6-10 Years","10+ Years")))</f>
        <v>2-5 Years</v>
      </c>
      <c r="AO831" t="str">
        <f>IF(HR_Data[[#This Row],[JobSatisfaction]]=1,"Low",IF(HR_Data[[#This Row],[JobSatisfaction]]=2,"Medium",IF(HR_Data[[#This Row],[JobSatisfaction]]=3,"High","Very High")))</f>
        <v>Low</v>
      </c>
      <c r="AP831" t="str">
        <f>IF(HR_Data[[#This Row],[WorkLifeBalance]]=1,"Bad",IF(HR_Data[[#This Row],[WorkLifeBalance]]=2,"Good",IF(HR_Data[[#This Row],[WorkLifeBalance]]=3,"Better","Best")))</f>
        <v>Better</v>
      </c>
    </row>
    <row r="832" spans="1:42"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IF(HR_Data[[#This Row],[Attrition]]="Yes",1,0)</f>
        <v>0</v>
      </c>
      <c r="AK832">
        <f>IF(HR_Data[[#This Row],[Attrition]]="No",1,0)</f>
        <v>1</v>
      </c>
      <c r="AL832" t="str">
        <f>IF(HR_Data[[#This Row],[Age]]&lt;25,"Under 25",IF(HR_Data[[#This Row],[Age]]&lt;=34,"25-34",IF(HR_Data[[#This Row],[Age]]&lt;=44,"35-44",IF(HR_Data[[#This Row],[Age]]&lt;=54,"45-54","55+"))))</f>
        <v>35-44</v>
      </c>
      <c r="AM832" t="str">
        <f>IF(HR_Data[[#This Row],[MonthlyIncome]]&lt;3000,"Low Salary",IF(HR_Data[[#This Row],[MonthlyIncome]]&lt;=7000,"Medium Salary","High Salary"))</f>
        <v>Medium Salary</v>
      </c>
      <c r="AN832" t="str">
        <f>IF(HR_Data[[#This Row],[YearsAtCompany]]&lt;2,"0-1 Years",IF(HR_Data[[#This Row],[YearsAtCompany]]&lt;=5,"2-5 Years",IF(HR_Data[[#This Row],[YearsAtCompany]]&lt;=10,"6-10 Years","10+ Years")))</f>
        <v>0-1 Years</v>
      </c>
      <c r="AO832" t="str">
        <f>IF(HR_Data[[#This Row],[JobSatisfaction]]=1,"Low",IF(HR_Data[[#This Row],[JobSatisfaction]]=2,"Medium",IF(HR_Data[[#This Row],[JobSatisfaction]]=3,"High","Very High")))</f>
        <v>Very High</v>
      </c>
      <c r="AP832" t="str">
        <f>IF(HR_Data[[#This Row],[WorkLifeBalance]]=1,"Bad",IF(HR_Data[[#This Row],[WorkLifeBalance]]=2,"Good",IF(HR_Data[[#This Row],[WorkLifeBalance]]=3,"Better","Best")))</f>
        <v>Better</v>
      </c>
    </row>
    <row r="833" spans="1:42"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IF(HR_Data[[#This Row],[Attrition]]="Yes",1,0)</f>
        <v>1</v>
      </c>
      <c r="AK833">
        <f>IF(HR_Data[[#This Row],[Attrition]]="No",1,0)</f>
        <v>0</v>
      </c>
      <c r="AL833" t="str">
        <f>IF(HR_Data[[#This Row],[Age]]&lt;25,"Under 25",IF(HR_Data[[#This Row],[Age]]&lt;=34,"25-34",IF(HR_Data[[#This Row],[Age]]&lt;=44,"35-44",IF(HR_Data[[#This Row],[Age]]&lt;=54,"45-54","55+"))))</f>
        <v>25-34</v>
      </c>
      <c r="AM833" t="str">
        <f>IF(HR_Data[[#This Row],[MonthlyIncome]]&lt;3000,"Low Salary",IF(HR_Data[[#This Row],[MonthlyIncome]]&lt;=7000,"Medium Salary","High Salary"))</f>
        <v>Low Salary</v>
      </c>
      <c r="AN833" t="str">
        <f>IF(HR_Data[[#This Row],[YearsAtCompany]]&lt;2,"0-1 Years",IF(HR_Data[[#This Row],[YearsAtCompany]]&lt;=5,"2-5 Years",IF(HR_Data[[#This Row],[YearsAtCompany]]&lt;=10,"6-10 Years","10+ Years")))</f>
        <v>2-5 Years</v>
      </c>
      <c r="AO833" t="str">
        <f>IF(HR_Data[[#This Row],[JobSatisfaction]]=1,"Low",IF(HR_Data[[#This Row],[JobSatisfaction]]=2,"Medium",IF(HR_Data[[#This Row],[JobSatisfaction]]=3,"High","Very High")))</f>
        <v>High</v>
      </c>
      <c r="AP833" t="str">
        <f>IF(HR_Data[[#This Row],[WorkLifeBalance]]=1,"Bad",IF(HR_Data[[#This Row],[WorkLifeBalance]]=2,"Good",IF(HR_Data[[#This Row],[WorkLifeBalance]]=3,"Better","Best")))</f>
        <v>Good</v>
      </c>
    </row>
    <row r="834" spans="1:42"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IF(HR_Data[[#This Row],[Attrition]]="Yes",1,0)</f>
        <v>0</v>
      </c>
      <c r="AK834">
        <f>IF(HR_Data[[#This Row],[Attrition]]="No",1,0)</f>
        <v>1</v>
      </c>
      <c r="AL834" t="str">
        <f>IF(HR_Data[[#This Row],[Age]]&lt;25,"Under 25",IF(HR_Data[[#This Row],[Age]]&lt;=34,"25-34",IF(HR_Data[[#This Row],[Age]]&lt;=44,"35-44",IF(HR_Data[[#This Row],[Age]]&lt;=54,"45-54","55+"))))</f>
        <v>35-44</v>
      </c>
      <c r="AM834" t="str">
        <f>IF(HR_Data[[#This Row],[MonthlyIncome]]&lt;3000,"Low Salary",IF(HR_Data[[#This Row],[MonthlyIncome]]&lt;=7000,"Medium Salary","High Salary"))</f>
        <v>Medium Salary</v>
      </c>
      <c r="AN834" t="str">
        <f>IF(HR_Data[[#This Row],[YearsAtCompany]]&lt;2,"0-1 Years",IF(HR_Data[[#This Row],[YearsAtCompany]]&lt;=5,"2-5 Years",IF(HR_Data[[#This Row],[YearsAtCompany]]&lt;=10,"6-10 Years","10+ Years")))</f>
        <v>6-10 Years</v>
      </c>
      <c r="AO834" t="str">
        <f>IF(HR_Data[[#This Row],[JobSatisfaction]]=1,"Low",IF(HR_Data[[#This Row],[JobSatisfaction]]=2,"Medium",IF(HR_Data[[#This Row],[JobSatisfaction]]=3,"High","Very High")))</f>
        <v>Very High</v>
      </c>
      <c r="AP834" t="str">
        <f>IF(HR_Data[[#This Row],[WorkLifeBalance]]=1,"Bad",IF(HR_Data[[#This Row],[WorkLifeBalance]]=2,"Good",IF(HR_Data[[#This Row],[WorkLifeBalance]]=3,"Better","Best")))</f>
        <v>Better</v>
      </c>
    </row>
    <row r="835" spans="1:42"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IF(HR_Data[[#This Row],[Attrition]]="Yes",1,0)</f>
        <v>0</v>
      </c>
      <c r="AK835">
        <f>IF(HR_Data[[#This Row],[Attrition]]="No",1,0)</f>
        <v>1</v>
      </c>
      <c r="AL835" t="str">
        <f>IF(HR_Data[[#This Row],[Age]]&lt;25,"Under 25",IF(HR_Data[[#This Row],[Age]]&lt;=34,"25-34",IF(HR_Data[[#This Row],[Age]]&lt;=44,"35-44",IF(HR_Data[[#This Row],[Age]]&lt;=54,"45-54","55+"))))</f>
        <v>25-34</v>
      </c>
      <c r="AM835" t="str">
        <f>IF(HR_Data[[#This Row],[MonthlyIncome]]&lt;3000,"Low Salary",IF(HR_Data[[#This Row],[MonthlyIncome]]&lt;=7000,"Medium Salary","High Salary"))</f>
        <v>Low Salary</v>
      </c>
      <c r="AN835" t="str">
        <f>IF(HR_Data[[#This Row],[YearsAtCompany]]&lt;2,"0-1 Years",IF(HR_Data[[#This Row],[YearsAtCompany]]&lt;=5,"2-5 Years",IF(HR_Data[[#This Row],[YearsAtCompany]]&lt;=10,"6-10 Years","10+ Years")))</f>
        <v>2-5 Years</v>
      </c>
      <c r="AO835" t="str">
        <f>IF(HR_Data[[#This Row],[JobSatisfaction]]=1,"Low",IF(HR_Data[[#This Row],[JobSatisfaction]]=2,"Medium",IF(HR_Data[[#This Row],[JobSatisfaction]]=3,"High","Very High")))</f>
        <v>High</v>
      </c>
      <c r="AP835" t="str">
        <f>IF(HR_Data[[#This Row],[WorkLifeBalance]]=1,"Bad",IF(HR_Data[[#This Row],[WorkLifeBalance]]=2,"Good",IF(HR_Data[[#This Row],[WorkLifeBalance]]=3,"Better","Best")))</f>
        <v>Better</v>
      </c>
    </row>
    <row r="836" spans="1:42"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IF(HR_Data[[#This Row],[Attrition]]="Yes",1,0)</f>
        <v>0</v>
      </c>
      <c r="AK836">
        <f>IF(HR_Data[[#This Row],[Attrition]]="No",1,0)</f>
        <v>1</v>
      </c>
      <c r="AL836" t="str">
        <f>IF(HR_Data[[#This Row],[Age]]&lt;25,"Under 25",IF(HR_Data[[#This Row],[Age]]&lt;=34,"25-34",IF(HR_Data[[#This Row],[Age]]&lt;=44,"35-44",IF(HR_Data[[#This Row],[Age]]&lt;=54,"45-54","55+"))))</f>
        <v>25-34</v>
      </c>
      <c r="AM836" t="str">
        <f>IF(HR_Data[[#This Row],[MonthlyIncome]]&lt;3000,"Low Salary",IF(HR_Data[[#This Row],[MonthlyIncome]]&lt;=7000,"Medium Salary","High Salary"))</f>
        <v>Medium Salary</v>
      </c>
      <c r="AN836" t="str">
        <f>IF(HR_Data[[#This Row],[YearsAtCompany]]&lt;2,"0-1 Years",IF(HR_Data[[#This Row],[YearsAtCompany]]&lt;=5,"2-5 Years",IF(HR_Data[[#This Row],[YearsAtCompany]]&lt;=10,"6-10 Years","10+ Years")))</f>
        <v>6-10 Years</v>
      </c>
      <c r="AO836" t="str">
        <f>IF(HR_Data[[#This Row],[JobSatisfaction]]=1,"Low",IF(HR_Data[[#This Row],[JobSatisfaction]]=2,"Medium",IF(HR_Data[[#This Row],[JobSatisfaction]]=3,"High","Very High")))</f>
        <v>High</v>
      </c>
      <c r="AP836" t="str">
        <f>IF(HR_Data[[#This Row],[WorkLifeBalance]]=1,"Bad",IF(HR_Data[[#This Row],[WorkLifeBalance]]=2,"Good",IF(HR_Data[[#This Row],[WorkLifeBalance]]=3,"Better","Best")))</f>
        <v>Good</v>
      </c>
    </row>
    <row r="837" spans="1:42"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IF(HR_Data[[#This Row],[Attrition]]="Yes",1,0)</f>
        <v>0</v>
      </c>
      <c r="AK837">
        <f>IF(HR_Data[[#This Row],[Attrition]]="No",1,0)</f>
        <v>1</v>
      </c>
      <c r="AL837" t="str">
        <f>IF(HR_Data[[#This Row],[Age]]&lt;25,"Under 25",IF(HR_Data[[#This Row],[Age]]&lt;=34,"25-34",IF(HR_Data[[#This Row],[Age]]&lt;=44,"35-44",IF(HR_Data[[#This Row],[Age]]&lt;=54,"45-54","55+"))))</f>
        <v>35-44</v>
      </c>
      <c r="AM837" t="str">
        <f>IF(HR_Data[[#This Row],[MonthlyIncome]]&lt;3000,"Low Salary",IF(HR_Data[[#This Row],[MonthlyIncome]]&lt;=7000,"Medium Salary","High Salary"))</f>
        <v>Medium Salary</v>
      </c>
      <c r="AN837" t="str">
        <f>IF(HR_Data[[#This Row],[YearsAtCompany]]&lt;2,"0-1 Years",IF(HR_Data[[#This Row],[YearsAtCompany]]&lt;=5,"2-5 Years",IF(HR_Data[[#This Row],[YearsAtCompany]]&lt;=10,"6-10 Years","10+ Years")))</f>
        <v>2-5 Years</v>
      </c>
      <c r="AO837" t="str">
        <f>IF(HR_Data[[#This Row],[JobSatisfaction]]=1,"Low",IF(HR_Data[[#This Row],[JobSatisfaction]]=2,"Medium",IF(HR_Data[[#This Row],[JobSatisfaction]]=3,"High","Very High")))</f>
        <v>High</v>
      </c>
      <c r="AP837" t="str">
        <f>IF(HR_Data[[#This Row],[WorkLifeBalance]]=1,"Bad",IF(HR_Data[[#This Row],[WorkLifeBalance]]=2,"Good",IF(HR_Data[[#This Row],[WorkLifeBalance]]=3,"Better","Best")))</f>
        <v>Bad</v>
      </c>
    </row>
    <row r="838" spans="1:42"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IF(HR_Data[[#This Row],[Attrition]]="Yes",1,0)</f>
        <v>1</v>
      </c>
      <c r="AK838">
        <f>IF(HR_Data[[#This Row],[Attrition]]="No",1,0)</f>
        <v>0</v>
      </c>
      <c r="AL838" t="str">
        <f>IF(HR_Data[[#This Row],[Age]]&lt;25,"Under 25",IF(HR_Data[[#This Row],[Age]]&lt;=34,"25-34",IF(HR_Data[[#This Row],[Age]]&lt;=44,"35-44",IF(HR_Data[[#This Row],[Age]]&lt;=54,"45-54","55+"))))</f>
        <v>25-34</v>
      </c>
      <c r="AM838" t="str">
        <f>IF(HR_Data[[#This Row],[MonthlyIncome]]&lt;3000,"Low Salary",IF(HR_Data[[#This Row],[MonthlyIncome]]&lt;=7000,"Medium Salary","High Salary"))</f>
        <v>High Salary</v>
      </c>
      <c r="AN838" t="str">
        <f>IF(HR_Data[[#This Row],[YearsAtCompany]]&lt;2,"0-1 Years",IF(HR_Data[[#This Row],[YearsAtCompany]]&lt;=5,"2-5 Years",IF(HR_Data[[#This Row],[YearsAtCompany]]&lt;=10,"6-10 Years","10+ Years")))</f>
        <v>10+ Years</v>
      </c>
      <c r="AO838" t="str">
        <f>IF(HR_Data[[#This Row],[JobSatisfaction]]=1,"Low",IF(HR_Data[[#This Row],[JobSatisfaction]]=2,"Medium",IF(HR_Data[[#This Row],[JobSatisfaction]]=3,"High","Very High")))</f>
        <v>Low</v>
      </c>
      <c r="AP838" t="str">
        <f>IF(HR_Data[[#This Row],[WorkLifeBalance]]=1,"Bad",IF(HR_Data[[#This Row],[WorkLifeBalance]]=2,"Good",IF(HR_Data[[#This Row],[WorkLifeBalance]]=3,"Better","Best")))</f>
        <v>Bad</v>
      </c>
    </row>
    <row r="839" spans="1:42"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IF(HR_Data[[#This Row],[Attrition]]="Yes",1,0)</f>
        <v>0</v>
      </c>
      <c r="AK839">
        <f>IF(HR_Data[[#This Row],[Attrition]]="No",1,0)</f>
        <v>1</v>
      </c>
      <c r="AL839" t="str">
        <f>IF(HR_Data[[#This Row],[Age]]&lt;25,"Under 25",IF(HR_Data[[#This Row],[Age]]&lt;=34,"25-34",IF(HR_Data[[#This Row],[Age]]&lt;=44,"35-44",IF(HR_Data[[#This Row],[Age]]&lt;=54,"45-54","55+"))))</f>
        <v>35-44</v>
      </c>
      <c r="AM839" t="str">
        <f>IF(HR_Data[[#This Row],[MonthlyIncome]]&lt;3000,"Low Salary",IF(HR_Data[[#This Row],[MonthlyIncome]]&lt;=7000,"Medium Salary","High Salary"))</f>
        <v>High Salary</v>
      </c>
      <c r="AN839" t="str">
        <f>IF(HR_Data[[#This Row],[YearsAtCompany]]&lt;2,"0-1 Years",IF(HR_Data[[#This Row],[YearsAtCompany]]&lt;=5,"2-5 Years",IF(HR_Data[[#This Row],[YearsAtCompany]]&lt;=10,"6-10 Years","10+ Years")))</f>
        <v>10+ Years</v>
      </c>
      <c r="AO839" t="str">
        <f>IF(HR_Data[[#This Row],[JobSatisfaction]]=1,"Low",IF(HR_Data[[#This Row],[JobSatisfaction]]=2,"Medium",IF(HR_Data[[#This Row],[JobSatisfaction]]=3,"High","Very High")))</f>
        <v>High</v>
      </c>
      <c r="AP839" t="str">
        <f>IF(HR_Data[[#This Row],[WorkLifeBalance]]=1,"Bad",IF(HR_Data[[#This Row],[WorkLifeBalance]]=2,"Good",IF(HR_Data[[#This Row],[WorkLifeBalance]]=3,"Better","Best")))</f>
        <v>Good</v>
      </c>
    </row>
    <row r="840" spans="1:42"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IF(HR_Data[[#This Row],[Attrition]]="Yes",1,0)</f>
        <v>1</v>
      </c>
      <c r="AK840">
        <f>IF(HR_Data[[#This Row],[Attrition]]="No",1,0)</f>
        <v>0</v>
      </c>
      <c r="AL840" t="str">
        <f>IF(HR_Data[[#This Row],[Age]]&lt;25,"Under 25",IF(HR_Data[[#This Row],[Age]]&lt;=34,"25-34",IF(HR_Data[[#This Row],[Age]]&lt;=44,"35-44",IF(HR_Data[[#This Row],[Age]]&lt;=54,"45-54","55+"))))</f>
        <v>35-44</v>
      </c>
      <c r="AM840" t="str">
        <f>IF(HR_Data[[#This Row],[MonthlyIncome]]&lt;3000,"Low Salary",IF(HR_Data[[#This Row],[MonthlyIncome]]&lt;=7000,"Medium Salary","High Salary"))</f>
        <v>High Salary</v>
      </c>
      <c r="AN840" t="str">
        <f>IF(HR_Data[[#This Row],[YearsAtCompany]]&lt;2,"0-1 Years",IF(HR_Data[[#This Row],[YearsAtCompany]]&lt;=5,"2-5 Years",IF(HR_Data[[#This Row],[YearsAtCompany]]&lt;=10,"6-10 Years","10+ Years")))</f>
        <v>10+ Years</v>
      </c>
      <c r="AO840" t="str">
        <f>IF(HR_Data[[#This Row],[JobSatisfaction]]=1,"Low",IF(HR_Data[[#This Row],[JobSatisfaction]]=2,"Medium",IF(HR_Data[[#This Row],[JobSatisfaction]]=3,"High","Very High")))</f>
        <v>Low</v>
      </c>
      <c r="AP840" t="str">
        <f>IF(HR_Data[[#This Row],[WorkLifeBalance]]=1,"Bad",IF(HR_Data[[#This Row],[WorkLifeBalance]]=2,"Good",IF(HR_Data[[#This Row],[WorkLifeBalance]]=3,"Better","Best")))</f>
        <v>Good</v>
      </c>
    </row>
    <row r="841" spans="1:42"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IF(HR_Data[[#This Row],[Attrition]]="Yes",1,0)</f>
        <v>0</v>
      </c>
      <c r="AK841">
        <f>IF(HR_Data[[#This Row],[Attrition]]="No",1,0)</f>
        <v>1</v>
      </c>
      <c r="AL841" t="str">
        <f>IF(HR_Data[[#This Row],[Age]]&lt;25,"Under 25",IF(HR_Data[[#This Row],[Age]]&lt;=34,"25-34",IF(HR_Data[[#This Row],[Age]]&lt;=44,"35-44",IF(HR_Data[[#This Row],[Age]]&lt;=54,"45-54","55+"))))</f>
        <v>35-44</v>
      </c>
      <c r="AM841" t="str">
        <f>IF(HR_Data[[#This Row],[MonthlyIncome]]&lt;3000,"Low Salary",IF(HR_Data[[#This Row],[MonthlyIncome]]&lt;=7000,"Medium Salary","High Salary"))</f>
        <v>Medium Salary</v>
      </c>
      <c r="AN841" t="str">
        <f>IF(HR_Data[[#This Row],[YearsAtCompany]]&lt;2,"0-1 Years",IF(HR_Data[[#This Row],[YearsAtCompany]]&lt;=5,"2-5 Years",IF(HR_Data[[#This Row],[YearsAtCompany]]&lt;=10,"6-10 Years","10+ Years")))</f>
        <v>6-10 Years</v>
      </c>
      <c r="AO841" t="str">
        <f>IF(HR_Data[[#This Row],[JobSatisfaction]]=1,"Low",IF(HR_Data[[#This Row],[JobSatisfaction]]=2,"Medium",IF(HR_Data[[#This Row],[JobSatisfaction]]=3,"High","Very High")))</f>
        <v>Low</v>
      </c>
      <c r="AP841" t="str">
        <f>IF(HR_Data[[#This Row],[WorkLifeBalance]]=1,"Bad",IF(HR_Data[[#This Row],[WorkLifeBalance]]=2,"Good",IF(HR_Data[[#This Row],[WorkLifeBalance]]=3,"Better","Best")))</f>
        <v>Best</v>
      </c>
    </row>
    <row r="842" spans="1:42"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IF(HR_Data[[#This Row],[Attrition]]="Yes",1,0)</f>
        <v>0</v>
      </c>
      <c r="AK842">
        <f>IF(HR_Data[[#This Row],[Attrition]]="No",1,0)</f>
        <v>1</v>
      </c>
      <c r="AL842" t="str">
        <f>IF(HR_Data[[#This Row],[Age]]&lt;25,"Under 25",IF(HR_Data[[#This Row],[Age]]&lt;=34,"25-34",IF(HR_Data[[#This Row],[Age]]&lt;=44,"35-44",IF(HR_Data[[#This Row],[Age]]&lt;=54,"45-54","55+"))))</f>
        <v>35-44</v>
      </c>
      <c r="AM842" t="str">
        <f>IF(HR_Data[[#This Row],[MonthlyIncome]]&lt;3000,"Low Salary",IF(HR_Data[[#This Row],[MonthlyIncome]]&lt;=7000,"Medium Salary","High Salary"))</f>
        <v>Low Salary</v>
      </c>
      <c r="AN842" t="str">
        <f>IF(HR_Data[[#This Row],[YearsAtCompany]]&lt;2,"0-1 Years",IF(HR_Data[[#This Row],[YearsAtCompany]]&lt;=5,"2-5 Years",IF(HR_Data[[#This Row],[YearsAtCompany]]&lt;=10,"6-10 Years","10+ Years")))</f>
        <v>6-10 Years</v>
      </c>
      <c r="AO842" t="str">
        <f>IF(HR_Data[[#This Row],[JobSatisfaction]]=1,"Low",IF(HR_Data[[#This Row],[JobSatisfaction]]=2,"Medium",IF(HR_Data[[#This Row],[JobSatisfaction]]=3,"High","Very High")))</f>
        <v>High</v>
      </c>
      <c r="AP842" t="str">
        <f>IF(HR_Data[[#This Row],[WorkLifeBalance]]=1,"Bad",IF(HR_Data[[#This Row],[WorkLifeBalance]]=2,"Good",IF(HR_Data[[#This Row],[WorkLifeBalance]]=3,"Better","Best")))</f>
        <v>Better</v>
      </c>
    </row>
    <row r="843" spans="1:42"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IF(HR_Data[[#This Row],[Attrition]]="Yes",1,0)</f>
        <v>0</v>
      </c>
      <c r="AK843">
        <f>IF(HR_Data[[#This Row],[Attrition]]="No",1,0)</f>
        <v>1</v>
      </c>
      <c r="AL843" t="str">
        <f>IF(HR_Data[[#This Row],[Age]]&lt;25,"Under 25",IF(HR_Data[[#This Row],[Age]]&lt;=34,"25-34",IF(HR_Data[[#This Row],[Age]]&lt;=44,"35-44",IF(HR_Data[[#This Row],[Age]]&lt;=54,"45-54","55+"))))</f>
        <v>Under 25</v>
      </c>
      <c r="AM843" t="str">
        <f>IF(HR_Data[[#This Row],[MonthlyIncome]]&lt;3000,"Low Salary",IF(HR_Data[[#This Row],[MonthlyIncome]]&lt;=7000,"Medium Salary","High Salary"))</f>
        <v>Medium Salary</v>
      </c>
      <c r="AN843" t="str">
        <f>IF(HR_Data[[#This Row],[YearsAtCompany]]&lt;2,"0-1 Years",IF(HR_Data[[#This Row],[YearsAtCompany]]&lt;=5,"2-5 Years",IF(HR_Data[[#This Row],[YearsAtCompany]]&lt;=10,"6-10 Years","10+ Years")))</f>
        <v>2-5 Years</v>
      </c>
      <c r="AO843" t="str">
        <f>IF(HR_Data[[#This Row],[JobSatisfaction]]=1,"Low",IF(HR_Data[[#This Row],[JobSatisfaction]]=2,"Medium",IF(HR_Data[[#This Row],[JobSatisfaction]]=3,"High","Very High")))</f>
        <v>Medium</v>
      </c>
      <c r="AP843" t="str">
        <f>IF(HR_Data[[#This Row],[WorkLifeBalance]]=1,"Bad",IF(HR_Data[[#This Row],[WorkLifeBalance]]=2,"Good",IF(HR_Data[[#This Row],[WorkLifeBalance]]=3,"Better","Best")))</f>
        <v>Better</v>
      </c>
    </row>
    <row r="844" spans="1:42"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IF(HR_Data[[#This Row],[Attrition]]="Yes",1,0)</f>
        <v>1</v>
      </c>
      <c r="AK844">
        <f>IF(HR_Data[[#This Row],[Attrition]]="No",1,0)</f>
        <v>0</v>
      </c>
      <c r="AL844" t="str">
        <f>IF(HR_Data[[#This Row],[Age]]&lt;25,"Under 25",IF(HR_Data[[#This Row],[Age]]&lt;=34,"25-34",IF(HR_Data[[#This Row],[Age]]&lt;=44,"35-44",IF(HR_Data[[#This Row],[Age]]&lt;=54,"45-54","55+"))))</f>
        <v>25-34</v>
      </c>
      <c r="AM844" t="str">
        <f>IF(HR_Data[[#This Row],[MonthlyIncome]]&lt;3000,"Low Salary",IF(HR_Data[[#This Row],[MonthlyIncome]]&lt;=7000,"Medium Salary","High Salary"))</f>
        <v>Low Salary</v>
      </c>
      <c r="AN844" t="str">
        <f>IF(HR_Data[[#This Row],[YearsAtCompany]]&lt;2,"0-1 Years",IF(HR_Data[[#This Row],[YearsAtCompany]]&lt;=5,"2-5 Years",IF(HR_Data[[#This Row],[YearsAtCompany]]&lt;=10,"6-10 Years","10+ Years")))</f>
        <v>0-1 Years</v>
      </c>
      <c r="AO844" t="str">
        <f>IF(HR_Data[[#This Row],[JobSatisfaction]]=1,"Low",IF(HR_Data[[#This Row],[JobSatisfaction]]=2,"Medium",IF(HR_Data[[#This Row],[JobSatisfaction]]=3,"High","Very High")))</f>
        <v>Very High</v>
      </c>
      <c r="AP844" t="str">
        <f>IF(HR_Data[[#This Row],[WorkLifeBalance]]=1,"Bad",IF(HR_Data[[#This Row],[WorkLifeBalance]]=2,"Good",IF(HR_Data[[#This Row],[WorkLifeBalance]]=3,"Better","Best")))</f>
        <v>Good</v>
      </c>
    </row>
    <row r="845" spans="1:42"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IF(HR_Data[[#This Row],[Attrition]]="Yes",1,0)</f>
        <v>0</v>
      </c>
      <c r="AK845">
        <f>IF(HR_Data[[#This Row],[Attrition]]="No",1,0)</f>
        <v>1</v>
      </c>
      <c r="AL845" t="str">
        <f>IF(HR_Data[[#This Row],[Age]]&lt;25,"Under 25",IF(HR_Data[[#This Row],[Age]]&lt;=34,"25-34",IF(HR_Data[[#This Row],[Age]]&lt;=44,"35-44",IF(HR_Data[[#This Row],[Age]]&lt;=54,"45-54","55+"))))</f>
        <v>25-34</v>
      </c>
      <c r="AM845" t="str">
        <f>IF(HR_Data[[#This Row],[MonthlyIncome]]&lt;3000,"Low Salary",IF(HR_Data[[#This Row],[MonthlyIncome]]&lt;=7000,"Medium Salary","High Salary"))</f>
        <v>Medium Salary</v>
      </c>
      <c r="AN845" t="str">
        <f>IF(HR_Data[[#This Row],[YearsAtCompany]]&lt;2,"0-1 Years",IF(HR_Data[[#This Row],[YearsAtCompany]]&lt;=5,"2-5 Years",IF(HR_Data[[#This Row],[YearsAtCompany]]&lt;=10,"6-10 Years","10+ Years")))</f>
        <v>6-10 Years</v>
      </c>
      <c r="AO845" t="str">
        <f>IF(HR_Data[[#This Row],[JobSatisfaction]]=1,"Low",IF(HR_Data[[#This Row],[JobSatisfaction]]=2,"Medium",IF(HR_Data[[#This Row],[JobSatisfaction]]=3,"High","Very High")))</f>
        <v>Very High</v>
      </c>
      <c r="AP845" t="str">
        <f>IF(HR_Data[[#This Row],[WorkLifeBalance]]=1,"Bad",IF(HR_Data[[#This Row],[WorkLifeBalance]]=2,"Good",IF(HR_Data[[#This Row],[WorkLifeBalance]]=3,"Better","Best")))</f>
        <v>Better</v>
      </c>
    </row>
    <row r="846" spans="1:42"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IF(HR_Data[[#This Row],[Attrition]]="Yes",1,0)</f>
        <v>0</v>
      </c>
      <c r="AK846">
        <f>IF(HR_Data[[#This Row],[Attrition]]="No",1,0)</f>
        <v>1</v>
      </c>
      <c r="AL846" t="str">
        <f>IF(HR_Data[[#This Row],[Age]]&lt;25,"Under 25",IF(HR_Data[[#This Row],[Age]]&lt;=34,"25-34",IF(HR_Data[[#This Row],[Age]]&lt;=44,"35-44",IF(HR_Data[[#This Row],[Age]]&lt;=54,"45-54","55+"))))</f>
        <v>25-34</v>
      </c>
      <c r="AM846" t="str">
        <f>IF(HR_Data[[#This Row],[MonthlyIncome]]&lt;3000,"Low Salary",IF(HR_Data[[#This Row],[MonthlyIncome]]&lt;=7000,"Medium Salary","High Salary"))</f>
        <v>Medium Salary</v>
      </c>
      <c r="AN846" t="str">
        <f>IF(HR_Data[[#This Row],[YearsAtCompany]]&lt;2,"0-1 Years",IF(HR_Data[[#This Row],[YearsAtCompany]]&lt;=5,"2-5 Years",IF(HR_Data[[#This Row],[YearsAtCompany]]&lt;=10,"6-10 Years","10+ Years")))</f>
        <v>6-10 Years</v>
      </c>
      <c r="AO846" t="str">
        <f>IF(HR_Data[[#This Row],[JobSatisfaction]]=1,"Low",IF(HR_Data[[#This Row],[JobSatisfaction]]=2,"Medium",IF(HR_Data[[#This Row],[JobSatisfaction]]=3,"High","Very High")))</f>
        <v>High</v>
      </c>
      <c r="AP846" t="str">
        <f>IF(HR_Data[[#This Row],[WorkLifeBalance]]=1,"Bad",IF(HR_Data[[#This Row],[WorkLifeBalance]]=2,"Good",IF(HR_Data[[#This Row],[WorkLifeBalance]]=3,"Better","Best")))</f>
        <v>Better</v>
      </c>
    </row>
    <row r="847" spans="1:42"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IF(HR_Data[[#This Row],[Attrition]]="Yes",1,0)</f>
        <v>0</v>
      </c>
      <c r="AK847">
        <f>IF(HR_Data[[#This Row],[Attrition]]="No",1,0)</f>
        <v>1</v>
      </c>
      <c r="AL847" t="str">
        <f>IF(HR_Data[[#This Row],[Age]]&lt;25,"Under 25",IF(HR_Data[[#This Row],[Age]]&lt;=34,"25-34",IF(HR_Data[[#This Row],[Age]]&lt;=44,"35-44",IF(HR_Data[[#This Row],[Age]]&lt;=54,"45-54","55+"))))</f>
        <v>35-44</v>
      </c>
      <c r="AM847" t="str">
        <f>IF(HR_Data[[#This Row],[MonthlyIncome]]&lt;3000,"Low Salary",IF(HR_Data[[#This Row],[MonthlyIncome]]&lt;=7000,"Medium Salary","High Salary"))</f>
        <v>Medium Salary</v>
      </c>
      <c r="AN847" t="str">
        <f>IF(HR_Data[[#This Row],[YearsAtCompany]]&lt;2,"0-1 Years",IF(HR_Data[[#This Row],[YearsAtCompany]]&lt;=5,"2-5 Years",IF(HR_Data[[#This Row],[YearsAtCompany]]&lt;=10,"6-10 Years","10+ Years")))</f>
        <v>0-1 Years</v>
      </c>
      <c r="AO847" t="str">
        <f>IF(HR_Data[[#This Row],[JobSatisfaction]]=1,"Low",IF(HR_Data[[#This Row],[JobSatisfaction]]=2,"Medium",IF(HR_Data[[#This Row],[JobSatisfaction]]=3,"High","Very High")))</f>
        <v>Very High</v>
      </c>
      <c r="AP847" t="str">
        <f>IF(HR_Data[[#This Row],[WorkLifeBalance]]=1,"Bad",IF(HR_Data[[#This Row],[WorkLifeBalance]]=2,"Good",IF(HR_Data[[#This Row],[WorkLifeBalance]]=3,"Better","Best")))</f>
        <v>Bad</v>
      </c>
    </row>
    <row r="848" spans="1:42"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IF(HR_Data[[#This Row],[Attrition]]="Yes",1,0)</f>
        <v>0</v>
      </c>
      <c r="AK848">
        <f>IF(HR_Data[[#This Row],[Attrition]]="No",1,0)</f>
        <v>1</v>
      </c>
      <c r="AL848" t="str">
        <f>IF(HR_Data[[#This Row],[Age]]&lt;25,"Under 25",IF(HR_Data[[#This Row],[Age]]&lt;=34,"25-34",IF(HR_Data[[#This Row],[Age]]&lt;=44,"35-44",IF(HR_Data[[#This Row],[Age]]&lt;=54,"45-54","55+"))))</f>
        <v>35-44</v>
      </c>
      <c r="AM848" t="str">
        <f>IF(HR_Data[[#This Row],[MonthlyIncome]]&lt;3000,"Low Salary",IF(HR_Data[[#This Row],[MonthlyIncome]]&lt;=7000,"Medium Salary","High Salary"))</f>
        <v>High Salary</v>
      </c>
      <c r="AN848" t="str">
        <f>IF(HR_Data[[#This Row],[YearsAtCompany]]&lt;2,"0-1 Years",IF(HR_Data[[#This Row],[YearsAtCompany]]&lt;=5,"2-5 Years",IF(HR_Data[[#This Row],[YearsAtCompany]]&lt;=10,"6-10 Years","10+ Years")))</f>
        <v>6-10 Years</v>
      </c>
      <c r="AO848" t="str">
        <f>IF(HR_Data[[#This Row],[JobSatisfaction]]=1,"Low",IF(HR_Data[[#This Row],[JobSatisfaction]]=2,"Medium",IF(HR_Data[[#This Row],[JobSatisfaction]]=3,"High","Very High")))</f>
        <v>Medium</v>
      </c>
      <c r="AP848" t="str">
        <f>IF(HR_Data[[#This Row],[WorkLifeBalance]]=1,"Bad",IF(HR_Data[[#This Row],[WorkLifeBalance]]=2,"Good",IF(HR_Data[[#This Row],[WorkLifeBalance]]=3,"Better","Best")))</f>
        <v>Best</v>
      </c>
    </row>
    <row r="849" spans="1:42"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IF(HR_Data[[#This Row],[Attrition]]="Yes",1,0)</f>
        <v>0</v>
      </c>
      <c r="AK849">
        <f>IF(HR_Data[[#This Row],[Attrition]]="No",1,0)</f>
        <v>1</v>
      </c>
      <c r="AL849" t="str">
        <f>IF(HR_Data[[#This Row],[Age]]&lt;25,"Under 25",IF(HR_Data[[#This Row],[Age]]&lt;=34,"25-34",IF(HR_Data[[#This Row],[Age]]&lt;=44,"35-44",IF(HR_Data[[#This Row],[Age]]&lt;=54,"45-54","55+"))))</f>
        <v>25-34</v>
      </c>
      <c r="AM849" t="str">
        <f>IF(HR_Data[[#This Row],[MonthlyIncome]]&lt;3000,"Low Salary",IF(HR_Data[[#This Row],[MonthlyIncome]]&lt;=7000,"Medium Salary","High Salary"))</f>
        <v>Medium Salary</v>
      </c>
      <c r="AN849" t="str">
        <f>IF(HR_Data[[#This Row],[YearsAtCompany]]&lt;2,"0-1 Years",IF(HR_Data[[#This Row],[YearsAtCompany]]&lt;=5,"2-5 Years",IF(HR_Data[[#This Row],[YearsAtCompany]]&lt;=10,"6-10 Years","10+ Years")))</f>
        <v>10+ Years</v>
      </c>
      <c r="AO849" t="str">
        <f>IF(HR_Data[[#This Row],[JobSatisfaction]]=1,"Low",IF(HR_Data[[#This Row],[JobSatisfaction]]=2,"Medium",IF(HR_Data[[#This Row],[JobSatisfaction]]=3,"High","Very High")))</f>
        <v>Low</v>
      </c>
      <c r="AP849" t="str">
        <f>IF(HR_Data[[#This Row],[WorkLifeBalance]]=1,"Bad",IF(HR_Data[[#This Row],[WorkLifeBalance]]=2,"Good",IF(HR_Data[[#This Row],[WorkLifeBalance]]=3,"Better","Best")))</f>
        <v>Better</v>
      </c>
    </row>
    <row r="850" spans="1:42"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IF(HR_Data[[#This Row],[Attrition]]="Yes",1,0)</f>
        <v>0</v>
      </c>
      <c r="AK850">
        <f>IF(HR_Data[[#This Row],[Attrition]]="No",1,0)</f>
        <v>1</v>
      </c>
      <c r="AL850" t="str">
        <f>IF(HR_Data[[#This Row],[Age]]&lt;25,"Under 25",IF(HR_Data[[#This Row],[Age]]&lt;=34,"25-34",IF(HR_Data[[#This Row],[Age]]&lt;=44,"35-44",IF(HR_Data[[#This Row],[Age]]&lt;=54,"45-54","55+"))))</f>
        <v>35-44</v>
      </c>
      <c r="AM850" t="str">
        <f>IF(HR_Data[[#This Row],[MonthlyIncome]]&lt;3000,"Low Salary",IF(HR_Data[[#This Row],[MonthlyIncome]]&lt;=7000,"Medium Salary","High Salary"))</f>
        <v>Low Salary</v>
      </c>
      <c r="AN850" t="str">
        <f>IF(HR_Data[[#This Row],[YearsAtCompany]]&lt;2,"0-1 Years",IF(HR_Data[[#This Row],[YearsAtCompany]]&lt;=5,"2-5 Years",IF(HR_Data[[#This Row],[YearsAtCompany]]&lt;=10,"6-10 Years","10+ Years")))</f>
        <v>2-5 Years</v>
      </c>
      <c r="AO850" t="str">
        <f>IF(HR_Data[[#This Row],[JobSatisfaction]]=1,"Low",IF(HR_Data[[#This Row],[JobSatisfaction]]=2,"Medium",IF(HR_Data[[#This Row],[JobSatisfaction]]=3,"High","Very High")))</f>
        <v>Very High</v>
      </c>
      <c r="AP850" t="str">
        <f>IF(HR_Data[[#This Row],[WorkLifeBalance]]=1,"Bad",IF(HR_Data[[#This Row],[WorkLifeBalance]]=2,"Good",IF(HR_Data[[#This Row],[WorkLifeBalance]]=3,"Better","Best")))</f>
        <v>Best</v>
      </c>
    </row>
    <row r="851" spans="1:42"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IF(HR_Data[[#This Row],[Attrition]]="Yes",1,0)</f>
        <v>1</v>
      </c>
      <c r="AK851">
        <f>IF(HR_Data[[#This Row],[Attrition]]="No",1,0)</f>
        <v>0</v>
      </c>
      <c r="AL851" t="str">
        <f>IF(HR_Data[[#This Row],[Age]]&lt;25,"Under 25",IF(HR_Data[[#This Row],[Age]]&lt;=34,"25-34",IF(HR_Data[[#This Row],[Age]]&lt;=44,"35-44",IF(HR_Data[[#This Row],[Age]]&lt;=54,"45-54","55+"))))</f>
        <v>35-44</v>
      </c>
      <c r="AM851" t="str">
        <f>IF(HR_Data[[#This Row],[MonthlyIncome]]&lt;3000,"Low Salary",IF(HR_Data[[#This Row],[MonthlyIncome]]&lt;=7000,"Medium Salary","High Salary"))</f>
        <v>Medium Salary</v>
      </c>
      <c r="AN851" t="str">
        <f>IF(HR_Data[[#This Row],[YearsAtCompany]]&lt;2,"0-1 Years",IF(HR_Data[[#This Row],[YearsAtCompany]]&lt;=5,"2-5 Years",IF(HR_Data[[#This Row],[YearsAtCompany]]&lt;=10,"6-10 Years","10+ Years")))</f>
        <v>2-5 Years</v>
      </c>
      <c r="AO851" t="str">
        <f>IF(HR_Data[[#This Row],[JobSatisfaction]]=1,"Low",IF(HR_Data[[#This Row],[JobSatisfaction]]=2,"Medium",IF(HR_Data[[#This Row],[JobSatisfaction]]=3,"High","Very High")))</f>
        <v>High</v>
      </c>
      <c r="AP851" t="str">
        <f>IF(HR_Data[[#This Row],[WorkLifeBalance]]=1,"Bad",IF(HR_Data[[#This Row],[WorkLifeBalance]]=2,"Good",IF(HR_Data[[#This Row],[WorkLifeBalance]]=3,"Better","Best")))</f>
        <v>Good</v>
      </c>
    </row>
    <row r="852" spans="1:42"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IF(HR_Data[[#This Row],[Attrition]]="Yes",1,0)</f>
        <v>0</v>
      </c>
      <c r="AK852">
        <f>IF(HR_Data[[#This Row],[Attrition]]="No",1,0)</f>
        <v>1</v>
      </c>
      <c r="AL852" t="str">
        <f>IF(HR_Data[[#This Row],[Age]]&lt;25,"Under 25",IF(HR_Data[[#This Row],[Age]]&lt;=34,"25-34",IF(HR_Data[[#This Row],[Age]]&lt;=44,"35-44",IF(HR_Data[[#This Row],[Age]]&lt;=54,"45-54","55+"))))</f>
        <v>25-34</v>
      </c>
      <c r="AM852" t="str">
        <f>IF(HR_Data[[#This Row],[MonthlyIncome]]&lt;3000,"Low Salary",IF(HR_Data[[#This Row],[MonthlyIncome]]&lt;=7000,"Medium Salary","High Salary"))</f>
        <v>Low Salary</v>
      </c>
      <c r="AN852" t="str">
        <f>IF(HR_Data[[#This Row],[YearsAtCompany]]&lt;2,"0-1 Years",IF(HR_Data[[#This Row],[YearsAtCompany]]&lt;=5,"2-5 Years",IF(HR_Data[[#This Row],[YearsAtCompany]]&lt;=10,"6-10 Years","10+ Years")))</f>
        <v>0-1 Years</v>
      </c>
      <c r="AO852" t="str">
        <f>IF(HR_Data[[#This Row],[JobSatisfaction]]=1,"Low",IF(HR_Data[[#This Row],[JobSatisfaction]]=2,"Medium",IF(HR_Data[[#This Row],[JobSatisfaction]]=3,"High","Very High")))</f>
        <v>Low</v>
      </c>
      <c r="AP852" t="str">
        <f>IF(HR_Data[[#This Row],[WorkLifeBalance]]=1,"Bad",IF(HR_Data[[#This Row],[WorkLifeBalance]]=2,"Good",IF(HR_Data[[#This Row],[WorkLifeBalance]]=3,"Better","Best")))</f>
        <v>Better</v>
      </c>
    </row>
    <row r="853" spans="1:42"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IF(HR_Data[[#This Row],[Attrition]]="Yes",1,0)</f>
        <v>0</v>
      </c>
      <c r="AK853">
        <f>IF(HR_Data[[#This Row],[Attrition]]="No",1,0)</f>
        <v>1</v>
      </c>
      <c r="AL853" t="str">
        <f>IF(HR_Data[[#This Row],[Age]]&lt;25,"Under 25",IF(HR_Data[[#This Row],[Age]]&lt;=34,"25-34",IF(HR_Data[[#This Row],[Age]]&lt;=44,"35-44",IF(HR_Data[[#This Row],[Age]]&lt;=54,"45-54","55+"))))</f>
        <v>55+</v>
      </c>
      <c r="AM853" t="str">
        <f>IF(HR_Data[[#This Row],[MonthlyIncome]]&lt;3000,"Low Salary",IF(HR_Data[[#This Row],[MonthlyIncome]]&lt;=7000,"Medium Salary","High Salary"))</f>
        <v>High Salary</v>
      </c>
      <c r="AN853" t="str">
        <f>IF(HR_Data[[#This Row],[YearsAtCompany]]&lt;2,"0-1 Years",IF(HR_Data[[#This Row],[YearsAtCompany]]&lt;=5,"2-5 Years",IF(HR_Data[[#This Row],[YearsAtCompany]]&lt;=10,"6-10 Years","10+ Years")))</f>
        <v>2-5 Years</v>
      </c>
      <c r="AO853" t="str">
        <f>IF(HR_Data[[#This Row],[JobSatisfaction]]=1,"Low",IF(HR_Data[[#This Row],[JobSatisfaction]]=2,"Medium",IF(HR_Data[[#This Row],[JobSatisfaction]]=3,"High","Very High")))</f>
        <v>Low</v>
      </c>
      <c r="AP853" t="str">
        <f>IF(HR_Data[[#This Row],[WorkLifeBalance]]=1,"Bad",IF(HR_Data[[#This Row],[WorkLifeBalance]]=2,"Good",IF(HR_Data[[#This Row],[WorkLifeBalance]]=3,"Better","Best")))</f>
        <v>Better</v>
      </c>
    </row>
    <row r="854" spans="1:42"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IF(HR_Data[[#This Row],[Attrition]]="Yes",1,0)</f>
        <v>0</v>
      </c>
      <c r="AK854">
        <f>IF(HR_Data[[#This Row],[Attrition]]="No",1,0)</f>
        <v>1</v>
      </c>
      <c r="AL854" t="str">
        <f>IF(HR_Data[[#This Row],[Age]]&lt;25,"Under 25",IF(HR_Data[[#This Row],[Age]]&lt;=34,"25-34",IF(HR_Data[[#This Row],[Age]]&lt;=44,"35-44",IF(HR_Data[[#This Row],[Age]]&lt;=54,"45-54","55+"))))</f>
        <v>25-34</v>
      </c>
      <c r="AM854" t="str">
        <f>IF(HR_Data[[#This Row],[MonthlyIncome]]&lt;3000,"Low Salary",IF(HR_Data[[#This Row],[MonthlyIncome]]&lt;=7000,"Medium Salary","High Salary"))</f>
        <v>Medium Salary</v>
      </c>
      <c r="AN854" t="str">
        <f>IF(HR_Data[[#This Row],[YearsAtCompany]]&lt;2,"0-1 Years",IF(HR_Data[[#This Row],[YearsAtCompany]]&lt;=5,"2-5 Years",IF(HR_Data[[#This Row],[YearsAtCompany]]&lt;=10,"6-10 Years","10+ Years")))</f>
        <v>6-10 Years</v>
      </c>
      <c r="AO854" t="str">
        <f>IF(HR_Data[[#This Row],[JobSatisfaction]]=1,"Low",IF(HR_Data[[#This Row],[JobSatisfaction]]=2,"Medium",IF(HR_Data[[#This Row],[JobSatisfaction]]=3,"High","Very High")))</f>
        <v>Very High</v>
      </c>
      <c r="AP854" t="str">
        <f>IF(HR_Data[[#This Row],[WorkLifeBalance]]=1,"Bad",IF(HR_Data[[#This Row],[WorkLifeBalance]]=2,"Good",IF(HR_Data[[#This Row],[WorkLifeBalance]]=3,"Better","Best")))</f>
        <v>Better</v>
      </c>
    </row>
    <row r="855" spans="1:42"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IF(HR_Data[[#This Row],[Attrition]]="Yes",1,0)</f>
        <v>0</v>
      </c>
      <c r="AK855">
        <f>IF(HR_Data[[#This Row],[Attrition]]="No",1,0)</f>
        <v>1</v>
      </c>
      <c r="AL855" t="str">
        <f>IF(HR_Data[[#This Row],[Age]]&lt;25,"Under 25",IF(HR_Data[[#This Row],[Age]]&lt;=34,"25-34",IF(HR_Data[[#This Row],[Age]]&lt;=44,"35-44",IF(HR_Data[[#This Row],[Age]]&lt;=54,"45-54","55+"))))</f>
        <v>Under 25</v>
      </c>
      <c r="AM855" t="str">
        <f>IF(HR_Data[[#This Row],[MonthlyIncome]]&lt;3000,"Low Salary",IF(HR_Data[[#This Row],[MonthlyIncome]]&lt;=7000,"Medium Salary","High Salary"))</f>
        <v>Low Salary</v>
      </c>
      <c r="AN855" t="str">
        <f>IF(HR_Data[[#This Row],[YearsAtCompany]]&lt;2,"0-1 Years",IF(HR_Data[[#This Row],[YearsAtCompany]]&lt;=5,"2-5 Years",IF(HR_Data[[#This Row],[YearsAtCompany]]&lt;=10,"6-10 Years","10+ Years")))</f>
        <v>0-1 Years</v>
      </c>
      <c r="AO855" t="str">
        <f>IF(HR_Data[[#This Row],[JobSatisfaction]]=1,"Low",IF(HR_Data[[#This Row],[JobSatisfaction]]=2,"Medium",IF(HR_Data[[#This Row],[JobSatisfaction]]=3,"High","Very High")))</f>
        <v>Low</v>
      </c>
      <c r="AP855" t="str">
        <f>IF(HR_Data[[#This Row],[WorkLifeBalance]]=1,"Bad",IF(HR_Data[[#This Row],[WorkLifeBalance]]=2,"Good",IF(HR_Data[[#This Row],[WorkLifeBalance]]=3,"Better","Best")))</f>
        <v>Better</v>
      </c>
    </row>
    <row r="856" spans="1:42"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IF(HR_Data[[#This Row],[Attrition]]="Yes",1,0)</f>
        <v>0</v>
      </c>
      <c r="AK856">
        <f>IF(HR_Data[[#This Row],[Attrition]]="No",1,0)</f>
        <v>1</v>
      </c>
      <c r="AL856" t="str">
        <f>IF(HR_Data[[#This Row],[Age]]&lt;25,"Under 25",IF(HR_Data[[#This Row],[Age]]&lt;=34,"25-34",IF(HR_Data[[#This Row],[Age]]&lt;=44,"35-44",IF(HR_Data[[#This Row],[Age]]&lt;=54,"45-54","55+"))))</f>
        <v>45-54</v>
      </c>
      <c r="AM856" t="str">
        <f>IF(HR_Data[[#This Row],[MonthlyIncome]]&lt;3000,"Low Salary",IF(HR_Data[[#This Row],[MonthlyIncome]]&lt;=7000,"Medium Salary","High Salary"))</f>
        <v>Medium Salary</v>
      </c>
      <c r="AN856" t="str">
        <f>IF(HR_Data[[#This Row],[YearsAtCompany]]&lt;2,"0-1 Years",IF(HR_Data[[#This Row],[YearsAtCompany]]&lt;=5,"2-5 Years",IF(HR_Data[[#This Row],[YearsAtCompany]]&lt;=10,"6-10 Years","10+ Years")))</f>
        <v>2-5 Years</v>
      </c>
      <c r="AO856" t="str">
        <f>IF(HR_Data[[#This Row],[JobSatisfaction]]=1,"Low",IF(HR_Data[[#This Row],[JobSatisfaction]]=2,"Medium",IF(HR_Data[[#This Row],[JobSatisfaction]]=3,"High","Very High")))</f>
        <v>High</v>
      </c>
      <c r="AP856" t="str">
        <f>IF(HR_Data[[#This Row],[WorkLifeBalance]]=1,"Bad",IF(HR_Data[[#This Row],[WorkLifeBalance]]=2,"Good",IF(HR_Data[[#This Row],[WorkLifeBalance]]=3,"Better","Best")))</f>
        <v>Good</v>
      </c>
    </row>
    <row r="857" spans="1:42"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IF(HR_Data[[#This Row],[Attrition]]="Yes",1,0)</f>
        <v>0</v>
      </c>
      <c r="AK857">
        <f>IF(HR_Data[[#This Row],[Attrition]]="No",1,0)</f>
        <v>1</v>
      </c>
      <c r="AL857" t="str">
        <f>IF(HR_Data[[#This Row],[Age]]&lt;25,"Under 25",IF(HR_Data[[#This Row],[Age]]&lt;=34,"25-34",IF(HR_Data[[#This Row],[Age]]&lt;=44,"35-44",IF(HR_Data[[#This Row],[Age]]&lt;=54,"45-54","55+"))))</f>
        <v>35-44</v>
      </c>
      <c r="AM857" t="str">
        <f>IF(HR_Data[[#This Row],[MonthlyIncome]]&lt;3000,"Low Salary",IF(HR_Data[[#This Row],[MonthlyIncome]]&lt;=7000,"Medium Salary","High Salary"))</f>
        <v>Medium Salary</v>
      </c>
      <c r="AN857" t="str">
        <f>IF(HR_Data[[#This Row],[YearsAtCompany]]&lt;2,"0-1 Years",IF(HR_Data[[#This Row],[YearsAtCompany]]&lt;=5,"2-5 Years",IF(HR_Data[[#This Row],[YearsAtCompany]]&lt;=10,"6-10 Years","10+ Years")))</f>
        <v>10+ Years</v>
      </c>
      <c r="AO857" t="str">
        <f>IF(HR_Data[[#This Row],[JobSatisfaction]]=1,"Low",IF(HR_Data[[#This Row],[JobSatisfaction]]=2,"Medium",IF(HR_Data[[#This Row],[JobSatisfaction]]=3,"High","Very High")))</f>
        <v>Very High</v>
      </c>
      <c r="AP857" t="str">
        <f>IF(HR_Data[[#This Row],[WorkLifeBalance]]=1,"Bad",IF(HR_Data[[#This Row],[WorkLifeBalance]]=2,"Good",IF(HR_Data[[#This Row],[WorkLifeBalance]]=3,"Better","Best")))</f>
        <v>Good</v>
      </c>
    </row>
    <row r="858" spans="1:42"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IF(HR_Data[[#This Row],[Attrition]]="Yes",1,0)</f>
        <v>0</v>
      </c>
      <c r="AK858">
        <f>IF(HR_Data[[#This Row],[Attrition]]="No",1,0)</f>
        <v>1</v>
      </c>
      <c r="AL858" t="str">
        <f>IF(HR_Data[[#This Row],[Age]]&lt;25,"Under 25",IF(HR_Data[[#This Row],[Age]]&lt;=34,"25-34",IF(HR_Data[[#This Row],[Age]]&lt;=44,"35-44",IF(HR_Data[[#This Row],[Age]]&lt;=54,"45-54","55+"))))</f>
        <v>Under 25</v>
      </c>
      <c r="AM858" t="str">
        <f>IF(HR_Data[[#This Row],[MonthlyIncome]]&lt;3000,"Low Salary",IF(HR_Data[[#This Row],[MonthlyIncome]]&lt;=7000,"Medium Salary","High Salary"))</f>
        <v>Medium Salary</v>
      </c>
      <c r="AN858" t="str">
        <f>IF(HR_Data[[#This Row],[YearsAtCompany]]&lt;2,"0-1 Years",IF(HR_Data[[#This Row],[YearsAtCompany]]&lt;=5,"2-5 Years",IF(HR_Data[[#This Row],[YearsAtCompany]]&lt;=10,"6-10 Years","10+ Years")))</f>
        <v>2-5 Years</v>
      </c>
      <c r="AO858" t="str">
        <f>IF(HR_Data[[#This Row],[JobSatisfaction]]=1,"Low",IF(HR_Data[[#This Row],[JobSatisfaction]]=2,"Medium",IF(HR_Data[[#This Row],[JobSatisfaction]]=3,"High","Very High")))</f>
        <v>High</v>
      </c>
      <c r="AP858" t="str">
        <f>IF(HR_Data[[#This Row],[WorkLifeBalance]]=1,"Bad",IF(HR_Data[[#This Row],[WorkLifeBalance]]=2,"Good",IF(HR_Data[[#This Row],[WorkLifeBalance]]=3,"Better","Best")))</f>
        <v>Good</v>
      </c>
    </row>
    <row r="859" spans="1:42"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IF(HR_Data[[#This Row],[Attrition]]="Yes",1,0)</f>
        <v>1</v>
      </c>
      <c r="AK859">
        <f>IF(HR_Data[[#This Row],[Attrition]]="No",1,0)</f>
        <v>0</v>
      </c>
      <c r="AL859" t="str">
        <f>IF(HR_Data[[#This Row],[Age]]&lt;25,"Under 25",IF(HR_Data[[#This Row],[Age]]&lt;=34,"25-34",IF(HR_Data[[#This Row],[Age]]&lt;=44,"35-44",IF(HR_Data[[#This Row],[Age]]&lt;=54,"45-54","55+"))))</f>
        <v>35-44</v>
      </c>
      <c r="AM859" t="str">
        <f>IF(HR_Data[[#This Row],[MonthlyIncome]]&lt;3000,"Low Salary",IF(HR_Data[[#This Row],[MonthlyIncome]]&lt;=7000,"Medium Salary","High Salary"))</f>
        <v>Low Salary</v>
      </c>
      <c r="AN859" t="str">
        <f>IF(HR_Data[[#This Row],[YearsAtCompany]]&lt;2,"0-1 Years",IF(HR_Data[[#This Row],[YearsAtCompany]]&lt;=5,"2-5 Years",IF(HR_Data[[#This Row],[YearsAtCompany]]&lt;=10,"6-10 Years","10+ Years")))</f>
        <v>6-10 Years</v>
      </c>
      <c r="AO859" t="str">
        <f>IF(HR_Data[[#This Row],[JobSatisfaction]]=1,"Low",IF(HR_Data[[#This Row],[JobSatisfaction]]=2,"Medium",IF(HR_Data[[#This Row],[JobSatisfaction]]=3,"High","Very High")))</f>
        <v>High</v>
      </c>
      <c r="AP859" t="str">
        <f>IF(HR_Data[[#This Row],[WorkLifeBalance]]=1,"Bad",IF(HR_Data[[#This Row],[WorkLifeBalance]]=2,"Good",IF(HR_Data[[#This Row],[WorkLifeBalance]]=3,"Better","Best")))</f>
        <v>Better</v>
      </c>
    </row>
    <row r="860" spans="1:42"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IF(HR_Data[[#This Row],[Attrition]]="Yes",1,0)</f>
        <v>0</v>
      </c>
      <c r="AK860">
        <f>IF(HR_Data[[#This Row],[Attrition]]="No",1,0)</f>
        <v>1</v>
      </c>
      <c r="AL860" t="str">
        <f>IF(HR_Data[[#This Row],[Age]]&lt;25,"Under 25",IF(HR_Data[[#This Row],[Age]]&lt;=34,"25-34",IF(HR_Data[[#This Row],[Age]]&lt;=44,"35-44",IF(HR_Data[[#This Row],[Age]]&lt;=54,"45-54","55+"))))</f>
        <v>45-54</v>
      </c>
      <c r="AM860" t="str">
        <f>IF(HR_Data[[#This Row],[MonthlyIncome]]&lt;3000,"Low Salary",IF(HR_Data[[#This Row],[MonthlyIncome]]&lt;=7000,"Medium Salary","High Salary"))</f>
        <v>High Salary</v>
      </c>
      <c r="AN860" t="str">
        <f>IF(HR_Data[[#This Row],[YearsAtCompany]]&lt;2,"0-1 Years",IF(HR_Data[[#This Row],[YearsAtCompany]]&lt;=5,"2-5 Years",IF(HR_Data[[#This Row],[YearsAtCompany]]&lt;=10,"6-10 Years","10+ Years")))</f>
        <v>6-10 Years</v>
      </c>
      <c r="AO860" t="str">
        <f>IF(HR_Data[[#This Row],[JobSatisfaction]]=1,"Low",IF(HR_Data[[#This Row],[JobSatisfaction]]=2,"Medium",IF(HR_Data[[#This Row],[JobSatisfaction]]=3,"High","Very High")))</f>
        <v>High</v>
      </c>
      <c r="AP860" t="str">
        <f>IF(HR_Data[[#This Row],[WorkLifeBalance]]=1,"Bad",IF(HR_Data[[#This Row],[WorkLifeBalance]]=2,"Good",IF(HR_Data[[#This Row],[WorkLifeBalance]]=3,"Better","Best")))</f>
        <v>Better</v>
      </c>
    </row>
    <row r="861" spans="1:42"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IF(HR_Data[[#This Row],[Attrition]]="Yes",1,0)</f>
        <v>0</v>
      </c>
      <c r="AK861">
        <f>IF(HR_Data[[#This Row],[Attrition]]="No",1,0)</f>
        <v>1</v>
      </c>
      <c r="AL861" t="str">
        <f>IF(HR_Data[[#This Row],[Age]]&lt;25,"Under 25",IF(HR_Data[[#This Row],[Age]]&lt;=34,"25-34",IF(HR_Data[[#This Row],[Age]]&lt;=44,"35-44",IF(HR_Data[[#This Row],[Age]]&lt;=54,"45-54","55+"))))</f>
        <v>25-34</v>
      </c>
      <c r="AM861" t="str">
        <f>IF(HR_Data[[#This Row],[MonthlyIncome]]&lt;3000,"Low Salary",IF(HR_Data[[#This Row],[MonthlyIncome]]&lt;=7000,"Medium Salary","High Salary"))</f>
        <v>Low Salary</v>
      </c>
      <c r="AN861" t="str">
        <f>IF(HR_Data[[#This Row],[YearsAtCompany]]&lt;2,"0-1 Years",IF(HR_Data[[#This Row],[YearsAtCompany]]&lt;=5,"2-5 Years",IF(HR_Data[[#This Row],[YearsAtCompany]]&lt;=10,"6-10 Years","10+ Years")))</f>
        <v>2-5 Years</v>
      </c>
      <c r="AO861" t="str">
        <f>IF(HR_Data[[#This Row],[JobSatisfaction]]=1,"Low",IF(HR_Data[[#This Row],[JobSatisfaction]]=2,"Medium",IF(HR_Data[[#This Row],[JobSatisfaction]]=3,"High","Very High")))</f>
        <v>Very High</v>
      </c>
      <c r="AP861" t="str">
        <f>IF(HR_Data[[#This Row],[WorkLifeBalance]]=1,"Bad",IF(HR_Data[[#This Row],[WorkLifeBalance]]=2,"Good",IF(HR_Data[[#This Row],[WorkLifeBalance]]=3,"Better","Best")))</f>
        <v>Good</v>
      </c>
    </row>
    <row r="862" spans="1:42"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IF(HR_Data[[#This Row],[Attrition]]="Yes",1,0)</f>
        <v>1</v>
      </c>
      <c r="AK862">
        <f>IF(HR_Data[[#This Row],[Attrition]]="No",1,0)</f>
        <v>0</v>
      </c>
      <c r="AL862" t="str">
        <f>IF(HR_Data[[#This Row],[Age]]&lt;25,"Under 25",IF(HR_Data[[#This Row],[Age]]&lt;=34,"25-34",IF(HR_Data[[#This Row],[Age]]&lt;=44,"35-44",IF(HR_Data[[#This Row],[Age]]&lt;=54,"45-54","55+"))))</f>
        <v>Under 25</v>
      </c>
      <c r="AM862" t="str">
        <f>IF(HR_Data[[#This Row],[MonthlyIncome]]&lt;3000,"Low Salary",IF(HR_Data[[#This Row],[MonthlyIncome]]&lt;=7000,"Medium Salary","High Salary"))</f>
        <v>Low Salary</v>
      </c>
      <c r="AN862" t="str">
        <f>IF(HR_Data[[#This Row],[YearsAtCompany]]&lt;2,"0-1 Years",IF(HR_Data[[#This Row],[YearsAtCompany]]&lt;=5,"2-5 Years",IF(HR_Data[[#This Row],[YearsAtCompany]]&lt;=10,"6-10 Years","10+ Years")))</f>
        <v>0-1 Years</v>
      </c>
      <c r="AO862" t="str">
        <f>IF(HR_Data[[#This Row],[JobSatisfaction]]=1,"Low",IF(HR_Data[[#This Row],[JobSatisfaction]]=2,"Medium",IF(HR_Data[[#This Row],[JobSatisfaction]]=3,"High","Very High")))</f>
        <v>Very High</v>
      </c>
      <c r="AP862" t="str">
        <f>IF(HR_Data[[#This Row],[WorkLifeBalance]]=1,"Bad",IF(HR_Data[[#This Row],[WorkLifeBalance]]=2,"Good",IF(HR_Data[[#This Row],[WorkLifeBalance]]=3,"Better","Best")))</f>
        <v>Better</v>
      </c>
    </row>
    <row r="863" spans="1:42"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IF(HR_Data[[#This Row],[Attrition]]="Yes",1,0)</f>
        <v>0</v>
      </c>
      <c r="AK863">
        <f>IF(HR_Data[[#This Row],[Attrition]]="No",1,0)</f>
        <v>1</v>
      </c>
      <c r="AL863" t="str">
        <f>IF(HR_Data[[#This Row],[Age]]&lt;25,"Under 25",IF(HR_Data[[#This Row],[Age]]&lt;=34,"25-34",IF(HR_Data[[#This Row],[Age]]&lt;=44,"35-44",IF(HR_Data[[#This Row],[Age]]&lt;=54,"45-54","55+"))))</f>
        <v>45-54</v>
      </c>
      <c r="AM863" t="str">
        <f>IF(HR_Data[[#This Row],[MonthlyIncome]]&lt;3000,"Low Salary",IF(HR_Data[[#This Row],[MonthlyIncome]]&lt;=7000,"Medium Salary","High Salary"))</f>
        <v>High Salary</v>
      </c>
      <c r="AN863" t="str">
        <f>IF(HR_Data[[#This Row],[YearsAtCompany]]&lt;2,"0-1 Years",IF(HR_Data[[#This Row],[YearsAtCompany]]&lt;=5,"2-5 Years",IF(HR_Data[[#This Row],[YearsAtCompany]]&lt;=10,"6-10 Years","10+ Years")))</f>
        <v>10+ Years</v>
      </c>
      <c r="AO863" t="str">
        <f>IF(HR_Data[[#This Row],[JobSatisfaction]]=1,"Low",IF(HR_Data[[#This Row],[JobSatisfaction]]=2,"Medium",IF(HR_Data[[#This Row],[JobSatisfaction]]=3,"High","Very High")))</f>
        <v>Low</v>
      </c>
      <c r="AP863" t="str">
        <f>IF(HR_Data[[#This Row],[WorkLifeBalance]]=1,"Bad",IF(HR_Data[[#This Row],[WorkLifeBalance]]=2,"Good",IF(HR_Data[[#This Row],[WorkLifeBalance]]=3,"Better","Best")))</f>
        <v>Better</v>
      </c>
    </row>
    <row r="864" spans="1:42"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IF(HR_Data[[#This Row],[Attrition]]="Yes",1,0)</f>
        <v>0</v>
      </c>
      <c r="AK864">
        <f>IF(HR_Data[[#This Row],[Attrition]]="No",1,0)</f>
        <v>1</v>
      </c>
      <c r="AL864" t="str">
        <f>IF(HR_Data[[#This Row],[Age]]&lt;25,"Under 25",IF(HR_Data[[#This Row],[Age]]&lt;=34,"25-34",IF(HR_Data[[#This Row],[Age]]&lt;=44,"35-44",IF(HR_Data[[#This Row],[Age]]&lt;=54,"45-54","55+"))))</f>
        <v>35-44</v>
      </c>
      <c r="AM864" t="str">
        <f>IF(HR_Data[[#This Row],[MonthlyIncome]]&lt;3000,"Low Salary",IF(HR_Data[[#This Row],[MonthlyIncome]]&lt;=7000,"Medium Salary","High Salary"))</f>
        <v>Low Salary</v>
      </c>
      <c r="AN864" t="str">
        <f>IF(HR_Data[[#This Row],[YearsAtCompany]]&lt;2,"0-1 Years",IF(HR_Data[[#This Row],[YearsAtCompany]]&lt;=5,"2-5 Years",IF(HR_Data[[#This Row],[YearsAtCompany]]&lt;=10,"6-10 Years","10+ Years")))</f>
        <v>0-1 Years</v>
      </c>
      <c r="AO864" t="str">
        <f>IF(HR_Data[[#This Row],[JobSatisfaction]]=1,"Low",IF(HR_Data[[#This Row],[JobSatisfaction]]=2,"Medium",IF(HR_Data[[#This Row],[JobSatisfaction]]=3,"High","Very High")))</f>
        <v>High</v>
      </c>
      <c r="AP864" t="str">
        <f>IF(HR_Data[[#This Row],[WorkLifeBalance]]=1,"Bad",IF(HR_Data[[#This Row],[WorkLifeBalance]]=2,"Good",IF(HR_Data[[#This Row],[WorkLifeBalance]]=3,"Better","Best")))</f>
        <v>Better</v>
      </c>
    </row>
    <row r="865" spans="1:42"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IF(HR_Data[[#This Row],[Attrition]]="Yes",1,0)</f>
        <v>0</v>
      </c>
      <c r="AK865">
        <f>IF(HR_Data[[#This Row],[Attrition]]="No",1,0)</f>
        <v>1</v>
      </c>
      <c r="AL865" t="str">
        <f>IF(HR_Data[[#This Row],[Age]]&lt;25,"Under 25",IF(HR_Data[[#This Row],[Age]]&lt;=34,"25-34",IF(HR_Data[[#This Row],[Age]]&lt;=44,"35-44",IF(HR_Data[[#This Row],[Age]]&lt;=54,"45-54","55+"))))</f>
        <v>25-34</v>
      </c>
      <c r="AM865" t="str">
        <f>IF(HR_Data[[#This Row],[MonthlyIncome]]&lt;3000,"Low Salary",IF(HR_Data[[#This Row],[MonthlyIncome]]&lt;=7000,"Medium Salary","High Salary"))</f>
        <v>Medium Salary</v>
      </c>
      <c r="AN865" t="str">
        <f>IF(HR_Data[[#This Row],[YearsAtCompany]]&lt;2,"0-1 Years",IF(HR_Data[[#This Row],[YearsAtCompany]]&lt;=5,"2-5 Years",IF(HR_Data[[#This Row],[YearsAtCompany]]&lt;=10,"6-10 Years","10+ Years")))</f>
        <v>2-5 Years</v>
      </c>
      <c r="AO865" t="str">
        <f>IF(HR_Data[[#This Row],[JobSatisfaction]]=1,"Low",IF(HR_Data[[#This Row],[JobSatisfaction]]=2,"Medium",IF(HR_Data[[#This Row],[JobSatisfaction]]=3,"High","Very High")))</f>
        <v>High</v>
      </c>
      <c r="AP865" t="str">
        <f>IF(HR_Data[[#This Row],[WorkLifeBalance]]=1,"Bad",IF(HR_Data[[#This Row],[WorkLifeBalance]]=2,"Good",IF(HR_Data[[#This Row],[WorkLifeBalance]]=3,"Better","Best")))</f>
        <v>Better</v>
      </c>
    </row>
    <row r="866" spans="1:42"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IF(HR_Data[[#This Row],[Attrition]]="Yes",1,0)</f>
        <v>1</v>
      </c>
      <c r="AK866">
        <f>IF(HR_Data[[#This Row],[Attrition]]="No",1,0)</f>
        <v>0</v>
      </c>
      <c r="AL866" t="str">
        <f>IF(HR_Data[[#This Row],[Age]]&lt;25,"Under 25",IF(HR_Data[[#This Row],[Age]]&lt;=34,"25-34",IF(HR_Data[[#This Row],[Age]]&lt;=44,"35-44",IF(HR_Data[[#This Row],[Age]]&lt;=54,"45-54","55+"))))</f>
        <v>35-44</v>
      </c>
      <c r="AM866" t="str">
        <f>IF(HR_Data[[#This Row],[MonthlyIncome]]&lt;3000,"Low Salary",IF(HR_Data[[#This Row],[MonthlyIncome]]&lt;=7000,"Medium Salary","High Salary"))</f>
        <v>Low Salary</v>
      </c>
      <c r="AN866" t="str">
        <f>IF(HR_Data[[#This Row],[YearsAtCompany]]&lt;2,"0-1 Years",IF(HR_Data[[#This Row],[YearsAtCompany]]&lt;=5,"2-5 Years",IF(HR_Data[[#This Row],[YearsAtCompany]]&lt;=10,"6-10 Years","10+ Years")))</f>
        <v>0-1 Years</v>
      </c>
      <c r="AO866" t="str">
        <f>IF(HR_Data[[#This Row],[JobSatisfaction]]=1,"Low",IF(HR_Data[[#This Row],[JobSatisfaction]]=2,"Medium",IF(HR_Data[[#This Row],[JobSatisfaction]]=3,"High","Very High")))</f>
        <v>Low</v>
      </c>
      <c r="AP866" t="str">
        <f>IF(HR_Data[[#This Row],[WorkLifeBalance]]=1,"Bad",IF(HR_Data[[#This Row],[WorkLifeBalance]]=2,"Good",IF(HR_Data[[#This Row],[WorkLifeBalance]]=3,"Better","Best")))</f>
        <v>Bad</v>
      </c>
    </row>
    <row r="867" spans="1:42"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IF(HR_Data[[#This Row],[Attrition]]="Yes",1,0)</f>
        <v>0</v>
      </c>
      <c r="AK867">
        <f>IF(HR_Data[[#This Row],[Attrition]]="No",1,0)</f>
        <v>1</v>
      </c>
      <c r="AL867" t="str">
        <f>IF(HR_Data[[#This Row],[Age]]&lt;25,"Under 25",IF(HR_Data[[#This Row],[Age]]&lt;=34,"25-34",IF(HR_Data[[#This Row],[Age]]&lt;=44,"35-44",IF(HR_Data[[#This Row],[Age]]&lt;=54,"45-54","55+"))))</f>
        <v>25-34</v>
      </c>
      <c r="AM867" t="str">
        <f>IF(HR_Data[[#This Row],[MonthlyIncome]]&lt;3000,"Low Salary",IF(HR_Data[[#This Row],[MonthlyIncome]]&lt;=7000,"Medium Salary","High Salary"))</f>
        <v>Medium Salary</v>
      </c>
      <c r="AN867" t="str">
        <f>IF(HR_Data[[#This Row],[YearsAtCompany]]&lt;2,"0-1 Years",IF(HR_Data[[#This Row],[YearsAtCompany]]&lt;=5,"2-5 Years",IF(HR_Data[[#This Row],[YearsAtCompany]]&lt;=10,"6-10 Years","10+ Years")))</f>
        <v>2-5 Years</v>
      </c>
      <c r="AO867" t="str">
        <f>IF(HR_Data[[#This Row],[JobSatisfaction]]=1,"Low",IF(HR_Data[[#This Row],[JobSatisfaction]]=2,"Medium",IF(HR_Data[[#This Row],[JobSatisfaction]]=3,"High","Very High")))</f>
        <v>Low</v>
      </c>
      <c r="AP867" t="str">
        <f>IF(HR_Data[[#This Row],[WorkLifeBalance]]=1,"Bad",IF(HR_Data[[#This Row],[WorkLifeBalance]]=2,"Good",IF(HR_Data[[#This Row],[WorkLifeBalance]]=3,"Better","Best")))</f>
        <v>Better</v>
      </c>
    </row>
    <row r="868" spans="1:42"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IF(HR_Data[[#This Row],[Attrition]]="Yes",1,0)</f>
        <v>0</v>
      </c>
      <c r="AK868">
        <f>IF(HR_Data[[#This Row],[Attrition]]="No",1,0)</f>
        <v>1</v>
      </c>
      <c r="AL868" t="str">
        <f>IF(HR_Data[[#This Row],[Age]]&lt;25,"Under 25",IF(HR_Data[[#This Row],[Age]]&lt;=34,"25-34",IF(HR_Data[[#This Row],[Age]]&lt;=44,"35-44",IF(HR_Data[[#This Row],[Age]]&lt;=54,"45-54","55+"))))</f>
        <v>35-44</v>
      </c>
      <c r="AM868" t="str">
        <f>IF(HR_Data[[#This Row],[MonthlyIncome]]&lt;3000,"Low Salary",IF(HR_Data[[#This Row],[MonthlyIncome]]&lt;=7000,"Medium Salary","High Salary"))</f>
        <v>Medium Salary</v>
      </c>
      <c r="AN868" t="str">
        <f>IF(HR_Data[[#This Row],[YearsAtCompany]]&lt;2,"0-1 Years",IF(HR_Data[[#This Row],[YearsAtCompany]]&lt;=5,"2-5 Years",IF(HR_Data[[#This Row],[YearsAtCompany]]&lt;=10,"6-10 Years","10+ Years")))</f>
        <v>0-1 Years</v>
      </c>
      <c r="AO868" t="str">
        <f>IF(HR_Data[[#This Row],[JobSatisfaction]]=1,"Low",IF(HR_Data[[#This Row],[JobSatisfaction]]=2,"Medium",IF(HR_Data[[#This Row],[JobSatisfaction]]=3,"High","Very High")))</f>
        <v>Medium</v>
      </c>
      <c r="AP868" t="str">
        <f>IF(HR_Data[[#This Row],[WorkLifeBalance]]=1,"Bad",IF(HR_Data[[#This Row],[WorkLifeBalance]]=2,"Good",IF(HR_Data[[#This Row],[WorkLifeBalance]]=3,"Better","Best")))</f>
        <v>Better</v>
      </c>
    </row>
    <row r="869" spans="1:42"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IF(HR_Data[[#This Row],[Attrition]]="Yes",1,0)</f>
        <v>0</v>
      </c>
      <c r="AK869">
        <f>IF(HR_Data[[#This Row],[Attrition]]="No",1,0)</f>
        <v>1</v>
      </c>
      <c r="AL869" t="str">
        <f>IF(HR_Data[[#This Row],[Age]]&lt;25,"Under 25",IF(HR_Data[[#This Row],[Age]]&lt;=34,"25-34",IF(HR_Data[[#This Row],[Age]]&lt;=44,"35-44",IF(HR_Data[[#This Row],[Age]]&lt;=54,"45-54","55+"))))</f>
        <v>45-54</v>
      </c>
      <c r="AM869" t="str">
        <f>IF(HR_Data[[#This Row],[MonthlyIncome]]&lt;3000,"Low Salary",IF(HR_Data[[#This Row],[MonthlyIncome]]&lt;=7000,"Medium Salary","High Salary"))</f>
        <v>High Salary</v>
      </c>
      <c r="AN869" t="str">
        <f>IF(HR_Data[[#This Row],[YearsAtCompany]]&lt;2,"0-1 Years",IF(HR_Data[[#This Row],[YearsAtCompany]]&lt;=5,"2-5 Years",IF(HR_Data[[#This Row],[YearsAtCompany]]&lt;=10,"6-10 Years","10+ Years")))</f>
        <v>2-5 Years</v>
      </c>
      <c r="AO869" t="str">
        <f>IF(HR_Data[[#This Row],[JobSatisfaction]]=1,"Low",IF(HR_Data[[#This Row],[JobSatisfaction]]=2,"Medium",IF(HR_Data[[#This Row],[JobSatisfaction]]=3,"High","Very High")))</f>
        <v>Low</v>
      </c>
      <c r="AP869" t="str">
        <f>IF(HR_Data[[#This Row],[WorkLifeBalance]]=1,"Bad",IF(HR_Data[[#This Row],[WorkLifeBalance]]=2,"Good",IF(HR_Data[[#This Row],[WorkLifeBalance]]=3,"Better","Best")))</f>
        <v>Better</v>
      </c>
    </row>
    <row r="870" spans="1:42"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IF(HR_Data[[#This Row],[Attrition]]="Yes",1,0)</f>
        <v>0</v>
      </c>
      <c r="AK870">
        <f>IF(HR_Data[[#This Row],[Attrition]]="No",1,0)</f>
        <v>1</v>
      </c>
      <c r="AL870" t="str">
        <f>IF(HR_Data[[#This Row],[Age]]&lt;25,"Under 25",IF(HR_Data[[#This Row],[Age]]&lt;=34,"25-34",IF(HR_Data[[#This Row],[Age]]&lt;=44,"35-44",IF(HR_Data[[#This Row],[Age]]&lt;=54,"45-54","55+"))))</f>
        <v>25-34</v>
      </c>
      <c r="AM870" t="str">
        <f>IF(HR_Data[[#This Row],[MonthlyIncome]]&lt;3000,"Low Salary",IF(HR_Data[[#This Row],[MonthlyIncome]]&lt;=7000,"Medium Salary","High Salary"))</f>
        <v>Medium Salary</v>
      </c>
      <c r="AN870" t="str">
        <f>IF(HR_Data[[#This Row],[YearsAtCompany]]&lt;2,"0-1 Years",IF(HR_Data[[#This Row],[YearsAtCompany]]&lt;=5,"2-5 Years",IF(HR_Data[[#This Row],[YearsAtCompany]]&lt;=10,"6-10 Years","10+ Years")))</f>
        <v>6-10 Years</v>
      </c>
      <c r="AO870" t="str">
        <f>IF(HR_Data[[#This Row],[JobSatisfaction]]=1,"Low",IF(HR_Data[[#This Row],[JobSatisfaction]]=2,"Medium",IF(HR_Data[[#This Row],[JobSatisfaction]]=3,"High","Very High")))</f>
        <v>Low</v>
      </c>
      <c r="AP870" t="str">
        <f>IF(HR_Data[[#This Row],[WorkLifeBalance]]=1,"Bad",IF(HR_Data[[#This Row],[WorkLifeBalance]]=2,"Good",IF(HR_Data[[#This Row],[WorkLifeBalance]]=3,"Better","Best")))</f>
        <v>Better</v>
      </c>
    </row>
    <row r="871" spans="1:42"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IF(HR_Data[[#This Row],[Attrition]]="Yes",1,0)</f>
        <v>0</v>
      </c>
      <c r="AK871">
        <f>IF(HR_Data[[#This Row],[Attrition]]="No",1,0)</f>
        <v>1</v>
      </c>
      <c r="AL871" t="str">
        <f>IF(HR_Data[[#This Row],[Age]]&lt;25,"Under 25",IF(HR_Data[[#This Row],[Age]]&lt;=34,"25-34",IF(HR_Data[[#This Row],[Age]]&lt;=44,"35-44",IF(HR_Data[[#This Row],[Age]]&lt;=54,"45-54","55+"))))</f>
        <v>45-54</v>
      </c>
      <c r="AM871" t="str">
        <f>IF(HR_Data[[#This Row],[MonthlyIncome]]&lt;3000,"Low Salary",IF(HR_Data[[#This Row],[MonthlyIncome]]&lt;=7000,"Medium Salary","High Salary"))</f>
        <v>High Salary</v>
      </c>
      <c r="AN871" t="str">
        <f>IF(HR_Data[[#This Row],[YearsAtCompany]]&lt;2,"0-1 Years",IF(HR_Data[[#This Row],[YearsAtCompany]]&lt;=5,"2-5 Years",IF(HR_Data[[#This Row],[YearsAtCompany]]&lt;=10,"6-10 Years","10+ Years")))</f>
        <v>2-5 Years</v>
      </c>
      <c r="AO871" t="str">
        <f>IF(HR_Data[[#This Row],[JobSatisfaction]]=1,"Low",IF(HR_Data[[#This Row],[JobSatisfaction]]=2,"Medium",IF(HR_Data[[#This Row],[JobSatisfaction]]=3,"High","Very High")))</f>
        <v>Medium</v>
      </c>
      <c r="AP871" t="str">
        <f>IF(HR_Data[[#This Row],[WorkLifeBalance]]=1,"Bad",IF(HR_Data[[#This Row],[WorkLifeBalance]]=2,"Good",IF(HR_Data[[#This Row],[WorkLifeBalance]]=3,"Better","Best")))</f>
        <v>Better</v>
      </c>
    </row>
    <row r="872" spans="1:42"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IF(HR_Data[[#This Row],[Attrition]]="Yes",1,0)</f>
        <v>0</v>
      </c>
      <c r="AK872">
        <f>IF(HR_Data[[#This Row],[Attrition]]="No",1,0)</f>
        <v>1</v>
      </c>
      <c r="AL872" t="str">
        <f>IF(HR_Data[[#This Row],[Age]]&lt;25,"Under 25",IF(HR_Data[[#This Row],[Age]]&lt;=34,"25-34",IF(HR_Data[[#This Row],[Age]]&lt;=44,"35-44",IF(HR_Data[[#This Row],[Age]]&lt;=54,"45-54","55+"))))</f>
        <v>35-44</v>
      </c>
      <c r="AM872" t="str">
        <f>IF(HR_Data[[#This Row],[MonthlyIncome]]&lt;3000,"Low Salary",IF(HR_Data[[#This Row],[MonthlyIncome]]&lt;=7000,"Medium Salary","High Salary"))</f>
        <v>High Salary</v>
      </c>
      <c r="AN872" t="str">
        <f>IF(HR_Data[[#This Row],[YearsAtCompany]]&lt;2,"0-1 Years",IF(HR_Data[[#This Row],[YearsAtCompany]]&lt;=5,"2-5 Years",IF(HR_Data[[#This Row],[YearsAtCompany]]&lt;=10,"6-10 Years","10+ Years")))</f>
        <v>6-10 Years</v>
      </c>
      <c r="AO872" t="str">
        <f>IF(HR_Data[[#This Row],[JobSatisfaction]]=1,"Low",IF(HR_Data[[#This Row],[JobSatisfaction]]=2,"Medium",IF(HR_Data[[#This Row],[JobSatisfaction]]=3,"High","Very High")))</f>
        <v>Low</v>
      </c>
      <c r="AP872" t="str">
        <f>IF(HR_Data[[#This Row],[WorkLifeBalance]]=1,"Bad",IF(HR_Data[[#This Row],[WorkLifeBalance]]=2,"Good",IF(HR_Data[[#This Row],[WorkLifeBalance]]=3,"Better","Best")))</f>
        <v>Better</v>
      </c>
    </row>
    <row r="873" spans="1:42"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IF(HR_Data[[#This Row],[Attrition]]="Yes",1,0)</f>
        <v>1</v>
      </c>
      <c r="AK873">
        <f>IF(HR_Data[[#This Row],[Attrition]]="No",1,0)</f>
        <v>0</v>
      </c>
      <c r="AL873" t="str">
        <f>IF(HR_Data[[#This Row],[Age]]&lt;25,"Under 25",IF(HR_Data[[#This Row],[Age]]&lt;=34,"25-34",IF(HR_Data[[#This Row],[Age]]&lt;=44,"35-44",IF(HR_Data[[#This Row],[Age]]&lt;=54,"45-54","55+"))))</f>
        <v>Under 25</v>
      </c>
      <c r="AM873" t="str">
        <f>IF(HR_Data[[#This Row],[MonthlyIncome]]&lt;3000,"Low Salary",IF(HR_Data[[#This Row],[MonthlyIncome]]&lt;=7000,"Medium Salary","High Salary"))</f>
        <v>Low Salary</v>
      </c>
      <c r="AN873" t="str">
        <f>IF(HR_Data[[#This Row],[YearsAtCompany]]&lt;2,"0-1 Years",IF(HR_Data[[#This Row],[YearsAtCompany]]&lt;=5,"2-5 Years",IF(HR_Data[[#This Row],[YearsAtCompany]]&lt;=10,"6-10 Years","10+ Years")))</f>
        <v>0-1 Years</v>
      </c>
      <c r="AO873" t="str">
        <f>IF(HR_Data[[#This Row],[JobSatisfaction]]=1,"Low",IF(HR_Data[[#This Row],[JobSatisfaction]]=2,"Medium",IF(HR_Data[[#This Row],[JobSatisfaction]]=3,"High","Very High")))</f>
        <v>Medium</v>
      </c>
      <c r="AP873" t="str">
        <f>IF(HR_Data[[#This Row],[WorkLifeBalance]]=1,"Bad",IF(HR_Data[[#This Row],[WorkLifeBalance]]=2,"Good",IF(HR_Data[[#This Row],[WorkLifeBalance]]=3,"Better","Best")))</f>
        <v>Bad</v>
      </c>
    </row>
    <row r="874" spans="1:42"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IF(HR_Data[[#This Row],[Attrition]]="Yes",1,0)</f>
        <v>0</v>
      </c>
      <c r="AK874">
        <f>IF(HR_Data[[#This Row],[Attrition]]="No",1,0)</f>
        <v>1</v>
      </c>
      <c r="AL874" t="str">
        <f>IF(HR_Data[[#This Row],[Age]]&lt;25,"Under 25",IF(HR_Data[[#This Row],[Age]]&lt;=34,"25-34",IF(HR_Data[[#This Row],[Age]]&lt;=44,"35-44",IF(HR_Data[[#This Row],[Age]]&lt;=54,"45-54","55+"))))</f>
        <v>25-34</v>
      </c>
      <c r="AM874" t="str">
        <f>IF(HR_Data[[#This Row],[MonthlyIncome]]&lt;3000,"Low Salary",IF(HR_Data[[#This Row],[MonthlyIncome]]&lt;=7000,"Medium Salary","High Salary"))</f>
        <v>Medium Salary</v>
      </c>
      <c r="AN874" t="str">
        <f>IF(HR_Data[[#This Row],[YearsAtCompany]]&lt;2,"0-1 Years",IF(HR_Data[[#This Row],[YearsAtCompany]]&lt;=5,"2-5 Years",IF(HR_Data[[#This Row],[YearsAtCompany]]&lt;=10,"6-10 Years","10+ Years")))</f>
        <v>6-10 Years</v>
      </c>
      <c r="AO874" t="str">
        <f>IF(HR_Data[[#This Row],[JobSatisfaction]]=1,"Low",IF(HR_Data[[#This Row],[JobSatisfaction]]=2,"Medium",IF(HR_Data[[#This Row],[JobSatisfaction]]=3,"High","Very High")))</f>
        <v>High</v>
      </c>
      <c r="AP874" t="str">
        <f>IF(HR_Data[[#This Row],[WorkLifeBalance]]=1,"Bad",IF(HR_Data[[#This Row],[WorkLifeBalance]]=2,"Good",IF(HR_Data[[#This Row],[WorkLifeBalance]]=3,"Better","Best")))</f>
        <v>Good</v>
      </c>
    </row>
    <row r="875" spans="1:42"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IF(HR_Data[[#This Row],[Attrition]]="Yes",1,0)</f>
        <v>0</v>
      </c>
      <c r="AK875">
        <f>IF(HR_Data[[#This Row],[Attrition]]="No",1,0)</f>
        <v>1</v>
      </c>
      <c r="AL875" t="str">
        <f>IF(HR_Data[[#This Row],[Age]]&lt;25,"Under 25",IF(HR_Data[[#This Row],[Age]]&lt;=34,"25-34",IF(HR_Data[[#This Row],[Age]]&lt;=44,"35-44",IF(HR_Data[[#This Row],[Age]]&lt;=54,"45-54","55+"))))</f>
        <v>35-44</v>
      </c>
      <c r="AM875" t="str">
        <f>IF(HR_Data[[#This Row],[MonthlyIncome]]&lt;3000,"Low Salary",IF(HR_Data[[#This Row],[MonthlyIncome]]&lt;=7000,"Medium Salary","High Salary"))</f>
        <v>Low Salary</v>
      </c>
      <c r="AN875" t="str">
        <f>IF(HR_Data[[#This Row],[YearsAtCompany]]&lt;2,"0-1 Years",IF(HR_Data[[#This Row],[YearsAtCompany]]&lt;=5,"2-5 Years",IF(HR_Data[[#This Row],[YearsAtCompany]]&lt;=10,"6-10 Years","10+ Years")))</f>
        <v>6-10 Years</v>
      </c>
      <c r="AO875" t="str">
        <f>IF(HR_Data[[#This Row],[JobSatisfaction]]=1,"Low",IF(HR_Data[[#This Row],[JobSatisfaction]]=2,"Medium",IF(HR_Data[[#This Row],[JobSatisfaction]]=3,"High","Very High")))</f>
        <v>High</v>
      </c>
      <c r="AP875" t="str">
        <f>IF(HR_Data[[#This Row],[WorkLifeBalance]]=1,"Bad",IF(HR_Data[[#This Row],[WorkLifeBalance]]=2,"Good",IF(HR_Data[[#This Row],[WorkLifeBalance]]=3,"Better","Best")))</f>
        <v>Better</v>
      </c>
    </row>
    <row r="876" spans="1:42"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IF(HR_Data[[#This Row],[Attrition]]="Yes",1,0)</f>
        <v>0</v>
      </c>
      <c r="AK876">
        <f>IF(HR_Data[[#This Row],[Attrition]]="No",1,0)</f>
        <v>1</v>
      </c>
      <c r="AL876" t="str">
        <f>IF(HR_Data[[#This Row],[Age]]&lt;25,"Under 25",IF(HR_Data[[#This Row],[Age]]&lt;=34,"25-34",IF(HR_Data[[#This Row],[Age]]&lt;=44,"35-44",IF(HR_Data[[#This Row],[Age]]&lt;=54,"45-54","55+"))))</f>
        <v>25-34</v>
      </c>
      <c r="AM876" t="str">
        <f>IF(HR_Data[[#This Row],[MonthlyIncome]]&lt;3000,"Low Salary",IF(HR_Data[[#This Row],[MonthlyIncome]]&lt;=7000,"Medium Salary","High Salary"))</f>
        <v>Medium Salary</v>
      </c>
      <c r="AN876" t="str">
        <f>IF(HR_Data[[#This Row],[YearsAtCompany]]&lt;2,"0-1 Years",IF(HR_Data[[#This Row],[YearsAtCompany]]&lt;=5,"2-5 Years",IF(HR_Data[[#This Row],[YearsAtCompany]]&lt;=10,"6-10 Years","10+ Years")))</f>
        <v>6-10 Years</v>
      </c>
      <c r="AO876" t="str">
        <f>IF(HR_Data[[#This Row],[JobSatisfaction]]=1,"Low",IF(HR_Data[[#This Row],[JobSatisfaction]]=2,"Medium",IF(HR_Data[[#This Row],[JobSatisfaction]]=3,"High","Very High")))</f>
        <v>High</v>
      </c>
      <c r="AP876" t="str">
        <f>IF(HR_Data[[#This Row],[WorkLifeBalance]]=1,"Bad",IF(HR_Data[[#This Row],[WorkLifeBalance]]=2,"Good",IF(HR_Data[[#This Row],[WorkLifeBalance]]=3,"Better","Best")))</f>
        <v>Good</v>
      </c>
    </row>
    <row r="877" spans="1:42"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IF(HR_Data[[#This Row],[Attrition]]="Yes",1,0)</f>
        <v>0</v>
      </c>
      <c r="AK877">
        <f>IF(HR_Data[[#This Row],[Attrition]]="No",1,0)</f>
        <v>1</v>
      </c>
      <c r="AL877" t="str">
        <f>IF(HR_Data[[#This Row],[Age]]&lt;25,"Under 25",IF(HR_Data[[#This Row],[Age]]&lt;=34,"25-34",IF(HR_Data[[#This Row],[Age]]&lt;=44,"35-44",IF(HR_Data[[#This Row],[Age]]&lt;=54,"45-54","55+"))))</f>
        <v>35-44</v>
      </c>
      <c r="AM877" t="str">
        <f>IF(HR_Data[[#This Row],[MonthlyIncome]]&lt;3000,"Low Salary",IF(HR_Data[[#This Row],[MonthlyIncome]]&lt;=7000,"Medium Salary","High Salary"))</f>
        <v>Medium Salary</v>
      </c>
      <c r="AN877" t="str">
        <f>IF(HR_Data[[#This Row],[YearsAtCompany]]&lt;2,"0-1 Years",IF(HR_Data[[#This Row],[YearsAtCompany]]&lt;=5,"2-5 Years",IF(HR_Data[[#This Row],[YearsAtCompany]]&lt;=10,"6-10 Years","10+ Years")))</f>
        <v>10+ Years</v>
      </c>
      <c r="AO877" t="str">
        <f>IF(HR_Data[[#This Row],[JobSatisfaction]]=1,"Low",IF(HR_Data[[#This Row],[JobSatisfaction]]=2,"Medium",IF(HR_Data[[#This Row],[JobSatisfaction]]=3,"High","Very High")))</f>
        <v>Very High</v>
      </c>
      <c r="AP877" t="str">
        <f>IF(HR_Data[[#This Row],[WorkLifeBalance]]=1,"Bad",IF(HR_Data[[#This Row],[WorkLifeBalance]]=2,"Good",IF(HR_Data[[#This Row],[WorkLifeBalance]]=3,"Better","Best")))</f>
        <v>Better</v>
      </c>
    </row>
    <row r="878" spans="1:42"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IF(HR_Data[[#This Row],[Attrition]]="Yes",1,0)</f>
        <v>0</v>
      </c>
      <c r="AK878">
        <f>IF(HR_Data[[#This Row],[Attrition]]="No",1,0)</f>
        <v>1</v>
      </c>
      <c r="AL878" t="str">
        <f>IF(HR_Data[[#This Row],[Age]]&lt;25,"Under 25",IF(HR_Data[[#This Row],[Age]]&lt;=34,"25-34",IF(HR_Data[[#This Row],[Age]]&lt;=44,"35-44",IF(HR_Data[[#This Row],[Age]]&lt;=54,"45-54","55+"))))</f>
        <v>Under 25</v>
      </c>
      <c r="AM878" t="str">
        <f>IF(HR_Data[[#This Row],[MonthlyIncome]]&lt;3000,"Low Salary",IF(HR_Data[[#This Row],[MonthlyIncome]]&lt;=7000,"Medium Salary","High Salary"))</f>
        <v>Low Salary</v>
      </c>
      <c r="AN878" t="str">
        <f>IF(HR_Data[[#This Row],[YearsAtCompany]]&lt;2,"0-1 Years",IF(HR_Data[[#This Row],[YearsAtCompany]]&lt;=5,"2-5 Years",IF(HR_Data[[#This Row],[YearsAtCompany]]&lt;=10,"6-10 Years","10+ Years")))</f>
        <v>2-5 Years</v>
      </c>
      <c r="AO878" t="str">
        <f>IF(HR_Data[[#This Row],[JobSatisfaction]]=1,"Low",IF(HR_Data[[#This Row],[JobSatisfaction]]=2,"Medium",IF(HR_Data[[#This Row],[JobSatisfaction]]=3,"High","Very High")))</f>
        <v>Very High</v>
      </c>
      <c r="AP878" t="str">
        <f>IF(HR_Data[[#This Row],[WorkLifeBalance]]=1,"Bad",IF(HR_Data[[#This Row],[WorkLifeBalance]]=2,"Good",IF(HR_Data[[#This Row],[WorkLifeBalance]]=3,"Better","Best")))</f>
        <v>Better</v>
      </c>
    </row>
    <row r="879" spans="1:42"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IF(HR_Data[[#This Row],[Attrition]]="Yes",1,0)</f>
        <v>0</v>
      </c>
      <c r="AK879">
        <f>IF(HR_Data[[#This Row],[Attrition]]="No",1,0)</f>
        <v>1</v>
      </c>
      <c r="AL879" t="str">
        <f>IF(HR_Data[[#This Row],[Age]]&lt;25,"Under 25",IF(HR_Data[[#This Row],[Age]]&lt;=34,"25-34",IF(HR_Data[[#This Row],[Age]]&lt;=44,"35-44",IF(HR_Data[[#This Row],[Age]]&lt;=54,"45-54","55+"))))</f>
        <v>45-54</v>
      </c>
      <c r="AM879" t="str">
        <f>IF(HR_Data[[#This Row],[MonthlyIncome]]&lt;3000,"Low Salary",IF(HR_Data[[#This Row],[MonthlyIncome]]&lt;=7000,"Medium Salary","High Salary"))</f>
        <v>High Salary</v>
      </c>
      <c r="AN879" t="str">
        <f>IF(HR_Data[[#This Row],[YearsAtCompany]]&lt;2,"0-1 Years",IF(HR_Data[[#This Row],[YearsAtCompany]]&lt;=5,"2-5 Years",IF(HR_Data[[#This Row],[YearsAtCompany]]&lt;=10,"6-10 Years","10+ Years")))</f>
        <v>6-10 Years</v>
      </c>
      <c r="AO879" t="str">
        <f>IF(HR_Data[[#This Row],[JobSatisfaction]]=1,"Low",IF(HR_Data[[#This Row],[JobSatisfaction]]=2,"Medium",IF(HR_Data[[#This Row],[JobSatisfaction]]=3,"High","Very High")))</f>
        <v>Very High</v>
      </c>
      <c r="AP879" t="str">
        <f>IF(HR_Data[[#This Row],[WorkLifeBalance]]=1,"Bad",IF(HR_Data[[#This Row],[WorkLifeBalance]]=2,"Good",IF(HR_Data[[#This Row],[WorkLifeBalance]]=3,"Better","Best")))</f>
        <v>Good</v>
      </c>
    </row>
    <row r="880" spans="1:42"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IF(HR_Data[[#This Row],[Attrition]]="Yes",1,0)</f>
        <v>0</v>
      </c>
      <c r="AK880">
        <f>IF(HR_Data[[#This Row],[Attrition]]="No",1,0)</f>
        <v>1</v>
      </c>
      <c r="AL880" t="str">
        <f>IF(HR_Data[[#This Row],[Age]]&lt;25,"Under 25",IF(HR_Data[[#This Row],[Age]]&lt;=34,"25-34",IF(HR_Data[[#This Row],[Age]]&lt;=44,"35-44",IF(HR_Data[[#This Row],[Age]]&lt;=54,"45-54","55+"))))</f>
        <v>35-44</v>
      </c>
      <c r="AM880" t="str">
        <f>IF(HR_Data[[#This Row],[MonthlyIncome]]&lt;3000,"Low Salary",IF(HR_Data[[#This Row],[MonthlyIncome]]&lt;=7000,"Medium Salary","High Salary"))</f>
        <v>Medium Salary</v>
      </c>
      <c r="AN880" t="str">
        <f>IF(HR_Data[[#This Row],[YearsAtCompany]]&lt;2,"0-1 Years",IF(HR_Data[[#This Row],[YearsAtCompany]]&lt;=5,"2-5 Years",IF(HR_Data[[#This Row],[YearsAtCompany]]&lt;=10,"6-10 Years","10+ Years")))</f>
        <v>2-5 Years</v>
      </c>
      <c r="AO880" t="str">
        <f>IF(HR_Data[[#This Row],[JobSatisfaction]]=1,"Low",IF(HR_Data[[#This Row],[JobSatisfaction]]=2,"Medium",IF(HR_Data[[#This Row],[JobSatisfaction]]=3,"High","Very High")))</f>
        <v>Low</v>
      </c>
      <c r="AP880" t="str">
        <f>IF(HR_Data[[#This Row],[WorkLifeBalance]]=1,"Bad",IF(HR_Data[[#This Row],[WorkLifeBalance]]=2,"Good",IF(HR_Data[[#This Row],[WorkLifeBalance]]=3,"Better","Best")))</f>
        <v>Best</v>
      </c>
    </row>
    <row r="881" spans="1:42"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IF(HR_Data[[#This Row],[Attrition]]="Yes",1,0)</f>
        <v>0</v>
      </c>
      <c r="AK881">
        <f>IF(HR_Data[[#This Row],[Attrition]]="No",1,0)</f>
        <v>1</v>
      </c>
      <c r="AL881" t="str">
        <f>IF(HR_Data[[#This Row],[Age]]&lt;25,"Under 25",IF(HR_Data[[#This Row],[Age]]&lt;=34,"25-34",IF(HR_Data[[#This Row],[Age]]&lt;=44,"35-44",IF(HR_Data[[#This Row],[Age]]&lt;=54,"45-54","55+"))))</f>
        <v>55+</v>
      </c>
      <c r="AM881" t="str">
        <f>IF(HR_Data[[#This Row],[MonthlyIncome]]&lt;3000,"Low Salary",IF(HR_Data[[#This Row],[MonthlyIncome]]&lt;=7000,"Medium Salary","High Salary"))</f>
        <v>Medium Salary</v>
      </c>
      <c r="AN881" t="str">
        <f>IF(HR_Data[[#This Row],[YearsAtCompany]]&lt;2,"0-1 Years",IF(HR_Data[[#This Row],[YearsAtCompany]]&lt;=5,"2-5 Years",IF(HR_Data[[#This Row],[YearsAtCompany]]&lt;=10,"6-10 Years","10+ Years")))</f>
        <v>10+ Years</v>
      </c>
      <c r="AO881" t="str">
        <f>IF(HR_Data[[#This Row],[JobSatisfaction]]=1,"Low",IF(HR_Data[[#This Row],[JobSatisfaction]]=2,"Medium",IF(HR_Data[[#This Row],[JobSatisfaction]]=3,"High","Very High")))</f>
        <v>Very High</v>
      </c>
      <c r="AP881" t="str">
        <f>IF(HR_Data[[#This Row],[WorkLifeBalance]]=1,"Bad",IF(HR_Data[[#This Row],[WorkLifeBalance]]=2,"Good",IF(HR_Data[[#This Row],[WorkLifeBalance]]=3,"Better","Best")))</f>
        <v>Better</v>
      </c>
    </row>
    <row r="882" spans="1:42"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IF(HR_Data[[#This Row],[Attrition]]="Yes",1,0)</f>
        <v>0</v>
      </c>
      <c r="AK882">
        <f>IF(HR_Data[[#This Row],[Attrition]]="No",1,0)</f>
        <v>1</v>
      </c>
      <c r="AL882" t="str">
        <f>IF(HR_Data[[#This Row],[Age]]&lt;25,"Under 25",IF(HR_Data[[#This Row],[Age]]&lt;=34,"25-34",IF(HR_Data[[#This Row],[Age]]&lt;=44,"35-44",IF(HR_Data[[#This Row],[Age]]&lt;=54,"45-54","55+"))))</f>
        <v>25-34</v>
      </c>
      <c r="AM882" t="str">
        <f>IF(HR_Data[[#This Row],[MonthlyIncome]]&lt;3000,"Low Salary",IF(HR_Data[[#This Row],[MonthlyIncome]]&lt;=7000,"Medium Salary","High Salary"))</f>
        <v>Low Salary</v>
      </c>
      <c r="AN882" t="str">
        <f>IF(HR_Data[[#This Row],[YearsAtCompany]]&lt;2,"0-1 Years",IF(HR_Data[[#This Row],[YearsAtCompany]]&lt;=5,"2-5 Years",IF(HR_Data[[#This Row],[YearsAtCompany]]&lt;=10,"6-10 Years","10+ Years")))</f>
        <v>2-5 Years</v>
      </c>
      <c r="AO882" t="str">
        <f>IF(HR_Data[[#This Row],[JobSatisfaction]]=1,"Low",IF(HR_Data[[#This Row],[JobSatisfaction]]=2,"Medium",IF(HR_Data[[#This Row],[JobSatisfaction]]=3,"High","Very High")))</f>
        <v>Medium</v>
      </c>
      <c r="AP882" t="str">
        <f>IF(HR_Data[[#This Row],[WorkLifeBalance]]=1,"Bad",IF(HR_Data[[#This Row],[WorkLifeBalance]]=2,"Good",IF(HR_Data[[#This Row],[WorkLifeBalance]]=3,"Better","Best")))</f>
        <v>Better</v>
      </c>
    </row>
    <row r="883" spans="1:42"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IF(HR_Data[[#This Row],[Attrition]]="Yes",1,0)</f>
        <v>0</v>
      </c>
      <c r="AK883">
        <f>IF(HR_Data[[#This Row],[Attrition]]="No",1,0)</f>
        <v>1</v>
      </c>
      <c r="AL883" t="str">
        <f>IF(HR_Data[[#This Row],[Age]]&lt;25,"Under 25",IF(HR_Data[[#This Row],[Age]]&lt;=34,"25-34",IF(HR_Data[[#This Row],[Age]]&lt;=44,"35-44",IF(HR_Data[[#This Row],[Age]]&lt;=54,"45-54","55+"))))</f>
        <v>25-34</v>
      </c>
      <c r="AM883" t="str">
        <f>IF(HR_Data[[#This Row],[MonthlyIncome]]&lt;3000,"Low Salary",IF(HR_Data[[#This Row],[MonthlyIncome]]&lt;=7000,"Medium Salary","High Salary"))</f>
        <v>Medium Salary</v>
      </c>
      <c r="AN883" t="str">
        <f>IF(HR_Data[[#This Row],[YearsAtCompany]]&lt;2,"0-1 Years",IF(HR_Data[[#This Row],[YearsAtCompany]]&lt;=5,"2-5 Years",IF(HR_Data[[#This Row],[YearsAtCompany]]&lt;=10,"6-10 Years","10+ Years")))</f>
        <v>6-10 Years</v>
      </c>
      <c r="AO883" t="str">
        <f>IF(HR_Data[[#This Row],[JobSatisfaction]]=1,"Low",IF(HR_Data[[#This Row],[JobSatisfaction]]=2,"Medium",IF(HR_Data[[#This Row],[JobSatisfaction]]=3,"High","Very High")))</f>
        <v>High</v>
      </c>
      <c r="AP883" t="str">
        <f>IF(HR_Data[[#This Row],[WorkLifeBalance]]=1,"Bad",IF(HR_Data[[#This Row],[WorkLifeBalance]]=2,"Good",IF(HR_Data[[#This Row],[WorkLifeBalance]]=3,"Better","Best")))</f>
        <v>Better</v>
      </c>
    </row>
    <row r="884" spans="1:42"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IF(HR_Data[[#This Row],[Attrition]]="Yes",1,0)</f>
        <v>0</v>
      </c>
      <c r="AK884">
        <f>IF(HR_Data[[#This Row],[Attrition]]="No",1,0)</f>
        <v>1</v>
      </c>
      <c r="AL884" t="str">
        <f>IF(HR_Data[[#This Row],[Age]]&lt;25,"Under 25",IF(HR_Data[[#This Row],[Age]]&lt;=34,"25-34",IF(HR_Data[[#This Row],[Age]]&lt;=44,"35-44",IF(HR_Data[[#This Row],[Age]]&lt;=54,"45-54","55+"))))</f>
        <v>35-44</v>
      </c>
      <c r="AM884" t="str">
        <f>IF(HR_Data[[#This Row],[MonthlyIncome]]&lt;3000,"Low Salary",IF(HR_Data[[#This Row],[MonthlyIncome]]&lt;=7000,"Medium Salary","High Salary"))</f>
        <v>High Salary</v>
      </c>
      <c r="AN884" t="str">
        <f>IF(HR_Data[[#This Row],[YearsAtCompany]]&lt;2,"0-1 Years",IF(HR_Data[[#This Row],[YearsAtCompany]]&lt;=5,"2-5 Years",IF(HR_Data[[#This Row],[YearsAtCompany]]&lt;=10,"6-10 Years","10+ Years")))</f>
        <v>6-10 Years</v>
      </c>
      <c r="AO884" t="str">
        <f>IF(HR_Data[[#This Row],[JobSatisfaction]]=1,"Low",IF(HR_Data[[#This Row],[JobSatisfaction]]=2,"Medium",IF(HR_Data[[#This Row],[JobSatisfaction]]=3,"High","Very High")))</f>
        <v>Low</v>
      </c>
      <c r="AP884" t="str">
        <f>IF(HR_Data[[#This Row],[WorkLifeBalance]]=1,"Bad",IF(HR_Data[[#This Row],[WorkLifeBalance]]=2,"Good",IF(HR_Data[[#This Row],[WorkLifeBalance]]=3,"Better","Best")))</f>
        <v>Better</v>
      </c>
    </row>
    <row r="885" spans="1:42"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IF(HR_Data[[#This Row],[Attrition]]="Yes",1,0)</f>
        <v>0</v>
      </c>
      <c r="AK885">
        <f>IF(HR_Data[[#This Row],[Attrition]]="No",1,0)</f>
        <v>1</v>
      </c>
      <c r="AL885" t="str">
        <f>IF(HR_Data[[#This Row],[Age]]&lt;25,"Under 25",IF(HR_Data[[#This Row],[Age]]&lt;=34,"25-34",IF(HR_Data[[#This Row],[Age]]&lt;=44,"35-44",IF(HR_Data[[#This Row],[Age]]&lt;=54,"45-54","55+"))))</f>
        <v>25-34</v>
      </c>
      <c r="AM885" t="str">
        <f>IF(HR_Data[[#This Row],[MonthlyIncome]]&lt;3000,"Low Salary",IF(HR_Data[[#This Row],[MonthlyIncome]]&lt;=7000,"Medium Salary","High Salary"))</f>
        <v>Low Salary</v>
      </c>
      <c r="AN885" t="str">
        <f>IF(HR_Data[[#This Row],[YearsAtCompany]]&lt;2,"0-1 Years",IF(HR_Data[[#This Row],[YearsAtCompany]]&lt;=5,"2-5 Years",IF(HR_Data[[#This Row],[YearsAtCompany]]&lt;=10,"6-10 Years","10+ Years")))</f>
        <v>10+ Years</v>
      </c>
      <c r="AO885" t="str">
        <f>IF(HR_Data[[#This Row],[JobSatisfaction]]=1,"Low",IF(HR_Data[[#This Row],[JobSatisfaction]]=2,"Medium",IF(HR_Data[[#This Row],[JobSatisfaction]]=3,"High","Very High")))</f>
        <v>Very High</v>
      </c>
      <c r="AP885" t="str">
        <f>IF(HR_Data[[#This Row],[WorkLifeBalance]]=1,"Bad",IF(HR_Data[[#This Row],[WorkLifeBalance]]=2,"Good",IF(HR_Data[[#This Row],[WorkLifeBalance]]=3,"Better","Best")))</f>
        <v>Better</v>
      </c>
    </row>
    <row r="886" spans="1:42"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IF(HR_Data[[#This Row],[Attrition]]="Yes",1,0)</f>
        <v>0</v>
      </c>
      <c r="AK886">
        <f>IF(HR_Data[[#This Row],[Attrition]]="No",1,0)</f>
        <v>1</v>
      </c>
      <c r="AL886" t="str">
        <f>IF(HR_Data[[#This Row],[Age]]&lt;25,"Under 25",IF(HR_Data[[#This Row],[Age]]&lt;=34,"25-34",IF(HR_Data[[#This Row],[Age]]&lt;=44,"35-44",IF(HR_Data[[#This Row],[Age]]&lt;=54,"45-54","55+"))))</f>
        <v>35-44</v>
      </c>
      <c r="AM886" t="str">
        <f>IF(HR_Data[[#This Row],[MonthlyIncome]]&lt;3000,"Low Salary",IF(HR_Data[[#This Row],[MonthlyIncome]]&lt;=7000,"Medium Salary","High Salary"))</f>
        <v>Medium Salary</v>
      </c>
      <c r="AN886" t="str">
        <f>IF(HR_Data[[#This Row],[YearsAtCompany]]&lt;2,"0-1 Years",IF(HR_Data[[#This Row],[YearsAtCompany]]&lt;=5,"2-5 Years",IF(HR_Data[[#This Row],[YearsAtCompany]]&lt;=10,"6-10 Years","10+ Years")))</f>
        <v>2-5 Years</v>
      </c>
      <c r="AO886" t="str">
        <f>IF(HR_Data[[#This Row],[JobSatisfaction]]=1,"Low",IF(HR_Data[[#This Row],[JobSatisfaction]]=2,"Medium",IF(HR_Data[[#This Row],[JobSatisfaction]]=3,"High","Very High")))</f>
        <v>Medium</v>
      </c>
      <c r="AP886" t="str">
        <f>IF(HR_Data[[#This Row],[WorkLifeBalance]]=1,"Bad",IF(HR_Data[[#This Row],[WorkLifeBalance]]=2,"Good",IF(HR_Data[[#This Row],[WorkLifeBalance]]=3,"Better","Best")))</f>
        <v>Best</v>
      </c>
    </row>
    <row r="887" spans="1:42"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IF(HR_Data[[#This Row],[Attrition]]="Yes",1,0)</f>
        <v>0</v>
      </c>
      <c r="AK887">
        <f>IF(HR_Data[[#This Row],[Attrition]]="No",1,0)</f>
        <v>1</v>
      </c>
      <c r="AL887" t="str">
        <f>IF(HR_Data[[#This Row],[Age]]&lt;25,"Under 25",IF(HR_Data[[#This Row],[Age]]&lt;=34,"25-34",IF(HR_Data[[#This Row],[Age]]&lt;=44,"35-44",IF(HR_Data[[#This Row],[Age]]&lt;=54,"45-54","55+"))))</f>
        <v>25-34</v>
      </c>
      <c r="AM887" t="str">
        <f>IF(HR_Data[[#This Row],[MonthlyIncome]]&lt;3000,"Low Salary",IF(HR_Data[[#This Row],[MonthlyIncome]]&lt;=7000,"Medium Salary","High Salary"))</f>
        <v>Medium Salary</v>
      </c>
      <c r="AN887" t="str">
        <f>IF(HR_Data[[#This Row],[YearsAtCompany]]&lt;2,"0-1 Years",IF(HR_Data[[#This Row],[YearsAtCompany]]&lt;=5,"2-5 Years",IF(HR_Data[[#This Row],[YearsAtCompany]]&lt;=10,"6-10 Years","10+ Years")))</f>
        <v>2-5 Years</v>
      </c>
      <c r="AO887" t="str">
        <f>IF(HR_Data[[#This Row],[JobSatisfaction]]=1,"Low",IF(HR_Data[[#This Row],[JobSatisfaction]]=2,"Medium",IF(HR_Data[[#This Row],[JobSatisfaction]]=3,"High","Very High")))</f>
        <v>Very High</v>
      </c>
      <c r="AP887" t="str">
        <f>IF(HR_Data[[#This Row],[WorkLifeBalance]]=1,"Bad",IF(HR_Data[[#This Row],[WorkLifeBalance]]=2,"Good",IF(HR_Data[[#This Row],[WorkLifeBalance]]=3,"Better","Best")))</f>
        <v>Better</v>
      </c>
    </row>
    <row r="888" spans="1:42"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IF(HR_Data[[#This Row],[Attrition]]="Yes",1,0)</f>
        <v>0</v>
      </c>
      <c r="AK888">
        <f>IF(HR_Data[[#This Row],[Attrition]]="No",1,0)</f>
        <v>1</v>
      </c>
      <c r="AL888" t="str">
        <f>IF(HR_Data[[#This Row],[Age]]&lt;25,"Under 25",IF(HR_Data[[#This Row],[Age]]&lt;=34,"25-34",IF(HR_Data[[#This Row],[Age]]&lt;=44,"35-44",IF(HR_Data[[#This Row],[Age]]&lt;=54,"45-54","55+"))))</f>
        <v>25-34</v>
      </c>
      <c r="AM888" t="str">
        <f>IF(HR_Data[[#This Row],[MonthlyIncome]]&lt;3000,"Low Salary",IF(HR_Data[[#This Row],[MonthlyIncome]]&lt;=7000,"Medium Salary","High Salary"))</f>
        <v>Medium Salary</v>
      </c>
      <c r="AN888" t="str">
        <f>IF(HR_Data[[#This Row],[YearsAtCompany]]&lt;2,"0-1 Years",IF(HR_Data[[#This Row],[YearsAtCompany]]&lt;=5,"2-5 Years",IF(HR_Data[[#This Row],[YearsAtCompany]]&lt;=10,"6-10 Years","10+ Years")))</f>
        <v>10+ Years</v>
      </c>
      <c r="AO888" t="str">
        <f>IF(HR_Data[[#This Row],[JobSatisfaction]]=1,"Low",IF(HR_Data[[#This Row],[JobSatisfaction]]=2,"Medium",IF(HR_Data[[#This Row],[JobSatisfaction]]=3,"High","Very High")))</f>
        <v>Medium</v>
      </c>
      <c r="AP888" t="str">
        <f>IF(HR_Data[[#This Row],[WorkLifeBalance]]=1,"Bad",IF(HR_Data[[#This Row],[WorkLifeBalance]]=2,"Good",IF(HR_Data[[#This Row],[WorkLifeBalance]]=3,"Better","Best")))</f>
        <v>Better</v>
      </c>
    </row>
    <row r="889" spans="1:42"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IF(HR_Data[[#This Row],[Attrition]]="Yes",1,0)</f>
        <v>0</v>
      </c>
      <c r="AK889">
        <f>IF(HR_Data[[#This Row],[Attrition]]="No",1,0)</f>
        <v>1</v>
      </c>
      <c r="AL889" t="str">
        <f>IF(HR_Data[[#This Row],[Age]]&lt;25,"Under 25",IF(HR_Data[[#This Row],[Age]]&lt;=34,"25-34",IF(HR_Data[[#This Row],[Age]]&lt;=44,"35-44",IF(HR_Data[[#This Row],[Age]]&lt;=54,"45-54","55+"))))</f>
        <v>35-44</v>
      </c>
      <c r="AM889" t="str">
        <f>IF(HR_Data[[#This Row],[MonthlyIncome]]&lt;3000,"Low Salary",IF(HR_Data[[#This Row],[MonthlyIncome]]&lt;=7000,"Medium Salary","High Salary"))</f>
        <v>High Salary</v>
      </c>
      <c r="AN889" t="str">
        <f>IF(HR_Data[[#This Row],[YearsAtCompany]]&lt;2,"0-1 Years",IF(HR_Data[[#This Row],[YearsAtCompany]]&lt;=5,"2-5 Years",IF(HR_Data[[#This Row],[YearsAtCompany]]&lt;=10,"6-10 Years","10+ Years")))</f>
        <v>0-1 Years</v>
      </c>
      <c r="AO889" t="str">
        <f>IF(HR_Data[[#This Row],[JobSatisfaction]]=1,"Low",IF(HR_Data[[#This Row],[JobSatisfaction]]=2,"Medium",IF(HR_Data[[#This Row],[JobSatisfaction]]=3,"High","Very High")))</f>
        <v>Low</v>
      </c>
      <c r="AP889" t="str">
        <f>IF(HR_Data[[#This Row],[WorkLifeBalance]]=1,"Bad",IF(HR_Data[[#This Row],[WorkLifeBalance]]=2,"Good",IF(HR_Data[[#This Row],[WorkLifeBalance]]=3,"Better","Best")))</f>
        <v>Better</v>
      </c>
    </row>
    <row r="890" spans="1:42"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IF(HR_Data[[#This Row],[Attrition]]="Yes",1,0)</f>
        <v>0</v>
      </c>
      <c r="AK890">
        <f>IF(HR_Data[[#This Row],[Attrition]]="No",1,0)</f>
        <v>1</v>
      </c>
      <c r="AL890" t="str">
        <f>IF(HR_Data[[#This Row],[Age]]&lt;25,"Under 25",IF(HR_Data[[#This Row],[Age]]&lt;=34,"25-34",IF(HR_Data[[#This Row],[Age]]&lt;=44,"35-44",IF(HR_Data[[#This Row],[Age]]&lt;=54,"45-54","55+"))))</f>
        <v>35-44</v>
      </c>
      <c r="AM890" t="str">
        <f>IF(HR_Data[[#This Row],[MonthlyIncome]]&lt;3000,"Low Salary",IF(HR_Data[[#This Row],[MonthlyIncome]]&lt;=7000,"Medium Salary","High Salary"))</f>
        <v>High Salary</v>
      </c>
      <c r="AN890" t="str">
        <f>IF(HR_Data[[#This Row],[YearsAtCompany]]&lt;2,"0-1 Years",IF(HR_Data[[#This Row],[YearsAtCompany]]&lt;=5,"2-5 Years",IF(HR_Data[[#This Row],[YearsAtCompany]]&lt;=10,"6-10 Years","10+ Years")))</f>
        <v>10+ Years</v>
      </c>
      <c r="AO890" t="str">
        <f>IF(HR_Data[[#This Row],[JobSatisfaction]]=1,"Low",IF(HR_Data[[#This Row],[JobSatisfaction]]=2,"Medium",IF(HR_Data[[#This Row],[JobSatisfaction]]=3,"High","Very High")))</f>
        <v>Very High</v>
      </c>
      <c r="AP890" t="str">
        <f>IF(HR_Data[[#This Row],[WorkLifeBalance]]=1,"Bad",IF(HR_Data[[#This Row],[WorkLifeBalance]]=2,"Good",IF(HR_Data[[#This Row],[WorkLifeBalance]]=3,"Better","Best")))</f>
        <v>Good</v>
      </c>
    </row>
    <row r="891" spans="1:42"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IF(HR_Data[[#This Row],[Attrition]]="Yes",1,0)</f>
        <v>0</v>
      </c>
      <c r="AK891">
        <f>IF(HR_Data[[#This Row],[Attrition]]="No",1,0)</f>
        <v>1</v>
      </c>
      <c r="AL891" t="str">
        <f>IF(HR_Data[[#This Row],[Age]]&lt;25,"Under 25",IF(HR_Data[[#This Row],[Age]]&lt;=34,"25-34",IF(HR_Data[[#This Row],[Age]]&lt;=44,"35-44",IF(HR_Data[[#This Row],[Age]]&lt;=54,"45-54","55+"))))</f>
        <v>25-34</v>
      </c>
      <c r="AM891" t="str">
        <f>IF(HR_Data[[#This Row],[MonthlyIncome]]&lt;3000,"Low Salary",IF(HR_Data[[#This Row],[MonthlyIncome]]&lt;=7000,"Medium Salary","High Salary"))</f>
        <v>Low Salary</v>
      </c>
      <c r="AN891" t="str">
        <f>IF(HR_Data[[#This Row],[YearsAtCompany]]&lt;2,"0-1 Years",IF(HR_Data[[#This Row],[YearsAtCompany]]&lt;=5,"2-5 Years",IF(HR_Data[[#This Row],[YearsAtCompany]]&lt;=10,"6-10 Years","10+ Years")))</f>
        <v>6-10 Years</v>
      </c>
      <c r="AO891" t="str">
        <f>IF(HR_Data[[#This Row],[JobSatisfaction]]=1,"Low",IF(HR_Data[[#This Row],[JobSatisfaction]]=2,"Medium",IF(HR_Data[[#This Row],[JobSatisfaction]]=3,"High","Very High")))</f>
        <v>Low</v>
      </c>
      <c r="AP891" t="str">
        <f>IF(HR_Data[[#This Row],[WorkLifeBalance]]=1,"Bad",IF(HR_Data[[#This Row],[WorkLifeBalance]]=2,"Good",IF(HR_Data[[#This Row],[WorkLifeBalance]]=3,"Better","Best")))</f>
        <v>Good</v>
      </c>
    </row>
    <row r="892" spans="1:42"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IF(HR_Data[[#This Row],[Attrition]]="Yes",1,0)</f>
        <v>0</v>
      </c>
      <c r="AK892">
        <f>IF(HR_Data[[#This Row],[Attrition]]="No",1,0)</f>
        <v>1</v>
      </c>
      <c r="AL892" t="str">
        <f>IF(HR_Data[[#This Row],[Age]]&lt;25,"Under 25",IF(HR_Data[[#This Row],[Age]]&lt;=34,"25-34",IF(HR_Data[[#This Row],[Age]]&lt;=44,"35-44",IF(HR_Data[[#This Row],[Age]]&lt;=54,"45-54","55+"))))</f>
        <v>45-54</v>
      </c>
      <c r="AM892" t="str">
        <f>IF(HR_Data[[#This Row],[MonthlyIncome]]&lt;3000,"Low Salary",IF(HR_Data[[#This Row],[MonthlyIncome]]&lt;=7000,"Medium Salary","High Salary"))</f>
        <v>High Salary</v>
      </c>
      <c r="AN892" t="str">
        <f>IF(HR_Data[[#This Row],[YearsAtCompany]]&lt;2,"0-1 Years",IF(HR_Data[[#This Row],[YearsAtCompany]]&lt;=5,"2-5 Years",IF(HR_Data[[#This Row],[YearsAtCompany]]&lt;=10,"6-10 Years","10+ Years")))</f>
        <v>2-5 Years</v>
      </c>
      <c r="AO892" t="str">
        <f>IF(HR_Data[[#This Row],[JobSatisfaction]]=1,"Low",IF(HR_Data[[#This Row],[JobSatisfaction]]=2,"Medium",IF(HR_Data[[#This Row],[JobSatisfaction]]=3,"High","Very High")))</f>
        <v>High</v>
      </c>
      <c r="AP892" t="str">
        <f>IF(HR_Data[[#This Row],[WorkLifeBalance]]=1,"Bad",IF(HR_Data[[#This Row],[WorkLifeBalance]]=2,"Good",IF(HR_Data[[#This Row],[WorkLifeBalance]]=3,"Better","Best")))</f>
        <v>Bad</v>
      </c>
    </row>
    <row r="893" spans="1:42"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IF(HR_Data[[#This Row],[Attrition]]="Yes",1,0)</f>
        <v>0</v>
      </c>
      <c r="AK893">
        <f>IF(HR_Data[[#This Row],[Attrition]]="No",1,0)</f>
        <v>1</v>
      </c>
      <c r="AL893" t="str">
        <f>IF(HR_Data[[#This Row],[Age]]&lt;25,"Under 25",IF(HR_Data[[#This Row],[Age]]&lt;=34,"25-34",IF(HR_Data[[#This Row],[Age]]&lt;=44,"35-44",IF(HR_Data[[#This Row],[Age]]&lt;=54,"45-54","55+"))))</f>
        <v>35-44</v>
      </c>
      <c r="AM893" t="str">
        <f>IF(HR_Data[[#This Row],[MonthlyIncome]]&lt;3000,"Low Salary",IF(HR_Data[[#This Row],[MonthlyIncome]]&lt;=7000,"Medium Salary","High Salary"))</f>
        <v>Low Salary</v>
      </c>
      <c r="AN893" t="str">
        <f>IF(HR_Data[[#This Row],[YearsAtCompany]]&lt;2,"0-1 Years",IF(HR_Data[[#This Row],[YearsAtCompany]]&lt;=5,"2-5 Years",IF(HR_Data[[#This Row],[YearsAtCompany]]&lt;=10,"6-10 Years","10+ Years")))</f>
        <v>6-10 Years</v>
      </c>
      <c r="AO893" t="str">
        <f>IF(HR_Data[[#This Row],[JobSatisfaction]]=1,"Low",IF(HR_Data[[#This Row],[JobSatisfaction]]=2,"Medium",IF(HR_Data[[#This Row],[JobSatisfaction]]=3,"High","Very High")))</f>
        <v>Very High</v>
      </c>
      <c r="AP893" t="str">
        <f>IF(HR_Data[[#This Row],[WorkLifeBalance]]=1,"Bad",IF(HR_Data[[#This Row],[WorkLifeBalance]]=2,"Good",IF(HR_Data[[#This Row],[WorkLifeBalance]]=3,"Better","Best")))</f>
        <v>Better</v>
      </c>
    </row>
    <row r="894" spans="1:42"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IF(HR_Data[[#This Row],[Attrition]]="Yes",1,0)</f>
        <v>1</v>
      </c>
      <c r="AK894">
        <f>IF(HR_Data[[#This Row],[Attrition]]="No",1,0)</f>
        <v>0</v>
      </c>
      <c r="AL894" t="str">
        <f>IF(HR_Data[[#This Row],[Age]]&lt;25,"Under 25",IF(HR_Data[[#This Row],[Age]]&lt;=34,"25-34",IF(HR_Data[[#This Row],[Age]]&lt;=44,"35-44",IF(HR_Data[[#This Row],[Age]]&lt;=54,"45-54","55+"))))</f>
        <v>Under 25</v>
      </c>
      <c r="AM894" t="str">
        <f>IF(HR_Data[[#This Row],[MonthlyIncome]]&lt;3000,"Low Salary",IF(HR_Data[[#This Row],[MonthlyIncome]]&lt;=7000,"Medium Salary","High Salary"))</f>
        <v>Low Salary</v>
      </c>
      <c r="AN894" t="str">
        <f>IF(HR_Data[[#This Row],[YearsAtCompany]]&lt;2,"0-1 Years",IF(HR_Data[[#This Row],[YearsAtCompany]]&lt;=5,"2-5 Years",IF(HR_Data[[#This Row],[YearsAtCompany]]&lt;=10,"6-10 Years","10+ Years")))</f>
        <v>0-1 Years</v>
      </c>
      <c r="AO894" t="str">
        <f>IF(HR_Data[[#This Row],[JobSatisfaction]]=1,"Low",IF(HR_Data[[#This Row],[JobSatisfaction]]=2,"Medium",IF(HR_Data[[#This Row],[JobSatisfaction]]=3,"High","Very High")))</f>
        <v>Medium</v>
      </c>
      <c r="AP894" t="str">
        <f>IF(HR_Data[[#This Row],[WorkLifeBalance]]=1,"Bad",IF(HR_Data[[#This Row],[WorkLifeBalance]]=2,"Good",IF(HR_Data[[#This Row],[WorkLifeBalance]]=3,"Better","Best")))</f>
        <v>Best</v>
      </c>
    </row>
    <row r="895" spans="1:42"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IF(HR_Data[[#This Row],[Attrition]]="Yes",1,0)</f>
        <v>0</v>
      </c>
      <c r="AK895">
        <f>IF(HR_Data[[#This Row],[Attrition]]="No",1,0)</f>
        <v>1</v>
      </c>
      <c r="AL895" t="str">
        <f>IF(HR_Data[[#This Row],[Age]]&lt;25,"Under 25",IF(HR_Data[[#This Row],[Age]]&lt;=34,"25-34",IF(HR_Data[[#This Row],[Age]]&lt;=44,"35-44",IF(HR_Data[[#This Row],[Age]]&lt;=54,"45-54","55+"))))</f>
        <v>25-34</v>
      </c>
      <c r="AM895" t="str">
        <f>IF(HR_Data[[#This Row],[MonthlyIncome]]&lt;3000,"Low Salary",IF(HR_Data[[#This Row],[MonthlyIncome]]&lt;=7000,"Medium Salary","High Salary"))</f>
        <v>Medium Salary</v>
      </c>
      <c r="AN895" t="str">
        <f>IF(HR_Data[[#This Row],[YearsAtCompany]]&lt;2,"0-1 Years",IF(HR_Data[[#This Row],[YearsAtCompany]]&lt;=5,"2-5 Years",IF(HR_Data[[#This Row],[YearsAtCompany]]&lt;=10,"6-10 Years","10+ Years")))</f>
        <v>2-5 Years</v>
      </c>
      <c r="AO895" t="str">
        <f>IF(HR_Data[[#This Row],[JobSatisfaction]]=1,"Low",IF(HR_Data[[#This Row],[JobSatisfaction]]=2,"Medium",IF(HR_Data[[#This Row],[JobSatisfaction]]=3,"High","Very High")))</f>
        <v>Very High</v>
      </c>
      <c r="AP895" t="str">
        <f>IF(HR_Data[[#This Row],[WorkLifeBalance]]=1,"Bad",IF(HR_Data[[#This Row],[WorkLifeBalance]]=2,"Good",IF(HR_Data[[#This Row],[WorkLifeBalance]]=3,"Better","Best")))</f>
        <v>Better</v>
      </c>
    </row>
    <row r="896" spans="1:42"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IF(HR_Data[[#This Row],[Attrition]]="Yes",1,0)</f>
        <v>0</v>
      </c>
      <c r="AK896">
        <f>IF(HR_Data[[#This Row],[Attrition]]="No",1,0)</f>
        <v>1</v>
      </c>
      <c r="AL896" t="str">
        <f>IF(HR_Data[[#This Row],[Age]]&lt;25,"Under 25",IF(HR_Data[[#This Row],[Age]]&lt;=34,"25-34",IF(HR_Data[[#This Row],[Age]]&lt;=44,"35-44",IF(HR_Data[[#This Row],[Age]]&lt;=54,"45-54","55+"))))</f>
        <v>45-54</v>
      </c>
      <c r="AM896" t="str">
        <f>IF(HR_Data[[#This Row],[MonthlyIncome]]&lt;3000,"Low Salary",IF(HR_Data[[#This Row],[MonthlyIncome]]&lt;=7000,"Medium Salary","High Salary"))</f>
        <v>High Salary</v>
      </c>
      <c r="AN896" t="str">
        <f>IF(HR_Data[[#This Row],[YearsAtCompany]]&lt;2,"0-1 Years",IF(HR_Data[[#This Row],[YearsAtCompany]]&lt;=5,"2-5 Years",IF(HR_Data[[#This Row],[YearsAtCompany]]&lt;=10,"6-10 Years","10+ Years")))</f>
        <v>6-10 Years</v>
      </c>
      <c r="AO896" t="str">
        <f>IF(HR_Data[[#This Row],[JobSatisfaction]]=1,"Low",IF(HR_Data[[#This Row],[JobSatisfaction]]=2,"Medium",IF(HR_Data[[#This Row],[JobSatisfaction]]=3,"High","Very High")))</f>
        <v>Very High</v>
      </c>
      <c r="AP896" t="str">
        <f>IF(HR_Data[[#This Row],[WorkLifeBalance]]=1,"Bad",IF(HR_Data[[#This Row],[WorkLifeBalance]]=2,"Good",IF(HR_Data[[#This Row],[WorkLifeBalance]]=3,"Better","Best")))</f>
        <v>Better</v>
      </c>
    </row>
    <row r="897" spans="1:42"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IF(HR_Data[[#This Row],[Attrition]]="Yes",1,0)</f>
        <v>0</v>
      </c>
      <c r="AK897">
        <f>IF(HR_Data[[#This Row],[Attrition]]="No",1,0)</f>
        <v>1</v>
      </c>
      <c r="AL897" t="str">
        <f>IF(HR_Data[[#This Row],[Age]]&lt;25,"Under 25",IF(HR_Data[[#This Row],[Age]]&lt;=34,"25-34",IF(HR_Data[[#This Row],[Age]]&lt;=44,"35-44",IF(HR_Data[[#This Row],[Age]]&lt;=54,"45-54","55+"))))</f>
        <v>25-34</v>
      </c>
      <c r="AM897" t="str">
        <f>IF(HR_Data[[#This Row],[MonthlyIncome]]&lt;3000,"Low Salary",IF(HR_Data[[#This Row],[MonthlyIncome]]&lt;=7000,"Medium Salary","High Salary"))</f>
        <v>Medium Salary</v>
      </c>
      <c r="AN897" t="str">
        <f>IF(HR_Data[[#This Row],[YearsAtCompany]]&lt;2,"0-1 Years",IF(HR_Data[[#This Row],[YearsAtCompany]]&lt;=5,"2-5 Years",IF(HR_Data[[#This Row],[YearsAtCompany]]&lt;=10,"6-10 Years","10+ Years")))</f>
        <v>6-10 Years</v>
      </c>
      <c r="AO897" t="str">
        <f>IF(HR_Data[[#This Row],[JobSatisfaction]]=1,"Low",IF(HR_Data[[#This Row],[JobSatisfaction]]=2,"Medium",IF(HR_Data[[#This Row],[JobSatisfaction]]=3,"High","Very High")))</f>
        <v>Low</v>
      </c>
      <c r="AP897" t="str">
        <f>IF(HR_Data[[#This Row],[WorkLifeBalance]]=1,"Bad",IF(HR_Data[[#This Row],[WorkLifeBalance]]=2,"Good",IF(HR_Data[[#This Row],[WorkLifeBalance]]=3,"Better","Best")))</f>
        <v>Good</v>
      </c>
    </row>
    <row r="898" spans="1:42"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IF(HR_Data[[#This Row],[Attrition]]="Yes",1,0)</f>
        <v>0</v>
      </c>
      <c r="AK898">
        <f>IF(HR_Data[[#This Row],[Attrition]]="No",1,0)</f>
        <v>1</v>
      </c>
      <c r="AL898" t="str">
        <f>IF(HR_Data[[#This Row],[Age]]&lt;25,"Under 25",IF(HR_Data[[#This Row],[Age]]&lt;=34,"25-34",IF(HR_Data[[#This Row],[Age]]&lt;=44,"35-44",IF(HR_Data[[#This Row],[Age]]&lt;=54,"45-54","55+"))))</f>
        <v>25-34</v>
      </c>
      <c r="AM898" t="str">
        <f>IF(HR_Data[[#This Row],[MonthlyIncome]]&lt;3000,"Low Salary",IF(HR_Data[[#This Row],[MonthlyIncome]]&lt;=7000,"Medium Salary","High Salary"))</f>
        <v>Medium Salary</v>
      </c>
      <c r="AN898" t="str">
        <f>IF(HR_Data[[#This Row],[YearsAtCompany]]&lt;2,"0-1 Years",IF(HR_Data[[#This Row],[YearsAtCompany]]&lt;=5,"2-5 Years",IF(HR_Data[[#This Row],[YearsAtCompany]]&lt;=10,"6-10 Years","10+ Years")))</f>
        <v>6-10 Years</v>
      </c>
      <c r="AO898" t="str">
        <f>IF(HR_Data[[#This Row],[JobSatisfaction]]=1,"Low",IF(HR_Data[[#This Row],[JobSatisfaction]]=2,"Medium",IF(HR_Data[[#This Row],[JobSatisfaction]]=3,"High","Very High")))</f>
        <v>Low</v>
      </c>
      <c r="AP898" t="str">
        <f>IF(HR_Data[[#This Row],[WorkLifeBalance]]=1,"Bad",IF(HR_Data[[#This Row],[WorkLifeBalance]]=2,"Good",IF(HR_Data[[#This Row],[WorkLifeBalance]]=3,"Better","Best")))</f>
        <v>Better</v>
      </c>
    </row>
    <row r="899" spans="1:42"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IF(HR_Data[[#This Row],[Attrition]]="Yes",1,0)</f>
        <v>0</v>
      </c>
      <c r="AK899">
        <f>IF(HR_Data[[#This Row],[Attrition]]="No",1,0)</f>
        <v>1</v>
      </c>
      <c r="AL899" t="str">
        <f>IF(HR_Data[[#This Row],[Age]]&lt;25,"Under 25",IF(HR_Data[[#This Row],[Age]]&lt;=34,"25-34",IF(HR_Data[[#This Row],[Age]]&lt;=44,"35-44",IF(HR_Data[[#This Row],[Age]]&lt;=54,"45-54","55+"))))</f>
        <v>55+</v>
      </c>
      <c r="AM899" t="str">
        <f>IF(HR_Data[[#This Row],[MonthlyIncome]]&lt;3000,"Low Salary",IF(HR_Data[[#This Row],[MonthlyIncome]]&lt;=7000,"Medium Salary","High Salary"))</f>
        <v>Medium Salary</v>
      </c>
      <c r="AN899" t="str">
        <f>IF(HR_Data[[#This Row],[YearsAtCompany]]&lt;2,"0-1 Years",IF(HR_Data[[#This Row],[YearsAtCompany]]&lt;=5,"2-5 Years",IF(HR_Data[[#This Row],[YearsAtCompany]]&lt;=10,"6-10 Years","10+ Years")))</f>
        <v>6-10 Years</v>
      </c>
      <c r="AO899" t="str">
        <f>IF(HR_Data[[#This Row],[JobSatisfaction]]=1,"Low",IF(HR_Data[[#This Row],[JobSatisfaction]]=2,"Medium",IF(HR_Data[[#This Row],[JobSatisfaction]]=3,"High","Very High")))</f>
        <v>Very High</v>
      </c>
      <c r="AP899" t="str">
        <f>IF(HR_Data[[#This Row],[WorkLifeBalance]]=1,"Bad",IF(HR_Data[[#This Row],[WorkLifeBalance]]=2,"Good",IF(HR_Data[[#This Row],[WorkLifeBalance]]=3,"Better","Best")))</f>
        <v>Better</v>
      </c>
    </row>
    <row r="900" spans="1:42"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IF(HR_Data[[#This Row],[Attrition]]="Yes",1,0)</f>
        <v>0</v>
      </c>
      <c r="AK900">
        <f>IF(HR_Data[[#This Row],[Attrition]]="No",1,0)</f>
        <v>1</v>
      </c>
      <c r="AL900" t="str">
        <f>IF(HR_Data[[#This Row],[Age]]&lt;25,"Under 25",IF(HR_Data[[#This Row],[Age]]&lt;=34,"25-34",IF(HR_Data[[#This Row],[Age]]&lt;=44,"35-44",IF(HR_Data[[#This Row],[Age]]&lt;=54,"45-54","55+"))))</f>
        <v>35-44</v>
      </c>
      <c r="AM900" t="str">
        <f>IF(HR_Data[[#This Row],[MonthlyIncome]]&lt;3000,"Low Salary",IF(HR_Data[[#This Row],[MonthlyIncome]]&lt;=7000,"Medium Salary","High Salary"))</f>
        <v>High Salary</v>
      </c>
      <c r="AN900" t="str">
        <f>IF(HR_Data[[#This Row],[YearsAtCompany]]&lt;2,"0-1 Years",IF(HR_Data[[#This Row],[YearsAtCompany]]&lt;=5,"2-5 Years",IF(HR_Data[[#This Row],[YearsAtCompany]]&lt;=10,"6-10 Years","10+ Years")))</f>
        <v>6-10 Years</v>
      </c>
      <c r="AO900" t="str">
        <f>IF(HR_Data[[#This Row],[JobSatisfaction]]=1,"Low",IF(HR_Data[[#This Row],[JobSatisfaction]]=2,"Medium",IF(HR_Data[[#This Row],[JobSatisfaction]]=3,"High","Very High")))</f>
        <v>Very High</v>
      </c>
      <c r="AP900" t="str">
        <f>IF(HR_Data[[#This Row],[WorkLifeBalance]]=1,"Bad",IF(HR_Data[[#This Row],[WorkLifeBalance]]=2,"Good",IF(HR_Data[[#This Row],[WorkLifeBalance]]=3,"Better","Best")))</f>
        <v>Better</v>
      </c>
    </row>
    <row r="901" spans="1:42"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IF(HR_Data[[#This Row],[Attrition]]="Yes",1,0)</f>
        <v>0</v>
      </c>
      <c r="AK901">
        <f>IF(HR_Data[[#This Row],[Attrition]]="No",1,0)</f>
        <v>1</v>
      </c>
      <c r="AL901" t="str">
        <f>IF(HR_Data[[#This Row],[Age]]&lt;25,"Under 25",IF(HR_Data[[#This Row],[Age]]&lt;=34,"25-34",IF(HR_Data[[#This Row],[Age]]&lt;=44,"35-44",IF(HR_Data[[#This Row],[Age]]&lt;=54,"45-54","55+"))))</f>
        <v>45-54</v>
      </c>
      <c r="AM901" t="str">
        <f>IF(HR_Data[[#This Row],[MonthlyIncome]]&lt;3000,"Low Salary",IF(HR_Data[[#This Row],[MonthlyIncome]]&lt;=7000,"Medium Salary","High Salary"))</f>
        <v>High Salary</v>
      </c>
      <c r="AN901" t="str">
        <f>IF(HR_Data[[#This Row],[YearsAtCompany]]&lt;2,"0-1 Years",IF(HR_Data[[#This Row],[YearsAtCompany]]&lt;=5,"2-5 Years",IF(HR_Data[[#This Row],[YearsAtCompany]]&lt;=10,"6-10 Years","10+ Years")))</f>
        <v>0-1 Years</v>
      </c>
      <c r="AO901" t="str">
        <f>IF(HR_Data[[#This Row],[JobSatisfaction]]=1,"Low",IF(HR_Data[[#This Row],[JobSatisfaction]]=2,"Medium",IF(HR_Data[[#This Row],[JobSatisfaction]]=3,"High","Very High")))</f>
        <v>High</v>
      </c>
      <c r="AP901" t="str">
        <f>IF(HR_Data[[#This Row],[WorkLifeBalance]]=1,"Bad",IF(HR_Data[[#This Row],[WorkLifeBalance]]=2,"Good",IF(HR_Data[[#This Row],[WorkLifeBalance]]=3,"Better","Best")))</f>
        <v>Best</v>
      </c>
    </row>
    <row r="902" spans="1:42"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IF(HR_Data[[#This Row],[Attrition]]="Yes",1,0)</f>
        <v>0</v>
      </c>
      <c r="AK902">
        <f>IF(HR_Data[[#This Row],[Attrition]]="No",1,0)</f>
        <v>1</v>
      </c>
      <c r="AL902" t="str">
        <f>IF(HR_Data[[#This Row],[Age]]&lt;25,"Under 25",IF(HR_Data[[#This Row],[Age]]&lt;=34,"25-34",IF(HR_Data[[#This Row],[Age]]&lt;=44,"35-44",IF(HR_Data[[#This Row],[Age]]&lt;=54,"45-54","55+"))))</f>
        <v>35-44</v>
      </c>
      <c r="AM902" t="str">
        <f>IF(HR_Data[[#This Row],[MonthlyIncome]]&lt;3000,"Low Salary",IF(HR_Data[[#This Row],[MonthlyIncome]]&lt;=7000,"Medium Salary","High Salary"))</f>
        <v>Medium Salary</v>
      </c>
      <c r="AN902" t="str">
        <f>IF(HR_Data[[#This Row],[YearsAtCompany]]&lt;2,"0-1 Years",IF(HR_Data[[#This Row],[YearsAtCompany]]&lt;=5,"2-5 Years",IF(HR_Data[[#This Row],[YearsAtCompany]]&lt;=10,"6-10 Years","10+ Years")))</f>
        <v>10+ Years</v>
      </c>
      <c r="AO902" t="str">
        <f>IF(HR_Data[[#This Row],[JobSatisfaction]]=1,"Low",IF(HR_Data[[#This Row],[JobSatisfaction]]=2,"Medium",IF(HR_Data[[#This Row],[JobSatisfaction]]=3,"High","Very High")))</f>
        <v>Medium</v>
      </c>
      <c r="AP902" t="str">
        <f>IF(HR_Data[[#This Row],[WorkLifeBalance]]=1,"Bad",IF(HR_Data[[#This Row],[WorkLifeBalance]]=2,"Good",IF(HR_Data[[#This Row],[WorkLifeBalance]]=3,"Better","Best")))</f>
        <v>Good</v>
      </c>
    </row>
    <row r="903" spans="1:42"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IF(HR_Data[[#This Row],[Attrition]]="Yes",1,0)</f>
        <v>0</v>
      </c>
      <c r="AK903">
        <f>IF(HR_Data[[#This Row],[Attrition]]="No",1,0)</f>
        <v>1</v>
      </c>
      <c r="AL903" t="str">
        <f>IF(HR_Data[[#This Row],[Age]]&lt;25,"Under 25",IF(HR_Data[[#This Row],[Age]]&lt;=34,"25-34",IF(HR_Data[[#This Row],[Age]]&lt;=44,"35-44",IF(HR_Data[[#This Row],[Age]]&lt;=54,"45-54","55+"))))</f>
        <v>45-54</v>
      </c>
      <c r="AM903" t="str">
        <f>IF(HR_Data[[#This Row],[MonthlyIncome]]&lt;3000,"Low Salary",IF(HR_Data[[#This Row],[MonthlyIncome]]&lt;=7000,"Medium Salary","High Salary"))</f>
        <v>Low Salary</v>
      </c>
      <c r="AN903" t="str">
        <f>IF(HR_Data[[#This Row],[YearsAtCompany]]&lt;2,"0-1 Years",IF(HR_Data[[#This Row],[YearsAtCompany]]&lt;=5,"2-5 Years",IF(HR_Data[[#This Row],[YearsAtCompany]]&lt;=10,"6-10 Years","10+ Years")))</f>
        <v>0-1 Years</v>
      </c>
      <c r="AO903" t="str">
        <f>IF(HR_Data[[#This Row],[JobSatisfaction]]=1,"Low",IF(HR_Data[[#This Row],[JobSatisfaction]]=2,"Medium",IF(HR_Data[[#This Row],[JobSatisfaction]]=3,"High","Very High")))</f>
        <v>Medium</v>
      </c>
      <c r="AP903" t="str">
        <f>IF(HR_Data[[#This Row],[WorkLifeBalance]]=1,"Bad",IF(HR_Data[[#This Row],[WorkLifeBalance]]=2,"Good",IF(HR_Data[[#This Row],[WorkLifeBalance]]=3,"Better","Best")))</f>
        <v>Good</v>
      </c>
    </row>
    <row r="904" spans="1:42"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IF(HR_Data[[#This Row],[Attrition]]="Yes",1,0)</f>
        <v>0</v>
      </c>
      <c r="AK904">
        <f>IF(HR_Data[[#This Row],[Attrition]]="No",1,0)</f>
        <v>1</v>
      </c>
      <c r="AL904" t="str">
        <f>IF(HR_Data[[#This Row],[Age]]&lt;25,"Under 25",IF(HR_Data[[#This Row],[Age]]&lt;=34,"25-34",IF(HR_Data[[#This Row],[Age]]&lt;=44,"35-44",IF(HR_Data[[#This Row],[Age]]&lt;=54,"45-54","55+"))))</f>
        <v>25-34</v>
      </c>
      <c r="AM904" t="str">
        <f>IF(HR_Data[[#This Row],[MonthlyIncome]]&lt;3000,"Low Salary",IF(HR_Data[[#This Row],[MonthlyIncome]]&lt;=7000,"Medium Salary","High Salary"))</f>
        <v>Low Salary</v>
      </c>
      <c r="AN904" t="str">
        <f>IF(HR_Data[[#This Row],[YearsAtCompany]]&lt;2,"0-1 Years",IF(HR_Data[[#This Row],[YearsAtCompany]]&lt;=5,"2-5 Years",IF(HR_Data[[#This Row],[YearsAtCompany]]&lt;=10,"6-10 Years","10+ Years")))</f>
        <v>2-5 Years</v>
      </c>
      <c r="AO904" t="str">
        <f>IF(HR_Data[[#This Row],[JobSatisfaction]]=1,"Low",IF(HR_Data[[#This Row],[JobSatisfaction]]=2,"Medium",IF(HR_Data[[#This Row],[JobSatisfaction]]=3,"High","Very High")))</f>
        <v>High</v>
      </c>
      <c r="AP904" t="str">
        <f>IF(HR_Data[[#This Row],[WorkLifeBalance]]=1,"Bad",IF(HR_Data[[#This Row],[WorkLifeBalance]]=2,"Good",IF(HR_Data[[#This Row],[WorkLifeBalance]]=3,"Better","Best")))</f>
        <v>Better</v>
      </c>
    </row>
    <row r="905" spans="1:42"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IF(HR_Data[[#This Row],[Attrition]]="Yes",1,0)</f>
        <v>0</v>
      </c>
      <c r="AK905">
        <f>IF(HR_Data[[#This Row],[Attrition]]="No",1,0)</f>
        <v>1</v>
      </c>
      <c r="AL905" t="str">
        <f>IF(HR_Data[[#This Row],[Age]]&lt;25,"Under 25",IF(HR_Data[[#This Row],[Age]]&lt;=34,"25-34",IF(HR_Data[[#This Row],[Age]]&lt;=44,"35-44",IF(HR_Data[[#This Row],[Age]]&lt;=54,"45-54","55+"))))</f>
        <v>25-34</v>
      </c>
      <c r="AM905" t="str">
        <f>IF(HR_Data[[#This Row],[MonthlyIncome]]&lt;3000,"Low Salary",IF(HR_Data[[#This Row],[MonthlyIncome]]&lt;=7000,"Medium Salary","High Salary"))</f>
        <v>Medium Salary</v>
      </c>
      <c r="AN905" t="str">
        <f>IF(HR_Data[[#This Row],[YearsAtCompany]]&lt;2,"0-1 Years",IF(HR_Data[[#This Row],[YearsAtCompany]]&lt;=5,"2-5 Years",IF(HR_Data[[#This Row],[YearsAtCompany]]&lt;=10,"6-10 Years","10+ Years")))</f>
        <v>6-10 Years</v>
      </c>
      <c r="AO905" t="str">
        <f>IF(HR_Data[[#This Row],[JobSatisfaction]]=1,"Low",IF(HR_Data[[#This Row],[JobSatisfaction]]=2,"Medium",IF(HR_Data[[#This Row],[JobSatisfaction]]=3,"High","Very High")))</f>
        <v>Very High</v>
      </c>
      <c r="AP905" t="str">
        <f>IF(HR_Data[[#This Row],[WorkLifeBalance]]=1,"Bad",IF(HR_Data[[#This Row],[WorkLifeBalance]]=2,"Good",IF(HR_Data[[#This Row],[WorkLifeBalance]]=3,"Better","Best")))</f>
        <v>Better</v>
      </c>
    </row>
    <row r="906" spans="1:42"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IF(HR_Data[[#This Row],[Attrition]]="Yes",1,0)</f>
        <v>0</v>
      </c>
      <c r="AK906">
        <f>IF(HR_Data[[#This Row],[Attrition]]="No",1,0)</f>
        <v>1</v>
      </c>
      <c r="AL906" t="str">
        <f>IF(HR_Data[[#This Row],[Age]]&lt;25,"Under 25",IF(HR_Data[[#This Row],[Age]]&lt;=34,"25-34",IF(HR_Data[[#This Row],[Age]]&lt;=44,"35-44",IF(HR_Data[[#This Row],[Age]]&lt;=54,"45-54","55+"))))</f>
        <v>45-54</v>
      </c>
      <c r="AM906" t="str">
        <f>IF(HR_Data[[#This Row],[MonthlyIncome]]&lt;3000,"Low Salary",IF(HR_Data[[#This Row],[MonthlyIncome]]&lt;=7000,"Medium Salary","High Salary"))</f>
        <v>High Salary</v>
      </c>
      <c r="AN906" t="str">
        <f>IF(HR_Data[[#This Row],[YearsAtCompany]]&lt;2,"0-1 Years",IF(HR_Data[[#This Row],[YearsAtCompany]]&lt;=5,"2-5 Years",IF(HR_Data[[#This Row],[YearsAtCompany]]&lt;=10,"6-10 Years","10+ Years")))</f>
        <v>0-1 Years</v>
      </c>
      <c r="AO906" t="str">
        <f>IF(HR_Data[[#This Row],[JobSatisfaction]]=1,"Low",IF(HR_Data[[#This Row],[JobSatisfaction]]=2,"Medium",IF(HR_Data[[#This Row],[JobSatisfaction]]=3,"High","Very High")))</f>
        <v>Very High</v>
      </c>
      <c r="AP906" t="str">
        <f>IF(HR_Data[[#This Row],[WorkLifeBalance]]=1,"Bad",IF(HR_Data[[#This Row],[WorkLifeBalance]]=2,"Good",IF(HR_Data[[#This Row],[WorkLifeBalance]]=3,"Better","Best")))</f>
        <v>Best</v>
      </c>
    </row>
    <row r="907" spans="1:42"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IF(HR_Data[[#This Row],[Attrition]]="Yes",1,0)</f>
        <v>0</v>
      </c>
      <c r="AK907">
        <f>IF(HR_Data[[#This Row],[Attrition]]="No",1,0)</f>
        <v>1</v>
      </c>
      <c r="AL907" t="str">
        <f>IF(HR_Data[[#This Row],[Age]]&lt;25,"Under 25",IF(HR_Data[[#This Row],[Age]]&lt;=34,"25-34",IF(HR_Data[[#This Row],[Age]]&lt;=44,"35-44",IF(HR_Data[[#This Row],[Age]]&lt;=54,"45-54","55+"))))</f>
        <v>25-34</v>
      </c>
      <c r="AM907" t="str">
        <f>IF(HR_Data[[#This Row],[MonthlyIncome]]&lt;3000,"Low Salary",IF(HR_Data[[#This Row],[MonthlyIncome]]&lt;=7000,"Medium Salary","High Salary"))</f>
        <v>High Salary</v>
      </c>
      <c r="AN907" t="str">
        <f>IF(HR_Data[[#This Row],[YearsAtCompany]]&lt;2,"0-1 Years",IF(HR_Data[[#This Row],[YearsAtCompany]]&lt;=5,"2-5 Years",IF(HR_Data[[#This Row],[YearsAtCompany]]&lt;=10,"6-10 Years","10+ Years")))</f>
        <v>6-10 Years</v>
      </c>
      <c r="AO907" t="str">
        <f>IF(HR_Data[[#This Row],[JobSatisfaction]]=1,"Low",IF(HR_Data[[#This Row],[JobSatisfaction]]=2,"Medium",IF(HR_Data[[#This Row],[JobSatisfaction]]=3,"High","Very High")))</f>
        <v>Very High</v>
      </c>
      <c r="AP907" t="str">
        <f>IF(HR_Data[[#This Row],[WorkLifeBalance]]=1,"Bad",IF(HR_Data[[#This Row],[WorkLifeBalance]]=2,"Good",IF(HR_Data[[#This Row],[WorkLifeBalance]]=3,"Better","Best")))</f>
        <v>Good</v>
      </c>
    </row>
    <row r="908" spans="1:42"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IF(HR_Data[[#This Row],[Attrition]]="Yes",1,0)</f>
        <v>0</v>
      </c>
      <c r="AK908">
        <f>IF(HR_Data[[#This Row],[Attrition]]="No",1,0)</f>
        <v>1</v>
      </c>
      <c r="AL908" t="str">
        <f>IF(HR_Data[[#This Row],[Age]]&lt;25,"Under 25",IF(HR_Data[[#This Row],[Age]]&lt;=34,"25-34",IF(HR_Data[[#This Row],[Age]]&lt;=44,"35-44",IF(HR_Data[[#This Row],[Age]]&lt;=54,"45-54","55+"))))</f>
        <v>25-34</v>
      </c>
      <c r="AM908" t="str">
        <f>IF(HR_Data[[#This Row],[MonthlyIncome]]&lt;3000,"Low Salary",IF(HR_Data[[#This Row],[MonthlyIncome]]&lt;=7000,"Medium Salary","High Salary"))</f>
        <v>Low Salary</v>
      </c>
      <c r="AN908" t="str">
        <f>IF(HR_Data[[#This Row],[YearsAtCompany]]&lt;2,"0-1 Years",IF(HR_Data[[#This Row],[YearsAtCompany]]&lt;=5,"2-5 Years",IF(HR_Data[[#This Row],[YearsAtCompany]]&lt;=10,"6-10 Years","10+ Years")))</f>
        <v>0-1 Years</v>
      </c>
      <c r="AO908" t="str">
        <f>IF(HR_Data[[#This Row],[JobSatisfaction]]=1,"Low",IF(HR_Data[[#This Row],[JobSatisfaction]]=2,"Medium",IF(HR_Data[[#This Row],[JobSatisfaction]]=3,"High","Very High")))</f>
        <v>High</v>
      </c>
      <c r="AP908" t="str">
        <f>IF(HR_Data[[#This Row],[WorkLifeBalance]]=1,"Bad",IF(HR_Data[[#This Row],[WorkLifeBalance]]=2,"Good",IF(HR_Data[[#This Row],[WorkLifeBalance]]=3,"Better","Best")))</f>
        <v>Good</v>
      </c>
    </row>
    <row r="909" spans="1:42"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IF(HR_Data[[#This Row],[Attrition]]="Yes",1,0)</f>
        <v>0</v>
      </c>
      <c r="AK909">
        <f>IF(HR_Data[[#This Row],[Attrition]]="No",1,0)</f>
        <v>1</v>
      </c>
      <c r="AL909" t="str">
        <f>IF(HR_Data[[#This Row],[Age]]&lt;25,"Under 25",IF(HR_Data[[#This Row],[Age]]&lt;=34,"25-34",IF(HR_Data[[#This Row],[Age]]&lt;=44,"35-44",IF(HR_Data[[#This Row],[Age]]&lt;=54,"45-54","55+"))))</f>
        <v>35-44</v>
      </c>
      <c r="AM909" t="str">
        <f>IF(HR_Data[[#This Row],[MonthlyIncome]]&lt;3000,"Low Salary",IF(HR_Data[[#This Row],[MonthlyIncome]]&lt;=7000,"Medium Salary","High Salary"))</f>
        <v>High Salary</v>
      </c>
      <c r="AN909" t="str">
        <f>IF(HR_Data[[#This Row],[YearsAtCompany]]&lt;2,"0-1 Years",IF(HR_Data[[#This Row],[YearsAtCompany]]&lt;=5,"2-5 Years",IF(HR_Data[[#This Row],[YearsAtCompany]]&lt;=10,"6-10 Years","10+ Years")))</f>
        <v>10+ Years</v>
      </c>
      <c r="AO909" t="str">
        <f>IF(HR_Data[[#This Row],[JobSatisfaction]]=1,"Low",IF(HR_Data[[#This Row],[JobSatisfaction]]=2,"Medium",IF(HR_Data[[#This Row],[JobSatisfaction]]=3,"High","Very High")))</f>
        <v>Medium</v>
      </c>
      <c r="AP909" t="str">
        <f>IF(HR_Data[[#This Row],[WorkLifeBalance]]=1,"Bad",IF(HR_Data[[#This Row],[WorkLifeBalance]]=2,"Good",IF(HR_Data[[#This Row],[WorkLifeBalance]]=3,"Better","Best")))</f>
        <v>Better</v>
      </c>
    </row>
    <row r="910" spans="1:42"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IF(HR_Data[[#This Row],[Attrition]]="Yes",1,0)</f>
        <v>0</v>
      </c>
      <c r="AK910">
        <f>IF(HR_Data[[#This Row],[Attrition]]="No",1,0)</f>
        <v>1</v>
      </c>
      <c r="AL910" t="str">
        <f>IF(HR_Data[[#This Row],[Age]]&lt;25,"Under 25",IF(HR_Data[[#This Row],[Age]]&lt;=34,"25-34",IF(HR_Data[[#This Row],[Age]]&lt;=44,"35-44",IF(HR_Data[[#This Row],[Age]]&lt;=54,"45-54","55+"))))</f>
        <v>25-34</v>
      </c>
      <c r="AM910" t="str">
        <f>IF(HR_Data[[#This Row],[MonthlyIncome]]&lt;3000,"Low Salary",IF(HR_Data[[#This Row],[MonthlyIncome]]&lt;=7000,"Medium Salary","High Salary"))</f>
        <v>High Salary</v>
      </c>
      <c r="AN910" t="str">
        <f>IF(HR_Data[[#This Row],[YearsAtCompany]]&lt;2,"0-1 Years",IF(HR_Data[[#This Row],[YearsAtCompany]]&lt;=5,"2-5 Years",IF(HR_Data[[#This Row],[YearsAtCompany]]&lt;=10,"6-10 Years","10+ Years")))</f>
        <v>6-10 Years</v>
      </c>
      <c r="AO910" t="str">
        <f>IF(HR_Data[[#This Row],[JobSatisfaction]]=1,"Low",IF(HR_Data[[#This Row],[JobSatisfaction]]=2,"Medium",IF(HR_Data[[#This Row],[JobSatisfaction]]=3,"High","Very High")))</f>
        <v>High</v>
      </c>
      <c r="AP910" t="str">
        <f>IF(HR_Data[[#This Row],[WorkLifeBalance]]=1,"Bad",IF(HR_Data[[#This Row],[WorkLifeBalance]]=2,"Good",IF(HR_Data[[#This Row],[WorkLifeBalance]]=3,"Better","Best")))</f>
        <v>Better</v>
      </c>
    </row>
    <row r="911" spans="1:42"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IF(HR_Data[[#This Row],[Attrition]]="Yes",1,0)</f>
        <v>0</v>
      </c>
      <c r="AK911">
        <f>IF(HR_Data[[#This Row],[Attrition]]="No",1,0)</f>
        <v>1</v>
      </c>
      <c r="AL911" t="str">
        <f>IF(HR_Data[[#This Row],[Age]]&lt;25,"Under 25",IF(HR_Data[[#This Row],[Age]]&lt;=34,"25-34",IF(HR_Data[[#This Row],[Age]]&lt;=44,"35-44",IF(HR_Data[[#This Row],[Age]]&lt;=54,"45-54","55+"))))</f>
        <v>Under 25</v>
      </c>
      <c r="AM911" t="str">
        <f>IF(HR_Data[[#This Row],[MonthlyIncome]]&lt;3000,"Low Salary",IF(HR_Data[[#This Row],[MonthlyIncome]]&lt;=7000,"Medium Salary","High Salary"))</f>
        <v>Low Salary</v>
      </c>
      <c r="AN911" t="str">
        <f>IF(HR_Data[[#This Row],[YearsAtCompany]]&lt;2,"0-1 Years",IF(HR_Data[[#This Row],[YearsAtCompany]]&lt;=5,"2-5 Years",IF(HR_Data[[#This Row],[YearsAtCompany]]&lt;=10,"6-10 Years","10+ Years")))</f>
        <v>0-1 Years</v>
      </c>
      <c r="AO911" t="str">
        <f>IF(HR_Data[[#This Row],[JobSatisfaction]]=1,"Low",IF(HR_Data[[#This Row],[JobSatisfaction]]=2,"Medium",IF(HR_Data[[#This Row],[JobSatisfaction]]=3,"High","Very High")))</f>
        <v>Very High</v>
      </c>
      <c r="AP911" t="str">
        <f>IF(HR_Data[[#This Row],[WorkLifeBalance]]=1,"Bad",IF(HR_Data[[#This Row],[WorkLifeBalance]]=2,"Good",IF(HR_Data[[#This Row],[WorkLifeBalance]]=3,"Better","Best")))</f>
        <v>Better</v>
      </c>
    </row>
    <row r="912" spans="1:42"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IF(HR_Data[[#This Row],[Attrition]]="Yes",1,0)</f>
        <v>0</v>
      </c>
      <c r="AK912">
        <f>IF(HR_Data[[#This Row],[Attrition]]="No",1,0)</f>
        <v>1</v>
      </c>
      <c r="AL912" t="str">
        <f>IF(HR_Data[[#This Row],[Age]]&lt;25,"Under 25",IF(HR_Data[[#This Row],[Age]]&lt;=34,"25-34",IF(HR_Data[[#This Row],[Age]]&lt;=44,"35-44",IF(HR_Data[[#This Row],[Age]]&lt;=54,"45-54","55+"))))</f>
        <v>Under 25</v>
      </c>
      <c r="AM912" t="str">
        <f>IF(HR_Data[[#This Row],[MonthlyIncome]]&lt;3000,"Low Salary",IF(HR_Data[[#This Row],[MonthlyIncome]]&lt;=7000,"Medium Salary","High Salary"))</f>
        <v>Low Salary</v>
      </c>
      <c r="AN912" t="str">
        <f>IF(HR_Data[[#This Row],[YearsAtCompany]]&lt;2,"0-1 Years",IF(HR_Data[[#This Row],[YearsAtCompany]]&lt;=5,"2-5 Years",IF(HR_Data[[#This Row],[YearsAtCompany]]&lt;=10,"6-10 Years","10+ Years")))</f>
        <v>0-1 Years</v>
      </c>
      <c r="AO912" t="str">
        <f>IF(HR_Data[[#This Row],[JobSatisfaction]]=1,"Low",IF(HR_Data[[#This Row],[JobSatisfaction]]=2,"Medium",IF(HR_Data[[#This Row],[JobSatisfaction]]=3,"High","Very High")))</f>
        <v>High</v>
      </c>
      <c r="AP912" t="str">
        <f>IF(HR_Data[[#This Row],[WorkLifeBalance]]=1,"Bad",IF(HR_Data[[#This Row],[WorkLifeBalance]]=2,"Good",IF(HR_Data[[#This Row],[WorkLifeBalance]]=3,"Better","Best")))</f>
        <v>Better</v>
      </c>
    </row>
    <row r="913" spans="1:42"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IF(HR_Data[[#This Row],[Attrition]]="Yes",1,0)</f>
        <v>1</v>
      </c>
      <c r="AK913">
        <f>IF(HR_Data[[#This Row],[Attrition]]="No",1,0)</f>
        <v>0</v>
      </c>
      <c r="AL913" t="str">
        <f>IF(HR_Data[[#This Row],[Age]]&lt;25,"Under 25",IF(HR_Data[[#This Row],[Age]]&lt;=34,"25-34",IF(HR_Data[[#This Row],[Age]]&lt;=44,"35-44",IF(HR_Data[[#This Row],[Age]]&lt;=54,"45-54","55+"))))</f>
        <v>25-34</v>
      </c>
      <c r="AM913" t="str">
        <f>IF(HR_Data[[#This Row],[MonthlyIncome]]&lt;3000,"Low Salary",IF(HR_Data[[#This Row],[MonthlyIncome]]&lt;=7000,"Medium Salary","High Salary"))</f>
        <v>Low Salary</v>
      </c>
      <c r="AN913" t="str">
        <f>IF(HR_Data[[#This Row],[YearsAtCompany]]&lt;2,"0-1 Years",IF(HR_Data[[#This Row],[YearsAtCompany]]&lt;=5,"2-5 Years",IF(HR_Data[[#This Row],[YearsAtCompany]]&lt;=10,"6-10 Years","10+ Years")))</f>
        <v>0-1 Years</v>
      </c>
      <c r="AO913" t="str">
        <f>IF(HR_Data[[#This Row],[JobSatisfaction]]=1,"Low",IF(HR_Data[[#This Row],[JobSatisfaction]]=2,"Medium",IF(HR_Data[[#This Row],[JobSatisfaction]]=3,"High","Very High")))</f>
        <v>Very High</v>
      </c>
      <c r="AP913" t="str">
        <f>IF(HR_Data[[#This Row],[WorkLifeBalance]]=1,"Bad",IF(HR_Data[[#This Row],[WorkLifeBalance]]=2,"Good",IF(HR_Data[[#This Row],[WorkLifeBalance]]=3,"Better","Best")))</f>
        <v>Better</v>
      </c>
    </row>
    <row r="914" spans="1:42"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IF(HR_Data[[#This Row],[Attrition]]="Yes",1,0)</f>
        <v>0</v>
      </c>
      <c r="AK914">
        <f>IF(HR_Data[[#This Row],[Attrition]]="No",1,0)</f>
        <v>1</v>
      </c>
      <c r="AL914" t="str">
        <f>IF(HR_Data[[#This Row],[Age]]&lt;25,"Under 25",IF(HR_Data[[#This Row],[Age]]&lt;=34,"25-34",IF(HR_Data[[#This Row],[Age]]&lt;=44,"35-44",IF(HR_Data[[#This Row],[Age]]&lt;=54,"45-54","55+"))))</f>
        <v>25-34</v>
      </c>
      <c r="AM914" t="str">
        <f>IF(HR_Data[[#This Row],[MonthlyIncome]]&lt;3000,"Low Salary",IF(HR_Data[[#This Row],[MonthlyIncome]]&lt;=7000,"Medium Salary","High Salary"))</f>
        <v>Low Salary</v>
      </c>
      <c r="AN914" t="str">
        <f>IF(HR_Data[[#This Row],[YearsAtCompany]]&lt;2,"0-1 Years",IF(HR_Data[[#This Row],[YearsAtCompany]]&lt;=5,"2-5 Years",IF(HR_Data[[#This Row],[YearsAtCompany]]&lt;=10,"6-10 Years","10+ Years")))</f>
        <v>6-10 Years</v>
      </c>
      <c r="AO914" t="str">
        <f>IF(HR_Data[[#This Row],[JobSatisfaction]]=1,"Low",IF(HR_Data[[#This Row],[JobSatisfaction]]=2,"Medium",IF(HR_Data[[#This Row],[JobSatisfaction]]=3,"High","Very High")))</f>
        <v>Very High</v>
      </c>
      <c r="AP914" t="str">
        <f>IF(HR_Data[[#This Row],[WorkLifeBalance]]=1,"Bad",IF(HR_Data[[#This Row],[WorkLifeBalance]]=2,"Good",IF(HR_Data[[#This Row],[WorkLifeBalance]]=3,"Better","Best")))</f>
        <v>Good</v>
      </c>
    </row>
    <row r="915" spans="1:42"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IF(HR_Data[[#This Row],[Attrition]]="Yes",1,0)</f>
        <v>1</v>
      </c>
      <c r="AK915">
        <f>IF(HR_Data[[#This Row],[Attrition]]="No",1,0)</f>
        <v>0</v>
      </c>
      <c r="AL915" t="str">
        <f>IF(HR_Data[[#This Row],[Age]]&lt;25,"Under 25",IF(HR_Data[[#This Row],[Age]]&lt;=34,"25-34",IF(HR_Data[[#This Row],[Age]]&lt;=44,"35-44",IF(HR_Data[[#This Row],[Age]]&lt;=54,"45-54","55+"))))</f>
        <v>45-54</v>
      </c>
      <c r="AM915" t="str">
        <f>IF(HR_Data[[#This Row],[MonthlyIncome]]&lt;3000,"Low Salary",IF(HR_Data[[#This Row],[MonthlyIncome]]&lt;=7000,"Medium Salary","High Salary"))</f>
        <v>High Salary</v>
      </c>
      <c r="AN915" t="str">
        <f>IF(HR_Data[[#This Row],[YearsAtCompany]]&lt;2,"0-1 Years",IF(HR_Data[[#This Row],[YearsAtCompany]]&lt;=5,"2-5 Years",IF(HR_Data[[#This Row],[YearsAtCompany]]&lt;=10,"6-10 Years","10+ Years")))</f>
        <v>10+ Years</v>
      </c>
      <c r="AO915" t="str">
        <f>IF(HR_Data[[#This Row],[JobSatisfaction]]=1,"Low",IF(HR_Data[[#This Row],[JobSatisfaction]]=2,"Medium",IF(HR_Data[[#This Row],[JobSatisfaction]]=3,"High","Very High")))</f>
        <v>Medium</v>
      </c>
      <c r="AP915" t="str">
        <f>IF(HR_Data[[#This Row],[WorkLifeBalance]]=1,"Bad",IF(HR_Data[[#This Row],[WorkLifeBalance]]=2,"Good",IF(HR_Data[[#This Row],[WorkLifeBalance]]=3,"Better","Best")))</f>
        <v>Better</v>
      </c>
    </row>
    <row r="916" spans="1:42"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IF(HR_Data[[#This Row],[Attrition]]="Yes",1,0)</f>
        <v>0</v>
      </c>
      <c r="AK916">
        <f>IF(HR_Data[[#This Row],[Attrition]]="No",1,0)</f>
        <v>1</v>
      </c>
      <c r="AL916" t="str">
        <f>IF(HR_Data[[#This Row],[Age]]&lt;25,"Under 25",IF(HR_Data[[#This Row],[Age]]&lt;=34,"25-34",IF(HR_Data[[#This Row],[Age]]&lt;=44,"35-44",IF(HR_Data[[#This Row],[Age]]&lt;=54,"45-54","55+"))))</f>
        <v>55+</v>
      </c>
      <c r="AM916" t="str">
        <f>IF(HR_Data[[#This Row],[MonthlyIncome]]&lt;3000,"Low Salary",IF(HR_Data[[#This Row],[MonthlyIncome]]&lt;=7000,"Medium Salary","High Salary"))</f>
        <v>High Salary</v>
      </c>
      <c r="AN916" t="str">
        <f>IF(HR_Data[[#This Row],[YearsAtCompany]]&lt;2,"0-1 Years",IF(HR_Data[[#This Row],[YearsAtCompany]]&lt;=5,"2-5 Years",IF(HR_Data[[#This Row],[YearsAtCompany]]&lt;=10,"6-10 Years","10+ Years")))</f>
        <v>10+ Years</v>
      </c>
      <c r="AO916" t="str">
        <f>IF(HR_Data[[#This Row],[JobSatisfaction]]=1,"Low",IF(HR_Data[[#This Row],[JobSatisfaction]]=2,"Medium",IF(HR_Data[[#This Row],[JobSatisfaction]]=3,"High","Very High")))</f>
        <v>Medium</v>
      </c>
      <c r="AP916" t="str">
        <f>IF(HR_Data[[#This Row],[WorkLifeBalance]]=1,"Bad",IF(HR_Data[[#This Row],[WorkLifeBalance]]=2,"Good",IF(HR_Data[[#This Row],[WorkLifeBalance]]=3,"Better","Best")))</f>
        <v>Better</v>
      </c>
    </row>
    <row r="917" spans="1:42"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IF(HR_Data[[#This Row],[Attrition]]="Yes",1,0)</f>
        <v>1</v>
      </c>
      <c r="AK917">
        <f>IF(HR_Data[[#This Row],[Attrition]]="No",1,0)</f>
        <v>0</v>
      </c>
      <c r="AL917" t="str">
        <f>IF(HR_Data[[#This Row],[Age]]&lt;25,"Under 25",IF(HR_Data[[#This Row],[Age]]&lt;=34,"25-34",IF(HR_Data[[#This Row],[Age]]&lt;=44,"35-44",IF(HR_Data[[#This Row],[Age]]&lt;=54,"45-54","55+"))))</f>
        <v>Under 25</v>
      </c>
      <c r="AM917" t="str">
        <f>IF(HR_Data[[#This Row],[MonthlyIncome]]&lt;3000,"Low Salary",IF(HR_Data[[#This Row],[MonthlyIncome]]&lt;=7000,"Medium Salary","High Salary"))</f>
        <v>Low Salary</v>
      </c>
      <c r="AN917" t="str">
        <f>IF(HR_Data[[#This Row],[YearsAtCompany]]&lt;2,"0-1 Years",IF(HR_Data[[#This Row],[YearsAtCompany]]&lt;=5,"2-5 Years",IF(HR_Data[[#This Row],[YearsAtCompany]]&lt;=10,"6-10 Years","10+ Years")))</f>
        <v>2-5 Years</v>
      </c>
      <c r="AO917" t="str">
        <f>IF(HR_Data[[#This Row],[JobSatisfaction]]=1,"Low",IF(HR_Data[[#This Row],[JobSatisfaction]]=2,"Medium",IF(HR_Data[[#This Row],[JobSatisfaction]]=3,"High","Very High")))</f>
        <v>High</v>
      </c>
      <c r="AP917" t="str">
        <f>IF(HR_Data[[#This Row],[WorkLifeBalance]]=1,"Bad",IF(HR_Data[[#This Row],[WorkLifeBalance]]=2,"Good",IF(HR_Data[[#This Row],[WorkLifeBalance]]=3,"Better","Best")))</f>
        <v>Bad</v>
      </c>
    </row>
    <row r="918" spans="1:42"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IF(HR_Data[[#This Row],[Attrition]]="Yes",1,0)</f>
        <v>0</v>
      </c>
      <c r="AK918">
        <f>IF(HR_Data[[#This Row],[Attrition]]="No",1,0)</f>
        <v>1</v>
      </c>
      <c r="AL918" t="str">
        <f>IF(HR_Data[[#This Row],[Age]]&lt;25,"Under 25",IF(HR_Data[[#This Row],[Age]]&lt;=34,"25-34",IF(HR_Data[[#This Row],[Age]]&lt;=44,"35-44",IF(HR_Data[[#This Row],[Age]]&lt;=54,"45-54","55+"))))</f>
        <v>45-54</v>
      </c>
      <c r="AM918" t="str">
        <f>IF(HR_Data[[#This Row],[MonthlyIncome]]&lt;3000,"Low Salary",IF(HR_Data[[#This Row],[MonthlyIncome]]&lt;=7000,"Medium Salary","High Salary"))</f>
        <v>High Salary</v>
      </c>
      <c r="AN918" t="str">
        <f>IF(HR_Data[[#This Row],[YearsAtCompany]]&lt;2,"0-1 Years",IF(HR_Data[[#This Row],[YearsAtCompany]]&lt;=5,"2-5 Years",IF(HR_Data[[#This Row],[YearsAtCompany]]&lt;=10,"6-10 Years","10+ Years")))</f>
        <v>10+ Years</v>
      </c>
      <c r="AO918" t="str">
        <f>IF(HR_Data[[#This Row],[JobSatisfaction]]=1,"Low",IF(HR_Data[[#This Row],[JobSatisfaction]]=2,"Medium",IF(HR_Data[[#This Row],[JobSatisfaction]]=3,"High","Very High")))</f>
        <v>Medium</v>
      </c>
      <c r="AP918" t="str">
        <f>IF(HR_Data[[#This Row],[WorkLifeBalance]]=1,"Bad",IF(HR_Data[[#This Row],[WorkLifeBalance]]=2,"Good",IF(HR_Data[[#This Row],[WorkLifeBalance]]=3,"Better","Best")))</f>
        <v>Better</v>
      </c>
    </row>
    <row r="919" spans="1:42"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IF(HR_Data[[#This Row],[Attrition]]="Yes",1,0)</f>
        <v>0</v>
      </c>
      <c r="AK919">
        <f>IF(HR_Data[[#This Row],[Attrition]]="No",1,0)</f>
        <v>1</v>
      </c>
      <c r="AL919" t="str">
        <f>IF(HR_Data[[#This Row],[Age]]&lt;25,"Under 25",IF(HR_Data[[#This Row],[Age]]&lt;=34,"25-34",IF(HR_Data[[#This Row],[Age]]&lt;=44,"35-44",IF(HR_Data[[#This Row],[Age]]&lt;=54,"45-54","55+"))))</f>
        <v>25-34</v>
      </c>
      <c r="AM919" t="str">
        <f>IF(HR_Data[[#This Row],[MonthlyIncome]]&lt;3000,"Low Salary",IF(HR_Data[[#This Row],[MonthlyIncome]]&lt;=7000,"Medium Salary","High Salary"))</f>
        <v>Medium Salary</v>
      </c>
      <c r="AN919" t="str">
        <f>IF(HR_Data[[#This Row],[YearsAtCompany]]&lt;2,"0-1 Years",IF(HR_Data[[#This Row],[YearsAtCompany]]&lt;=5,"2-5 Years",IF(HR_Data[[#This Row],[YearsAtCompany]]&lt;=10,"6-10 Years","10+ Years")))</f>
        <v>2-5 Years</v>
      </c>
      <c r="AO919" t="str">
        <f>IF(HR_Data[[#This Row],[JobSatisfaction]]=1,"Low",IF(HR_Data[[#This Row],[JobSatisfaction]]=2,"Medium",IF(HR_Data[[#This Row],[JobSatisfaction]]=3,"High","Very High")))</f>
        <v>Low</v>
      </c>
      <c r="AP919" t="str">
        <f>IF(HR_Data[[#This Row],[WorkLifeBalance]]=1,"Bad",IF(HR_Data[[#This Row],[WorkLifeBalance]]=2,"Good",IF(HR_Data[[#This Row],[WorkLifeBalance]]=3,"Better","Best")))</f>
        <v>Better</v>
      </c>
    </row>
    <row r="920" spans="1:42"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IF(HR_Data[[#This Row],[Attrition]]="Yes",1,0)</f>
        <v>0</v>
      </c>
      <c r="AK920">
        <f>IF(HR_Data[[#This Row],[Attrition]]="No",1,0)</f>
        <v>1</v>
      </c>
      <c r="AL920" t="str">
        <f>IF(HR_Data[[#This Row],[Age]]&lt;25,"Under 25",IF(HR_Data[[#This Row],[Age]]&lt;=34,"25-34",IF(HR_Data[[#This Row],[Age]]&lt;=44,"35-44",IF(HR_Data[[#This Row],[Age]]&lt;=54,"45-54","55+"))))</f>
        <v>45-54</v>
      </c>
      <c r="AM920" t="str">
        <f>IF(HR_Data[[#This Row],[MonthlyIncome]]&lt;3000,"Low Salary",IF(HR_Data[[#This Row],[MonthlyIncome]]&lt;=7000,"Medium Salary","High Salary"))</f>
        <v>High Salary</v>
      </c>
      <c r="AN920" t="str">
        <f>IF(HR_Data[[#This Row],[YearsAtCompany]]&lt;2,"0-1 Years",IF(HR_Data[[#This Row],[YearsAtCompany]]&lt;=5,"2-5 Years",IF(HR_Data[[#This Row],[YearsAtCompany]]&lt;=10,"6-10 Years","10+ Years")))</f>
        <v>10+ Years</v>
      </c>
      <c r="AO920" t="str">
        <f>IF(HR_Data[[#This Row],[JobSatisfaction]]=1,"Low",IF(HR_Data[[#This Row],[JobSatisfaction]]=2,"Medium",IF(HR_Data[[#This Row],[JobSatisfaction]]=3,"High","Very High")))</f>
        <v>Medium</v>
      </c>
      <c r="AP920" t="str">
        <f>IF(HR_Data[[#This Row],[WorkLifeBalance]]=1,"Bad",IF(HR_Data[[#This Row],[WorkLifeBalance]]=2,"Good",IF(HR_Data[[#This Row],[WorkLifeBalance]]=3,"Better","Best")))</f>
        <v>Good</v>
      </c>
    </row>
    <row r="921" spans="1:42"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IF(HR_Data[[#This Row],[Attrition]]="Yes",1,0)</f>
        <v>0</v>
      </c>
      <c r="AK921">
        <f>IF(HR_Data[[#This Row],[Attrition]]="No",1,0)</f>
        <v>1</v>
      </c>
      <c r="AL921" t="str">
        <f>IF(HR_Data[[#This Row],[Age]]&lt;25,"Under 25",IF(HR_Data[[#This Row],[Age]]&lt;=34,"25-34",IF(HR_Data[[#This Row],[Age]]&lt;=44,"35-44",IF(HR_Data[[#This Row],[Age]]&lt;=54,"45-54","55+"))))</f>
        <v>55+</v>
      </c>
      <c r="AM921" t="str">
        <f>IF(HR_Data[[#This Row],[MonthlyIncome]]&lt;3000,"Low Salary",IF(HR_Data[[#This Row],[MonthlyIncome]]&lt;=7000,"Medium Salary","High Salary"))</f>
        <v>High Salary</v>
      </c>
      <c r="AN921" t="str">
        <f>IF(HR_Data[[#This Row],[YearsAtCompany]]&lt;2,"0-1 Years",IF(HR_Data[[#This Row],[YearsAtCompany]]&lt;=5,"2-5 Years",IF(HR_Data[[#This Row],[YearsAtCompany]]&lt;=10,"6-10 Years","10+ Years")))</f>
        <v>6-10 Years</v>
      </c>
      <c r="AO921" t="str">
        <f>IF(HR_Data[[#This Row],[JobSatisfaction]]=1,"Low",IF(HR_Data[[#This Row],[JobSatisfaction]]=2,"Medium",IF(HR_Data[[#This Row],[JobSatisfaction]]=3,"High","Very High")))</f>
        <v>Very High</v>
      </c>
      <c r="AP921" t="str">
        <f>IF(HR_Data[[#This Row],[WorkLifeBalance]]=1,"Bad",IF(HR_Data[[#This Row],[WorkLifeBalance]]=2,"Good",IF(HR_Data[[#This Row],[WorkLifeBalance]]=3,"Better","Best")))</f>
        <v>Good</v>
      </c>
    </row>
    <row r="922" spans="1:42"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IF(HR_Data[[#This Row],[Attrition]]="Yes",1,0)</f>
        <v>0</v>
      </c>
      <c r="AK922">
        <f>IF(HR_Data[[#This Row],[Attrition]]="No",1,0)</f>
        <v>1</v>
      </c>
      <c r="AL922" t="str">
        <f>IF(HR_Data[[#This Row],[Age]]&lt;25,"Under 25",IF(HR_Data[[#This Row],[Age]]&lt;=34,"25-34",IF(HR_Data[[#This Row],[Age]]&lt;=44,"35-44",IF(HR_Data[[#This Row],[Age]]&lt;=54,"45-54","55+"))))</f>
        <v>25-34</v>
      </c>
      <c r="AM922" t="str">
        <f>IF(HR_Data[[#This Row],[MonthlyIncome]]&lt;3000,"Low Salary",IF(HR_Data[[#This Row],[MonthlyIncome]]&lt;=7000,"Medium Salary","High Salary"))</f>
        <v>Medium Salary</v>
      </c>
      <c r="AN922" t="str">
        <f>IF(HR_Data[[#This Row],[YearsAtCompany]]&lt;2,"0-1 Years",IF(HR_Data[[#This Row],[YearsAtCompany]]&lt;=5,"2-5 Years",IF(HR_Data[[#This Row],[YearsAtCompany]]&lt;=10,"6-10 Years","10+ Years")))</f>
        <v>10+ Years</v>
      </c>
      <c r="AO922" t="str">
        <f>IF(HR_Data[[#This Row],[JobSatisfaction]]=1,"Low",IF(HR_Data[[#This Row],[JobSatisfaction]]=2,"Medium",IF(HR_Data[[#This Row],[JobSatisfaction]]=3,"High","Very High")))</f>
        <v>Medium</v>
      </c>
      <c r="AP922" t="str">
        <f>IF(HR_Data[[#This Row],[WorkLifeBalance]]=1,"Bad",IF(HR_Data[[#This Row],[WorkLifeBalance]]=2,"Good",IF(HR_Data[[#This Row],[WorkLifeBalance]]=3,"Better","Best")))</f>
        <v>Best</v>
      </c>
    </row>
    <row r="923" spans="1:42"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IF(HR_Data[[#This Row],[Attrition]]="Yes",1,0)</f>
        <v>0</v>
      </c>
      <c r="AK923">
        <f>IF(HR_Data[[#This Row],[Attrition]]="No",1,0)</f>
        <v>1</v>
      </c>
      <c r="AL923" t="str">
        <f>IF(HR_Data[[#This Row],[Age]]&lt;25,"Under 25",IF(HR_Data[[#This Row],[Age]]&lt;=34,"25-34",IF(HR_Data[[#This Row],[Age]]&lt;=44,"35-44",IF(HR_Data[[#This Row],[Age]]&lt;=54,"45-54","55+"))))</f>
        <v>25-34</v>
      </c>
      <c r="AM923" t="str">
        <f>IF(HR_Data[[#This Row],[MonthlyIncome]]&lt;3000,"Low Salary",IF(HR_Data[[#This Row],[MonthlyIncome]]&lt;=7000,"Medium Salary","High Salary"))</f>
        <v>Low Salary</v>
      </c>
      <c r="AN923" t="str">
        <f>IF(HR_Data[[#This Row],[YearsAtCompany]]&lt;2,"0-1 Years",IF(HR_Data[[#This Row],[YearsAtCompany]]&lt;=5,"2-5 Years",IF(HR_Data[[#This Row],[YearsAtCompany]]&lt;=10,"6-10 Years","10+ Years")))</f>
        <v>2-5 Years</v>
      </c>
      <c r="AO923" t="str">
        <f>IF(HR_Data[[#This Row],[JobSatisfaction]]=1,"Low",IF(HR_Data[[#This Row],[JobSatisfaction]]=2,"Medium",IF(HR_Data[[#This Row],[JobSatisfaction]]=3,"High","Very High")))</f>
        <v>High</v>
      </c>
      <c r="AP923" t="str">
        <f>IF(HR_Data[[#This Row],[WorkLifeBalance]]=1,"Bad",IF(HR_Data[[#This Row],[WorkLifeBalance]]=2,"Good",IF(HR_Data[[#This Row],[WorkLifeBalance]]=3,"Better","Best")))</f>
        <v>Good</v>
      </c>
    </row>
    <row r="924" spans="1:42"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IF(HR_Data[[#This Row],[Attrition]]="Yes",1,0)</f>
        <v>0</v>
      </c>
      <c r="AK924">
        <f>IF(HR_Data[[#This Row],[Attrition]]="No",1,0)</f>
        <v>1</v>
      </c>
      <c r="AL924" t="str">
        <f>IF(HR_Data[[#This Row],[Age]]&lt;25,"Under 25",IF(HR_Data[[#This Row],[Age]]&lt;=34,"25-34",IF(HR_Data[[#This Row],[Age]]&lt;=44,"35-44",IF(HR_Data[[#This Row],[Age]]&lt;=54,"45-54","55+"))))</f>
        <v>35-44</v>
      </c>
      <c r="AM924" t="str">
        <f>IF(HR_Data[[#This Row],[MonthlyIncome]]&lt;3000,"Low Salary",IF(HR_Data[[#This Row],[MonthlyIncome]]&lt;=7000,"Medium Salary","High Salary"))</f>
        <v>High Salary</v>
      </c>
      <c r="AN924" t="str">
        <f>IF(HR_Data[[#This Row],[YearsAtCompany]]&lt;2,"0-1 Years",IF(HR_Data[[#This Row],[YearsAtCompany]]&lt;=5,"2-5 Years",IF(HR_Data[[#This Row],[YearsAtCompany]]&lt;=10,"6-10 Years","10+ Years")))</f>
        <v>10+ Years</v>
      </c>
      <c r="AO924" t="str">
        <f>IF(HR_Data[[#This Row],[JobSatisfaction]]=1,"Low",IF(HR_Data[[#This Row],[JobSatisfaction]]=2,"Medium",IF(HR_Data[[#This Row],[JobSatisfaction]]=3,"High","Very High")))</f>
        <v>Low</v>
      </c>
      <c r="AP924" t="str">
        <f>IF(HR_Data[[#This Row],[WorkLifeBalance]]=1,"Bad",IF(HR_Data[[#This Row],[WorkLifeBalance]]=2,"Good",IF(HR_Data[[#This Row],[WorkLifeBalance]]=3,"Better","Best")))</f>
        <v>Good</v>
      </c>
    </row>
    <row r="925" spans="1:42"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IF(HR_Data[[#This Row],[Attrition]]="Yes",1,0)</f>
        <v>0</v>
      </c>
      <c r="AK925">
        <f>IF(HR_Data[[#This Row],[Attrition]]="No",1,0)</f>
        <v>1</v>
      </c>
      <c r="AL925" t="str">
        <f>IF(HR_Data[[#This Row],[Age]]&lt;25,"Under 25",IF(HR_Data[[#This Row],[Age]]&lt;=34,"25-34",IF(HR_Data[[#This Row],[Age]]&lt;=44,"35-44",IF(HR_Data[[#This Row],[Age]]&lt;=54,"45-54","55+"))))</f>
        <v>25-34</v>
      </c>
      <c r="AM925" t="str">
        <f>IF(HR_Data[[#This Row],[MonthlyIncome]]&lt;3000,"Low Salary",IF(HR_Data[[#This Row],[MonthlyIncome]]&lt;=7000,"Medium Salary","High Salary"))</f>
        <v>Medium Salary</v>
      </c>
      <c r="AN925" t="str">
        <f>IF(HR_Data[[#This Row],[YearsAtCompany]]&lt;2,"0-1 Years",IF(HR_Data[[#This Row],[YearsAtCompany]]&lt;=5,"2-5 Years",IF(HR_Data[[#This Row],[YearsAtCompany]]&lt;=10,"6-10 Years","10+ Years")))</f>
        <v>6-10 Years</v>
      </c>
      <c r="AO925" t="str">
        <f>IF(HR_Data[[#This Row],[JobSatisfaction]]=1,"Low",IF(HR_Data[[#This Row],[JobSatisfaction]]=2,"Medium",IF(HR_Data[[#This Row],[JobSatisfaction]]=3,"High","Very High")))</f>
        <v>Medium</v>
      </c>
      <c r="AP925" t="str">
        <f>IF(HR_Data[[#This Row],[WorkLifeBalance]]=1,"Bad",IF(HR_Data[[#This Row],[WorkLifeBalance]]=2,"Good",IF(HR_Data[[#This Row],[WorkLifeBalance]]=3,"Better","Best")))</f>
        <v>Best</v>
      </c>
    </row>
    <row r="926" spans="1:42"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IF(HR_Data[[#This Row],[Attrition]]="Yes",1,0)</f>
        <v>0</v>
      </c>
      <c r="AK926">
        <f>IF(HR_Data[[#This Row],[Attrition]]="No",1,0)</f>
        <v>1</v>
      </c>
      <c r="AL926" t="str">
        <f>IF(HR_Data[[#This Row],[Age]]&lt;25,"Under 25",IF(HR_Data[[#This Row],[Age]]&lt;=34,"25-34",IF(HR_Data[[#This Row],[Age]]&lt;=44,"35-44",IF(HR_Data[[#This Row],[Age]]&lt;=54,"45-54","55+"))))</f>
        <v>35-44</v>
      </c>
      <c r="AM926" t="str">
        <f>IF(HR_Data[[#This Row],[MonthlyIncome]]&lt;3000,"Low Salary",IF(HR_Data[[#This Row],[MonthlyIncome]]&lt;=7000,"Medium Salary","High Salary"))</f>
        <v>Medium Salary</v>
      </c>
      <c r="AN926" t="str">
        <f>IF(HR_Data[[#This Row],[YearsAtCompany]]&lt;2,"0-1 Years",IF(HR_Data[[#This Row],[YearsAtCompany]]&lt;=5,"2-5 Years",IF(HR_Data[[#This Row],[YearsAtCompany]]&lt;=10,"6-10 Years","10+ Years")))</f>
        <v>2-5 Years</v>
      </c>
      <c r="AO926" t="str">
        <f>IF(HR_Data[[#This Row],[JobSatisfaction]]=1,"Low",IF(HR_Data[[#This Row],[JobSatisfaction]]=2,"Medium",IF(HR_Data[[#This Row],[JobSatisfaction]]=3,"High","Very High")))</f>
        <v>High</v>
      </c>
      <c r="AP926" t="str">
        <f>IF(HR_Data[[#This Row],[WorkLifeBalance]]=1,"Bad",IF(HR_Data[[#This Row],[WorkLifeBalance]]=2,"Good",IF(HR_Data[[#This Row],[WorkLifeBalance]]=3,"Better","Best")))</f>
        <v>Better</v>
      </c>
    </row>
    <row r="927" spans="1:42"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IF(HR_Data[[#This Row],[Attrition]]="Yes",1,0)</f>
        <v>0</v>
      </c>
      <c r="AK927">
        <f>IF(HR_Data[[#This Row],[Attrition]]="No",1,0)</f>
        <v>1</v>
      </c>
      <c r="AL927" t="str">
        <f>IF(HR_Data[[#This Row],[Age]]&lt;25,"Under 25",IF(HR_Data[[#This Row],[Age]]&lt;=34,"25-34",IF(HR_Data[[#This Row],[Age]]&lt;=44,"35-44",IF(HR_Data[[#This Row],[Age]]&lt;=54,"45-54","55+"))))</f>
        <v>35-44</v>
      </c>
      <c r="AM927" t="str">
        <f>IF(HR_Data[[#This Row],[MonthlyIncome]]&lt;3000,"Low Salary",IF(HR_Data[[#This Row],[MonthlyIncome]]&lt;=7000,"Medium Salary","High Salary"))</f>
        <v>Low Salary</v>
      </c>
      <c r="AN927" t="str">
        <f>IF(HR_Data[[#This Row],[YearsAtCompany]]&lt;2,"0-1 Years",IF(HR_Data[[#This Row],[YearsAtCompany]]&lt;=5,"2-5 Years",IF(HR_Data[[#This Row],[YearsAtCompany]]&lt;=10,"6-10 Years","10+ Years")))</f>
        <v>0-1 Years</v>
      </c>
      <c r="AO927" t="str">
        <f>IF(HR_Data[[#This Row],[JobSatisfaction]]=1,"Low",IF(HR_Data[[#This Row],[JobSatisfaction]]=2,"Medium",IF(HR_Data[[#This Row],[JobSatisfaction]]=3,"High","Very High")))</f>
        <v>Medium</v>
      </c>
      <c r="AP927" t="str">
        <f>IF(HR_Data[[#This Row],[WorkLifeBalance]]=1,"Bad",IF(HR_Data[[#This Row],[WorkLifeBalance]]=2,"Good",IF(HR_Data[[#This Row],[WorkLifeBalance]]=3,"Better","Best")))</f>
        <v>Better</v>
      </c>
    </row>
    <row r="928" spans="1:42"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IF(HR_Data[[#This Row],[Attrition]]="Yes",1,0)</f>
        <v>0</v>
      </c>
      <c r="AK928">
        <f>IF(HR_Data[[#This Row],[Attrition]]="No",1,0)</f>
        <v>1</v>
      </c>
      <c r="AL928" t="str">
        <f>IF(HR_Data[[#This Row],[Age]]&lt;25,"Under 25",IF(HR_Data[[#This Row],[Age]]&lt;=34,"25-34",IF(HR_Data[[#This Row],[Age]]&lt;=44,"35-44",IF(HR_Data[[#This Row],[Age]]&lt;=54,"45-54","55+"))))</f>
        <v>35-44</v>
      </c>
      <c r="AM928" t="str">
        <f>IF(HR_Data[[#This Row],[MonthlyIncome]]&lt;3000,"Low Salary",IF(HR_Data[[#This Row],[MonthlyIncome]]&lt;=7000,"Medium Salary","High Salary"))</f>
        <v>High Salary</v>
      </c>
      <c r="AN928" t="str">
        <f>IF(HR_Data[[#This Row],[YearsAtCompany]]&lt;2,"0-1 Years",IF(HR_Data[[#This Row],[YearsAtCompany]]&lt;=5,"2-5 Years",IF(HR_Data[[#This Row],[YearsAtCompany]]&lt;=10,"6-10 Years","10+ Years")))</f>
        <v>10+ Years</v>
      </c>
      <c r="AO928" t="str">
        <f>IF(HR_Data[[#This Row],[JobSatisfaction]]=1,"Low",IF(HR_Data[[#This Row],[JobSatisfaction]]=2,"Medium",IF(HR_Data[[#This Row],[JobSatisfaction]]=3,"High","Very High")))</f>
        <v>Very High</v>
      </c>
      <c r="AP928" t="str">
        <f>IF(HR_Data[[#This Row],[WorkLifeBalance]]=1,"Bad",IF(HR_Data[[#This Row],[WorkLifeBalance]]=2,"Good",IF(HR_Data[[#This Row],[WorkLifeBalance]]=3,"Better","Best")))</f>
        <v>Best</v>
      </c>
    </row>
    <row r="929" spans="1:42"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IF(HR_Data[[#This Row],[Attrition]]="Yes",1,0)</f>
        <v>0</v>
      </c>
      <c r="AK929">
        <f>IF(HR_Data[[#This Row],[Attrition]]="No",1,0)</f>
        <v>1</v>
      </c>
      <c r="AL929" t="str">
        <f>IF(HR_Data[[#This Row],[Age]]&lt;25,"Under 25",IF(HR_Data[[#This Row],[Age]]&lt;=34,"25-34",IF(HR_Data[[#This Row],[Age]]&lt;=44,"35-44",IF(HR_Data[[#This Row],[Age]]&lt;=54,"45-54","55+"))))</f>
        <v>35-44</v>
      </c>
      <c r="AM929" t="str">
        <f>IF(HR_Data[[#This Row],[MonthlyIncome]]&lt;3000,"Low Salary",IF(HR_Data[[#This Row],[MonthlyIncome]]&lt;=7000,"Medium Salary","High Salary"))</f>
        <v>Medium Salary</v>
      </c>
      <c r="AN929" t="str">
        <f>IF(HR_Data[[#This Row],[YearsAtCompany]]&lt;2,"0-1 Years",IF(HR_Data[[#This Row],[YearsAtCompany]]&lt;=5,"2-5 Years",IF(HR_Data[[#This Row],[YearsAtCompany]]&lt;=10,"6-10 Years","10+ Years")))</f>
        <v>10+ Years</v>
      </c>
      <c r="AO929" t="str">
        <f>IF(HR_Data[[#This Row],[JobSatisfaction]]=1,"Low",IF(HR_Data[[#This Row],[JobSatisfaction]]=2,"Medium",IF(HR_Data[[#This Row],[JobSatisfaction]]=3,"High","Very High")))</f>
        <v>Medium</v>
      </c>
      <c r="AP929" t="str">
        <f>IF(HR_Data[[#This Row],[WorkLifeBalance]]=1,"Bad",IF(HR_Data[[#This Row],[WorkLifeBalance]]=2,"Good",IF(HR_Data[[#This Row],[WorkLifeBalance]]=3,"Better","Best")))</f>
        <v>Better</v>
      </c>
    </row>
    <row r="930" spans="1:42"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IF(HR_Data[[#This Row],[Attrition]]="Yes",1,0)</f>
        <v>1</v>
      </c>
      <c r="AK930">
        <f>IF(HR_Data[[#This Row],[Attrition]]="No",1,0)</f>
        <v>0</v>
      </c>
      <c r="AL930" t="str">
        <f>IF(HR_Data[[#This Row],[Age]]&lt;25,"Under 25",IF(HR_Data[[#This Row],[Age]]&lt;=34,"25-34",IF(HR_Data[[#This Row],[Age]]&lt;=44,"35-44",IF(HR_Data[[#This Row],[Age]]&lt;=54,"45-54","55+"))))</f>
        <v>35-44</v>
      </c>
      <c r="AM930" t="str">
        <f>IF(HR_Data[[#This Row],[MonthlyIncome]]&lt;3000,"Low Salary",IF(HR_Data[[#This Row],[MonthlyIncome]]&lt;=7000,"Medium Salary","High Salary"))</f>
        <v>High Salary</v>
      </c>
      <c r="AN930" t="str">
        <f>IF(HR_Data[[#This Row],[YearsAtCompany]]&lt;2,"0-1 Years",IF(HR_Data[[#This Row],[YearsAtCompany]]&lt;=5,"2-5 Years",IF(HR_Data[[#This Row],[YearsAtCompany]]&lt;=10,"6-10 Years","10+ Years")))</f>
        <v>6-10 Years</v>
      </c>
      <c r="AO930" t="str">
        <f>IF(HR_Data[[#This Row],[JobSatisfaction]]=1,"Low",IF(HR_Data[[#This Row],[JobSatisfaction]]=2,"Medium",IF(HR_Data[[#This Row],[JobSatisfaction]]=3,"High","Very High")))</f>
        <v>Very High</v>
      </c>
      <c r="AP930" t="str">
        <f>IF(HR_Data[[#This Row],[WorkLifeBalance]]=1,"Bad",IF(HR_Data[[#This Row],[WorkLifeBalance]]=2,"Good",IF(HR_Data[[#This Row],[WorkLifeBalance]]=3,"Better","Best")))</f>
        <v>Better</v>
      </c>
    </row>
    <row r="931" spans="1:42"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IF(HR_Data[[#This Row],[Attrition]]="Yes",1,0)</f>
        <v>0</v>
      </c>
      <c r="AK931">
        <f>IF(HR_Data[[#This Row],[Attrition]]="No",1,0)</f>
        <v>1</v>
      </c>
      <c r="AL931" t="str">
        <f>IF(HR_Data[[#This Row],[Age]]&lt;25,"Under 25",IF(HR_Data[[#This Row],[Age]]&lt;=34,"25-34",IF(HR_Data[[#This Row],[Age]]&lt;=44,"35-44",IF(HR_Data[[#This Row],[Age]]&lt;=54,"45-54","55+"))))</f>
        <v>25-34</v>
      </c>
      <c r="AM931" t="str">
        <f>IF(HR_Data[[#This Row],[MonthlyIncome]]&lt;3000,"Low Salary",IF(HR_Data[[#This Row],[MonthlyIncome]]&lt;=7000,"Medium Salary","High Salary"))</f>
        <v>Medium Salary</v>
      </c>
      <c r="AN931" t="str">
        <f>IF(HR_Data[[#This Row],[YearsAtCompany]]&lt;2,"0-1 Years",IF(HR_Data[[#This Row],[YearsAtCompany]]&lt;=5,"2-5 Years",IF(HR_Data[[#This Row],[YearsAtCompany]]&lt;=10,"6-10 Years","10+ Years")))</f>
        <v>2-5 Years</v>
      </c>
      <c r="AO931" t="str">
        <f>IF(HR_Data[[#This Row],[JobSatisfaction]]=1,"Low",IF(HR_Data[[#This Row],[JobSatisfaction]]=2,"Medium",IF(HR_Data[[#This Row],[JobSatisfaction]]=3,"High","Very High")))</f>
        <v>Very High</v>
      </c>
      <c r="AP931" t="str">
        <f>IF(HR_Data[[#This Row],[WorkLifeBalance]]=1,"Bad",IF(HR_Data[[#This Row],[WorkLifeBalance]]=2,"Good",IF(HR_Data[[#This Row],[WorkLifeBalance]]=3,"Better","Best")))</f>
        <v>Better</v>
      </c>
    </row>
    <row r="932" spans="1:42"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IF(HR_Data[[#This Row],[Attrition]]="Yes",1,0)</f>
        <v>0</v>
      </c>
      <c r="AK932">
        <f>IF(HR_Data[[#This Row],[Attrition]]="No",1,0)</f>
        <v>1</v>
      </c>
      <c r="AL932" t="str">
        <f>IF(HR_Data[[#This Row],[Age]]&lt;25,"Under 25",IF(HR_Data[[#This Row],[Age]]&lt;=34,"25-34",IF(HR_Data[[#This Row],[Age]]&lt;=44,"35-44",IF(HR_Data[[#This Row],[Age]]&lt;=54,"45-54","55+"))))</f>
        <v>45-54</v>
      </c>
      <c r="AM932" t="str">
        <f>IF(HR_Data[[#This Row],[MonthlyIncome]]&lt;3000,"Low Salary",IF(HR_Data[[#This Row],[MonthlyIncome]]&lt;=7000,"Medium Salary","High Salary"))</f>
        <v>Low Salary</v>
      </c>
      <c r="AN932" t="str">
        <f>IF(HR_Data[[#This Row],[YearsAtCompany]]&lt;2,"0-1 Years",IF(HR_Data[[#This Row],[YearsAtCompany]]&lt;=5,"2-5 Years",IF(HR_Data[[#This Row],[YearsAtCompany]]&lt;=10,"6-10 Years","10+ Years")))</f>
        <v>6-10 Years</v>
      </c>
      <c r="AO932" t="str">
        <f>IF(HR_Data[[#This Row],[JobSatisfaction]]=1,"Low",IF(HR_Data[[#This Row],[JobSatisfaction]]=2,"Medium",IF(HR_Data[[#This Row],[JobSatisfaction]]=3,"High","Very High")))</f>
        <v>High</v>
      </c>
      <c r="AP932" t="str">
        <f>IF(HR_Data[[#This Row],[WorkLifeBalance]]=1,"Bad",IF(HR_Data[[#This Row],[WorkLifeBalance]]=2,"Good",IF(HR_Data[[#This Row],[WorkLifeBalance]]=3,"Better","Best")))</f>
        <v>Good</v>
      </c>
    </row>
    <row r="933" spans="1:42"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IF(HR_Data[[#This Row],[Attrition]]="Yes",1,0)</f>
        <v>0</v>
      </c>
      <c r="AK933">
        <f>IF(HR_Data[[#This Row],[Attrition]]="No",1,0)</f>
        <v>1</v>
      </c>
      <c r="AL933" t="str">
        <f>IF(HR_Data[[#This Row],[Age]]&lt;25,"Under 25",IF(HR_Data[[#This Row],[Age]]&lt;=34,"25-34",IF(HR_Data[[#This Row],[Age]]&lt;=44,"35-44",IF(HR_Data[[#This Row],[Age]]&lt;=54,"45-54","55+"))))</f>
        <v>25-34</v>
      </c>
      <c r="AM933" t="str">
        <f>IF(HR_Data[[#This Row],[MonthlyIncome]]&lt;3000,"Low Salary",IF(HR_Data[[#This Row],[MonthlyIncome]]&lt;=7000,"Medium Salary","High Salary"))</f>
        <v>Medium Salary</v>
      </c>
      <c r="AN933" t="str">
        <f>IF(HR_Data[[#This Row],[YearsAtCompany]]&lt;2,"0-1 Years",IF(HR_Data[[#This Row],[YearsAtCompany]]&lt;=5,"2-5 Years",IF(HR_Data[[#This Row],[YearsAtCompany]]&lt;=10,"6-10 Years","10+ Years")))</f>
        <v>6-10 Years</v>
      </c>
      <c r="AO933" t="str">
        <f>IF(HR_Data[[#This Row],[JobSatisfaction]]=1,"Low",IF(HR_Data[[#This Row],[JobSatisfaction]]=2,"Medium",IF(HR_Data[[#This Row],[JobSatisfaction]]=3,"High","Very High")))</f>
        <v>High</v>
      </c>
      <c r="AP933" t="str">
        <f>IF(HR_Data[[#This Row],[WorkLifeBalance]]=1,"Bad",IF(HR_Data[[#This Row],[WorkLifeBalance]]=2,"Good",IF(HR_Data[[#This Row],[WorkLifeBalance]]=3,"Better","Best")))</f>
        <v>Better</v>
      </c>
    </row>
    <row r="934" spans="1:42"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IF(HR_Data[[#This Row],[Attrition]]="Yes",1,0)</f>
        <v>1</v>
      </c>
      <c r="AK934">
        <f>IF(HR_Data[[#This Row],[Attrition]]="No",1,0)</f>
        <v>0</v>
      </c>
      <c r="AL934" t="str">
        <f>IF(HR_Data[[#This Row],[Age]]&lt;25,"Under 25",IF(HR_Data[[#This Row],[Age]]&lt;=34,"25-34",IF(HR_Data[[#This Row],[Age]]&lt;=44,"35-44",IF(HR_Data[[#This Row],[Age]]&lt;=54,"45-54","55+"))))</f>
        <v>25-34</v>
      </c>
      <c r="AM934" t="str">
        <f>IF(HR_Data[[#This Row],[MonthlyIncome]]&lt;3000,"Low Salary",IF(HR_Data[[#This Row],[MonthlyIncome]]&lt;=7000,"Medium Salary","High Salary"))</f>
        <v>Medium Salary</v>
      </c>
      <c r="AN934" t="str">
        <f>IF(HR_Data[[#This Row],[YearsAtCompany]]&lt;2,"0-1 Years",IF(HR_Data[[#This Row],[YearsAtCompany]]&lt;=5,"2-5 Years",IF(HR_Data[[#This Row],[YearsAtCompany]]&lt;=10,"6-10 Years","10+ Years")))</f>
        <v>6-10 Years</v>
      </c>
      <c r="AO934" t="str">
        <f>IF(HR_Data[[#This Row],[JobSatisfaction]]=1,"Low",IF(HR_Data[[#This Row],[JobSatisfaction]]=2,"Medium",IF(HR_Data[[#This Row],[JobSatisfaction]]=3,"High","Very High")))</f>
        <v>High</v>
      </c>
      <c r="AP934" t="str">
        <f>IF(HR_Data[[#This Row],[WorkLifeBalance]]=1,"Bad",IF(HR_Data[[#This Row],[WorkLifeBalance]]=2,"Good",IF(HR_Data[[#This Row],[WorkLifeBalance]]=3,"Better","Best")))</f>
        <v>Better</v>
      </c>
    </row>
    <row r="935" spans="1:42"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IF(HR_Data[[#This Row],[Attrition]]="Yes",1,0)</f>
        <v>0</v>
      </c>
      <c r="AK935">
        <f>IF(HR_Data[[#This Row],[Attrition]]="No",1,0)</f>
        <v>1</v>
      </c>
      <c r="AL935" t="str">
        <f>IF(HR_Data[[#This Row],[Age]]&lt;25,"Under 25",IF(HR_Data[[#This Row],[Age]]&lt;=34,"25-34",IF(HR_Data[[#This Row],[Age]]&lt;=44,"35-44",IF(HR_Data[[#This Row],[Age]]&lt;=54,"45-54","55+"))))</f>
        <v>25-34</v>
      </c>
      <c r="AM935" t="str">
        <f>IF(HR_Data[[#This Row],[MonthlyIncome]]&lt;3000,"Low Salary",IF(HR_Data[[#This Row],[MonthlyIncome]]&lt;=7000,"Medium Salary","High Salary"))</f>
        <v>Low Salary</v>
      </c>
      <c r="AN935" t="str">
        <f>IF(HR_Data[[#This Row],[YearsAtCompany]]&lt;2,"0-1 Years",IF(HR_Data[[#This Row],[YearsAtCompany]]&lt;=5,"2-5 Years",IF(HR_Data[[#This Row],[YearsAtCompany]]&lt;=10,"6-10 Years","10+ Years")))</f>
        <v>2-5 Years</v>
      </c>
      <c r="AO935" t="str">
        <f>IF(HR_Data[[#This Row],[JobSatisfaction]]=1,"Low",IF(HR_Data[[#This Row],[JobSatisfaction]]=2,"Medium",IF(HR_Data[[#This Row],[JobSatisfaction]]=3,"High","Very High")))</f>
        <v>Low</v>
      </c>
      <c r="AP935" t="str">
        <f>IF(HR_Data[[#This Row],[WorkLifeBalance]]=1,"Bad",IF(HR_Data[[#This Row],[WorkLifeBalance]]=2,"Good",IF(HR_Data[[#This Row],[WorkLifeBalance]]=3,"Better","Best")))</f>
        <v>Good</v>
      </c>
    </row>
    <row r="936" spans="1:42"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IF(HR_Data[[#This Row],[Attrition]]="Yes",1,0)</f>
        <v>0</v>
      </c>
      <c r="AK936">
        <f>IF(HR_Data[[#This Row],[Attrition]]="No",1,0)</f>
        <v>1</v>
      </c>
      <c r="AL936" t="str">
        <f>IF(HR_Data[[#This Row],[Age]]&lt;25,"Under 25",IF(HR_Data[[#This Row],[Age]]&lt;=34,"25-34",IF(HR_Data[[#This Row],[Age]]&lt;=44,"35-44",IF(HR_Data[[#This Row],[Age]]&lt;=54,"45-54","55+"))))</f>
        <v>25-34</v>
      </c>
      <c r="AM936" t="str">
        <f>IF(HR_Data[[#This Row],[MonthlyIncome]]&lt;3000,"Low Salary",IF(HR_Data[[#This Row],[MonthlyIncome]]&lt;=7000,"Medium Salary","High Salary"))</f>
        <v>Low Salary</v>
      </c>
      <c r="AN936" t="str">
        <f>IF(HR_Data[[#This Row],[YearsAtCompany]]&lt;2,"0-1 Years",IF(HR_Data[[#This Row],[YearsAtCompany]]&lt;=5,"2-5 Years",IF(HR_Data[[#This Row],[YearsAtCompany]]&lt;=10,"6-10 Years","10+ Years")))</f>
        <v>2-5 Years</v>
      </c>
      <c r="AO936" t="str">
        <f>IF(HR_Data[[#This Row],[JobSatisfaction]]=1,"Low",IF(HR_Data[[#This Row],[JobSatisfaction]]=2,"Medium",IF(HR_Data[[#This Row],[JobSatisfaction]]=3,"High","Very High")))</f>
        <v>Medium</v>
      </c>
      <c r="AP936" t="str">
        <f>IF(HR_Data[[#This Row],[WorkLifeBalance]]=1,"Bad",IF(HR_Data[[#This Row],[WorkLifeBalance]]=2,"Good",IF(HR_Data[[#This Row],[WorkLifeBalance]]=3,"Better","Best")))</f>
        <v>Good</v>
      </c>
    </row>
    <row r="937" spans="1:42"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IF(HR_Data[[#This Row],[Attrition]]="Yes",1,0)</f>
        <v>0</v>
      </c>
      <c r="AK937">
        <f>IF(HR_Data[[#This Row],[Attrition]]="No",1,0)</f>
        <v>1</v>
      </c>
      <c r="AL937" t="str">
        <f>IF(HR_Data[[#This Row],[Age]]&lt;25,"Under 25",IF(HR_Data[[#This Row],[Age]]&lt;=34,"25-34",IF(HR_Data[[#This Row],[Age]]&lt;=44,"35-44",IF(HR_Data[[#This Row],[Age]]&lt;=54,"45-54","55+"))))</f>
        <v>25-34</v>
      </c>
      <c r="AM937" t="str">
        <f>IF(HR_Data[[#This Row],[MonthlyIncome]]&lt;3000,"Low Salary",IF(HR_Data[[#This Row],[MonthlyIncome]]&lt;=7000,"Medium Salary","High Salary"))</f>
        <v>Medium Salary</v>
      </c>
      <c r="AN937" t="str">
        <f>IF(HR_Data[[#This Row],[YearsAtCompany]]&lt;2,"0-1 Years",IF(HR_Data[[#This Row],[YearsAtCompany]]&lt;=5,"2-5 Years",IF(HR_Data[[#This Row],[YearsAtCompany]]&lt;=10,"6-10 Years","10+ Years")))</f>
        <v>6-10 Years</v>
      </c>
      <c r="AO937" t="str">
        <f>IF(HR_Data[[#This Row],[JobSatisfaction]]=1,"Low",IF(HR_Data[[#This Row],[JobSatisfaction]]=2,"Medium",IF(HR_Data[[#This Row],[JobSatisfaction]]=3,"High","Very High")))</f>
        <v>Very High</v>
      </c>
      <c r="AP937" t="str">
        <f>IF(HR_Data[[#This Row],[WorkLifeBalance]]=1,"Bad",IF(HR_Data[[#This Row],[WorkLifeBalance]]=2,"Good",IF(HR_Data[[#This Row],[WorkLifeBalance]]=3,"Better","Best")))</f>
        <v>Best</v>
      </c>
    </row>
    <row r="938" spans="1:42"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IF(HR_Data[[#This Row],[Attrition]]="Yes",1,0)</f>
        <v>0</v>
      </c>
      <c r="AK938">
        <f>IF(HR_Data[[#This Row],[Attrition]]="No",1,0)</f>
        <v>1</v>
      </c>
      <c r="AL938" t="str">
        <f>IF(HR_Data[[#This Row],[Age]]&lt;25,"Under 25",IF(HR_Data[[#This Row],[Age]]&lt;=34,"25-34",IF(HR_Data[[#This Row],[Age]]&lt;=44,"35-44",IF(HR_Data[[#This Row],[Age]]&lt;=54,"45-54","55+"))))</f>
        <v>45-54</v>
      </c>
      <c r="AM938" t="str">
        <f>IF(HR_Data[[#This Row],[MonthlyIncome]]&lt;3000,"Low Salary",IF(HR_Data[[#This Row],[MonthlyIncome]]&lt;=7000,"Medium Salary","High Salary"))</f>
        <v>High Salary</v>
      </c>
      <c r="AN938" t="str">
        <f>IF(HR_Data[[#This Row],[YearsAtCompany]]&lt;2,"0-1 Years",IF(HR_Data[[#This Row],[YearsAtCompany]]&lt;=5,"2-5 Years",IF(HR_Data[[#This Row],[YearsAtCompany]]&lt;=10,"6-10 Years","10+ Years")))</f>
        <v>0-1 Years</v>
      </c>
      <c r="AO938" t="str">
        <f>IF(HR_Data[[#This Row],[JobSatisfaction]]=1,"Low",IF(HR_Data[[#This Row],[JobSatisfaction]]=2,"Medium",IF(HR_Data[[#This Row],[JobSatisfaction]]=3,"High","Very High")))</f>
        <v>Medium</v>
      </c>
      <c r="AP938" t="str">
        <f>IF(HR_Data[[#This Row],[WorkLifeBalance]]=1,"Bad",IF(HR_Data[[#This Row],[WorkLifeBalance]]=2,"Good",IF(HR_Data[[#This Row],[WorkLifeBalance]]=3,"Better","Best")))</f>
        <v>Better</v>
      </c>
    </row>
    <row r="939" spans="1:42"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IF(HR_Data[[#This Row],[Attrition]]="Yes",1,0)</f>
        <v>0</v>
      </c>
      <c r="AK939">
        <f>IF(HR_Data[[#This Row],[Attrition]]="No",1,0)</f>
        <v>1</v>
      </c>
      <c r="AL939" t="str">
        <f>IF(HR_Data[[#This Row],[Age]]&lt;25,"Under 25",IF(HR_Data[[#This Row],[Age]]&lt;=34,"25-34",IF(HR_Data[[#This Row],[Age]]&lt;=44,"35-44",IF(HR_Data[[#This Row],[Age]]&lt;=54,"45-54","55+"))))</f>
        <v>35-44</v>
      </c>
      <c r="AM939" t="str">
        <f>IF(HR_Data[[#This Row],[MonthlyIncome]]&lt;3000,"Low Salary",IF(HR_Data[[#This Row],[MonthlyIncome]]&lt;=7000,"Medium Salary","High Salary"))</f>
        <v>High Salary</v>
      </c>
      <c r="AN939" t="str">
        <f>IF(HR_Data[[#This Row],[YearsAtCompany]]&lt;2,"0-1 Years",IF(HR_Data[[#This Row],[YearsAtCompany]]&lt;=5,"2-5 Years",IF(HR_Data[[#This Row],[YearsAtCompany]]&lt;=10,"6-10 Years","10+ Years")))</f>
        <v>10+ Years</v>
      </c>
      <c r="AO939" t="str">
        <f>IF(HR_Data[[#This Row],[JobSatisfaction]]=1,"Low",IF(HR_Data[[#This Row],[JobSatisfaction]]=2,"Medium",IF(HR_Data[[#This Row],[JobSatisfaction]]=3,"High","Very High")))</f>
        <v>Medium</v>
      </c>
      <c r="AP939" t="str">
        <f>IF(HR_Data[[#This Row],[WorkLifeBalance]]=1,"Bad",IF(HR_Data[[#This Row],[WorkLifeBalance]]=2,"Good",IF(HR_Data[[#This Row],[WorkLifeBalance]]=3,"Better","Best")))</f>
        <v>Better</v>
      </c>
    </row>
    <row r="940" spans="1:42"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IF(HR_Data[[#This Row],[Attrition]]="Yes",1,0)</f>
        <v>0</v>
      </c>
      <c r="AK940">
        <f>IF(HR_Data[[#This Row],[Attrition]]="No",1,0)</f>
        <v>1</v>
      </c>
      <c r="AL940" t="str">
        <f>IF(HR_Data[[#This Row],[Age]]&lt;25,"Under 25",IF(HR_Data[[#This Row],[Age]]&lt;=34,"25-34",IF(HR_Data[[#This Row],[Age]]&lt;=44,"35-44",IF(HR_Data[[#This Row],[Age]]&lt;=54,"45-54","55+"))))</f>
        <v>55+</v>
      </c>
      <c r="AM940" t="str">
        <f>IF(HR_Data[[#This Row],[MonthlyIncome]]&lt;3000,"Low Salary",IF(HR_Data[[#This Row],[MonthlyIncome]]&lt;=7000,"Medium Salary","High Salary"))</f>
        <v>Low Salary</v>
      </c>
      <c r="AN940" t="str">
        <f>IF(HR_Data[[#This Row],[YearsAtCompany]]&lt;2,"0-1 Years",IF(HR_Data[[#This Row],[YearsAtCompany]]&lt;=5,"2-5 Years",IF(HR_Data[[#This Row],[YearsAtCompany]]&lt;=10,"6-10 Years","10+ Years")))</f>
        <v>2-5 Years</v>
      </c>
      <c r="AO940" t="str">
        <f>IF(HR_Data[[#This Row],[JobSatisfaction]]=1,"Low",IF(HR_Data[[#This Row],[JobSatisfaction]]=2,"Medium",IF(HR_Data[[#This Row],[JobSatisfaction]]=3,"High","Very High")))</f>
        <v>High</v>
      </c>
      <c r="AP940" t="str">
        <f>IF(HR_Data[[#This Row],[WorkLifeBalance]]=1,"Bad",IF(HR_Data[[#This Row],[WorkLifeBalance]]=2,"Good",IF(HR_Data[[#This Row],[WorkLifeBalance]]=3,"Better","Best")))</f>
        <v>Better</v>
      </c>
    </row>
    <row r="941" spans="1:42"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IF(HR_Data[[#This Row],[Attrition]]="Yes",1,0)</f>
        <v>1</v>
      </c>
      <c r="AK941">
        <f>IF(HR_Data[[#This Row],[Attrition]]="No",1,0)</f>
        <v>0</v>
      </c>
      <c r="AL941" t="str">
        <f>IF(HR_Data[[#This Row],[Age]]&lt;25,"Under 25",IF(HR_Data[[#This Row],[Age]]&lt;=34,"25-34",IF(HR_Data[[#This Row],[Age]]&lt;=44,"35-44",IF(HR_Data[[#This Row],[Age]]&lt;=54,"45-54","55+"))))</f>
        <v>25-34</v>
      </c>
      <c r="AM941" t="str">
        <f>IF(HR_Data[[#This Row],[MonthlyIncome]]&lt;3000,"Low Salary",IF(HR_Data[[#This Row],[MonthlyIncome]]&lt;=7000,"Medium Salary","High Salary"))</f>
        <v>Medium Salary</v>
      </c>
      <c r="AN941" t="str">
        <f>IF(HR_Data[[#This Row],[YearsAtCompany]]&lt;2,"0-1 Years",IF(HR_Data[[#This Row],[YearsAtCompany]]&lt;=5,"2-5 Years",IF(HR_Data[[#This Row],[YearsAtCompany]]&lt;=10,"6-10 Years","10+ Years")))</f>
        <v>6-10 Years</v>
      </c>
      <c r="AO941" t="str">
        <f>IF(HR_Data[[#This Row],[JobSatisfaction]]=1,"Low",IF(HR_Data[[#This Row],[JobSatisfaction]]=2,"Medium",IF(HR_Data[[#This Row],[JobSatisfaction]]=3,"High","Very High")))</f>
        <v>High</v>
      </c>
      <c r="AP941" t="str">
        <f>IF(HR_Data[[#This Row],[WorkLifeBalance]]=1,"Bad",IF(HR_Data[[#This Row],[WorkLifeBalance]]=2,"Good",IF(HR_Data[[#This Row],[WorkLifeBalance]]=3,"Better","Best")))</f>
        <v>Better</v>
      </c>
    </row>
    <row r="942" spans="1:42"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IF(HR_Data[[#This Row],[Attrition]]="Yes",1,0)</f>
        <v>1</v>
      </c>
      <c r="AK942">
        <f>IF(HR_Data[[#This Row],[Attrition]]="No",1,0)</f>
        <v>0</v>
      </c>
      <c r="AL942" t="str">
        <f>IF(HR_Data[[#This Row],[Age]]&lt;25,"Under 25",IF(HR_Data[[#This Row],[Age]]&lt;=34,"25-34",IF(HR_Data[[#This Row],[Age]]&lt;=44,"35-44",IF(HR_Data[[#This Row],[Age]]&lt;=54,"45-54","55+"))))</f>
        <v>35-44</v>
      </c>
      <c r="AM942" t="str">
        <f>IF(HR_Data[[#This Row],[MonthlyIncome]]&lt;3000,"Low Salary",IF(HR_Data[[#This Row],[MonthlyIncome]]&lt;=7000,"Medium Salary","High Salary"))</f>
        <v>Medium Salary</v>
      </c>
      <c r="AN942" t="str">
        <f>IF(HR_Data[[#This Row],[YearsAtCompany]]&lt;2,"0-1 Years",IF(HR_Data[[#This Row],[YearsAtCompany]]&lt;=5,"2-5 Years",IF(HR_Data[[#This Row],[YearsAtCompany]]&lt;=10,"6-10 Years","10+ Years")))</f>
        <v>2-5 Years</v>
      </c>
      <c r="AO942" t="str">
        <f>IF(HR_Data[[#This Row],[JobSatisfaction]]=1,"Low",IF(HR_Data[[#This Row],[JobSatisfaction]]=2,"Medium",IF(HR_Data[[#This Row],[JobSatisfaction]]=3,"High","Very High")))</f>
        <v>Low</v>
      </c>
      <c r="AP942" t="str">
        <f>IF(HR_Data[[#This Row],[WorkLifeBalance]]=1,"Bad",IF(HR_Data[[#This Row],[WorkLifeBalance]]=2,"Good",IF(HR_Data[[#This Row],[WorkLifeBalance]]=3,"Better","Best")))</f>
        <v>Better</v>
      </c>
    </row>
    <row r="943" spans="1:42"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IF(HR_Data[[#This Row],[Attrition]]="Yes",1,0)</f>
        <v>0</v>
      </c>
      <c r="AK943">
        <f>IF(HR_Data[[#This Row],[Attrition]]="No",1,0)</f>
        <v>1</v>
      </c>
      <c r="AL943" t="str">
        <f>IF(HR_Data[[#This Row],[Age]]&lt;25,"Under 25",IF(HR_Data[[#This Row],[Age]]&lt;=34,"25-34",IF(HR_Data[[#This Row],[Age]]&lt;=44,"35-44",IF(HR_Data[[#This Row],[Age]]&lt;=54,"45-54","55+"))))</f>
        <v>25-34</v>
      </c>
      <c r="AM943" t="str">
        <f>IF(HR_Data[[#This Row],[MonthlyIncome]]&lt;3000,"Low Salary",IF(HR_Data[[#This Row],[MonthlyIncome]]&lt;=7000,"Medium Salary","High Salary"))</f>
        <v>Medium Salary</v>
      </c>
      <c r="AN943" t="str">
        <f>IF(HR_Data[[#This Row],[YearsAtCompany]]&lt;2,"0-1 Years",IF(HR_Data[[#This Row],[YearsAtCompany]]&lt;=5,"2-5 Years",IF(HR_Data[[#This Row],[YearsAtCompany]]&lt;=10,"6-10 Years","10+ Years")))</f>
        <v>6-10 Years</v>
      </c>
      <c r="AO943" t="str">
        <f>IF(HR_Data[[#This Row],[JobSatisfaction]]=1,"Low",IF(HR_Data[[#This Row],[JobSatisfaction]]=2,"Medium",IF(HR_Data[[#This Row],[JobSatisfaction]]=3,"High","Very High")))</f>
        <v>Very High</v>
      </c>
      <c r="AP943" t="str">
        <f>IF(HR_Data[[#This Row],[WorkLifeBalance]]=1,"Bad",IF(HR_Data[[#This Row],[WorkLifeBalance]]=2,"Good",IF(HR_Data[[#This Row],[WorkLifeBalance]]=3,"Better","Best")))</f>
        <v>Better</v>
      </c>
    </row>
    <row r="944" spans="1:42"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IF(HR_Data[[#This Row],[Attrition]]="Yes",1,0)</f>
        <v>0</v>
      </c>
      <c r="AK944">
        <f>IF(HR_Data[[#This Row],[Attrition]]="No",1,0)</f>
        <v>1</v>
      </c>
      <c r="AL944" t="str">
        <f>IF(HR_Data[[#This Row],[Age]]&lt;25,"Under 25",IF(HR_Data[[#This Row],[Age]]&lt;=34,"25-34",IF(HR_Data[[#This Row],[Age]]&lt;=44,"35-44",IF(HR_Data[[#This Row],[Age]]&lt;=54,"45-54","55+"))))</f>
        <v>35-44</v>
      </c>
      <c r="AM944" t="str">
        <f>IF(HR_Data[[#This Row],[MonthlyIncome]]&lt;3000,"Low Salary",IF(HR_Data[[#This Row],[MonthlyIncome]]&lt;=7000,"Medium Salary","High Salary"))</f>
        <v>High Salary</v>
      </c>
      <c r="AN944" t="str">
        <f>IF(HR_Data[[#This Row],[YearsAtCompany]]&lt;2,"0-1 Years",IF(HR_Data[[#This Row],[YearsAtCompany]]&lt;=5,"2-5 Years",IF(HR_Data[[#This Row],[YearsAtCompany]]&lt;=10,"6-10 Years","10+ Years")))</f>
        <v>6-10 Years</v>
      </c>
      <c r="AO944" t="str">
        <f>IF(HR_Data[[#This Row],[JobSatisfaction]]=1,"Low",IF(HR_Data[[#This Row],[JobSatisfaction]]=2,"Medium",IF(HR_Data[[#This Row],[JobSatisfaction]]=3,"High","Very High")))</f>
        <v>High</v>
      </c>
      <c r="AP944" t="str">
        <f>IF(HR_Data[[#This Row],[WorkLifeBalance]]=1,"Bad",IF(HR_Data[[#This Row],[WorkLifeBalance]]=2,"Good",IF(HR_Data[[#This Row],[WorkLifeBalance]]=3,"Better","Best")))</f>
        <v>Better</v>
      </c>
    </row>
    <row r="945" spans="1:42"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IF(HR_Data[[#This Row],[Attrition]]="Yes",1,0)</f>
        <v>0</v>
      </c>
      <c r="AK945">
        <f>IF(HR_Data[[#This Row],[Attrition]]="No",1,0)</f>
        <v>1</v>
      </c>
      <c r="AL945" t="str">
        <f>IF(HR_Data[[#This Row],[Age]]&lt;25,"Under 25",IF(HR_Data[[#This Row],[Age]]&lt;=34,"25-34",IF(HR_Data[[#This Row],[Age]]&lt;=44,"35-44",IF(HR_Data[[#This Row],[Age]]&lt;=54,"45-54","55+"))))</f>
        <v>45-54</v>
      </c>
      <c r="AM945" t="str">
        <f>IF(HR_Data[[#This Row],[MonthlyIncome]]&lt;3000,"Low Salary",IF(HR_Data[[#This Row],[MonthlyIncome]]&lt;=7000,"Medium Salary","High Salary"))</f>
        <v>Medium Salary</v>
      </c>
      <c r="AN945" t="str">
        <f>IF(HR_Data[[#This Row],[YearsAtCompany]]&lt;2,"0-1 Years",IF(HR_Data[[#This Row],[YearsAtCompany]]&lt;=5,"2-5 Years",IF(HR_Data[[#This Row],[YearsAtCompany]]&lt;=10,"6-10 Years","10+ Years")))</f>
        <v>6-10 Years</v>
      </c>
      <c r="AO945" t="str">
        <f>IF(HR_Data[[#This Row],[JobSatisfaction]]=1,"Low",IF(HR_Data[[#This Row],[JobSatisfaction]]=2,"Medium",IF(HR_Data[[#This Row],[JobSatisfaction]]=3,"High","Very High")))</f>
        <v>Low</v>
      </c>
      <c r="AP945" t="str">
        <f>IF(HR_Data[[#This Row],[WorkLifeBalance]]=1,"Bad",IF(HR_Data[[#This Row],[WorkLifeBalance]]=2,"Good",IF(HR_Data[[#This Row],[WorkLifeBalance]]=3,"Better","Best")))</f>
        <v>Best</v>
      </c>
    </row>
    <row r="946" spans="1:42"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IF(HR_Data[[#This Row],[Attrition]]="Yes",1,0)</f>
        <v>0</v>
      </c>
      <c r="AK946">
        <f>IF(HR_Data[[#This Row],[Attrition]]="No",1,0)</f>
        <v>1</v>
      </c>
      <c r="AL946" t="str">
        <f>IF(HR_Data[[#This Row],[Age]]&lt;25,"Under 25",IF(HR_Data[[#This Row],[Age]]&lt;=34,"25-34",IF(HR_Data[[#This Row],[Age]]&lt;=44,"35-44",IF(HR_Data[[#This Row],[Age]]&lt;=54,"45-54","55+"))))</f>
        <v>25-34</v>
      </c>
      <c r="AM946" t="str">
        <f>IF(HR_Data[[#This Row],[MonthlyIncome]]&lt;3000,"Low Salary",IF(HR_Data[[#This Row],[MonthlyIncome]]&lt;=7000,"Medium Salary","High Salary"))</f>
        <v>Medium Salary</v>
      </c>
      <c r="AN946" t="str">
        <f>IF(HR_Data[[#This Row],[YearsAtCompany]]&lt;2,"0-1 Years",IF(HR_Data[[#This Row],[YearsAtCompany]]&lt;=5,"2-5 Years",IF(HR_Data[[#This Row],[YearsAtCompany]]&lt;=10,"6-10 Years","10+ Years")))</f>
        <v>6-10 Years</v>
      </c>
      <c r="AO946" t="str">
        <f>IF(HR_Data[[#This Row],[JobSatisfaction]]=1,"Low",IF(HR_Data[[#This Row],[JobSatisfaction]]=2,"Medium",IF(HR_Data[[#This Row],[JobSatisfaction]]=3,"High","Very High")))</f>
        <v>Very High</v>
      </c>
      <c r="AP946" t="str">
        <f>IF(HR_Data[[#This Row],[WorkLifeBalance]]=1,"Bad",IF(HR_Data[[#This Row],[WorkLifeBalance]]=2,"Good",IF(HR_Data[[#This Row],[WorkLifeBalance]]=3,"Better","Best")))</f>
        <v>Better</v>
      </c>
    </row>
    <row r="947" spans="1:42"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IF(HR_Data[[#This Row],[Attrition]]="Yes",1,0)</f>
        <v>0</v>
      </c>
      <c r="AK947">
        <f>IF(HR_Data[[#This Row],[Attrition]]="No",1,0)</f>
        <v>1</v>
      </c>
      <c r="AL947" t="str">
        <f>IF(HR_Data[[#This Row],[Age]]&lt;25,"Under 25",IF(HR_Data[[#This Row],[Age]]&lt;=34,"25-34",IF(HR_Data[[#This Row],[Age]]&lt;=44,"35-44",IF(HR_Data[[#This Row],[Age]]&lt;=54,"45-54","55+"))))</f>
        <v>45-54</v>
      </c>
      <c r="AM947" t="str">
        <f>IF(HR_Data[[#This Row],[MonthlyIncome]]&lt;3000,"Low Salary",IF(HR_Data[[#This Row],[MonthlyIncome]]&lt;=7000,"Medium Salary","High Salary"))</f>
        <v>High Salary</v>
      </c>
      <c r="AN947" t="str">
        <f>IF(HR_Data[[#This Row],[YearsAtCompany]]&lt;2,"0-1 Years",IF(HR_Data[[#This Row],[YearsAtCompany]]&lt;=5,"2-5 Years",IF(HR_Data[[#This Row],[YearsAtCompany]]&lt;=10,"6-10 Years","10+ Years")))</f>
        <v>2-5 Years</v>
      </c>
      <c r="AO947" t="str">
        <f>IF(HR_Data[[#This Row],[JobSatisfaction]]=1,"Low",IF(HR_Data[[#This Row],[JobSatisfaction]]=2,"Medium",IF(HR_Data[[#This Row],[JobSatisfaction]]=3,"High","Very High")))</f>
        <v>Low</v>
      </c>
      <c r="AP947" t="str">
        <f>IF(HR_Data[[#This Row],[WorkLifeBalance]]=1,"Bad",IF(HR_Data[[#This Row],[WorkLifeBalance]]=2,"Good",IF(HR_Data[[#This Row],[WorkLifeBalance]]=3,"Better","Best")))</f>
        <v>Better</v>
      </c>
    </row>
    <row r="948" spans="1:42"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IF(HR_Data[[#This Row],[Attrition]]="Yes",1,0)</f>
        <v>1</v>
      </c>
      <c r="AK948">
        <f>IF(HR_Data[[#This Row],[Attrition]]="No",1,0)</f>
        <v>0</v>
      </c>
      <c r="AL948" t="str">
        <f>IF(HR_Data[[#This Row],[Age]]&lt;25,"Under 25",IF(HR_Data[[#This Row],[Age]]&lt;=34,"25-34",IF(HR_Data[[#This Row],[Age]]&lt;=44,"35-44",IF(HR_Data[[#This Row],[Age]]&lt;=54,"45-54","55+"))))</f>
        <v>35-44</v>
      </c>
      <c r="AM948" t="str">
        <f>IF(HR_Data[[#This Row],[MonthlyIncome]]&lt;3000,"Low Salary",IF(HR_Data[[#This Row],[MonthlyIncome]]&lt;=7000,"Medium Salary","High Salary"))</f>
        <v>High Salary</v>
      </c>
      <c r="AN948" t="str">
        <f>IF(HR_Data[[#This Row],[YearsAtCompany]]&lt;2,"0-1 Years",IF(HR_Data[[#This Row],[YearsAtCompany]]&lt;=5,"2-5 Years",IF(HR_Data[[#This Row],[YearsAtCompany]]&lt;=10,"6-10 Years","10+ Years")))</f>
        <v>2-5 Years</v>
      </c>
      <c r="AO948" t="str">
        <f>IF(HR_Data[[#This Row],[JobSatisfaction]]=1,"Low",IF(HR_Data[[#This Row],[JobSatisfaction]]=2,"Medium",IF(HR_Data[[#This Row],[JobSatisfaction]]=3,"High","Very High")))</f>
        <v>Medium</v>
      </c>
      <c r="AP948" t="str">
        <f>IF(HR_Data[[#This Row],[WorkLifeBalance]]=1,"Bad",IF(HR_Data[[#This Row],[WorkLifeBalance]]=2,"Good",IF(HR_Data[[#This Row],[WorkLifeBalance]]=3,"Better","Best")))</f>
        <v>Better</v>
      </c>
    </row>
    <row r="949" spans="1:42"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IF(HR_Data[[#This Row],[Attrition]]="Yes",1,0)</f>
        <v>1</v>
      </c>
      <c r="AK949">
        <f>IF(HR_Data[[#This Row],[Attrition]]="No",1,0)</f>
        <v>0</v>
      </c>
      <c r="AL949" t="str">
        <f>IF(HR_Data[[#This Row],[Age]]&lt;25,"Under 25",IF(HR_Data[[#This Row],[Age]]&lt;=34,"25-34",IF(HR_Data[[#This Row],[Age]]&lt;=44,"35-44",IF(HR_Data[[#This Row],[Age]]&lt;=54,"45-54","55+"))))</f>
        <v>45-54</v>
      </c>
      <c r="AM949" t="str">
        <f>IF(HR_Data[[#This Row],[MonthlyIncome]]&lt;3000,"Low Salary",IF(HR_Data[[#This Row],[MonthlyIncome]]&lt;=7000,"Medium Salary","High Salary"))</f>
        <v>High Salary</v>
      </c>
      <c r="AN949" t="str">
        <f>IF(HR_Data[[#This Row],[YearsAtCompany]]&lt;2,"0-1 Years",IF(HR_Data[[#This Row],[YearsAtCompany]]&lt;=5,"2-5 Years",IF(HR_Data[[#This Row],[YearsAtCompany]]&lt;=10,"6-10 Years","10+ Years")))</f>
        <v>6-10 Years</v>
      </c>
      <c r="AO949" t="str">
        <f>IF(HR_Data[[#This Row],[JobSatisfaction]]=1,"Low",IF(HR_Data[[#This Row],[JobSatisfaction]]=2,"Medium",IF(HR_Data[[#This Row],[JobSatisfaction]]=3,"High","Very High")))</f>
        <v>Medium</v>
      </c>
      <c r="AP949" t="str">
        <f>IF(HR_Data[[#This Row],[WorkLifeBalance]]=1,"Bad",IF(HR_Data[[#This Row],[WorkLifeBalance]]=2,"Good",IF(HR_Data[[#This Row],[WorkLifeBalance]]=3,"Better","Best")))</f>
        <v>Good</v>
      </c>
    </row>
    <row r="950" spans="1:42"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IF(HR_Data[[#This Row],[Attrition]]="Yes",1,0)</f>
        <v>0</v>
      </c>
      <c r="AK950">
        <f>IF(HR_Data[[#This Row],[Attrition]]="No",1,0)</f>
        <v>1</v>
      </c>
      <c r="AL950" t="str">
        <f>IF(HR_Data[[#This Row],[Age]]&lt;25,"Under 25",IF(HR_Data[[#This Row],[Age]]&lt;=34,"25-34",IF(HR_Data[[#This Row],[Age]]&lt;=44,"35-44",IF(HR_Data[[#This Row],[Age]]&lt;=54,"45-54","55+"))))</f>
        <v>25-34</v>
      </c>
      <c r="AM950" t="str">
        <f>IF(HR_Data[[#This Row],[MonthlyIncome]]&lt;3000,"Low Salary",IF(HR_Data[[#This Row],[MonthlyIncome]]&lt;=7000,"Medium Salary","High Salary"))</f>
        <v>High Salary</v>
      </c>
      <c r="AN950" t="str">
        <f>IF(HR_Data[[#This Row],[YearsAtCompany]]&lt;2,"0-1 Years",IF(HR_Data[[#This Row],[YearsAtCompany]]&lt;=5,"2-5 Years",IF(HR_Data[[#This Row],[YearsAtCompany]]&lt;=10,"6-10 Years","10+ Years")))</f>
        <v>6-10 Years</v>
      </c>
      <c r="AO950" t="str">
        <f>IF(HR_Data[[#This Row],[JobSatisfaction]]=1,"Low",IF(HR_Data[[#This Row],[JobSatisfaction]]=2,"Medium",IF(HR_Data[[#This Row],[JobSatisfaction]]=3,"High","Very High")))</f>
        <v>Low</v>
      </c>
      <c r="AP950" t="str">
        <f>IF(HR_Data[[#This Row],[WorkLifeBalance]]=1,"Bad",IF(HR_Data[[#This Row],[WorkLifeBalance]]=2,"Good",IF(HR_Data[[#This Row],[WorkLifeBalance]]=3,"Better","Best")))</f>
        <v>Better</v>
      </c>
    </row>
    <row r="951" spans="1:42"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IF(HR_Data[[#This Row],[Attrition]]="Yes",1,0)</f>
        <v>0</v>
      </c>
      <c r="AK951">
        <f>IF(HR_Data[[#This Row],[Attrition]]="No",1,0)</f>
        <v>1</v>
      </c>
      <c r="AL951" t="str">
        <f>IF(HR_Data[[#This Row],[Age]]&lt;25,"Under 25",IF(HR_Data[[#This Row],[Age]]&lt;=34,"25-34",IF(HR_Data[[#This Row],[Age]]&lt;=44,"35-44",IF(HR_Data[[#This Row],[Age]]&lt;=54,"45-54","55+"))))</f>
        <v>35-44</v>
      </c>
      <c r="AM951" t="str">
        <f>IF(HR_Data[[#This Row],[MonthlyIncome]]&lt;3000,"Low Salary",IF(HR_Data[[#This Row],[MonthlyIncome]]&lt;=7000,"Medium Salary","High Salary"))</f>
        <v>Medium Salary</v>
      </c>
      <c r="AN951" t="str">
        <f>IF(HR_Data[[#This Row],[YearsAtCompany]]&lt;2,"0-1 Years",IF(HR_Data[[#This Row],[YearsAtCompany]]&lt;=5,"2-5 Years",IF(HR_Data[[#This Row],[YearsAtCompany]]&lt;=10,"6-10 Years","10+ Years")))</f>
        <v>6-10 Years</v>
      </c>
      <c r="AO951" t="str">
        <f>IF(HR_Data[[#This Row],[JobSatisfaction]]=1,"Low",IF(HR_Data[[#This Row],[JobSatisfaction]]=2,"Medium",IF(HR_Data[[#This Row],[JobSatisfaction]]=3,"High","Very High")))</f>
        <v>High</v>
      </c>
      <c r="AP951" t="str">
        <f>IF(HR_Data[[#This Row],[WorkLifeBalance]]=1,"Bad",IF(HR_Data[[#This Row],[WorkLifeBalance]]=2,"Good",IF(HR_Data[[#This Row],[WorkLifeBalance]]=3,"Better","Best")))</f>
        <v>Better</v>
      </c>
    </row>
    <row r="952" spans="1:42"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IF(HR_Data[[#This Row],[Attrition]]="Yes",1,0)</f>
        <v>0</v>
      </c>
      <c r="AK952">
        <f>IF(HR_Data[[#This Row],[Attrition]]="No",1,0)</f>
        <v>1</v>
      </c>
      <c r="AL952" t="str">
        <f>IF(HR_Data[[#This Row],[Age]]&lt;25,"Under 25",IF(HR_Data[[#This Row],[Age]]&lt;=34,"25-34",IF(HR_Data[[#This Row],[Age]]&lt;=44,"35-44",IF(HR_Data[[#This Row],[Age]]&lt;=54,"45-54","55+"))))</f>
        <v>25-34</v>
      </c>
      <c r="AM952" t="str">
        <f>IF(HR_Data[[#This Row],[MonthlyIncome]]&lt;3000,"Low Salary",IF(HR_Data[[#This Row],[MonthlyIncome]]&lt;=7000,"Medium Salary","High Salary"))</f>
        <v>High Salary</v>
      </c>
      <c r="AN952" t="str">
        <f>IF(HR_Data[[#This Row],[YearsAtCompany]]&lt;2,"0-1 Years",IF(HR_Data[[#This Row],[YearsAtCompany]]&lt;=5,"2-5 Years",IF(HR_Data[[#This Row],[YearsAtCompany]]&lt;=10,"6-10 Years","10+ Years")))</f>
        <v>6-10 Years</v>
      </c>
      <c r="AO952" t="str">
        <f>IF(HR_Data[[#This Row],[JobSatisfaction]]=1,"Low",IF(HR_Data[[#This Row],[JobSatisfaction]]=2,"Medium",IF(HR_Data[[#This Row],[JobSatisfaction]]=3,"High","Very High")))</f>
        <v>High</v>
      </c>
      <c r="AP952" t="str">
        <f>IF(HR_Data[[#This Row],[WorkLifeBalance]]=1,"Bad",IF(HR_Data[[#This Row],[WorkLifeBalance]]=2,"Good",IF(HR_Data[[#This Row],[WorkLifeBalance]]=3,"Better","Best")))</f>
        <v>Good</v>
      </c>
    </row>
    <row r="953" spans="1:42"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IF(HR_Data[[#This Row],[Attrition]]="Yes",1,0)</f>
        <v>0</v>
      </c>
      <c r="AK953">
        <f>IF(HR_Data[[#This Row],[Attrition]]="No",1,0)</f>
        <v>1</v>
      </c>
      <c r="AL953" t="str">
        <f>IF(HR_Data[[#This Row],[Age]]&lt;25,"Under 25",IF(HR_Data[[#This Row],[Age]]&lt;=34,"25-34",IF(HR_Data[[#This Row],[Age]]&lt;=44,"35-44",IF(HR_Data[[#This Row],[Age]]&lt;=54,"45-54","55+"))))</f>
        <v>35-44</v>
      </c>
      <c r="AM953" t="str">
        <f>IF(HR_Data[[#This Row],[MonthlyIncome]]&lt;3000,"Low Salary",IF(HR_Data[[#This Row],[MonthlyIncome]]&lt;=7000,"Medium Salary","High Salary"))</f>
        <v>Medium Salary</v>
      </c>
      <c r="AN953" t="str">
        <f>IF(HR_Data[[#This Row],[YearsAtCompany]]&lt;2,"0-1 Years",IF(HR_Data[[#This Row],[YearsAtCompany]]&lt;=5,"2-5 Years",IF(HR_Data[[#This Row],[YearsAtCompany]]&lt;=10,"6-10 Years","10+ Years")))</f>
        <v>10+ Years</v>
      </c>
      <c r="AO953" t="str">
        <f>IF(HR_Data[[#This Row],[JobSatisfaction]]=1,"Low",IF(HR_Data[[#This Row],[JobSatisfaction]]=2,"Medium",IF(HR_Data[[#This Row],[JobSatisfaction]]=3,"High","Very High")))</f>
        <v>Medium</v>
      </c>
      <c r="AP953" t="str">
        <f>IF(HR_Data[[#This Row],[WorkLifeBalance]]=1,"Bad",IF(HR_Data[[#This Row],[WorkLifeBalance]]=2,"Good",IF(HR_Data[[#This Row],[WorkLifeBalance]]=3,"Better","Best")))</f>
        <v>Better</v>
      </c>
    </row>
    <row r="954" spans="1:42"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IF(HR_Data[[#This Row],[Attrition]]="Yes",1,0)</f>
        <v>1</v>
      </c>
      <c r="AK954">
        <f>IF(HR_Data[[#This Row],[Attrition]]="No",1,0)</f>
        <v>0</v>
      </c>
      <c r="AL954" t="str">
        <f>IF(HR_Data[[#This Row],[Age]]&lt;25,"Under 25",IF(HR_Data[[#This Row],[Age]]&lt;=34,"25-34",IF(HR_Data[[#This Row],[Age]]&lt;=44,"35-44",IF(HR_Data[[#This Row],[Age]]&lt;=54,"45-54","55+"))))</f>
        <v>25-34</v>
      </c>
      <c r="AM954" t="str">
        <f>IF(HR_Data[[#This Row],[MonthlyIncome]]&lt;3000,"Low Salary",IF(HR_Data[[#This Row],[MonthlyIncome]]&lt;=7000,"Medium Salary","High Salary"))</f>
        <v>Low Salary</v>
      </c>
      <c r="AN954" t="str">
        <f>IF(HR_Data[[#This Row],[YearsAtCompany]]&lt;2,"0-1 Years",IF(HR_Data[[#This Row],[YearsAtCompany]]&lt;=5,"2-5 Years",IF(HR_Data[[#This Row],[YearsAtCompany]]&lt;=10,"6-10 Years","10+ Years")))</f>
        <v>2-5 Years</v>
      </c>
      <c r="AO954" t="str">
        <f>IF(HR_Data[[#This Row],[JobSatisfaction]]=1,"Low",IF(HR_Data[[#This Row],[JobSatisfaction]]=2,"Medium",IF(HR_Data[[#This Row],[JobSatisfaction]]=3,"High","Very High")))</f>
        <v>Medium</v>
      </c>
      <c r="AP954" t="str">
        <f>IF(HR_Data[[#This Row],[WorkLifeBalance]]=1,"Bad",IF(HR_Data[[#This Row],[WorkLifeBalance]]=2,"Good",IF(HR_Data[[#This Row],[WorkLifeBalance]]=3,"Better","Best")))</f>
        <v>Best</v>
      </c>
    </row>
    <row r="955" spans="1:42"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IF(HR_Data[[#This Row],[Attrition]]="Yes",1,0)</f>
        <v>1</v>
      </c>
      <c r="AK955">
        <f>IF(HR_Data[[#This Row],[Attrition]]="No",1,0)</f>
        <v>0</v>
      </c>
      <c r="AL955" t="str">
        <f>IF(HR_Data[[#This Row],[Age]]&lt;25,"Under 25",IF(HR_Data[[#This Row],[Age]]&lt;=34,"25-34",IF(HR_Data[[#This Row],[Age]]&lt;=44,"35-44",IF(HR_Data[[#This Row],[Age]]&lt;=54,"45-54","55+"))))</f>
        <v>35-44</v>
      </c>
      <c r="AM955" t="str">
        <f>IF(HR_Data[[#This Row],[MonthlyIncome]]&lt;3000,"Low Salary",IF(HR_Data[[#This Row],[MonthlyIncome]]&lt;=7000,"Medium Salary","High Salary"))</f>
        <v>Low Salary</v>
      </c>
      <c r="AN955" t="str">
        <f>IF(HR_Data[[#This Row],[YearsAtCompany]]&lt;2,"0-1 Years",IF(HR_Data[[#This Row],[YearsAtCompany]]&lt;=5,"2-5 Years",IF(HR_Data[[#This Row],[YearsAtCompany]]&lt;=10,"6-10 Years","10+ Years")))</f>
        <v>2-5 Years</v>
      </c>
      <c r="AO955" t="str">
        <f>IF(HR_Data[[#This Row],[JobSatisfaction]]=1,"Low",IF(HR_Data[[#This Row],[JobSatisfaction]]=2,"Medium",IF(HR_Data[[#This Row],[JobSatisfaction]]=3,"High","Very High")))</f>
        <v>Low</v>
      </c>
      <c r="AP955" t="str">
        <f>IF(HR_Data[[#This Row],[WorkLifeBalance]]=1,"Bad",IF(HR_Data[[#This Row],[WorkLifeBalance]]=2,"Good",IF(HR_Data[[#This Row],[WorkLifeBalance]]=3,"Better","Best")))</f>
        <v>Best</v>
      </c>
    </row>
    <row r="956" spans="1:42"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IF(HR_Data[[#This Row],[Attrition]]="Yes",1,0)</f>
        <v>0</v>
      </c>
      <c r="AK956">
        <f>IF(HR_Data[[#This Row],[Attrition]]="No",1,0)</f>
        <v>1</v>
      </c>
      <c r="AL956" t="str">
        <f>IF(HR_Data[[#This Row],[Age]]&lt;25,"Under 25",IF(HR_Data[[#This Row],[Age]]&lt;=34,"25-34",IF(HR_Data[[#This Row],[Age]]&lt;=44,"35-44",IF(HR_Data[[#This Row],[Age]]&lt;=54,"45-54","55+"))))</f>
        <v>35-44</v>
      </c>
      <c r="AM956" t="str">
        <f>IF(HR_Data[[#This Row],[MonthlyIncome]]&lt;3000,"Low Salary",IF(HR_Data[[#This Row],[MonthlyIncome]]&lt;=7000,"Medium Salary","High Salary"))</f>
        <v>High Salary</v>
      </c>
      <c r="AN956" t="str">
        <f>IF(HR_Data[[#This Row],[YearsAtCompany]]&lt;2,"0-1 Years",IF(HR_Data[[#This Row],[YearsAtCompany]]&lt;=5,"2-5 Years",IF(HR_Data[[#This Row],[YearsAtCompany]]&lt;=10,"6-10 Years","10+ Years")))</f>
        <v>10+ Years</v>
      </c>
      <c r="AO956" t="str">
        <f>IF(HR_Data[[#This Row],[JobSatisfaction]]=1,"Low",IF(HR_Data[[#This Row],[JobSatisfaction]]=2,"Medium",IF(HR_Data[[#This Row],[JobSatisfaction]]=3,"High","Very High")))</f>
        <v>High</v>
      </c>
      <c r="AP956" t="str">
        <f>IF(HR_Data[[#This Row],[WorkLifeBalance]]=1,"Bad",IF(HR_Data[[#This Row],[WorkLifeBalance]]=2,"Good",IF(HR_Data[[#This Row],[WorkLifeBalance]]=3,"Better","Best")))</f>
        <v>Good</v>
      </c>
    </row>
    <row r="957" spans="1:42"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IF(HR_Data[[#This Row],[Attrition]]="Yes",1,0)</f>
        <v>0</v>
      </c>
      <c r="AK957">
        <f>IF(HR_Data[[#This Row],[Attrition]]="No",1,0)</f>
        <v>1</v>
      </c>
      <c r="AL957" t="str">
        <f>IF(HR_Data[[#This Row],[Age]]&lt;25,"Under 25",IF(HR_Data[[#This Row],[Age]]&lt;=34,"25-34",IF(HR_Data[[#This Row],[Age]]&lt;=44,"35-44",IF(HR_Data[[#This Row],[Age]]&lt;=54,"45-54","55+"))))</f>
        <v>55+</v>
      </c>
      <c r="AM957" t="str">
        <f>IF(HR_Data[[#This Row],[MonthlyIncome]]&lt;3000,"Low Salary",IF(HR_Data[[#This Row],[MonthlyIncome]]&lt;=7000,"Medium Salary","High Salary"))</f>
        <v>High Salary</v>
      </c>
      <c r="AN957" t="str">
        <f>IF(HR_Data[[#This Row],[YearsAtCompany]]&lt;2,"0-1 Years",IF(HR_Data[[#This Row],[YearsAtCompany]]&lt;=5,"2-5 Years",IF(HR_Data[[#This Row],[YearsAtCompany]]&lt;=10,"6-10 Years","10+ Years")))</f>
        <v>10+ Years</v>
      </c>
      <c r="AO957" t="str">
        <f>IF(HR_Data[[#This Row],[JobSatisfaction]]=1,"Low",IF(HR_Data[[#This Row],[JobSatisfaction]]=2,"Medium",IF(HR_Data[[#This Row],[JobSatisfaction]]=3,"High","Very High")))</f>
        <v>High</v>
      </c>
      <c r="AP957" t="str">
        <f>IF(HR_Data[[#This Row],[WorkLifeBalance]]=1,"Bad",IF(HR_Data[[#This Row],[WorkLifeBalance]]=2,"Good",IF(HR_Data[[#This Row],[WorkLifeBalance]]=3,"Better","Best")))</f>
        <v>Better</v>
      </c>
    </row>
    <row r="958" spans="1:42"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IF(HR_Data[[#This Row],[Attrition]]="Yes",1,0)</f>
        <v>0</v>
      </c>
      <c r="AK958">
        <f>IF(HR_Data[[#This Row],[Attrition]]="No",1,0)</f>
        <v>1</v>
      </c>
      <c r="AL958" t="str">
        <f>IF(HR_Data[[#This Row],[Age]]&lt;25,"Under 25",IF(HR_Data[[#This Row],[Age]]&lt;=34,"25-34",IF(HR_Data[[#This Row],[Age]]&lt;=44,"35-44",IF(HR_Data[[#This Row],[Age]]&lt;=54,"45-54","55+"))))</f>
        <v>55+</v>
      </c>
      <c r="AM958" t="str">
        <f>IF(HR_Data[[#This Row],[MonthlyIncome]]&lt;3000,"Low Salary",IF(HR_Data[[#This Row],[MonthlyIncome]]&lt;=7000,"Medium Salary","High Salary"))</f>
        <v>High Salary</v>
      </c>
      <c r="AN958" t="str">
        <f>IF(HR_Data[[#This Row],[YearsAtCompany]]&lt;2,"0-1 Years",IF(HR_Data[[#This Row],[YearsAtCompany]]&lt;=5,"2-5 Years",IF(HR_Data[[#This Row],[YearsAtCompany]]&lt;=10,"6-10 Years","10+ Years")))</f>
        <v>6-10 Years</v>
      </c>
      <c r="AO958" t="str">
        <f>IF(HR_Data[[#This Row],[JobSatisfaction]]=1,"Low",IF(HR_Data[[#This Row],[JobSatisfaction]]=2,"Medium",IF(HR_Data[[#This Row],[JobSatisfaction]]=3,"High","Very High")))</f>
        <v>Medium</v>
      </c>
      <c r="AP958" t="str">
        <f>IF(HR_Data[[#This Row],[WorkLifeBalance]]=1,"Bad",IF(HR_Data[[#This Row],[WorkLifeBalance]]=2,"Good",IF(HR_Data[[#This Row],[WorkLifeBalance]]=3,"Better","Best")))</f>
        <v>Better</v>
      </c>
    </row>
    <row r="959" spans="1:42"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IF(HR_Data[[#This Row],[Attrition]]="Yes",1,0)</f>
        <v>0</v>
      </c>
      <c r="AK959">
        <f>IF(HR_Data[[#This Row],[Attrition]]="No",1,0)</f>
        <v>1</v>
      </c>
      <c r="AL959" t="str">
        <f>IF(HR_Data[[#This Row],[Age]]&lt;25,"Under 25",IF(HR_Data[[#This Row],[Age]]&lt;=34,"25-34",IF(HR_Data[[#This Row],[Age]]&lt;=44,"35-44",IF(HR_Data[[#This Row],[Age]]&lt;=54,"45-54","55+"))))</f>
        <v>35-44</v>
      </c>
      <c r="AM959" t="str">
        <f>IF(HR_Data[[#This Row],[MonthlyIncome]]&lt;3000,"Low Salary",IF(HR_Data[[#This Row],[MonthlyIncome]]&lt;=7000,"Medium Salary","High Salary"))</f>
        <v>Medium Salary</v>
      </c>
      <c r="AN959" t="str">
        <f>IF(HR_Data[[#This Row],[YearsAtCompany]]&lt;2,"0-1 Years",IF(HR_Data[[#This Row],[YearsAtCompany]]&lt;=5,"2-5 Years",IF(HR_Data[[#This Row],[YearsAtCompany]]&lt;=10,"6-10 Years","10+ Years")))</f>
        <v>2-5 Years</v>
      </c>
      <c r="AO959" t="str">
        <f>IF(HR_Data[[#This Row],[JobSatisfaction]]=1,"Low",IF(HR_Data[[#This Row],[JobSatisfaction]]=2,"Medium",IF(HR_Data[[#This Row],[JobSatisfaction]]=3,"High","Very High")))</f>
        <v>High</v>
      </c>
      <c r="AP959" t="str">
        <f>IF(HR_Data[[#This Row],[WorkLifeBalance]]=1,"Bad",IF(HR_Data[[#This Row],[WorkLifeBalance]]=2,"Good",IF(HR_Data[[#This Row],[WorkLifeBalance]]=3,"Better","Best")))</f>
        <v>Better</v>
      </c>
    </row>
    <row r="960" spans="1:42"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IF(HR_Data[[#This Row],[Attrition]]="Yes",1,0)</f>
        <v>0</v>
      </c>
      <c r="AK960">
        <f>IF(HR_Data[[#This Row],[Attrition]]="No",1,0)</f>
        <v>1</v>
      </c>
      <c r="AL960" t="str">
        <f>IF(HR_Data[[#This Row],[Age]]&lt;25,"Under 25",IF(HR_Data[[#This Row],[Age]]&lt;=34,"25-34",IF(HR_Data[[#This Row],[Age]]&lt;=44,"35-44",IF(HR_Data[[#This Row],[Age]]&lt;=54,"45-54","55+"))))</f>
        <v>25-34</v>
      </c>
      <c r="AM960" t="str">
        <f>IF(HR_Data[[#This Row],[MonthlyIncome]]&lt;3000,"Low Salary",IF(HR_Data[[#This Row],[MonthlyIncome]]&lt;=7000,"Medium Salary","High Salary"))</f>
        <v>High Salary</v>
      </c>
      <c r="AN960" t="str">
        <f>IF(HR_Data[[#This Row],[YearsAtCompany]]&lt;2,"0-1 Years",IF(HR_Data[[#This Row],[YearsAtCompany]]&lt;=5,"2-5 Years",IF(HR_Data[[#This Row],[YearsAtCompany]]&lt;=10,"6-10 Years","10+ Years")))</f>
        <v>6-10 Years</v>
      </c>
      <c r="AO960" t="str">
        <f>IF(HR_Data[[#This Row],[JobSatisfaction]]=1,"Low",IF(HR_Data[[#This Row],[JobSatisfaction]]=2,"Medium",IF(HR_Data[[#This Row],[JobSatisfaction]]=3,"High","Very High")))</f>
        <v>Very High</v>
      </c>
      <c r="AP960" t="str">
        <f>IF(HR_Data[[#This Row],[WorkLifeBalance]]=1,"Bad",IF(HR_Data[[#This Row],[WorkLifeBalance]]=2,"Good",IF(HR_Data[[#This Row],[WorkLifeBalance]]=3,"Better","Best")))</f>
        <v>Good</v>
      </c>
    </row>
    <row r="961" spans="1:42"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IF(HR_Data[[#This Row],[Attrition]]="Yes",1,0)</f>
        <v>0</v>
      </c>
      <c r="AK961">
        <f>IF(HR_Data[[#This Row],[Attrition]]="No",1,0)</f>
        <v>1</v>
      </c>
      <c r="AL961" t="str">
        <f>IF(HR_Data[[#This Row],[Age]]&lt;25,"Under 25",IF(HR_Data[[#This Row],[Age]]&lt;=34,"25-34",IF(HR_Data[[#This Row],[Age]]&lt;=44,"35-44",IF(HR_Data[[#This Row],[Age]]&lt;=54,"45-54","55+"))))</f>
        <v>35-44</v>
      </c>
      <c r="AM961" t="str">
        <f>IF(HR_Data[[#This Row],[MonthlyIncome]]&lt;3000,"Low Salary",IF(HR_Data[[#This Row],[MonthlyIncome]]&lt;=7000,"Medium Salary","High Salary"))</f>
        <v>Medium Salary</v>
      </c>
      <c r="AN961" t="str">
        <f>IF(HR_Data[[#This Row],[YearsAtCompany]]&lt;2,"0-1 Years",IF(HR_Data[[#This Row],[YearsAtCompany]]&lt;=5,"2-5 Years",IF(HR_Data[[#This Row],[YearsAtCompany]]&lt;=10,"6-10 Years","10+ Years")))</f>
        <v>6-10 Years</v>
      </c>
      <c r="AO961" t="str">
        <f>IF(HR_Data[[#This Row],[JobSatisfaction]]=1,"Low",IF(HR_Data[[#This Row],[JobSatisfaction]]=2,"Medium",IF(HR_Data[[#This Row],[JobSatisfaction]]=3,"High","Very High")))</f>
        <v>Very High</v>
      </c>
      <c r="AP961" t="str">
        <f>IF(HR_Data[[#This Row],[WorkLifeBalance]]=1,"Bad",IF(HR_Data[[#This Row],[WorkLifeBalance]]=2,"Good",IF(HR_Data[[#This Row],[WorkLifeBalance]]=3,"Better","Best")))</f>
        <v>Better</v>
      </c>
    </row>
    <row r="962" spans="1:42"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IF(HR_Data[[#This Row],[Attrition]]="Yes",1,0)</f>
        <v>0</v>
      </c>
      <c r="AK962">
        <f>IF(HR_Data[[#This Row],[Attrition]]="No",1,0)</f>
        <v>1</v>
      </c>
      <c r="AL962" t="str">
        <f>IF(HR_Data[[#This Row],[Age]]&lt;25,"Under 25",IF(HR_Data[[#This Row],[Age]]&lt;=34,"25-34",IF(HR_Data[[#This Row],[Age]]&lt;=44,"35-44",IF(HR_Data[[#This Row],[Age]]&lt;=54,"45-54","55+"))))</f>
        <v>35-44</v>
      </c>
      <c r="AM962" t="str">
        <f>IF(HR_Data[[#This Row],[MonthlyIncome]]&lt;3000,"Low Salary",IF(HR_Data[[#This Row],[MonthlyIncome]]&lt;=7000,"Medium Salary","High Salary"))</f>
        <v>Medium Salary</v>
      </c>
      <c r="AN962" t="str">
        <f>IF(HR_Data[[#This Row],[YearsAtCompany]]&lt;2,"0-1 Years",IF(HR_Data[[#This Row],[YearsAtCompany]]&lt;=5,"2-5 Years",IF(HR_Data[[#This Row],[YearsAtCompany]]&lt;=10,"6-10 Years","10+ Years")))</f>
        <v>6-10 Years</v>
      </c>
      <c r="AO962" t="str">
        <f>IF(HR_Data[[#This Row],[JobSatisfaction]]=1,"Low",IF(HR_Data[[#This Row],[JobSatisfaction]]=2,"Medium",IF(HR_Data[[#This Row],[JobSatisfaction]]=3,"High","Very High")))</f>
        <v>Low</v>
      </c>
      <c r="AP962" t="str">
        <f>IF(HR_Data[[#This Row],[WorkLifeBalance]]=1,"Bad",IF(HR_Data[[#This Row],[WorkLifeBalance]]=2,"Good",IF(HR_Data[[#This Row],[WorkLifeBalance]]=3,"Better","Best")))</f>
        <v>Better</v>
      </c>
    </row>
    <row r="963" spans="1:42"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IF(HR_Data[[#This Row],[Attrition]]="Yes",1,0)</f>
        <v>0</v>
      </c>
      <c r="AK963">
        <f>IF(HR_Data[[#This Row],[Attrition]]="No",1,0)</f>
        <v>1</v>
      </c>
      <c r="AL963" t="str">
        <f>IF(HR_Data[[#This Row],[Age]]&lt;25,"Under 25",IF(HR_Data[[#This Row],[Age]]&lt;=34,"25-34",IF(HR_Data[[#This Row],[Age]]&lt;=44,"35-44",IF(HR_Data[[#This Row],[Age]]&lt;=54,"45-54","55+"))))</f>
        <v>35-44</v>
      </c>
      <c r="AM963" t="str">
        <f>IF(HR_Data[[#This Row],[MonthlyIncome]]&lt;3000,"Low Salary",IF(HR_Data[[#This Row],[MonthlyIncome]]&lt;=7000,"Medium Salary","High Salary"))</f>
        <v>Medium Salary</v>
      </c>
      <c r="AN963" t="str">
        <f>IF(HR_Data[[#This Row],[YearsAtCompany]]&lt;2,"0-1 Years",IF(HR_Data[[#This Row],[YearsAtCompany]]&lt;=5,"2-5 Years",IF(HR_Data[[#This Row],[YearsAtCompany]]&lt;=10,"6-10 Years","10+ Years")))</f>
        <v>6-10 Years</v>
      </c>
      <c r="AO963" t="str">
        <f>IF(HR_Data[[#This Row],[JobSatisfaction]]=1,"Low",IF(HR_Data[[#This Row],[JobSatisfaction]]=2,"Medium",IF(HR_Data[[#This Row],[JobSatisfaction]]=3,"High","Very High")))</f>
        <v>High</v>
      </c>
      <c r="AP963" t="str">
        <f>IF(HR_Data[[#This Row],[WorkLifeBalance]]=1,"Bad",IF(HR_Data[[#This Row],[WorkLifeBalance]]=2,"Good",IF(HR_Data[[#This Row],[WorkLifeBalance]]=3,"Better","Best")))</f>
        <v>Better</v>
      </c>
    </row>
    <row r="964" spans="1:42"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IF(HR_Data[[#This Row],[Attrition]]="Yes",1,0)</f>
        <v>0</v>
      </c>
      <c r="AK964">
        <f>IF(HR_Data[[#This Row],[Attrition]]="No",1,0)</f>
        <v>1</v>
      </c>
      <c r="AL964" t="str">
        <f>IF(HR_Data[[#This Row],[Age]]&lt;25,"Under 25",IF(HR_Data[[#This Row],[Age]]&lt;=34,"25-34",IF(HR_Data[[#This Row],[Age]]&lt;=44,"35-44",IF(HR_Data[[#This Row],[Age]]&lt;=54,"45-54","55+"))))</f>
        <v>45-54</v>
      </c>
      <c r="AM964" t="str">
        <f>IF(HR_Data[[#This Row],[MonthlyIncome]]&lt;3000,"Low Salary",IF(HR_Data[[#This Row],[MonthlyIncome]]&lt;=7000,"Medium Salary","High Salary"))</f>
        <v>High Salary</v>
      </c>
      <c r="AN964" t="str">
        <f>IF(HR_Data[[#This Row],[YearsAtCompany]]&lt;2,"0-1 Years",IF(HR_Data[[#This Row],[YearsAtCompany]]&lt;=5,"2-5 Years",IF(HR_Data[[#This Row],[YearsAtCompany]]&lt;=10,"6-10 Years","10+ Years")))</f>
        <v>10+ Years</v>
      </c>
      <c r="AO964" t="str">
        <f>IF(HR_Data[[#This Row],[JobSatisfaction]]=1,"Low",IF(HR_Data[[#This Row],[JobSatisfaction]]=2,"Medium",IF(HR_Data[[#This Row],[JobSatisfaction]]=3,"High","Very High")))</f>
        <v>Medium</v>
      </c>
      <c r="AP964" t="str">
        <f>IF(HR_Data[[#This Row],[WorkLifeBalance]]=1,"Bad",IF(HR_Data[[#This Row],[WorkLifeBalance]]=2,"Good",IF(HR_Data[[#This Row],[WorkLifeBalance]]=3,"Better","Best")))</f>
        <v>Better</v>
      </c>
    </row>
    <row r="965" spans="1:42"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IF(HR_Data[[#This Row],[Attrition]]="Yes",1,0)</f>
        <v>0</v>
      </c>
      <c r="AK965">
        <f>IF(HR_Data[[#This Row],[Attrition]]="No",1,0)</f>
        <v>1</v>
      </c>
      <c r="AL965" t="str">
        <f>IF(HR_Data[[#This Row],[Age]]&lt;25,"Under 25",IF(HR_Data[[#This Row],[Age]]&lt;=34,"25-34",IF(HR_Data[[#This Row],[Age]]&lt;=44,"35-44",IF(HR_Data[[#This Row],[Age]]&lt;=54,"45-54","55+"))))</f>
        <v>35-44</v>
      </c>
      <c r="AM965" t="str">
        <f>IF(HR_Data[[#This Row],[MonthlyIncome]]&lt;3000,"Low Salary",IF(HR_Data[[#This Row],[MonthlyIncome]]&lt;=7000,"Medium Salary","High Salary"))</f>
        <v>Medium Salary</v>
      </c>
      <c r="AN965" t="str">
        <f>IF(HR_Data[[#This Row],[YearsAtCompany]]&lt;2,"0-1 Years",IF(HR_Data[[#This Row],[YearsAtCompany]]&lt;=5,"2-5 Years",IF(HR_Data[[#This Row],[YearsAtCompany]]&lt;=10,"6-10 Years","10+ Years")))</f>
        <v>6-10 Years</v>
      </c>
      <c r="AO965" t="str">
        <f>IF(HR_Data[[#This Row],[JobSatisfaction]]=1,"Low",IF(HR_Data[[#This Row],[JobSatisfaction]]=2,"Medium",IF(HR_Data[[#This Row],[JobSatisfaction]]=3,"High","Very High")))</f>
        <v>Low</v>
      </c>
      <c r="AP965" t="str">
        <f>IF(HR_Data[[#This Row],[WorkLifeBalance]]=1,"Bad",IF(HR_Data[[#This Row],[WorkLifeBalance]]=2,"Good",IF(HR_Data[[#This Row],[WorkLifeBalance]]=3,"Better","Best")))</f>
        <v>Better</v>
      </c>
    </row>
    <row r="966" spans="1:42"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IF(HR_Data[[#This Row],[Attrition]]="Yes",1,0)</f>
        <v>0</v>
      </c>
      <c r="AK966">
        <f>IF(HR_Data[[#This Row],[Attrition]]="No",1,0)</f>
        <v>1</v>
      </c>
      <c r="AL966" t="str">
        <f>IF(HR_Data[[#This Row],[Age]]&lt;25,"Under 25",IF(HR_Data[[#This Row],[Age]]&lt;=34,"25-34",IF(HR_Data[[#This Row],[Age]]&lt;=44,"35-44",IF(HR_Data[[#This Row],[Age]]&lt;=54,"45-54","55+"))))</f>
        <v>25-34</v>
      </c>
      <c r="AM966" t="str">
        <f>IF(HR_Data[[#This Row],[MonthlyIncome]]&lt;3000,"Low Salary",IF(HR_Data[[#This Row],[MonthlyIncome]]&lt;=7000,"Medium Salary","High Salary"))</f>
        <v>Medium Salary</v>
      </c>
      <c r="AN966" t="str">
        <f>IF(HR_Data[[#This Row],[YearsAtCompany]]&lt;2,"0-1 Years",IF(HR_Data[[#This Row],[YearsAtCompany]]&lt;=5,"2-5 Years",IF(HR_Data[[#This Row],[YearsAtCompany]]&lt;=10,"6-10 Years","10+ Years")))</f>
        <v>6-10 Years</v>
      </c>
      <c r="AO966" t="str">
        <f>IF(HR_Data[[#This Row],[JobSatisfaction]]=1,"Low",IF(HR_Data[[#This Row],[JobSatisfaction]]=2,"Medium",IF(HR_Data[[#This Row],[JobSatisfaction]]=3,"High","Very High")))</f>
        <v>Low</v>
      </c>
      <c r="AP966" t="str">
        <f>IF(HR_Data[[#This Row],[WorkLifeBalance]]=1,"Bad",IF(HR_Data[[#This Row],[WorkLifeBalance]]=2,"Good",IF(HR_Data[[#This Row],[WorkLifeBalance]]=3,"Better","Best")))</f>
        <v>Best</v>
      </c>
    </row>
    <row r="967" spans="1:42"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IF(HR_Data[[#This Row],[Attrition]]="Yes",1,0)</f>
        <v>0</v>
      </c>
      <c r="AK967">
        <f>IF(HR_Data[[#This Row],[Attrition]]="No",1,0)</f>
        <v>1</v>
      </c>
      <c r="AL967" t="str">
        <f>IF(HR_Data[[#This Row],[Age]]&lt;25,"Under 25",IF(HR_Data[[#This Row],[Age]]&lt;=34,"25-34",IF(HR_Data[[#This Row],[Age]]&lt;=44,"35-44",IF(HR_Data[[#This Row],[Age]]&lt;=54,"45-54","55+"))))</f>
        <v>25-34</v>
      </c>
      <c r="AM967" t="str">
        <f>IF(HR_Data[[#This Row],[MonthlyIncome]]&lt;3000,"Low Salary",IF(HR_Data[[#This Row],[MonthlyIncome]]&lt;=7000,"Medium Salary","High Salary"))</f>
        <v>Medium Salary</v>
      </c>
      <c r="AN967" t="str">
        <f>IF(HR_Data[[#This Row],[YearsAtCompany]]&lt;2,"0-1 Years",IF(HR_Data[[#This Row],[YearsAtCompany]]&lt;=5,"2-5 Years",IF(HR_Data[[#This Row],[YearsAtCompany]]&lt;=10,"6-10 Years","10+ Years")))</f>
        <v>2-5 Years</v>
      </c>
      <c r="AO967" t="str">
        <f>IF(HR_Data[[#This Row],[JobSatisfaction]]=1,"Low",IF(HR_Data[[#This Row],[JobSatisfaction]]=2,"Medium",IF(HR_Data[[#This Row],[JobSatisfaction]]=3,"High","Very High")))</f>
        <v>Very High</v>
      </c>
      <c r="AP967" t="str">
        <f>IF(HR_Data[[#This Row],[WorkLifeBalance]]=1,"Bad",IF(HR_Data[[#This Row],[WorkLifeBalance]]=2,"Good",IF(HR_Data[[#This Row],[WorkLifeBalance]]=3,"Better","Best")))</f>
        <v>Good</v>
      </c>
    </row>
    <row r="968" spans="1:42"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IF(HR_Data[[#This Row],[Attrition]]="Yes",1,0)</f>
        <v>1</v>
      </c>
      <c r="AK968">
        <f>IF(HR_Data[[#This Row],[Attrition]]="No",1,0)</f>
        <v>0</v>
      </c>
      <c r="AL968" t="str">
        <f>IF(HR_Data[[#This Row],[Age]]&lt;25,"Under 25",IF(HR_Data[[#This Row],[Age]]&lt;=34,"25-34",IF(HR_Data[[#This Row],[Age]]&lt;=44,"35-44",IF(HR_Data[[#This Row],[Age]]&lt;=54,"45-54","55+"))))</f>
        <v>55+</v>
      </c>
      <c r="AM968" t="str">
        <f>IF(HR_Data[[#This Row],[MonthlyIncome]]&lt;3000,"Low Salary",IF(HR_Data[[#This Row],[MonthlyIncome]]&lt;=7000,"Medium Salary","High Salary"))</f>
        <v>High Salary</v>
      </c>
      <c r="AN968" t="str">
        <f>IF(HR_Data[[#This Row],[YearsAtCompany]]&lt;2,"0-1 Years",IF(HR_Data[[#This Row],[YearsAtCompany]]&lt;=5,"2-5 Years",IF(HR_Data[[#This Row],[YearsAtCompany]]&lt;=10,"6-10 Years","10+ Years")))</f>
        <v>6-10 Years</v>
      </c>
      <c r="AO968" t="str">
        <f>IF(HR_Data[[#This Row],[JobSatisfaction]]=1,"Low",IF(HR_Data[[#This Row],[JobSatisfaction]]=2,"Medium",IF(HR_Data[[#This Row],[JobSatisfaction]]=3,"High","Very High")))</f>
        <v>Low</v>
      </c>
      <c r="AP968" t="str">
        <f>IF(HR_Data[[#This Row],[WorkLifeBalance]]=1,"Bad",IF(HR_Data[[#This Row],[WorkLifeBalance]]=2,"Good",IF(HR_Data[[#This Row],[WorkLifeBalance]]=3,"Better","Best")))</f>
        <v>Good</v>
      </c>
    </row>
    <row r="969" spans="1:42"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IF(HR_Data[[#This Row],[Attrition]]="Yes",1,0)</f>
        <v>0</v>
      </c>
      <c r="AK969">
        <f>IF(HR_Data[[#This Row],[Attrition]]="No",1,0)</f>
        <v>1</v>
      </c>
      <c r="AL969" t="str">
        <f>IF(HR_Data[[#This Row],[Age]]&lt;25,"Under 25",IF(HR_Data[[#This Row],[Age]]&lt;=34,"25-34",IF(HR_Data[[#This Row],[Age]]&lt;=44,"35-44",IF(HR_Data[[#This Row],[Age]]&lt;=54,"45-54","55+"))))</f>
        <v>35-44</v>
      </c>
      <c r="AM969" t="str">
        <f>IF(HR_Data[[#This Row],[MonthlyIncome]]&lt;3000,"Low Salary",IF(HR_Data[[#This Row],[MonthlyIncome]]&lt;=7000,"Medium Salary","High Salary"))</f>
        <v>Low Salary</v>
      </c>
      <c r="AN969" t="str">
        <f>IF(HR_Data[[#This Row],[YearsAtCompany]]&lt;2,"0-1 Years",IF(HR_Data[[#This Row],[YearsAtCompany]]&lt;=5,"2-5 Years",IF(HR_Data[[#This Row],[YearsAtCompany]]&lt;=10,"6-10 Years","10+ Years")))</f>
        <v>2-5 Years</v>
      </c>
      <c r="AO969" t="str">
        <f>IF(HR_Data[[#This Row],[JobSatisfaction]]=1,"Low",IF(HR_Data[[#This Row],[JobSatisfaction]]=2,"Medium",IF(HR_Data[[#This Row],[JobSatisfaction]]=3,"High","Very High")))</f>
        <v>Medium</v>
      </c>
      <c r="AP969" t="str">
        <f>IF(HR_Data[[#This Row],[WorkLifeBalance]]=1,"Bad",IF(HR_Data[[#This Row],[WorkLifeBalance]]=2,"Good",IF(HR_Data[[#This Row],[WorkLifeBalance]]=3,"Better","Best")))</f>
        <v>Better</v>
      </c>
    </row>
    <row r="970" spans="1:42"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IF(HR_Data[[#This Row],[Attrition]]="Yes",1,0)</f>
        <v>0</v>
      </c>
      <c r="AK970">
        <f>IF(HR_Data[[#This Row],[Attrition]]="No",1,0)</f>
        <v>1</v>
      </c>
      <c r="AL970" t="str">
        <f>IF(HR_Data[[#This Row],[Age]]&lt;25,"Under 25",IF(HR_Data[[#This Row],[Age]]&lt;=34,"25-34",IF(HR_Data[[#This Row],[Age]]&lt;=44,"35-44",IF(HR_Data[[#This Row],[Age]]&lt;=54,"45-54","55+"))))</f>
        <v>35-44</v>
      </c>
      <c r="AM970" t="str">
        <f>IF(HR_Data[[#This Row],[MonthlyIncome]]&lt;3000,"Low Salary",IF(HR_Data[[#This Row],[MonthlyIncome]]&lt;=7000,"Medium Salary","High Salary"))</f>
        <v>Medium Salary</v>
      </c>
      <c r="AN970" t="str">
        <f>IF(HR_Data[[#This Row],[YearsAtCompany]]&lt;2,"0-1 Years",IF(HR_Data[[#This Row],[YearsAtCompany]]&lt;=5,"2-5 Years",IF(HR_Data[[#This Row],[YearsAtCompany]]&lt;=10,"6-10 Years","10+ Years")))</f>
        <v>10+ Years</v>
      </c>
      <c r="AO970" t="str">
        <f>IF(HR_Data[[#This Row],[JobSatisfaction]]=1,"Low",IF(HR_Data[[#This Row],[JobSatisfaction]]=2,"Medium",IF(HR_Data[[#This Row],[JobSatisfaction]]=3,"High","Very High")))</f>
        <v>Low</v>
      </c>
      <c r="AP970" t="str">
        <f>IF(HR_Data[[#This Row],[WorkLifeBalance]]=1,"Bad",IF(HR_Data[[#This Row],[WorkLifeBalance]]=2,"Good",IF(HR_Data[[#This Row],[WorkLifeBalance]]=3,"Better","Best")))</f>
        <v>Good</v>
      </c>
    </row>
    <row r="971" spans="1:42"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IF(HR_Data[[#This Row],[Attrition]]="Yes",1,0)</f>
        <v>0</v>
      </c>
      <c r="AK971">
        <f>IF(HR_Data[[#This Row],[Attrition]]="No",1,0)</f>
        <v>1</v>
      </c>
      <c r="AL971" t="str">
        <f>IF(HR_Data[[#This Row],[Age]]&lt;25,"Under 25",IF(HR_Data[[#This Row],[Age]]&lt;=34,"25-34",IF(HR_Data[[#This Row],[Age]]&lt;=44,"35-44",IF(HR_Data[[#This Row],[Age]]&lt;=54,"45-54","55+"))))</f>
        <v>45-54</v>
      </c>
      <c r="AM971" t="str">
        <f>IF(HR_Data[[#This Row],[MonthlyIncome]]&lt;3000,"Low Salary",IF(HR_Data[[#This Row],[MonthlyIncome]]&lt;=7000,"Medium Salary","High Salary"))</f>
        <v>High Salary</v>
      </c>
      <c r="AN971" t="str">
        <f>IF(HR_Data[[#This Row],[YearsAtCompany]]&lt;2,"0-1 Years",IF(HR_Data[[#This Row],[YearsAtCompany]]&lt;=5,"2-5 Years",IF(HR_Data[[#This Row],[YearsAtCompany]]&lt;=10,"6-10 Years","10+ Years")))</f>
        <v>6-10 Years</v>
      </c>
      <c r="AO971" t="str">
        <f>IF(HR_Data[[#This Row],[JobSatisfaction]]=1,"Low",IF(HR_Data[[#This Row],[JobSatisfaction]]=2,"Medium",IF(HR_Data[[#This Row],[JobSatisfaction]]=3,"High","Very High")))</f>
        <v>Very High</v>
      </c>
      <c r="AP971" t="str">
        <f>IF(HR_Data[[#This Row],[WorkLifeBalance]]=1,"Bad",IF(HR_Data[[#This Row],[WorkLifeBalance]]=2,"Good",IF(HR_Data[[#This Row],[WorkLifeBalance]]=3,"Better","Best")))</f>
        <v>Better</v>
      </c>
    </row>
    <row r="972" spans="1:42"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IF(HR_Data[[#This Row],[Attrition]]="Yes",1,0)</f>
        <v>0</v>
      </c>
      <c r="AK972">
        <f>IF(HR_Data[[#This Row],[Attrition]]="No",1,0)</f>
        <v>1</v>
      </c>
      <c r="AL972" t="str">
        <f>IF(HR_Data[[#This Row],[Age]]&lt;25,"Under 25",IF(HR_Data[[#This Row],[Age]]&lt;=34,"25-34",IF(HR_Data[[#This Row],[Age]]&lt;=44,"35-44",IF(HR_Data[[#This Row],[Age]]&lt;=54,"45-54","55+"))))</f>
        <v>25-34</v>
      </c>
      <c r="AM972" t="str">
        <f>IF(HR_Data[[#This Row],[MonthlyIncome]]&lt;3000,"Low Salary",IF(HR_Data[[#This Row],[MonthlyIncome]]&lt;=7000,"Medium Salary","High Salary"))</f>
        <v>Low Salary</v>
      </c>
      <c r="AN972" t="str">
        <f>IF(HR_Data[[#This Row],[YearsAtCompany]]&lt;2,"0-1 Years",IF(HR_Data[[#This Row],[YearsAtCompany]]&lt;=5,"2-5 Years",IF(HR_Data[[#This Row],[YearsAtCompany]]&lt;=10,"6-10 Years","10+ Years")))</f>
        <v>0-1 Years</v>
      </c>
      <c r="AO972" t="str">
        <f>IF(HR_Data[[#This Row],[JobSatisfaction]]=1,"Low",IF(HR_Data[[#This Row],[JobSatisfaction]]=2,"Medium",IF(HR_Data[[#This Row],[JobSatisfaction]]=3,"High","Very High")))</f>
        <v>Very High</v>
      </c>
      <c r="AP972" t="str">
        <f>IF(HR_Data[[#This Row],[WorkLifeBalance]]=1,"Bad",IF(HR_Data[[#This Row],[WorkLifeBalance]]=2,"Good",IF(HR_Data[[#This Row],[WorkLifeBalance]]=3,"Better","Best")))</f>
        <v>Better</v>
      </c>
    </row>
    <row r="973" spans="1:42"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IF(HR_Data[[#This Row],[Attrition]]="Yes",1,0)</f>
        <v>0</v>
      </c>
      <c r="AK973">
        <f>IF(HR_Data[[#This Row],[Attrition]]="No",1,0)</f>
        <v>1</v>
      </c>
      <c r="AL973" t="str">
        <f>IF(HR_Data[[#This Row],[Age]]&lt;25,"Under 25",IF(HR_Data[[#This Row],[Age]]&lt;=34,"25-34",IF(HR_Data[[#This Row],[Age]]&lt;=44,"35-44",IF(HR_Data[[#This Row],[Age]]&lt;=54,"45-54","55+"))))</f>
        <v>45-54</v>
      </c>
      <c r="AM973" t="str">
        <f>IF(HR_Data[[#This Row],[MonthlyIncome]]&lt;3000,"Low Salary",IF(HR_Data[[#This Row],[MonthlyIncome]]&lt;=7000,"Medium Salary","High Salary"))</f>
        <v>High Salary</v>
      </c>
      <c r="AN973" t="str">
        <f>IF(HR_Data[[#This Row],[YearsAtCompany]]&lt;2,"0-1 Years",IF(HR_Data[[#This Row],[YearsAtCompany]]&lt;=5,"2-5 Years",IF(HR_Data[[#This Row],[YearsAtCompany]]&lt;=10,"6-10 Years","10+ Years")))</f>
        <v>2-5 Years</v>
      </c>
      <c r="AO973" t="str">
        <f>IF(HR_Data[[#This Row],[JobSatisfaction]]=1,"Low",IF(HR_Data[[#This Row],[JobSatisfaction]]=2,"Medium",IF(HR_Data[[#This Row],[JobSatisfaction]]=3,"High","Very High")))</f>
        <v>Medium</v>
      </c>
      <c r="AP973" t="str">
        <f>IF(HR_Data[[#This Row],[WorkLifeBalance]]=1,"Bad",IF(HR_Data[[#This Row],[WorkLifeBalance]]=2,"Good",IF(HR_Data[[#This Row],[WorkLifeBalance]]=3,"Better","Best")))</f>
        <v>Good</v>
      </c>
    </row>
    <row r="974" spans="1:42"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IF(HR_Data[[#This Row],[Attrition]]="Yes",1,0)</f>
        <v>0</v>
      </c>
      <c r="AK974">
        <f>IF(HR_Data[[#This Row],[Attrition]]="No",1,0)</f>
        <v>1</v>
      </c>
      <c r="AL974" t="str">
        <f>IF(HR_Data[[#This Row],[Age]]&lt;25,"Under 25",IF(HR_Data[[#This Row],[Age]]&lt;=34,"25-34",IF(HR_Data[[#This Row],[Age]]&lt;=44,"35-44",IF(HR_Data[[#This Row],[Age]]&lt;=54,"45-54","55+"))))</f>
        <v>Under 25</v>
      </c>
      <c r="AM974" t="str">
        <f>IF(HR_Data[[#This Row],[MonthlyIncome]]&lt;3000,"Low Salary",IF(HR_Data[[#This Row],[MonthlyIncome]]&lt;=7000,"Medium Salary","High Salary"))</f>
        <v>Low Salary</v>
      </c>
      <c r="AN974" t="str">
        <f>IF(HR_Data[[#This Row],[YearsAtCompany]]&lt;2,"0-1 Years",IF(HR_Data[[#This Row],[YearsAtCompany]]&lt;=5,"2-5 Years",IF(HR_Data[[#This Row],[YearsAtCompany]]&lt;=10,"6-10 Years","10+ Years")))</f>
        <v>0-1 Years</v>
      </c>
      <c r="AO974" t="str">
        <f>IF(HR_Data[[#This Row],[JobSatisfaction]]=1,"Low",IF(HR_Data[[#This Row],[JobSatisfaction]]=2,"Medium",IF(HR_Data[[#This Row],[JobSatisfaction]]=3,"High","Very High")))</f>
        <v>Very High</v>
      </c>
      <c r="AP974" t="str">
        <f>IF(HR_Data[[#This Row],[WorkLifeBalance]]=1,"Bad",IF(HR_Data[[#This Row],[WorkLifeBalance]]=2,"Good",IF(HR_Data[[#This Row],[WorkLifeBalance]]=3,"Better","Best")))</f>
        <v>Best</v>
      </c>
    </row>
    <row r="975" spans="1:42"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IF(HR_Data[[#This Row],[Attrition]]="Yes",1,0)</f>
        <v>0</v>
      </c>
      <c r="AK975">
        <f>IF(HR_Data[[#This Row],[Attrition]]="No",1,0)</f>
        <v>1</v>
      </c>
      <c r="AL975" t="str">
        <f>IF(HR_Data[[#This Row],[Age]]&lt;25,"Under 25",IF(HR_Data[[#This Row],[Age]]&lt;=34,"25-34",IF(HR_Data[[#This Row],[Age]]&lt;=44,"35-44",IF(HR_Data[[#This Row],[Age]]&lt;=54,"45-54","55+"))))</f>
        <v>35-44</v>
      </c>
      <c r="AM975" t="str">
        <f>IF(HR_Data[[#This Row],[MonthlyIncome]]&lt;3000,"Low Salary",IF(HR_Data[[#This Row],[MonthlyIncome]]&lt;=7000,"Medium Salary","High Salary"))</f>
        <v>Medium Salary</v>
      </c>
      <c r="AN975" t="str">
        <f>IF(HR_Data[[#This Row],[YearsAtCompany]]&lt;2,"0-1 Years",IF(HR_Data[[#This Row],[YearsAtCompany]]&lt;=5,"2-5 Years",IF(HR_Data[[#This Row],[YearsAtCompany]]&lt;=10,"6-10 Years","10+ Years")))</f>
        <v>6-10 Years</v>
      </c>
      <c r="AO975" t="str">
        <f>IF(HR_Data[[#This Row],[JobSatisfaction]]=1,"Low",IF(HR_Data[[#This Row],[JobSatisfaction]]=2,"Medium",IF(HR_Data[[#This Row],[JobSatisfaction]]=3,"High","Very High")))</f>
        <v>Very High</v>
      </c>
      <c r="AP975" t="str">
        <f>IF(HR_Data[[#This Row],[WorkLifeBalance]]=1,"Bad",IF(HR_Data[[#This Row],[WorkLifeBalance]]=2,"Good",IF(HR_Data[[#This Row],[WorkLifeBalance]]=3,"Better","Best")))</f>
        <v>Better</v>
      </c>
    </row>
    <row r="976" spans="1:42"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IF(HR_Data[[#This Row],[Attrition]]="Yes",1,0)</f>
        <v>0</v>
      </c>
      <c r="AK976">
        <f>IF(HR_Data[[#This Row],[Attrition]]="No",1,0)</f>
        <v>1</v>
      </c>
      <c r="AL976" t="str">
        <f>IF(HR_Data[[#This Row],[Age]]&lt;25,"Under 25",IF(HR_Data[[#This Row],[Age]]&lt;=34,"25-34",IF(HR_Data[[#This Row],[Age]]&lt;=44,"35-44",IF(HR_Data[[#This Row],[Age]]&lt;=54,"45-54","55+"))))</f>
        <v>25-34</v>
      </c>
      <c r="AM976" t="str">
        <f>IF(HR_Data[[#This Row],[MonthlyIncome]]&lt;3000,"Low Salary",IF(HR_Data[[#This Row],[MonthlyIncome]]&lt;=7000,"Medium Salary","High Salary"))</f>
        <v>Medium Salary</v>
      </c>
      <c r="AN976" t="str">
        <f>IF(HR_Data[[#This Row],[YearsAtCompany]]&lt;2,"0-1 Years",IF(HR_Data[[#This Row],[YearsAtCompany]]&lt;=5,"2-5 Years",IF(HR_Data[[#This Row],[YearsAtCompany]]&lt;=10,"6-10 Years","10+ Years")))</f>
        <v>6-10 Years</v>
      </c>
      <c r="AO976" t="str">
        <f>IF(HR_Data[[#This Row],[JobSatisfaction]]=1,"Low",IF(HR_Data[[#This Row],[JobSatisfaction]]=2,"Medium",IF(HR_Data[[#This Row],[JobSatisfaction]]=3,"High","Very High")))</f>
        <v>Very High</v>
      </c>
      <c r="AP976" t="str">
        <f>IF(HR_Data[[#This Row],[WorkLifeBalance]]=1,"Bad",IF(HR_Data[[#This Row],[WorkLifeBalance]]=2,"Good",IF(HR_Data[[#This Row],[WorkLifeBalance]]=3,"Better","Best")))</f>
        <v>Better</v>
      </c>
    </row>
    <row r="977" spans="1:42"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IF(HR_Data[[#This Row],[Attrition]]="Yes",1,0)</f>
        <v>1</v>
      </c>
      <c r="AK977">
        <f>IF(HR_Data[[#This Row],[Attrition]]="No",1,0)</f>
        <v>0</v>
      </c>
      <c r="AL977" t="str">
        <f>IF(HR_Data[[#This Row],[Age]]&lt;25,"Under 25",IF(HR_Data[[#This Row],[Age]]&lt;=34,"25-34",IF(HR_Data[[#This Row],[Age]]&lt;=44,"35-44",IF(HR_Data[[#This Row],[Age]]&lt;=54,"45-54","55+"))))</f>
        <v>55+</v>
      </c>
      <c r="AM977" t="str">
        <f>IF(HR_Data[[#This Row],[MonthlyIncome]]&lt;3000,"Low Salary",IF(HR_Data[[#This Row],[MonthlyIncome]]&lt;=7000,"Medium Salary","High Salary"))</f>
        <v>High Salary</v>
      </c>
      <c r="AN977" t="str">
        <f>IF(HR_Data[[#This Row],[YearsAtCompany]]&lt;2,"0-1 Years",IF(HR_Data[[#This Row],[YearsAtCompany]]&lt;=5,"2-5 Years",IF(HR_Data[[#This Row],[YearsAtCompany]]&lt;=10,"6-10 Years","10+ Years")))</f>
        <v>10+ Years</v>
      </c>
      <c r="AO977" t="str">
        <f>IF(HR_Data[[#This Row],[JobSatisfaction]]=1,"Low",IF(HR_Data[[#This Row],[JobSatisfaction]]=2,"Medium",IF(HR_Data[[#This Row],[JobSatisfaction]]=3,"High","Very High")))</f>
        <v>High</v>
      </c>
      <c r="AP977" t="str">
        <f>IF(HR_Data[[#This Row],[WorkLifeBalance]]=1,"Bad",IF(HR_Data[[#This Row],[WorkLifeBalance]]=2,"Good",IF(HR_Data[[#This Row],[WorkLifeBalance]]=3,"Better","Best")))</f>
        <v>Good</v>
      </c>
    </row>
    <row r="978" spans="1:42"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IF(HR_Data[[#This Row],[Attrition]]="Yes",1,0)</f>
        <v>0</v>
      </c>
      <c r="AK978">
        <f>IF(HR_Data[[#This Row],[Attrition]]="No",1,0)</f>
        <v>1</v>
      </c>
      <c r="AL978" t="str">
        <f>IF(HR_Data[[#This Row],[Age]]&lt;25,"Under 25",IF(HR_Data[[#This Row],[Age]]&lt;=34,"25-34",IF(HR_Data[[#This Row],[Age]]&lt;=44,"35-44",IF(HR_Data[[#This Row],[Age]]&lt;=54,"45-54","55+"))))</f>
        <v>55+</v>
      </c>
      <c r="AM978" t="str">
        <f>IF(HR_Data[[#This Row],[MonthlyIncome]]&lt;3000,"Low Salary",IF(HR_Data[[#This Row],[MonthlyIncome]]&lt;=7000,"Medium Salary","High Salary"))</f>
        <v>High Salary</v>
      </c>
      <c r="AN978" t="str">
        <f>IF(HR_Data[[#This Row],[YearsAtCompany]]&lt;2,"0-1 Years",IF(HR_Data[[#This Row],[YearsAtCompany]]&lt;=5,"2-5 Years",IF(HR_Data[[#This Row],[YearsAtCompany]]&lt;=10,"6-10 Years","10+ Years")))</f>
        <v>10+ Years</v>
      </c>
      <c r="AO978" t="str">
        <f>IF(HR_Data[[#This Row],[JobSatisfaction]]=1,"Low",IF(HR_Data[[#This Row],[JobSatisfaction]]=2,"Medium",IF(HR_Data[[#This Row],[JobSatisfaction]]=3,"High","Very High")))</f>
        <v>Medium</v>
      </c>
      <c r="AP978" t="str">
        <f>IF(HR_Data[[#This Row],[WorkLifeBalance]]=1,"Bad",IF(HR_Data[[#This Row],[WorkLifeBalance]]=2,"Good",IF(HR_Data[[#This Row],[WorkLifeBalance]]=3,"Better","Best")))</f>
        <v>Better</v>
      </c>
    </row>
    <row r="979" spans="1:42"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IF(HR_Data[[#This Row],[Attrition]]="Yes",1,0)</f>
        <v>0</v>
      </c>
      <c r="AK979">
        <f>IF(HR_Data[[#This Row],[Attrition]]="No",1,0)</f>
        <v>1</v>
      </c>
      <c r="AL979" t="str">
        <f>IF(HR_Data[[#This Row],[Age]]&lt;25,"Under 25",IF(HR_Data[[#This Row],[Age]]&lt;=34,"25-34",IF(HR_Data[[#This Row],[Age]]&lt;=44,"35-44",IF(HR_Data[[#This Row],[Age]]&lt;=54,"45-54","55+"))))</f>
        <v>25-34</v>
      </c>
      <c r="AM979" t="str">
        <f>IF(HR_Data[[#This Row],[MonthlyIncome]]&lt;3000,"Low Salary",IF(HR_Data[[#This Row],[MonthlyIncome]]&lt;=7000,"Medium Salary","High Salary"))</f>
        <v>Low Salary</v>
      </c>
      <c r="AN979" t="str">
        <f>IF(HR_Data[[#This Row],[YearsAtCompany]]&lt;2,"0-1 Years",IF(HR_Data[[#This Row],[YearsAtCompany]]&lt;=5,"2-5 Years",IF(HR_Data[[#This Row],[YearsAtCompany]]&lt;=10,"6-10 Years","10+ Years")))</f>
        <v>2-5 Years</v>
      </c>
      <c r="AO979" t="str">
        <f>IF(HR_Data[[#This Row],[JobSatisfaction]]=1,"Low",IF(HR_Data[[#This Row],[JobSatisfaction]]=2,"Medium",IF(HR_Data[[#This Row],[JobSatisfaction]]=3,"High","Very High")))</f>
        <v>High</v>
      </c>
      <c r="AP979" t="str">
        <f>IF(HR_Data[[#This Row],[WorkLifeBalance]]=1,"Bad",IF(HR_Data[[#This Row],[WorkLifeBalance]]=2,"Good",IF(HR_Data[[#This Row],[WorkLifeBalance]]=3,"Better","Best")))</f>
        <v>Better</v>
      </c>
    </row>
    <row r="980" spans="1:42"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IF(HR_Data[[#This Row],[Attrition]]="Yes",1,0)</f>
        <v>0</v>
      </c>
      <c r="AK980">
        <f>IF(HR_Data[[#This Row],[Attrition]]="No",1,0)</f>
        <v>1</v>
      </c>
      <c r="AL980" t="str">
        <f>IF(HR_Data[[#This Row],[Age]]&lt;25,"Under 25",IF(HR_Data[[#This Row],[Age]]&lt;=34,"25-34",IF(HR_Data[[#This Row],[Age]]&lt;=44,"35-44",IF(HR_Data[[#This Row],[Age]]&lt;=54,"45-54","55+"))))</f>
        <v>35-44</v>
      </c>
      <c r="AM980" t="str">
        <f>IF(HR_Data[[#This Row],[MonthlyIncome]]&lt;3000,"Low Salary",IF(HR_Data[[#This Row],[MonthlyIncome]]&lt;=7000,"Medium Salary","High Salary"))</f>
        <v>Medium Salary</v>
      </c>
      <c r="AN980" t="str">
        <f>IF(HR_Data[[#This Row],[YearsAtCompany]]&lt;2,"0-1 Years",IF(HR_Data[[#This Row],[YearsAtCompany]]&lt;=5,"2-5 Years",IF(HR_Data[[#This Row],[YearsAtCompany]]&lt;=10,"6-10 Years","10+ Years")))</f>
        <v>10+ Years</v>
      </c>
      <c r="AO980" t="str">
        <f>IF(HR_Data[[#This Row],[JobSatisfaction]]=1,"Low",IF(HR_Data[[#This Row],[JobSatisfaction]]=2,"Medium",IF(HR_Data[[#This Row],[JobSatisfaction]]=3,"High","Very High")))</f>
        <v>High</v>
      </c>
      <c r="AP980" t="str">
        <f>IF(HR_Data[[#This Row],[WorkLifeBalance]]=1,"Bad",IF(HR_Data[[#This Row],[WorkLifeBalance]]=2,"Good",IF(HR_Data[[#This Row],[WorkLifeBalance]]=3,"Better","Best")))</f>
        <v>Better</v>
      </c>
    </row>
    <row r="981" spans="1:42"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IF(HR_Data[[#This Row],[Attrition]]="Yes",1,0)</f>
        <v>0</v>
      </c>
      <c r="AK981">
        <f>IF(HR_Data[[#This Row],[Attrition]]="No",1,0)</f>
        <v>1</v>
      </c>
      <c r="AL981" t="str">
        <f>IF(HR_Data[[#This Row],[Age]]&lt;25,"Under 25",IF(HR_Data[[#This Row],[Age]]&lt;=34,"25-34",IF(HR_Data[[#This Row],[Age]]&lt;=44,"35-44",IF(HR_Data[[#This Row],[Age]]&lt;=54,"45-54","55+"))))</f>
        <v>25-34</v>
      </c>
      <c r="AM981" t="str">
        <f>IF(HR_Data[[#This Row],[MonthlyIncome]]&lt;3000,"Low Salary",IF(HR_Data[[#This Row],[MonthlyIncome]]&lt;=7000,"Medium Salary","High Salary"))</f>
        <v>Medium Salary</v>
      </c>
      <c r="AN981" t="str">
        <f>IF(HR_Data[[#This Row],[YearsAtCompany]]&lt;2,"0-1 Years",IF(HR_Data[[#This Row],[YearsAtCompany]]&lt;=5,"2-5 Years",IF(HR_Data[[#This Row],[YearsAtCompany]]&lt;=10,"6-10 Years","10+ Years")))</f>
        <v>6-10 Years</v>
      </c>
      <c r="AO981" t="str">
        <f>IF(HR_Data[[#This Row],[JobSatisfaction]]=1,"Low",IF(HR_Data[[#This Row],[JobSatisfaction]]=2,"Medium",IF(HR_Data[[#This Row],[JobSatisfaction]]=3,"High","Very High")))</f>
        <v>High</v>
      </c>
      <c r="AP981" t="str">
        <f>IF(HR_Data[[#This Row],[WorkLifeBalance]]=1,"Bad",IF(HR_Data[[#This Row],[WorkLifeBalance]]=2,"Good",IF(HR_Data[[#This Row],[WorkLifeBalance]]=3,"Better","Best")))</f>
        <v>Better</v>
      </c>
    </row>
    <row r="982" spans="1:42"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IF(HR_Data[[#This Row],[Attrition]]="Yes",1,0)</f>
        <v>1</v>
      </c>
      <c r="AK982">
        <f>IF(HR_Data[[#This Row],[Attrition]]="No",1,0)</f>
        <v>0</v>
      </c>
      <c r="AL982" t="str">
        <f>IF(HR_Data[[#This Row],[Age]]&lt;25,"Under 25",IF(HR_Data[[#This Row],[Age]]&lt;=34,"25-34",IF(HR_Data[[#This Row],[Age]]&lt;=44,"35-44",IF(HR_Data[[#This Row],[Age]]&lt;=54,"45-54","55+"))))</f>
        <v>25-34</v>
      </c>
      <c r="AM982" t="str">
        <f>IF(HR_Data[[#This Row],[MonthlyIncome]]&lt;3000,"Low Salary",IF(HR_Data[[#This Row],[MonthlyIncome]]&lt;=7000,"Medium Salary","High Salary"))</f>
        <v>Low Salary</v>
      </c>
      <c r="AN982" t="str">
        <f>IF(HR_Data[[#This Row],[YearsAtCompany]]&lt;2,"0-1 Years",IF(HR_Data[[#This Row],[YearsAtCompany]]&lt;=5,"2-5 Years",IF(HR_Data[[#This Row],[YearsAtCompany]]&lt;=10,"6-10 Years","10+ Years")))</f>
        <v>0-1 Years</v>
      </c>
      <c r="AO982" t="str">
        <f>IF(HR_Data[[#This Row],[JobSatisfaction]]=1,"Low",IF(HR_Data[[#This Row],[JobSatisfaction]]=2,"Medium",IF(HR_Data[[#This Row],[JobSatisfaction]]=3,"High","Very High")))</f>
        <v>Very High</v>
      </c>
      <c r="AP982" t="str">
        <f>IF(HR_Data[[#This Row],[WorkLifeBalance]]=1,"Bad",IF(HR_Data[[#This Row],[WorkLifeBalance]]=2,"Good",IF(HR_Data[[#This Row],[WorkLifeBalance]]=3,"Better","Best")))</f>
        <v>Best</v>
      </c>
    </row>
    <row r="983" spans="1:42"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IF(HR_Data[[#This Row],[Attrition]]="Yes",1,0)</f>
        <v>1</v>
      </c>
      <c r="AK983">
        <f>IF(HR_Data[[#This Row],[Attrition]]="No",1,0)</f>
        <v>0</v>
      </c>
      <c r="AL983" t="str">
        <f>IF(HR_Data[[#This Row],[Age]]&lt;25,"Under 25",IF(HR_Data[[#This Row],[Age]]&lt;=34,"25-34",IF(HR_Data[[#This Row],[Age]]&lt;=44,"35-44",IF(HR_Data[[#This Row],[Age]]&lt;=54,"45-54","55+"))))</f>
        <v>35-44</v>
      </c>
      <c r="AM983" t="str">
        <f>IF(HR_Data[[#This Row],[MonthlyIncome]]&lt;3000,"Low Salary",IF(HR_Data[[#This Row],[MonthlyIncome]]&lt;=7000,"Medium Salary","High Salary"))</f>
        <v>Medium Salary</v>
      </c>
      <c r="AN983" t="str">
        <f>IF(HR_Data[[#This Row],[YearsAtCompany]]&lt;2,"0-1 Years",IF(HR_Data[[#This Row],[YearsAtCompany]]&lt;=5,"2-5 Years",IF(HR_Data[[#This Row],[YearsAtCompany]]&lt;=10,"6-10 Years","10+ Years")))</f>
        <v>2-5 Years</v>
      </c>
      <c r="AO983" t="str">
        <f>IF(HR_Data[[#This Row],[JobSatisfaction]]=1,"Low",IF(HR_Data[[#This Row],[JobSatisfaction]]=2,"Medium",IF(HR_Data[[#This Row],[JobSatisfaction]]=3,"High","Very High")))</f>
        <v>High</v>
      </c>
      <c r="AP983" t="str">
        <f>IF(HR_Data[[#This Row],[WorkLifeBalance]]=1,"Bad",IF(HR_Data[[#This Row],[WorkLifeBalance]]=2,"Good",IF(HR_Data[[#This Row],[WorkLifeBalance]]=3,"Better","Best")))</f>
        <v>Good</v>
      </c>
    </row>
    <row r="984" spans="1:42"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IF(HR_Data[[#This Row],[Attrition]]="Yes",1,0)</f>
        <v>0</v>
      </c>
      <c r="AK984">
        <f>IF(HR_Data[[#This Row],[Attrition]]="No",1,0)</f>
        <v>1</v>
      </c>
      <c r="AL984" t="str">
        <f>IF(HR_Data[[#This Row],[Age]]&lt;25,"Under 25",IF(HR_Data[[#This Row],[Age]]&lt;=34,"25-34",IF(HR_Data[[#This Row],[Age]]&lt;=44,"35-44",IF(HR_Data[[#This Row],[Age]]&lt;=54,"45-54","55+"))))</f>
        <v>35-44</v>
      </c>
      <c r="AM984" t="str">
        <f>IF(HR_Data[[#This Row],[MonthlyIncome]]&lt;3000,"Low Salary",IF(HR_Data[[#This Row],[MonthlyIncome]]&lt;=7000,"Medium Salary","High Salary"))</f>
        <v>Low Salary</v>
      </c>
      <c r="AN984" t="str">
        <f>IF(HR_Data[[#This Row],[YearsAtCompany]]&lt;2,"0-1 Years",IF(HR_Data[[#This Row],[YearsAtCompany]]&lt;=5,"2-5 Years",IF(HR_Data[[#This Row],[YearsAtCompany]]&lt;=10,"6-10 Years","10+ Years")))</f>
        <v>2-5 Years</v>
      </c>
      <c r="AO984" t="str">
        <f>IF(HR_Data[[#This Row],[JobSatisfaction]]=1,"Low",IF(HR_Data[[#This Row],[JobSatisfaction]]=2,"Medium",IF(HR_Data[[#This Row],[JobSatisfaction]]=3,"High","Very High")))</f>
        <v>High</v>
      </c>
      <c r="AP984" t="str">
        <f>IF(HR_Data[[#This Row],[WorkLifeBalance]]=1,"Bad",IF(HR_Data[[#This Row],[WorkLifeBalance]]=2,"Good",IF(HR_Data[[#This Row],[WorkLifeBalance]]=3,"Better","Best")))</f>
        <v>Better</v>
      </c>
    </row>
    <row r="985" spans="1:42"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IF(HR_Data[[#This Row],[Attrition]]="Yes",1,0)</f>
        <v>0</v>
      </c>
      <c r="AK985">
        <f>IF(HR_Data[[#This Row],[Attrition]]="No",1,0)</f>
        <v>1</v>
      </c>
      <c r="AL985" t="str">
        <f>IF(HR_Data[[#This Row],[Age]]&lt;25,"Under 25",IF(HR_Data[[#This Row],[Age]]&lt;=34,"25-34",IF(HR_Data[[#This Row],[Age]]&lt;=44,"35-44",IF(HR_Data[[#This Row],[Age]]&lt;=54,"45-54","55+"))))</f>
        <v>25-34</v>
      </c>
      <c r="AM985" t="str">
        <f>IF(HR_Data[[#This Row],[MonthlyIncome]]&lt;3000,"Low Salary",IF(HR_Data[[#This Row],[MonthlyIncome]]&lt;=7000,"Medium Salary","High Salary"))</f>
        <v>Medium Salary</v>
      </c>
      <c r="AN985" t="str">
        <f>IF(HR_Data[[#This Row],[YearsAtCompany]]&lt;2,"0-1 Years",IF(HR_Data[[#This Row],[YearsAtCompany]]&lt;=5,"2-5 Years",IF(HR_Data[[#This Row],[YearsAtCompany]]&lt;=10,"6-10 Years","10+ Years")))</f>
        <v>10+ Years</v>
      </c>
      <c r="AO985" t="str">
        <f>IF(HR_Data[[#This Row],[JobSatisfaction]]=1,"Low",IF(HR_Data[[#This Row],[JobSatisfaction]]=2,"Medium",IF(HR_Data[[#This Row],[JobSatisfaction]]=3,"High","Very High")))</f>
        <v>Very High</v>
      </c>
      <c r="AP985" t="str">
        <f>IF(HR_Data[[#This Row],[WorkLifeBalance]]=1,"Bad",IF(HR_Data[[#This Row],[WorkLifeBalance]]=2,"Good",IF(HR_Data[[#This Row],[WorkLifeBalance]]=3,"Better","Best")))</f>
        <v>Best</v>
      </c>
    </row>
    <row r="986" spans="1:42"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IF(HR_Data[[#This Row],[Attrition]]="Yes",1,0)</f>
        <v>0</v>
      </c>
      <c r="AK986">
        <f>IF(HR_Data[[#This Row],[Attrition]]="No",1,0)</f>
        <v>1</v>
      </c>
      <c r="AL986" t="str">
        <f>IF(HR_Data[[#This Row],[Age]]&lt;25,"Under 25",IF(HR_Data[[#This Row],[Age]]&lt;=34,"25-34",IF(HR_Data[[#This Row],[Age]]&lt;=44,"35-44",IF(HR_Data[[#This Row],[Age]]&lt;=54,"45-54","55+"))))</f>
        <v>25-34</v>
      </c>
      <c r="AM986" t="str">
        <f>IF(HR_Data[[#This Row],[MonthlyIncome]]&lt;3000,"Low Salary",IF(HR_Data[[#This Row],[MonthlyIncome]]&lt;=7000,"Medium Salary","High Salary"))</f>
        <v>Medium Salary</v>
      </c>
      <c r="AN986" t="str">
        <f>IF(HR_Data[[#This Row],[YearsAtCompany]]&lt;2,"0-1 Years",IF(HR_Data[[#This Row],[YearsAtCompany]]&lt;=5,"2-5 Years",IF(HR_Data[[#This Row],[YearsAtCompany]]&lt;=10,"6-10 Years","10+ Years")))</f>
        <v>2-5 Years</v>
      </c>
      <c r="AO986" t="str">
        <f>IF(HR_Data[[#This Row],[JobSatisfaction]]=1,"Low",IF(HR_Data[[#This Row],[JobSatisfaction]]=2,"Medium",IF(HR_Data[[#This Row],[JobSatisfaction]]=3,"High","Very High")))</f>
        <v>Low</v>
      </c>
      <c r="AP986" t="str">
        <f>IF(HR_Data[[#This Row],[WorkLifeBalance]]=1,"Bad",IF(HR_Data[[#This Row],[WorkLifeBalance]]=2,"Good",IF(HR_Data[[#This Row],[WorkLifeBalance]]=3,"Better","Best")))</f>
        <v>Better</v>
      </c>
    </row>
    <row r="987" spans="1:42"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IF(HR_Data[[#This Row],[Attrition]]="Yes",1,0)</f>
        <v>1</v>
      </c>
      <c r="AK987">
        <f>IF(HR_Data[[#This Row],[Attrition]]="No",1,0)</f>
        <v>0</v>
      </c>
      <c r="AL987" t="str">
        <f>IF(HR_Data[[#This Row],[Age]]&lt;25,"Under 25",IF(HR_Data[[#This Row],[Age]]&lt;=34,"25-34",IF(HR_Data[[#This Row],[Age]]&lt;=44,"35-44",IF(HR_Data[[#This Row],[Age]]&lt;=54,"45-54","55+"))))</f>
        <v>25-34</v>
      </c>
      <c r="AM987" t="str">
        <f>IF(HR_Data[[#This Row],[MonthlyIncome]]&lt;3000,"Low Salary",IF(HR_Data[[#This Row],[MonthlyIncome]]&lt;=7000,"Medium Salary","High Salary"))</f>
        <v>Medium Salary</v>
      </c>
      <c r="AN987" t="str">
        <f>IF(HR_Data[[#This Row],[YearsAtCompany]]&lt;2,"0-1 Years",IF(HR_Data[[#This Row],[YearsAtCompany]]&lt;=5,"2-5 Years",IF(HR_Data[[#This Row],[YearsAtCompany]]&lt;=10,"6-10 Years","10+ Years")))</f>
        <v>6-10 Years</v>
      </c>
      <c r="AO987" t="str">
        <f>IF(HR_Data[[#This Row],[JobSatisfaction]]=1,"Low",IF(HR_Data[[#This Row],[JobSatisfaction]]=2,"Medium",IF(HR_Data[[#This Row],[JobSatisfaction]]=3,"High","Very High")))</f>
        <v>High</v>
      </c>
      <c r="AP987" t="str">
        <f>IF(HR_Data[[#This Row],[WorkLifeBalance]]=1,"Bad",IF(HR_Data[[#This Row],[WorkLifeBalance]]=2,"Good",IF(HR_Data[[#This Row],[WorkLifeBalance]]=3,"Better","Best")))</f>
        <v>Good</v>
      </c>
    </row>
    <row r="988" spans="1:42"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IF(HR_Data[[#This Row],[Attrition]]="Yes",1,0)</f>
        <v>0</v>
      </c>
      <c r="AK988">
        <f>IF(HR_Data[[#This Row],[Attrition]]="No",1,0)</f>
        <v>1</v>
      </c>
      <c r="AL988" t="str">
        <f>IF(HR_Data[[#This Row],[Age]]&lt;25,"Under 25",IF(HR_Data[[#This Row],[Age]]&lt;=34,"25-34",IF(HR_Data[[#This Row],[Age]]&lt;=44,"35-44",IF(HR_Data[[#This Row],[Age]]&lt;=54,"45-54","55+"))))</f>
        <v>35-44</v>
      </c>
      <c r="AM988" t="str">
        <f>IF(HR_Data[[#This Row],[MonthlyIncome]]&lt;3000,"Low Salary",IF(HR_Data[[#This Row],[MonthlyIncome]]&lt;=7000,"Medium Salary","High Salary"))</f>
        <v>Medium Salary</v>
      </c>
      <c r="AN988" t="str">
        <f>IF(HR_Data[[#This Row],[YearsAtCompany]]&lt;2,"0-1 Years",IF(HR_Data[[#This Row],[YearsAtCompany]]&lt;=5,"2-5 Years",IF(HR_Data[[#This Row],[YearsAtCompany]]&lt;=10,"6-10 Years","10+ Years")))</f>
        <v>2-5 Years</v>
      </c>
      <c r="AO988" t="str">
        <f>IF(HR_Data[[#This Row],[JobSatisfaction]]=1,"Low",IF(HR_Data[[#This Row],[JobSatisfaction]]=2,"Medium",IF(HR_Data[[#This Row],[JobSatisfaction]]=3,"High","Very High")))</f>
        <v>Very High</v>
      </c>
      <c r="AP988" t="str">
        <f>IF(HR_Data[[#This Row],[WorkLifeBalance]]=1,"Bad",IF(HR_Data[[#This Row],[WorkLifeBalance]]=2,"Good",IF(HR_Data[[#This Row],[WorkLifeBalance]]=3,"Better","Best")))</f>
        <v>Best</v>
      </c>
    </row>
    <row r="989" spans="1:42"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IF(HR_Data[[#This Row],[Attrition]]="Yes",1,0)</f>
        <v>0</v>
      </c>
      <c r="AK989">
        <f>IF(HR_Data[[#This Row],[Attrition]]="No",1,0)</f>
        <v>1</v>
      </c>
      <c r="AL989" t="str">
        <f>IF(HR_Data[[#This Row],[Age]]&lt;25,"Under 25",IF(HR_Data[[#This Row],[Age]]&lt;=34,"25-34",IF(HR_Data[[#This Row],[Age]]&lt;=44,"35-44",IF(HR_Data[[#This Row],[Age]]&lt;=54,"45-54","55+"))))</f>
        <v>45-54</v>
      </c>
      <c r="AM989" t="str">
        <f>IF(HR_Data[[#This Row],[MonthlyIncome]]&lt;3000,"Low Salary",IF(HR_Data[[#This Row],[MonthlyIncome]]&lt;=7000,"Medium Salary","High Salary"))</f>
        <v>High Salary</v>
      </c>
      <c r="AN989" t="str">
        <f>IF(HR_Data[[#This Row],[YearsAtCompany]]&lt;2,"0-1 Years",IF(HR_Data[[#This Row],[YearsAtCompany]]&lt;=5,"2-5 Years",IF(HR_Data[[#This Row],[YearsAtCompany]]&lt;=10,"6-10 Years","10+ Years")))</f>
        <v>2-5 Years</v>
      </c>
      <c r="AO989" t="str">
        <f>IF(HR_Data[[#This Row],[JobSatisfaction]]=1,"Low",IF(HR_Data[[#This Row],[JobSatisfaction]]=2,"Medium",IF(HR_Data[[#This Row],[JobSatisfaction]]=3,"High","Very High")))</f>
        <v>Medium</v>
      </c>
      <c r="AP989" t="str">
        <f>IF(HR_Data[[#This Row],[WorkLifeBalance]]=1,"Bad",IF(HR_Data[[#This Row],[WorkLifeBalance]]=2,"Good",IF(HR_Data[[#This Row],[WorkLifeBalance]]=3,"Better","Best")))</f>
        <v>Better</v>
      </c>
    </row>
    <row r="990" spans="1:42"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IF(HR_Data[[#This Row],[Attrition]]="Yes",1,0)</f>
        <v>0</v>
      </c>
      <c r="AK990">
        <f>IF(HR_Data[[#This Row],[Attrition]]="No",1,0)</f>
        <v>1</v>
      </c>
      <c r="AL990" t="str">
        <f>IF(HR_Data[[#This Row],[Age]]&lt;25,"Under 25",IF(HR_Data[[#This Row],[Age]]&lt;=34,"25-34",IF(HR_Data[[#This Row],[Age]]&lt;=44,"35-44",IF(HR_Data[[#This Row],[Age]]&lt;=54,"45-54","55+"))))</f>
        <v>35-44</v>
      </c>
      <c r="AM990" t="str">
        <f>IF(HR_Data[[#This Row],[MonthlyIncome]]&lt;3000,"Low Salary",IF(HR_Data[[#This Row],[MonthlyIncome]]&lt;=7000,"Medium Salary","High Salary"))</f>
        <v>Medium Salary</v>
      </c>
      <c r="AN990" t="str">
        <f>IF(HR_Data[[#This Row],[YearsAtCompany]]&lt;2,"0-1 Years",IF(HR_Data[[#This Row],[YearsAtCompany]]&lt;=5,"2-5 Years",IF(HR_Data[[#This Row],[YearsAtCompany]]&lt;=10,"6-10 Years","10+ Years")))</f>
        <v>6-10 Years</v>
      </c>
      <c r="AO990" t="str">
        <f>IF(HR_Data[[#This Row],[JobSatisfaction]]=1,"Low",IF(HR_Data[[#This Row],[JobSatisfaction]]=2,"Medium",IF(HR_Data[[#This Row],[JobSatisfaction]]=3,"High","Very High")))</f>
        <v>Very High</v>
      </c>
      <c r="AP990" t="str">
        <f>IF(HR_Data[[#This Row],[WorkLifeBalance]]=1,"Bad",IF(HR_Data[[#This Row],[WorkLifeBalance]]=2,"Good",IF(HR_Data[[#This Row],[WorkLifeBalance]]=3,"Better","Best")))</f>
        <v>Good</v>
      </c>
    </row>
    <row r="991" spans="1:42"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IF(HR_Data[[#This Row],[Attrition]]="Yes",1,0)</f>
        <v>0</v>
      </c>
      <c r="AK991">
        <f>IF(HR_Data[[#This Row],[Attrition]]="No",1,0)</f>
        <v>1</v>
      </c>
      <c r="AL991" t="str">
        <f>IF(HR_Data[[#This Row],[Age]]&lt;25,"Under 25",IF(HR_Data[[#This Row],[Age]]&lt;=34,"25-34",IF(HR_Data[[#This Row],[Age]]&lt;=44,"35-44",IF(HR_Data[[#This Row],[Age]]&lt;=54,"45-54","55+"))))</f>
        <v>35-44</v>
      </c>
      <c r="AM991" t="str">
        <f>IF(HR_Data[[#This Row],[MonthlyIncome]]&lt;3000,"Low Salary",IF(HR_Data[[#This Row],[MonthlyIncome]]&lt;=7000,"Medium Salary","High Salary"))</f>
        <v>Low Salary</v>
      </c>
      <c r="AN991" t="str">
        <f>IF(HR_Data[[#This Row],[YearsAtCompany]]&lt;2,"0-1 Years",IF(HR_Data[[#This Row],[YearsAtCompany]]&lt;=5,"2-5 Years",IF(HR_Data[[#This Row],[YearsAtCompany]]&lt;=10,"6-10 Years","10+ Years")))</f>
        <v>6-10 Years</v>
      </c>
      <c r="AO991" t="str">
        <f>IF(HR_Data[[#This Row],[JobSatisfaction]]=1,"Low",IF(HR_Data[[#This Row],[JobSatisfaction]]=2,"Medium",IF(HR_Data[[#This Row],[JobSatisfaction]]=3,"High","Very High")))</f>
        <v>High</v>
      </c>
      <c r="AP991" t="str">
        <f>IF(HR_Data[[#This Row],[WorkLifeBalance]]=1,"Bad",IF(HR_Data[[#This Row],[WorkLifeBalance]]=2,"Good",IF(HR_Data[[#This Row],[WorkLifeBalance]]=3,"Better","Best")))</f>
        <v>Better</v>
      </c>
    </row>
    <row r="992" spans="1:42"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IF(HR_Data[[#This Row],[Attrition]]="Yes",1,0)</f>
        <v>0</v>
      </c>
      <c r="AK992">
        <f>IF(HR_Data[[#This Row],[Attrition]]="No",1,0)</f>
        <v>1</v>
      </c>
      <c r="AL992" t="str">
        <f>IF(HR_Data[[#This Row],[Age]]&lt;25,"Under 25",IF(HR_Data[[#This Row],[Age]]&lt;=34,"25-34",IF(HR_Data[[#This Row],[Age]]&lt;=44,"35-44",IF(HR_Data[[#This Row],[Age]]&lt;=54,"45-54","55+"))))</f>
        <v>25-34</v>
      </c>
      <c r="AM992" t="str">
        <f>IF(HR_Data[[#This Row],[MonthlyIncome]]&lt;3000,"Low Salary",IF(HR_Data[[#This Row],[MonthlyIncome]]&lt;=7000,"Medium Salary","High Salary"))</f>
        <v>High Salary</v>
      </c>
      <c r="AN992" t="str">
        <f>IF(HR_Data[[#This Row],[YearsAtCompany]]&lt;2,"0-1 Years",IF(HR_Data[[#This Row],[YearsAtCompany]]&lt;=5,"2-5 Years",IF(HR_Data[[#This Row],[YearsAtCompany]]&lt;=10,"6-10 Years","10+ Years")))</f>
        <v>2-5 Years</v>
      </c>
      <c r="AO992" t="str">
        <f>IF(HR_Data[[#This Row],[JobSatisfaction]]=1,"Low",IF(HR_Data[[#This Row],[JobSatisfaction]]=2,"Medium",IF(HR_Data[[#This Row],[JobSatisfaction]]=3,"High","Very High")))</f>
        <v>Very High</v>
      </c>
      <c r="AP992" t="str">
        <f>IF(HR_Data[[#This Row],[WorkLifeBalance]]=1,"Bad",IF(HR_Data[[#This Row],[WorkLifeBalance]]=2,"Good",IF(HR_Data[[#This Row],[WorkLifeBalance]]=3,"Better","Best")))</f>
        <v>Best</v>
      </c>
    </row>
    <row r="993" spans="1:42"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IF(HR_Data[[#This Row],[Attrition]]="Yes",1,0)</f>
        <v>0</v>
      </c>
      <c r="AK993">
        <f>IF(HR_Data[[#This Row],[Attrition]]="No",1,0)</f>
        <v>1</v>
      </c>
      <c r="AL993" t="str">
        <f>IF(HR_Data[[#This Row],[Age]]&lt;25,"Under 25",IF(HR_Data[[#This Row],[Age]]&lt;=34,"25-34",IF(HR_Data[[#This Row],[Age]]&lt;=44,"35-44",IF(HR_Data[[#This Row],[Age]]&lt;=54,"45-54","55+"))))</f>
        <v>25-34</v>
      </c>
      <c r="AM993" t="str">
        <f>IF(HR_Data[[#This Row],[MonthlyIncome]]&lt;3000,"Low Salary",IF(HR_Data[[#This Row],[MonthlyIncome]]&lt;=7000,"Medium Salary","High Salary"))</f>
        <v>Medium Salary</v>
      </c>
      <c r="AN993" t="str">
        <f>IF(HR_Data[[#This Row],[YearsAtCompany]]&lt;2,"0-1 Years",IF(HR_Data[[#This Row],[YearsAtCompany]]&lt;=5,"2-5 Years",IF(HR_Data[[#This Row],[YearsAtCompany]]&lt;=10,"6-10 Years","10+ Years")))</f>
        <v>2-5 Years</v>
      </c>
      <c r="AO993" t="str">
        <f>IF(HR_Data[[#This Row],[JobSatisfaction]]=1,"Low",IF(HR_Data[[#This Row],[JobSatisfaction]]=2,"Medium",IF(HR_Data[[#This Row],[JobSatisfaction]]=3,"High","Very High")))</f>
        <v>Medium</v>
      </c>
      <c r="AP993" t="str">
        <f>IF(HR_Data[[#This Row],[WorkLifeBalance]]=1,"Bad",IF(HR_Data[[#This Row],[WorkLifeBalance]]=2,"Good",IF(HR_Data[[#This Row],[WorkLifeBalance]]=3,"Better","Best")))</f>
        <v>Good</v>
      </c>
    </row>
    <row r="994" spans="1:42"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IF(HR_Data[[#This Row],[Attrition]]="Yes",1,0)</f>
        <v>0</v>
      </c>
      <c r="AK994">
        <f>IF(HR_Data[[#This Row],[Attrition]]="No",1,0)</f>
        <v>1</v>
      </c>
      <c r="AL994" t="str">
        <f>IF(HR_Data[[#This Row],[Age]]&lt;25,"Under 25",IF(HR_Data[[#This Row],[Age]]&lt;=34,"25-34",IF(HR_Data[[#This Row],[Age]]&lt;=44,"35-44",IF(HR_Data[[#This Row],[Age]]&lt;=54,"45-54","55+"))))</f>
        <v>35-44</v>
      </c>
      <c r="AM994" t="str">
        <f>IF(HR_Data[[#This Row],[MonthlyIncome]]&lt;3000,"Low Salary",IF(HR_Data[[#This Row],[MonthlyIncome]]&lt;=7000,"Medium Salary","High Salary"))</f>
        <v>High Salary</v>
      </c>
      <c r="AN994" t="str">
        <f>IF(HR_Data[[#This Row],[YearsAtCompany]]&lt;2,"0-1 Years",IF(HR_Data[[#This Row],[YearsAtCompany]]&lt;=5,"2-5 Years",IF(HR_Data[[#This Row],[YearsAtCompany]]&lt;=10,"6-10 Years","10+ Years")))</f>
        <v>6-10 Years</v>
      </c>
      <c r="AO994" t="str">
        <f>IF(HR_Data[[#This Row],[JobSatisfaction]]=1,"Low",IF(HR_Data[[#This Row],[JobSatisfaction]]=2,"Medium",IF(HR_Data[[#This Row],[JobSatisfaction]]=3,"High","Very High")))</f>
        <v>High</v>
      </c>
      <c r="AP994" t="str">
        <f>IF(HR_Data[[#This Row],[WorkLifeBalance]]=1,"Bad",IF(HR_Data[[#This Row],[WorkLifeBalance]]=2,"Good",IF(HR_Data[[#This Row],[WorkLifeBalance]]=3,"Better","Best")))</f>
        <v>Better</v>
      </c>
    </row>
    <row r="995" spans="1:42"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IF(HR_Data[[#This Row],[Attrition]]="Yes",1,0)</f>
        <v>0</v>
      </c>
      <c r="AK995">
        <f>IF(HR_Data[[#This Row],[Attrition]]="No",1,0)</f>
        <v>1</v>
      </c>
      <c r="AL995" t="str">
        <f>IF(HR_Data[[#This Row],[Age]]&lt;25,"Under 25",IF(HR_Data[[#This Row],[Age]]&lt;=34,"25-34",IF(HR_Data[[#This Row],[Age]]&lt;=44,"35-44",IF(HR_Data[[#This Row],[Age]]&lt;=54,"45-54","55+"))))</f>
        <v>25-34</v>
      </c>
      <c r="AM995" t="str">
        <f>IF(HR_Data[[#This Row],[MonthlyIncome]]&lt;3000,"Low Salary",IF(HR_Data[[#This Row],[MonthlyIncome]]&lt;=7000,"Medium Salary","High Salary"))</f>
        <v>Medium Salary</v>
      </c>
      <c r="AN995" t="str">
        <f>IF(HR_Data[[#This Row],[YearsAtCompany]]&lt;2,"0-1 Years",IF(HR_Data[[#This Row],[YearsAtCompany]]&lt;=5,"2-5 Years",IF(HR_Data[[#This Row],[YearsAtCompany]]&lt;=10,"6-10 Years","10+ Years")))</f>
        <v>2-5 Years</v>
      </c>
      <c r="AO995" t="str">
        <f>IF(HR_Data[[#This Row],[JobSatisfaction]]=1,"Low",IF(HR_Data[[#This Row],[JobSatisfaction]]=2,"Medium",IF(HR_Data[[#This Row],[JobSatisfaction]]=3,"High","Very High")))</f>
        <v>High</v>
      </c>
      <c r="AP995" t="str">
        <f>IF(HR_Data[[#This Row],[WorkLifeBalance]]=1,"Bad",IF(HR_Data[[#This Row],[WorkLifeBalance]]=2,"Good",IF(HR_Data[[#This Row],[WorkLifeBalance]]=3,"Better","Best")))</f>
        <v>Good</v>
      </c>
    </row>
    <row r="996" spans="1:42"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IF(HR_Data[[#This Row],[Attrition]]="Yes",1,0)</f>
        <v>0</v>
      </c>
      <c r="AK996">
        <f>IF(HR_Data[[#This Row],[Attrition]]="No",1,0)</f>
        <v>1</v>
      </c>
      <c r="AL996" t="str">
        <f>IF(HR_Data[[#This Row],[Age]]&lt;25,"Under 25",IF(HR_Data[[#This Row],[Age]]&lt;=34,"25-34",IF(HR_Data[[#This Row],[Age]]&lt;=44,"35-44",IF(HR_Data[[#This Row],[Age]]&lt;=54,"45-54","55+"))))</f>
        <v>45-54</v>
      </c>
      <c r="AM996" t="str">
        <f>IF(HR_Data[[#This Row],[MonthlyIncome]]&lt;3000,"Low Salary",IF(HR_Data[[#This Row],[MonthlyIncome]]&lt;=7000,"Medium Salary","High Salary"))</f>
        <v>High Salary</v>
      </c>
      <c r="AN996" t="str">
        <f>IF(HR_Data[[#This Row],[YearsAtCompany]]&lt;2,"0-1 Years",IF(HR_Data[[#This Row],[YearsAtCompany]]&lt;=5,"2-5 Years",IF(HR_Data[[#This Row],[YearsAtCompany]]&lt;=10,"6-10 Years","10+ Years")))</f>
        <v>2-5 Years</v>
      </c>
      <c r="AO996" t="str">
        <f>IF(HR_Data[[#This Row],[JobSatisfaction]]=1,"Low",IF(HR_Data[[#This Row],[JobSatisfaction]]=2,"Medium",IF(HR_Data[[#This Row],[JobSatisfaction]]=3,"High","Very High")))</f>
        <v>High</v>
      </c>
      <c r="AP996" t="str">
        <f>IF(HR_Data[[#This Row],[WorkLifeBalance]]=1,"Bad",IF(HR_Data[[#This Row],[WorkLifeBalance]]=2,"Good",IF(HR_Data[[#This Row],[WorkLifeBalance]]=3,"Better","Best")))</f>
        <v>Good</v>
      </c>
    </row>
    <row r="997" spans="1:42"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IF(HR_Data[[#This Row],[Attrition]]="Yes",1,0)</f>
        <v>0</v>
      </c>
      <c r="AK997">
        <f>IF(HR_Data[[#This Row],[Attrition]]="No",1,0)</f>
        <v>1</v>
      </c>
      <c r="AL997" t="str">
        <f>IF(HR_Data[[#This Row],[Age]]&lt;25,"Under 25",IF(HR_Data[[#This Row],[Age]]&lt;=34,"25-34",IF(HR_Data[[#This Row],[Age]]&lt;=44,"35-44",IF(HR_Data[[#This Row],[Age]]&lt;=54,"45-54","55+"))))</f>
        <v>35-44</v>
      </c>
      <c r="AM997" t="str">
        <f>IF(HR_Data[[#This Row],[MonthlyIncome]]&lt;3000,"Low Salary",IF(HR_Data[[#This Row],[MonthlyIncome]]&lt;=7000,"Medium Salary","High Salary"))</f>
        <v>Medium Salary</v>
      </c>
      <c r="AN997" t="str">
        <f>IF(HR_Data[[#This Row],[YearsAtCompany]]&lt;2,"0-1 Years",IF(HR_Data[[#This Row],[YearsAtCompany]]&lt;=5,"2-5 Years",IF(HR_Data[[#This Row],[YearsAtCompany]]&lt;=10,"6-10 Years","10+ Years")))</f>
        <v>10+ Years</v>
      </c>
      <c r="AO997" t="str">
        <f>IF(HR_Data[[#This Row],[JobSatisfaction]]=1,"Low",IF(HR_Data[[#This Row],[JobSatisfaction]]=2,"Medium",IF(HR_Data[[#This Row],[JobSatisfaction]]=3,"High","Very High")))</f>
        <v>High</v>
      </c>
      <c r="AP997" t="str">
        <f>IF(HR_Data[[#This Row],[WorkLifeBalance]]=1,"Bad",IF(HR_Data[[#This Row],[WorkLifeBalance]]=2,"Good",IF(HR_Data[[#This Row],[WorkLifeBalance]]=3,"Better","Best")))</f>
        <v>Bad</v>
      </c>
    </row>
    <row r="998" spans="1:42"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IF(HR_Data[[#This Row],[Attrition]]="Yes",1,0)</f>
        <v>0</v>
      </c>
      <c r="AK998">
        <f>IF(HR_Data[[#This Row],[Attrition]]="No",1,0)</f>
        <v>1</v>
      </c>
      <c r="AL998" t="str">
        <f>IF(HR_Data[[#This Row],[Age]]&lt;25,"Under 25",IF(HR_Data[[#This Row],[Age]]&lt;=34,"25-34",IF(HR_Data[[#This Row],[Age]]&lt;=44,"35-44",IF(HR_Data[[#This Row],[Age]]&lt;=54,"45-54","55+"))))</f>
        <v>25-34</v>
      </c>
      <c r="AM998" t="str">
        <f>IF(HR_Data[[#This Row],[MonthlyIncome]]&lt;3000,"Low Salary",IF(HR_Data[[#This Row],[MonthlyIncome]]&lt;=7000,"Medium Salary","High Salary"))</f>
        <v>Medium Salary</v>
      </c>
      <c r="AN998" t="str">
        <f>IF(HR_Data[[#This Row],[YearsAtCompany]]&lt;2,"0-1 Years",IF(HR_Data[[#This Row],[YearsAtCompany]]&lt;=5,"2-5 Years",IF(HR_Data[[#This Row],[YearsAtCompany]]&lt;=10,"6-10 Years","10+ Years")))</f>
        <v>6-10 Years</v>
      </c>
      <c r="AO998" t="str">
        <f>IF(HR_Data[[#This Row],[JobSatisfaction]]=1,"Low",IF(HR_Data[[#This Row],[JobSatisfaction]]=2,"Medium",IF(HR_Data[[#This Row],[JobSatisfaction]]=3,"High","Very High")))</f>
        <v>Very High</v>
      </c>
      <c r="AP998" t="str">
        <f>IF(HR_Data[[#This Row],[WorkLifeBalance]]=1,"Bad",IF(HR_Data[[#This Row],[WorkLifeBalance]]=2,"Good",IF(HR_Data[[#This Row],[WorkLifeBalance]]=3,"Better","Best")))</f>
        <v>Better</v>
      </c>
    </row>
    <row r="999" spans="1:42"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IF(HR_Data[[#This Row],[Attrition]]="Yes",1,0)</f>
        <v>1</v>
      </c>
      <c r="AK999">
        <f>IF(HR_Data[[#This Row],[Attrition]]="No",1,0)</f>
        <v>0</v>
      </c>
      <c r="AL999" t="str">
        <f>IF(HR_Data[[#This Row],[Age]]&lt;25,"Under 25",IF(HR_Data[[#This Row],[Age]]&lt;=34,"25-34",IF(HR_Data[[#This Row],[Age]]&lt;=44,"35-44",IF(HR_Data[[#This Row],[Age]]&lt;=54,"45-54","55+"))))</f>
        <v>25-34</v>
      </c>
      <c r="AM999" t="str">
        <f>IF(HR_Data[[#This Row],[MonthlyIncome]]&lt;3000,"Low Salary",IF(HR_Data[[#This Row],[MonthlyIncome]]&lt;=7000,"Medium Salary","High Salary"))</f>
        <v>Low Salary</v>
      </c>
      <c r="AN999" t="str">
        <f>IF(HR_Data[[#This Row],[YearsAtCompany]]&lt;2,"0-1 Years",IF(HR_Data[[#This Row],[YearsAtCompany]]&lt;=5,"2-5 Years",IF(HR_Data[[#This Row],[YearsAtCompany]]&lt;=10,"6-10 Years","10+ Years")))</f>
        <v>6-10 Years</v>
      </c>
      <c r="AO999" t="str">
        <f>IF(HR_Data[[#This Row],[JobSatisfaction]]=1,"Low",IF(HR_Data[[#This Row],[JobSatisfaction]]=2,"Medium",IF(HR_Data[[#This Row],[JobSatisfaction]]=3,"High","Very High")))</f>
        <v>High</v>
      </c>
      <c r="AP999" t="str">
        <f>IF(HR_Data[[#This Row],[WorkLifeBalance]]=1,"Bad",IF(HR_Data[[#This Row],[WorkLifeBalance]]=2,"Good",IF(HR_Data[[#This Row],[WorkLifeBalance]]=3,"Better","Best")))</f>
        <v>Better</v>
      </c>
    </row>
    <row r="1000" spans="1:42"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IF(HR_Data[[#This Row],[Attrition]]="Yes",1,0)</f>
        <v>0</v>
      </c>
      <c r="AK1000">
        <f>IF(HR_Data[[#This Row],[Attrition]]="No",1,0)</f>
        <v>1</v>
      </c>
      <c r="AL1000" t="str">
        <f>IF(HR_Data[[#This Row],[Age]]&lt;25,"Under 25",IF(HR_Data[[#This Row],[Age]]&lt;=34,"25-34",IF(HR_Data[[#This Row],[Age]]&lt;=44,"35-44",IF(HR_Data[[#This Row],[Age]]&lt;=54,"45-54","55+"))))</f>
        <v>25-34</v>
      </c>
      <c r="AM1000" t="str">
        <f>IF(HR_Data[[#This Row],[MonthlyIncome]]&lt;3000,"Low Salary",IF(HR_Data[[#This Row],[MonthlyIncome]]&lt;=7000,"Medium Salary","High Salary"))</f>
        <v>Medium Salary</v>
      </c>
      <c r="AN1000" t="str">
        <f>IF(HR_Data[[#This Row],[YearsAtCompany]]&lt;2,"0-1 Years",IF(HR_Data[[#This Row],[YearsAtCompany]]&lt;=5,"2-5 Years",IF(HR_Data[[#This Row],[YearsAtCompany]]&lt;=10,"6-10 Years","10+ Years")))</f>
        <v>2-5 Years</v>
      </c>
      <c r="AO1000" t="str">
        <f>IF(HR_Data[[#This Row],[JobSatisfaction]]=1,"Low",IF(HR_Data[[#This Row],[JobSatisfaction]]=2,"Medium",IF(HR_Data[[#This Row],[JobSatisfaction]]=3,"High","Very High")))</f>
        <v>Very High</v>
      </c>
      <c r="AP1000" t="str">
        <f>IF(HR_Data[[#This Row],[WorkLifeBalance]]=1,"Bad",IF(HR_Data[[#This Row],[WorkLifeBalance]]=2,"Good",IF(HR_Data[[#This Row],[WorkLifeBalance]]=3,"Better","Best")))</f>
        <v>Better</v>
      </c>
    </row>
    <row r="1001" spans="1:42"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IF(HR_Data[[#This Row],[Attrition]]="Yes",1,0)</f>
        <v>0</v>
      </c>
      <c r="AK1001">
        <f>IF(HR_Data[[#This Row],[Attrition]]="No",1,0)</f>
        <v>1</v>
      </c>
      <c r="AL1001" t="str">
        <f>IF(HR_Data[[#This Row],[Age]]&lt;25,"Under 25",IF(HR_Data[[#This Row],[Age]]&lt;=34,"25-34",IF(HR_Data[[#This Row],[Age]]&lt;=44,"35-44",IF(HR_Data[[#This Row],[Age]]&lt;=54,"45-54","55+"))))</f>
        <v>35-44</v>
      </c>
      <c r="AM1001" t="str">
        <f>IF(HR_Data[[#This Row],[MonthlyIncome]]&lt;3000,"Low Salary",IF(HR_Data[[#This Row],[MonthlyIncome]]&lt;=7000,"Medium Salary","High Salary"))</f>
        <v>High Salary</v>
      </c>
      <c r="AN1001" t="str">
        <f>IF(HR_Data[[#This Row],[YearsAtCompany]]&lt;2,"0-1 Years",IF(HR_Data[[#This Row],[YearsAtCompany]]&lt;=5,"2-5 Years",IF(HR_Data[[#This Row],[YearsAtCompany]]&lt;=10,"6-10 Years","10+ Years")))</f>
        <v>10+ Years</v>
      </c>
      <c r="AO1001" t="str">
        <f>IF(HR_Data[[#This Row],[JobSatisfaction]]=1,"Low",IF(HR_Data[[#This Row],[JobSatisfaction]]=2,"Medium",IF(HR_Data[[#This Row],[JobSatisfaction]]=3,"High","Very High")))</f>
        <v>Low</v>
      </c>
      <c r="AP1001" t="str">
        <f>IF(HR_Data[[#This Row],[WorkLifeBalance]]=1,"Bad",IF(HR_Data[[#This Row],[WorkLifeBalance]]=2,"Good",IF(HR_Data[[#This Row],[WorkLifeBalance]]=3,"Better","Best")))</f>
        <v>Better</v>
      </c>
    </row>
    <row r="1002" spans="1:42"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IF(HR_Data[[#This Row],[Attrition]]="Yes",1,0)</f>
        <v>0</v>
      </c>
      <c r="AK1002">
        <f>IF(HR_Data[[#This Row],[Attrition]]="No",1,0)</f>
        <v>1</v>
      </c>
      <c r="AL1002" t="str">
        <f>IF(HR_Data[[#This Row],[Age]]&lt;25,"Under 25",IF(HR_Data[[#This Row],[Age]]&lt;=34,"25-34",IF(HR_Data[[#This Row],[Age]]&lt;=44,"35-44",IF(HR_Data[[#This Row],[Age]]&lt;=54,"45-54","55+"))))</f>
        <v>45-54</v>
      </c>
      <c r="AM1002" t="str">
        <f>IF(HR_Data[[#This Row],[MonthlyIncome]]&lt;3000,"Low Salary",IF(HR_Data[[#This Row],[MonthlyIncome]]&lt;=7000,"Medium Salary","High Salary"))</f>
        <v>Low Salary</v>
      </c>
      <c r="AN1002" t="str">
        <f>IF(HR_Data[[#This Row],[YearsAtCompany]]&lt;2,"0-1 Years",IF(HR_Data[[#This Row],[YearsAtCompany]]&lt;=5,"2-5 Years",IF(HR_Data[[#This Row],[YearsAtCompany]]&lt;=10,"6-10 Years","10+ Years")))</f>
        <v>2-5 Years</v>
      </c>
      <c r="AO1002" t="str">
        <f>IF(HR_Data[[#This Row],[JobSatisfaction]]=1,"Low",IF(HR_Data[[#This Row],[JobSatisfaction]]=2,"Medium",IF(HR_Data[[#This Row],[JobSatisfaction]]=3,"High","Very High")))</f>
        <v>Low</v>
      </c>
      <c r="AP1002" t="str">
        <f>IF(HR_Data[[#This Row],[WorkLifeBalance]]=1,"Bad",IF(HR_Data[[#This Row],[WorkLifeBalance]]=2,"Good",IF(HR_Data[[#This Row],[WorkLifeBalance]]=3,"Better","Best")))</f>
        <v>Bad</v>
      </c>
    </row>
    <row r="1003" spans="1:42"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IF(HR_Data[[#This Row],[Attrition]]="Yes",1,0)</f>
        <v>0</v>
      </c>
      <c r="AK1003">
        <f>IF(HR_Data[[#This Row],[Attrition]]="No",1,0)</f>
        <v>1</v>
      </c>
      <c r="AL1003" t="str">
        <f>IF(HR_Data[[#This Row],[Age]]&lt;25,"Under 25",IF(HR_Data[[#This Row],[Age]]&lt;=34,"25-34",IF(HR_Data[[#This Row],[Age]]&lt;=44,"35-44",IF(HR_Data[[#This Row],[Age]]&lt;=54,"45-54","55+"))))</f>
        <v>35-44</v>
      </c>
      <c r="AM1003" t="str">
        <f>IF(HR_Data[[#This Row],[MonthlyIncome]]&lt;3000,"Low Salary",IF(HR_Data[[#This Row],[MonthlyIncome]]&lt;=7000,"Medium Salary","High Salary"))</f>
        <v>Medium Salary</v>
      </c>
      <c r="AN1003" t="str">
        <f>IF(HR_Data[[#This Row],[YearsAtCompany]]&lt;2,"0-1 Years",IF(HR_Data[[#This Row],[YearsAtCompany]]&lt;=5,"2-5 Years",IF(HR_Data[[#This Row],[YearsAtCompany]]&lt;=10,"6-10 Years","10+ Years")))</f>
        <v>2-5 Years</v>
      </c>
      <c r="AO1003" t="str">
        <f>IF(HR_Data[[#This Row],[JobSatisfaction]]=1,"Low",IF(HR_Data[[#This Row],[JobSatisfaction]]=2,"Medium",IF(HR_Data[[#This Row],[JobSatisfaction]]=3,"High","Very High")))</f>
        <v>High</v>
      </c>
      <c r="AP1003" t="str">
        <f>IF(HR_Data[[#This Row],[WorkLifeBalance]]=1,"Bad",IF(HR_Data[[#This Row],[WorkLifeBalance]]=2,"Good",IF(HR_Data[[#This Row],[WorkLifeBalance]]=3,"Better","Best")))</f>
        <v>Better</v>
      </c>
    </row>
    <row r="1004" spans="1:42"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IF(HR_Data[[#This Row],[Attrition]]="Yes",1,0)</f>
        <v>0</v>
      </c>
      <c r="AK1004">
        <f>IF(HR_Data[[#This Row],[Attrition]]="No",1,0)</f>
        <v>1</v>
      </c>
      <c r="AL1004" t="str">
        <f>IF(HR_Data[[#This Row],[Age]]&lt;25,"Under 25",IF(HR_Data[[#This Row],[Age]]&lt;=34,"25-34",IF(HR_Data[[#This Row],[Age]]&lt;=44,"35-44",IF(HR_Data[[#This Row],[Age]]&lt;=54,"45-54","55+"))))</f>
        <v>35-44</v>
      </c>
      <c r="AM1004" t="str">
        <f>IF(HR_Data[[#This Row],[MonthlyIncome]]&lt;3000,"Low Salary",IF(HR_Data[[#This Row],[MonthlyIncome]]&lt;=7000,"Medium Salary","High Salary"))</f>
        <v>High Salary</v>
      </c>
      <c r="AN1004" t="str">
        <f>IF(HR_Data[[#This Row],[YearsAtCompany]]&lt;2,"0-1 Years",IF(HR_Data[[#This Row],[YearsAtCompany]]&lt;=5,"2-5 Years",IF(HR_Data[[#This Row],[YearsAtCompany]]&lt;=10,"6-10 Years","10+ Years")))</f>
        <v>2-5 Years</v>
      </c>
      <c r="AO1004" t="str">
        <f>IF(HR_Data[[#This Row],[JobSatisfaction]]=1,"Low",IF(HR_Data[[#This Row],[JobSatisfaction]]=2,"Medium",IF(HR_Data[[#This Row],[JobSatisfaction]]=3,"High","Very High")))</f>
        <v>Very High</v>
      </c>
      <c r="AP1004" t="str">
        <f>IF(HR_Data[[#This Row],[WorkLifeBalance]]=1,"Bad",IF(HR_Data[[#This Row],[WorkLifeBalance]]=2,"Good",IF(HR_Data[[#This Row],[WorkLifeBalance]]=3,"Better","Best")))</f>
        <v>Better</v>
      </c>
    </row>
    <row r="1005" spans="1:42"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IF(HR_Data[[#This Row],[Attrition]]="Yes",1,0)</f>
        <v>0</v>
      </c>
      <c r="AK1005">
        <f>IF(HR_Data[[#This Row],[Attrition]]="No",1,0)</f>
        <v>1</v>
      </c>
      <c r="AL1005" t="str">
        <f>IF(HR_Data[[#This Row],[Age]]&lt;25,"Under 25",IF(HR_Data[[#This Row],[Age]]&lt;=34,"25-34",IF(HR_Data[[#This Row],[Age]]&lt;=44,"35-44",IF(HR_Data[[#This Row],[Age]]&lt;=54,"45-54","55+"))))</f>
        <v>25-34</v>
      </c>
      <c r="AM1005" t="str">
        <f>IF(HR_Data[[#This Row],[MonthlyIncome]]&lt;3000,"Low Salary",IF(HR_Data[[#This Row],[MonthlyIncome]]&lt;=7000,"Medium Salary","High Salary"))</f>
        <v>Medium Salary</v>
      </c>
      <c r="AN1005" t="str">
        <f>IF(HR_Data[[#This Row],[YearsAtCompany]]&lt;2,"0-1 Years",IF(HR_Data[[#This Row],[YearsAtCompany]]&lt;=5,"2-5 Years",IF(HR_Data[[#This Row],[YearsAtCompany]]&lt;=10,"6-10 Years","10+ Years")))</f>
        <v>2-5 Years</v>
      </c>
      <c r="AO1005" t="str">
        <f>IF(HR_Data[[#This Row],[JobSatisfaction]]=1,"Low",IF(HR_Data[[#This Row],[JobSatisfaction]]=2,"Medium",IF(HR_Data[[#This Row],[JobSatisfaction]]=3,"High","Very High")))</f>
        <v>Very High</v>
      </c>
      <c r="AP1005" t="str">
        <f>IF(HR_Data[[#This Row],[WorkLifeBalance]]=1,"Bad",IF(HR_Data[[#This Row],[WorkLifeBalance]]=2,"Good",IF(HR_Data[[#This Row],[WorkLifeBalance]]=3,"Better","Best")))</f>
        <v>Good</v>
      </c>
    </row>
    <row r="1006" spans="1:42"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IF(HR_Data[[#This Row],[Attrition]]="Yes",1,0)</f>
        <v>0</v>
      </c>
      <c r="AK1006">
        <f>IF(HR_Data[[#This Row],[Attrition]]="No",1,0)</f>
        <v>1</v>
      </c>
      <c r="AL1006" t="str">
        <f>IF(HR_Data[[#This Row],[Age]]&lt;25,"Under 25",IF(HR_Data[[#This Row],[Age]]&lt;=34,"25-34",IF(HR_Data[[#This Row],[Age]]&lt;=44,"35-44",IF(HR_Data[[#This Row],[Age]]&lt;=54,"45-54","55+"))))</f>
        <v>25-34</v>
      </c>
      <c r="AM1006" t="str">
        <f>IF(HR_Data[[#This Row],[MonthlyIncome]]&lt;3000,"Low Salary",IF(HR_Data[[#This Row],[MonthlyIncome]]&lt;=7000,"Medium Salary","High Salary"))</f>
        <v>Medium Salary</v>
      </c>
      <c r="AN1006" t="str">
        <f>IF(HR_Data[[#This Row],[YearsAtCompany]]&lt;2,"0-1 Years",IF(HR_Data[[#This Row],[YearsAtCompany]]&lt;=5,"2-5 Years",IF(HR_Data[[#This Row],[YearsAtCompany]]&lt;=10,"6-10 Years","10+ Years")))</f>
        <v>6-10 Years</v>
      </c>
      <c r="AO1006" t="str">
        <f>IF(HR_Data[[#This Row],[JobSatisfaction]]=1,"Low",IF(HR_Data[[#This Row],[JobSatisfaction]]=2,"Medium",IF(HR_Data[[#This Row],[JobSatisfaction]]=3,"High","Very High")))</f>
        <v>Low</v>
      </c>
      <c r="AP1006" t="str">
        <f>IF(HR_Data[[#This Row],[WorkLifeBalance]]=1,"Bad",IF(HR_Data[[#This Row],[WorkLifeBalance]]=2,"Good",IF(HR_Data[[#This Row],[WorkLifeBalance]]=3,"Better","Best")))</f>
        <v>Better</v>
      </c>
    </row>
    <row r="1007" spans="1:42"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IF(HR_Data[[#This Row],[Attrition]]="Yes",1,0)</f>
        <v>0</v>
      </c>
      <c r="AK1007">
        <f>IF(HR_Data[[#This Row],[Attrition]]="No",1,0)</f>
        <v>1</v>
      </c>
      <c r="AL1007" t="str">
        <f>IF(HR_Data[[#This Row],[Age]]&lt;25,"Under 25",IF(HR_Data[[#This Row],[Age]]&lt;=34,"25-34",IF(HR_Data[[#This Row],[Age]]&lt;=44,"35-44",IF(HR_Data[[#This Row],[Age]]&lt;=54,"45-54","55+"))))</f>
        <v>25-34</v>
      </c>
      <c r="AM1007" t="str">
        <f>IF(HR_Data[[#This Row],[MonthlyIncome]]&lt;3000,"Low Salary",IF(HR_Data[[#This Row],[MonthlyIncome]]&lt;=7000,"Medium Salary","High Salary"))</f>
        <v>High Salary</v>
      </c>
      <c r="AN1007" t="str">
        <f>IF(HR_Data[[#This Row],[YearsAtCompany]]&lt;2,"0-1 Years",IF(HR_Data[[#This Row],[YearsAtCompany]]&lt;=5,"2-5 Years",IF(HR_Data[[#This Row],[YearsAtCompany]]&lt;=10,"6-10 Years","10+ Years")))</f>
        <v>6-10 Years</v>
      </c>
      <c r="AO1007" t="str">
        <f>IF(HR_Data[[#This Row],[JobSatisfaction]]=1,"Low",IF(HR_Data[[#This Row],[JobSatisfaction]]=2,"Medium",IF(HR_Data[[#This Row],[JobSatisfaction]]=3,"High","Very High")))</f>
        <v>Low</v>
      </c>
      <c r="AP1007" t="str">
        <f>IF(HR_Data[[#This Row],[WorkLifeBalance]]=1,"Bad",IF(HR_Data[[#This Row],[WorkLifeBalance]]=2,"Good",IF(HR_Data[[#This Row],[WorkLifeBalance]]=3,"Better","Best")))</f>
        <v>Good</v>
      </c>
    </row>
    <row r="1008" spans="1:42"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IF(HR_Data[[#This Row],[Attrition]]="Yes",1,0)</f>
        <v>1</v>
      </c>
      <c r="AK1008">
        <f>IF(HR_Data[[#This Row],[Attrition]]="No",1,0)</f>
        <v>0</v>
      </c>
      <c r="AL1008" t="str">
        <f>IF(HR_Data[[#This Row],[Age]]&lt;25,"Under 25",IF(HR_Data[[#This Row],[Age]]&lt;=34,"25-34",IF(HR_Data[[#This Row],[Age]]&lt;=44,"35-44",IF(HR_Data[[#This Row],[Age]]&lt;=54,"45-54","55+"))))</f>
        <v>45-54</v>
      </c>
      <c r="AM1008" t="str">
        <f>IF(HR_Data[[#This Row],[MonthlyIncome]]&lt;3000,"Low Salary",IF(HR_Data[[#This Row],[MonthlyIncome]]&lt;=7000,"Medium Salary","High Salary"))</f>
        <v>Medium Salary</v>
      </c>
      <c r="AN1008" t="str">
        <f>IF(HR_Data[[#This Row],[YearsAtCompany]]&lt;2,"0-1 Years",IF(HR_Data[[#This Row],[YearsAtCompany]]&lt;=5,"2-5 Years",IF(HR_Data[[#This Row],[YearsAtCompany]]&lt;=10,"6-10 Years","10+ Years")))</f>
        <v>2-5 Years</v>
      </c>
      <c r="AO1008" t="str">
        <f>IF(HR_Data[[#This Row],[JobSatisfaction]]=1,"Low",IF(HR_Data[[#This Row],[JobSatisfaction]]=2,"Medium",IF(HR_Data[[#This Row],[JobSatisfaction]]=3,"High","Very High")))</f>
        <v>Low</v>
      </c>
      <c r="AP1008" t="str">
        <f>IF(HR_Data[[#This Row],[WorkLifeBalance]]=1,"Bad",IF(HR_Data[[#This Row],[WorkLifeBalance]]=2,"Good",IF(HR_Data[[#This Row],[WorkLifeBalance]]=3,"Better","Best")))</f>
        <v>Better</v>
      </c>
    </row>
    <row r="1009" spans="1:42"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IF(HR_Data[[#This Row],[Attrition]]="Yes",1,0)</f>
        <v>1</v>
      </c>
      <c r="AK1009">
        <f>IF(HR_Data[[#This Row],[Attrition]]="No",1,0)</f>
        <v>0</v>
      </c>
      <c r="AL1009" t="str">
        <f>IF(HR_Data[[#This Row],[Age]]&lt;25,"Under 25",IF(HR_Data[[#This Row],[Age]]&lt;=34,"25-34",IF(HR_Data[[#This Row],[Age]]&lt;=44,"35-44",IF(HR_Data[[#This Row],[Age]]&lt;=54,"45-54","55+"))))</f>
        <v>25-34</v>
      </c>
      <c r="AM1009" t="str">
        <f>IF(HR_Data[[#This Row],[MonthlyIncome]]&lt;3000,"Low Salary",IF(HR_Data[[#This Row],[MonthlyIncome]]&lt;=7000,"Medium Salary","High Salary"))</f>
        <v>High Salary</v>
      </c>
      <c r="AN1009" t="str">
        <f>IF(HR_Data[[#This Row],[YearsAtCompany]]&lt;2,"0-1 Years",IF(HR_Data[[#This Row],[YearsAtCompany]]&lt;=5,"2-5 Years",IF(HR_Data[[#This Row],[YearsAtCompany]]&lt;=10,"6-10 Years","10+ Years")))</f>
        <v>6-10 Years</v>
      </c>
      <c r="AO1009" t="str">
        <f>IF(HR_Data[[#This Row],[JobSatisfaction]]=1,"Low",IF(HR_Data[[#This Row],[JobSatisfaction]]=2,"Medium",IF(HR_Data[[#This Row],[JobSatisfaction]]=3,"High","Very High")))</f>
        <v>Very High</v>
      </c>
      <c r="AP1009" t="str">
        <f>IF(HR_Data[[#This Row],[WorkLifeBalance]]=1,"Bad",IF(HR_Data[[#This Row],[WorkLifeBalance]]=2,"Good",IF(HR_Data[[#This Row],[WorkLifeBalance]]=3,"Better","Best")))</f>
        <v>Better</v>
      </c>
    </row>
    <row r="1010" spans="1:42"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IF(HR_Data[[#This Row],[Attrition]]="Yes",1,0)</f>
        <v>0</v>
      </c>
      <c r="AK1010">
        <f>IF(HR_Data[[#This Row],[Attrition]]="No",1,0)</f>
        <v>1</v>
      </c>
      <c r="AL1010" t="str">
        <f>IF(HR_Data[[#This Row],[Age]]&lt;25,"Under 25",IF(HR_Data[[#This Row],[Age]]&lt;=34,"25-34",IF(HR_Data[[#This Row],[Age]]&lt;=44,"35-44",IF(HR_Data[[#This Row],[Age]]&lt;=54,"45-54","55+"))))</f>
        <v>45-54</v>
      </c>
      <c r="AM1010" t="str">
        <f>IF(HR_Data[[#This Row],[MonthlyIncome]]&lt;3000,"Low Salary",IF(HR_Data[[#This Row],[MonthlyIncome]]&lt;=7000,"Medium Salary","High Salary"))</f>
        <v>High Salary</v>
      </c>
      <c r="AN1010" t="str">
        <f>IF(HR_Data[[#This Row],[YearsAtCompany]]&lt;2,"0-1 Years",IF(HR_Data[[#This Row],[YearsAtCompany]]&lt;=5,"2-5 Years",IF(HR_Data[[#This Row],[YearsAtCompany]]&lt;=10,"6-10 Years","10+ Years")))</f>
        <v>10+ Years</v>
      </c>
      <c r="AO1010" t="str">
        <f>IF(HR_Data[[#This Row],[JobSatisfaction]]=1,"Low",IF(HR_Data[[#This Row],[JobSatisfaction]]=2,"Medium",IF(HR_Data[[#This Row],[JobSatisfaction]]=3,"High","Very High")))</f>
        <v>Very High</v>
      </c>
      <c r="AP1010" t="str">
        <f>IF(HR_Data[[#This Row],[WorkLifeBalance]]=1,"Bad",IF(HR_Data[[#This Row],[WorkLifeBalance]]=2,"Good",IF(HR_Data[[#This Row],[WorkLifeBalance]]=3,"Better","Best")))</f>
        <v>Good</v>
      </c>
    </row>
    <row r="1011" spans="1:42"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IF(HR_Data[[#This Row],[Attrition]]="Yes",1,0)</f>
        <v>0</v>
      </c>
      <c r="AK1011">
        <f>IF(HR_Data[[#This Row],[Attrition]]="No",1,0)</f>
        <v>1</v>
      </c>
      <c r="AL1011" t="str">
        <f>IF(HR_Data[[#This Row],[Age]]&lt;25,"Under 25",IF(HR_Data[[#This Row],[Age]]&lt;=34,"25-34",IF(HR_Data[[#This Row],[Age]]&lt;=44,"35-44",IF(HR_Data[[#This Row],[Age]]&lt;=54,"45-54","55+"))))</f>
        <v>55+</v>
      </c>
      <c r="AM1011" t="str">
        <f>IF(HR_Data[[#This Row],[MonthlyIncome]]&lt;3000,"Low Salary",IF(HR_Data[[#This Row],[MonthlyIncome]]&lt;=7000,"Medium Salary","High Salary"))</f>
        <v>High Salary</v>
      </c>
      <c r="AN1011" t="str">
        <f>IF(HR_Data[[#This Row],[YearsAtCompany]]&lt;2,"0-1 Years",IF(HR_Data[[#This Row],[YearsAtCompany]]&lt;=5,"2-5 Years",IF(HR_Data[[#This Row],[YearsAtCompany]]&lt;=10,"6-10 Years","10+ Years")))</f>
        <v>6-10 Years</v>
      </c>
      <c r="AO1011" t="str">
        <f>IF(HR_Data[[#This Row],[JobSatisfaction]]=1,"Low",IF(HR_Data[[#This Row],[JobSatisfaction]]=2,"Medium",IF(HR_Data[[#This Row],[JobSatisfaction]]=3,"High","Very High")))</f>
        <v>Low</v>
      </c>
      <c r="AP1011" t="str">
        <f>IF(HR_Data[[#This Row],[WorkLifeBalance]]=1,"Bad",IF(HR_Data[[#This Row],[WorkLifeBalance]]=2,"Good",IF(HR_Data[[#This Row],[WorkLifeBalance]]=3,"Better","Best")))</f>
        <v>Better</v>
      </c>
    </row>
    <row r="1012" spans="1:42"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IF(HR_Data[[#This Row],[Attrition]]="Yes",1,0)</f>
        <v>0</v>
      </c>
      <c r="AK1012">
        <f>IF(HR_Data[[#This Row],[Attrition]]="No",1,0)</f>
        <v>1</v>
      </c>
      <c r="AL1012" t="str">
        <f>IF(HR_Data[[#This Row],[Age]]&lt;25,"Under 25",IF(HR_Data[[#This Row],[Age]]&lt;=34,"25-34",IF(HR_Data[[#This Row],[Age]]&lt;=44,"35-44",IF(HR_Data[[#This Row],[Age]]&lt;=54,"45-54","55+"))))</f>
        <v>55+</v>
      </c>
      <c r="AM1012" t="str">
        <f>IF(HR_Data[[#This Row],[MonthlyIncome]]&lt;3000,"Low Salary",IF(HR_Data[[#This Row],[MonthlyIncome]]&lt;=7000,"Medium Salary","High Salary"))</f>
        <v>High Salary</v>
      </c>
      <c r="AN1012" t="str">
        <f>IF(HR_Data[[#This Row],[YearsAtCompany]]&lt;2,"0-1 Years",IF(HR_Data[[#This Row],[YearsAtCompany]]&lt;=5,"2-5 Years",IF(HR_Data[[#This Row],[YearsAtCompany]]&lt;=10,"6-10 Years","10+ Years")))</f>
        <v>6-10 Years</v>
      </c>
      <c r="AO1012" t="str">
        <f>IF(HR_Data[[#This Row],[JobSatisfaction]]=1,"Low",IF(HR_Data[[#This Row],[JobSatisfaction]]=2,"Medium",IF(HR_Data[[#This Row],[JobSatisfaction]]=3,"High","Very High")))</f>
        <v>Very High</v>
      </c>
      <c r="AP1012" t="str">
        <f>IF(HR_Data[[#This Row],[WorkLifeBalance]]=1,"Bad",IF(HR_Data[[#This Row],[WorkLifeBalance]]=2,"Good",IF(HR_Data[[#This Row],[WorkLifeBalance]]=3,"Better","Best")))</f>
        <v>Best</v>
      </c>
    </row>
    <row r="1013" spans="1:42"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IF(HR_Data[[#This Row],[Attrition]]="Yes",1,0)</f>
        <v>0</v>
      </c>
      <c r="AK1013">
        <f>IF(HR_Data[[#This Row],[Attrition]]="No",1,0)</f>
        <v>1</v>
      </c>
      <c r="AL1013" t="str">
        <f>IF(HR_Data[[#This Row],[Age]]&lt;25,"Under 25",IF(HR_Data[[#This Row],[Age]]&lt;=34,"25-34",IF(HR_Data[[#This Row],[Age]]&lt;=44,"35-44",IF(HR_Data[[#This Row],[Age]]&lt;=54,"45-54","55+"))))</f>
        <v>35-44</v>
      </c>
      <c r="AM1013" t="str">
        <f>IF(HR_Data[[#This Row],[MonthlyIncome]]&lt;3000,"Low Salary",IF(HR_Data[[#This Row],[MonthlyIncome]]&lt;=7000,"Medium Salary","High Salary"))</f>
        <v>High Salary</v>
      </c>
      <c r="AN1013" t="str">
        <f>IF(HR_Data[[#This Row],[YearsAtCompany]]&lt;2,"0-1 Years",IF(HR_Data[[#This Row],[YearsAtCompany]]&lt;=5,"2-5 Years",IF(HR_Data[[#This Row],[YearsAtCompany]]&lt;=10,"6-10 Years","10+ Years")))</f>
        <v>2-5 Years</v>
      </c>
      <c r="AO1013" t="str">
        <f>IF(HR_Data[[#This Row],[JobSatisfaction]]=1,"Low",IF(HR_Data[[#This Row],[JobSatisfaction]]=2,"Medium",IF(HR_Data[[#This Row],[JobSatisfaction]]=3,"High","Very High")))</f>
        <v>Medium</v>
      </c>
      <c r="AP1013" t="str">
        <f>IF(HR_Data[[#This Row],[WorkLifeBalance]]=1,"Bad",IF(HR_Data[[#This Row],[WorkLifeBalance]]=2,"Good",IF(HR_Data[[#This Row],[WorkLifeBalance]]=3,"Better","Best")))</f>
        <v>Better</v>
      </c>
    </row>
    <row r="1014" spans="1:42"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IF(HR_Data[[#This Row],[Attrition]]="Yes",1,0)</f>
        <v>1</v>
      </c>
      <c r="AK1014">
        <f>IF(HR_Data[[#This Row],[Attrition]]="No",1,0)</f>
        <v>0</v>
      </c>
      <c r="AL1014" t="str">
        <f>IF(HR_Data[[#This Row],[Age]]&lt;25,"Under 25",IF(HR_Data[[#This Row],[Age]]&lt;=34,"25-34",IF(HR_Data[[#This Row],[Age]]&lt;=44,"35-44",IF(HR_Data[[#This Row],[Age]]&lt;=54,"45-54","55+"))))</f>
        <v>25-34</v>
      </c>
      <c r="AM1014" t="str">
        <f>IF(HR_Data[[#This Row],[MonthlyIncome]]&lt;3000,"Low Salary",IF(HR_Data[[#This Row],[MonthlyIncome]]&lt;=7000,"Medium Salary","High Salary"))</f>
        <v>Low Salary</v>
      </c>
      <c r="AN1014" t="str">
        <f>IF(HR_Data[[#This Row],[YearsAtCompany]]&lt;2,"0-1 Years",IF(HR_Data[[#This Row],[YearsAtCompany]]&lt;=5,"2-5 Years",IF(HR_Data[[#This Row],[YearsAtCompany]]&lt;=10,"6-10 Years","10+ Years")))</f>
        <v>0-1 Years</v>
      </c>
      <c r="AO1014" t="str">
        <f>IF(HR_Data[[#This Row],[JobSatisfaction]]=1,"Low",IF(HR_Data[[#This Row],[JobSatisfaction]]=2,"Medium",IF(HR_Data[[#This Row],[JobSatisfaction]]=3,"High","Very High")))</f>
        <v>High</v>
      </c>
      <c r="AP1014" t="str">
        <f>IF(HR_Data[[#This Row],[WorkLifeBalance]]=1,"Bad",IF(HR_Data[[#This Row],[WorkLifeBalance]]=2,"Good",IF(HR_Data[[#This Row],[WorkLifeBalance]]=3,"Better","Best")))</f>
        <v>Better</v>
      </c>
    </row>
    <row r="1015" spans="1:42"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IF(HR_Data[[#This Row],[Attrition]]="Yes",1,0)</f>
        <v>0</v>
      </c>
      <c r="AK1015">
        <f>IF(HR_Data[[#This Row],[Attrition]]="No",1,0)</f>
        <v>1</v>
      </c>
      <c r="AL1015" t="str">
        <f>IF(HR_Data[[#This Row],[Age]]&lt;25,"Under 25",IF(HR_Data[[#This Row],[Age]]&lt;=34,"25-34",IF(HR_Data[[#This Row],[Age]]&lt;=44,"35-44",IF(HR_Data[[#This Row],[Age]]&lt;=54,"45-54","55+"))))</f>
        <v>25-34</v>
      </c>
      <c r="AM1015" t="str">
        <f>IF(HR_Data[[#This Row],[MonthlyIncome]]&lt;3000,"Low Salary",IF(HR_Data[[#This Row],[MonthlyIncome]]&lt;=7000,"Medium Salary","High Salary"))</f>
        <v>Medium Salary</v>
      </c>
      <c r="AN1015" t="str">
        <f>IF(HR_Data[[#This Row],[YearsAtCompany]]&lt;2,"0-1 Years",IF(HR_Data[[#This Row],[YearsAtCompany]]&lt;=5,"2-5 Years",IF(HR_Data[[#This Row],[YearsAtCompany]]&lt;=10,"6-10 Years","10+ Years")))</f>
        <v>2-5 Years</v>
      </c>
      <c r="AO1015" t="str">
        <f>IF(HR_Data[[#This Row],[JobSatisfaction]]=1,"Low",IF(HR_Data[[#This Row],[JobSatisfaction]]=2,"Medium",IF(HR_Data[[#This Row],[JobSatisfaction]]=3,"High","Very High")))</f>
        <v>Low</v>
      </c>
      <c r="AP1015" t="str">
        <f>IF(HR_Data[[#This Row],[WorkLifeBalance]]=1,"Bad",IF(HR_Data[[#This Row],[WorkLifeBalance]]=2,"Good",IF(HR_Data[[#This Row],[WorkLifeBalance]]=3,"Better","Best")))</f>
        <v>Better</v>
      </c>
    </row>
    <row r="1016" spans="1:42"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IF(HR_Data[[#This Row],[Attrition]]="Yes",1,0)</f>
        <v>0</v>
      </c>
      <c r="AK1016">
        <f>IF(HR_Data[[#This Row],[Attrition]]="No",1,0)</f>
        <v>1</v>
      </c>
      <c r="AL1016" t="str">
        <f>IF(HR_Data[[#This Row],[Age]]&lt;25,"Under 25",IF(HR_Data[[#This Row],[Age]]&lt;=34,"25-34",IF(HR_Data[[#This Row],[Age]]&lt;=44,"35-44",IF(HR_Data[[#This Row],[Age]]&lt;=54,"45-54","55+"))))</f>
        <v>25-34</v>
      </c>
      <c r="AM1016" t="str">
        <f>IF(HR_Data[[#This Row],[MonthlyIncome]]&lt;3000,"Low Salary",IF(HR_Data[[#This Row],[MonthlyIncome]]&lt;=7000,"Medium Salary","High Salary"))</f>
        <v>High Salary</v>
      </c>
      <c r="AN1016" t="str">
        <f>IF(HR_Data[[#This Row],[YearsAtCompany]]&lt;2,"0-1 Years",IF(HR_Data[[#This Row],[YearsAtCompany]]&lt;=5,"2-5 Years",IF(HR_Data[[#This Row],[YearsAtCompany]]&lt;=10,"6-10 Years","10+ Years")))</f>
        <v>2-5 Years</v>
      </c>
      <c r="AO1016" t="str">
        <f>IF(HR_Data[[#This Row],[JobSatisfaction]]=1,"Low",IF(HR_Data[[#This Row],[JobSatisfaction]]=2,"Medium",IF(HR_Data[[#This Row],[JobSatisfaction]]=3,"High","Very High")))</f>
        <v>Medium</v>
      </c>
      <c r="AP1016" t="str">
        <f>IF(HR_Data[[#This Row],[WorkLifeBalance]]=1,"Bad",IF(HR_Data[[#This Row],[WorkLifeBalance]]=2,"Good",IF(HR_Data[[#This Row],[WorkLifeBalance]]=3,"Better","Best")))</f>
        <v>Best</v>
      </c>
    </row>
    <row r="1017" spans="1:42"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IF(HR_Data[[#This Row],[Attrition]]="Yes",1,0)</f>
        <v>0</v>
      </c>
      <c r="AK1017">
        <f>IF(HR_Data[[#This Row],[Attrition]]="No",1,0)</f>
        <v>1</v>
      </c>
      <c r="AL1017" t="str">
        <f>IF(HR_Data[[#This Row],[Age]]&lt;25,"Under 25",IF(HR_Data[[#This Row],[Age]]&lt;=34,"25-34",IF(HR_Data[[#This Row],[Age]]&lt;=44,"35-44",IF(HR_Data[[#This Row],[Age]]&lt;=54,"45-54","55+"))))</f>
        <v>25-34</v>
      </c>
      <c r="AM1017" t="str">
        <f>IF(HR_Data[[#This Row],[MonthlyIncome]]&lt;3000,"Low Salary",IF(HR_Data[[#This Row],[MonthlyIncome]]&lt;=7000,"Medium Salary","High Salary"))</f>
        <v>Low Salary</v>
      </c>
      <c r="AN1017" t="str">
        <f>IF(HR_Data[[#This Row],[YearsAtCompany]]&lt;2,"0-1 Years",IF(HR_Data[[#This Row],[YearsAtCompany]]&lt;=5,"2-5 Years",IF(HR_Data[[#This Row],[YearsAtCompany]]&lt;=10,"6-10 Years","10+ Years")))</f>
        <v>2-5 Years</v>
      </c>
      <c r="AO1017" t="str">
        <f>IF(HR_Data[[#This Row],[JobSatisfaction]]=1,"Low",IF(HR_Data[[#This Row],[JobSatisfaction]]=2,"Medium",IF(HR_Data[[#This Row],[JobSatisfaction]]=3,"High","Very High")))</f>
        <v>Low</v>
      </c>
      <c r="AP1017" t="str">
        <f>IF(HR_Data[[#This Row],[WorkLifeBalance]]=1,"Bad",IF(HR_Data[[#This Row],[WorkLifeBalance]]=2,"Good",IF(HR_Data[[#This Row],[WorkLifeBalance]]=3,"Better","Best")))</f>
        <v>Better</v>
      </c>
    </row>
    <row r="1018" spans="1:42"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IF(HR_Data[[#This Row],[Attrition]]="Yes",1,0)</f>
        <v>1</v>
      </c>
      <c r="AK1018">
        <f>IF(HR_Data[[#This Row],[Attrition]]="No",1,0)</f>
        <v>0</v>
      </c>
      <c r="AL1018" t="str">
        <f>IF(HR_Data[[#This Row],[Age]]&lt;25,"Under 25",IF(HR_Data[[#This Row],[Age]]&lt;=34,"25-34",IF(HR_Data[[#This Row],[Age]]&lt;=44,"35-44",IF(HR_Data[[#This Row],[Age]]&lt;=54,"45-54","55+"))))</f>
        <v>25-34</v>
      </c>
      <c r="AM1018" t="str">
        <f>IF(HR_Data[[#This Row],[MonthlyIncome]]&lt;3000,"Low Salary",IF(HR_Data[[#This Row],[MonthlyIncome]]&lt;=7000,"Medium Salary","High Salary"))</f>
        <v>Low Salary</v>
      </c>
      <c r="AN1018" t="str">
        <f>IF(HR_Data[[#This Row],[YearsAtCompany]]&lt;2,"0-1 Years",IF(HR_Data[[#This Row],[YearsAtCompany]]&lt;=5,"2-5 Years",IF(HR_Data[[#This Row],[YearsAtCompany]]&lt;=10,"6-10 Years","10+ Years")))</f>
        <v>0-1 Years</v>
      </c>
      <c r="AO1018" t="str">
        <f>IF(HR_Data[[#This Row],[JobSatisfaction]]=1,"Low",IF(HR_Data[[#This Row],[JobSatisfaction]]=2,"Medium",IF(HR_Data[[#This Row],[JobSatisfaction]]=3,"High","Very High")))</f>
        <v>Medium</v>
      </c>
      <c r="AP1018" t="str">
        <f>IF(HR_Data[[#This Row],[WorkLifeBalance]]=1,"Bad",IF(HR_Data[[#This Row],[WorkLifeBalance]]=2,"Good",IF(HR_Data[[#This Row],[WorkLifeBalance]]=3,"Better","Best")))</f>
        <v>Best</v>
      </c>
    </row>
    <row r="1019" spans="1:42"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IF(HR_Data[[#This Row],[Attrition]]="Yes",1,0)</f>
        <v>0</v>
      </c>
      <c r="AK1019">
        <f>IF(HR_Data[[#This Row],[Attrition]]="No",1,0)</f>
        <v>1</v>
      </c>
      <c r="AL1019" t="str">
        <f>IF(HR_Data[[#This Row],[Age]]&lt;25,"Under 25",IF(HR_Data[[#This Row],[Age]]&lt;=34,"25-34",IF(HR_Data[[#This Row],[Age]]&lt;=44,"35-44",IF(HR_Data[[#This Row],[Age]]&lt;=54,"45-54","55+"))))</f>
        <v>25-34</v>
      </c>
      <c r="AM1019" t="str">
        <f>IF(HR_Data[[#This Row],[MonthlyIncome]]&lt;3000,"Low Salary",IF(HR_Data[[#This Row],[MonthlyIncome]]&lt;=7000,"Medium Salary","High Salary"))</f>
        <v>Low Salary</v>
      </c>
      <c r="AN1019" t="str">
        <f>IF(HR_Data[[#This Row],[YearsAtCompany]]&lt;2,"0-1 Years",IF(HR_Data[[#This Row],[YearsAtCompany]]&lt;=5,"2-5 Years",IF(HR_Data[[#This Row],[YearsAtCompany]]&lt;=10,"6-10 Years","10+ Years")))</f>
        <v>2-5 Years</v>
      </c>
      <c r="AO1019" t="str">
        <f>IF(HR_Data[[#This Row],[JobSatisfaction]]=1,"Low",IF(HR_Data[[#This Row],[JobSatisfaction]]=2,"Medium",IF(HR_Data[[#This Row],[JobSatisfaction]]=3,"High","Very High")))</f>
        <v>Low</v>
      </c>
      <c r="AP1019" t="str">
        <f>IF(HR_Data[[#This Row],[WorkLifeBalance]]=1,"Bad",IF(HR_Data[[#This Row],[WorkLifeBalance]]=2,"Good",IF(HR_Data[[#This Row],[WorkLifeBalance]]=3,"Better","Best")))</f>
        <v>Best</v>
      </c>
    </row>
    <row r="1020" spans="1:42"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IF(HR_Data[[#This Row],[Attrition]]="Yes",1,0)</f>
        <v>0</v>
      </c>
      <c r="AK1020">
        <f>IF(HR_Data[[#This Row],[Attrition]]="No",1,0)</f>
        <v>1</v>
      </c>
      <c r="AL1020" t="str">
        <f>IF(HR_Data[[#This Row],[Age]]&lt;25,"Under 25",IF(HR_Data[[#This Row],[Age]]&lt;=34,"25-34",IF(HR_Data[[#This Row],[Age]]&lt;=44,"35-44",IF(HR_Data[[#This Row],[Age]]&lt;=54,"45-54","55+"))))</f>
        <v>35-44</v>
      </c>
      <c r="AM1020" t="str">
        <f>IF(HR_Data[[#This Row],[MonthlyIncome]]&lt;3000,"Low Salary",IF(HR_Data[[#This Row],[MonthlyIncome]]&lt;=7000,"Medium Salary","High Salary"))</f>
        <v>Medium Salary</v>
      </c>
      <c r="AN1020" t="str">
        <f>IF(HR_Data[[#This Row],[YearsAtCompany]]&lt;2,"0-1 Years",IF(HR_Data[[#This Row],[YearsAtCompany]]&lt;=5,"2-5 Years",IF(HR_Data[[#This Row],[YearsAtCompany]]&lt;=10,"6-10 Years","10+ Years")))</f>
        <v>6-10 Years</v>
      </c>
      <c r="AO1020" t="str">
        <f>IF(HR_Data[[#This Row],[JobSatisfaction]]=1,"Low",IF(HR_Data[[#This Row],[JobSatisfaction]]=2,"Medium",IF(HR_Data[[#This Row],[JobSatisfaction]]=3,"High","Very High")))</f>
        <v>Very High</v>
      </c>
      <c r="AP1020" t="str">
        <f>IF(HR_Data[[#This Row],[WorkLifeBalance]]=1,"Bad",IF(HR_Data[[#This Row],[WorkLifeBalance]]=2,"Good",IF(HR_Data[[#This Row],[WorkLifeBalance]]=3,"Better","Best")))</f>
        <v>Good</v>
      </c>
    </row>
    <row r="1021" spans="1:42"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IF(HR_Data[[#This Row],[Attrition]]="Yes",1,0)</f>
        <v>0</v>
      </c>
      <c r="AK1021">
        <f>IF(HR_Data[[#This Row],[Attrition]]="No",1,0)</f>
        <v>1</v>
      </c>
      <c r="AL1021" t="str">
        <f>IF(HR_Data[[#This Row],[Age]]&lt;25,"Under 25",IF(HR_Data[[#This Row],[Age]]&lt;=34,"25-34",IF(HR_Data[[#This Row],[Age]]&lt;=44,"35-44",IF(HR_Data[[#This Row],[Age]]&lt;=54,"45-54","55+"))))</f>
        <v>35-44</v>
      </c>
      <c r="AM1021" t="str">
        <f>IF(HR_Data[[#This Row],[MonthlyIncome]]&lt;3000,"Low Salary",IF(HR_Data[[#This Row],[MonthlyIncome]]&lt;=7000,"Medium Salary","High Salary"))</f>
        <v>Medium Salary</v>
      </c>
      <c r="AN1021" t="str">
        <f>IF(HR_Data[[#This Row],[YearsAtCompany]]&lt;2,"0-1 Years",IF(HR_Data[[#This Row],[YearsAtCompany]]&lt;=5,"2-5 Years",IF(HR_Data[[#This Row],[YearsAtCompany]]&lt;=10,"6-10 Years","10+ Years")))</f>
        <v>2-5 Years</v>
      </c>
      <c r="AO1021" t="str">
        <f>IF(HR_Data[[#This Row],[JobSatisfaction]]=1,"Low",IF(HR_Data[[#This Row],[JobSatisfaction]]=2,"Medium",IF(HR_Data[[#This Row],[JobSatisfaction]]=3,"High","Very High")))</f>
        <v>Low</v>
      </c>
      <c r="AP1021" t="str">
        <f>IF(HR_Data[[#This Row],[WorkLifeBalance]]=1,"Bad",IF(HR_Data[[#This Row],[WorkLifeBalance]]=2,"Good",IF(HR_Data[[#This Row],[WorkLifeBalance]]=3,"Better","Best")))</f>
        <v>Good</v>
      </c>
    </row>
    <row r="1022" spans="1:42"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IF(HR_Data[[#This Row],[Attrition]]="Yes",1,0)</f>
        <v>0</v>
      </c>
      <c r="AK1022">
        <f>IF(HR_Data[[#This Row],[Attrition]]="No",1,0)</f>
        <v>1</v>
      </c>
      <c r="AL1022" t="str">
        <f>IF(HR_Data[[#This Row],[Age]]&lt;25,"Under 25",IF(HR_Data[[#This Row],[Age]]&lt;=34,"25-34",IF(HR_Data[[#This Row],[Age]]&lt;=44,"35-44",IF(HR_Data[[#This Row],[Age]]&lt;=54,"45-54","55+"))))</f>
        <v>45-54</v>
      </c>
      <c r="AM1022" t="str">
        <f>IF(HR_Data[[#This Row],[MonthlyIncome]]&lt;3000,"Low Salary",IF(HR_Data[[#This Row],[MonthlyIncome]]&lt;=7000,"Medium Salary","High Salary"))</f>
        <v>Medium Salary</v>
      </c>
      <c r="AN1022" t="str">
        <f>IF(HR_Data[[#This Row],[YearsAtCompany]]&lt;2,"0-1 Years",IF(HR_Data[[#This Row],[YearsAtCompany]]&lt;=5,"2-5 Years",IF(HR_Data[[#This Row],[YearsAtCompany]]&lt;=10,"6-10 Years","10+ Years")))</f>
        <v>6-10 Years</v>
      </c>
      <c r="AO1022" t="str">
        <f>IF(HR_Data[[#This Row],[JobSatisfaction]]=1,"Low",IF(HR_Data[[#This Row],[JobSatisfaction]]=2,"Medium",IF(HR_Data[[#This Row],[JobSatisfaction]]=3,"High","Very High")))</f>
        <v>Very High</v>
      </c>
      <c r="AP1022" t="str">
        <f>IF(HR_Data[[#This Row],[WorkLifeBalance]]=1,"Bad",IF(HR_Data[[#This Row],[WorkLifeBalance]]=2,"Good",IF(HR_Data[[#This Row],[WorkLifeBalance]]=3,"Better","Best")))</f>
        <v>Good</v>
      </c>
    </row>
    <row r="1023" spans="1:42"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IF(HR_Data[[#This Row],[Attrition]]="Yes",1,0)</f>
        <v>1</v>
      </c>
      <c r="AK1023">
        <f>IF(HR_Data[[#This Row],[Attrition]]="No",1,0)</f>
        <v>0</v>
      </c>
      <c r="AL1023" t="str">
        <f>IF(HR_Data[[#This Row],[Age]]&lt;25,"Under 25",IF(HR_Data[[#This Row],[Age]]&lt;=34,"25-34",IF(HR_Data[[#This Row],[Age]]&lt;=44,"35-44",IF(HR_Data[[#This Row],[Age]]&lt;=54,"45-54","55+"))))</f>
        <v>25-34</v>
      </c>
      <c r="AM1023" t="str">
        <f>IF(HR_Data[[#This Row],[MonthlyIncome]]&lt;3000,"Low Salary",IF(HR_Data[[#This Row],[MonthlyIncome]]&lt;=7000,"Medium Salary","High Salary"))</f>
        <v>Medium Salary</v>
      </c>
      <c r="AN1023" t="str">
        <f>IF(HR_Data[[#This Row],[YearsAtCompany]]&lt;2,"0-1 Years",IF(HR_Data[[#This Row],[YearsAtCompany]]&lt;=5,"2-5 Years",IF(HR_Data[[#This Row],[YearsAtCompany]]&lt;=10,"6-10 Years","10+ Years")))</f>
        <v>2-5 Years</v>
      </c>
      <c r="AO1023" t="str">
        <f>IF(HR_Data[[#This Row],[JobSatisfaction]]=1,"Low",IF(HR_Data[[#This Row],[JobSatisfaction]]=2,"Medium",IF(HR_Data[[#This Row],[JobSatisfaction]]=3,"High","Very High")))</f>
        <v>Low</v>
      </c>
      <c r="AP1023" t="str">
        <f>IF(HR_Data[[#This Row],[WorkLifeBalance]]=1,"Bad",IF(HR_Data[[#This Row],[WorkLifeBalance]]=2,"Good",IF(HR_Data[[#This Row],[WorkLifeBalance]]=3,"Better","Best")))</f>
        <v>Better</v>
      </c>
    </row>
    <row r="1024" spans="1:42"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IF(HR_Data[[#This Row],[Attrition]]="Yes",1,0)</f>
        <v>0</v>
      </c>
      <c r="AK1024">
        <f>IF(HR_Data[[#This Row],[Attrition]]="No",1,0)</f>
        <v>1</v>
      </c>
      <c r="AL1024" t="str">
        <f>IF(HR_Data[[#This Row],[Age]]&lt;25,"Under 25",IF(HR_Data[[#This Row],[Age]]&lt;=34,"25-34",IF(HR_Data[[#This Row],[Age]]&lt;=44,"35-44",IF(HR_Data[[#This Row],[Age]]&lt;=54,"45-54","55+"))))</f>
        <v>35-44</v>
      </c>
      <c r="AM1024" t="str">
        <f>IF(HR_Data[[#This Row],[MonthlyIncome]]&lt;3000,"Low Salary",IF(HR_Data[[#This Row],[MonthlyIncome]]&lt;=7000,"Medium Salary","High Salary"))</f>
        <v>Medium Salary</v>
      </c>
      <c r="AN1024" t="str">
        <f>IF(HR_Data[[#This Row],[YearsAtCompany]]&lt;2,"0-1 Years",IF(HR_Data[[#This Row],[YearsAtCompany]]&lt;=5,"2-5 Years",IF(HR_Data[[#This Row],[YearsAtCompany]]&lt;=10,"6-10 Years","10+ Years")))</f>
        <v>6-10 Years</v>
      </c>
      <c r="AO1024" t="str">
        <f>IF(HR_Data[[#This Row],[JobSatisfaction]]=1,"Low",IF(HR_Data[[#This Row],[JobSatisfaction]]=2,"Medium",IF(HR_Data[[#This Row],[JobSatisfaction]]=3,"High","Very High")))</f>
        <v>High</v>
      </c>
      <c r="AP1024" t="str">
        <f>IF(HR_Data[[#This Row],[WorkLifeBalance]]=1,"Bad",IF(HR_Data[[#This Row],[WorkLifeBalance]]=2,"Good",IF(HR_Data[[#This Row],[WorkLifeBalance]]=3,"Better","Best")))</f>
        <v>Bad</v>
      </c>
    </row>
    <row r="1025" spans="1:42"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IF(HR_Data[[#This Row],[Attrition]]="Yes",1,0)</f>
        <v>0</v>
      </c>
      <c r="AK1025">
        <f>IF(HR_Data[[#This Row],[Attrition]]="No",1,0)</f>
        <v>1</v>
      </c>
      <c r="AL1025" t="str">
        <f>IF(HR_Data[[#This Row],[Age]]&lt;25,"Under 25",IF(HR_Data[[#This Row],[Age]]&lt;=34,"25-34",IF(HR_Data[[#This Row],[Age]]&lt;=44,"35-44",IF(HR_Data[[#This Row],[Age]]&lt;=54,"45-54","55+"))))</f>
        <v>55+</v>
      </c>
      <c r="AM1025" t="str">
        <f>IF(HR_Data[[#This Row],[MonthlyIncome]]&lt;3000,"Low Salary",IF(HR_Data[[#This Row],[MonthlyIncome]]&lt;=7000,"Medium Salary","High Salary"))</f>
        <v>Low Salary</v>
      </c>
      <c r="AN1025" t="str">
        <f>IF(HR_Data[[#This Row],[YearsAtCompany]]&lt;2,"0-1 Years",IF(HR_Data[[#This Row],[YearsAtCompany]]&lt;=5,"2-5 Years",IF(HR_Data[[#This Row],[YearsAtCompany]]&lt;=10,"6-10 Years","10+ Years")))</f>
        <v>2-5 Years</v>
      </c>
      <c r="AO1025" t="str">
        <f>IF(HR_Data[[#This Row],[JobSatisfaction]]=1,"Low",IF(HR_Data[[#This Row],[JobSatisfaction]]=2,"Medium",IF(HR_Data[[#This Row],[JobSatisfaction]]=3,"High","Very High")))</f>
        <v>Low</v>
      </c>
      <c r="AP1025" t="str">
        <f>IF(HR_Data[[#This Row],[WorkLifeBalance]]=1,"Bad",IF(HR_Data[[#This Row],[WorkLifeBalance]]=2,"Good",IF(HR_Data[[#This Row],[WorkLifeBalance]]=3,"Better","Best")))</f>
        <v>Best</v>
      </c>
    </row>
    <row r="1026" spans="1:42"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IF(HR_Data[[#This Row],[Attrition]]="Yes",1,0)</f>
        <v>0</v>
      </c>
      <c r="AK1026">
        <f>IF(HR_Data[[#This Row],[Attrition]]="No",1,0)</f>
        <v>1</v>
      </c>
      <c r="AL1026" t="str">
        <f>IF(HR_Data[[#This Row],[Age]]&lt;25,"Under 25",IF(HR_Data[[#This Row],[Age]]&lt;=34,"25-34",IF(HR_Data[[#This Row],[Age]]&lt;=44,"35-44",IF(HR_Data[[#This Row],[Age]]&lt;=54,"45-54","55+"))))</f>
        <v>45-54</v>
      </c>
      <c r="AM1026" t="str">
        <f>IF(HR_Data[[#This Row],[MonthlyIncome]]&lt;3000,"Low Salary",IF(HR_Data[[#This Row],[MonthlyIncome]]&lt;=7000,"Medium Salary","High Salary"))</f>
        <v>High Salary</v>
      </c>
      <c r="AN1026" t="str">
        <f>IF(HR_Data[[#This Row],[YearsAtCompany]]&lt;2,"0-1 Years",IF(HR_Data[[#This Row],[YearsAtCompany]]&lt;=5,"2-5 Years",IF(HR_Data[[#This Row],[YearsAtCompany]]&lt;=10,"6-10 Years","10+ Years")))</f>
        <v>10+ Years</v>
      </c>
      <c r="AO1026" t="str">
        <f>IF(HR_Data[[#This Row],[JobSatisfaction]]=1,"Low",IF(HR_Data[[#This Row],[JobSatisfaction]]=2,"Medium",IF(HR_Data[[#This Row],[JobSatisfaction]]=3,"High","Very High")))</f>
        <v>High</v>
      </c>
      <c r="AP1026" t="str">
        <f>IF(HR_Data[[#This Row],[WorkLifeBalance]]=1,"Bad",IF(HR_Data[[#This Row],[WorkLifeBalance]]=2,"Good",IF(HR_Data[[#This Row],[WorkLifeBalance]]=3,"Better","Best")))</f>
        <v>Best</v>
      </c>
    </row>
    <row r="1027" spans="1:42"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IF(HR_Data[[#This Row],[Attrition]]="Yes",1,0)</f>
        <v>0</v>
      </c>
      <c r="AK1027">
        <f>IF(HR_Data[[#This Row],[Attrition]]="No",1,0)</f>
        <v>1</v>
      </c>
      <c r="AL1027" t="str">
        <f>IF(HR_Data[[#This Row],[Age]]&lt;25,"Under 25",IF(HR_Data[[#This Row],[Age]]&lt;=34,"25-34",IF(HR_Data[[#This Row],[Age]]&lt;=44,"35-44",IF(HR_Data[[#This Row],[Age]]&lt;=54,"45-54","55+"))))</f>
        <v>Under 25</v>
      </c>
      <c r="AM1027" t="str">
        <f>IF(HR_Data[[#This Row],[MonthlyIncome]]&lt;3000,"Low Salary",IF(HR_Data[[#This Row],[MonthlyIncome]]&lt;=7000,"Medium Salary","High Salary"))</f>
        <v>Medium Salary</v>
      </c>
      <c r="AN1027" t="str">
        <f>IF(HR_Data[[#This Row],[YearsAtCompany]]&lt;2,"0-1 Years",IF(HR_Data[[#This Row],[YearsAtCompany]]&lt;=5,"2-5 Years",IF(HR_Data[[#This Row],[YearsAtCompany]]&lt;=10,"6-10 Years","10+ Years")))</f>
        <v>2-5 Years</v>
      </c>
      <c r="AO1027" t="str">
        <f>IF(HR_Data[[#This Row],[JobSatisfaction]]=1,"Low",IF(HR_Data[[#This Row],[JobSatisfaction]]=2,"Medium",IF(HR_Data[[#This Row],[JobSatisfaction]]=3,"High","Very High")))</f>
        <v>High</v>
      </c>
      <c r="AP1027" t="str">
        <f>IF(HR_Data[[#This Row],[WorkLifeBalance]]=1,"Bad",IF(HR_Data[[#This Row],[WorkLifeBalance]]=2,"Good",IF(HR_Data[[#This Row],[WorkLifeBalance]]=3,"Better","Best")))</f>
        <v>Better</v>
      </c>
    </row>
    <row r="1028" spans="1:42"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IF(HR_Data[[#This Row],[Attrition]]="Yes",1,0)</f>
        <v>0</v>
      </c>
      <c r="AK1028">
        <f>IF(HR_Data[[#This Row],[Attrition]]="No",1,0)</f>
        <v>1</v>
      </c>
      <c r="AL1028" t="str">
        <f>IF(HR_Data[[#This Row],[Age]]&lt;25,"Under 25",IF(HR_Data[[#This Row],[Age]]&lt;=34,"25-34",IF(HR_Data[[#This Row],[Age]]&lt;=44,"35-44",IF(HR_Data[[#This Row],[Age]]&lt;=54,"45-54","55+"))))</f>
        <v>25-34</v>
      </c>
      <c r="AM1028" t="str">
        <f>IF(HR_Data[[#This Row],[MonthlyIncome]]&lt;3000,"Low Salary",IF(HR_Data[[#This Row],[MonthlyIncome]]&lt;=7000,"Medium Salary","High Salary"))</f>
        <v>High Salary</v>
      </c>
      <c r="AN1028" t="str">
        <f>IF(HR_Data[[#This Row],[YearsAtCompany]]&lt;2,"0-1 Years",IF(HR_Data[[#This Row],[YearsAtCompany]]&lt;=5,"2-5 Years",IF(HR_Data[[#This Row],[YearsAtCompany]]&lt;=10,"6-10 Years","10+ Years")))</f>
        <v>2-5 Years</v>
      </c>
      <c r="AO1028" t="str">
        <f>IF(HR_Data[[#This Row],[JobSatisfaction]]=1,"Low",IF(HR_Data[[#This Row],[JobSatisfaction]]=2,"Medium",IF(HR_Data[[#This Row],[JobSatisfaction]]=3,"High","Very High")))</f>
        <v>Very High</v>
      </c>
      <c r="AP1028" t="str">
        <f>IF(HR_Data[[#This Row],[WorkLifeBalance]]=1,"Bad",IF(HR_Data[[#This Row],[WorkLifeBalance]]=2,"Good",IF(HR_Data[[#This Row],[WorkLifeBalance]]=3,"Better","Best")))</f>
        <v>Good</v>
      </c>
    </row>
    <row r="1029" spans="1:42"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IF(HR_Data[[#This Row],[Attrition]]="Yes",1,0)</f>
        <v>0</v>
      </c>
      <c r="AK1029">
        <f>IF(HR_Data[[#This Row],[Attrition]]="No",1,0)</f>
        <v>1</v>
      </c>
      <c r="AL1029" t="str">
        <f>IF(HR_Data[[#This Row],[Age]]&lt;25,"Under 25",IF(HR_Data[[#This Row],[Age]]&lt;=34,"25-34",IF(HR_Data[[#This Row],[Age]]&lt;=44,"35-44",IF(HR_Data[[#This Row],[Age]]&lt;=54,"45-54","55+"))))</f>
        <v>25-34</v>
      </c>
      <c r="AM1029" t="str">
        <f>IF(HR_Data[[#This Row],[MonthlyIncome]]&lt;3000,"Low Salary",IF(HR_Data[[#This Row],[MonthlyIncome]]&lt;=7000,"Medium Salary","High Salary"))</f>
        <v>Medium Salary</v>
      </c>
      <c r="AN1029" t="str">
        <f>IF(HR_Data[[#This Row],[YearsAtCompany]]&lt;2,"0-1 Years",IF(HR_Data[[#This Row],[YearsAtCompany]]&lt;=5,"2-5 Years",IF(HR_Data[[#This Row],[YearsAtCompany]]&lt;=10,"6-10 Years","10+ Years")))</f>
        <v>2-5 Years</v>
      </c>
      <c r="AO1029" t="str">
        <f>IF(HR_Data[[#This Row],[JobSatisfaction]]=1,"Low",IF(HR_Data[[#This Row],[JobSatisfaction]]=2,"Medium",IF(HR_Data[[#This Row],[JobSatisfaction]]=3,"High","Very High")))</f>
        <v>Medium</v>
      </c>
      <c r="AP1029" t="str">
        <f>IF(HR_Data[[#This Row],[WorkLifeBalance]]=1,"Bad",IF(HR_Data[[#This Row],[WorkLifeBalance]]=2,"Good",IF(HR_Data[[#This Row],[WorkLifeBalance]]=3,"Better","Best")))</f>
        <v>Good</v>
      </c>
    </row>
    <row r="1030" spans="1:42"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IF(HR_Data[[#This Row],[Attrition]]="Yes",1,0)</f>
        <v>0</v>
      </c>
      <c r="AK1030">
        <f>IF(HR_Data[[#This Row],[Attrition]]="No",1,0)</f>
        <v>1</v>
      </c>
      <c r="AL1030" t="str">
        <f>IF(HR_Data[[#This Row],[Age]]&lt;25,"Under 25",IF(HR_Data[[#This Row],[Age]]&lt;=34,"25-34",IF(HR_Data[[#This Row],[Age]]&lt;=44,"35-44",IF(HR_Data[[#This Row],[Age]]&lt;=54,"45-54","55+"))))</f>
        <v>35-44</v>
      </c>
      <c r="AM1030" t="str">
        <f>IF(HR_Data[[#This Row],[MonthlyIncome]]&lt;3000,"Low Salary",IF(HR_Data[[#This Row],[MonthlyIncome]]&lt;=7000,"Medium Salary","High Salary"))</f>
        <v>Low Salary</v>
      </c>
      <c r="AN1030" t="str">
        <f>IF(HR_Data[[#This Row],[YearsAtCompany]]&lt;2,"0-1 Years",IF(HR_Data[[#This Row],[YearsAtCompany]]&lt;=5,"2-5 Years",IF(HR_Data[[#This Row],[YearsAtCompany]]&lt;=10,"6-10 Years","10+ Years")))</f>
        <v>2-5 Years</v>
      </c>
      <c r="AO1030" t="str">
        <f>IF(HR_Data[[#This Row],[JobSatisfaction]]=1,"Low",IF(HR_Data[[#This Row],[JobSatisfaction]]=2,"Medium",IF(HR_Data[[#This Row],[JobSatisfaction]]=3,"High","Very High")))</f>
        <v>High</v>
      </c>
      <c r="AP1030" t="str">
        <f>IF(HR_Data[[#This Row],[WorkLifeBalance]]=1,"Bad",IF(HR_Data[[#This Row],[WorkLifeBalance]]=2,"Good",IF(HR_Data[[#This Row],[WorkLifeBalance]]=3,"Better","Best")))</f>
        <v>Good</v>
      </c>
    </row>
    <row r="1031" spans="1:42"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IF(HR_Data[[#This Row],[Attrition]]="Yes",1,0)</f>
        <v>0</v>
      </c>
      <c r="AK1031">
        <f>IF(HR_Data[[#This Row],[Attrition]]="No",1,0)</f>
        <v>1</v>
      </c>
      <c r="AL1031" t="str">
        <f>IF(HR_Data[[#This Row],[Age]]&lt;25,"Under 25",IF(HR_Data[[#This Row],[Age]]&lt;=34,"25-34",IF(HR_Data[[#This Row],[Age]]&lt;=44,"35-44",IF(HR_Data[[#This Row],[Age]]&lt;=54,"45-54","55+"))))</f>
        <v>35-44</v>
      </c>
      <c r="AM1031" t="str">
        <f>IF(HR_Data[[#This Row],[MonthlyIncome]]&lt;3000,"Low Salary",IF(HR_Data[[#This Row],[MonthlyIncome]]&lt;=7000,"Medium Salary","High Salary"))</f>
        <v>Medium Salary</v>
      </c>
      <c r="AN1031" t="str">
        <f>IF(HR_Data[[#This Row],[YearsAtCompany]]&lt;2,"0-1 Years",IF(HR_Data[[#This Row],[YearsAtCompany]]&lt;=5,"2-5 Years",IF(HR_Data[[#This Row],[YearsAtCompany]]&lt;=10,"6-10 Years","10+ Years")))</f>
        <v>6-10 Years</v>
      </c>
      <c r="AO1031" t="str">
        <f>IF(HR_Data[[#This Row],[JobSatisfaction]]=1,"Low",IF(HR_Data[[#This Row],[JobSatisfaction]]=2,"Medium",IF(HR_Data[[#This Row],[JobSatisfaction]]=3,"High","Very High")))</f>
        <v>High</v>
      </c>
      <c r="AP1031" t="str">
        <f>IF(HR_Data[[#This Row],[WorkLifeBalance]]=1,"Bad",IF(HR_Data[[#This Row],[WorkLifeBalance]]=2,"Good",IF(HR_Data[[#This Row],[WorkLifeBalance]]=3,"Better","Best")))</f>
        <v>Best</v>
      </c>
    </row>
    <row r="1032" spans="1:42"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IF(HR_Data[[#This Row],[Attrition]]="Yes",1,0)</f>
        <v>0</v>
      </c>
      <c r="AK1032">
        <f>IF(HR_Data[[#This Row],[Attrition]]="No",1,0)</f>
        <v>1</v>
      </c>
      <c r="AL1032" t="str">
        <f>IF(HR_Data[[#This Row],[Age]]&lt;25,"Under 25",IF(HR_Data[[#This Row],[Age]]&lt;=34,"25-34",IF(HR_Data[[#This Row],[Age]]&lt;=44,"35-44",IF(HR_Data[[#This Row],[Age]]&lt;=54,"45-54","55+"))))</f>
        <v>25-34</v>
      </c>
      <c r="AM1032" t="str">
        <f>IF(HR_Data[[#This Row],[MonthlyIncome]]&lt;3000,"Low Salary",IF(HR_Data[[#This Row],[MonthlyIncome]]&lt;=7000,"Medium Salary","High Salary"))</f>
        <v>High Salary</v>
      </c>
      <c r="AN1032" t="str">
        <f>IF(HR_Data[[#This Row],[YearsAtCompany]]&lt;2,"0-1 Years",IF(HR_Data[[#This Row],[YearsAtCompany]]&lt;=5,"2-5 Years",IF(HR_Data[[#This Row],[YearsAtCompany]]&lt;=10,"6-10 Years","10+ Years")))</f>
        <v>10+ Years</v>
      </c>
      <c r="AO1032" t="str">
        <f>IF(HR_Data[[#This Row],[JobSatisfaction]]=1,"Low",IF(HR_Data[[#This Row],[JobSatisfaction]]=2,"Medium",IF(HR_Data[[#This Row],[JobSatisfaction]]=3,"High","Very High")))</f>
        <v>Very High</v>
      </c>
      <c r="AP1032" t="str">
        <f>IF(HR_Data[[#This Row],[WorkLifeBalance]]=1,"Bad",IF(HR_Data[[#This Row],[WorkLifeBalance]]=2,"Good",IF(HR_Data[[#This Row],[WorkLifeBalance]]=3,"Better","Best")))</f>
        <v>Better</v>
      </c>
    </row>
    <row r="1033" spans="1:42"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IF(HR_Data[[#This Row],[Attrition]]="Yes",1,0)</f>
        <v>1</v>
      </c>
      <c r="AK1033">
        <f>IF(HR_Data[[#This Row],[Attrition]]="No",1,0)</f>
        <v>0</v>
      </c>
      <c r="AL1033" t="str">
        <f>IF(HR_Data[[#This Row],[Age]]&lt;25,"Under 25",IF(HR_Data[[#This Row],[Age]]&lt;=34,"25-34",IF(HR_Data[[#This Row],[Age]]&lt;=44,"35-44",IF(HR_Data[[#This Row],[Age]]&lt;=54,"45-54","55+"))))</f>
        <v>45-54</v>
      </c>
      <c r="AM1033" t="str">
        <f>IF(HR_Data[[#This Row],[MonthlyIncome]]&lt;3000,"Low Salary",IF(HR_Data[[#This Row],[MonthlyIncome]]&lt;=7000,"Medium Salary","High Salary"))</f>
        <v>High Salary</v>
      </c>
      <c r="AN1033" t="str">
        <f>IF(HR_Data[[#This Row],[YearsAtCompany]]&lt;2,"0-1 Years",IF(HR_Data[[#This Row],[YearsAtCompany]]&lt;=5,"2-5 Years",IF(HR_Data[[#This Row],[YearsAtCompany]]&lt;=10,"6-10 Years","10+ Years")))</f>
        <v>6-10 Years</v>
      </c>
      <c r="AO1033" t="str">
        <f>IF(HR_Data[[#This Row],[JobSatisfaction]]=1,"Low",IF(HR_Data[[#This Row],[JobSatisfaction]]=2,"Medium",IF(HR_Data[[#This Row],[JobSatisfaction]]=3,"High","Very High")))</f>
        <v>Very High</v>
      </c>
      <c r="AP1033" t="str">
        <f>IF(HR_Data[[#This Row],[WorkLifeBalance]]=1,"Bad",IF(HR_Data[[#This Row],[WorkLifeBalance]]=2,"Good",IF(HR_Data[[#This Row],[WorkLifeBalance]]=3,"Better","Best")))</f>
        <v>Best</v>
      </c>
    </row>
    <row r="1034" spans="1:42"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IF(HR_Data[[#This Row],[Attrition]]="Yes",1,0)</f>
        <v>1</v>
      </c>
      <c r="AK1034">
        <f>IF(HR_Data[[#This Row],[Attrition]]="No",1,0)</f>
        <v>0</v>
      </c>
      <c r="AL1034" t="str">
        <f>IF(HR_Data[[#This Row],[Age]]&lt;25,"Under 25",IF(HR_Data[[#This Row],[Age]]&lt;=34,"25-34",IF(HR_Data[[#This Row],[Age]]&lt;=44,"35-44",IF(HR_Data[[#This Row],[Age]]&lt;=54,"45-54","55+"))))</f>
        <v>35-44</v>
      </c>
      <c r="AM1034" t="str">
        <f>IF(HR_Data[[#This Row],[MonthlyIncome]]&lt;3000,"Low Salary",IF(HR_Data[[#This Row],[MonthlyIncome]]&lt;=7000,"Medium Salary","High Salary"))</f>
        <v>Medium Salary</v>
      </c>
      <c r="AN1034" t="str">
        <f>IF(HR_Data[[#This Row],[YearsAtCompany]]&lt;2,"0-1 Years",IF(HR_Data[[#This Row],[YearsAtCompany]]&lt;=5,"2-5 Years",IF(HR_Data[[#This Row],[YearsAtCompany]]&lt;=10,"6-10 Years","10+ Years")))</f>
        <v>0-1 Years</v>
      </c>
      <c r="AO1034" t="str">
        <f>IF(HR_Data[[#This Row],[JobSatisfaction]]=1,"Low",IF(HR_Data[[#This Row],[JobSatisfaction]]=2,"Medium",IF(HR_Data[[#This Row],[JobSatisfaction]]=3,"High","Very High")))</f>
        <v>Low</v>
      </c>
      <c r="AP1034" t="str">
        <f>IF(HR_Data[[#This Row],[WorkLifeBalance]]=1,"Bad",IF(HR_Data[[#This Row],[WorkLifeBalance]]=2,"Good",IF(HR_Data[[#This Row],[WorkLifeBalance]]=3,"Better","Best")))</f>
        <v>Best</v>
      </c>
    </row>
    <row r="1035" spans="1:42"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IF(HR_Data[[#This Row],[Attrition]]="Yes",1,0)</f>
        <v>1</v>
      </c>
      <c r="AK1035">
        <f>IF(HR_Data[[#This Row],[Attrition]]="No",1,0)</f>
        <v>0</v>
      </c>
      <c r="AL1035" t="str">
        <f>IF(HR_Data[[#This Row],[Age]]&lt;25,"Under 25",IF(HR_Data[[#This Row],[Age]]&lt;=34,"25-34",IF(HR_Data[[#This Row],[Age]]&lt;=44,"35-44",IF(HR_Data[[#This Row],[Age]]&lt;=54,"45-54","55+"))))</f>
        <v>25-34</v>
      </c>
      <c r="AM1035" t="str">
        <f>IF(HR_Data[[#This Row],[MonthlyIncome]]&lt;3000,"Low Salary",IF(HR_Data[[#This Row],[MonthlyIncome]]&lt;=7000,"Medium Salary","High Salary"))</f>
        <v>High Salary</v>
      </c>
      <c r="AN1035" t="str">
        <f>IF(HR_Data[[#This Row],[YearsAtCompany]]&lt;2,"0-1 Years",IF(HR_Data[[#This Row],[YearsAtCompany]]&lt;=5,"2-5 Years",IF(HR_Data[[#This Row],[YearsAtCompany]]&lt;=10,"6-10 Years","10+ Years")))</f>
        <v>6-10 Years</v>
      </c>
      <c r="AO1035" t="str">
        <f>IF(HR_Data[[#This Row],[JobSatisfaction]]=1,"Low",IF(HR_Data[[#This Row],[JobSatisfaction]]=2,"Medium",IF(HR_Data[[#This Row],[JobSatisfaction]]=3,"High","Very High")))</f>
        <v>Medium</v>
      </c>
      <c r="AP1035" t="str">
        <f>IF(HR_Data[[#This Row],[WorkLifeBalance]]=1,"Bad",IF(HR_Data[[#This Row],[WorkLifeBalance]]=2,"Good",IF(HR_Data[[#This Row],[WorkLifeBalance]]=3,"Better","Best")))</f>
        <v>Better</v>
      </c>
    </row>
    <row r="1036" spans="1:42"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IF(HR_Data[[#This Row],[Attrition]]="Yes",1,0)</f>
        <v>0</v>
      </c>
      <c r="AK1036">
        <f>IF(HR_Data[[#This Row],[Attrition]]="No",1,0)</f>
        <v>1</v>
      </c>
      <c r="AL1036" t="str">
        <f>IF(HR_Data[[#This Row],[Age]]&lt;25,"Under 25",IF(HR_Data[[#This Row],[Age]]&lt;=34,"25-34",IF(HR_Data[[#This Row],[Age]]&lt;=44,"35-44",IF(HR_Data[[#This Row],[Age]]&lt;=54,"45-54","55+"))))</f>
        <v>45-54</v>
      </c>
      <c r="AM1036" t="str">
        <f>IF(HR_Data[[#This Row],[MonthlyIncome]]&lt;3000,"Low Salary",IF(HR_Data[[#This Row],[MonthlyIncome]]&lt;=7000,"Medium Salary","High Salary"))</f>
        <v>High Salary</v>
      </c>
      <c r="AN1036" t="str">
        <f>IF(HR_Data[[#This Row],[YearsAtCompany]]&lt;2,"0-1 Years",IF(HR_Data[[#This Row],[YearsAtCompany]]&lt;=5,"2-5 Years",IF(HR_Data[[#This Row],[YearsAtCompany]]&lt;=10,"6-10 Years","10+ Years")))</f>
        <v>6-10 Years</v>
      </c>
      <c r="AO1036" t="str">
        <f>IF(HR_Data[[#This Row],[JobSatisfaction]]=1,"Low",IF(HR_Data[[#This Row],[JobSatisfaction]]=2,"Medium",IF(HR_Data[[#This Row],[JobSatisfaction]]=3,"High","Very High")))</f>
        <v>Low</v>
      </c>
      <c r="AP1036" t="str">
        <f>IF(HR_Data[[#This Row],[WorkLifeBalance]]=1,"Bad",IF(HR_Data[[#This Row],[WorkLifeBalance]]=2,"Good",IF(HR_Data[[#This Row],[WorkLifeBalance]]=3,"Better","Best")))</f>
        <v>Better</v>
      </c>
    </row>
    <row r="1037" spans="1:42"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IF(HR_Data[[#This Row],[Attrition]]="Yes",1,0)</f>
        <v>0</v>
      </c>
      <c r="AK1037">
        <f>IF(HR_Data[[#This Row],[Attrition]]="No",1,0)</f>
        <v>1</v>
      </c>
      <c r="AL1037" t="str">
        <f>IF(HR_Data[[#This Row],[Age]]&lt;25,"Under 25",IF(HR_Data[[#This Row],[Age]]&lt;=34,"25-34",IF(HR_Data[[#This Row],[Age]]&lt;=44,"35-44",IF(HR_Data[[#This Row],[Age]]&lt;=54,"45-54","55+"))))</f>
        <v>25-34</v>
      </c>
      <c r="AM1037" t="str">
        <f>IF(HR_Data[[#This Row],[MonthlyIncome]]&lt;3000,"Low Salary",IF(HR_Data[[#This Row],[MonthlyIncome]]&lt;=7000,"Medium Salary","High Salary"))</f>
        <v>Low Salary</v>
      </c>
      <c r="AN1037" t="str">
        <f>IF(HR_Data[[#This Row],[YearsAtCompany]]&lt;2,"0-1 Years",IF(HR_Data[[#This Row],[YearsAtCompany]]&lt;=5,"2-5 Years",IF(HR_Data[[#This Row],[YearsAtCompany]]&lt;=10,"6-10 Years","10+ Years")))</f>
        <v>2-5 Years</v>
      </c>
      <c r="AO1037" t="str">
        <f>IF(HR_Data[[#This Row],[JobSatisfaction]]=1,"Low",IF(HR_Data[[#This Row],[JobSatisfaction]]=2,"Medium",IF(HR_Data[[#This Row],[JobSatisfaction]]=3,"High","Very High")))</f>
        <v>Medium</v>
      </c>
      <c r="AP1037" t="str">
        <f>IF(HR_Data[[#This Row],[WorkLifeBalance]]=1,"Bad",IF(HR_Data[[#This Row],[WorkLifeBalance]]=2,"Good",IF(HR_Data[[#This Row],[WorkLifeBalance]]=3,"Better","Best")))</f>
        <v>Better</v>
      </c>
    </row>
    <row r="1038" spans="1:42"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IF(HR_Data[[#This Row],[Attrition]]="Yes",1,0)</f>
        <v>1</v>
      </c>
      <c r="AK1038">
        <f>IF(HR_Data[[#This Row],[Attrition]]="No",1,0)</f>
        <v>0</v>
      </c>
      <c r="AL1038" t="str">
        <f>IF(HR_Data[[#This Row],[Age]]&lt;25,"Under 25",IF(HR_Data[[#This Row],[Age]]&lt;=34,"25-34",IF(HR_Data[[#This Row],[Age]]&lt;=44,"35-44",IF(HR_Data[[#This Row],[Age]]&lt;=54,"45-54","55+"))))</f>
        <v>25-34</v>
      </c>
      <c r="AM1038" t="str">
        <f>IF(HR_Data[[#This Row],[MonthlyIncome]]&lt;3000,"Low Salary",IF(HR_Data[[#This Row],[MonthlyIncome]]&lt;=7000,"Medium Salary","High Salary"))</f>
        <v>Medium Salary</v>
      </c>
      <c r="AN1038" t="str">
        <f>IF(HR_Data[[#This Row],[YearsAtCompany]]&lt;2,"0-1 Years",IF(HR_Data[[#This Row],[YearsAtCompany]]&lt;=5,"2-5 Years",IF(HR_Data[[#This Row],[YearsAtCompany]]&lt;=10,"6-10 Years","10+ Years")))</f>
        <v>2-5 Years</v>
      </c>
      <c r="AO1038" t="str">
        <f>IF(HR_Data[[#This Row],[JobSatisfaction]]=1,"Low",IF(HR_Data[[#This Row],[JobSatisfaction]]=2,"Medium",IF(HR_Data[[#This Row],[JobSatisfaction]]=3,"High","Very High")))</f>
        <v>Very High</v>
      </c>
      <c r="AP1038" t="str">
        <f>IF(HR_Data[[#This Row],[WorkLifeBalance]]=1,"Bad",IF(HR_Data[[#This Row],[WorkLifeBalance]]=2,"Good",IF(HR_Data[[#This Row],[WorkLifeBalance]]=3,"Better","Best")))</f>
        <v>Bad</v>
      </c>
    </row>
    <row r="1039" spans="1:42"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IF(HR_Data[[#This Row],[Attrition]]="Yes",1,0)</f>
        <v>0</v>
      </c>
      <c r="AK1039">
        <f>IF(HR_Data[[#This Row],[Attrition]]="No",1,0)</f>
        <v>1</v>
      </c>
      <c r="AL1039" t="str">
        <f>IF(HR_Data[[#This Row],[Age]]&lt;25,"Under 25",IF(HR_Data[[#This Row],[Age]]&lt;=34,"25-34",IF(HR_Data[[#This Row],[Age]]&lt;=44,"35-44",IF(HR_Data[[#This Row],[Age]]&lt;=54,"45-54","55+"))))</f>
        <v>45-54</v>
      </c>
      <c r="AM1039" t="str">
        <f>IF(HR_Data[[#This Row],[MonthlyIncome]]&lt;3000,"Low Salary",IF(HR_Data[[#This Row],[MonthlyIncome]]&lt;=7000,"Medium Salary","High Salary"))</f>
        <v>High Salary</v>
      </c>
      <c r="AN1039" t="str">
        <f>IF(HR_Data[[#This Row],[YearsAtCompany]]&lt;2,"0-1 Years",IF(HR_Data[[#This Row],[YearsAtCompany]]&lt;=5,"2-5 Years",IF(HR_Data[[#This Row],[YearsAtCompany]]&lt;=10,"6-10 Years","10+ Years")))</f>
        <v>2-5 Years</v>
      </c>
      <c r="AO1039" t="str">
        <f>IF(HR_Data[[#This Row],[JobSatisfaction]]=1,"Low",IF(HR_Data[[#This Row],[JobSatisfaction]]=2,"Medium",IF(HR_Data[[#This Row],[JobSatisfaction]]=3,"High","Very High")))</f>
        <v>Very High</v>
      </c>
      <c r="AP1039" t="str">
        <f>IF(HR_Data[[#This Row],[WorkLifeBalance]]=1,"Bad",IF(HR_Data[[#This Row],[WorkLifeBalance]]=2,"Good",IF(HR_Data[[#This Row],[WorkLifeBalance]]=3,"Better","Best")))</f>
        <v>Best</v>
      </c>
    </row>
    <row r="1040" spans="1:42"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IF(HR_Data[[#This Row],[Attrition]]="Yes",1,0)</f>
        <v>0</v>
      </c>
      <c r="AK1040">
        <f>IF(HR_Data[[#This Row],[Attrition]]="No",1,0)</f>
        <v>1</v>
      </c>
      <c r="AL1040" t="str">
        <f>IF(HR_Data[[#This Row],[Age]]&lt;25,"Under 25",IF(HR_Data[[#This Row],[Age]]&lt;=34,"25-34",IF(HR_Data[[#This Row],[Age]]&lt;=44,"35-44",IF(HR_Data[[#This Row],[Age]]&lt;=54,"45-54","55+"))))</f>
        <v>45-54</v>
      </c>
      <c r="AM1040" t="str">
        <f>IF(HR_Data[[#This Row],[MonthlyIncome]]&lt;3000,"Low Salary",IF(HR_Data[[#This Row],[MonthlyIncome]]&lt;=7000,"Medium Salary","High Salary"))</f>
        <v>Medium Salary</v>
      </c>
      <c r="AN1040" t="str">
        <f>IF(HR_Data[[#This Row],[YearsAtCompany]]&lt;2,"0-1 Years",IF(HR_Data[[#This Row],[YearsAtCompany]]&lt;=5,"2-5 Years",IF(HR_Data[[#This Row],[YearsAtCompany]]&lt;=10,"6-10 Years","10+ Years")))</f>
        <v>2-5 Years</v>
      </c>
      <c r="AO1040" t="str">
        <f>IF(HR_Data[[#This Row],[JobSatisfaction]]=1,"Low",IF(HR_Data[[#This Row],[JobSatisfaction]]=2,"Medium",IF(HR_Data[[#This Row],[JobSatisfaction]]=3,"High","Very High")))</f>
        <v>Low</v>
      </c>
      <c r="AP1040" t="str">
        <f>IF(HR_Data[[#This Row],[WorkLifeBalance]]=1,"Bad",IF(HR_Data[[#This Row],[WorkLifeBalance]]=2,"Good",IF(HR_Data[[#This Row],[WorkLifeBalance]]=3,"Better","Best")))</f>
        <v>Better</v>
      </c>
    </row>
    <row r="1041" spans="1:42"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IF(HR_Data[[#This Row],[Attrition]]="Yes",1,0)</f>
        <v>1</v>
      </c>
      <c r="AK1041">
        <f>IF(HR_Data[[#This Row],[Attrition]]="No",1,0)</f>
        <v>0</v>
      </c>
      <c r="AL1041" t="str">
        <f>IF(HR_Data[[#This Row],[Age]]&lt;25,"Under 25",IF(HR_Data[[#This Row],[Age]]&lt;=34,"25-34",IF(HR_Data[[#This Row],[Age]]&lt;=44,"35-44",IF(HR_Data[[#This Row],[Age]]&lt;=54,"45-54","55+"))))</f>
        <v>25-34</v>
      </c>
      <c r="AM1041" t="str">
        <f>IF(HR_Data[[#This Row],[MonthlyIncome]]&lt;3000,"Low Salary",IF(HR_Data[[#This Row],[MonthlyIncome]]&lt;=7000,"Medium Salary","High Salary"))</f>
        <v>Low Salary</v>
      </c>
      <c r="AN1041" t="str">
        <f>IF(HR_Data[[#This Row],[YearsAtCompany]]&lt;2,"0-1 Years",IF(HR_Data[[#This Row],[YearsAtCompany]]&lt;=5,"2-5 Years",IF(HR_Data[[#This Row],[YearsAtCompany]]&lt;=10,"6-10 Years","10+ Years")))</f>
        <v>2-5 Years</v>
      </c>
      <c r="AO1041" t="str">
        <f>IF(HR_Data[[#This Row],[JobSatisfaction]]=1,"Low",IF(HR_Data[[#This Row],[JobSatisfaction]]=2,"Medium",IF(HR_Data[[#This Row],[JobSatisfaction]]=3,"High","Very High")))</f>
        <v>High</v>
      </c>
      <c r="AP1041" t="str">
        <f>IF(HR_Data[[#This Row],[WorkLifeBalance]]=1,"Bad",IF(HR_Data[[#This Row],[WorkLifeBalance]]=2,"Good",IF(HR_Data[[#This Row],[WorkLifeBalance]]=3,"Better","Best")))</f>
        <v>Better</v>
      </c>
    </row>
    <row r="1042" spans="1:42"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IF(HR_Data[[#This Row],[Attrition]]="Yes",1,0)</f>
        <v>0</v>
      </c>
      <c r="AK1042">
        <f>IF(HR_Data[[#This Row],[Attrition]]="No",1,0)</f>
        <v>1</v>
      </c>
      <c r="AL1042" t="str">
        <f>IF(HR_Data[[#This Row],[Age]]&lt;25,"Under 25",IF(HR_Data[[#This Row],[Age]]&lt;=34,"25-34",IF(HR_Data[[#This Row],[Age]]&lt;=44,"35-44",IF(HR_Data[[#This Row],[Age]]&lt;=54,"45-54","55+"))))</f>
        <v>35-44</v>
      </c>
      <c r="AM1042" t="str">
        <f>IF(HR_Data[[#This Row],[MonthlyIncome]]&lt;3000,"Low Salary",IF(HR_Data[[#This Row],[MonthlyIncome]]&lt;=7000,"Medium Salary","High Salary"))</f>
        <v>High Salary</v>
      </c>
      <c r="AN1042" t="str">
        <f>IF(HR_Data[[#This Row],[YearsAtCompany]]&lt;2,"0-1 Years",IF(HR_Data[[#This Row],[YearsAtCompany]]&lt;=5,"2-5 Years",IF(HR_Data[[#This Row],[YearsAtCompany]]&lt;=10,"6-10 Years","10+ Years")))</f>
        <v>6-10 Years</v>
      </c>
      <c r="AO1042" t="str">
        <f>IF(HR_Data[[#This Row],[JobSatisfaction]]=1,"Low",IF(HR_Data[[#This Row],[JobSatisfaction]]=2,"Medium",IF(HR_Data[[#This Row],[JobSatisfaction]]=3,"High","Very High")))</f>
        <v>Medium</v>
      </c>
      <c r="AP1042" t="str">
        <f>IF(HR_Data[[#This Row],[WorkLifeBalance]]=1,"Bad",IF(HR_Data[[#This Row],[WorkLifeBalance]]=2,"Good",IF(HR_Data[[#This Row],[WorkLifeBalance]]=3,"Better","Best")))</f>
        <v>Better</v>
      </c>
    </row>
    <row r="1043" spans="1:42"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IF(HR_Data[[#This Row],[Attrition]]="Yes",1,0)</f>
        <v>0</v>
      </c>
      <c r="AK1043">
        <f>IF(HR_Data[[#This Row],[Attrition]]="No",1,0)</f>
        <v>1</v>
      </c>
      <c r="AL1043" t="str">
        <f>IF(HR_Data[[#This Row],[Age]]&lt;25,"Under 25",IF(HR_Data[[#This Row],[Age]]&lt;=34,"25-34",IF(HR_Data[[#This Row],[Age]]&lt;=44,"35-44",IF(HR_Data[[#This Row],[Age]]&lt;=54,"45-54","55+"))))</f>
        <v>25-34</v>
      </c>
      <c r="AM1043" t="str">
        <f>IF(HR_Data[[#This Row],[MonthlyIncome]]&lt;3000,"Low Salary",IF(HR_Data[[#This Row],[MonthlyIncome]]&lt;=7000,"Medium Salary","High Salary"))</f>
        <v>High Salary</v>
      </c>
      <c r="AN1043" t="str">
        <f>IF(HR_Data[[#This Row],[YearsAtCompany]]&lt;2,"0-1 Years",IF(HR_Data[[#This Row],[YearsAtCompany]]&lt;=5,"2-5 Years",IF(HR_Data[[#This Row],[YearsAtCompany]]&lt;=10,"6-10 Years","10+ Years")))</f>
        <v>2-5 Years</v>
      </c>
      <c r="AO1043" t="str">
        <f>IF(HR_Data[[#This Row],[JobSatisfaction]]=1,"Low",IF(HR_Data[[#This Row],[JobSatisfaction]]=2,"Medium",IF(HR_Data[[#This Row],[JobSatisfaction]]=3,"High","Very High")))</f>
        <v>Low</v>
      </c>
      <c r="AP1043" t="str">
        <f>IF(HR_Data[[#This Row],[WorkLifeBalance]]=1,"Bad",IF(HR_Data[[#This Row],[WorkLifeBalance]]=2,"Good",IF(HR_Data[[#This Row],[WorkLifeBalance]]=3,"Better","Best")))</f>
        <v>Better</v>
      </c>
    </row>
    <row r="1044" spans="1:42"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IF(HR_Data[[#This Row],[Attrition]]="Yes",1,0)</f>
        <v>0</v>
      </c>
      <c r="AK1044">
        <f>IF(HR_Data[[#This Row],[Attrition]]="No",1,0)</f>
        <v>1</v>
      </c>
      <c r="AL1044" t="str">
        <f>IF(HR_Data[[#This Row],[Age]]&lt;25,"Under 25",IF(HR_Data[[#This Row],[Age]]&lt;=34,"25-34",IF(HR_Data[[#This Row],[Age]]&lt;=44,"35-44",IF(HR_Data[[#This Row],[Age]]&lt;=54,"45-54","55+"))))</f>
        <v>35-44</v>
      </c>
      <c r="AM1044" t="str">
        <f>IF(HR_Data[[#This Row],[MonthlyIncome]]&lt;3000,"Low Salary",IF(HR_Data[[#This Row],[MonthlyIncome]]&lt;=7000,"Medium Salary","High Salary"))</f>
        <v>Medium Salary</v>
      </c>
      <c r="AN1044" t="str">
        <f>IF(HR_Data[[#This Row],[YearsAtCompany]]&lt;2,"0-1 Years",IF(HR_Data[[#This Row],[YearsAtCompany]]&lt;=5,"2-5 Years",IF(HR_Data[[#This Row],[YearsAtCompany]]&lt;=10,"6-10 Years","10+ Years")))</f>
        <v>2-5 Years</v>
      </c>
      <c r="AO1044" t="str">
        <f>IF(HR_Data[[#This Row],[JobSatisfaction]]=1,"Low",IF(HR_Data[[#This Row],[JobSatisfaction]]=2,"Medium",IF(HR_Data[[#This Row],[JobSatisfaction]]=3,"High","Very High")))</f>
        <v>High</v>
      </c>
      <c r="AP1044" t="str">
        <f>IF(HR_Data[[#This Row],[WorkLifeBalance]]=1,"Bad",IF(HR_Data[[#This Row],[WorkLifeBalance]]=2,"Good",IF(HR_Data[[#This Row],[WorkLifeBalance]]=3,"Better","Best")))</f>
        <v>Better</v>
      </c>
    </row>
    <row r="1045" spans="1:42"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IF(HR_Data[[#This Row],[Attrition]]="Yes",1,0)</f>
        <v>0</v>
      </c>
      <c r="AK1045">
        <f>IF(HR_Data[[#This Row],[Attrition]]="No",1,0)</f>
        <v>1</v>
      </c>
      <c r="AL1045" t="str">
        <f>IF(HR_Data[[#This Row],[Age]]&lt;25,"Under 25",IF(HR_Data[[#This Row],[Age]]&lt;=34,"25-34",IF(HR_Data[[#This Row],[Age]]&lt;=44,"35-44",IF(HR_Data[[#This Row],[Age]]&lt;=54,"45-54","55+"))))</f>
        <v>45-54</v>
      </c>
      <c r="AM1045" t="str">
        <f>IF(HR_Data[[#This Row],[MonthlyIncome]]&lt;3000,"Low Salary",IF(HR_Data[[#This Row],[MonthlyIncome]]&lt;=7000,"Medium Salary","High Salary"))</f>
        <v>High Salary</v>
      </c>
      <c r="AN1045" t="str">
        <f>IF(HR_Data[[#This Row],[YearsAtCompany]]&lt;2,"0-1 Years",IF(HR_Data[[#This Row],[YearsAtCompany]]&lt;=5,"2-5 Years",IF(HR_Data[[#This Row],[YearsAtCompany]]&lt;=10,"6-10 Years","10+ Years")))</f>
        <v>6-10 Years</v>
      </c>
      <c r="AO1045" t="str">
        <f>IF(HR_Data[[#This Row],[JobSatisfaction]]=1,"Low",IF(HR_Data[[#This Row],[JobSatisfaction]]=2,"Medium",IF(HR_Data[[#This Row],[JobSatisfaction]]=3,"High","Very High")))</f>
        <v>Medium</v>
      </c>
      <c r="AP1045" t="str">
        <f>IF(HR_Data[[#This Row],[WorkLifeBalance]]=1,"Bad",IF(HR_Data[[#This Row],[WorkLifeBalance]]=2,"Good",IF(HR_Data[[#This Row],[WorkLifeBalance]]=3,"Better","Best")))</f>
        <v>Good</v>
      </c>
    </row>
    <row r="1046" spans="1:42"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IF(HR_Data[[#This Row],[Attrition]]="Yes",1,0)</f>
        <v>0</v>
      </c>
      <c r="AK1046">
        <f>IF(HR_Data[[#This Row],[Attrition]]="No",1,0)</f>
        <v>1</v>
      </c>
      <c r="AL1046" t="str">
        <f>IF(HR_Data[[#This Row],[Age]]&lt;25,"Under 25",IF(HR_Data[[#This Row],[Age]]&lt;=34,"25-34",IF(HR_Data[[#This Row],[Age]]&lt;=44,"35-44",IF(HR_Data[[#This Row],[Age]]&lt;=54,"45-54","55+"))))</f>
        <v>45-54</v>
      </c>
      <c r="AM1046" t="str">
        <f>IF(HR_Data[[#This Row],[MonthlyIncome]]&lt;3000,"Low Salary",IF(HR_Data[[#This Row],[MonthlyIncome]]&lt;=7000,"Medium Salary","High Salary"))</f>
        <v>Medium Salary</v>
      </c>
      <c r="AN1046" t="str">
        <f>IF(HR_Data[[#This Row],[YearsAtCompany]]&lt;2,"0-1 Years",IF(HR_Data[[#This Row],[YearsAtCompany]]&lt;=5,"2-5 Years",IF(HR_Data[[#This Row],[YearsAtCompany]]&lt;=10,"6-10 Years","10+ Years")))</f>
        <v>2-5 Years</v>
      </c>
      <c r="AO1046" t="str">
        <f>IF(HR_Data[[#This Row],[JobSatisfaction]]=1,"Low",IF(HR_Data[[#This Row],[JobSatisfaction]]=2,"Medium",IF(HR_Data[[#This Row],[JobSatisfaction]]=3,"High","Very High")))</f>
        <v>High</v>
      </c>
      <c r="AP1046" t="str">
        <f>IF(HR_Data[[#This Row],[WorkLifeBalance]]=1,"Bad",IF(HR_Data[[#This Row],[WorkLifeBalance]]=2,"Good",IF(HR_Data[[#This Row],[WorkLifeBalance]]=3,"Better","Best")))</f>
        <v>Good</v>
      </c>
    </row>
    <row r="1047" spans="1:42"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IF(HR_Data[[#This Row],[Attrition]]="Yes",1,0)</f>
        <v>0</v>
      </c>
      <c r="AK1047">
        <f>IF(HR_Data[[#This Row],[Attrition]]="No",1,0)</f>
        <v>1</v>
      </c>
      <c r="AL1047" t="str">
        <f>IF(HR_Data[[#This Row],[Age]]&lt;25,"Under 25",IF(HR_Data[[#This Row],[Age]]&lt;=34,"25-34",IF(HR_Data[[#This Row],[Age]]&lt;=44,"35-44",IF(HR_Data[[#This Row],[Age]]&lt;=54,"45-54","55+"))))</f>
        <v>35-44</v>
      </c>
      <c r="AM1047" t="str">
        <f>IF(HR_Data[[#This Row],[MonthlyIncome]]&lt;3000,"Low Salary",IF(HR_Data[[#This Row],[MonthlyIncome]]&lt;=7000,"Medium Salary","High Salary"))</f>
        <v>Low Salary</v>
      </c>
      <c r="AN1047" t="str">
        <f>IF(HR_Data[[#This Row],[YearsAtCompany]]&lt;2,"0-1 Years",IF(HR_Data[[#This Row],[YearsAtCompany]]&lt;=5,"2-5 Years",IF(HR_Data[[#This Row],[YearsAtCompany]]&lt;=10,"6-10 Years","10+ Years")))</f>
        <v>2-5 Years</v>
      </c>
      <c r="AO1047" t="str">
        <f>IF(HR_Data[[#This Row],[JobSatisfaction]]=1,"Low",IF(HR_Data[[#This Row],[JobSatisfaction]]=2,"Medium",IF(HR_Data[[#This Row],[JobSatisfaction]]=3,"High","Very High")))</f>
        <v>High</v>
      </c>
      <c r="AP1047" t="str">
        <f>IF(HR_Data[[#This Row],[WorkLifeBalance]]=1,"Bad",IF(HR_Data[[#This Row],[WorkLifeBalance]]=2,"Good",IF(HR_Data[[#This Row],[WorkLifeBalance]]=3,"Better","Best")))</f>
        <v>Best</v>
      </c>
    </row>
    <row r="1048" spans="1:42"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IF(HR_Data[[#This Row],[Attrition]]="Yes",1,0)</f>
        <v>0</v>
      </c>
      <c r="AK1048">
        <f>IF(HR_Data[[#This Row],[Attrition]]="No",1,0)</f>
        <v>1</v>
      </c>
      <c r="AL1048" t="str">
        <f>IF(HR_Data[[#This Row],[Age]]&lt;25,"Under 25",IF(HR_Data[[#This Row],[Age]]&lt;=34,"25-34",IF(HR_Data[[#This Row],[Age]]&lt;=44,"35-44",IF(HR_Data[[#This Row],[Age]]&lt;=54,"45-54","55+"))))</f>
        <v>35-44</v>
      </c>
      <c r="AM1048" t="str">
        <f>IF(HR_Data[[#This Row],[MonthlyIncome]]&lt;3000,"Low Salary",IF(HR_Data[[#This Row],[MonthlyIncome]]&lt;=7000,"Medium Salary","High Salary"))</f>
        <v>Medium Salary</v>
      </c>
      <c r="AN1048" t="str">
        <f>IF(HR_Data[[#This Row],[YearsAtCompany]]&lt;2,"0-1 Years",IF(HR_Data[[#This Row],[YearsAtCompany]]&lt;=5,"2-5 Years",IF(HR_Data[[#This Row],[YearsAtCompany]]&lt;=10,"6-10 Years","10+ Years")))</f>
        <v>2-5 Years</v>
      </c>
      <c r="AO1048" t="str">
        <f>IF(HR_Data[[#This Row],[JobSatisfaction]]=1,"Low",IF(HR_Data[[#This Row],[JobSatisfaction]]=2,"Medium",IF(HR_Data[[#This Row],[JobSatisfaction]]=3,"High","Very High")))</f>
        <v>Medium</v>
      </c>
      <c r="AP1048" t="str">
        <f>IF(HR_Data[[#This Row],[WorkLifeBalance]]=1,"Bad",IF(HR_Data[[#This Row],[WorkLifeBalance]]=2,"Good",IF(HR_Data[[#This Row],[WorkLifeBalance]]=3,"Better","Best")))</f>
        <v>Good</v>
      </c>
    </row>
    <row r="1049" spans="1:42"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IF(HR_Data[[#This Row],[Attrition]]="Yes",1,0)</f>
        <v>0</v>
      </c>
      <c r="AK1049">
        <f>IF(HR_Data[[#This Row],[Attrition]]="No",1,0)</f>
        <v>1</v>
      </c>
      <c r="AL1049" t="str">
        <f>IF(HR_Data[[#This Row],[Age]]&lt;25,"Under 25",IF(HR_Data[[#This Row],[Age]]&lt;=34,"25-34",IF(HR_Data[[#This Row],[Age]]&lt;=44,"35-44",IF(HR_Data[[#This Row],[Age]]&lt;=54,"45-54","55+"))))</f>
        <v>25-34</v>
      </c>
      <c r="AM1049" t="str">
        <f>IF(HR_Data[[#This Row],[MonthlyIncome]]&lt;3000,"Low Salary",IF(HR_Data[[#This Row],[MonthlyIncome]]&lt;=7000,"Medium Salary","High Salary"))</f>
        <v>Medium Salary</v>
      </c>
      <c r="AN1049" t="str">
        <f>IF(HR_Data[[#This Row],[YearsAtCompany]]&lt;2,"0-1 Years",IF(HR_Data[[#This Row],[YearsAtCompany]]&lt;=5,"2-5 Years",IF(HR_Data[[#This Row],[YearsAtCompany]]&lt;=10,"6-10 Years","10+ Years")))</f>
        <v>2-5 Years</v>
      </c>
      <c r="AO1049" t="str">
        <f>IF(HR_Data[[#This Row],[JobSatisfaction]]=1,"Low",IF(HR_Data[[#This Row],[JobSatisfaction]]=2,"Medium",IF(HR_Data[[#This Row],[JobSatisfaction]]=3,"High","Very High")))</f>
        <v>Low</v>
      </c>
      <c r="AP1049" t="str">
        <f>IF(HR_Data[[#This Row],[WorkLifeBalance]]=1,"Bad",IF(HR_Data[[#This Row],[WorkLifeBalance]]=2,"Good",IF(HR_Data[[#This Row],[WorkLifeBalance]]=3,"Better","Best")))</f>
        <v>Better</v>
      </c>
    </row>
    <row r="1050" spans="1:42"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IF(HR_Data[[#This Row],[Attrition]]="Yes",1,0)</f>
        <v>0</v>
      </c>
      <c r="AK1050">
        <f>IF(HR_Data[[#This Row],[Attrition]]="No",1,0)</f>
        <v>1</v>
      </c>
      <c r="AL1050" t="str">
        <f>IF(HR_Data[[#This Row],[Age]]&lt;25,"Under 25",IF(HR_Data[[#This Row],[Age]]&lt;=34,"25-34",IF(HR_Data[[#This Row],[Age]]&lt;=44,"35-44",IF(HR_Data[[#This Row],[Age]]&lt;=54,"45-54","55+"))))</f>
        <v>25-34</v>
      </c>
      <c r="AM1050" t="str">
        <f>IF(HR_Data[[#This Row],[MonthlyIncome]]&lt;3000,"Low Salary",IF(HR_Data[[#This Row],[MonthlyIncome]]&lt;=7000,"Medium Salary","High Salary"))</f>
        <v>Medium Salary</v>
      </c>
      <c r="AN1050" t="str">
        <f>IF(HR_Data[[#This Row],[YearsAtCompany]]&lt;2,"0-1 Years",IF(HR_Data[[#This Row],[YearsAtCompany]]&lt;=5,"2-5 Years",IF(HR_Data[[#This Row],[YearsAtCompany]]&lt;=10,"6-10 Years","10+ Years")))</f>
        <v>10+ Years</v>
      </c>
      <c r="AO1050" t="str">
        <f>IF(HR_Data[[#This Row],[JobSatisfaction]]=1,"Low",IF(HR_Data[[#This Row],[JobSatisfaction]]=2,"Medium",IF(HR_Data[[#This Row],[JobSatisfaction]]=3,"High","Very High")))</f>
        <v>Low</v>
      </c>
      <c r="AP1050" t="str">
        <f>IF(HR_Data[[#This Row],[WorkLifeBalance]]=1,"Bad",IF(HR_Data[[#This Row],[WorkLifeBalance]]=2,"Good",IF(HR_Data[[#This Row],[WorkLifeBalance]]=3,"Better","Best")))</f>
        <v>Better</v>
      </c>
    </row>
    <row r="1051" spans="1:42"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IF(HR_Data[[#This Row],[Attrition]]="Yes",1,0)</f>
        <v>0</v>
      </c>
      <c r="AK1051">
        <f>IF(HR_Data[[#This Row],[Attrition]]="No",1,0)</f>
        <v>1</v>
      </c>
      <c r="AL1051" t="str">
        <f>IF(HR_Data[[#This Row],[Age]]&lt;25,"Under 25",IF(HR_Data[[#This Row],[Age]]&lt;=34,"25-34",IF(HR_Data[[#This Row],[Age]]&lt;=44,"35-44",IF(HR_Data[[#This Row],[Age]]&lt;=54,"45-54","55+"))))</f>
        <v>25-34</v>
      </c>
      <c r="AM1051" t="str">
        <f>IF(HR_Data[[#This Row],[MonthlyIncome]]&lt;3000,"Low Salary",IF(HR_Data[[#This Row],[MonthlyIncome]]&lt;=7000,"Medium Salary","High Salary"))</f>
        <v>Medium Salary</v>
      </c>
      <c r="AN1051" t="str">
        <f>IF(HR_Data[[#This Row],[YearsAtCompany]]&lt;2,"0-1 Years",IF(HR_Data[[#This Row],[YearsAtCompany]]&lt;=5,"2-5 Years",IF(HR_Data[[#This Row],[YearsAtCompany]]&lt;=10,"6-10 Years","10+ Years")))</f>
        <v>2-5 Years</v>
      </c>
      <c r="AO1051" t="str">
        <f>IF(HR_Data[[#This Row],[JobSatisfaction]]=1,"Low",IF(HR_Data[[#This Row],[JobSatisfaction]]=2,"Medium",IF(HR_Data[[#This Row],[JobSatisfaction]]=3,"High","Very High")))</f>
        <v>High</v>
      </c>
      <c r="AP1051" t="str">
        <f>IF(HR_Data[[#This Row],[WorkLifeBalance]]=1,"Bad",IF(HR_Data[[#This Row],[WorkLifeBalance]]=2,"Good",IF(HR_Data[[#This Row],[WorkLifeBalance]]=3,"Better","Best")))</f>
        <v>Good</v>
      </c>
    </row>
    <row r="1052" spans="1:42"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IF(HR_Data[[#This Row],[Attrition]]="Yes",1,0)</f>
        <v>0</v>
      </c>
      <c r="AK1052">
        <f>IF(HR_Data[[#This Row],[Attrition]]="No",1,0)</f>
        <v>1</v>
      </c>
      <c r="AL1052" t="str">
        <f>IF(HR_Data[[#This Row],[Age]]&lt;25,"Under 25",IF(HR_Data[[#This Row],[Age]]&lt;=34,"25-34",IF(HR_Data[[#This Row],[Age]]&lt;=44,"35-44",IF(HR_Data[[#This Row],[Age]]&lt;=54,"45-54","55+"))))</f>
        <v>35-44</v>
      </c>
      <c r="AM1052" t="str">
        <f>IF(HR_Data[[#This Row],[MonthlyIncome]]&lt;3000,"Low Salary",IF(HR_Data[[#This Row],[MonthlyIncome]]&lt;=7000,"Medium Salary","High Salary"))</f>
        <v>Medium Salary</v>
      </c>
      <c r="AN1052" t="str">
        <f>IF(HR_Data[[#This Row],[YearsAtCompany]]&lt;2,"0-1 Years",IF(HR_Data[[#This Row],[YearsAtCompany]]&lt;=5,"2-5 Years",IF(HR_Data[[#This Row],[YearsAtCompany]]&lt;=10,"6-10 Years","10+ Years")))</f>
        <v>10+ Years</v>
      </c>
      <c r="AO1052" t="str">
        <f>IF(HR_Data[[#This Row],[JobSatisfaction]]=1,"Low",IF(HR_Data[[#This Row],[JobSatisfaction]]=2,"Medium",IF(HR_Data[[#This Row],[JobSatisfaction]]=3,"High","Very High")))</f>
        <v>Very High</v>
      </c>
      <c r="AP1052" t="str">
        <f>IF(HR_Data[[#This Row],[WorkLifeBalance]]=1,"Bad",IF(HR_Data[[#This Row],[WorkLifeBalance]]=2,"Good",IF(HR_Data[[#This Row],[WorkLifeBalance]]=3,"Better","Best")))</f>
        <v>Better</v>
      </c>
    </row>
    <row r="1053" spans="1:42"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IF(HR_Data[[#This Row],[Attrition]]="Yes",1,0)</f>
        <v>0</v>
      </c>
      <c r="AK1053">
        <f>IF(HR_Data[[#This Row],[Attrition]]="No",1,0)</f>
        <v>1</v>
      </c>
      <c r="AL1053" t="str">
        <f>IF(HR_Data[[#This Row],[Age]]&lt;25,"Under 25",IF(HR_Data[[#This Row],[Age]]&lt;=34,"25-34",IF(HR_Data[[#This Row],[Age]]&lt;=44,"35-44",IF(HR_Data[[#This Row],[Age]]&lt;=54,"45-54","55+"))))</f>
        <v>35-44</v>
      </c>
      <c r="AM1053" t="str">
        <f>IF(HR_Data[[#This Row],[MonthlyIncome]]&lt;3000,"Low Salary",IF(HR_Data[[#This Row],[MonthlyIncome]]&lt;=7000,"Medium Salary","High Salary"))</f>
        <v>Medium Salary</v>
      </c>
      <c r="AN1053" t="str">
        <f>IF(HR_Data[[#This Row],[YearsAtCompany]]&lt;2,"0-1 Years",IF(HR_Data[[#This Row],[YearsAtCompany]]&lt;=5,"2-5 Years",IF(HR_Data[[#This Row],[YearsAtCompany]]&lt;=10,"6-10 Years","10+ Years")))</f>
        <v>0-1 Years</v>
      </c>
      <c r="AO1053" t="str">
        <f>IF(HR_Data[[#This Row],[JobSatisfaction]]=1,"Low",IF(HR_Data[[#This Row],[JobSatisfaction]]=2,"Medium",IF(HR_Data[[#This Row],[JobSatisfaction]]=3,"High","Very High")))</f>
        <v>High</v>
      </c>
      <c r="AP1053" t="str">
        <f>IF(HR_Data[[#This Row],[WorkLifeBalance]]=1,"Bad",IF(HR_Data[[#This Row],[WorkLifeBalance]]=2,"Good",IF(HR_Data[[#This Row],[WorkLifeBalance]]=3,"Better","Best")))</f>
        <v>Good</v>
      </c>
    </row>
    <row r="1054" spans="1:42"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IF(HR_Data[[#This Row],[Attrition]]="Yes",1,0)</f>
        <v>0</v>
      </c>
      <c r="AK1054">
        <f>IF(HR_Data[[#This Row],[Attrition]]="No",1,0)</f>
        <v>1</v>
      </c>
      <c r="AL1054" t="str">
        <f>IF(HR_Data[[#This Row],[Age]]&lt;25,"Under 25",IF(HR_Data[[#This Row],[Age]]&lt;=34,"25-34",IF(HR_Data[[#This Row],[Age]]&lt;=44,"35-44",IF(HR_Data[[#This Row],[Age]]&lt;=54,"45-54","55+"))))</f>
        <v>25-34</v>
      </c>
      <c r="AM1054" t="str">
        <f>IF(HR_Data[[#This Row],[MonthlyIncome]]&lt;3000,"Low Salary",IF(HR_Data[[#This Row],[MonthlyIncome]]&lt;=7000,"Medium Salary","High Salary"))</f>
        <v>Low Salary</v>
      </c>
      <c r="AN1054" t="str">
        <f>IF(HR_Data[[#This Row],[YearsAtCompany]]&lt;2,"0-1 Years",IF(HR_Data[[#This Row],[YearsAtCompany]]&lt;=5,"2-5 Years",IF(HR_Data[[#This Row],[YearsAtCompany]]&lt;=10,"6-10 Years","10+ Years")))</f>
        <v>0-1 Years</v>
      </c>
      <c r="AO1054" t="str">
        <f>IF(HR_Data[[#This Row],[JobSatisfaction]]=1,"Low",IF(HR_Data[[#This Row],[JobSatisfaction]]=2,"Medium",IF(HR_Data[[#This Row],[JobSatisfaction]]=3,"High","Very High")))</f>
        <v>High</v>
      </c>
      <c r="AP1054" t="str">
        <f>IF(HR_Data[[#This Row],[WorkLifeBalance]]=1,"Bad",IF(HR_Data[[#This Row],[WorkLifeBalance]]=2,"Good",IF(HR_Data[[#This Row],[WorkLifeBalance]]=3,"Better","Best")))</f>
        <v>Good</v>
      </c>
    </row>
    <row r="1055" spans="1:42"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IF(HR_Data[[#This Row],[Attrition]]="Yes",1,0)</f>
        <v>0</v>
      </c>
      <c r="AK1055">
        <f>IF(HR_Data[[#This Row],[Attrition]]="No",1,0)</f>
        <v>1</v>
      </c>
      <c r="AL1055" t="str">
        <f>IF(HR_Data[[#This Row],[Age]]&lt;25,"Under 25",IF(HR_Data[[#This Row],[Age]]&lt;=34,"25-34",IF(HR_Data[[#This Row],[Age]]&lt;=44,"35-44",IF(HR_Data[[#This Row],[Age]]&lt;=54,"45-54","55+"))))</f>
        <v>55+</v>
      </c>
      <c r="AM1055" t="str">
        <f>IF(HR_Data[[#This Row],[MonthlyIncome]]&lt;3000,"Low Salary",IF(HR_Data[[#This Row],[MonthlyIncome]]&lt;=7000,"Medium Salary","High Salary"))</f>
        <v>Medium Salary</v>
      </c>
      <c r="AN1055" t="str">
        <f>IF(HR_Data[[#This Row],[YearsAtCompany]]&lt;2,"0-1 Years",IF(HR_Data[[#This Row],[YearsAtCompany]]&lt;=5,"2-5 Years",IF(HR_Data[[#This Row],[YearsAtCompany]]&lt;=10,"6-10 Years","10+ Years")))</f>
        <v>10+ Years</v>
      </c>
      <c r="AO1055" t="str">
        <f>IF(HR_Data[[#This Row],[JobSatisfaction]]=1,"Low",IF(HR_Data[[#This Row],[JobSatisfaction]]=2,"Medium",IF(HR_Data[[#This Row],[JobSatisfaction]]=3,"High","Very High")))</f>
        <v>High</v>
      </c>
      <c r="AP1055" t="str">
        <f>IF(HR_Data[[#This Row],[WorkLifeBalance]]=1,"Bad",IF(HR_Data[[#This Row],[WorkLifeBalance]]=2,"Good",IF(HR_Data[[#This Row],[WorkLifeBalance]]=3,"Better","Best")))</f>
        <v>Good</v>
      </c>
    </row>
    <row r="1056" spans="1:42"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IF(HR_Data[[#This Row],[Attrition]]="Yes",1,0)</f>
        <v>0</v>
      </c>
      <c r="AK1056">
        <f>IF(HR_Data[[#This Row],[Attrition]]="No",1,0)</f>
        <v>1</v>
      </c>
      <c r="AL1056" t="str">
        <f>IF(HR_Data[[#This Row],[Age]]&lt;25,"Under 25",IF(HR_Data[[#This Row],[Age]]&lt;=34,"25-34",IF(HR_Data[[#This Row],[Age]]&lt;=44,"35-44",IF(HR_Data[[#This Row],[Age]]&lt;=54,"45-54","55+"))))</f>
        <v>45-54</v>
      </c>
      <c r="AM1056" t="str">
        <f>IF(HR_Data[[#This Row],[MonthlyIncome]]&lt;3000,"Low Salary",IF(HR_Data[[#This Row],[MonthlyIncome]]&lt;=7000,"Medium Salary","High Salary"))</f>
        <v>High Salary</v>
      </c>
      <c r="AN1056" t="str">
        <f>IF(HR_Data[[#This Row],[YearsAtCompany]]&lt;2,"0-1 Years",IF(HR_Data[[#This Row],[YearsAtCompany]]&lt;=5,"2-5 Years",IF(HR_Data[[#This Row],[YearsAtCompany]]&lt;=10,"6-10 Years","10+ Years")))</f>
        <v>6-10 Years</v>
      </c>
      <c r="AO1056" t="str">
        <f>IF(HR_Data[[#This Row],[JobSatisfaction]]=1,"Low",IF(HR_Data[[#This Row],[JobSatisfaction]]=2,"Medium",IF(HR_Data[[#This Row],[JobSatisfaction]]=3,"High","Very High")))</f>
        <v>Medium</v>
      </c>
      <c r="AP1056" t="str">
        <f>IF(HR_Data[[#This Row],[WorkLifeBalance]]=1,"Bad",IF(HR_Data[[#This Row],[WorkLifeBalance]]=2,"Good",IF(HR_Data[[#This Row],[WorkLifeBalance]]=3,"Better","Best")))</f>
        <v>Better</v>
      </c>
    </row>
    <row r="1057" spans="1:42"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IF(HR_Data[[#This Row],[Attrition]]="Yes",1,0)</f>
        <v>0</v>
      </c>
      <c r="AK1057">
        <f>IF(HR_Data[[#This Row],[Attrition]]="No",1,0)</f>
        <v>1</v>
      </c>
      <c r="AL1057" t="str">
        <f>IF(HR_Data[[#This Row],[Age]]&lt;25,"Under 25",IF(HR_Data[[#This Row],[Age]]&lt;=34,"25-34",IF(HR_Data[[#This Row],[Age]]&lt;=44,"35-44",IF(HR_Data[[#This Row],[Age]]&lt;=54,"45-54","55+"))))</f>
        <v>25-34</v>
      </c>
      <c r="AM1057" t="str">
        <f>IF(HR_Data[[#This Row],[MonthlyIncome]]&lt;3000,"Low Salary",IF(HR_Data[[#This Row],[MonthlyIncome]]&lt;=7000,"Medium Salary","High Salary"))</f>
        <v>High Salary</v>
      </c>
      <c r="AN1057" t="str">
        <f>IF(HR_Data[[#This Row],[YearsAtCompany]]&lt;2,"0-1 Years",IF(HR_Data[[#This Row],[YearsAtCompany]]&lt;=5,"2-5 Years",IF(HR_Data[[#This Row],[YearsAtCompany]]&lt;=10,"6-10 Years","10+ Years")))</f>
        <v>10+ Years</v>
      </c>
      <c r="AO1057" t="str">
        <f>IF(HR_Data[[#This Row],[JobSatisfaction]]=1,"Low",IF(HR_Data[[#This Row],[JobSatisfaction]]=2,"Medium",IF(HR_Data[[#This Row],[JobSatisfaction]]=3,"High","Very High")))</f>
        <v>Low</v>
      </c>
      <c r="AP1057" t="str">
        <f>IF(HR_Data[[#This Row],[WorkLifeBalance]]=1,"Bad",IF(HR_Data[[#This Row],[WorkLifeBalance]]=2,"Good",IF(HR_Data[[#This Row],[WorkLifeBalance]]=3,"Better","Best")))</f>
        <v>Good</v>
      </c>
    </row>
    <row r="1058" spans="1:42"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IF(HR_Data[[#This Row],[Attrition]]="Yes",1,0)</f>
        <v>1</v>
      </c>
      <c r="AK1058">
        <f>IF(HR_Data[[#This Row],[Attrition]]="No",1,0)</f>
        <v>0</v>
      </c>
      <c r="AL1058" t="str">
        <f>IF(HR_Data[[#This Row],[Age]]&lt;25,"Under 25",IF(HR_Data[[#This Row],[Age]]&lt;=34,"25-34",IF(HR_Data[[#This Row],[Age]]&lt;=44,"35-44",IF(HR_Data[[#This Row],[Age]]&lt;=54,"45-54","55+"))))</f>
        <v>25-34</v>
      </c>
      <c r="AM1058" t="str">
        <f>IF(HR_Data[[#This Row],[MonthlyIncome]]&lt;3000,"Low Salary",IF(HR_Data[[#This Row],[MonthlyIncome]]&lt;=7000,"Medium Salary","High Salary"))</f>
        <v>Low Salary</v>
      </c>
      <c r="AN1058" t="str">
        <f>IF(HR_Data[[#This Row],[YearsAtCompany]]&lt;2,"0-1 Years",IF(HR_Data[[#This Row],[YearsAtCompany]]&lt;=5,"2-5 Years",IF(HR_Data[[#This Row],[YearsAtCompany]]&lt;=10,"6-10 Years","10+ Years")))</f>
        <v>2-5 Years</v>
      </c>
      <c r="AO1058" t="str">
        <f>IF(HR_Data[[#This Row],[JobSatisfaction]]=1,"Low",IF(HR_Data[[#This Row],[JobSatisfaction]]=2,"Medium",IF(HR_Data[[#This Row],[JobSatisfaction]]=3,"High","Very High")))</f>
        <v>High</v>
      </c>
      <c r="AP1058" t="str">
        <f>IF(HR_Data[[#This Row],[WorkLifeBalance]]=1,"Bad",IF(HR_Data[[#This Row],[WorkLifeBalance]]=2,"Good",IF(HR_Data[[#This Row],[WorkLifeBalance]]=3,"Better","Best")))</f>
        <v>Best</v>
      </c>
    </row>
    <row r="1059" spans="1:42"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IF(HR_Data[[#This Row],[Attrition]]="Yes",1,0)</f>
        <v>1</v>
      </c>
      <c r="AK1059">
        <f>IF(HR_Data[[#This Row],[Attrition]]="No",1,0)</f>
        <v>0</v>
      </c>
      <c r="AL1059" t="str">
        <f>IF(HR_Data[[#This Row],[Age]]&lt;25,"Under 25",IF(HR_Data[[#This Row],[Age]]&lt;=34,"25-34",IF(HR_Data[[#This Row],[Age]]&lt;=44,"35-44",IF(HR_Data[[#This Row],[Age]]&lt;=54,"45-54","55+"))))</f>
        <v>25-34</v>
      </c>
      <c r="AM1059" t="str">
        <f>IF(HR_Data[[#This Row],[MonthlyIncome]]&lt;3000,"Low Salary",IF(HR_Data[[#This Row],[MonthlyIncome]]&lt;=7000,"Medium Salary","High Salary"))</f>
        <v>Medium Salary</v>
      </c>
      <c r="AN1059" t="str">
        <f>IF(HR_Data[[#This Row],[YearsAtCompany]]&lt;2,"0-1 Years",IF(HR_Data[[#This Row],[YearsAtCompany]]&lt;=5,"2-5 Years",IF(HR_Data[[#This Row],[YearsAtCompany]]&lt;=10,"6-10 Years","10+ Years")))</f>
        <v>2-5 Years</v>
      </c>
      <c r="AO1059" t="str">
        <f>IF(HR_Data[[#This Row],[JobSatisfaction]]=1,"Low",IF(HR_Data[[#This Row],[JobSatisfaction]]=2,"Medium",IF(HR_Data[[#This Row],[JobSatisfaction]]=3,"High","Very High")))</f>
        <v>Medium</v>
      </c>
      <c r="AP1059" t="str">
        <f>IF(HR_Data[[#This Row],[WorkLifeBalance]]=1,"Bad",IF(HR_Data[[#This Row],[WorkLifeBalance]]=2,"Good",IF(HR_Data[[#This Row],[WorkLifeBalance]]=3,"Better","Best")))</f>
        <v>Bad</v>
      </c>
    </row>
    <row r="1060" spans="1:42"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IF(HR_Data[[#This Row],[Attrition]]="Yes",1,0)</f>
        <v>1</v>
      </c>
      <c r="AK1060">
        <f>IF(HR_Data[[#This Row],[Attrition]]="No",1,0)</f>
        <v>0</v>
      </c>
      <c r="AL1060" t="str">
        <f>IF(HR_Data[[#This Row],[Age]]&lt;25,"Under 25",IF(HR_Data[[#This Row],[Age]]&lt;=34,"25-34",IF(HR_Data[[#This Row],[Age]]&lt;=44,"35-44",IF(HR_Data[[#This Row],[Age]]&lt;=54,"45-54","55+"))))</f>
        <v>25-34</v>
      </c>
      <c r="AM1060" t="str">
        <f>IF(HR_Data[[#This Row],[MonthlyIncome]]&lt;3000,"Low Salary",IF(HR_Data[[#This Row],[MonthlyIncome]]&lt;=7000,"Medium Salary","High Salary"))</f>
        <v>Medium Salary</v>
      </c>
      <c r="AN1060" t="str">
        <f>IF(HR_Data[[#This Row],[YearsAtCompany]]&lt;2,"0-1 Years",IF(HR_Data[[#This Row],[YearsAtCompany]]&lt;=5,"2-5 Years",IF(HR_Data[[#This Row],[YearsAtCompany]]&lt;=10,"6-10 Years","10+ Years")))</f>
        <v>10+ Years</v>
      </c>
      <c r="AO1060" t="str">
        <f>IF(HR_Data[[#This Row],[JobSatisfaction]]=1,"Low",IF(HR_Data[[#This Row],[JobSatisfaction]]=2,"Medium",IF(HR_Data[[#This Row],[JobSatisfaction]]=3,"High","Very High")))</f>
        <v>Medium</v>
      </c>
      <c r="AP1060" t="str">
        <f>IF(HR_Data[[#This Row],[WorkLifeBalance]]=1,"Bad",IF(HR_Data[[#This Row],[WorkLifeBalance]]=2,"Good",IF(HR_Data[[#This Row],[WorkLifeBalance]]=3,"Better","Best")))</f>
        <v>Best</v>
      </c>
    </row>
    <row r="1061" spans="1:42"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IF(HR_Data[[#This Row],[Attrition]]="Yes",1,0)</f>
        <v>0</v>
      </c>
      <c r="AK1061">
        <f>IF(HR_Data[[#This Row],[Attrition]]="No",1,0)</f>
        <v>1</v>
      </c>
      <c r="AL1061" t="str">
        <f>IF(HR_Data[[#This Row],[Age]]&lt;25,"Under 25",IF(HR_Data[[#This Row],[Age]]&lt;=34,"25-34",IF(HR_Data[[#This Row],[Age]]&lt;=44,"35-44",IF(HR_Data[[#This Row],[Age]]&lt;=54,"45-54","55+"))))</f>
        <v>35-44</v>
      </c>
      <c r="AM1061" t="str">
        <f>IF(HR_Data[[#This Row],[MonthlyIncome]]&lt;3000,"Low Salary",IF(HR_Data[[#This Row],[MonthlyIncome]]&lt;=7000,"Medium Salary","High Salary"))</f>
        <v>Low Salary</v>
      </c>
      <c r="AN1061" t="str">
        <f>IF(HR_Data[[#This Row],[YearsAtCompany]]&lt;2,"0-1 Years",IF(HR_Data[[#This Row],[YearsAtCompany]]&lt;=5,"2-5 Years",IF(HR_Data[[#This Row],[YearsAtCompany]]&lt;=10,"6-10 Years","10+ Years")))</f>
        <v>0-1 Years</v>
      </c>
      <c r="AO1061" t="str">
        <f>IF(HR_Data[[#This Row],[JobSatisfaction]]=1,"Low",IF(HR_Data[[#This Row],[JobSatisfaction]]=2,"Medium",IF(HR_Data[[#This Row],[JobSatisfaction]]=3,"High","Very High")))</f>
        <v>High</v>
      </c>
      <c r="AP1061" t="str">
        <f>IF(HR_Data[[#This Row],[WorkLifeBalance]]=1,"Bad",IF(HR_Data[[#This Row],[WorkLifeBalance]]=2,"Good",IF(HR_Data[[#This Row],[WorkLifeBalance]]=3,"Better","Best")))</f>
        <v>Better</v>
      </c>
    </row>
    <row r="1062" spans="1:42"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IF(HR_Data[[#This Row],[Attrition]]="Yes",1,0)</f>
        <v>1</v>
      </c>
      <c r="AK1062">
        <f>IF(HR_Data[[#This Row],[Attrition]]="No",1,0)</f>
        <v>0</v>
      </c>
      <c r="AL1062" t="str">
        <f>IF(HR_Data[[#This Row],[Age]]&lt;25,"Under 25",IF(HR_Data[[#This Row],[Age]]&lt;=34,"25-34",IF(HR_Data[[#This Row],[Age]]&lt;=44,"35-44",IF(HR_Data[[#This Row],[Age]]&lt;=54,"45-54","55+"))))</f>
        <v>Under 25</v>
      </c>
      <c r="AM1062" t="str">
        <f>IF(HR_Data[[#This Row],[MonthlyIncome]]&lt;3000,"Low Salary",IF(HR_Data[[#This Row],[MonthlyIncome]]&lt;=7000,"Medium Salary","High Salary"))</f>
        <v>Medium Salary</v>
      </c>
      <c r="AN1062" t="str">
        <f>IF(HR_Data[[#This Row],[YearsAtCompany]]&lt;2,"0-1 Years",IF(HR_Data[[#This Row],[YearsAtCompany]]&lt;=5,"2-5 Years",IF(HR_Data[[#This Row],[YearsAtCompany]]&lt;=10,"6-10 Years","10+ Years")))</f>
        <v>0-1 Years</v>
      </c>
      <c r="AO1062" t="str">
        <f>IF(HR_Data[[#This Row],[JobSatisfaction]]=1,"Low",IF(HR_Data[[#This Row],[JobSatisfaction]]=2,"Medium",IF(HR_Data[[#This Row],[JobSatisfaction]]=3,"High","Very High")))</f>
        <v>Low</v>
      </c>
      <c r="AP1062" t="str">
        <f>IF(HR_Data[[#This Row],[WorkLifeBalance]]=1,"Bad",IF(HR_Data[[#This Row],[WorkLifeBalance]]=2,"Good",IF(HR_Data[[#This Row],[WorkLifeBalance]]=3,"Better","Best")))</f>
        <v>Good</v>
      </c>
    </row>
    <row r="1063" spans="1:42"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IF(HR_Data[[#This Row],[Attrition]]="Yes",1,0)</f>
        <v>0</v>
      </c>
      <c r="AK1063">
        <f>IF(HR_Data[[#This Row],[Attrition]]="No",1,0)</f>
        <v>1</v>
      </c>
      <c r="AL1063" t="str">
        <f>IF(HR_Data[[#This Row],[Age]]&lt;25,"Under 25",IF(HR_Data[[#This Row],[Age]]&lt;=34,"25-34",IF(HR_Data[[#This Row],[Age]]&lt;=44,"35-44",IF(HR_Data[[#This Row],[Age]]&lt;=54,"45-54","55+"))))</f>
        <v>Under 25</v>
      </c>
      <c r="AM1063" t="str">
        <f>IF(HR_Data[[#This Row],[MonthlyIncome]]&lt;3000,"Low Salary",IF(HR_Data[[#This Row],[MonthlyIncome]]&lt;=7000,"Medium Salary","High Salary"))</f>
        <v>Low Salary</v>
      </c>
      <c r="AN1063" t="str">
        <f>IF(HR_Data[[#This Row],[YearsAtCompany]]&lt;2,"0-1 Years",IF(HR_Data[[#This Row],[YearsAtCompany]]&lt;=5,"2-5 Years",IF(HR_Data[[#This Row],[YearsAtCompany]]&lt;=10,"6-10 Years","10+ Years")))</f>
        <v>0-1 Years</v>
      </c>
      <c r="AO1063" t="str">
        <f>IF(HR_Data[[#This Row],[JobSatisfaction]]=1,"Low",IF(HR_Data[[#This Row],[JobSatisfaction]]=2,"Medium",IF(HR_Data[[#This Row],[JobSatisfaction]]=3,"High","Very High")))</f>
        <v>Medium</v>
      </c>
      <c r="AP1063" t="str">
        <f>IF(HR_Data[[#This Row],[WorkLifeBalance]]=1,"Bad",IF(HR_Data[[#This Row],[WorkLifeBalance]]=2,"Good",IF(HR_Data[[#This Row],[WorkLifeBalance]]=3,"Better","Best")))</f>
        <v>Better</v>
      </c>
    </row>
    <row r="1064" spans="1:42"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IF(HR_Data[[#This Row],[Attrition]]="Yes",1,0)</f>
        <v>0</v>
      </c>
      <c r="AK1064">
        <f>IF(HR_Data[[#This Row],[Attrition]]="No",1,0)</f>
        <v>1</v>
      </c>
      <c r="AL1064" t="str">
        <f>IF(HR_Data[[#This Row],[Age]]&lt;25,"Under 25",IF(HR_Data[[#This Row],[Age]]&lt;=34,"25-34",IF(HR_Data[[#This Row],[Age]]&lt;=44,"35-44",IF(HR_Data[[#This Row],[Age]]&lt;=54,"45-54","55+"))))</f>
        <v>35-44</v>
      </c>
      <c r="AM1064" t="str">
        <f>IF(HR_Data[[#This Row],[MonthlyIncome]]&lt;3000,"Low Salary",IF(HR_Data[[#This Row],[MonthlyIncome]]&lt;=7000,"Medium Salary","High Salary"))</f>
        <v>High Salary</v>
      </c>
      <c r="AN1064" t="str">
        <f>IF(HR_Data[[#This Row],[YearsAtCompany]]&lt;2,"0-1 Years",IF(HR_Data[[#This Row],[YearsAtCompany]]&lt;=5,"2-5 Years",IF(HR_Data[[#This Row],[YearsAtCompany]]&lt;=10,"6-10 Years","10+ Years")))</f>
        <v>2-5 Years</v>
      </c>
      <c r="AO1064" t="str">
        <f>IF(HR_Data[[#This Row],[JobSatisfaction]]=1,"Low",IF(HR_Data[[#This Row],[JobSatisfaction]]=2,"Medium",IF(HR_Data[[#This Row],[JobSatisfaction]]=3,"High","Very High")))</f>
        <v>High</v>
      </c>
      <c r="AP1064" t="str">
        <f>IF(HR_Data[[#This Row],[WorkLifeBalance]]=1,"Bad",IF(HR_Data[[#This Row],[WorkLifeBalance]]=2,"Good",IF(HR_Data[[#This Row],[WorkLifeBalance]]=3,"Better","Best")))</f>
        <v>Good</v>
      </c>
    </row>
    <row r="1065" spans="1:42"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IF(HR_Data[[#This Row],[Attrition]]="Yes",1,0)</f>
        <v>0</v>
      </c>
      <c r="AK1065">
        <f>IF(HR_Data[[#This Row],[Attrition]]="No",1,0)</f>
        <v>1</v>
      </c>
      <c r="AL1065" t="str">
        <f>IF(HR_Data[[#This Row],[Age]]&lt;25,"Under 25",IF(HR_Data[[#This Row],[Age]]&lt;=34,"25-34",IF(HR_Data[[#This Row],[Age]]&lt;=44,"35-44",IF(HR_Data[[#This Row],[Age]]&lt;=54,"45-54","55+"))))</f>
        <v>25-34</v>
      </c>
      <c r="AM1065" t="str">
        <f>IF(HR_Data[[#This Row],[MonthlyIncome]]&lt;3000,"Low Salary",IF(HR_Data[[#This Row],[MonthlyIncome]]&lt;=7000,"Medium Salary","High Salary"))</f>
        <v>High Salary</v>
      </c>
      <c r="AN1065" t="str">
        <f>IF(HR_Data[[#This Row],[YearsAtCompany]]&lt;2,"0-1 Years",IF(HR_Data[[#This Row],[YearsAtCompany]]&lt;=5,"2-5 Years",IF(HR_Data[[#This Row],[YearsAtCompany]]&lt;=10,"6-10 Years","10+ Years")))</f>
        <v>6-10 Years</v>
      </c>
      <c r="AO1065" t="str">
        <f>IF(HR_Data[[#This Row],[JobSatisfaction]]=1,"Low",IF(HR_Data[[#This Row],[JobSatisfaction]]=2,"Medium",IF(HR_Data[[#This Row],[JobSatisfaction]]=3,"High","Very High")))</f>
        <v>High</v>
      </c>
      <c r="AP1065" t="str">
        <f>IF(HR_Data[[#This Row],[WorkLifeBalance]]=1,"Bad",IF(HR_Data[[#This Row],[WorkLifeBalance]]=2,"Good",IF(HR_Data[[#This Row],[WorkLifeBalance]]=3,"Better","Best")))</f>
        <v>Better</v>
      </c>
    </row>
    <row r="1066" spans="1:42"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IF(HR_Data[[#This Row],[Attrition]]="Yes",1,0)</f>
        <v>0</v>
      </c>
      <c r="AK1066">
        <f>IF(HR_Data[[#This Row],[Attrition]]="No",1,0)</f>
        <v>1</v>
      </c>
      <c r="AL1066" t="str">
        <f>IF(HR_Data[[#This Row],[Age]]&lt;25,"Under 25",IF(HR_Data[[#This Row],[Age]]&lt;=34,"25-34",IF(HR_Data[[#This Row],[Age]]&lt;=44,"35-44",IF(HR_Data[[#This Row],[Age]]&lt;=54,"45-54","55+"))))</f>
        <v>25-34</v>
      </c>
      <c r="AM1066" t="str">
        <f>IF(HR_Data[[#This Row],[MonthlyIncome]]&lt;3000,"Low Salary",IF(HR_Data[[#This Row],[MonthlyIncome]]&lt;=7000,"Medium Salary","High Salary"))</f>
        <v>Low Salary</v>
      </c>
      <c r="AN1066" t="str">
        <f>IF(HR_Data[[#This Row],[YearsAtCompany]]&lt;2,"0-1 Years",IF(HR_Data[[#This Row],[YearsAtCompany]]&lt;=5,"2-5 Years",IF(HR_Data[[#This Row],[YearsAtCompany]]&lt;=10,"6-10 Years","10+ Years")))</f>
        <v>2-5 Years</v>
      </c>
      <c r="AO1066" t="str">
        <f>IF(HR_Data[[#This Row],[JobSatisfaction]]=1,"Low",IF(HR_Data[[#This Row],[JobSatisfaction]]=2,"Medium",IF(HR_Data[[#This Row],[JobSatisfaction]]=3,"High","Very High")))</f>
        <v>High</v>
      </c>
      <c r="AP1066" t="str">
        <f>IF(HR_Data[[#This Row],[WorkLifeBalance]]=1,"Bad",IF(HR_Data[[#This Row],[WorkLifeBalance]]=2,"Good",IF(HR_Data[[#This Row],[WorkLifeBalance]]=3,"Better","Best")))</f>
        <v>Best</v>
      </c>
    </row>
    <row r="1067" spans="1:42"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IF(HR_Data[[#This Row],[Attrition]]="Yes",1,0)</f>
        <v>0</v>
      </c>
      <c r="AK1067">
        <f>IF(HR_Data[[#This Row],[Attrition]]="No",1,0)</f>
        <v>1</v>
      </c>
      <c r="AL1067" t="str">
        <f>IF(HR_Data[[#This Row],[Age]]&lt;25,"Under 25",IF(HR_Data[[#This Row],[Age]]&lt;=34,"25-34",IF(HR_Data[[#This Row],[Age]]&lt;=44,"35-44",IF(HR_Data[[#This Row],[Age]]&lt;=54,"45-54","55+"))))</f>
        <v>55+</v>
      </c>
      <c r="AM1067" t="str">
        <f>IF(HR_Data[[#This Row],[MonthlyIncome]]&lt;3000,"Low Salary",IF(HR_Data[[#This Row],[MonthlyIncome]]&lt;=7000,"Medium Salary","High Salary"))</f>
        <v>Medium Salary</v>
      </c>
      <c r="AN1067" t="str">
        <f>IF(HR_Data[[#This Row],[YearsAtCompany]]&lt;2,"0-1 Years",IF(HR_Data[[#This Row],[YearsAtCompany]]&lt;=5,"2-5 Years",IF(HR_Data[[#This Row],[YearsAtCompany]]&lt;=10,"6-10 Years","10+ Years")))</f>
        <v>2-5 Years</v>
      </c>
      <c r="AO1067" t="str">
        <f>IF(HR_Data[[#This Row],[JobSatisfaction]]=1,"Low",IF(HR_Data[[#This Row],[JobSatisfaction]]=2,"Medium",IF(HR_Data[[#This Row],[JobSatisfaction]]=3,"High","Very High")))</f>
        <v>High</v>
      </c>
      <c r="AP1067" t="str">
        <f>IF(HR_Data[[#This Row],[WorkLifeBalance]]=1,"Bad",IF(HR_Data[[#This Row],[WorkLifeBalance]]=2,"Good",IF(HR_Data[[#This Row],[WorkLifeBalance]]=3,"Better","Best")))</f>
        <v>Better</v>
      </c>
    </row>
    <row r="1068" spans="1:42"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IF(HR_Data[[#This Row],[Attrition]]="Yes",1,0)</f>
        <v>0</v>
      </c>
      <c r="AK1068">
        <f>IF(HR_Data[[#This Row],[Attrition]]="No",1,0)</f>
        <v>1</v>
      </c>
      <c r="AL1068" t="str">
        <f>IF(HR_Data[[#This Row],[Age]]&lt;25,"Under 25",IF(HR_Data[[#This Row],[Age]]&lt;=34,"25-34",IF(HR_Data[[#This Row],[Age]]&lt;=44,"35-44",IF(HR_Data[[#This Row],[Age]]&lt;=54,"45-54","55+"))))</f>
        <v>25-34</v>
      </c>
      <c r="AM1068" t="str">
        <f>IF(HR_Data[[#This Row],[MonthlyIncome]]&lt;3000,"Low Salary",IF(HR_Data[[#This Row],[MonthlyIncome]]&lt;=7000,"Medium Salary","High Salary"))</f>
        <v>Medium Salary</v>
      </c>
      <c r="AN1068" t="str">
        <f>IF(HR_Data[[#This Row],[YearsAtCompany]]&lt;2,"0-1 Years",IF(HR_Data[[#This Row],[YearsAtCompany]]&lt;=5,"2-5 Years",IF(HR_Data[[#This Row],[YearsAtCompany]]&lt;=10,"6-10 Years","10+ Years")))</f>
        <v>2-5 Years</v>
      </c>
      <c r="AO1068" t="str">
        <f>IF(HR_Data[[#This Row],[JobSatisfaction]]=1,"Low",IF(HR_Data[[#This Row],[JobSatisfaction]]=2,"Medium",IF(HR_Data[[#This Row],[JobSatisfaction]]=3,"High","Very High")))</f>
        <v>Medium</v>
      </c>
      <c r="AP1068" t="str">
        <f>IF(HR_Data[[#This Row],[WorkLifeBalance]]=1,"Bad",IF(HR_Data[[#This Row],[WorkLifeBalance]]=2,"Good",IF(HR_Data[[#This Row],[WorkLifeBalance]]=3,"Better","Best")))</f>
        <v>Better</v>
      </c>
    </row>
    <row r="1069" spans="1:42"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IF(HR_Data[[#This Row],[Attrition]]="Yes",1,0)</f>
        <v>0</v>
      </c>
      <c r="AK1069">
        <f>IF(HR_Data[[#This Row],[Attrition]]="No",1,0)</f>
        <v>1</v>
      </c>
      <c r="AL1069" t="str">
        <f>IF(HR_Data[[#This Row],[Age]]&lt;25,"Under 25",IF(HR_Data[[#This Row],[Age]]&lt;=34,"25-34",IF(HR_Data[[#This Row],[Age]]&lt;=44,"35-44",IF(HR_Data[[#This Row],[Age]]&lt;=54,"45-54","55+"))))</f>
        <v>45-54</v>
      </c>
      <c r="AM1069" t="str">
        <f>IF(HR_Data[[#This Row],[MonthlyIncome]]&lt;3000,"Low Salary",IF(HR_Data[[#This Row],[MonthlyIncome]]&lt;=7000,"Medium Salary","High Salary"))</f>
        <v>Medium Salary</v>
      </c>
      <c r="AN1069" t="str">
        <f>IF(HR_Data[[#This Row],[YearsAtCompany]]&lt;2,"0-1 Years",IF(HR_Data[[#This Row],[YearsAtCompany]]&lt;=5,"2-5 Years",IF(HR_Data[[#This Row],[YearsAtCompany]]&lt;=10,"6-10 Years","10+ Years")))</f>
        <v>2-5 Years</v>
      </c>
      <c r="AO1069" t="str">
        <f>IF(HR_Data[[#This Row],[JobSatisfaction]]=1,"Low",IF(HR_Data[[#This Row],[JobSatisfaction]]=2,"Medium",IF(HR_Data[[#This Row],[JobSatisfaction]]=3,"High","Very High")))</f>
        <v>High</v>
      </c>
      <c r="AP1069" t="str">
        <f>IF(HR_Data[[#This Row],[WorkLifeBalance]]=1,"Bad",IF(HR_Data[[#This Row],[WorkLifeBalance]]=2,"Good",IF(HR_Data[[#This Row],[WorkLifeBalance]]=3,"Better","Best")))</f>
        <v>Good</v>
      </c>
    </row>
    <row r="1070" spans="1:42"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IF(HR_Data[[#This Row],[Attrition]]="Yes",1,0)</f>
        <v>1</v>
      </c>
      <c r="AK1070">
        <f>IF(HR_Data[[#This Row],[Attrition]]="No",1,0)</f>
        <v>0</v>
      </c>
      <c r="AL1070" t="str">
        <f>IF(HR_Data[[#This Row],[Age]]&lt;25,"Under 25",IF(HR_Data[[#This Row],[Age]]&lt;=34,"25-34",IF(HR_Data[[#This Row],[Age]]&lt;=44,"35-44",IF(HR_Data[[#This Row],[Age]]&lt;=54,"45-54","55+"))))</f>
        <v>25-34</v>
      </c>
      <c r="AM1070" t="str">
        <f>IF(HR_Data[[#This Row],[MonthlyIncome]]&lt;3000,"Low Salary",IF(HR_Data[[#This Row],[MonthlyIncome]]&lt;=7000,"Medium Salary","High Salary"))</f>
        <v>Low Salary</v>
      </c>
      <c r="AN1070" t="str">
        <f>IF(HR_Data[[#This Row],[YearsAtCompany]]&lt;2,"0-1 Years",IF(HR_Data[[#This Row],[YearsAtCompany]]&lt;=5,"2-5 Years",IF(HR_Data[[#This Row],[YearsAtCompany]]&lt;=10,"6-10 Years","10+ Years")))</f>
        <v>0-1 Years</v>
      </c>
      <c r="AO1070" t="str">
        <f>IF(HR_Data[[#This Row],[JobSatisfaction]]=1,"Low",IF(HR_Data[[#This Row],[JobSatisfaction]]=2,"Medium",IF(HR_Data[[#This Row],[JobSatisfaction]]=3,"High","Very High")))</f>
        <v>Low</v>
      </c>
      <c r="AP1070" t="str">
        <f>IF(HR_Data[[#This Row],[WorkLifeBalance]]=1,"Bad",IF(HR_Data[[#This Row],[WorkLifeBalance]]=2,"Good",IF(HR_Data[[#This Row],[WorkLifeBalance]]=3,"Better","Best")))</f>
        <v>Good</v>
      </c>
    </row>
    <row r="1071" spans="1:42"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IF(HR_Data[[#This Row],[Attrition]]="Yes",1,0)</f>
        <v>0</v>
      </c>
      <c r="AK1071">
        <f>IF(HR_Data[[#This Row],[Attrition]]="No",1,0)</f>
        <v>1</v>
      </c>
      <c r="AL1071" t="str">
        <f>IF(HR_Data[[#This Row],[Age]]&lt;25,"Under 25",IF(HR_Data[[#This Row],[Age]]&lt;=34,"25-34",IF(HR_Data[[#This Row],[Age]]&lt;=44,"35-44",IF(HR_Data[[#This Row],[Age]]&lt;=54,"45-54","55+"))))</f>
        <v>25-34</v>
      </c>
      <c r="AM1071" t="str">
        <f>IF(HR_Data[[#This Row],[MonthlyIncome]]&lt;3000,"Low Salary",IF(HR_Data[[#This Row],[MonthlyIncome]]&lt;=7000,"Medium Salary","High Salary"))</f>
        <v>Low Salary</v>
      </c>
      <c r="AN1071" t="str">
        <f>IF(HR_Data[[#This Row],[YearsAtCompany]]&lt;2,"0-1 Years",IF(HR_Data[[#This Row],[YearsAtCompany]]&lt;=5,"2-5 Years",IF(HR_Data[[#This Row],[YearsAtCompany]]&lt;=10,"6-10 Years","10+ Years")))</f>
        <v>0-1 Years</v>
      </c>
      <c r="AO1071" t="str">
        <f>IF(HR_Data[[#This Row],[JobSatisfaction]]=1,"Low",IF(HR_Data[[#This Row],[JobSatisfaction]]=2,"Medium",IF(HR_Data[[#This Row],[JobSatisfaction]]=3,"High","Very High")))</f>
        <v>High</v>
      </c>
      <c r="AP1071" t="str">
        <f>IF(HR_Data[[#This Row],[WorkLifeBalance]]=1,"Bad",IF(HR_Data[[#This Row],[WorkLifeBalance]]=2,"Good",IF(HR_Data[[#This Row],[WorkLifeBalance]]=3,"Better","Best")))</f>
        <v>Bad</v>
      </c>
    </row>
    <row r="1072" spans="1:42"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IF(HR_Data[[#This Row],[Attrition]]="Yes",1,0)</f>
        <v>0</v>
      </c>
      <c r="AK1072">
        <f>IF(HR_Data[[#This Row],[Attrition]]="No",1,0)</f>
        <v>1</v>
      </c>
      <c r="AL1072" t="str">
        <f>IF(HR_Data[[#This Row],[Age]]&lt;25,"Under 25",IF(HR_Data[[#This Row],[Age]]&lt;=34,"25-34",IF(HR_Data[[#This Row],[Age]]&lt;=44,"35-44",IF(HR_Data[[#This Row],[Age]]&lt;=54,"45-54","55+"))))</f>
        <v>25-34</v>
      </c>
      <c r="AM1072" t="str">
        <f>IF(HR_Data[[#This Row],[MonthlyIncome]]&lt;3000,"Low Salary",IF(HR_Data[[#This Row],[MonthlyIncome]]&lt;=7000,"Medium Salary","High Salary"))</f>
        <v>Medium Salary</v>
      </c>
      <c r="AN1072" t="str">
        <f>IF(HR_Data[[#This Row],[YearsAtCompany]]&lt;2,"0-1 Years",IF(HR_Data[[#This Row],[YearsAtCompany]]&lt;=5,"2-5 Years",IF(HR_Data[[#This Row],[YearsAtCompany]]&lt;=10,"6-10 Years","10+ Years")))</f>
        <v>2-5 Years</v>
      </c>
      <c r="AO1072" t="str">
        <f>IF(HR_Data[[#This Row],[JobSatisfaction]]=1,"Low",IF(HR_Data[[#This Row],[JobSatisfaction]]=2,"Medium",IF(HR_Data[[#This Row],[JobSatisfaction]]=3,"High","Very High")))</f>
        <v>Low</v>
      </c>
      <c r="AP1072" t="str">
        <f>IF(HR_Data[[#This Row],[WorkLifeBalance]]=1,"Bad",IF(HR_Data[[#This Row],[WorkLifeBalance]]=2,"Good",IF(HR_Data[[#This Row],[WorkLifeBalance]]=3,"Better","Best")))</f>
        <v>Better</v>
      </c>
    </row>
    <row r="1073" spans="1:42"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IF(HR_Data[[#This Row],[Attrition]]="Yes",1,0)</f>
        <v>0</v>
      </c>
      <c r="AK1073">
        <f>IF(HR_Data[[#This Row],[Attrition]]="No",1,0)</f>
        <v>1</v>
      </c>
      <c r="AL1073" t="str">
        <f>IF(HR_Data[[#This Row],[Age]]&lt;25,"Under 25",IF(HR_Data[[#This Row],[Age]]&lt;=34,"25-34",IF(HR_Data[[#This Row],[Age]]&lt;=44,"35-44",IF(HR_Data[[#This Row],[Age]]&lt;=54,"45-54","55+"))))</f>
        <v>45-54</v>
      </c>
      <c r="AM1073" t="str">
        <f>IF(HR_Data[[#This Row],[MonthlyIncome]]&lt;3000,"Low Salary",IF(HR_Data[[#This Row],[MonthlyIncome]]&lt;=7000,"Medium Salary","High Salary"))</f>
        <v>Medium Salary</v>
      </c>
      <c r="AN1073" t="str">
        <f>IF(HR_Data[[#This Row],[YearsAtCompany]]&lt;2,"0-1 Years",IF(HR_Data[[#This Row],[YearsAtCompany]]&lt;=5,"2-5 Years",IF(HR_Data[[#This Row],[YearsAtCompany]]&lt;=10,"6-10 Years","10+ Years")))</f>
        <v>2-5 Years</v>
      </c>
      <c r="AO1073" t="str">
        <f>IF(HR_Data[[#This Row],[JobSatisfaction]]=1,"Low",IF(HR_Data[[#This Row],[JobSatisfaction]]=2,"Medium",IF(HR_Data[[#This Row],[JobSatisfaction]]=3,"High","Very High")))</f>
        <v>Low</v>
      </c>
      <c r="AP1073" t="str">
        <f>IF(HR_Data[[#This Row],[WorkLifeBalance]]=1,"Bad",IF(HR_Data[[#This Row],[WorkLifeBalance]]=2,"Good",IF(HR_Data[[#This Row],[WorkLifeBalance]]=3,"Better","Best")))</f>
        <v>Better</v>
      </c>
    </row>
    <row r="1074" spans="1:42"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IF(HR_Data[[#This Row],[Attrition]]="Yes",1,0)</f>
        <v>0</v>
      </c>
      <c r="AK1074">
        <f>IF(HR_Data[[#This Row],[Attrition]]="No",1,0)</f>
        <v>1</v>
      </c>
      <c r="AL1074" t="str">
        <f>IF(HR_Data[[#This Row],[Age]]&lt;25,"Under 25",IF(HR_Data[[#This Row],[Age]]&lt;=34,"25-34",IF(HR_Data[[#This Row],[Age]]&lt;=44,"35-44",IF(HR_Data[[#This Row],[Age]]&lt;=54,"45-54","55+"))))</f>
        <v>25-34</v>
      </c>
      <c r="AM1074" t="str">
        <f>IF(HR_Data[[#This Row],[MonthlyIncome]]&lt;3000,"Low Salary",IF(HR_Data[[#This Row],[MonthlyIncome]]&lt;=7000,"Medium Salary","High Salary"))</f>
        <v>Medium Salary</v>
      </c>
      <c r="AN1074" t="str">
        <f>IF(HR_Data[[#This Row],[YearsAtCompany]]&lt;2,"0-1 Years",IF(HR_Data[[#This Row],[YearsAtCompany]]&lt;=5,"2-5 Years",IF(HR_Data[[#This Row],[YearsAtCompany]]&lt;=10,"6-10 Years","10+ Years")))</f>
        <v>2-5 Years</v>
      </c>
      <c r="AO1074" t="str">
        <f>IF(HR_Data[[#This Row],[JobSatisfaction]]=1,"Low",IF(HR_Data[[#This Row],[JobSatisfaction]]=2,"Medium",IF(HR_Data[[#This Row],[JobSatisfaction]]=3,"High","Very High")))</f>
        <v>Medium</v>
      </c>
      <c r="AP1074" t="str">
        <f>IF(HR_Data[[#This Row],[WorkLifeBalance]]=1,"Bad",IF(HR_Data[[#This Row],[WorkLifeBalance]]=2,"Good",IF(HR_Data[[#This Row],[WorkLifeBalance]]=3,"Better","Best")))</f>
        <v>Better</v>
      </c>
    </row>
    <row r="1075" spans="1:42"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IF(HR_Data[[#This Row],[Attrition]]="Yes",1,0)</f>
        <v>0</v>
      </c>
      <c r="AK1075">
        <f>IF(HR_Data[[#This Row],[Attrition]]="No",1,0)</f>
        <v>1</v>
      </c>
      <c r="AL1075" t="str">
        <f>IF(HR_Data[[#This Row],[Age]]&lt;25,"Under 25",IF(HR_Data[[#This Row],[Age]]&lt;=34,"25-34",IF(HR_Data[[#This Row],[Age]]&lt;=44,"35-44",IF(HR_Data[[#This Row],[Age]]&lt;=54,"45-54","55+"))))</f>
        <v>25-34</v>
      </c>
      <c r="AM1075" t="str">
        <f>IF(HR_Data[[#This Row],[MonthlyIncome]]&lt;3000,"Low Salary",IF(HR_Data[[#This Row],[MonthlyIncome]]&lt;=7000,"Medium Salary","High Salary"))</f>
        <v>Medium Salary</v>
      </c>
      <c r="AN1075" t="str">
        <f>IF(HR_Data[[#This Row],[YearsAtCompany]]&lt;2,"0-1 Years",IF(HR_Data[[#This Row],[YearsAtCompany]]&lt;=5,"2-5 Years",IF(HR_Data[[#This Row],[YearsAtCompany]]&lt;=10,"6-10 Years","10+ Years")))</f>
        <v>6-10 Years</v>
      </c>
      <c r="AO1075" t="str">
        <f>IF(HR_Data[[#This Row],[JobSatisfaction]]=1,"Low",IF(HR_Data[[#This Row],[JobSatisfaction]]=2,"Medium",IF(HR_Data[[#This Row],[JobSatisfaction]]=3,"High","Very High")))</f>
        <v>Medium</v>
      </c>
      <c r="AP1075" t="str">
        <f>IF(HR_Data[[#This Row],[WorkLifeBalance]]=1,"Bad",IF(HR_Data[[#This Row],[WorkLifeBalance]]=2,"Good",IF(HR_Data[[#This Row],[WorkLifeBalance]]=3,"Better","Best")))</f>
        <v>Good</v>
      </c>
    </row>
    <row r="1076" spans="1:42"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IF(HR_Data[[#This Row],[Attrition]]="Yes",1,0)</f>
        <v>0</v>
      </c>
      <c r="AK1076">
        <f>IF(HR_Data[[#This Row],[Attrition]]="No",1,0)</f>
        <v>1</v>
      </c>
      <c r="AL1076" t="str">
        <f>IF(HR_Data[[#This Row],[Age]]&lt;25,"Under 25",IF(HR_Data[[#This Row],[Age]]&lt;=34,"25-34",IF(HR_Data[[#This Row],[Age]]&lt;=44,"35-44",IF(HR_Data[[#This Row],[Age]]&lt;=54,"45-54","55+"))))</f>
        <v>25-34</v>
      </c>
      <c r="AM1076" t="str">
        <f>IF(HR_Data[[#This Row],[MonthlyIncome]]&lt;3000,"Low Salary",IF(HR_Data[[#This Row],[MonthlyIncome]]&lt;=7000,"Medium Salary","High Salary"))</f>
        <v>Medium Salary</v>
      </c>
      <c r="AN1076" t="str">
        <f>IF(HR_Data[[#This Row],[YearsAtCompany]]&lt;2,"0-1 Years",IF(HR_Data[[#This Row],[YearsAtCompany]]&lt;=5,"2-5 Years",IF(HR_Data[[#This Row],[YearsAtCompany]]&lt;=10,"6-10 Years","10+ Years")))</f>
        <v>0-1 Years</v>
      </c>
      <c r="AO1076" t="str">
        <f>IF(HR_Data[[#This Row],[JobSatisfaction]]=1,"Low",IF(HR_Data[[#This Row],[JobSatisfaction]]=2,"Medium",IF(HR_Data[[#This Row],[JobSatisfaction]]=3,"High","Very High")))</f>
        <v>High</v>
      </c>
      <c r="AP1076" t="str">
        <f>IF(HR_Data[[#This Row],[WorkLifeBalance]]=1,"Bad",IF(HR_Data[[#This Row],[WorkLifeBalance]]=2,"Good",IF(HR_Data[[#This Row],[WorkLifeBalance]]=3,"Better","Best")))</f>
        <v>Better</v>
      </c>
    </row>
    <row r="1077" spans="1:42"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IF(HR_Data[[#This Row],[Attrition]]="Yes",1,0)</f>
        <v>0</v>
      </c>
      <c r="AK1077">
        <f>IF(HR_Data[[#This Row],[Attrition]]="No",1,0)</f>
        <v>1</v>
      </c>
      <c r="AL1077" t="str">
        <f>IF(HR_Data[[#This Row],[Age]]&lt;25,"Under 25",IF(HR_Data[[#This Row],[Age]]&lt;=34,"25-34",IF(HR_Data[[#This Row],[Age]]&lt;=44,"35-44",IF(HR_Data[[#This Row],[Age]]&lt;=54,"45-54","55+"))))</f>
        <v>25-34</v>
      </c>
      <c r="AM1077" t="str">
        <f>IF(HR_Data[[#This Row],[MonthlyIncome]]&lt;3000,"Low Salary",IF(HR_Data[[#This Row],[MonthlyIncome]]&lt;=7000,"Medium Salary","High Salary"))</f>
        <v>High Salary</v>
      </c>
      <c r="AN1077" t="str">
        <f>IF(HR_Data[[#This Row],[YearsAtCompany]]&lt;2,"0-1 Years",IF(HR_Data[[#This Row],[YearsAtCompany]]&lt;=5,"2-5 Years",IF(HR_Data[[#This Row],[YearsAtCompany]]&lt;=10,"6-10 Years","10+ Years")))</f>
        <v>2-5 Years</v>
      </c>
      <c r="AO1077" t="str">
        <f>IF(HR_Data[[#This Row],[JobSatisfaction]]=1,"Low",IF(HR_Data[[#This Row],[JobSatisfaction]]=2,"Medium",IF(HR_Data[[#This Row],[JobSatisfaction]]=3,"High","Very High")))</f>
        <v>Very High</v>
      </c>
      <c r="AP1077" t="str">
        <f>IF(HR_Data[[#This Row],[WorkLifeBalance]]=1,"Bad",IF(HR_Data[[#This Row],[WorkLifeBalance]]=2,"Good",IF(HR_Data[[#This Row],[WorkLifeBalance]]=3,"Better","Best")))</f>
        <v>Best</v>
      </c>
    </row>
    <row r="1078" spans="1:42"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IF(HR_Data[[#This Row],[Attrition]]="Yes",1,0)</f>
        <v>0</v>
      </c>
      <c r="AK1078">
        <f>IF(HR_Data[[#This Row],[Attrition]]="No",1,0)</f>
        <v>1</v>
      </c>
      <c r="AL1078" t="str">
        <f>IF(HR_Data[[#This Row],[Age]]&lt;25,"Under 25",IF(HR_Data[[#This Row],[Age]]&lt;=34,"25-34",IF(HR_Data[[#This Row],[Age]]&lt;=44,"35-44",IF(HR_Data[[#This Row],[Age]]&lt;=54,"45-54","55+"))))</f>
        <v>45-54</v>
      </c>
      <c r="AM1078" t="str">
        <f>IF(HR_Data[[#This Row],[MonthlyIncome]]&lt;3000,"Low Salary",IF(HR_Data[[#This Row],[MonthlyIncome]]&lt;=7000,"Medium Salary","High Salary"))</f>
        <v>High Salary</v>
      </c>
      <c r="AN1078" t="str">
        <f>IF(HR_Data[[#This Row],[YearsAtCompany]]&lt;2,"0-1 Years",IF(HR_Data[[#This Row],[YearsAtCompany]]&lt;=5,"2-5 Years",IF(HR_Data[[#This Row],[YearsAtCompany]]&lt;=10,"6-10 Years","10+ Years")))</f>
        <v>10+ Years</v>
      </c>
      <c r="AO1078" t="str">
        <f>IF(HR_Data[[#This Row],[JobSatisfaction]]=1,"Low",IF(HR_Data[[#This Row],[JobSatisfaction]]=2,"Medium",IF(HR_Data[[#This Row],[JobSatisfaction]]=3,"High","Very High")))</f>
        <v>Very High</v>
      </c>
      <c r="AP1078" t="str">
        <f>IF(HR_Data[[#This Row],[WorkLifeBalance]]=1,"Bad",IF(HR_Data[[#This Row],[WorkLifeBalance]]=2,"Good",IF(HR_Data[[#This Row],[WorkLifeBalance]]=3,"Better","Best")))</f>
        <v>Better</v>
      </c>
    </row>
    <row r="1079" spans="1:42"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IF(HR_Data[[#This Row],[Attrition]]="Yes",1,0)</f>
        <v>1</v>
      </c>
      <c r="AK1079">
        <f>IF(HR_Data[[#This Row],[Attrition]]="No",1,0)</f>
        <v>0</v>
      </c>
      <c r="AL1079" t="str">
        <f>IF(HR_Data[[#This Row],[Age]]&lt;25,"Under 25",IF(HR_Data[[#This Row],[Age]]&lt;=34,"25-34",IF(HR_Data[[#This Row],[Age]]&lt;=44,"35-44",IF(HR_Data[[#This Row],[Age]]&lt;=54,"45-54","55+"))))</f>
        <v>25-34</v>
      </c>
      <c r="AM1079" t="str">
        <f>IF(HR_Data[[#This Row],[MonthlyIncome]]&lt;3000,"Low Salary",IF(HR_Data[[#This Row],[MonthlyIncome]]&lt;=7000,"Medium Salary","High Salary"))</f>
        <v>Low Salary</v>
      </c>
      <c r="AN1079" t="str">
        <f>IF(HR_Data[[#This Row],[YearsAtCompany]]&lt;2,"0-1 Years",IF(HR_Data[[#This Row],[YearsAtCompany]]&lt;=5,"2-5 Years",IF(HR_Data[[#This Row],[YearsAtCompany]]&lt;=10,"6-10 Years","10+ Years")))</f>
        <v>6-10 Years</v>
      </c>
      <c r="AO1079" t="str">
        <f>IF(HR_Data[[#This Row],[JobSatisfaction]]=1,"Low",IF(HR_Data[[#This Row],[JobSatisfaction]]=2,"Medium",IF(HR_Data[[#This Row],[JobSatisfaction]]=3,"High","Very High")))</f>
        <v>Low</v>
      </c>
      <c r="AP1079" t="str">
        <f>IF(HR_Data[[#This Row],[WorkLifeBalance]]=1,"Bad",IF(HR_Data[[#This Row],[WorkLifeBalance]]=2,"Good",IF(HR_Data[[#This Row],[WorkLifeBalance]]=3,"Better","Best")))</f>
        <v>Bad</v>
      </c>
    </row>
    <row r="1080" spans="1:42"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IF(HR_Data[[#This Row],[Attrition]]="Yes",1,0)</f>
        <v>0</v>
      </c>
      <c r="AK1080">
        <f>IF(HR_Data[[#This Row],[Attrition]]="No",1,0)</f>
        <v>1</v>
      </c>
      <c r="AL1080" t="str">
        <f>IF(HR_Data[[#This Row],[Age]]&lt;25,"Under 25",IF(HR_Data[[#This Row],[Age]]&lt;=34,"25-34",IF(HR_Data[[#This Row],[Age]]&lt;=44,"35-44",IF(HR_Data[[#This Row],[Age]]&lt;=54,"45-54","55+"))))</f>
        <v>35-44</v>
      </c>
      <c r="AM1080" t="str">
        <f>IF(HR_Data[[#This Row],[MonthlyIncome]]&lt;3000,"Low Salary",IF(HR_Data[[#This Row],[MonthlyIncome]]&lt;=7000,"Medium Salary","High Salary"))</f>
        <v>High Salary</v>
      </c>
      <c r="AN1080" t="str">
        <f>IF(HR_Data[[#This Row],[YearsAtCompany]]&lt;2,"0-1 Years",IF(HR_Data[[#This Row],[YearsAtCompany]]&lt;=5,"2-5 Years",IF(HR_Data[[#This Row],[YearsAtCompany]]&lt;=10,"6-10 Years","10+ Years")))</f>
        <v>10+ Years</v>
      </c>
      <c r="AO1080" t="str">
        <f>IF(HR_Data[[#This Row],[JobSatisfaction]]=1,"Low",IF(HR_Data[[#This Row],[JobSatisfaction]]=2,"Medium",IF(HR_Data[[#This Row],[JobSatisfaction]]=3,"High","Very High")))</f>
        <v>Low</v>
      </c>
      <c r="AP1080" t="str">
        <f>IF(HR_Data[[#This Row],[WorkLifeBalance]]=1,"Bad",IF(HR_Data[[#This Row],[WorkLifeBalance]]=2,"Good",IF(HR_Data[[#This Row],[WorkLifeBalance]]=3,"Better","Best")))</f>
        <v>Best</v>
      </c>
    </row>
    <row r="1081" spans="1:42"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IF(HR_Data[[#This Row],[Attrition]]="Yes",1,0)</f>
        <v>0</v>
      </c>
      <c r="AK1081">
        <f>IF(HR_Data[[#This Row],[Attrition]]="No",1,0)</f>
        <v>1</v>
      </c>
      <c r="AL1081" t="str">
        <f>IF(HR_Data[[#This Row],[Age]]&lt;25,"Under 25",IF(HR_Data[[#This Row],[Age]]&lt;=34,"25-34",IF(HR_Data[[#This Row],[Age]]&lt;=44,"35-44",IF(HR_Data[[#This Row],[Age]]&lt;=54,"45-54","55+"))))</f>
        <v>35-44</v>
      </c>
      <c r="AM1081" t="str">
        <f>IF(HR_Data[[#This Row],[MonthlyIncome]]&lt;3000,"Low Salary",IF(HR_Data[[#This Row],[MonthlyIncome]]&lt;=7000,"Medium Salary","High Salary"))</f>
        <v>High Salary</v>
      </c>
      <c r="AN1081" t="str">
        <f>IF(HR_Data[[#This Row],[YearsAtCompany]]&lt;2,"0-1 Years",IF(HR_Data[[#This Row],[YearsAtCompany]]&lt;=5,"2-5 Years",IF(HR_Data[[#This Row],[YearsAtCompany]]&lt;=10,"6-10 Years","10+ Years")))</f>
        <v>2-5 Years</v>
      </c>
      <c r="AO1081" t="str">
        <f>IF(HR_Data[[#This Row],[JobSatisfaction]]=1,"Low",IF(HR_Data[[#This Row],[JobSatisfaction]]=2,"Medium",IF(HR_Data[[#This Row],[JobSatisfaction]]=3,"High","Very High")))</f>
        <v>Medium</v>
      </c>
      <c r="AP1081" t="str">
        <f>IF(HR_Data[[#This Row],[WorkLifeBalance]]=1,"Bad",IF(HR_Data[[#This Row],[WorkLifeBalance]]=2,"Good",IF(HR_Data[[#This Row],[WorkLifeBalance]]=3,"Better","Best")))</f>
        <v>Better</v>
      </c>
    </row>
    <row r="1082" spans="1:42"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IF(HR_Data[[#This Row],[Attrition]]="Yes",1,0)</f>
        <v>0</v>
      </c>
      <c r="AK1082">
        <f>IF(HR_Data[[#This Row],[Attrition]]="No",1,0)</f>
        <v>1</v>
      </c>
      <c r="AL1082" t="str">
        <f>IF(HR_Data[[#This Row],[Age]]&lt;25,"Under 25",IF(HR_Data[[#This Row],[Age]]&lt;=34,"25-34",IF(HR_Data[[#This Row],[Age]]&lt;=44,"35-44",IF(HR_Data[[#This Row],[Age]]&lt;=54,"45-54","55+"))))</f>
        <v>45-54</v>
      </c>
      <c r="AM1082" t="str">
        <f>IF(HR_Data[[#This Row],[MonthlyIncome]]&lt;3000,"Low Salary",IF(HR_Data[[#This Row],[MonthlyIncome]]&lt;=7000,"Medium Salary","High Salary"))</f>
        <v>High Salary</v>
      </c>
      <c r="AN1082" t="str">
        <f>IF(HR_Data[[#This Row],[YearsAtCompany]]&lt;2,"0-1 Years",IF(HR_Data[[#This Row],[YearsAtCompany]]&lt;=5,"2-5 Years",IF(HR_Data[[#This Row],[YearsAtCompany]]&lt;=10,"6-10 Years","10+ Years")))</f>
        <v>10+ Years</v>
      </c>
      <c r="AO1082" t="str">
        <f>IF(HR_Data[[#This Row],[JobSatisfaction]]=1,"Low",IF(HR_Data[[#This Row],[JobSatisfaction]]=2,"Medium",IF(HR_Data[[#This Row],[JobSatisfaction]]=3,"High","Very High")))</f>
        <v>Medium</v>
      </c>
      <c r="AP1082" t="str">
        <f>IF(HR_Data[[#This Row],[WorkLifeBalance]]=1,"Bad",IF(HR_Data[[#This Row],[WorkLifeBalance]]=2,"Good",IF(HR_Data[[#This Row],[WorkLifeBalance]]=3,"Better","Best")))</f>
        <v>Best</v>
      </c>
    </row>
    <row r="1083" spans="1:42"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IF(HR_Data[[#This Row],[Attrition]]="Yes",1,0)</f>
        <v>0</v>
      </c>
      <c r="AK1083">
        <f>IF(HR_Data[[#This Row],[Attrition]]="No",1,0)</f>
        <v>1</v>
      </c>
      <c r="AL1083" t="str">
        <f>IF(HR_Data[[#This Row],[Age]]&lt;25,"Under 25",IF(HR_Data[[#This Row],[Age]]&lt;=34,"25-34",IF(HR_Data[[#This Row],[Age]]&lt;=44,"35-44",IF(HR_Data[[#This Row],[Age]]&lt;=54,"45-54","55+"))))</f>
        <v>35-44</v>
      </c>
      <c r="AM1083" t="str">
        <f>IF(HR_Data[[#This Row],[MonthlyIncome]]&lt;3000,"Low Salary",IF(HR_Data[[#This Row],[MonthlyIncome]]&lt;=7000,"Medium Salary","High Salary"))</f>
        <v>High Salary</v>
      </c>
      <c r="AN1083" t="str">
        <f>IF(HR_Data[[#This Row],[YearsAtCompany]]&lt;2,"0-1 Years",IF(HR_Data[[#This Row],[YearsAtCompany]]&lt;=5,"2-5 Years",IF(HR_Data[[#This Row],[YearsAtCompany]]&lt;=10,"6-10 Years","10+ Years")))</f>
        <v>10+ Years</v>
      </c>
      <c r="AO1083" t="str">
        <f>IF(HR_Data[[#This Row],[JobSatisfaction]]=1,"Low",IF(HR_Data[[#This Row],[JobSatisfaction]]=2,"Medium",IF(HR_Data[[#This Row],[JobSatisfaction]]=3,"High","Very High")))</f>
        <v>Medium</v>
      </c>
      <c r="AP1083" t="str">
        <f>IF(HR_Data[[#This Row],[WorkLifeBalance]]=1,"Bad",IF(HR_Data[[#This Row],[WorkLifeBalance]]=2,"Good",IF(HR_Data[[#This Row],[WorkLifeBalance]]=3,"Better","Best")))</f>
        <v>Bad</v>
      </c>
    </row>
    <row r="1084" spans="1:42"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IF(HR_Data[[#This Row],[Attrition]]="Yes",1,0)</f>
        <v>0</v>
      </c>
      <c r="AK1084">
        <f>IF(HR_Data[[#This Row],[Attrition]]="No",1,0)</f>
        <v>1</v>
      </c>
      <c r="AL1084" t="str">
        <f>IF(HR_Data[[#This Row],[Age]]&lt;25,"Under 25",IF(HR_Data[[#This Row],[Age]]&lt;=34,"25-34",IF(HR_Data[[#This Row],[Age]]&lt;=44,"35-44",IF(HR_Data[[#This Row],[Age]]&lt;=54,"45-54","55+"))))</f>
        <v>Under 25</v>
      </c>
      <c r="AM1084" t="str">
        <f>IF(HR_Data[[#This Row],[MonthlyIncome]]&lt;3000,"Low Salary",IF(HR_Data[[#This Row],[MonthlyIncome]]&lt;=7000,"Medium Salary","High Salary"))</f>
        <v>Low Salary</v>
      </c>
      <c r="AN1084" t="str">
        <f>IF(HR_Data[[#This Row],[YearsAtCompany]]&lt;2,"0-1 Years",IF(HR_Data[[#This Row],[YearsAtCompany]]&lt;=5,"2-5 Years",IF(HR_Data[[#This Row],[YearsAtCompany]]&lt;=10,"6-10 Years","10+ Years")))</f>
        <v>2-5 Years</v>
      </c>
      <c r="AO1084" t="str">
        <f>IF(HR_Data[[#This Row],[JobSatisfaction]]=1,"Low",IF(HR_Data[[#This Row],[JobSatisfaction]]=2,"Medium",IF(HR_Data[[#This Row],[JobSatisfaction]]=3,"High","Very High")))</f>
        <v>High</v>
      </c>
      <c r="AP1084" t="str">
        <f>IF(HR_Data[[#This Row],[WorkLifeBalance]]=1,"Bad",IF(HR_Data[[#This Row],[WorkLifeBalance]]=2,"Good",IF(HR_Data[[#This Row],[WorkLifeBalance]]=3,"Better","Best")))</f>
        <v>Better</v>
      </c>
    </row>
    <row r="1085" spans="1:42"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IF(HR_Data[[#This Row],[Attrition]]="Yes",1,0)</f>
        <v>1</v>
      </c>
      <c r="AK1085">
        <f>IF(HR_Data[[#This Row],[Attrition]]="No",1,0)</f>
        <v>0</v>
      </c>
      <c r="AL1085" t="str">
        <f>IF(HR_Data[[#This Row],[Age]]&lt;25,"Under 25",IF(HR_Data[[#This Row],[Age]]&lt;=34,"25-34",IF(HR_Data[[#This Row],[Age]]&lt;=44,"35-44",IF(HR_Data[[#This Row],[Age]]&lt;=54,"45-54","55+"))))</f>
        <v>35-44</v>
      </c>
      <c r="AM1085" t="str">
        <f>IF(HR_Data[[#This Row],[MonthlyIncome]]&lt;3000,"Low Salary",IF(HR_Data[[#This Row],[MonthlyIncome]]&lt;=7000,"Medium Salary","High Salary"))</f>
        <v>Low Salary</v>
      </c>
      <c r="AN1085" t="str">
        <f>IF(HR_Data[[#This Row],[YearsAtCompany]]&lt;2,"0-1 Years",IF(HR_Data[[#This Row],[YearsAtCompany]]&lt;=5,"2-5 Years",IF(HR_Data[[#This Row],[YearsAtCompany]]&lt;=10,"6-10 Years","10+ Years")))</f>
        <v>2-5 Years</v>
      </c>
      <c r="AO1085" t="str">
        <f>IF(HR_Data[[#This Row],[JobSatisfaction]]=1,"Low",IF(HR_Data[[#This Row],[JobSatisfaction]]=2,"Medium",IF(HR_Data[[#This Row],[JobSatisfaction]]=3,"High","Very High")))</f>
        <v>Low</v>
      </c>
      <c r="AP1085" t="str">
        <f>IF(HR_Data[[#This Row],[WorkLifeBalance]]=1,"Bad",IF(HR_Data[[#This Row],[WorkLifeBalance]]=2,"Good",IF(HR_Data[[#This Row],[WorkLifeBalance]]=3,"Better","Best")))</f>
        <v>Bad</v>
      </c>
    </row>
    <row r="1086" spans="1:42"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IF(HR_Data[[#This Row],[Attrition]]="Yes",1,0)</f>
        <v>0</v>
      </c>
      <c r="AK1086">
        <f>IF(HR_Data[[#This Row],[Attrition]]="No",1,0)</f>
        <v>1</v>
      </c>
      <c r="AL1086" t="str">
        <f>IF(HR_Data[[#This Row],[Age]]&lt;25,"Under 25",IF(HR_Data[[#This Row],[Age]]&lt;=34,"25-34",IF(HR_Data[[#This Row],[Age]]&lt;=44,"35-44",IF(HR_Data[[#This Row],[Age]]&lt;=54,"45-54","55+"))))</f>
        <v>25-34</v>
      </c>
      <c r="AM1086" t="str">
        <f>IF(HR_Data[[#This Row],[MonthlyIncome]]&lt;3000,"Low Salary",IF(HR_Data[[#This Row],[MonthlyIncome]]&lt;=7000,"Medium Salary","High Salary"))</f>
        <v>High Salary</v>
      </c>
      <c r="AN1086" t="str">
        <f>IF(HR_Data[[#This Row],[YearsAtCompany]]&lt;2,"0-1 Years",IF(HR_Data[[#This Row],[YearsAtCompany]]&lt;=5,"2-5 Years",IF(HR_Data[[#This Row],[YearsAtCompany]]&lt;=10,"6-10 Years","10+ Years")))</f>
        <v>6-10 Years</v>
      </c>
      <c r="AO1086" t="str">
        <f>IF(HR_Data[[#This Row],[JobSatisfaction]]=1,"Low",IF(HR_Data[[#This Row],[JobSatisfaction]]=2,"Medium",IF(HR_Data[[#This Row],[JobSatisfaction]]=3,"High","Very High")))</f>
        <v>High</v>
      </c>
      <c r="AP1086" t="str">
        <f>IF(HR_Data[[#This Row],[WorkLifeBalance]]=1,"Bad",IF(HR_Data[[#This Row],[WorkLifeBalance]]=2,"Good",IF(HR_Data[[#This Row],[WorkLifeBalance]]=3,"Better","Best")))</f>
        <v>Better</v>
      </c>
    </row>
    <row r="1087" spans="1:42"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IF(HR_Data[[#This Row],[Attrition]]="Yes",1,0)</f>
        <v>1</v>
      </c>
      <c r="AK1087">
        <f>IF(HR_Data[[#This Row],[Attrition]]="No",1,0)</f>
        <v>0</v>
      </c>
      <c r="AL1087" t="str">
        <f>IF(HR_Data[[#This Row],[Age]]&lt;25,"Under 25",IF(HR_Data[[#This Row],[Age]]&lt;=34,"25-34",IF(HR_Data[[#This Row],[Age]]&lt;=44,"35-44",IF(HR_Data[[#This Row],[Age]]&lt;=54,"45-54","55+"))))</f>
        <v>25-34</v>
      </c>
      <c r="AM1087" t="str">
        <f>IF(HR_Data[[#This Row],[MonthlyIncome]]&lt;3000,"Low Salary",IF(HR_Data[[#This Row],[MonthlyIncome]]&lt;=7000,"Medium Salary","High Salary"))</f>
        <v>Medium Salary</v>
      </c>
      <c r="AN1087" t="str">
        <f>IF(HR_Data[[#This Row],[YearsAtCompany]]&lt;2,"0-1 Years",IF(HR_Data[[#This Row],[YearsAtCompany]]&lt;=5,"2-5 Years",IF(HR_Data[[#This Row],[YearsAtCompany]]&lt;=10,"6-10 Years","10+ Years")))</f>
        <v>6-10 Years</v>
      </c>
      <c r="AO1087" t="str">
        <f>IF(HR_Data[[#This Row],[JobSatisfaction]]=1,"Low",IF(HR_Data[[#This Row],[JobSatisfaction]]=2,"Medium",IF(HR_Data[[#This Row],[JobSatisfaction]]=3,"High","Very High")))</f>
        <v>High</v>
      </c>
      <c r="AP1087" t="str">
        <f>IF(HR_Data[[#This Row],[WorkLifeBalance]]=1,"Bad",IF(HR_Data[[#This Row],[WorkLifeBalance]]=2,"Good",IF(HR_Data[[#This Row],[WorkLifeBalance]]=3,"Better","Best")))</f>
        <v>Bad</v>
      </c>
    </row>
    <row r="1088" spans="1:42"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IF(HR_Data[[#This Row],[Attrition]]="Yes",1,0)</f>
        <v>0</v>
      </c>
      <c r="AK1088">
        <f>IF(HR_Data[[#This Row],[Attrition]]="No",1,0)</f>
        <v>1</v>
      </c>
      <c r="AL1088" t="str">
        <f>IF(HR_Data[[#This Row],[Age]]&lt;25,"Under 25",IF(HR_Data[[#This Row],[Age]]&lt;=34,"25-34",IF(HR_Data[[#This Row],[Age]]&lt;=44,"35-44",IF(HR_Data[[#This Row],[Age]]&lt;=54,"45-54","55+"))))</f>
        <v>45-54</v>
      </c>
      <c r="AM1088" t="str">
        <f>IF(HR_Data[[#This Row],[MonthlyIncome]]&lt;3000,"Low Salary",IF(HR_Data[[#This Row],[MonthlyIncome]]&lt;=7000,"Medium Salary","High Salary"))</f>
        <v>High Salary</v>
      </c>
      <c r="AN1088" t="str">
        <f>IF(HR_Data[[#This Row],[YearsAtCompany]]&lt;2,"0-1 Years",IF(HR_Data[[#This Row],[YearsAtCompany]]&lt;=5,"2-5 Years",IF(HR_Data[[#This Row],[YearsAtCompany]]&lt;=10,"6-10 Years","10+ Years")))</f>
        <v>10+ Years</v>
      </c>
      <c r="AO1088" t="str">
        <f>IF(HR_Data[[#This Row],[JobSatisfaction]]=1,"Low",IF(HR_Data[[#This Row],[JobSatisfaction]]=2,"Medium",IF(HR_Data[[#This Row],[JobSatisfaction]]=3,"High","Very High")))</f>
        <v>Very High</v>
      </c>
      <c r="AP1088" t="str">
        <f>IF(HR_Data[[#This Row],[WorkLifeBalance]]=1,"Bad",IF(HR_Data[[#This Row],[WorkLifeBalance]]=2,"Good",IF(HR_Data[[#This Row],[WorkLifeBalance]]=3,"Better","Best")))</f>
        <v>Better</v>
      </c>
    </row>
    <row r="1089" spans="1:42"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IF(HR_Data[[#This Row],[Attrition]]="Yes",1,0)</f>
        <v>0</v>
      </c>
      <c r="AK1089">
        <f>IF(HR_Data[[#This Row],[Attrition]]="No",1,0)</f>
        <v>1</v>
      </c>
      <c r="AL1089" t="str">
        <f>IF(HR_Data[[#This Row],[Age]]&lt;25,"Under 25",IF(HR_Data[[#This Row],[Age]]&lt;=34,"25-34",IF(HR_Data[[#This Row],[Age]]&lt;=44,"35-44",IF(HR_Data[[#This Row],[Age]]&lt;=54,"45-54","55+"))))</f>
        <v>25-34</v>
      </c>
      <c r="AM1089" t="str">
        <f>IF(HR_Data[[#This Row],[MonthlyIncome]]&lt;3000,"Low Salary",IF(HR_Data[[#This Row],[MonthlyIncome]]&lt;=7000,"Medium Salary","High Salary"))</f>
        <v>Low Salary</v>
      </c>
      <c r="AN1089" t="str">
        <f>IF(HR_Data[[#This Row],[YearsAtCompany]]&lt;2,"0-1 Years",IF(HR_Data[[#This Row],[YearsAtCompany]]&lt;=5,"2-5 Years",IF(HR_Data[[#This Row],[YearsAtCompany]]&lt;=10,"6-10 Years","10+ Years")))</f>
        <v>10+ Years</v>
      </c>
      <c r="AO1089" t="str">
        <f>IF(HR_Data[[#This Row],[JobSatisfaction]]=1,"Low",IF(HR_Data[[#This Row],[JobSatisfaction]]=2,"Medium",IF(HR_Data[[#This Row],[JobSatisfaction]]=3,"High","Very High")))</f>
        <v>High</v>
      </c>
      <c r="AP1089" t="str">
        <f>IF(HR_Data[[#This Row],[WorkLifeBalance]]=1,"Bad",IF(HR_Data[[#This Row],[WorkLifeBalance]]=2,"Good",IF(HR_Data[[#This Row],[WorkLifeBalance]]=3,"Better","Best")))</f>
        <v>Better</v>
      </c>
    </row>
    <row r="1090" spans="1:42"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IF(HR_Data[[#This Row],[Attrition]]="Yes",1,0)</f>
        <v>0</v>
      </c>
      <c r="AK1090">
        <f>IF(HR_Data[[#This Row],[Attrition]]="No",1,0)</f>
        <v>1</v>
      </c>
      <c r="AL1090" t="str">
        <f>IF(HR_Data[[#This Row],[Age]]&lt;25,"Under 25",IF(HR_Data[[#This Row],[Age]]&lt;=34,"25-34",IF(HR_Data[[#This Row],[Age]]&lt;=44,"35-44",IF(HR_Data[[#This Row],[Age]]&lt;=54,"45-54","55+"))))</f>
        <v>35-44</v>
      </c>
      <c r="AM1090" t="str">
        <f>IF(HR_Data[[#This Row],[MonthlyIncome]]&lt;3000,"Low Salary",IF(HR_Data[[#This Row],[MonthlyIncome]]&lt;=7000,"Medium Salary","High Salary"))</f>
        <v>Medium Salary</v>
      </c>
      <c r="AN1090" t="str">
        <f>IF(HR_Data[[#This Row],[YearsAtCompany]]&lt;2,"0-1 Years",IF(HR_Data[[#This Row],[YearsAtCompany]]&lt;=5,"2-5 Years",IF(HR_Data[[#This Row],[YearsAtCompany]]&lt;=10,"6-10 Years","10+ Years")))</f>
        <v>0-1 Years</v>
      </c>
      <c r="AO1090" t="str">
        <f>IF(HR_Data[[#This Row],[JobSatisfaction]]=1,"Low",IF(HR_Data[[#This Row],[JobSatisfaction]]=2,"Medium",IF(HR_Data[[#This Row],[JobSatisfaction]]=3,"High","Very High")))</f>
        <v>Medium</v>
      </c>
      <c r="AP1090" t="str">
        <f>IF(HR_Data[[#This Row],[WorkLifeBalance]]=1,"Bad",IF(HR_Data[[#This Row],[WorkLifeBalance]]=2,"Good",IF(HR_Data[[#This Row],[WorkLifeBalance]]=3,"Better","Best")))</f>
        <v>Better</v>
      </c>
    </row>
    <row r="1091" spans="1:42"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IF(HR_Data[[#This Row],[Attrition]]="Yes",1,0)</f>
        <v>0</v>
      </c>
      <c r="AK1091">
        <f>IF(HR_Data[[#This Row],[Attrition]]="No",1,0)</f>
        <v>1</v>
      </c>
      <c r="AL1091" t="str">
        <f>IF(HR_Data[[#This Row],[Age]]&lt;25,"Under 25",IF(HR_Data[[#This Row],[Age]]&lt;=34,"25-34",IF(HR_Data[[#This Row],[Age]]&lt;=44,"35-44",IF(HR_Data[[#This Row],[Age]]&lt;=54,"45-54","55+"))))</f>
        <v>35-44</v>
      </c>
      <c r="AM1091" t="str">
        <f>IF(HR_Data[[#This Row],[MonthlyIncome]]&lt;3000,"Low Salary",IF(HR_Data[[#This Row],[MonthlyIncome]]&lt;=7000,"Medium Salary","High Salary"))</f>
        <v>Medium Salary</v>
      </c>
      <c r="AN1091" t="str">
        <f>IF(HR_Data[[#This Row],[YearsAtCompany]]&lt;2,"0-1 Years",IF(HR_Data[[#This Row],[YearsAtCompany]]&lt;=5,"2-5 Years",IF(HR_Data[[#This Row],[YearsAtCompany]]&lt;=10,"6-10 Years","10+ Years")))</f>
        <v>6-10 Years</v>
      </c>
      <c r="AO1091" t="str">
        <f>IF(HR_Data[[#This Row],[JobSatisfaction]]=1,"Low",IF(HR_Data[[#This Row],[JobSatisfaction]]=2,"Medium",IF(HR_Data[[#This Row],[JobSatisfaction]]=3,"High","Very High")))</f>
        <v>Very High</v>
      </c>
      <c r="AP1091" t="str">
        <f>IF(HR_Data[[#This Row],[WorkLifeBalance]]=1,"Bad",IF(HR_Data[[#This Row],[WorkLifeBalance]]=2,"Good",IF(HR_Data[[#This Row],[WorkLifeBalance]]=3,"Better","Best")))</f>
        <v>Better</v>
      </c>
    </row>
    <row r="1092" spans="1:42"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IF(HR_Data[[#This Row],[Attrition]]="Yes",1,0)</f>
        <v>0</v>
      </c>
      <c r="AK1092">
        <f>IF(HR_Data[[#This Row],[Attrition]]="No",1,0)</f>
        <v>1</v>
      </c>
      <c r="AL1092" t="str">
        <f>IF(HR_Data[[#This Row],[Age]]&lt;25,"Under 25",IF(HR_Data[[#This Row],[Age]]&lt;=34,"25-34",IF(HR_Data[[#This Row],[Age]]&lt;=44,"35-44",IF(HR_Data[[#This Row],[Age]]&lt;=54,"45-54","55+"))))</f>
        <v>25-34</v>
      </c>
      <c r="AM1092" t="str">
        <f>IF(HR_Data[[#This Row],[MonthlyIncome]]&lt;3000,"Low Salary",IF(HR_Data[[#This Row],[MonthlyIncome]]&lt;=7000,"Medium Salary","High Salary"))</f>
        <v>High Salary</v>
      </c>
      <c r="AN1092" t="str">
        <f>IF(HR_Data[[#This Row],[YearsAtCompany]]&lt;2,"0-1 Years",IF(HR_Data[[#This Row],[YearsAtCompany]]&lt;=5,"2-5 Years",IF(HR_Data[[#This Row],[YearsAtCompany]]&lt;=10,"6-10 Years","10+ Years")))</f>
        <v>6-10 Years</v>
      </c>
      <c r="AO1092" t="str">
        <f>IF(HR_Data[[#This Row],[JobSatisfaction]]=1,"Low",IF(HR_Data[[#This Row],[JobSatisfaction]]=2,"Medium",IF(HR_Data[[#This Row],[JobSatisfaction]]=3,"High","Very High")))</f>
        <v>Low</v>
      </c>
      <c r="AP1092" t="str">
        <f>IF(HR_Data[[#This Row],[WorkLifeBalance]]=1,"Bad",IF(HR_Data[[#This Row],[WorkLifeBalance]]=2,"Good",IF(HR_Data[[#This Row],[WorkLifeBalance]]=3,"Better","Best")))</f>
        <v>Better</v>
      </c>
    </row>
    <row r="1093" spans="1:42"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IF(HR_Data[[#This Row],[Attrition]]="Yes",1,0)</f>
        <v>0</v>
      </c>
      <c r="AK1093">
        <f>IF(HR_Data[[#This Row],[Attrition]]="No",1,0)</f>
        <v>1</v>
      </c>
      <c r="AL1093" t="str">
        <f>IF(HR_Data[[#This Row],[Age]]&lt;25,"Under 25",IF(HR_Data[[#This Row],[Age]]&lt;=34,"25-34",IF(HR_Data[[#This Row],[Age]]&lt;=44,"35-44",IF(HR_Data[[#This Row],[Age]]&lt;=54,"45-54","55+"))))</f>
        <v>25-34</v>
      </c>
      <c r="AM1093" t="str">
        <f>IF(HR_Data[[#This Row],[MonthlyIncome]]&lt;3000,"Low Salary",IF(HR_Data[[#This Row],[MonthlyIncome]]&lt;=7000,"Medium Salary","High Salary"))</f>
        <v>Medium Salary</v>
      </c>
      <c r="AN1093" t="str">
        <f>IF(HR_Data[[#This Row],[YearsAtCompany]]&lt;2,"0-1 Years",IF(HR_Data[[#This Row],[YearsAtCompany]]&lt;=5,"2-5 Years",IF(HR_Data[[#This Row],[YearsAtCompany]]&lt;=10,"6-10 Years","10+ Years")))</f>
        <v>2-5 Years</v>
      </c>
      <c r="AO1093" t="str">
        <f>IF(HR_Data[[#This Row],[JobSatisfaction]]=1,"Low",IF(HR_Data[[#This Row],[JobSatisfaction]]=2,"Medium",IF(HR_Data[[#This Row],[JobSatisfaction]]=3,"High","Very High")))</f>
        <v>Medium</v>
      </c>
      <c r="AP1093" t="str">
        <f>IF(HR_Data[[#This Row],[WorkLifeBalance]]=1,"Bad",IF(HR_Data[[#This Row],[WorkLifeBalance]]=2,"Good",IF(HR_Data[[#This Row],[WorkLifeBalance]]=3,"Better","Best")))</f>
        <v>Better</v>
      </c>
    </row>
    <row r="1094" spans="1:42"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IF(HR_Data[[#This Row],[Attrition]]="Yes",1,0)</f>
        <v>0</v>
      </c>
      <c r="AK1094">
        <f>IF(HR_Data[[#This Row],[Attrition]]="No",1,0)</f>
        <v>1</v>
      </c>
      <c r="AL1094" t="str">
        <f>IF(HR_Data[[#This Row],[Age]]&lt;25,"Under 25",IF(HR_Data[[#This Row],[Age]]&lt;=34,"25-34",IF(HR_Data[[#This Row],[Age]]&lt;=44,"35-44",IF(HR_Data[[#This Row],[Age]]&lt;=54,"45-54","55+"))))</f>
        <v>45-54</v>
      </c>
      <c r="AM1094" t="str">
        <f>IF(HR_Data[[#This Row],[MonthlyIncome]]&lt;3000,"Low Salary",IF(HR_Data[[#This Row],[MonthlyIncome]]&lt;=7000,"Medium Salary","High Salary"))</f>
        <v>Low Salary</v>
      </c>
      <c r="AN1094" t="str">
        <f>IF(HR_Data[[#This Row],[YearsAtCompany]]&lt;2,"0-1 Years",IF(HR_Data[[#This Row],[YearsAtCompany]]&lt;=5,"2-5 Years",IF(HR_Data[[#This Row],[YearsAtCompany]]&lt;=10,"6-10 Years","10+ Years")))</f>
        <v>2-5 Years</v>
      </c>
      <c r="AO1094" t="str">
        <f>IF(HR_Data[[#This Row],[JobSatisfaction]]=1,"Low",IF(HR_Data[[#This Row],[JobSatisfaction]]=2,"Medium",IF(HR_Data[[#This Row],[JobSatisfaction]]=3,"High","Very High")))</f>
        <v>Very High</v>
      </c>
      <c r="AP1094" t="str">
        <f>IF(HR_Data[[#This Row],[WorkLifeBalance]]=1,"Bad",IF(HR_Data[[#This Row],[WorkLifeBalance]]=2,"Good",IF(HR_Data[[#This Row],[WorkLifeBalance]]=3,"Better","Best")))</f>
        <v>Better</v>
      </c>
    </row>
    <row r="1095" spans="1:42"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IF(HR_Data[[#This Row],[Attrition]]="Yes",1,0)</f>
        <v>0</v>
      </c>
      <c r="AK1095">
        <f>IF(HR_Data[[#This Row],[Attrition]]="No",1,0)</f>
        <v>1</v>
      </c>
      <c r="AL1095" t="str">
        <f>IF(HR_Data[[#This Row],[Age]]&lt;25,"Under 25",IF(HR_Data[[#This Row],[Age]]&lt;=34,"25-34",IF(HR_Data[[#This Row],[Age]]&lt;=44,"35-44",IF(HR_Data[[#This Row],[Age]]&lt;=54,"45-54","55+"))))</f>
        <v>35-44</v>
      </c>
      <c r="AM1095" t="str">
        <f>IF(HR_Data[[#This Row],[MonthlyIncome]]&lt;3000,"Low Salary",IF(HR_Data[[#This Row],[MonthlyIncome]]&lt;=7000,"Medium Salary","High Salary"))</f>
        <v>High Salary</v>
      </c>
      <c r="AN1095" t="str">
        <f>IF(HR_Data[[#This Row],[YearsAtCompany]]&lt;2,"0-1 Years",IF(HR_Data[[#This Row],[YearsAtCompany]]&lt;=5,"2-5 Years",IF(HR_Data[[#This Row],[YearsAtCompany]]&lt;=10,"6-10 Years","10+ Years")))</f>
        <v>10+ Years</v>
      </c>
      <c r="AO1095" t="str">
        <f>IF(HR_Data[[#This Row],[JobSatisfaction]]=1,"Low",IF(HR_Data[[#This Row],[JobSatisfaction]]=2,"Medium",IF(HR_Data[[#This Row],[JobSatisfaction]]=3,"High","Very High")))</f>
        <v>Very High</v>
      </c>
      <c r="AP1095" t="str">
        <f>IF(HR_Data[[#This Row],[WorkLifeBalance]]=1,"Bad",IF(HR_Data[[#This Row],[WorkLifeBalance]]=2,"Good",IF(HR_Data[[#This Row],[WorkLifeBalance]]=3,"Better","Best")))</f>
        <v>Bad</v>
      </c>
    </row>
    <row r="1096" spans="1:42"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IF(HR_Data[[#This Row],[Attrition]]="Yes",1,0)</f>
        <v>0</v>
      </c>
      <c r="AK1096">
        <f>IF(HR_Data[[#This Row],[Attrition]]="No",1,0)</f>
        <v>1</v>
      </c>
      <c r="AL1096" t="str">
        <f>IF(HR_Data[[#This Row],[Age]]&lt;25,"Under 25",IF(HR_Data[[#This Row],[Age]]&lt;=34,"25-34",IF(HR_Data[[#This Row],[Age]]&lt;=44,"35-44",IF(HR_Data[[#This Row],[Age]]&lt;=54,"45-54","55+"))))</f>
        <v>35-44</v>
      </c>
      <c r="AM1096" t="str">
        <f>IF(HR_Data[[#This Row],[MonthlyIncome]]&lt;3000,"Low Salary",IF(HR_Data[[#This Row],[MonthlyIncome]]&lt;=7000,"Medium Salary","High Salary"))</f>
        <v>Medium Salary</v>
      </c>
      <c r="AN1096" t="str">
        <f>IF(HR_Data[[#This Row],[YearsAtCompany]]&lt;2,"0-1 Years",IF(HR_Data[[#This Row],[YearsAtCompany]]&lt;=5,"2-5 Years",IF(HR_Data[[#This Row],[YearsAtCompany]]&lt;=10,"6-10 Years","10+ Years")))</f>
        <v>6-10 Years</v>
      </c>
      <c r="AO1096" t="str">
        <f>IF(HR_Data[[#This Row],[JobSatisfaction]]=1,"Low",IF(HR_Data[[#This Row],[JobSatisfaction]]=2,"Medium",IF(HR_Data[[#This Row],[JobSatisfaction]]=3,"High","Very High")))</f>
        <v>Low</v>
      </c>
      <c r="AP1096" t="str">
        <f>IF(HR_Data[[#This Row],[WorkLifeBalance]]=1,"Bad",IF(HR_Data[[#This Row],[WorkLifeBalance]]=2,"Good",IF(HR_Data[[#This Row],[WorkLifeBalance]]=3,"Better","Best")))</f>
        <v>Best</v>
      </c>
    </row>
    <row r="1097" spans="1:42"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IF(HR_Data[[#This Row],[Attrition]]="Yes",1,0)</f>
        <v>0</v>
      </c>
      <c r="AK1097">
        <f>IF(HR_Data[[#This Row],[Attrition]]="No",1,0)</f>
        <v>1</v>
      </c>
      <c r="AL1097" t="str">
        <f>IF(HR_Data[[#This Row],[Age]]&lt;25,"Under 25",IF(HR_Data[[#This Row],[Age]]&lt;=34,"25-34",IF(HR_Data[[#This Row],[Age]]&lt;=44,"35-44",IF(HR_Data[[#This Row],[Age]]&lt;=54,"45-54","55+"))))</f>
        <v>25-34</v>
      </c>
      <c r="AM1097" t="str">
        <f>IF(HR_Data[[#This Row],[MonthlyIncome]]&lt;3000,"Low Salary",IF(HR_Data[[#This Row],[MonthlyIncome]]&lt;=7000,"Medium Salary","High Salary"))</f>
        <v>Medium Salary</v>
      </c>
      <c r="AN1097" t="str">
        <f>IF(HR_Data[[#This Row],[YearsAtCompany]]&lt;2,"0-1 Years",IF(HR_Data[[#This Row],[YearsAtCompany]]&lt;=5,"2-5 Years",IF(HR_Data[[#This Row],[YearsAtCompany]]&lt;=10,"6-10 Years","10+ Years")))</f>
        <v>10+ Years</v>
      </c>
      <c r="AO1097" t="str">
        <f>IF(HR_Data[[#This Row],[JobSatisfaction]]=1,"Low",IF(HR_Data[[#This Row],[JobSatisfaction]]=2,"Medium",IF(HR_Data[[#This Row],[JobSatisfaction]]=3,"High","Very High")))</f>
        <v>High</v>
      </c>
      <c r="AP1097" t="str">
        <f>IF(HR_Data[[#This Row],[WorkLifeBalance]]=1,"Bad",IF(HR_Data[[#This Row],[WorkLifeBalance]]=2,"Good",IF(HR_Data[[#This Row],[WorkLifeBalance]]=3,"Better","Best")))</f>
        <v>Better</v>
      </c>
    </row>
    <row r="1098" spans="1:42"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IF(HR_Data[[#This Row],[Attrition]]="Yes",1,0)</f>
        <v>0</v>
      </c>
      <c r="AK1098">
        <f>IF(HR_Data[[#This Row],[Attrition]]="No",1,0)</f>
        <v>1</v>
      </c>
      <c r="AL1098" t="str">
        <f>IF(HR_Data[[#This Row],[Age]]&lt;25,"Under 25",IF(HR_Data[[#This Row],[Age]]&lt;=34,"25-34",IF(HR_Data[[#This Row],[Age]]&lt;=44,"35-44",IF(HR_Data[[#This Row],[Age]]&lt;=54,"45-54","55+"))))</f>
        <v>35-44</v>
      </c>
      <c r="AM1098" t="str">
        <f>IF(HR_Data[[#This Row],[MonthlyIncome]]&lt;3000,"Low Salary",IF(HR_Data[[#This Row],[MonthlyIncome]]&lt;=7000,"Medium Salary","High Salary"))</f>
        <v>High Salary</v>
      </c>
      <c r="AN1098" t="str">
        <f>IF(HR_Data[[#This Row],[YearsAtCompany]]&lt;2,"0-1 Years",IF(HR_Data[[#This Row],[YearsAtCompany]]&lt;=5,"2-5 Years",IF(HR_Data[[#This Row],[YearsAtCompany]]&lt;=10,"6-10 Years","10+ Years")))</f>
        <v>10+ Years</v>
      </c>
      <c r="AO1098" t="str">
        <f>IF(HR_Data[[#This Row],[JobSatisfaction]]=1,"Low",IF(HR_Data[[#This Row],[JobSatisfaction]]=2,"Medium",IF(HR_Data[[#This Row],[JobSatisfaction]]=3,"High","Very High")))</f>
        <v>Very High</v>
      </c>
      <c r="AP1098" t="str">
        <f>IF(HR_Data[[#This Row],[WorkLifeBalance]]=1,"Bad",IF(HR_Data[[#This Row],[WorkLifeBalance]]=2,"Good",IF(HR_Data[[#This Row],[WorkLifeBalance]]=3,"Better","Best")))</f>
        <v>Better</v>
      </c>
    </row>
    <row r="1099" spans="1:42"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IF(HR_Data[[#This Row],[Attrition]]="Yes",1,0)</f>
        <v>0</v>
      </c>
      <c r="AK1099">
        <f>IF(HR_Data[[#This Row],[Attrition]]="No",1,0)</f>
        <v>1</v>
      </c>
      <c r="AL1099" t="str">
        <f>IF(HR_Data[[#This Row],[Age]]&lt;25,"Under 25",IF(HR_Data[[#This Row],[Age]]&lt;=34,"25-34",IF(HR_Data[[#This Row],[Age]]&lt;=44,"35-44",IF(HR_Data[[#This Row],[Age]]&lt;=54,"45-54","55+"))))</f>
        <v>Under 25</v>
      </c>
      <c r="AM1099" t="str">
        <f>IF(HR_Data[[#This Row],[MonthlyIncome]]&lt;3000,"Low Salary",IF(HR_Data[[#This Row],[MonthlyIncome]]&lt;=7000,"Medium Salary","High Salary"))</f>
        <v>Low Salary</v>
      </c>
      <c r="AN1099" t="str">
        <f>IF(HR_Data[[#This Row],[YearsAtCompany]]&lt;2,"0-1 Years",IF(HR_Data[[#This Row],[YearsAtCompany]]&lt;=5,"2-5 Years",IF(HR_Data[[#This Row],[YearsAtCompany]]&lt;=10,"6-10 Years","10+ Years")))</f>
        <v>0-1 Years</v>
      </c>
      <c r="AO1099" t="str">
        <f>IF(HR_Data[[#This Row],[JobSatisfaction]]=1,"Low",IF(HR_Data[[#This Row],[JobSatisfaction]]=2,"Medium",IF(HR_Data[[#This Row],[JobSatisfaction]]=3,"High","Very High")))</f>
        <v>Low</v>
      </c>
      <c r="AP1099" t="str">
        <f>IF(HR_Data[[#This Row],[WorkLifeBalance]]=1,"Bad",IF(HR_Data[[#This Row],[WorkLifeBalance]]=2,"Good",IF(HR_Data[[#This Row],[WorkLifeBalance]]=3,"Better","Best")))</f>
        <v>Better</v>
      </c>
    </row>
    <row r="1100" spans="1:42"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IF(HR_Data[[#This Row],[Attrition]]="Yes",1,0)</f>
        <v>0</v>
      </c>
      <c r="AK1100">
        <f>IF(HR_Data[[#This Row],[Attrition]]="No",1,0)</f>
        <v>1</v>
      </c>
      <c r="AL1100" t="str">
        <f>IF(HR_Data[[#This Row],[Age]]&lt;25,"Under 25",IF(HR_Data[[#This Row],[Age]]&lt;=34,"25-34",IF(HR_Data[[#This Row],[Age]]&lt;=44,"35-44",IF(HR_Data[[#This Row],[Age]]&lt;=54,"45-54","55+"))))</f>
        <v>35-44</v>
      </c>
      <c r="AM1100" t="str">
        <f>IF(HR_Data[[#This Row],[MonthlyIncome]]&lt;3000,"Low Salary",IF(HR_Data[[#This Row],[MonthlyIncome]]&lt;=7000,"Medium Salary","High Salary"))</f>
        <v>Medium Salary</v>
      </c>
      <c r="AN1100" t="str">
        <f>IF(HR_Data[[#This Row],[YearsAtCompany]]&lt;2,"0-1 Years",IF(HR_Data[[#This Row],[YearsAtCompany]]&lt;=5,"2-5 Years",IF(HR_Data[[#This Row],[YearsAtCompany]]&lt;=10,"6-10 Years","10+ Years")))</f>
        <v>2-5 Years</v>
      </c>
      <c r="AO1100" t="str">
        <f>IF(HR_Data[[#This Row],[JobSatisfaction]]=1,"Low",IF(HR_Data[[#This Row],[JobSatisfaction]]=2,"Medium",IF(HR_Data[[#This Row],[JobSatisfaction]]=3,"High","Very High")))</f>
        <v>Very High</v>
      </c>
      <c r="AP1100" t="str">
        <f>IF(HR_Data[[#This Row],[WorkLifeBalance]]=1,"Bad",IF(HR_Data[[#This Row],[WorkLifeBalance]]=2,"Good",IF(HR_Data[[#This Row],[WorkLifeBalance]]=3,"Better","Best")))</f>
        <v>Better</v>
      </c>
    </row>
    <row r="1101" spans="1:42"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IF(HR_Data[[#This Row],[Attrition]]="Yes",1,0)</f>
        <v>0</v>
      </c>
      <c r="AK1101">
        <f>IF(HR_Data[[#This Row],[Attrition]]="No",1,0)</f>
        <v>1</v>
      </c>
      <c r="AL1101" t="str">
        <f>IF(HR_Data[[#This Row],[Age]]&lt;25,"Under 25",IF(HR_Data[[#This Row],[Age]]&lt;=34,"25-34",IF(HR_Data[[#This Row],[Age]]&lt;=44,"35-44",IF(HR_Data[[#This Row],[Age]]&lt;=54,"45-54","55+"))))</f>
        <v>45-54</v>
      </c>
      <c r="AM1101" t="str">
        <f>IF(HR_Data[[#This Row],[MonthlyIncome]]&lt;3000,"Low Salary",IF(HR_Data[[#This Row],[MonthlyIncome]]&lt;=7000,"Medium Salary","High Salary"))</f>
        <v>High Salary</v>
      </c>
      <c r="AN1101" t="str">
        <f>IF(HR_Data[[#This Row],[YearsAtCompany]]&lt;2,"0-1 Years",IF(HR_Data[[#This Row],[YearsAtCompany]]&lt;=5,"2-5 Years",IF(HR_Data[[#This Row],[YearsAtCompany]]&lt;=10,"6-10 Years","10+ Years")))</f>
        <v>6-10 Years</v>
      </c>
      <c r="AO1101" t="str">
        <f>IF(HR_Data[[#This Row],[JobSatisfaction]]=1,"Low",IF(HR_Data[[#This Row],[JobSatisfaction]]=2,"Medium",IF(HR_Data[[#This Row],[JobSatisfaction]]=3,"High","Very High")))</f>
        <v>Medium</v>
      </c>
      <c r="AP1101" t="str">
        <f>IF(HR_Data[[#This Row],[WorkLifeBalance]]=1,"Bad",IF(HR_Data[[#This Row],[WorkLifeBalance]]=2,"Good",IF(HR_Data[[#This Row],[WorkLifeBalance]]=3,"Better","Best")))</f>
        <v>Better</v>
      </c>
    </row>
    <row r="1102" spans="1:42"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IF(HR_Data[[#This Row],[Attrition]]="Yes",1,0)</f>
        <v>0</v>
      </c>
      <c r="AK1102">
        <f>IF(HR_Data[[#This Row],[Attrition]]="No",1,0)</f>
        <v>1</v>
      </c>
      <c r="AL1102" t="str">
        <f>IF(HR_Data[[#This Row],[Age]]&lt;25,"Under 25",IF(HR_Data[[#This Row],[Age]]&lt;=34,"25-34",IF(HR_Data[[#This Row],[Age]]&lt;=44,"35-44",IF(HR_Data[[#This Row],[Age]]&lt;=54,"45-54","55+"))))</f>
        <v>35-44</v>
      </c>
      <c r="AM1102" t="str">
        <f>IF(HR_Data[[#This Row],[MonthlyIncome]]&lt;3000,"Low Salary",IF(HR_Data[[#This Row],[MonthlyIncome]]&lt;=7000,"Medium Salary","High Salary"))</f>
        <v>Low Salary</v>
      </c>
      <c r="AN1102" t="str">
        <f>IF(HR_Data[[#This Row],[YearsAtCompany]]&lt;2,"0-1 Years",IF(HR_Data[[#This Row],[YearsAtCompany]]&lt;=5,"2-5 Years",IF(HR_Data[[#This Row],[YearsAtCompany]]&lt;=10,"6-10 Years","10+ Years")))</f>
        <v>2-5 Years</v>
      </c>
      <c r="AO1102" t="str">
        <f>IF(HR_Data[[#This Row],[JobSatisfaction]]=1,"Low",IF(HR_Data[[#This Row],[JobSatisfaction]]=2,"Medium",IF(HR_Data[[#This Row],[JobSatisfaction]]=3,"High","Very High")))</f>
        <v>High</v>
      </c>
      <c r="AP1102" t="str">
        <f>IF(HR_Data[[#This Row],[WorkLifeBalance]]=1,"Bad",IF(HR_Data[[#This Row],[WorkLifeBalance]]=2,"Good",IF(HR_Data[[#This Row],[WorkLifeBalance]]=3,"Better","Best")))</f>
        <v>Better</v>
      </c>
    </row>
    <row r="1103" spans="1:42"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IF(HR_Data[[#This Row],[Attrition]]="Yes",1,0)</f>
        <v>0</v>
      </c>
      <c r="AK1103">
        <f>IF(HR_Data[[#This Row],[Attrition]]="No",1,0)</f>
        <v>1</v>
      </c>
      <c r="AL1103" t="str">
        <f>IF(HR_Data[[#This Row],[Age]]&lt;25,"Under 25",IF(HR_Data[[#This Row],[Age]]&lt;=34,"25-34",IF(HR_Data[[#This Row],[Age]]&lt;=44,"35-44",IF(HR_Data[[#This Row],[Age]]&lt;=54,"45-54","55+"))))</f>
        <v>25-34</v>
      </c>
      <c r="AM1103" t="str">
        <f>IF(HR_Data[[#This Row],[MonthlyIncome]]&lt;3000,"Low Salary",IF(HR_Data[[#This Row],[MonthlyIncome]]&lt;=7000,"Medium Salary","High Salary"))</f>
        <v>Medium Salary</v>
      </c>
      <c r="AN1103" t="str">
        <f>IF(HR_Data[[#This Row],[YearsAtCompany]]&lt;2,"0-1 Years",IF(HR_Data[[#This Row],[YearsAtCompany]]&lt;=5,"2-5 Years",IF(HR_Data[[#This Row],[YearsAtCompany]]&lt;=10,"6-10 Years","10+ Years")))</f>
        <v>6-10 Years</v>
      </c>
      <c r="AO1103" t="str">
        <f>IF(HR_Data[[#This Row],[JobSatisfaction]]=1,"Low",IF(HR_Data[[#This Row],[JobSatisfaction]]=2,"Medium",IF(HR_Data[[#This Row],[JobSatisfaction]]=3,"High","Very High")))</f>
        <v>Medium</v>
      </c>
      <c r="AP1103" t="str">
        <f>IF(HR_Data[[#This Row],[WorkLifeBalance]]=1,"Bad",IF(HR_Data[[#This Row],[WorkLifeBalance]]=2,"Good",IF(HR_Data[[#This Row],[WorkLifeBalance]]=3,"Better","Best")))</f>
        <v>Better</v>
      </c>
    </row>
    <row r="1104" spans="1:42"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IF(HR_Data[[#This Row],[Attrition]]="Yes",1,0)</f>
        <v>0</v>
      </c>
      <c r="AK1104">
        <f>IF(HR_Data[[#This Row],[Attrition]]="No",1,0)</f>
        <v>1</v>
      </c>
      <c r="AL1104" t="str">
        <f>IF(HR_Data[[#This Row],[Age]]&lt;25,"Under 25",IF(HR_Data[[#This Row],[Age]]&lt;=34,"25-34",IF(HR_Data[[#This Row],[Age]]&lt;=44,"35-44",IF(HR_Data[[#This Row],[Age]]&lt;=54,"45-54","55+"))))</f>
        <v>35-44</v>
      </c>
      <c r="AM1104" t="str">
        <f>IF(HR_Data[[#This Row],[MonthlyIncome]]&lt;3000,"Low Salary",IF(HR_Data[[#This Row],[MonthlyIncome]]&lt;=7000,"Medium Salary","High Salary"))</f>
        <v>Low Salary</v>
      </c>
      <c r="AN1104" t="str">
        <f>IF(HR_Data[[#This Row],[YearsAtCompany]]&lt;2,"0-1 Years",IF(HR_Data[[#This Row],[YearsAtCompany]]&lt;=5,"2-5 Years",IF(HR_Data[[#This Row],[YearsAtCompany]]&lt;=10,"6-10 Years","10+ Years")))</f>
        <v>2-5 Years</v>
      </c>
      <c r="AO1104" t="str">
        <f>IF(HR_Data[[#This Row],[JobSatisfaction]]=1,"Low",IF(HR_Data[[#This Row],[JobSatisfaction]]=2,"Medium",IF(HR_Data[[#This Row],[JobSatisfaction]]=3,"High","Very High")))</f>
        <v>Very High</v>
      </c>
      <c r="AP1104" t="str">
        <f>IF(HR_Data[[#This Row],[WorkLifeBalance]]=1,"Bad",IF(HR_Data[[#This Row],[WorkLifeBalance]]=2,"Good",IF(HR_Data[[#This Row],[WorkLifeBalance]]=3,"Better","Best")))</f>
        <v>Good</v>
      </c>
    </row>
    <row r="1105" spans="1:42"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IF(HR_Data[[#This Row],[Attrition]]="Yes",1,0)</f>
        <v>0</v>
      </c>
      <c r="AK1105">
        <f>IF(HR_Data[[#This Row],[Attrition]]="No",1,0)</f>
        <v>1</v>
      </c>
      <c r="AL1105" t="str">
        <f>IF(HR_Data[[#This Row],[Age]]&lt;25,"Under 25",IF(HR_Data[[#This Row],[Age]]&lt;=34,"25-34",IF(HR_Data[[#This Row],[Age]]&lt;=44,"35-44",IF(HR_Data[[#This Row],[Age]]&lt;=54,"45-54","55+"))))</f>
        <v>45-54</v>
      </c>
      <c r="AM1105" t="str">
        <f>IF(HR_Data[[#This Row],[MonthlyIncome]]&lt;3000,"Low Salary",IF(HR_Data[[#This Row],[MonthlyIncome]]&lt;=7000,"Medium Salary","High Salary"))</f>
        <v>Medium Salary</v>
      </c>
      <c r="AN1105" t="str">
        <f>IF(HR_Data[[#This Row],[YearsAtCompany]]&lt;2,"0-1 Years",IF(HR_Data[[#This Row],[YearsAtCompany]]&lt;=5,"2-5 Years",IF(HR_Data[[#This Row],[YearsAtCompany]]&lt;=10,"6-10 Years","10+ Years")))</f>
        <v>6-10 Years</v>
      </c>
      <c r="AO1105" t="str">
        <f>IF(HR_Data[[#This Row],[JobSatisfaction]]=1,"Low",IF(HR_Data[[#This Row],[JobSatisfaction]]=2,"Medium",IF(HR_Data[[#This Row],[JobSatisfaction]]=3,"High","Very High")))</f>
        <v>High</v>
      </c>
      <c r="AP1105" t="str">
        <f>IF(HR_Data[[#This Row],[WorkLifeBalance]]=1,"Bad",IF(HR_Data[[#This Row],[WorkLifeBalance]]=2,"Good",IF(HR_Data[[#This Row],[WorkLifeBalance]]=3,"Better","Best")))</f>
        <v>Better</v>
      </c>
    </row>
    <row r="1106" spans="1:42"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IF(HR_Data[[#This Row],[Attrition]]="Yes",1,0)</f>
        <v>0</v>
      </c>
      <c r="AK1106">
        <f>IF(HR_Data[[#This Row],[Attrition]]="No",1,0)</f>
        <v>1</v>
      </c>
      <c r="AL1106" t="str">
        <f>IF(HR_Data[[#This Row],[Age]]&lt;25,"Under 25",IF(HR_Data[[#This Row],[Age]]&lt;=34,"25-34",IF(HR_Data[[#This Row],[Age]]&lt;=44,"35-44",IF(HR_Data[[#This Row],[Age]]&lt;=54,"45-54","55+"))))</f>
        <v>25-34</v>
      </c>
      <c r="AM1106" t="str">
        <f>IF(HR_Data[[#This Row],[MonthlyIncome]]&lt;3000,"Low Salary",IF(HR_Data[[#This Row],[MonthlyIncome]]&lt;=7000,"Medium Salary","High Salary"))</f>
        <v>Low Salary</v>
      </c>
      <c r="AN1106" t="str">
        <f>IF(HR_Data[[#This Row],[YearsAtCompany]]&lt;2,"0-1 Years",IF(HR_Data[[#This Row],[YearsAtCompany]]&lt;=5,"2-5 Years",IF(HR_Data[[#This Row],[YearsAtCompany]]&lt;=10,"6-10 Years","10+ Years")))</f>
        <v>0-1 Years</v>
      </c>
      <c r="AO1106" t="str">
        <f>IF(HR_Data[[#This Row],[JobSatisfaction]]=1,"Low",IF(HR_Data[[#This Row],[JobSatisfaction]]=2,"Medium",IF(HR_Data[[#This Row],[JobSatisfaction]]=3,"High","Very High")))</f>
        <v>High</v>
      </c>
      <c r="AP1106" t="str">
        <f>IF(HR_Data[[#This Row],[WorkLifeBalance]]=1,"Bad",IF(HR_Data[[#This Row],[WorkLifeBalance]]=2,"Good",IF(HR_Data[[#This Row],[WorkLifeBalance]]=3,"Better","Best")))</f>
        <v>Good</v>
      </c>
    </row>
    <row r="1107" spans="1:42"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IF(HR_Data[[#This Row],[Attrition]]="Yes",1,0)</f>
        <v>0</v>
      </c>
      <c r="AK1107">
        <f>IF(HR_Data[[#This Row],[Attrition]]="No",1,0)</f>
        <v>1</v>
      </c>
      <c r="AL1107" t="str">
        <f>IF(HR_Data[[#This Row],[Age]]&lt;25,"Under 25",IF(HR_Data[[#This Row],[Age]]&lt;=34,"25-34",IF(HR_Data[[#This Row],[Age]]&lt;=44,"35-44",IF(HR_Data[[#This Row],[Age]]&lt;=54,"45-54","55+"))))</f>
        <v>25-34</v>
      </c>
      <c r="AM1107" t="str">
        <f>IF(HR_Data[[#This Row],[MonthlyIncome]]&lt;3000,"Low Salary",IF(HR_Data[[#This Row],[MonthlyIncome]]&lt;=7000,"Medium Salary","High Salary"))</f>
        <v>Medium Salary</v>
      </c>
      <c r="AN1107" t="str">
        <f>IF(HR_Data[[#This Row],[YearsAtCompany]]&lt;2,"0-1 Years",IF(HR_Data[[#This Row],[YearsAtCompany]]&lt;=5,"2-5 Years",IF(HR_Data[[#This Row],[YearsAtCompany]]&lt;=10,"6-10 Years","10+ Years")))</f>
        <v>2-5 Years</v>
      </c>
      <c r="AO1107" t="str">
        <f>IF(HR_Data[[#This Row],[JobSatisfaction]]=1,"Low",IF(HR_Data[[#This Row],[JobSatisfaction]]=2,"Medium",IF(HR_Data[[#This Row],[JobSatisfaction]]=3,"High","Very High")))</f>
        <v>Low</v>
      </c>
      <c r="AP1107" t="str">
        <f>IF(HR_Data[[#This Row],[WorkLifeBalance]]=1,"Bad",IF(HR_Data[[#This Row],[WorkLifeBalance]]=2,"Good",IF(HR_Data[[#This Row],[WorkLifeBalance]]=3,"Better","Best")))</f>
        <v>Bad</v>
      </c>
    </row>
    <row r="1108" spans="1:42"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IF(HR_Data[[#This Row],[Attrition]]="Yes",1,0)</f>
        <v>1</v>
      </c>
      <c r="AK1108">
        <f>IF(HR_Data[[#This Row],[Attrition]]="No",1,0)</f>
        <v>0</v>
      </c>
      <c r="AL1108" t="str">
        <f>IF(HR_Data[[#This Row],[Age]]&lt;25,"Under 25",IF(HR_Data[[#This Row],[Age]]&lt;=34,"25-34",IF(HR_Data[[#This Row],[Age]]&lt;=44,"35-44",IF(HR_Data[[#This Row],[Age]]&lt;=54,"45-54","55+"))))</f>
        <v>25-34</v>
      </c>
      <c r="AM1108" t="str">
        <f>IF(HR_Data[[#This Row],[MonthlyIncome]]&lt;3000,"Low Salary",IF(HR_Data[[#This Row],[MonthlyIncome]]&lt;=7000,"Medium Salary","High Salary"))</f>
        <v>High Salary</v>
      </c>
      <c r="AN1108" t="str">
        <f>IF(HR_Data[[#This Row],[YearsAtCompany]]&lt;2,"0-1 Years",IF(HR_Data[[#This Row],[YearsAtCompany]]&lt;=5,"2-5 Years",IF(HR_Data[[#This Row],[YearsAtCompany]]&lt;=10,"6-10 Years","10+ Years")))</f>
        <v>6-10 Years</v>
      </c>
      <c r="AO1108" t="str">
        <f>IF(HR_Data[[#This Row],[JobSatisfaction]]=1,"Low",IF(HR_Data[[#This Row],[JobSatisfaction]]=2,"Medium",IF(HR_Data[[#This Row],[JobSatisfaction]]=3,"High","Very High")))</f>
        <v>Low</v>
      </c>
      <c r="AP1108" t="str">
        <f>IF(HR_Data[[#This Row],[WorkLifeBalance]]=1,"Bad",IF(HR_Data[[#This Row],[WorkLifeBalance]]=2,"Good",IF(HR_Data[[#This Row],[WorkLifeBalance]]=3,"Better","Best")))</f>
        <v>Better</v>
      </c>
    </row>
    <row r="1109" spans="1:42"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IF(HR_Data[[#This Row],[Attrition]]="Yes",1,0)</f>
        <v>0</v>
      </c>
      <c r="AK1109">
        <f>IF(HR_Data[[#This Row],[Attrition]]="No",1,0)</f>
        <v>1</v>
      </c>
      <c r="AL1109" t="str">
        <f>IF(HR_Data[[#This Row],[Age]]&lt;25,"Under 25",IF(HR_Data[[#This Row],[Age]]&lt;=34,"25-34",IF(HR_Data[[#This Row],[Age]]&lt;=44,"35-44",IF(HR_Data[[#This Row],[Age]]&lt;=54,"45-54","55+"))))</f>
        <v>35-44</v>
      </c>
      <c r="AM1109" t="str">
        <f>IF(HR_Data[[#This Row],[MonthlyIncome]]&lt;3000,"Low Salary",IF(HR_Data[[#This Row],[MonthlyIncome]]&lt;=7000,"Medium Salary","High Salary"))</f>
        <v>Medium Salary</v>
      </c>
      <c r="AN1109" t="str">
        <f>IF(HR_Data[[#This Row],[YearsAtCompany]]&lt;2,"0-1 Years",IF(HR_Data[[#This Row],[YearsAtCompany]]&lt;=5,"2-5 Years",IF(HR_Data[[#This Row],[YearsAtCompany]]&lt;=10,"6-10 Years","10+ Years")))</f>
        <v>6-10 Years</v>
      </c>
      <c r="AO1109" t="str">
        <f>IF(HR_Data[[#This Row],[JobSatisfaction]]=1,"Low",IF(HR_Data[[#This Row],[JobSatisfaction]]=2,"Medium",IF(HR_Data[[#This Row],[JobSatisfaction]]=3,"High","Very High")))</f>
        <v>High</v>
      </c>
      <c r="AP1109" t="str">
        <f>IF(HR_Data[[#This Row],[WorkLifeBalance]]=1,"Bad",IF(HR_Data[[#This Row],[WorkLifeBalance]]=2,"Good",IF(HR_Data[[#This Row],[WorkLifeBalance]]=3,"Better","Best")))</f>
        <v>Better</v>
      </c>
    </row>
    <row r="1110" spans="1:42"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IF(HR_Data[[#This Row],[Attrition]]="Yes",1,0)</f>
        <v>0</v>
      </c>
      <c r="AK1110">
        <f>IF(HR_Data[[#This Row],[Attrition]]="No",1,0)</f>
        <v>1</v>
      </c>
      <c r="AL1110" t="str">
        <f>IF(HR_Data[[#This Row],[Age]]&lt;25,"Under 25",IF(HR_Data[[#This Row],[Age]]&lt;=34,"25-34",IF(HR_Data[[#This Row],[Age]]&lt;=44,"35-44",IF(HR_Data[[#This Row],[Age]]&lt;=54,"45-54","55+"))))</f>
        <v>35-44</v>
      </c>
      <c r="AM1110" t="str">
        <f>IF(HR_Data[[#This Row],[MonthlyIncome]]&lt;3000,"Low Salary",IF(HR_Data[[#This Row],[MonthlyIncome]]&lt;=7000,"Medium Salary","High Salary"))</f>
        <v>Low Salary</v>
      </c>
      <c r="AN1110" t="str">
        <f>IF(HR_Data[[#This Row],[YearsAtCompany]]&lt;2,"0-1 Years",IF(HR_Data[[#This Row],[YearsAtCompany]]&lt;=5,"2-5 Years",IF(HR_Data[[#This Row],[YearsAtCompany]]&lt;=10,"6-10 Years","10+ Years")))</f>
        <v>2-5 Years</v>
      </c>
      <c r="AO1110" t="str">
        <f>IF(HR_Data[[#This Row],[JobSatisfaction]]=1,"Low",IF(HR_Data[[#This Row],[JobSatisfaction]]=2,"Medium",IF(HR_Data[[#This Row],[JobSatisfaction]]=3,"High","Very High")))</f>
        <v>Low</v>
      </c>
      <c r="AP1110" t="str">
        <f>IF(HR_Data[[#This Row],[WorkLifeBalance]]=1,"Bad",IF(HR_Data[[#This Row],[WorkLifeBalance]]=2,"Good",IF(HR_Data[[#This Row],[WorkLifeBalance]]=3,"Better","Best")))</f>
        <v>Better</v>
      </c>
    </row>
    <row r="1111" spans="1:42"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IF(HR_Data[[#This Row],[Attrition]]="Yes",1,0)</f>
        <v>0</v>
      </c>
      <c r="AK1111">
        <f>IF(HR_Data[[#This Row],[Attrition]]="No",1,0)</f>
        <v>1</v>
      </c>
      <c r="AL1111" t="str">
        <f>IF(HR_Data[[#This Row],[Age]]&lt;25,"Under 25",IF(HR_Data[[#This Row],[Age]]&lt;=34,"25-34",IF(HR_Data[[#This Row],[Age]]&lt;=44,"35-44",IF(HR_Data[[#This Row],[Age]]&lt;=54,"45-54","55+"))))</f>
        <v>25-34</v>
      </c>
      <c r="AM1111" t="str">
        <f>IF(HR_Data[[#This Row],[MonthlyIncome]]&lt;3000,"Low Salary",IF(HR_Data[[#This Row],[MonthlyIncome]]&lt;=7000,"Medium Salary","High Salary"))</f>
        <v>High Salary</v>
      </c>
      <c r="AN1111" t="str">
        <f>IF(HR_Data[[#This Row],[YearsAtCompany]]&lt;2,"0-1 Years",IF(HR_Data[[#This Row],[YearsAtCompany]]&lt;=5,"2-5 Years",IF(HR_Data[[#This Row],[YearsAtCompany]]&lt;=10,"6-10 Years","10+ Years")))</f>
        <v>2-5 Years</v>
      </c>
      <c r="AO1111" t="str">
        <f>IF(HR_Data[[#This Row],[JobSatisfaction]]=1,"Low",IF(HR_Data[[#This Row],[JobSatisfaction]]=2,"Medium",IF(HR_Data[[#This Row],[JobSatisfaction]]=3,"High","Very High")))</f>
        <v>Medium</v>
      </c>
      <c r="AP1111" t="str">
        <f>IF(HR_Data[[#This Row],[WorkLifeBalance]]=1,"Bad",IF(HR_Data[[#This Row],[WorkLifeBalance]]=2,"Good",IF(HR_Data[[#This Row],[WorkLifeBalance]]=3,"Better","Best")))</f>
        <v>Better</v>
      </c>
    </row>
    <row r="1112" spans="1:42"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IF(HR_Data[[#This Row],[Attrition]]="Yes",1,0)</f>
        <v>1</v>
      </c>
      <c r="AK1112">
        <f>IF(HR_Data[[#This Row],[Attrition]]="No",1,0)</f>
        <v>0</v>
      </c>
      <c r="AL1112" t="str">
        <f>IF(HR_Data[[#This Row],[Age]]&lt;25,"Under 25",IF(HR_Data[[#This Row],[Age]]&lt;=34,"25-34",IF(HR_Data[[#This Row],[Age]]&lt;=44,"35-44",IF(HR_Data[[#This Row],[Age]]&lt;=54,"45-54","55+"))))</f>
        <v>35-44</v>
      </c>
      <c r="AM1112" t="str">
        <f>IF(HR_Data[[#This Row],[MonthlyIncome]]&lt;3000,"Low Salary",IF(HR_Data[[#This Row],[MonthlyIncome]]&lt;=7000,"Medium Salary","High Salary"))</f>
        <v>Low Salary</v>
      </c>
      <c r="AN1112" t="str">
        <f>IF(HR_Data[[#This Row],[YearsAtCompany]]&lt;2,"0-1 Years",IF(HR_Data[[#This Row],[YearsAtCompany]]&lt;=5,"2-5 Years",IF(HR_Data[[#This Row],[YearsAtCompany]]&lt;=10,"6-10 Years","10+ Years")))</f>
        <v>0-1 Years</v>
      </c>
      <c r="AO1112" t="str">
        <f>IF(HR_Data[[#This Row],[JobSatisfaction]]=1,"Low",IF(HR_Data[[#This Row],[JobSatisfaction]]=2,"Medium",IF(HR_Data[[#This Row],[JobSatisfaction]]=3,"High","Very High")))</f>
        <v>Low</v>
      </c>
      <c r="AP1112" t="str">
        <f>IF(HR_Data[[#This Row],[WorkLifeBalance]]=1,"Bad",IF(HR_Data[[#This Row],[WorkLifeBalance]]=2,"Good",IF(HR_Data[[#This Row],[WorkLifeBalance]]=3,"Better","Best")))</f>
        <v>Better</v>
      </c>
    </row>
    <row r="1113" spans="1:42"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IF(HR_Data[[#This Row],[Attrition]]="Yes",1,0)</f>
        <v>1</v>
      </c>
      <c r="AK1113">
        <f>IF(HR_Data[[#This Row],[Attrition]]="No",1,0)</f>
        <v>0</v>
      </c>
      <c r="AL1113" t="str">
        <f>IF(HR_Data[[#This Row],[Age]]&lt;25,"Under 25",IF(HR_Data[[#This Row],[Age]]&lt;=34,"25-34",IF(HR_Data[[#This Row],[Age]]&lt;=44,"35-44",IF(HR_Data[[#This Row],[Age]]&lt;=54,"45-54","55+"))))</f>
        <v>45-54</v>
      </c>
      <c r="AM1113" t="str">
        <f>IF(HR_Data[[#This Row],[MonthlyIncome]]&lt;3000,"Low Salary",IF(HR_Data[[#This Row],[MonthlyIncome]]&lt;=7000,"Medium Salary","High Salary"))</f>
        <v>High Salary</v>
      </c>
      <c r="AN1113" t="str">
        <f>IF(HR_Data[[#This Row],[YearsAtCompany]]&lt;2,"0-1 Years",IF(HR_Data[[#This Row],[YearsAtCompany]]&lt;=5,"2-5 Years",IF(HR_Data[[#This Row],[YearsAtCompany]]&lt;=10,"6-10 Years","10+ Years")))</f>
        <v>10+ Years</v>
      </c>
      <c r="AO1113" t="str">
        <f>IF(HR_Data[[#This Row],[JobSatisfaction]]=1,"Low",IF(HR_Data[[#This Row],[JobSatisfaction]]=2,"Medium",IF(HR_Data[[#This Row],[JobSatisfaction]]=3,"High","Very High")))</f>
        <v>Very High</v>
      </c>
      <c r="AP1113" t="str">
        <f>IF(HR_Data[[#This Row],[WorkLifeBalance]]=1,"Bad",IF(HR_Data[[#This Row],[WorkLifeBalance]]=2,"Good",IF(HR_Data[[#This Row],[WorkLifeBalance]]=3,"Better","Best")))</f>
        <v>Better</v>
      </c>
    </row>
    <row r="1114" spans="1:42"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IF(HR_Data[[#This Row],[Attrition]]="Yes",1,0)</f>
        <v>1</v>
      </c>
      <c r="AK1114">
        <f>IF(HR_Data[[#This Row],[Attrition]]="No",1,0)</f>
        <v>0</v>
      </c>
      <c r="AL1114" t="str">
        <f>IF(HR_Data[[#This Row],[Age]]&lt;25,"Under 25",IF(HR_Data[[#This Row],[Age]]&lt;=34,"25-34",IF(HR_Data[[#This Row],[Age]]&lt;=44,"35-44",IF(HR_Data[[#This Row],[Age]]&lt;=54,"45-54","55+"))))</f>
        <v>35-44</v>
      </c>
      <c r="AM1114" t="str">
        <f>IF(HR_Data[[#This Row],[MonthlyIncome]]&lt;3000,"Low Salary",IF(HR_Data[[#This Row],[MonthlyIncome]]&lt;=7000,"Medium Salary","High Salary"))</f>
        <v>Medium Salary</v>
      </c>
      <c r="AN1114" t="str">
        <f>IF(HR_Data[[#This Row],[YearsAtCompany]]&lt;2,"0-1 Years",IF(HR_Data[[#This Row],[YearsAtCompany]]&lt;=5,"2-5 Years",IF(HR_Data[[#This Row],[YearsAtCompany]]&lt;=10,"6-10 Years","10+ Years")))</f>
        <v>2-5 Years</v>
      </c>
      <c r="AO1114" t="str">
        <f>IF(HR_Data[[#This Row],[JobSatisfaction]]=1,"Low",IF(HR_Data[[#This Row],[JobSatisfaction]]=2,"Medium",IF(HR_Data[[#This Row],[JobSatisfaction]]=3,"High","Very High")))</f>
        <v>Medium</v>
      </c>
      <c r="AP1114" t="str">
        <f>IF(HR_Data[[#This Row],[WorkLifeBalance]]=1,"Bad",IF(HR_Data[[#This Row],[WorkLifeBalance]]=2,"Good",IF(HR_Data[[#This Row],[WorkLifeBalance]]=3,"Better","Best")))</f>
        <v>Better</v>
      </c>
    </row>
    <row r="1115" spans="1:42"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IF(HR_Data[[#This Row],[Attrition]]="Yes",1,0)</f>
        <v>0</v>
      </c>
      <c r="AK1115">
        <f>IF(HR_Data[[#This Row],[Attrition]]="No",1,0)</f>
        <v>1</v>
      </c>
      <c r="AL1115" t="str">
        <f>IF(HR_Data[[#This Row],[Age]]&lt;25,"Under 25",IF(HR_Data[[#This Row],[Age]]&lt;=34,"25-34",IF(HR_Data[[#This Row],[Age]]&lt;=44,"35-44",IF(HR_Data[[#This Row],[Age]]&lt;=54,"45-54","55+"))))</f>
        <v>25-34</v>
      </c>
      <c r="AM1115" t="str">
        <f>IF(HR_Data[[#This Row],[MonthlyIncome]]&lt;3000,"Low Salary",IF(HR_Data[[#This Row],[MonthlyIncome]]&lt;=7000,"Medium Salary","High Salary"))</f>
        <v>Medium Salary</v>
      </c>
      <c r="AN1115" t="str">
        <f>IF(HR_Data[[#This Row],[YearsAtCompany]]&lt;2,"0-1 Years",IF(HR_Data[[#This Row],[YearsAtCompany]]&lt;=5,"2-5 Years",IF(HR_Data[[#This Row],[YearsAtCompany]]&lt;=10,"6-10 Years","10+ Years")))</f>
        <v>6-10 Years</v>
      </c>
      <c r="AO1115" t="str">
        <f>IF(HR_Data[[#This Row],[JobSatisfaction]]=1,"Low",IF(HR_Data[[#This Row],[JobSatisfaction]]=2,"Medium",IF(HR_Data[[#This Row],[JobSatisfaction]]=3,"High","Very High")))</f>
        <v>Low</v>
      </c>
      <c r="AP1115" t="str">
        <f>IF(HR_Data[[#This Row],[WorkLifeBalance]]=1,"Bad",IF(HR_Data[[#This Row],[WorkLifeBalance]]=2,"Good",IF(HR_Data[[#This Row],[WorkLifeBalance]]=3,"Better","Best")))</f>
        <v>Good</v>
      </c>
    </row>
    <row r="1116" spans="1:42"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IF(HR_Data[[#This Row],[Attrition]]="Yes",1,0)</f>
        <v>0</v>
      </c>
      <c r="AK1116">
        <f>IF(HR_Data[[#This Row],[Attrition]]="No",1,0)</f>
        <v>1</v>
      </c>
      <c r="AL1116" t="str">
        <f>IF(HR_Data[[#This Row],[Age]]&lt;25,"Under 25",IF(HR_Data[[#This Row],[Age]]&lt;=34,"25-34",IF(HR_Data[[#This Row],[Age]]&lt;=44,"35-44",IF(HR_Data[[#This Row],[Age]]&lt;=54,"45-54","55+"))))</f>
        <v>45-54</v>
      </c>
      <c r="AM1116" t="str">
        <f>IF(HR_Data[[#This Row],[MonthlyIncome]]&lt;3000,"Low Salary",IF(HR_Data[[#This Row],[MonthlyIncome]]&lt;=7000,"Medium Salary","High Salary"))</f>
        <v>Low Salary</v>
      </c>
      <c r="AN1116" t="str">
        <f>IF(HR_Data[[#This Row],[YearsAtCompany]]&lt;2,"0-1 Years",IF(HR_Data[[#This Row],[YearsAtCompany]]&lt;=5,"2-5 Years",IF(HR_Data[[#This Row],[YearsAtCompany]]&lt;=10,"6-10 Years","10+ Years")))</f>
        <v>6-10 Years</v>
      </c>
      <c r="AO1116" t="str">
        <f>IF(HR_Data[[#This Row],[JobSatisfaction]]=1,"Low",IF(HR_Data[[#This Row],[JobSatisfaction]]=2,"Medium",IF(HR_Data[[#This Row],[JobSatisfaction]]=3,"High","Very High")))</f>
        <v>Low</v>
      </c>
      <c r="AP1116" t="str">
        <f>IF(HR_Data[[#This Row],[WorkLifeBalance]]=1,"Bad",IF(HR_Data[[#This Row],[WorkLifeBalance]]=2,"Good",IF(HR_Data[[#This Row],[WorkLifeBalance]]=3,"Better","Best")))</f>
        <v>Good</v>
      </c>
    </row>
    <row r="1117" spans="1:42"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IF(HR_Data[[#This Row],[Attrition]]="Yes",1,0)</f>
        <v>0</v>
      </c>
      <c r="AK1117">
        <f>IF(HR_Data[[#This Row],[Attrition]]="No",1,0)</f>
        <v>1</v>
      </c>
      <c r="AL1117" t="str">
        <f>IF(HR_Data[[#This Row],[Age]]&lt;25,"Under 25",IF(HR_Data[[#This Row],[Age]]&lt;=34,"25-34",IF(HR_Data[[#This Row],[Age]]&lt;=44,"35-44",IF(HR_Data[[#This Row],[Age]]&lt;=54,"45-54","55+"))))</f>
        <v>25-34</v>
      </c>
      <c r="AM1117" t="str">
        <f>IF(HR_Data[[#This Row],[MonthlyIncome]]&lt;3000,"Low Salary",IF(HR_Data[[#This Row],[MonthlyIncome]]&lt;=7000,"Medium Salary","High Salary"))</f>
        <v>Low Salary</v>
      </c>
      <c r="AN1117" t="str">
        <f>IF(HR_Data[[#This Row],[YearsAtCompany]]&lt;2,"0-1 Years",IF(HR_Data[[#This Row],[YearsAtCompany]]&lt;=5,"2-5 Years",IF(HR_Data[[#This Row],[YearsAtCompany]]&lt;=10,"6-10 Years","10+ Years")))</f>
        <v>0-1 Years</v>
      </c>
      <c r="AO1117" t="str">
        <f>IF(HR_Data[[#This Row],[JobSatisfaction]]=1,"Low",IF(HR_Data[[#This Row],[JobSatisfaction]]=2,"Medium",IF(HR_Data[[#This Row],[JobSatisfaction]]=3,"High","Very High")))</f>
        <v>Very High</v>
      </c>
      <c r="AP1117" t="str">
        <f>IF(HR_Data[[#This Row],[WorkLifeBalance]]=1,"Bad",IF(HR_Data[[#This Row],[WorkLifeBalance]]=2,"Good",IF(HR_Data[[#This Row],[WorkLifeBalance]]=3,"Better","Best")))</f>
        <v>Bad</v>
      </c>
    </row>
    <row r="1118" spans="1:42"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IF(HR_Data[[#This Row],[Attrition]]="Yes",1,0)</f>
        <v>0</v>
      </c>
      <c r="AK1118">
        <f>IF(HR_Data[[#This Row],[Attrition]]="No",1,0)</f>
        <v>1</v>
      </c>
      <c r="AL1118" t="str">
        <f>IF(HR_Data[[#This Row],[Age]]&lt;25,"Under 25",IF(HR_Data[[#This Row],[Age]]&lt;=34,"25-34",IF(HR_Data[[#This Row],[Age]]&lt;=44,"35-44",IF(HR_Data[[#This Row],[Age]]&lt;=54,"45-54","55+"))))</f>
        <v>55+</v>
      </c>
      <c r="AM1118" t="str">
        <f>IF(HR_Data[[#This Row],[MonthlyIncome]]&lt;3000,"Low Salary",IF(HR_Data[[#This Row],[MonthlyIncome]]&lt;=7000,"Medium Salary","High Salary"))</f>
        <v>High Salary</v>
      </c>
      <c r="AN1118" t="str">
        <f>IF(HR_Data[[#This Row],[YearsAtCompany]]&lt;2,"0-1 Years",IF(HR_Data[[#This Row],[YearsAtCompany]]&lt;=5,"2-5 Years",IF(HR_Data[[#This Row],[YearsAtCompany]]&lt;=10,"6-10 Years","10+ Years")))</f>
        <v>10+ Years</v>
      </c>
      <c r="AO1118" t="str">
        <f>IF(HR_Data[[#This Row],[JobSatisfaction]]=1,"Low",IF(HR_Data[[#This Row],[JobSatisfaction]]=2,"Medium",IF(HR_Data[[#This Row],[JobSatisfaction]]=3,"High","Very High")))</f>
        <v>Very High</v>
      </c>
      <c r="AP1118" t="str">
        <f>IF(HR_Data[[#This Row],[WorkLifeBalance]]=1,"Bad",IF(HR_Data[[#This Row],[WorkLifeBalance]]=2,"Good",IF(HR_Data[[#This Row],[WorkLifeBalance]]=3,"Better","Best")))</f>
        <v>Better</v>
      </c>
    </row>
    <row r="1119" spans="1:42"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IF(HR_Data[[#This Row],[Attrition]]="Yes",1,0)</f>
        <v>0</v>
      </c>
      <c r="AK1119">
        <f>IF(HR_Data[[#This Row],[Attrition]]="No",1,0)</f>
        <v>1</v>
      </c>
      <c r="AL1119" t="str">
        <f>IF(HR_Data[[#This Row],[Age]]&lt;25,"Under 25",IF(HR_Data[[#This Row],[Age]]&lt;=34,"25-34",IF(HR_Data[[#This Row],[Age]]&lt;=44,"35-44",IF(HR_Data[[#This Row],[Age]]&lt;=54,"45-54","55+"))))</f>
        <v>25-34</v>
      </c>
      <c r="AM1119" t="str">
        <f>IF(HR_Data[[#This Row],[MonthlyIncome]]&lt;3000,"Low Salary",IF(HR_Data[[#This Row],[MonthlyIncome]]&lt;=7000,"Medium Salary","High Salary"))</f>
        <v>Medium Salary</v>
      </c>
      <c r="AN1119" t="str">
        <f>IF(HR_Data[[#This Row],[YearsAtCompany]]&lt;2,"0-1 Years",IF(HR_Data[[#This Row],[YearsAtCompany]]&lt;=5,"2-5 Years",IF(HR_Data[[#This Row],[YearsAtCompany]]&lt;=10,"6-10 Years","10+ Years")))</f>
        <v>2-5 Years</v>
      </c>
      <c r="AO1119" t="str">
        <f>IF(HR_Data[[#This Row],[JobSatisfaction]]=1,"Low",IF(HR_Data[[#This Row],[JobSatisfaction]]=2,"Medium",IF(HR_Data[[#This Row],[JobSatisfaction]]=3,"High","Very High")))</f>
        <v>Very High</v>
      </c>
      <c r="AP1119" t="str">
        <f>IF(HR_Data[[#This Row],[WorkLifeBalance]]=1,"Bad",IF(HR_Data[[#This Row],[WorkLifeBalance]]=2,"Good",IF(HR_Data[[#This Row],[WorkLifeBalance]]=3,"Better","Best")))</f>
        <v>Good</v>
      </c>
    </row>
    <row r="1120" spans="1:42"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IF(HR_Data[[#This Row],[Attrition]]="Yes",1,0)</f>
        <v>0</v>
      </c>
      <c r="AK1120">
        <f>IF(HR_Data[[#This Row],[Attrition]]="No",1,0)</f>
        <v>1</v>
      </c>
      <c r="AL1120" t="str">
        <f>IF(HR_Data[[#This Row],[Age]]&lt;25,"Under 25",IF(HR_Data[[#This Row],[Age]]&lt;=34,"25-34",IF(HR_Data[[#This Row],[Age]]&lt;=44,"35-44",IF(HR_Data[[#This Row],[Age]]&lt;=54,"45-54","55+"))))</f>
        <v>25-34</v>
      </c>
      <c r="AM1120" t="str">
        <f>IF(HR_Data[[#This Row],[MonthlyIncome]]&lt;3000,"Low Salary",IF(HR_Data[[#This Row],[MonthlyIncome]]&lt;=7000,"Medium Salary","High Salary"))</f>
        <v>Low Salary</v>
      </c>
      <c r="AN1120" t="str">
        <f>IF(HR_Data[[#This Row],[YearsAtCompany]]&lt;2,"0-1 Years",IF(HR_Data[[#This Row],[YearsAtCompany]]&lt;=5,"2-5 Years",IF(HR_Data[[#This Row],[YearsAtCompany]]&lt;=10,"6-10 Years","10+ Years")))</f>
        <v>0-1 Years</v>
      </c>
      <c r="AO1120" t="str">
        <f>IF(HR_Data[[#This Row],[JobSatisfaction]]=1,"Low",IF(HR_Data[[#This Row],[JobSatisfaction]]=2,"Medium",IF(HR_Data[[#This Row],[JobSatisfaction]]=3,"High","Very High")))</f>
        <v>Very High</v>
      </c>
      <c r="AP1120" t="str">
        <f>IF(HR_Data[[#This Row],[WorkLifeBalance]]=1,"Bad",IF(HR_Data[[#This Row],[WorkLifeBalance]]=2,"Good",IF(HR_Data[[#This Row],[WorkLifeBalance]]=3,"Better","Best")))</f>
        <v>Better</v>
      </c>
    </row>
    <row r="1121" spans="1:42"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IF(HR_Data[[#This Row],[Attrition]]="Yes",1,0)</f>
        <v>0</v>
      </c>
      <c r="AK1121">
        <f>IF(HR_Data[[#This Row],[Attrition]]="No",1,0)</f>
        <v>1</v>
      </c>
      <c r="AL1121" t="str">
        <f>IF(HR_Data[[#This Row],[Age]]&lt;25,"Under 25",IF(HR_Data[[#This Row],[Age]]&lt;=34,"25-34",IF(HR_Data[[#This Row],[Age]]&lt;=44,"35-44",IF(HR_Data[[#This Row],[Age]]&lt;=54,"45-54","55+"))))</f>
        <v>35-44</v>
      </c>
      <c r="AM1121" t="str">
        <f>IF(HR_Data[[#This Row],[MonthlyIncome]]&lt;3000,"Low Salary",IF(HR_Data[[#This Row],[MonthlyIncome]]&lt;=7000,"Medium Salary","High Salary"))</f>
        <v>High Salary</v>
      </c>
      <c r="AN1121" t="str">
        <f>IF(HR_Data[[#This Row],[YearsAtCompany]]&lt;2,"0-1 Years",IF(HR_Data[[#This Row],[YearsAtCompany]]&lt;=5,"2-5 Years",IF(HR_Data[[#This Row],[YearsAtCompany]]&lt;=10,"6-10 Years","10+ Years")))</f>
        <v>6-10 Years</v>
      </c>
      <c r="AO1121" t="str">
        <f>IF(HR_Data[[#This Row],[JobSatisfaction]]=1,"Low",IF(HR_Data[[#This Row],[JobSatisfaction]]=2,"Medium",IF(HR_Data[[#This Row],[JobSatisfaction]]=3,"High","Very High")))</f>
        <v>Medium</v>
      </c>
      <c r="AP1121" t="str">
        <f>IF(HR_Data[[#This Row],[WorkLifeBalance]]=1,"Bad",IF(HR_Data[[#This Row],[WorkLifeBalance]]=2,"Good",IF(HR_Data[[#This Row],[WorkLifeBalance]]=3,"Better","Best")))</f>
        <v>Better</v>
      </c>
    </row>
    <row r="1122" spans="1:42"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IF(HR_Data[[#This Row],[Attrition]]="Yes",1,0)</f>
        <v>0</v>
      </c>
      <c r="AK1122">
        <f>IF(HR_Data[[#This Row],[Attrition]]="No",1,0)</f>
        <v>1</v>
      </c>
      <c r="AL1122" t="str">
        <f>IF(HR_Data[[#This Row],[Age]]&lt;25,"Under 25",IF(HR_Data[[#This Row],[Age]]&lt;=34,"25-34",IF(HR_Data[[#This Row],[Age]]&lt;=44,"35-44",IF(HR_Data[[#This Row],[Age]]&lt;=54,"45-54","55+"))))</f>
        <v>35-44</v>
      </c>
      <c r="AM1122" t="str">
        <f>IF(HR_Data[[#This Row],[MonthlyIncome]]&lt;3000,"Low Salary",IF(HR_Data[[#This Row],[MonthlyIncome]]&lt;=7000,"Medium Salary","High Salary"))</f>
        <v>Medium Salary</v>
      </c>
      <c r="AN1122" t="str">
        <f>IF(HR_Data[[#This Row],[YearsAtCompany]]&lt;2,"0-1 Years",IF(HR_Data[[#This Row],[YearsAtCompany]]&lt;=5,"2-5 Years",IF(HR_Data[[#This Row],[YearsAtCompany]]&lt;=10,"6-10 Years","10+ Years")))</f>
        <v>2-5 Years</v>
      </c>
      <c r="AO1122" t="str">
        <f>IF(HR_Data[[#This Row],[JobSatisfaction]]=1,"Low",IF(HR_Data[[#This Row],[JobSatisfaction]]=2,"Medium",IF(HR_Data[[#This Row],[JobSatisfaction]]=3,"High","Very High")))</f>
        <v>Medium</v>
      </c>
      <c r="AP1122" t="str">
        <f>IF(HR_Data[[#This Row],[WorkLifeBalance]]=1,"Bad",IF(HR_Data[[#This Row],[WorkLifeBalance]]=2,"Good",IF(HR_Data[[#This Row],[WorkLifeBalance]]=3,"Better","Best")))</f>
        <v>Best</v>
      </c>
    </row>
    <row r="1123" spans="1:42"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IF(HR_Data[[#This Row],[Attrition]]="Yes",1,0)</f>
        <v>0</v>
      </c>
      <c r="AK1123">
        <f>IF(HR_Data[[#This Row],[Attrition]]="No",1,0)</f>
        <v>1</v>
      </c>
      <c r="AL1123" t="str">
        <f>IF(HR_Data[[#This Row],[Age]]&lt;25,"Under 25",IF(HR_Data[[#This Row],[Age]]&lt;=34,"25-34",IF(HR_Data[[#This Row],[Age]]&lt;=44,"35-44",IF(HR_Data[[#This Row],[Age]]&lt;=54,"45-54","55+"))))</f>
        <v>35-44</v>
      </c>
      <c r="AM1123" t="str">
        <f>IF(HR_Data[[#This Row],[MonthlyIncome]]&lt;3000,"Low Salary",IF(HR_Data[[#This Row],[MonthlyIncome]]&lt;=7000,"Medium Salary","High Salary"))</f>
        <v>Medium Salary</v>
      </c>
      <c r="AN1123" t="str">
        <f>IF(HR_Data[[#This Row],[YearsAtCompany]]&lt;2,"0-1 Years",IF(HR_Data[[#This Row],[YearsAtCompany]]&lt;=5,"2-5 Years",IF(HR_Data[[#This Row],[YearsAtCompany]]&lt;=10,"6-10 Years","10+ Years")))</f>
        <v>0-1 Years</v>
      </c>
      <c r="AO1123" t="str">
        <f>IF(HR_Data[[#This Row],[JobSatisfaction]]=1,"Low",IF(HR_Data[[#This Row],[JobSatisfaction]]=2,"Medium",IF(HR_Data[[#This Row],[JobSatisfaction]]=3,"High","Very High")))</f>
        <v>High</v>
      </c>
      <c r="AP1123" t="str">
        <f>IF(HR_Data[[#This Row],[WorkLifeBalance]]=1,"Bad",IF(HR_Data[[#This Row],[WorkLifeBalance]]=2,"Good",IF(HR_Data[[#This Row],[WorkLifeBalance]]=3,"Better","Best")))</f>
        <v>Better</v>
      </c>
    </row>
    <row r="1124" spans="1:42"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IF(HR_Data[[#This Row],[Attrition]]="Yes",1,0)</f>
        <v>0</v>
      </c>
      <c r="AK1124">
        <f>IF(HR_Data[[#This Row],[Attrition]]="No",1,0)</f>
        <v>1</v>
      </c>
      <c r="AL1124" t="str">
        <f>IF(HR_Data[[#This Row],[Age]]&lt;25,"Under 25",IF(HR_Data[[#This Row],[Age]]&lt;=34,"25-34",IF(HR_Data[[#This Row],[Age]]&lt;=44,"35-44",IF(HR_Data[[#This Row],[Age]]&lt;=54,"45-54","55+"))))</f>
        <v>25-34</v>
      </c>
      <c r="AM1124" t="str">
        <f>IF(HR_Data[[#This Row],[MonthlyIncome]]&lt;3000,"Low Salary",IF(HR_Data[[#This Row],[MonthlyIncome]]&lt;=7000,"Medium Salary","High Salary"))</f>
        <v>Medium Salary</v>
      </c>
      <c r="AN1124" t="str">
        <f>IF(HR_Data[[#This Row],[YearsAtCompany]]&lt;2,"0-1 Years",IF(HR_Data[[#This Row],[YearsAtCompany]]&lt;=5,"2-5 Years",IF(HR_Data[[#This Row],[YearsAtCompany]]&lt;=10,"6-10 Years","10+ Years")))</f>
        <v>6-10 Years</v>
      </c>
      <c r="AO1124" t="str">
        <f>IF(HR_Data[[#This Row],[JobSatisfaction]]=1,"Low",IF(HR_Data[[#This Row],[JobSatisfaction]]=2,"Medium",IF(HR_Data[[#This Row],[JobSatisfaction]]=3,"High","Very High")))</f>
        <v>Low</v>
      </c>
      <c r="AP1124" t="str">
        <f>IF(HR_Data[[#This Row],[WorkLifeBalance]]=1,"Bad",IF(HR_Data[[#This Row],[WorkLifeBalance]]=2,"Good",IF(HR_Data[[#This Row],[WorkLifeBalance]]=3,"Better","Best")))</f>
        <v>Better</v>
      </c>
    </row>
    <row r="1125" spans="1:42"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IF(HR_Data[[#This Row],[Attrition]]="Yes",1,0)</f>
        <v>0</v>
      </c>
      <c r="AK1125">
        <f>IF(HR_Data[[#This Row],[Attrition]]="No",1,0)</f>
        <v>1</v>
      </c>
      <c r="AL1125" t="str">
        <f>IF(HR_Data[[#This Row],[Age]]&lt;25,"Under 25",IF(HR_Data[[#This Row],[Age]]&lt;=34,"25-34",IF(HR_Data[[#This Row],[Age]]&lt;=44,"35-44",IF(HR_Data[[#This Row],[Age]]&lt;=54,"45-54","55+"))))</f>
        <v>35-44</v>
      </c>
      <c r="AM1125" t="str">
        <f>IF(HR_Data[[#This Row],[MonthlyIncome]]&lt;3000,"Low Salary",IF(HR_Data[[#This Row],[MonthlyIncome]]&lt;=7000,"Medium Salary","High Salary"))</f>
        <v>Medium Salary</v>
      </c>
      <c r="AN1125" t="str">
        <f>IF(HR_Data[[#This Row],[YearsAtCompany]]&lt;2,"0-1 Years",IF(HR_Data[[#This Row],[YearsAtCompany]]&lt;=5,"2-5 Years",IF(HR_Data[[#This Row],[YearsAtCompany]]&lt;=10,"6-10 Years","10+ Years")))</f>
        <v>2-5 Years</v>
      </c>
      <c r="AO1125" t="str">
        <f>IF(HR_Data[[#This Row],[JobSatisfaction]]=1,"Low",IF(HR_Data[[#This Row],[JobSatisfaction]]=2,"Medium",IF(HR_Data[[#This Row],[JobSatisfaction]]=3,"High","Very High")))</f>
        <v>High</v>
      </c>
      <c r="AP1125" t="str">
        <f>IF(HR_Data[[#This Row],[WorkLifeBalance]]=1,"Bad",IF(HR_Data[[#This Row],[WorkLifeBalance]]=2,"Good",IF(HR_Data[[#This Row],[WorkLifeBalance]]=3,"Better","Best")))</f>
        <v>Better</v>
      </c>
    </row>
    <row r="1126" spans="1:42"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IF(HR_Data[[#This Row],[Attrition]]="Yes",1,0)</f>
        <v>0</v>
      </c>
      <c r="AK1126">
        <f>IF(HR_Data[[#This Row],[Attrition]]="No",1,0)</f>
        <v>1</v>
      </c>
      <c r="AL1126" t="str">
        <f>IF(HR_Data[[#This Row],[Age]]&lt;25,"Under 25",IF(HR_Data[[#This Row],[Age]]&lt;=34,"25-34",IF(HR_Data[[#This Row],[Age]]&lt;=44,"35-44",IF(HR_Data[[#This Row],[Age]]&lt;=54,"45-54","55+"))))</f>
        <v>35-44</v>
      </c>
      <c r="AM1126" t="str">
        <f>IF(HR_Data[[#This Row],[MonthlyIncome]]&lt;3000,"Low Salary",IF(HR_Data[[#This Row],[MonthlyIncome]]&lt;=7000,"Medium Salary","High Salary"))</f>
        <v>High Salary</v>
      </c>
      <c r="AN1126" t="str">
        <f>IF(HR_Data[[#This Row],[YearsAtCompany]]&lt;2,"0-1 Years",IF(HR_Data[[#This Row],[YearsAtCompany]]&lt;=5,"2-5 Years",IF(HR_Data[[#This Row],[YearsAtCompany]]&lt;=10,"6-10 Years","10+ Years")))</f>
        <v>6-10 Years</v>
      </c>
      <c r="AO1126" t="str">
        <f>IF(HR_Data[[#This Row],[JobSatisfaction]]=1,"Low",IF(HR_Data[[#This Row],[JobSatisfaction]]=2,"Medium",IF(HR_Data[[#This Row],[JobSatisfaction]]=3,"High","Very High")))</f>
        <v>High</v>
      </c>
      <c r="AP1126" t="str">
        <f>IF(HR_Data[[#This Row],[WorkLifeBalance]]=1,"Bad",IF(HR_Data[[#This Row],[WorkLifeBalance]]=2,"Good",IF(HR_Data[[#This Row],[WorkLifeBalance]]=3,"Better","Best")))</f>
        <v>Better</v>
      </c>
    </row>
    <row r="1127" spans="1:42"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IF(HR_Data[[#This Row],[Attrition]]="Yes",1,0)</f>
        <v>0</v>
      </c>
      <c r="AK1127">
        <f>IF(HR_Data[[#This Row],[Attrition]]="No",1,0)</f>
        <v>1</v>
      </c>
      <c r="AL1127" t="str">
        <f>IF(HR_Data[[#This Row],[Age]]&lt;25,"Under 25",IF(HR_Data[[#This Row],[Age]]&lt;=34,"25-34",IF(HR_Data[[#This Row],[Age]]&lt;=44,"35-44",IF(HR_Data[[#This Row],[Age]]&lt;=54,"45-54","55+"))))</f>
        <v>25-34</v>
      </c>
      <c r="AM1127" t="str">
        <f>IF(HR_Data[[#This Row],[MonthlyIncome]]&lt;3000,"Low Salary",IF(HR_Data[[#This Row],[MonthlyIncome]]&lt;=7000,"Medium Salary","High Salary"))</f>
        <v>High Salary</v>
      </c>
      <c r="AN1127" t="str">
        <f>IF(HR_Data[[#This Row],[YearsAtCompany]]&lt;2,"0-1 Years",IF(HR_Data[[#This Row],[YearsAtCompany]]&lt;=5,"2-5 Years",IF(HR_Data[[#This Row],[YearsAtCompany]]&lt;=10,"6-10 Years","10+ Years")))</f>
        <v>6-10 Years</v>
      </c>
      <c r="AO1127" t="str">
        <f>IF(HR_Data[[#This Row],[JobSatisfaction]]=1,"Low",IF(HR_Data[[#This Row],[JobSatisfaction]]=2,"Medium",IF(HR_Data[[#This Row],[JobSatisfaction]]=3,"High","Very High")))</f>
        <v>Very High</v>
      </c>
      <c r="AP1127" t="str">
        <f>IF(HR_Data[[#This Row],[WorkLifeBalance]]=1,"Bad",IF(HR_Data[[#This Row],[WorkLifeBalance]]=2,"Good",IF(HR_Data[[#This Row],[WorkLifeBalance]]=3,"Better","Best")))</f>
        <v>Best</v>
      </c>
    </row>
    <row r="1128" spans="1:42"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IF(HR_Data[[#This Row],[Attrition]]="Yes",1,0)</f>
        <v>0</v>
      </c>
      <c r="AK1128">
        <f>IF(HR_Data[[#This Row],[Attrition]]="No",1,0)</f>
        <v>1</v>
      </c>
      <c r="AL1128" t="str">
        <f>IF(HR_Data[[#This Row],[Age]]&lt;25,"Under 25",IF(HR_Data[[#This Row],[Age]]&lt;=34,"25-34",IF(HR_Data[[#This Row],[Age]]&lt;=44,"35-44",IF(HR_Data[[#This Row],[Age]]&lt;=54,"45-54","55+"))))</f>
        <v>45-54</v>
      </c>
      <c r="AM1128" t="str">
        <f>IF(HR_Data[[#This Row],[MonthlyIncome]]&lt;3000,"Low Salary",IF(HR_Data[[#This Row],[MonthlyIncome]]&lt;=7000,"Medium Salary","High Salary"))</f>
        <v>High Salary</v>
      </c>
      <c r="AN1128" t="str">
        <f>IF(HR_Data[[#This Row],[YearsAtCompany]]&lt;2,"0-1 Years",IF(HR_Data[[#This Row],[YearsAtCompany]]&lt;=5,"2-5 Years",IF(HR_Data[[#This Row],[YearsAtCompany]]&lt;=10,"6-10 Years","10+ Years")))</f>
        <v>0-1 Years</v>
      </c>
      <c r="AO1128" t="str">
        <f>IF(HR_Data[[#This Row],[JobSatisfaction]]=1,"Low",IF(HR_Data[[#This Row],[JobSatisfaction]]=2,"Medium",IF(HR_Data[[#This Row],[JobSatisfaction]]=3,"High","Very High")))</f>
        <v>High</v>
      </c>
      <c r="AP1128" t="str">
        <f>IF(HR_Data[[#This Row],[WorkLifeBalance]]=1,"Bad",IF(HR_Data[[#This Row],[WorkLifeBalance]]=2,"Good",IF(HR_Data[[#This Row],[WorkLifeBalance]]=3,"Better","Best")))</f>
        <v>Better</v>
      </c>
    </row>
    <row r="1129" spans="1:42"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IF(HR_Data[[#This Row],[Attrition]]="Yes",1,0)</f>
        <v>0</v>
      </c>
      <c r="AK1129">
        <f>IF(HR_Data[[#This Row],[Attrition]]="No",1,0)</f>
        <v>1</v>
      </c>
      <c r="AL1129" t="str">
        <f>IF(HR_Data[[#This Row],[Age]]&lt;25,"Under 25",IF(HR_Data[[#This Row],[Age]]&lt;=34,"25-34",IF(HR_Data[[#This Row],[Age]]&lt;=44,"35-44",IF(HR_Data[[#This Row],[Age]]&lt;=54,"45-54","55+"))))</f>
        <v>Under 25</v>
      </c>
      <c r="AM1129" t="str">
        <f>IF(HR_Data[[#This Row],[MonthlyIncome]]&lt;3000,"Low Salary",IF(HR_Data[[#This Row],[MonthlyIncome]]&lt;=7000,"Medium Salary","High Salary"))</f>
        <v>Low Salary</v>
      </c>
      <c r="AN1129" t="str">
        <f>IF(HR_Data[[#This Row],[YearsAtCompany]]&lt;2,"0-1 Years",IF(HR_Data[[#This Row],[YearsAtCompany]]&lt;=5,"2-5 Years",IF(HR_Data[[#This Row],[YearsAtCompany]]&lt;=10,"6-10 Years","10+ Years")))</f>
        <v>2-5 Years</v>
      </c>
      <c r="AO1129" t="str">
        <f>IF(HR_Data[[#This Row],[JobSatisfaction]]=1,"Low",IF(HR_Data[[#This Row],[JobSatisfaction]]=2,"Medium",IF(HR_Data[[#This Row],[JobSatisfaction]]=3,"High","Very High")))</f>
        <v>High</v>
      </c>
      <c r="AP1129" t="str">
        <f>IF(HR_Data[[#This Row],[WorkLifeBalance]]=1,"Bad",IF(HR_Data[[#This Row],[WorkLifeBalance]]=2,"Good",IF(HR_Data[[#This Row],[WorkLifeBalance]]=3,"Better","Best")))</f>
        <v>Better</v>
      </c>
    </row>
    <row r="1130" spans="1:42"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IF(HR_Data[[#This Row],[Attrition]]="Yes",1,0)</f>
        <v>0</v>
      </c>
      <c r="AK1130">
        <f>IF(HR_Data[[#This Row],[Attrition]]="No",1,0)</f>
        <v>1</v>
      </c>
      <c r="AL1130" t="str">
        <f>IF(HR_Data[[#This Row],[Age]]&lt;25,"Under 25",IF(HR_Data[[#This Row],[Age]]&lt;=34,"25-34",IF(HR_Data[[#This Row],[Age]]&lt;=44,"35-44",IF(HR_Data[[#This Row],[Age]]&lt;=54,"45-54","55+"))))</f>
        <v>35-44</v>
      </c>
      <c r="AM1130" t="str">
        <f>IF(HR_Data[[#This Row],[MonthlyIncome]]&lt;3000,"Low Salary",IF(HR_Data[[#This Row],[MonthlyIncome]]&lt;=7000,"Medium Salary","High Salary"))</f>
        <v>Medium Salary</v>
      </c>
      <c r="AN1130" t="str">
        <f>IF(HR_Data[[#This Row],[YearsAtCompany]]&lt;2,"0-1 Years",IF(HR_Data[[#This Row],[YearsAtCompany]]&lt;=5,"2-5 Years",IF(HR_Data[[#This Row],[YearsAtCompany]]&lt;=10,"6-10 Years","10+ Years")))</f>
        <v>2-5 Years</v>
      </c>
      <c r="AO1130" t="str">
        <f>IF(HR_Data[[#This Row],[JobSatisfaction]]=1,"Low",IF(HR_Data[[#This Row],[JobSatisfaction]]=2,"Medium",IF(HR_Data[[#This Row],[JobSatisfaction]]=3,"High","Very High")))</f>
        <v>Low</v>
      </c>
      <c r="AP1130" t="str">
        <f>IF(HR_Data[[#This Row],[WorkLifeBalance]]=1,"Bad",IF(HR_Data[[#This Row],[WorkLifeBalance]]=2,"Good",IF(HR_Data[[#This Row],[WorkLifeBalance]]=3,"Better","Best")))</f>
        <v>Better</v>
      </c>
    </row>
    <row r="1131" spans="1:42"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IF(HR_Data[[#This Row],[Attrition]]="Yes",1,0)</f>
        <v>0</v>
      </c>
      <c r="AK1131">
        <f>IF(HR_Data[[#This Row],[Attrition]]="No",1,0)</f>
        <v>1</v>
      </c>
      <c r="AL1131" t="str">
        <f>IF(HR_Data[[#This Row],[Age]]&lt;25,"Under 25",IF(HR_Data[[#This Row],[Age]]&lt;=34,"25-34",IF(HR_Data[[#This Row],[Age]]&lt;=44,"35-44",IF(HR_Data[[#This Row],[Age]]&lt;=54,"45-54","55+"))))</f>
        <v>35-44</v>
      </c>
      <c r="AM1131" t="str">
        <f>IF(HR_Data[[#This Row],[MonthlyIncome]]&lt;3000,"Low Salary",IF(HR_Data[[#This Row],[MonthlyIncome]]&lt;=7000,"Medium Salary","High Salary"))</f>
        <v>High Salary</v>
      </c>
      <c r="AN1131" t="str">
        <f>IF(HR_Data[[#This Row],[YearsAtCompany]]&lt;2,"0-1 Years",IF(HR_Data[[#This Row],[YearsAtCompany]]&lt;=5,"2-5 Years",IF(HR_Data[[#This Row],[YearsAtCompany]]&lt;=10,"6-10 Years","10+ Years")))</f>
        <v>0-1 Years</v>
      </c>
      <c r="AO1131" t="str">
        <f>IF(HR_Data[[#This Row],[JobSatisfaction]]=1,"Low",IF(HR_Data[[#This Row],[JobSatisfaction]]=2,"Medium",IF(HR_Data[[#This Row],[JobSatisfaction]]=3,"High","Very High")))</f>
        <v>Very High</v>
      </c>
      <c r="AP1131" t="str">
        <f>IF(HR_Data[[#This Row],[WorkLifeBalance]]=1,"Bad",IF(HR_Data[[#This Row],[WorkLifeBalance]]=2,"Good",IF(HR_Data[[#This Row],[WorkLifeBalance]]=3,"Better","Best")))</f>
        <v>Better</v>
      </c>
    </row>
    <row r="1132" spans="1:42"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IF(HR_Data[[#This Row],[Attrition]]="Yes",1,0)</f>
        <v>0</v>
      </c>
      <c r="AK1132">
        <f>IF(HR_Data[[#This Row],[Attrition]]="No",1,0)</f>
        <v>1</v>
      </c>
      <c r="AL1132" t="str">
        <f>IF(HR_Data[[#This Row],[Age]]&lt;25,"Under 25",IF(HR_Data[[#This Row],[Age]]&lt;=34,"25-34",IF(HR_Data[[#This Row],[Age]]&lt;=44,"35-44",IF(HR_Data[[#This Row],[Age]]&lt;=54,"45-54","55+"))))</f>
        <v>35-44</v>
      </c>
      <c r="AM1132" t="str">
        <f>IF(HR_Data[[#This Row],[MonthlyIncome]]&lt;3000,"Low Salary",IF(HR_Data[[#This Row],[MonthlyIncome]]&lt;=7000,"Medium Salary","High Salary"))</f>
        <v>Medium Salary</v>
      </c>
      <c r="AN1132" t="str">
        <f>IF(HR_Data[[#This Row],[YearsAtCompany]]&lt;2,"0-1 Years",IF(HR_Data[[#This Row],[YearsAtCompany]]&lt;=5,"2-5 Years",IF(HR_Data[[#This Row],[YearsAtCompany]]&lt;=10,"6-10 Years","10+ Years")))</f>
        <v>6-10 Years</v>
      </c>
      <c r="AO1132" t="str">
        <f>IF(HR_Data[[#This Row],[JobSatisfaction]]=1,"Low",IF(HR_Data[[#This Row],[JobSatisfaction]]=2,"Medium",IF(HR_Data[[#This Row],[JobSatisfaction]]=3,"High","Very High")))</f>
        <v>High</v>
      </c>
      <c r="AP1132" t="str">
        <f>IF(HR_Data[[#This Row],[WorkLifeBalance]]=1,"Bad",IF(HR_Data[[#This Row],[WorkLifeBalance]]=2,"Good",IF(HR_Data[[#This Row],[WorkLifeBalance]]=3,"Better","Best")))</f>
        <v>Good</v>
      </c>
    </row>
    <row r="1133" spans="1:42"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IF(HR_Data[[#This Row],[Attrition]]="Yes",1,0)</f>
        <v>0</v>
      </c>
      <c r="AK1133">
        <f>IF(HR_Data[[#This Row],[Attrition]]="No",1,0)</f>
        <v>1</v>
      </c>
      <c r="AL1133" t="str">
        <f>IF(HR_Data[[#This Row],[Age]]&lt;25,"Under 25",IF(HR_Data[[#This Row],[Age]]&lt;=34,"25-34",IF(HR_Data[[#This Row],[Age]]&lt;=44,"35-44",IF(HR_Data[[#This Row],[Age]]&lt;=54,"45-54","55+"))))</f>
        <v>25-34</v>
      </c>
      <c r="AM1133" t="str">
        <f>IF(HR_Data[[#This Row],[MonthlyIncome]]&lt;3000,"Low Salary",IF(HR_Data[[#This Row],[MonthlyIncome]]&lt;=7000,"Medium Salary","High Salary"))</f>
        <v>Medium Salary</v>
      </c>
      <c r="AN1133" t="str">
        <f>IF(HR_Data[[#This Row],[YearsAtCompany]]&lt;2,"0-1 Years",IF(HR_Data[[#This Row],[YearsAtCompany]]&lt;=5,"2-5 Years",IF(HR_Data[[#This Row],[YearsAtCompany]]&lt;=10,"6-10 Years","10+ Years")))</f>
        <v>6-10 Years</v>
      </c>
      <c r="AO1133" t="str">
        <f>IF(HR_Data[[#This Row],[JobSatisfaction]]=1,"Low",IF(HR_Data[[#This Row],[JobSatisfaction]]=2,"Medium",IF(HR_Data[[#This Row],[JobSatisfaction]]=3,"High","Very High")))</f>
        <v>High</v>
      </c>
      <c r="AP1133" t="str">
        <f>IF(HR_Data[[#This Row],[WorkLifeBalance]]=1,"Bad",IF(HR_Data[[#This Row],[WorkLifeBalance]]=2,"Good",IF(HR_Data[[#This Row],[WorkLifeBalance]]=3,"Better","Best")))</f>
        <v>Good</v>
      </c>
    </row>
    <row r="1134" spans="1:42"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IF(HR_Data[[#This Row],[Attrition]]="Yes",1,0)</f>
        <v>0</v>
      </c>
      <c r="AK1134">
        <f>IF(HR_Data[[#This Row],[Attrition]]="No",1,0)</f>
        <v>1</v>
      </c>
      <c r="AL1134" t="str">
        <f>IF(HR_Data[[#This Row],[Age]]&lt;25,"Under 25",IF(HR_Data[[#This Row],[Age]]&lt;=34,"25-34",IF(HR_Data[[#This Row],[Age]]&lt;=44,"35-44",IF(HR_Data[[#This Row],[Age]]&lt;=54,"45-54","55+"))))</f>
        <v>35-44</v>
      </c>
      <c r="AM1134" t="str">
        <f>IF(HR_Data[[#This Row],[MonthlyIncome]]&lt;3000,"Low Salary",IF(HR_Data[[#This Row],[MonthlyIncome]]&lt;=7000,"Medium Salary","High Salary"))</f>
        <v>Medium Salary</v>
      </c>
      <c r="AN1134" t="str">
        <f>IF(HR_Data[[#This Row],[YearsAtCompany]]&lt;2,"0-1 Years",IF(HR_Data[[#This Row],[YearsAtCompany]]&lt;=5,"2-5 Years",IF(HR_Data[[#This Row],[YearsAtCompany]]&lt;=10,"6-10 Years","10+ Years")))</f>
        <v>2-5 Years</v>
      </c>
      <c r="AO1134" t="str">
        <f>IF(HR_Data[[#This Row],[JobSatisfaction]]=1,"Low",IF(HR_Data[[#This Row],[JobSatisfaction]]=2,"Medium",IF(HR_Data[[#This Row],[JobSatisfaction]]=3,"High","Very High")))</f>
        <v>Low</v>
      </c>
      <c r="AP1134" t="str">
        <f>IF(HR_Data[[#This Row],[WorkLifeBalance]]=1,"Bad",IF(HR_Data[[#This Row],[WorkLifeBalance]]=2,"Good",IF(HR_Data[[#This Row],[WorkLifeBalance]]=3,"Better","Best")))</f>
        <v>Better</v>
      </c>
    </row>
    <row r="1135" spans="1:42"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IF(HR_Data[[#This Row],[Attrition]]="Yes",1,0)</f>
        <v>0</v>
      </c>
      <c r="AK1135">
        <f>IF(HR_Data[[#This Row],[Attrition]]="No",1,0)</f>
        <v>1</v>
      </c>
      <c r="AL1135" t="str">
        <f>IF(HR_Data[[#This Row],[Age]]&lt;25,"Under 25",IF(HR_Data[[#This Row],[Age]]&lt;=34,"25-34",IF(HR_Data[[#This Row],[Age]]&lt;=44,"35-44",IF(HR_Data[[#This Row],[Age]]&lt;=54,"45-54","55+"))))</f>
        <v>35-44</v>
      </c>
      <c r="AM1135" t="str">
        <f>IF(HR_Data[[#This Row],[MonthlyIncome]]&lt;3000,"Low Salary",IF(HR_Data[[#This Row],[MonthlyIncome]]&lt;=7000,"Medium Salary","High Salary"))</f>
        <v>Medium Salary</v>
      </c>
      <c r="AN1135" t="str">
        <f>IF(HR_Data[[#This Row],[YearsAtCompany]]&lt;2,"0-1 Years",IF(HR_Data[[#This Row],[YearsAtCompany]]&lt;=5,"2-5 Years",IF(HR_Data[[#This Row],[YearsAtCompany]]&lt;=10,"6-10 Years","10+ Years")))</f>
        <v>6-10 Years</v>
      </c>
      <c r="AO1135" t="str">
        <f>IF(HR_Data[[#This Row],[JobSatisfaction]]=1,"Low",IF(HR_Data[[#This Row],[JobSatisfaction]]=2,"Medium",IF(HR_Data[[#This Row],[JobSatisfaction]]=3,"High","Very High")))</f>
        <v>Medium</v>
      </c>
      <c r="AP1135" t="str">
        <f>IF(HR_Data[[#This Row],[WorkLifeBalance]]=1,"Bad",IF(HR_Data[[#This Row],[WorkLifeBalance]]=2,"Good",IF(HR_Data[[#This Row],[WorkLifeBalance]]=3,"Better","Best")))</f>
        <v>Better</v>
      </c>
    </row>
    <row r="1136" spans="1:42"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IF(HR_Data[[#This Row],[Attrition]]="Yes",1,0)</f>
        <v>0</v>
      </c>
      <c r="AK1136">
        <f>IF(HR_Data[[#This Row],[Attrition]]="No",1,0)</f>
        <v>1</v>
      </c>
      <c r="AL1136" t="str">
        <f>IF(HR_Data[[#This Row],[Age]]&lt;25,"Under 25",IF(HR_Data[[#This Row],[Age]]&lt;=34,"25-34",IF(HR_Data[[#This Row],[Age]]&lt;=44,"35-44",IF(HR_Data[[#This Row],[Age]]&lt;=54,"45-54","55+"))))</f>
        <v>35-44</v>
      </c>
      <c r="AM1136" t="str">
        <f>IF(HR_Data[[#This Row],[MonthlyIncome]]&lt;3000,"Low Salary",IF(HR_Data[[#This Row],[MonthlyIncome]]&lt;=7000,"Medium Salary","High Salary"))</f>
        <v>Low Salary</v>
      </c>
      <c r="AN1136" t="str">
        <f>IF(HR_Data[[#This Row],[YearsAtCompany]]&lt;2,"0-1 Years",IF(HR_Data[[#This Row],[YearsAtCompany]]&lt;=5,"2-5 Years",IF(HR_Data[[#This Row],[YearsAtCompany]]&lt;=10,"6-10 Years","10+ Years")))</f>
        <v>0-1 Years</v>
      </c>
      <c r="AO1136" t="str">
        <f>IF(HR_Data[[#This Row],[JobSatisfaction]]=1,"Low",IF(HR_Data[[#This Row],[JobSatisfaction]]=2,"Medium",IF(HR_Data[[#This Row],[JobSatisfaction]]=3,"High","Very High")))</f>
        <v>Very High</v>
      </c>
      <c r="AP1136" t="str">
        <f>IF(HR_Data[[#This Row],[WorkLifeBalance]]=1,"Bad",IF(HR_Data[[#This Row],[WorkLifeBalance]]=2,"Good",IF(HR_Data[[#This Row],[WorkLifeBalance]]=3,"Better","Best")))</f>
        <v>Good</v>
      </c>
    </row>
    <row r="1137" spans="1:42"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IF(HR_Data[[#This Row],[Attrition]]="Yes",1,0)</f>
        <v>0</v>
      </c>
      <c r="AK1137">
        <f>IF(HR_Data[[#This Row],[Attrition]]="No",1,0)</f>
        <v>1</v>
      </c>
      <c r="AL1137" t="str">
        <f>IF(HR_Data[[#This Row],[Age]]&lt;25,"Under 25",IF(HR_Data[[#This Row],[Age]]&lt;=34,"25-34",IF(HR_Data[[#This Row],[Age]]&lt;=44,"35-44",IF(HR_Data[[#This Row],[Age]]&lt;=54,"45-54","55+"))))</f>
        <v>45-54</v>
      </c>
      <c r="AM1137" t="str">
        <f>IF(HR_Data[[#This Row],[MonthlyIncome]]&lt;3000,"Low Salary",IF(HR_Data[[#This Row],[MonthlyIncome]]&lt;=7000,"Medium Salary","High Salary"))</f>
        <v>High Salary</v>
      </c>
      <c r="AN1137" t="str">
        <f>IF(HR_Data[[#This Row],[YearsAtCompany]]&lt;2,"0-1 Years",IF(HR_Data[[#This Row],[YearsAtCompany]]&lt;=5,"2-5 Years",IF(HR_Data[[#This Row],[YearsAtCompany]]&lt;=10,"6-10 Years","10+ Years")))</f>
        <v>10+ Years</v>
      </c>
      <c r="AO1137" t="str">
        <f>IF(HR_Data[[#This Row],[JobSatisfaction]]=1,"Low",IF(HR_Data[[#This Row],[JobSatisfaction]]=2,"Medium",IF(HR_Data[[#This Row],[JobSatisfaction]]=3,"High","Very High")))</f>
        <v>Low</v>
      </c>
      <c r="AP1137" t="str">
        <f>IF(HR_Data[[#This Row],[WorkLifeBalance]]=1,"Bad",IF(HR_Data[[#This Row],[WorkLifeBalance]]=2,"Good",IF(HR_Data[[#This Row],[WorkLifeBalance]]=3,"Better","Best")))</f>
        <v>Bad</v>
      </c>
    </row>
    <row r="1138" spans="1:42"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IF(HR_Data[[#This Row],[Attrition]]="Yes",1,0)</f>
        <v>1</v>
      </c>
      <c r="AK1138">
        <f>IF(HR_Data[[#This Row],[Attrition]]="No",1,0)</f>
        <v>0</v>
      </c>
      <c r="AL1138" t="str">
        <f>IF(HR_Data[[#This Row],[Age]]&lt;25,"Under 25",IF(HR_Data[[#This Row],[Age]]&lt;=34,"25-34",IF(HR_Data[[#This Row],[Age]]&lt;=44,"35-44",IF(HR_Data[[#This Row],[Age]]&lt;=54,"45-54","55+"))))</f>
        <v>25-34</v>
      </c>
      <c r="AM1138" t="str">
        <f>IF(HR_Data[[#This Row],[MonthlyIncome]]&lt;3000,"Low Salary",IF(HR_Data[[#This Row],[MonthlyIncome]]&lt;=7000,"Medium Salary","High Salary"))</f>
        <v>Low Salary</v>
      </c>
      <c r="AN1138" t="str">
        <f>IF(HR_Data[[#This Row],[YearsAtCompany]]&lt;2,"0-1 Years",IF(HR_Data[[#This Row],[YearsAtCompany]]&lt;=5,"2-5 Years",IF(HR_Data[[#This Row],[YearsAtCompany]]&lt;=10,"6-10 Years","10+ Years")))</f>
        <v>0-1 Years</v>
      </c>
      <c r="AO1138" t="str">
        <f>IF(HR_Data[[#This Row],[JobSatisfaction]]=1,"Low",IF(HR_Data[[#This Row],[JobSatisfaction]]=2,"Medium",IF(HR_Data[[#This Row],[JobSatisfaction]]=3,"High","Very High")))</f>
        <v>Medium</v>
      </c>
      <c r="AP1138" t="str">
        <f>IF(HR_Data[[#This Row],[WorkLifeBalance]]=1,"Bad",IF(HR_Data[[#This Row],[WorkLifeBalance]]=2,"Good",IF(HR_Data[[#This Row],[WorkLifeBalance]]=3,"Better","Best")))</f>
        <v>Better</v>
      </c>
    </row>
    <row r="1139" spans="1:42"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IF(HR_Data[[#This Row],[Attrition]]="Yes",1,0)</f>
        <v>0</v>
      </c>
      <c r="AK1139">
        <f>IF(HR_Data[[#This Row],[Attrition]]="No",1,0)</f>
        <v>1</v>
      </c>
      <c r="AL1139" t="str">
        <f>IF(HR_Data[[#This Row],[Age]]&lt;25,"Under 25",IF(HR_Data[[#This Row],[Age]]&lt;=34,"25-34",IF(HR_Data[[#This Row],[Age]]&lt;=44,"35-44",IF(HR_Data[[#This Row],[Age]]&lt;=54,"45-54","55+"))))</f>
        <v>Under 25</v>
      </c>
      <c r="AM1139" t="str">
        <f>IF(HR_Data[[#This Row],[MonthlyIncome]]&lt;3000,"Low Salary",IF(HR_Data[[#This Row],[MonthlyIncome]]&lt;=7000,"Medium Salary","High Salary"))</f>
        <v>Low Salary</v>
      </c>
      <c r="AN1139" t="str">
        <f>IF(HR_Data[[#This Row],[YearsAtCompany]]&lt;2,"0-1 Years",IF(HR_Data[[#This Row],[YearsAtCompany]]&lt;=5,"2-5 Years",IF(HR_Data[[#This Row],[YearsAtCompany]]&lt;=10,"6-10 Years","10+ Years")))</f>
        <v>2-5 Years</v>
      </c>
      <c r="AO1139" t="str">
        <f>IF(HR_Data[[#This Row],[JobSatisfaction]]=1,"Low",IF(HR_Data[[#This Row],[JobSatisfaction]]=2,"Medium",IF(HR_Data[[#This Row],[JobSatisfaction]]=3,"High","Very High")))</f>
        <v>High</v>
      </c>
      <c r="AP1139" t="str">
        <f>IF(HR_Data[[#This Row],[WorkLifeBalance]]=1,"Bad",IF(HR_Data[[#This Row],[WorkLifeBalance]]=2,"Good",IF(HR_Data[[#This Row],[WorkLifeBalance]]=3,"Better","Best")))</f>
        <v>Good</v>
      </c>
    </row>
    <row r="1140" spans="1:42"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IF(HR_Data[[#This Row],[Attrition]]="Yes",1,0)</f>
        <v>0</v>
      </c>
      <c r="AK1140">
        <f>IF(HR_Data[[#This Row],[Attrition]]="No",1,0)</f>
        <v>1</v>
      </c>
      <c r="AL1140" t="str">
        <f>IF(HR_Data[[#This Row],[Age]]&lt;25,"Under 25",IF(HR_Data[[#This Row],[Age]]&lt;=34,"25-34",IF(HR_Data[[#This Row],[Age]]&lt;=44,"35-44",IF(HR_Data[[#This Row],[Age]]&lt;=54,"45-54","55+"))))</f>
        <v>45-54</v>
      </c>
      <c r="AM1140" t="str">
        <f>IF(HR_Data[[#This Row],[MonthlyIncome]]&lt;3000,"Low Salary",IF(HR_Data[[#This Row],[MonthlyIncome]]&lt;=7000,"Medium Salary","High Salary"))</f>
        <v>High Salary</v>
      </c>
      <c r="AN1140" t="str">
        <f>IF(HR_Data[[#This Row],[YearsAtCompany]]&lt;2,"0-1 Years",IF(HR_Data[[#This Row],[YearsAtCompany]]&lt;=5,"2-5 Years",IF(HR_Data[[#This Row],[YearsAtCompany]]&lt;=10,"6-10 Years","10+ Years")))</f>
        <v>10+ Years</v>
      </c>
      <c r="AO1140" t="str">
        <f>IF(HR_Data[[#This Row],[JobSatisfaction]]=1,"Low",IF(HR_Data[[#This Row],[JobSatisfaction]]=2,"Medium",IF(HR_Data[[#This Row],[JobSatisfaction]]=3,"High","Very High")))</f>
        <v>High</v>
      </c>
      <c r="AP1140" t="str">
        <f>IF(HR_Data[[#This Row],[WorkLifeBalance]]=1,"Bad",IF(HR_Data[[#This Row],[WorkLifeBalance]]=2,"Good",IF(HR_Data[[#This Row],[WorkLifeBalance]]=3,"Better","Best")))</f>
        <v>Better</v>
      </c>
    </row>
    <row r="1141" spans="1:42"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IF(HR_Data[[#This Row],[Attrition]]="Yes",1,0)</f>
        <v>0</v>
      </c>
      <c r="AK1141">
        <f>IF(HR_Data[[#This Row],[Attrition]]="No",1,0)</f>
        <v>1</v>
      </c>
      <c r="AL1141" t="str">
        <f>IF(HR_Data[[#This Row],[Age]]&lt;25,"Under 25",IF(HR_Data[[#This Row],[Age]]&lt;=34,"25-34",IF(HR_Data[[#This Row],[Age]]&lt;=44,"35-44",IF(HR_Data[[#This Row],[Age]]&lt;=54,"45-54","55+"))))</f>
        <v>25-34</v>
      </c>
      <c r="AM1141" t="str">
        <f>IF(HR_Data[[#This Row],[MonthlyIncome]]&lt;3000,"Low Salary",IF(HR_Data[[#This Row],[MonthlyIncome]]&lt;=7000,"Medium Salary","High Salary"))</f>
        <v>Medium Salary</v>
      </c>
      <c r="AN1141" t="str">
        <f>IF(HR_Data[[#This Row],[YearsAtCompany]]&lt;2,"0-1 Years",IF(HR_Data[[#This Row],[YearsAtCompany]]&lt;=5,"2-5 Years",IF(HR_Data[[#This Row],[YearsAtCompany]]&lt;=10,"6-10 Years","10+ Years")))</f>
        <v>2-5 Years</v>
      </c>
      <c r="AO1141" t="str">
        <f>IF(HR_Data[[#This Row],[JobSatisfaction]]=1,"Low",IF(HR_Data[[#This Row],[JobSatisfaction]]=2,"Medium",IF(HR_Data[[#This Row],[JobSatisfaction]]=3,"High","Very High")))</f>
        <v>Very High</v>
      </c>
      <c r="AP1141" t="str">
        <f>IF(HR_Data[[#This Row],[WorkLifeBalance]]=1,"Bad",IF(HR_Data[[#This Row],[WorkLifeBalance]]=2,"Good",IF(HR_Data[[#This Row],[WorkLifeBalance]]=3,"Better","Best")))</f>
        <v>Better</v>
      </c>
    </row>
    <row r="1142" spans="1:42"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IF(HR_Data[[#This Row],[Attrition]]="Yes",1,0)</f>
        <v>0</v>
      </c>
      <c r="AK1142">
        <f>IF(HR_Data[[#This Row],[Attrition]]="No",1,0)</f>
        <v>1</v>
      </c>
      <c r="AL1142" t="str">
        <f>IF(HR_Data[[#This Row],[Age]]&lt;25,"Under 25",IF(HR_Data[[#This Row],[Age]]&lt;=34,"25-34",IF(HR_Data[[#This Row],[Age]]&lt;=44,"35-44",IF(HR_Data[[#This Row],[Age]]&lt;=54,"45-54","55+"))))</f>
        <v>35-44</v>
      </c>
      <c r="AM1142" t="str">
        <f>IF(HR_Data[[#This Row],[MonthlyIncome]]&lt;3000,"Low Salary",IF(HR_Data[[#This Row],[MonthlyIncome]]&lt;=7000,"Medium Salary","High Salary"))</f>
        <v>High Salary</v>
      </c>
      <c r="AN1142" t="str">
        <f>IF(HR_Data[[#This Row],[YearsAtCompany]]&lt;2,"0-1 Years",IF(HR_Data[[#This Row],[YearsAtCompany]]&lt;=5,"2-5 Years",IF(HR_Data[[#This Row],[YearsAtCompany]]&lt;=10,"6-10 Years","10+ Years")))</f>
        <v>10+ Years</v>
      </c>
      <c r="AO1142" t="str">
        <f>IF(HR_Data[[#This Row],[JobSatisfaction]]=1,"Low",IF(HR_Data[[#This Row],[JobSatisfaction]]=2,"Medium",IF(HR_Data[[#This Row],[JobSatisfaction]]=3,"High","Very High")))</f>
        <v>Very High</v>
      </c>
      <c r="AP1142" t="str">
        <f>IF(HR_Data[[#This Row],[WorkLifeBalance]]=1,"Bad",IF(HR_Data[[#This Row],[WorkLifeBalance]]=2,"Good",IF(HR_Data[[#This Row],[WorkLifeBalance]]=3,"Better","Best")))</f>
        <v>Good</v>
      </c>
    </row>
    <row r="1143" spans="1:42"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IF(HR_Data[[#This Row],[Attrition]]="Yes",1,0)</f>
        <v>0</v>
      </c>
      <c r="AK1143">
        <f>IF(HR_Data[[#This Row],[Attrition]]="No",1,0)</f>
        <v>1</v>
      </c>
      <c r="AL1143" t="str">
        <f>IF(HR_Data[[#This Row],[Age]]&lt;25,"Under 25",IF(HR_Data[[#This Row],[Age]]&lt;=34,"25-34",IF(HR_Data[[#This Row],[Age]]&lt;=44,"35-44",IF(HR_Data[[#This Row],[Age]]&lt;=54,"45-54","55+"))))</f>
        <v>25-34</v>
      </c>
      <c r="AM1143" t="str">
        <f>IF(HR_Data[[#This Row],[MonthlyIncome]]&lt;3000,"Low Salary",IF(HR_Data[[#This Row],[MonthlyIncome]]&lt;=7000,"Medium Salary","High Salary"))</f>
        <v>Low Salary</v>
      </c>
      <c r="AN1143" t="str">
        <f>IF(HR_Data[[#This Row],[YearsAtCompany]]&lt;2,"0-1 Years",IF(HR_Data[[#This Row],[YearsAtCompany]]&lt;=5,"2-5 Years",IF(HR_Data[[#This Row],[YearsAtCompany]]&lt;=10,"6-10 Years","10+ Years")))</f>
        <v>6-10 Years</v>
      </c>
      <c r="AO1143" t="str">
        <f>IF(HR_Data[[#This Row],[JobSatisfaction]]=1,"Low",IF(HR_Data[[#This Row],[JobSatisfaction]]=2,"Medium",IF(HR_Data[[#This Row],[JobSatisfaction]]=3,"High","Very High")))</f>
        <v>Medium</v>
      </c>
      <c r="AP1143" t="str">
        <f>IF(HR_Data[[#This Row],[WorkLifeBalance]]=1,"Bad",IF(HR_Data[[#This Row],[WorkLifeBalance]]=2,"Good",IF(HR_Data[[#This Row],[WorkLifeBalance]]=3,"Better","Best")))</f>
        <v>Good</v>
      </c>
    </row>
    <row r="1144" spans="1:42"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IF(HR_Data[[#This Row],[Attrition]]="Yes",1,0)</f>
        <v>0</v>
      </c>
      <c r="AK1144">
        <f>IF(HR_Data[[#This Row],[Attrition]]="No",1,0)</f>
        <v>1</v>
      </c>
      <c r="AL1144" t="str">
        <f>IF(HR_Data[[#This Row],[Age]]&lt;25,"Under 25",IF(HR_Data[[#This Row],[Age]]&lt;=34,"25-34",IF(HR_Data[[#This Row],[Age]]&lt;=44,"35-44",IF(HR_Data[[#This Row],[Age]]&lt;=54,"45-54","55+"))))</f>
        <v>45-54</v>
      </c>
      <c r="AM1144" t="str">
        <f>IF(HR_Data[[#This Row],[MonthlyIncome]]&lt;3000,"Low Salary",IF(HR_Data[[#This Row],[MonthlyIncome]]&lt;=7000,"Medium Salary","High Salary"))</f>
        <v>Medium Salary</v>
      </c>
      <c r="AN1144" t="str">
        <f>IF(HR_Data[[#This Row],[YearsAtCompany]]&lt;2,"0-1 Years",IF(HR_Data[[#This Row],[YearsAtCompany]]&lt;=5,"2-5 Years",IF(HR_Data[[#This Row],[YearsAtCompany]]&lt;=10,"6-10 Years","10+ Years")))</f>
        <v>6-10 Years</v>
      </c>
      <c r="AO1144" t="str">
        <f>IF(HR_Data[[#This Row],[JobSatisfaction]]=1,"Low",IF(HR_Data[[#This Row],[JobSatisfaction]]=2,"Medium",IF(HR_Data[[#This Row],[JobSatisfaction]]=3,"High","Very High")))</f>
        <v>Low</v>
      </c>
      <c r="AP1144" t="str">
        <f>IF(HR_Data[[#This Row],[WorkLifeBalance]]=1,"Bad",IF(HR_Data[[#This Row],[WorkLifeBalance]]=2,"Good",IF(HR_Data[[#This Row],[WorkLifeBalance]]=3,"Better","Best")))</f>
        <v>Better</v>
      </c>
    </row>
    <row r="1145" spans="1:42"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IF(HR_Data[[#This Row],[Attrition]]="Yes",1,0)</f>
        <v>0</v>
      </c>
      <c r="AK1145">
        <f>IF(HR_Data[[#This Row],[Attrition]]="No",1,0)</f>
        <v>1</v>
      </c>
      <c r="AL1145" t="str">
        <f>IF(HR_Data[[#This Row],[Age]]&lt;25,"Under 25",IF(HR_Data[[#This Row],[Age]]&lt;=34,"25-34",IF(HR_Data[[#This Row],[Age]]&lt;=44,"35-44",IF(HR_Data[[#This Row],[Age]]&lt;=54,"45-54","55+"))))</f>
        <v>45-54</v>
      </c>
      <c r="AM1145" t="str">
        <f>IF(HR_Data[[#This Row],[MonthlyIncome]]&lt;3000,"Low Salary",IF(HR_Data[[#This Row],[MonthlyIncome]]&lt;=7000,"Medium Salary","High Salary"))</f>
        <v>Medium Salary</v>
      </c>
      <c r="AN1145" t="str">
        <f>IF(HR_Data[[#This Row],[YearsAtCompany]]&lt;2,"0-1 Years",IF(HR_Data[[#This Row],[YearsAtCompany]]&lt;=5,"2-5 Years",IF(HR_Data[[#This Row],[YearsAtCompany]]&lt;=10,"6-10 Years","10+ Years")))</f>
        <v>6-10 Years</v>
      </c>
      <c r="AO1145" t="str">
        <f>IF(HR_Data[[#This Row],[JobSatisfaction]]=1,"Low",IF(HR_Data[[#This Row],[JobSatisfaction]]=2,"Medium",IF(HR_Data[[#This Row],[JobSatisfaction]]=3,"High","Very High")))</f>
        <v>Low</v>
      </c>
      <c r="AP1145" t="str">
        <f>IF(HR_Data[[#This Row],[WorkLifeBalance]]=1,"Bad",IF(HR_Data[[#This Row],[WorkLifeBalance]]=2,"Good",IF(HR_Data[[#This Row],[WorkLifeBalance]]=3,"Better","Best")))</f>
        <v>Better</v>
      </c>
    </row>
    <row r="1146" spans="1:42"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IF(HR_Data[[#This Row],[Attrition]]="Yes",1,0)</f>
        <v>0</v>
      </c>
      <c r="AK1146">
        <f>IF(HR_Data[[#This Row],[Attrition]]="No",1,0)</f>
        <v>1</v>
      </c>
      <c r="AL1146" t="str">
        <f>IF(HR_Data[[#This Row],[Age]]&lt;25,"Under 25",IF(HR_Data[[#This Row],[Age]]&lt;=34,"25-34",IF(HR_Data[[#This Row],[Age]]&lt;=44,"35-44",IF(HR_Data[[#This Row],[Age]]&lt;=54,"45-54","55+"))))</f>
        <v>25-34</v>
      </c>
      <c r="AM1146" t="str">
        <f>IF(HR_Data[[#This Row],[MonthlyIncome]]&lt;3000,"Low Salary",IF(HR_Data[[#This Row],[MonthlyIncome]]&lt;=7000,"Medium Salary","High Salary"))</f>
        <v>Medium Salary</v>
      </c>
      <c r="AN1146" t="str">
        <f>IF(HR_Data[[#This Row],[YearsAtCompany]]&lt;2,"0-1 Years",IF(HR_Data[[#This Row],[YearsAtCompany]]&lt;=5,"2-5 Years",IF(HR_Data[[#This Row],[YearsAtCompany]]&lt;=10,"6-10 Years","10+ Years")))</f>
        <v>2-5 Years</v>
      </c>
      <c r="AO1146" t="str">
        <f>IF(HR_Data[[#This Row],[JobSatisfaction]]=1,"Low",IF(HR_Data[[#This Row],[JobSatisfaction]]=2,"Medium",IF(HR_Data[[#This Row],[JobSatisfaction]]=3,"High","Very High")))</f>
        <v>Low</v>
      </c>
      <c r="AP1146" t="str">
        <f>IF(HR_Data[[#This Row],[WorkLifeBalance]]=1,"Bad",IF(HR_Data[[#This Row],[WorkLifeBalance]]=2,"Good",IF(HR_Data[[#This Row],[WorkLifeBalance]]=3,"Better","Best")))</f>
        <v>Better</v>
      </c>
    </row>
    <row r="1147" spans="1:42"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IF(HR_Data[[#This Row],[Attrition]]="Yes",1,0)</f>
        <v>0</v>
      </c>
      <c r="AK1147">
        <f>IF(HR_Data[[#This Row],[Attrition]]="No",1,0)</f>
        <v>1</v>
      </c>
      <c r="AL1147" t="str">
        <f>IF(HR_Data[[#This Row],[Age]]&lt;25,"Under 25",IF(HR_Data[[#This Row],[Age]]&lt;=34,"25-34",IF(HR_Data[[#This Row],[Age]]&lt;=44,"35-44",IF(HR_Data[[#This Row],[Age]]&lt;=54,"45-54","55+"))))</f>
        <v>35-44</v>
      </c>
      <c r="AM1147" t="str">
        <f>IF(HR_Data[[#This Row],[MonthlyIncome]]&lt;3000,"Low Salary",IF(HR_Data[[#This Row],[MonthlyIncome]]&lt;=7000,"Medium Salary","High Salary"))</f>
        <v>Medium Salary</v>
      </c>
      <c r="AN1147" t="str">
        <f>IF(HR_Data[[#This Row],[YearsAtCompany]]&lt;2,"0-1 Years",IF(HR_Data[[#This Row],[YearsAtCompany]]&lt;=5,"2-5 Years",IF(HR_Data[[#This Row],[YearsAtCompany]]&lt;=10,"6-10 Years","10+ Years")))</f>
        <v>2-5 Years</v>
      </c>
      <c r="AO1147" t="str">
        <f>IF(HR_Data[[#This Row],[JobSatisfaction]]=1,"Low",IF(HR_Data[[#This Row],[JobSatisfaction]]=2,"Medium",IF(HR_Data[[#This Row],[JobSatisfaction]]=3,"High","Very High")))</f>
        <v>High</v>
      </c>
      <c r="AP1147" t="str">
        <f>IF(HR_Data[[#This Row],[WorkLifeBalance]]=1,"Bad",IF(HR_Data[[#This Row],[WorkLifeBalance]]=2,"Good",IF(HR_Data[[#This Row],[WorkLifeBalance]]=3,"Better","Best")))</f>
        <v>Better</v>
      </c>
    </row>
    <row r="1148" spans="1:42"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IF(HR_Data[[#This Row],[Attrition]]="Yes",1,0)</f>
        <v>0</v>
      </c>
      <c r="AK1148">
        <f>IF(HR_Data[[#This Row],[Attrition]]="No",1,0)</f>
        <v>1</v>
      </c>
      <c r="AL1148" t="str">
        <f>IF(HR_Data[[#This Row],[Age]]&lt;25,"Under 25",IF(HR_Data[[#This Row],[Age]]&lt;=34,"25-34",IF(HR_Data[[#This Row],[Age]]&lt;=44,"35-44",IF(HR_Data[[#This Row],[Age]]&lt;=54,"45-54","55+"))))</f>
        <v>25-34</v>
      </c>
      <c r="AM1148" t="str">
        <f>IF(HR_Data[[#This Row],[MonthlyIncome]]&lt;3000,"Low Salary",IF(HR_Data[[#This Row],[MonthlyIncome]]&lt;=7000,"Medium Salary","High Salary"))</f>
        <v>Medium Salary</v>
      </c>
      <c r="AN1148" t="str">
        <f>IF(HR_Data[[#This Row],[YearsAtCompany]]&lt;2,"0-1 Years",IF(HR_Data[[#This Row],[YearsAtCompany]]&lt;=5,"2-5 Years",IF(HR_Data[[#This Row],[YearsAtCompany]]&lt;=10,"6-10 Years","10+ Years")))</f>
        <v>6-10 Years</v>
      </c>
      <c r="AO1148" t="str">
        <f>IF(HR_Data[[#This Row],[JobSatisfaction]]=1,"Low",IF(HR_Data[[#This Row],[JobSatisfaction]]=2,"Medium",IF(HR_Data[[#This Row],[JobSatisfaction]]=3,"High","Very High")))</f>
        <v>Very High</v>
      </c>
      <c r="AP1148" t="str">
        <f>IF(HR_Data[[#This Row],[WorkLifeBalance]]=1,"Bad",IF(HR_Data[[#This Row],[WorkLifeBalance]]=2,"Good",IF(HR_Data[[#This Row],[WorkLifeBalance]]=3,"Better","Best")))</f>
        <v>Better</v>
      </c>
    </row>
    <row r="1149" spans="1:42"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IF(HR_Data[[#This Row],[Attrition]]="Yes",1,0)</f>
        <v>0</v>
      </c>
      <c r="AK1149">
        <f>IF(HR_Data[[#This Row],[Attrition]]="No",1,0)</f>
        <v>1</v>
      </c>
      <c r="AL1149" t="str">
        <f>IF(HR_Data[[#This Row],[Age]]&lt;25,"Under 25",IF(HR_Data[[#This Row],[Age]]&lt;=34,"25-34",IF(HR_Data[[#This Row],[Age]]&lt;=44,"35-44",IF(HR_Data[[#This Row],[Age]]&lt;=54,"45-54","55+"))))</f>
        <v>45-54</v>
      </c>
      <c r="AM1149" t="str">
        <f>IF(HR_Data[[#This Row],[MonthlyIncome]]&lt;3000,"Low Salary",IF(HR_Data[[#This Row],[MonthlyIncome]]&lt;=7000,"Medium Salary","High Salary"))</f>
        <v>Medium Salary</v>
      </c>
      <c r="AN1149" t="str">
        <f>IF(HR_Data[[#This Row],[YearsAtCompany]]&lt;2,"0-1 Years",IF(HR_Data[[#This Row],[YearsAtCompany]]&lt;=5,"2-5 Years",IF(HR_Data[[#This Row],[YearsAtCompany]]&lt;=10,"6-10 Years","10+ Years")))</f>
        <v>6-10 Years</v>
      </c>
      <c r="AO1149" t="str">
        <f>IF(HR_Data[[#This Row],[JobSatisfaction]]=1,"Low",IF(HR_Data[[#This Row],[JobSatisfaction]]=2,"Medium",IF(HR_Data[[#This Row],[JobSatisfaction]]=3,"High","Very High")))</f>
        <v>Low</v>
      </c>
      <c r="AP1149" t="str">
        <f>IF(HR_Data[[#This Row],[WorkLifeBalance]]=1,"Bad",IF(HR_Data[[#This Row],[WorkLifeBalance]]=2,"Good",IF(HR_Data[[#This Row],[WorkLifeBalance]]=3,"Better","Best")))</f>
        <v>Good</v>
      </c>
    </row>
    <row r="1150" spans="1:42"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IF(HR_Data[[#This Row],[Attrition]]="Yes",1,0)</f>
        <v>0</v>
      </c>
      <c r="AK1150">
        <f>IF(HR_Data[[#This Row],[Attrition]]="No",1,0)</f>
        <v>1</v>
      </c>
      <c r="AL1150" t="str">
        <f>IF(HR_Data[[#This Row],[Age]]&lt;25,"Under 25",IF(HR_Data[[#This Row],[Age]]&lt;=34,"25-34",IF(HR_Data[[#This Row],[Age]]&lt;=44,"35-44",IF(HR_Data[[#This Row],[Age]]&lt;=54,"45-54","55+"))))</f>
        <v>35-44</v>
      </c>
      <c r="AM1150" t="str">
        <f>IF(HR_Data[[#This Row],[MonthlyIncome]]&lt;3000,"Low Salary",IF(HR_Data[[#This Row],[MonthlyIncome]]&lt;=7000,"Medium Salary","High Salary"))</f>
        <v>Medium Salary</v>
      </c>
      <c r="AN1150" t="str">
        <f>IF(HR_Data[[#This Row],[YearsAtCompany]]&lt;2,"0-1 Years",IF(HR_Data[[#This Row],[YearsAtCompany]]&lt;=5,"2-5 Years",IF(HR_Data[[#This Row],[YearsAtCompany]]&lt;=10,"6-10 Years","10+ Years")))</f>
        <v>6-10 Years</v>
      </c>
      <c r="AO1150" t="str">
        <f>IF(HR_Data[[#This Row],[JobSatisfaction]]=1,"Low",IF(HR_Data[[#This Row],[JobSatisfaction]]=2,"Medium",IF(HR_Data[[#This Row],[JobSatisfaction]]=3,"High","Very High")))</f>
        <v>Low</v>
      </c>
      <c r="AP1150" t="str">
        <f>IF(HR_Data[[#This Row],[WorkLifeBalance]]=1,"Bad",IF(HR_Data[[#This Row],[WorkLifeBalance]]=2,"Good",IF(HR_Data[[#This Row],[WorkLifeBalance]]=3,"Better","Best")))</f>
        <v>Better</v>
      </c>
    </row>
    <row r="1151" spans="1:42"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IF(HR_Data[[#This Row],[Attrition]]="Yes",1,0)</f>
        <v>0</v>
      </c>
      <c r="AK1151">
        <f>IF(HR_Data[[#This Row],[Attrition]]="No",1,0)</f>
        <v>1</v>
      </c>
      <c r="AL1151" t="str">
        <f>IF(HR_Data[[#This Row],[Age]]&lt;25,"Under 25",IF(HR_Data[[#This Row],[Age]]&lt;=34,"25-34",IF(HR_Data[[#This Row],[Age]]&lt;=44,"35-44",IF(HR_Data[[#This Row],[Age]]&lt;=54,"45-54","55+"))))</f>
        <v>25-34</v>
      </c>
      <c r="AM1151" t="str">
        <f>IF(HR_Data[[#This Row],[MonthlyIncome]]&lt;3000,"Low Salary",IF(HR_Data[[#This Row],[MonthlyIncome]]&lt;=7000,"Medium Salary","High Salary"))</f>
        <v>Medium Salary</v>
      </c>
      <c r="AN1151" t="str">
        <f>IF(HR_Data[[#This Row],[YearsAtCompany]]&lt;2,"0-1 Years",IF(HR_Data[[#This Row],[YearsAtCompany]]&lt;=5,"2-5 Years",IF(HR_Data[[#This Row],[YearsAtCompany]]&lt;=10,"6-10 Years","10+ Years")))</f>
        <v>6-10 Years</v>
      </c>
      <c r="AO1151" t="str">
        <f>IF(HR_Data[[#This Row],[JobSatisfaction]]=1,"Low",IF(HR_Data[[#This Row],[JobSatisfaction]]=2,"Medium",IF(HR_Data[[#This Row],[JobSatisfaction]]=3,"High","Very High")))</f>
        <v>Low</v>
      </c>
      <c r="AP1151" t="str">
        <f>IF(HR_Data[[#This Row],[WorkLifeBalance]]=1,"Bad",IF(HR_Data[[#This Row],[WorkLifeBalance]]=2,"Good",IF(HR_Data[[#This Row],[WorkLifeBalance]]=3,"Better","Best")))</f>
        <v>Better</v>
      </c>
    </row>
    <row r="1152" spans="1:42"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IF(HR_Data[[#This Row],[Attrition]]="Yes",1,0)</f>
        <v>0</v>
      </c>
      <c r="AK1152">
        <f>IF(HR_Data[[#This Row],[Attrition]]="No",1,0)</f>
        <v>1</v>
      </c>
      <c r="AL1152" t="str">
        <f>IF(HR_Data[[#This Row],[Age]]&lt;25,"Under 25",IF(HR_Data[[#This Row],[Age]]&lt;=34,"25-34",IF(HR_Data[[#This Row],[Age]]&lt;=44,"35-44",IF(HR_Data[[#This Row],[Age]]&lt;=54,"45-54","55+"))))</f>
        <v>35-44</v>
      </c>
      <c r="AM1152" t="str">
        <f>IF(HR_Data[[#This Row],[MonthlyIncome]]&lt;3000,"Low Salary",IF(HR_Data[[#This Row],[MonthlyIncome]]&lt;=7000,"Medium Salary","High Salary"))</f>
        <v>Medium Salary</v>
      </c>
      <c r="AN1152" t="str">
        <f>IF(HR_Data[[#This Row],[YearsAtCompany]]&lt;2,"0-1 Years",IF(HR_Data[[#This Row],[YearsAtCompany]]&lt;=5,"2-5 Years",IF(HR_Data[[#This Row],[YearsAtCompany]]&lt;=10,"6-10 Years","10+ Years")))</f>
        <v>10+ Years</v>
      </c>
      <c r="AO1152" t="str">
        <f>IF(HR_Data[[#This Row],[JobSatisfaction]]=1,"Low",IF(HR_Data[[#This Row],[JobSatisfaction]]=2,"Medium",IF(HR_Data[[#This Row],[JobSatisfaction]]=3,"High","Very High")))</f>
        <v>Low</v>
      </c>
      <c r="AP1152" t="str">
        <f>IF(HR_Data[[#This Row],[WorkLifeBalance]]=1,"Bad",IF(HR_Data[[#This Row],[WorkLifeBalance]]=2,"Good",IF(HR_Data[[#This Row],[WorkLifeBalance]]=3,"Better","Best")))</f>
        <v>Better</v>
      </c>
    </row>
    <row r="1153" spans="1:42"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IF(HR_Data[[#This Row],[Attrition]]="Yes",1,0)</f>
        <v>0</v>
      </c>
      <c r="AK1153">
        <f>IF(HR_Data[[#This Row],[Attrition]]="No",1,0)</f>
        <v>1</v>
      </c>
      <c r="AL1153" t="str">
        <f>IF(HR_Data[[#This Row],[Age]]&lt;25,"Under 25",IF(HR_Data[[#This Row],[Age]]&lt;=34,"25-34",IF(HR_Data[[#This Row],[Age]]&lt;=44,"35-44",IF(HR_Data[[#This Row],[Age]]&lt;=54,"45-54","55+"))))</f>
        <v>25-34</v>
      </c>
      <c r="AM1153" t="str">
        <f>IF(HR_Data[[#This Row],[MonthlyIncome]]&lt;3000,"Low Salary",IF(HR_Data[[#This Row],[MonthlyIncome]]&lt;=7000,"Medium Salary","High Salary"))</f>
        <v>Medium Salary</v>
      </c>
      <c r="AN1153" t="str">
        <f>IF(HR_Data[[#This Row],[YearsAtCompany]]&lt;2,"0-1 Years",IF(HR_Data[[#This Row],[YearsAtCompany]]&lt;=5,"2-5 Years",IF(HR_Data[[#This Row],[YearsAtCompany]]&lt;=10,"6-10 Years","10+ Years")))</f>
        <v>2-5 Years</v>
      </c>
      <c r="AO1153" t="str">
        <f>IF(HR_Data[[#This Row],[JobSatisfaction]]=1,"Low",IF(HR_Data[[#This Row],[JobSatisfaction]]=2,"Medium",IF(HR_Data[[#This Row],[JobSatisfaction]]=3,"High","Very High")))</f>
        <v>Low</v>
      </c>
      <c r="AP1153" t="str">
        <f>IF(HR_Data[[#This Row],[WorkLifeBalance]]=1,"Bad",IF(HR_Data[[#This Row],[WorkLifeBalance]]=2,"Good",IF(HR_Data[[#This Row],[WorkLifeBalance]]=3,"Better","Best")))</f>
        <v>Good</v>
      </c>
    </row>
    <row r="1154" spans="1:42"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IF(HR_Data[[#This Row],[Attrition]]="Yes",1,0)</f>
        <v>0</v>
      </c>
      <c r="AK1154">
        <f>IF(HR_Data[[#This Row],[Attrition]]="No",1,0)</f>
        <v>1</v>
      </c>
      <c r="AL1154" t="str">
        <f>IF(HR_Data[[#This Row],[Age]]&lt;25,"Under 25",IF(HR_Data[[#This Row],[Age]]&lt;=34,"25-34",IF(HR_Data[[#This Row],[Age]]&lt;=44,"35-44",IF(HR_Data[[#This Row],[Age]]&lt;=54,"45-54","55+"))))</f>
        <v>Under 25</v>
      </c>
      <c r="AM1154" t="str">
        <f>IF(HR_Data[[#This Row],[MonthlyIncome]]&lt;3000,"Low Salary",IF(HR_Data[[#This Row],[MonthlyIncome]]&lt;=7000,"Medium Salary","High Salary"))</f>
        <v>Medium Salary</v>
      </c>
      <c r="AN1154" t="str">
        <f>IF(HR_Data[[#This Row],[YearsAtCompany]]&lt;2,"0-1 Years",IF(HR_Data[[#This Row],[YearsAtCompany]]&lt;=5,"2-5 Years",IF(HR_Data[[#This Row],[YearsAtCompany]]&lt;=10,"6-10 Years","10+ Years")))</f>
        <v>2-5 Years</v>
      </c>
      <c r="AO1154" t="str">
        <f>IF(HR_Data[[#This Row],[JobSatisfaction]]=1,"Low",IF(HR_Data[[#This Row],[JobSatisfaction]]=2,"Medium",IF(HR_Data[[#This Row],[JobSatisfaction]]=3,"High","Very High")))</f>
        <v>Very High</v>
      </c>
      <c r="AP1154" t="str">
        <f>IF(HR_Data[[#This Row],[WorkLifeBalance]]=1,"Bad",IF(HR_Data[[#This Row],[WorkLifeBalance]]=2,"Good",IF(HR_Data[[#This Row],[WorkLifeBalance]]=3,"Better","Best")))</f>
        <v>Better</v>
      </c>
    </row>
    <row r="1155" spans="1:42"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IF(HR_Data[[#This Row],[Attrition]]="Yes",1,0)</f>
        <v>1</v>
      </c>
      <c r="AK1155">
        <f>IF(HR_Data[[#This Row],[Attrition]]="No",1,0)</f>
        <v>0</v>
      </c>
      <c r="AL1155" t="str">
        <f>IF(HR_Data[[#This Row],[Age]]&lt;25,"Under 25",IF(HR_Data[[#This Row],[Age]]&lt;=34,"25-34",IF(HR_Data[[#This Row],[Age]]&lt;=44,"35-44",IF(HR_Data[[#This Row],[Age]]&lt;=54,"45-54","55+"))))</f>
        <v>Under 25</v>
      </c>
      <c r="AM1155" t="str">
        <f>IF(HR_Data[[#This Row],[MonthlyIncome]]&lt;3000,"Low Salary",IF(HR_Data[[#This Row],[MonthlyIncome]]&lt;=7000,"Medium Salary","High Salary"))</f>
        <v>Low Salary</v>
      </c>
      <c r="AN1155" t="str">
        <f>IF(HR_Data[[#This Row],[YearsAtCompany]]&lt;2,"0-1 Years",IF(HR_Data[[#This Row],[YearsAtCompany]]&lt;=5,"2-5 Years",IF(HR_Data[[#This Row],[YearsAtCompany]]&lt;=10,"6-10 Years","10+ Years")))</f>
        <v>0-1 Years</v>
      </c>
      <c r="AO1155" t="str">
        <f>IF(HR_Data[[#This Row],[JobSatisfaction]]=1,"Low",IF(HR_Data[[#This Row],[JobSatisfaction]]=2,"Medium",IF(HR_Data[[#This Row],[JobSatisfaction]]=3,"High","Very High")))</f>
        <v>Very High</v>
      </c>
      <c r="AP1155" t="str">
        <f>IF(HR_Data[[#This Row],[WorkLifeBalance]]=1,"Bad",IF(HR_Data[[#This Row],[WorkLifeBalance]]=2,"Good",IF(HR_Data[[#This Row],[WorkLifeBalance]]=3,"Better","Best")))</f>
        <v>Best</v>
      </c>
    </row>
    <row r="1156" spans="1:42"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IF(HR_Data[[#This Row],[Attrition]]="Yes",1,0)</f>
        <v>0</v>
      </c>
      <c r="AK1156">
        <f>IF(HR_Data[[#This Row],[Attrition]]="No",1,0)</f>
        <v>1</v>
      </c>
      <c r="AL1156" t="str">
        <f>IF(HR_Data[[#This Row],[Age]]&lt;25,"Under 25",IF(HR_Data[[#This Row],[Age]]&lt;=34,"25-34",IF(HR_Data[[#This Row],[Age]]&lt;=44,"35-44",IF(HR_Data[[#This Row],[Age]]&lt;=54,"45-54","55+"))))</f>
        <v>45-54</v>
      </c>
      <c r="AM1156" t="str">
        <f>IF(HR_Data[[#This Row],[MonthlyIncome]]&lt;3000,"Low Salary",IF(HR_Data[[#This Row],[MonthlyIncome]]&lt;=7000,"Medium Salary","High Salary"))</f>
        <v>High Salary</v>
      </c>
      <c r="AN1156" t="str">
        <f>IF(HR_Data[[#This Row],[YearsAtCompany]]&lt;2,"0-1 Years",IF(HR_Data[[#This Row],[YearsAtCompany]]&lt;=5,"2-5 Years",IF(HR_Data[[#This Row],[YearsAtCompany]]&lt;=10,"6-10 Years","10+ Years")))</f>
        <v>2-5 Years</v>
      </c>
      <c r="AO1156" t="str">
        <f>IF(HR_Data[[#This Row],[JobSatisfaction]]=1,"Low",IF(HR_Data[[#This Row],[JobSatisfaction]]=2,"Medium",IF(HR_Data[[#This Row],[JobSatisfaction]]=3,"High","Very High")))</f>
        <v>High</v>
      </c>
      <c r="AP1156" t="str">
        <f>IF(HR_Data[[#This Row],[WorkLifeBalance]]=1,"Bad",IF(HR_Data[[#This Row],[WorkLifeBalance]]=2,"Good",IF(HR_Data[[#This Row],[WorkLifeBalance]]=3,"Better","Best")))</f>
        <v>Better</v>
      </c>
    </row>
    <row r="1157" spans="1:42"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IF(HR_Data[[#This Row],[Attrition]]="Yes",1,0)</f>
        <v>0</v>
      </c>
      <c r="AK1157">
        <f>IF(HR_Data[[#This Row],[Attrition]]="No",1,0)</f>
        <v>1</v>
      </c>
      <c r="AL1157" t="str">
        <f>IF(HR_Data[[#This Row],[Age]]&lt;25,"Under 25",IF(HR_Data[[#This Row],[Age]]&lt;=34,"25-34",IF(HR_Data[[#This Row],[Age]]&lt;=44,"35-44",IF(HR_Data[[#This Row],[Age]]&lt;=54,"45-54","55+"))))</f>
        <v>35-44</v>
      </c>
      <c r="AM1157" t="str">
        <f>IF(HR_Data[[#This Row],[MonthlyIncome]]&lt;3000,"Low Salary",IF(HR_Data[[#This Row],[MonthlyIncome]]&lt;=7000,"Medium Salary","High Salary"))</f>
        <v>Medium Salary</v>
      </c>
      <c r="AN1157" t="str">
        <f>IF(HR_Data[[#This Row],[YearsAtCompany]]&lt;2,"0-1 Years",IF(HR_Data[[#This Row],[YearsAtCompany]]&lt;=5,"2-5 Years",IF(HR_Data[[#This Row],[YearsAtCompany]]&lt;=10,"6-10 Years","10+ Years")))</f>
        <v>6-10 Years</v>
      </c>
      <c r="AO1157" t="str">
        <f>IF(HR_Data[[#This Row],[JobSatisfaction]]=1,"Low",IF(HR_Data[[#This Row],[JobSatisfaction]]=2,"Medium",IF(HR_Data[[#This Row],[JobSatisfaction]]=3,"High","Very High")))</f>
        <v>High</v>
      </c>
      <c r="AP1157" t="str">
        <f>IF(HR_Data[[#This Row],[WorkLifeBalance]]=1,"Bad",IF(HR_Data[[#This Row],[WorkLifeBalance]]=2,"Good",IF(HR_Data[[#This Row],[WorkLifeBalance]]=3,"Better","Best")))</f>
        <v>Better</v>
      </c>
    </row>
    <row r="1158" spans="1:42"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IF(HR_Data[[#This Row],[Attrition]]="Yes",1,0)</f>
        <v>0</v>
      </c>
      <c r="AK1158">
        <f>IF(HR_Data[[#This Row],[Attrition]]="No",1,0)</f>
        <v>1</v>
      </c>
      <c r="AL1158" t="str">
        <f>IF(HR_Data[[#This Row],[Age]]&lt;25,"Under 25",IF(HR_Data[[#This Row],[Age]]&lt;=34,"25-34",IF(HR_Data[[#This Row],[Age]]&lt;=44,"35-44",IF(HR_Data[[#This Row],[Age]]&lt;=54,"45-54","55+"))))</f>
        <v>35-44</v>
      </c>
      <c r="AM1158" t="str">
        <f>IF(HR_Data[[#This Row],[MonthlyIncome]]&lt;3000,"Low Salary",IF(HR_Data[[#This Row],[MonthlyIncome]]&lt;=7000,"Medium Salary","High Salary"))</f>
        <v>High Salary</v>
      </c>
      <c r="AN1158" t="str">
        <f>IF(HR_Data[[#This Row],[YearsAtCompany]]&lt;2,"0-1 Years",IF(HR_Data[[#This Row],[YearsAtCompany]]&lt;=5,"2-5 Years",IF(HR_Data[[#This Row],[YearsAtCompany]]&lt;=10,"6-10 Years","10+ Years")))</f>
        <v>10+ Years</v>
      </c>
      <c r="AO1158" t="str">
        <f>IF(HR_Data[[#This Row],[JobSatisfaction]]=1,"Low",IF(HR_Data[[#This Row],[JobSatisfaction]]=2,"Medium",IF(HR_Data[[#This Row],[JobSatisfaction]]=3,"High","Very High")))</f>
        <v>High</v>
      </c>
      <c r="AP1158" t="str">
        <f>IF(HR_Data[[#This Row],[WorkLifeBalance]]=1,"Bad",IF(HR_Data[[#This Row],[WorkLifeBalance]]=2,"Good",IF(HR_Data[[#This Row],[WorkLifeBalance]]=3,"Better","Best")))</f>
        <v>Better</v>
      </c>
    </row>
    <row r="1159" spans="1:42"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IF(HR_Data[[#This Row],[Attrition]]="Yes",1,0)</f>
        <v>0</v>
      </c>
      <c r="AK1159">
        <f>IF(HR_Data[[#This Row],[Attrition]]="No",1,0)</f>
        <v>1</v>
      </c>
      <c r="AL1159" t="str">
        <f>IF(HR_Data[[#This Row],[Age]]&lt;25,"Under 25",IF(HR_Data[[#This Row],[Age]]&lt;=34,"25-34",IF(HR_Data[[#This Row],[Age]]&lt;=44,"35-44",IF(HR_Data[[#This Row],[Age]]&lt;=54,"45-54","55+"))))</f>
        <v>35-44</v>
      </c>
      <c r="AM1159" t="str">
        <f>IF(HR_Data[[#This Row],[MonthlyIncome]]&lt;3000,"Low Salary",IF(HR_Data[[#This Row],[MonthlyIncome]]&lt;=7000,"Medium Salary","High Salary"))</f>
        <v>Medium Salary</v>
      </c>
      <c r="AN1159" t="str">
        <f>IF(HR_Data[[#This Row],[YearsAtCompany]]&lt;2,"0-1 Years",IF(HR_Data[[#This Row],[YearsAtCompany]]&lt;=5,"2-5 Years",IF(HR_Data[[#This Row],[YearsAtCompany]]&lt;=10,"6-10 Years","10+ Years")))</f>
        <v>10+ Years</v>
      </c>
      <c r="AO1159" t="str">
        <f>IF(HR_Data[[#This Row],[JobSatisfaction]]=1,"Low",IF(HR_Data[[#This Row],[JobSatisfaction]]=2,"Medium",IF(HR_Data[[#This Row],[JobSatisfaction]]=3,"High","Very High")))</f>
        <v>High</v>
      </c>
      <c r="AP1159" t="str">
        <f>IF(HR_Data[[#This Row],[WorkLifeBalance]]=1,"Bad",IF(HR_Data[[#This Row],[WorkLifeBalance]]=2,"Good",IF(HR_Data[[#This Row],[WorkLifeBalance]]=3,"Better","Best")))</f>
        <v>Better</v>
      </c>
    </row>
    <row r="1160" spans="1:42"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IF(HR_Data[[#This Row],[Attrition]]="Yes",1,0)</f>
        <v>0</v>
      </c>
      <c r="AK1160">
        <f>IF(HR_Data[[#This Row],[Attrition]]="No",1,0)</f>
        <v>1</v>
      </c>
      <c r="AL1160" t="str">
        <f>IF(HR_Data[[#This Row],[Age]]&lt;25,"Under 25",IF(HR_Data[[#This Row],[Age]]&lt;=34,"25-34",IF(HR_Data[[#This Row],[Age]]&lt;=44,"35-44",IF(HR_Data[[#This Row],[Age]]&lt;=54,"45-54","55+"))))</f>
        <v>35-44</v>
      </c>
      <c r="AM1160" t="str">
        <f>IF(HR_Data[[#This Row],[MonthlyIncome]]&lt;3000,"Low Salary",IF(HR_Data[[#This Row],[MonthlyIncome]]&lt;=7000,"Medium Salary","High Salary"))</f>
        <v>Medium Salary</v>
      </c>
      <c r="AN1160" t="str">
        <f>IF(HR_Data[[#This Row],[YearsAtCompany]]&lt;2,"0-1 Years",IF(HR_Data[[#This Row],[YearsAtCompany]]&lt;=5,"2-5 Years",IF(HR_Data[[#This Row],[YearsAtCompany]]&lt;=10,"6-10 Years","10+ Years")))</f>
        <v>2-5 Years</v>
      </c>
      <c r="AO1160" t="str">
        <f>IF(HR_Data[[#This Row],[JobSatisfaction]]=1,"Low",IF(HR_Data[[#This Row],[JobSatisfaction]]=2,"Medium",IF(HR_Data[[#This Row],[JobSatisfaction]]=3,"High","Very High")))</f>
        <v>High</v>
      </c>
      <c r="AP1160" t="str">
        <f>IF(HR_Data[[#This Row],[WorkLifeBalance]]=1,"Bad",IF(HR_Data[[#This Row],[WorkLifeBalance]]=2,"Good",IF(HR_Data[[#This Row],[WorkLifeBalance]]=3,"Better","Best")))</f>
        <v>Good</v>
      </c>
    </row>
    <row r="1161" spans="1:42"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IF(HR_Data[[#This Row],[Attrition]]="Yes",1,0)</f>
        <v>0</v>
      </c>
      <c r="AK1161">
        <f>IF(HR_Data[[#This Row],[Attrition]]="No",1,0)</f>
        <v>1</v>
      </c>
      <c r="AL1161" t="str">
        <f>IF(HR_Data[[#This Row],[Age]]&lt;25,"Under 25",IF(HR_Data[[#This Row],[Age]]&lt;=34,"25-34",IF(HR_Data[[#This Row],[Age]]&lt;=44,"35-44",IF(HR_Data[[#This Row],[Age]]&lt;=54,"45-54","55+"))))</f>
        <v>35-44</v>
      </c>
      <c r="AM1161" t="str">
        <f>IF(HR_Data[[#This Row],[MonthlyIncome]]&lt;3000,"Low Salary",IF(HR_Data[[#This Row],[MonthlyIncome]]&lt;=7000,"Medium Salary","High Salary"))</f>
        <v>Medium Salary</v>
      </c>
      <c r="AN1161" t="str">
        <f>IF(HR_Data[[#This Row],[YearsAtCompany]]&lt;2,"0-1 Years",IF(HR_Data[[#This Row],[YearsAtCompany]]&lt;=5,"2-5 Years",IF(HR_Data[[#This Row],[YearsAtCompany]]&lt;=10,"6-10 Years","10+ Years")))</f>
        <v>6-10 Years</v>
      </c>
      <c r="AO1161" t="str">
        <f>IF(HR_Data[[#This Row],[JobSatisfaction]]=1,"Low",IF(HR_Data[[#This Row],[JobSatisfaction]]=2,"Medium",IF(HR_Data[[#This Row],[JobSatisfaction]]=3,"High","Very High")))</f>
        <v>High</v>
      </c>
      <c r="AP1161" t="str">
        <f>IF(HR_Data[[#This Row],[WorkLifeBalance]]=1,"Bad",IF(HR_Data[[#This Row],[WorkLifeBalance]]=2,"Good",IF(HR_Data[[#This Row],[WorkLifeBalance]]=3,"Better","Best")))</f>
        <v>Bad</v>
      </c>
    </row>
    <row r="1162" spans="1:42"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IF(HR_Data[[#This Row],[Attrition]]="Yes",1,0)</f>
        <v>0</v>
      </c>
      <c r="AK1162">
        <f>IF(HR_Data[[#This Row],[Attrition]]="No",1,0)</f>
        <v>1</v>
      </c>
      <c r="AL1162" t="str">
        <f>IF(HR_Data[[#This Row],[Age]]&lt;25,"Under 25",IF(HR_Data[[#This Row],[Age]]&lt;=34,"25-34",IF(HR_Data[[#This Row],[Age]]&lt;=44,"35-44",IF(HR_Data[[#This Row],[Age]]&lt;=54,"45-54","55+"))))</f>
        <v>45-54</v>
      </c>
      <c r="AM1162" t="str">
        <f>IF(HR_Data[[#This Row],[MonthlyIncome]]&lt;3000,"Low Salary",IF(HR_Data[[#This Row],[MonthlyIncome]]&lt;=7000,"Medium Salary","High Salary"))</f>
        <v>Medium Salary</v>
      </c>
      <c r="AN1162" t="str">
        <f>IF(HR_Data[[#This Row],[YearsAtCompany]]&lt;2,"0-1 Years",IF(HR_Data[[#This Row],[YearsAtCompany]]&lt;=5,"2-5 Years",IF(HR_Data[[#This Row],[YearsAtCompany]]&lt;=10,"6-10 Years","10+ Years")))</f>
        <v>6-10 Years</v>
      </c>
      <c r="AO1162" t="str">
        <f>IF(HR_Data[[#This Row],[JobSatisfaction]]=1,"Low",IF(HR_Data[[#This Row],[JobSatisfaction]]=2,"Medium",IF(HR_Data[[#This Row],[JobSatisfaction]]=3,"High","Very High")))</f>
        <v>Very High</v>
      </c>
      <c r="AP1162" t="str">
        <f>IF(HR_Data[[#This Row],[WorkLifeBalance]]=1,"Bad",IF(HR_Data[[#This Row],[WorkLifeBalance]]=2,"Good",IF(HR_Data[[#This Row],[WorkLifeBalance]]=3,"Better","Best")))</f>
        <v>Better</v>
      </c>
    </row>
    <row r="1163" spans="1:42"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IF(HR_Data[[#This Row],[Attrition]]="Yes",1,0)</f>
        <v>0</v>
      </c>
      <c r="AK1163">
        <f>IF(HR_Data[[#This Row],[Attrition]]="No",1,0)</f>
        <v>1</v>
      </c>
      <c r="AL1163" t="str">
        <f>IF(HR_Data[[#This Row],[Age]]&lt;25,"Under 25",IF(HR_Data[[#This Row],[Age]]&lt;=34,"25-34",IF(HR_Data[[#This Row],[Age]]&lt;=44,"35-44",IF(HR_Data[[#This Row],[Age]]&lt;=54,"45-54","55+"))))</f>
        <v>35-44</v>
      </c>
      <c r="AM1163" t="str">
        <f>IF(HR_Data[[#This Row],[MonthlyIncome]]&lt;3000,"Low Salary",IF(HR_Data[[#This Row],[MonthlyIncome]]&lt;=7000,"Medium Salary","High Salary"))</f>
        <v>High Salary</v>
      </c>
      <c r="AN1163" t="str">
        <f>IF(HR_Data[[#This Row],[YearsAtCompany]]&lt;2,"0-1 Years",IF(HR_Data[[#This Row],[YearsAtCompany]]&lt;=5,"2-5 Years",IF(HR_Data[[#This Row],[YearsAtCompany]]&lt;=10,"6-10 Years","10+ Years")))</f>
        <v>2-5 Years</v>
      </c>
      <c r="AO1163" t="str">
        <f>IF(HR_Data[[#This Row],[JobSatisfaction]]=1,"Low",IF(HR_Data[[#This Row],[JobSatisfaction]]=2,"Medium",IF(HR_Data[[#This Row],[JobSatisfaction]]=3,"High","Very High")))</f>
        <v>High</v>
      </c>
      <c r="AP1163" t="str">
        <f>IF(HR_Data[[#This Row],[WorkLifeBalance]]=1,"Bad",IF(HR_Data[[#This Row],[WorkLifeBalance]]=2,"Good",IF(HR_Data[[#This Row],[WorkLifeBalance]]=3,"Better","Best")))</f>
        <v>Best</v>
      </c>
    </row>
    <row r="1164" spans="1:42"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IF(HR_Data[[#This Row],[Attrition]]="Yes",1,0)</f>
        <v>1</v>
      </c>
      <c r="AK1164">
        <f>IF(HR_Data[[#This Row],[Attrition]]="No",1,0)</f>
        <v>0</v>
      </c>
      <c r="AL1164" t="str">
        <f>IF(HR_Data[[#This Row],[Age]]&lt;25,"Under 25",IF(HR_Data[[#This Row],[Age]]&lt;=34,"25-34",IF(HR_Data[[#This Row],[Age]]&lt;=44,"35-44",IF(HR_Data[[#This Row],[Age]]&lt;=54,"45-54","55+"))))</f>
        <v>35-44</v>
      </c>
      <c r="AM1164" t="str">
        <f>IF(HR_Data[[#This Row],[MonthlyIncome]]&lt;3000,"Low Salary",IF(HR_Data[[#This Row],[MonthlyIncome]]&lt;=7000,"Medium Salary","High Salary"))</f>
        <v>High Salary</v>
      </c>
      <c r="AN1164" t="str">
        <f>IF(HR_Data[[#This Row],[YearsAtCompany]]&lt;2,"0-1 Years",IF(HR_Data[[#This Row],[YearsAtCompany]]&lt;=5,"2-5 Years",IF(HR_Data[[#This Row],[YearsAtCompany]]&lt;=10,"6-10 Years","10+ Years")))</f>
        <v>10+ Years</v>
      </c>
      <c r="AO1164" t="str">
        <f>IF(HR_Data[[#This Row],[JobSatisfaction]]=1,"Low",IF(HR_Data[[#This Row],[JobSatisfaction]]=2,"Medium",IF(HR_Data[[#This Row],[JobSatisfaction]]=3,"High","Very High")))</f>
        <v>Low</v>
      </c>
      <c r="AP1164" t="str">
        <f>IF(HR_Data[[#This Row],[WorkLifeBalance]]=1,"Bad",IF(HR_Data[[#This Row],[WorkLifeBalance]]=2,"Good",IF(HR_Data[[#This Row],[WorkLifeBalance]]=3,"Better","Best")))</f>
        <v>Better</v>
      </c>
    </row>
    <row r="1165" spans="1:42"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IF(HR_Data[[#This Row],[Attrition]]="Yes",1,0)</f>
        <v>0</v>
      </c>
      <c r="AK1165">
        <f>IF(HR_Data[[#This Row],[Attrition]]="No",1,0)</f>
        <v>1</v>
      </c>
      <c r="AL1165" t="str">
        <f>IF(HR_Data[[#This Row],[Age]]&lt;25,"Under 25",IF(HR_Data[[#This Row],[Age]]&lt;=34,"25-34",IF(HR_Data[[#This Row],[Age]]&lt;=44,"35-44",IF(HR_Data[[#This Row],[Age]]&lt;=54,"45-54","55+"))))</f>
        <v>35-44</v>
      </c>
      <c r="AM1165" t="str">
        <f>IF(HR_Data[[#This Row],[MonthlyIncome]]&lt;3000,"Low Salary",IF(HR_Data[[#This Row],[MonthlyIncome]]&lt;=7000,"Medium Salary","High Salary"))</f>
        <v>Medium Salary</v>
      </c>
      <c r="AN1165" t="str">
        <f>IF(HR_Data[[#This Row],[YearsAtCompany]]&lt;2,"0-1 Years",IF(HR_Data[[#This Row],[YearsAtCompany]]&lt;=5,"2-5 Years",IF(HR_Data[[#This Row],[YearsAtCompany]]&lt;=10,"6-10 Years","10+ Years")))</f>
        <v>6-10 Years</v>
      </c>
      <c r="AO1165" t="str">
        <f>IF(HR_Data[[#This Row],[JobSatisfaction]]=1,"Low",IF(HR_Data[[#This Row],[JobSatisfaction]]=2,"Medium",IF(HR_Data[[#This Row],[JobSatisfaction]]=3,"High","Very High")))</f>
        <v>Medium</v>
      </c>
      <c r="AP1165" t="str">
        <f>IF(HR_Data[[#This Row],[WorkLifeBalance]]=1,"Bad",IF(HR_Data[[#This Row],[WorkLifeBalance]]=2,"Good",IF(HR_Data[[#This Row],[WorkLifeBalance]]=3,"Better","Best")))</f>
        <v>Bad</v>
      </c>
    </row>
    <row r="1166" spans="1:42"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IF(HR_Data[[#This Row],[Attrition]]="Yes",1,0)</f>
        <v>0</v>
      </c>
      <c r="AK1166">
        <f>IF(HR_Data[[#This Row],[Attrition]]="No",1,0)</f>
        <v>1</v>
      </c>
      <c r="AL1166" t="str">
        <f>IF(HR_Data[[#This Row],[Age]]&lt;25,"Under 25",IF(HR_Data[[#This Row],[Age]]&lt;=34,"25-34",IF(HR_Data[[#This Row],[Age]]&lt;=44,"35-44",IF(HR_Data[[#This Row],[Age]]&lt;=54,"45-54","55+"))))</f>
        <v>35-44</v>
      </c>
      <c r="AM1166" t="str">
        <f>IF(HR_Data[[#This Row],[MonthlyIncome]]&lt;3000,"Low Salary",IF(HR_Data[[#This Row],[MonthlyIncome]]&lt;=7000,"Medium Salary","High Salary"))</f>
        <v>High Salary</v>
      </c>
      <c r="AN1166" t="str">
        <f>IF(HR_Data[[#This Row],[YearsAtCompany]]&lt;2,"0-1 Years",IF(HR_Data[[#This Row],[YearsAtCompany]]&lt;=5,"2-5 Years",IF(HR_Data[[#This Row],[YearsAtCompany]]&lt;=10,"6-10 Years","10+ Years")))</f>
        <v>2-5 Years</v>
      </c>
      <c r="AO1166" t="str">
        <f>IF(HR_Data[[#This Row],[JobSatisfaction]]=1,"Low",IF(HR_Data[[#This Row],[JobSatisfaction]]=2,"Medium",IF(HR_Data[[#This Row],[JobSatisfaction]]=3,"High","Very High")))</f>
        <v>Very High</v>
      </c>
      <c r="AP1166" t="str">
        <f>IF(HR_Data[[#This Row],[WorkLifeBalance]]=1,"Bad",IF(HR_Data[[#This Row],[WorkLifeBalance]]=2,"Good",IF(HR_Data[[#This Row],[WorkLifeBalance]]=3,"Better","Best")))</f>
        <v>Good</v>
      </c>
    </row>
    <row r="1167" spans="1:42"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IF(HR_Data[[#This Row],[Attrition]]="Yes",1,0)</f>
        <v>0</v>
      </c>
      <c r="AK1167">
        <f>IF(HR_Data[[#This Row],[Attrition]]="No",1,0)</f>
        <v>1</v>
      </c>
      <c r="AL1167" t="str">
        <f>IF(HR_Data[[#This Row],[Age]]&lt;25,"Under 25",IF(HR_Data[[#This Row],[Age]]&lt;=34,"25-34",IF(HR_Data[[#This Row],[Age]]&lt;=44,"35-44",IF(HR_Data[[#This Row],[Age]]&lt;=54,"45-54","55+"))))</f>
        <v>35-44</v>
      </c>
      <c r="AM1167" t="str">
        <f>IF(HR_Data[[#This Row],[MonthlyIncome]]&lt;3000,"Low Salary",IF(HR_Data[[#This Row],[MonthlyIncome]]&lt;=7000,"Medium Salary","High Salary"))</f>
        <v>Medium Salary</v>
      </c>
      <c r="AN1167" t="str">
        <f>IF(HR_Data[[#This Row],[YearsAtCompany]]&lt;2,"0-1 Years",IF(HR_Data[[#This Row],[YearsAtCompany]]&lt;=5,"2-5 Years",IF(HR_Data[[#This Row],[YearsAtCompany]]&lt;=10,"6-10 Years","10+ Years")))</f>
        <v>6-10 Years</v>
      </c>
      <c r="AO1167" t="str">
        <f>IF(HR_Data[[#This Row],[JobSatisfaction]]=1,"Low",IF(HR_Data[[#This Row],[JobSatisfaction]]=2,"Medium",IF(HR_Data[[#This Row],[JobSatisfaction]]=3,"High","Very High")))</f>
        <v>Very High</v>
      </c>
      <c r="AP1167" t="str">
        <f>IF(HR_Data[[#This Row],[WorkLifeBalance]]=1,"Bad",IF(HR_Data[[#This Row],[WorkLifeBalance]]=2,"Good",IF(HR_Data[[#This Row],[WorkLifeBalance]]=3,"Better","Best")))</f>
        <v>Better</v>
      </c>
    </row>
    <row r="1168" spans="1:42"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IF(HR_Data[[#This Row],[Attrition]]="Yes",1,0)</f>
        <v>0</v>
      </c>
      <c r="AK1168">
        <f>IF(HR_Data[[#This Row],[Attrition]]="No",1,0)</f>
        <v>1</v>
      </c>
      <c r="AL1168" t="str">
        <f>IF(HR_Data[[#This Row],[Age]]&lt;25,"Under 25",IF(HR_Data[[#This Row],[Age]]&lt;=34,"25-34",IF(HR_Data[[#This Row],[Age]]&lt;=44,"35-44",IF(HR_Data[[#This Row],[Age]]&lt;=54,"45-54","55+"))))</f>
        <v>45-54</v>
      </c>
      <c r="AM1168" t="str">
        <f>IF(HR_Data[[#This Row],[MonthlyIncome]]&lt;3000,"Low Salary",IF(HR_Data[[#This Row],[MonthlyIncome]]&lt;=7000,"Medium Salary","High Salary"))</f>
        <v>High Salary</v>
      </c>
      <c r="AN1168" t="str">
        <f>IF(HR_Data[[#This Row],[YearsAtCompany]]&lt;2,"0-1 Years",IF(HR_Data[[#This Row],[YearsAtCompany]]&lt;=5,"2-5 Years",IF(HR_Data[[#This Row],[YearsAtCompany]]&lt;=10,"6-10 Years","10+ Years")))</f>
        <v>2-5 Years</v>
      </c>
      <c r="AO1168" t="str">
        <f>IF(HR_Data[[#This Row],[JobSatisfaction]]=1,"Low",IF(HR_Data[[#This Row],[JobSatisfaction]]=2,"Medium",IF(HR_Data[[#This Row],[JobSatisfaction]]=3,"High","Very High")))</f>
        <v>Very High</v>
      </c>
      <c r="AP1168" t="str">
        <f>IF(HR_Data[[#This Row],[WorkLifeBalance]]=1,"Bad",IF(HR_Data[[#This Row],[WorkLifeBalance]]=2,"Good",IF(HR_Data[[#This Row],[WorkLifeBalance]]=3,"Better","Best")))</f>
        <v>Better</v>
      </c>
    </row>
    <row r="1169" spans="1:42"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IF(HR_Data[[#This Row],[Attrition]]="Yes",1,0)</f>
        <v>1</v>
      </c>
      <c r="AK1169">
        <f>IF(HR_Data[[#This Row],[Attrition]]="No",1,0)</f>
        <v>0</v>
      </c>
      <c r="AL1169" t="str">
        <f>IF(HR_Data[[#This Row],[Age]]&lt;25,"Under 25",IF(HR_Data[[#This Row],[Age]]&lt;=34,"25-34",IF(HR_Data[[#This Row],[Age]]&lt;=44,"35-44",IF(HR_Data[[#This Row],[Age]]&lt;=54,"45-54","55+"))))</f>
        <v>35-44</v>
      </c>
      <c r="AM1169" t="str">
        <f>IF(HR_Data[[#This Row],[MonthlyIncome]]&lt;3000,"Low Salary",IF(HR_Data[[#This Row],[MonthlyIncome]]&lt;=7000,"Medium Salary","High Salary"))</f>
        <v>Medium Salary</v>
      </c>
      <c r="AN1169" t="str">
        <f>IF(HR_Data[[#This Row],[YearsAtCompany]]&lt;2,"0-1 Years",IF(HR_Data[[#This Row],[YearsAtCompany]]&lt;=5,"2-5 Years",IF(HR_Data[[#This Row],[YearsAtCompany]]&lt;=10,"6-10 Years","10+ Years")))</f>
        <v>2-5 Years</v>
      </c>
      <c r="AO1169" t="str">
        <f>IF(HR_Data[[#This Row],[JobSatisfaction]]=1,"Low",IF(HR_Data[[#This Row],[JobSatisfaction]]=2,"Medium",IF(HR_Data[[#This Row],[JobSatisfaction]]=3,"High","Very High")))</f>
        <v>Very High</v>
      </c>
      <c r="AP1169" t="str">
        <f>IF(HR_Data[[#This Row],[WorkLifeBalance]]=1,"Bad",IF(HR_Data[[#This Row],[WorkLifeBalance]]=2,"Good",IF(HR_Data[[#This Row],[WorkLifeBalance]]=3,"Better","Best")))</f>
        <v>Good</v>
      </c>
    </row>
    <row r="1170" spans="1:42"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IF(HR_Data[[#This Row],[Attrition]]="Yes",1,0)</f>
        <v>0</v>
      </c>
      <c r="AK1170">
        <f>IF(HR_Data[[#This Row],[Attrition]]="No",1,0)</f>
        <v>1</v>
      </c>
      <c r="AL1170" t="str">
        <f>IF(HR_Data[[#This Row],[Age]]&lt;25,"Under 25",IF(HR_Data[[#This Row],[Age]]&lt;=34,"25-34",IF(HR_Data[[#This Row],[Age]]&lt;=44,"35-44",IF(HR_Data[[#This Row],[Age]]&lt;=54,"45-54","55+"))))</f>
        <v>Under 25</v>
      </c>
      <c r="AM1170" t="str">
        <f>IF(HR_Data[[#This Row],[MonthlyIncome]]&lt;3000,"Low Salary",IF(HR_Data[[#This Row],[MonthlyIncome]]&lt;=7000,"Medium Salary","High Salary"))</f>
        <v>Medium Salary</v>
      </c>
      <c r="AN1170" t="str">
        <f>IF(HR_Data[[#This Row],[YearsAtCompany]]&lt;2,"0-1 Years",IF(HR_Data[[#This Row],[YearsAtCompany]]&lt;=5,"2-5 Years",IF(HR_Data[[#This Row],[YearsAtCompany]]&lt;=10,"6-10 Years","10+ Years")))</f>
        <v>6-10 Years</v>
      </c>
      <c r="AO1170" t="str">
        <f>IF(HR_Data[[#This Row],[JobSatisfaction]]=1,"Low",IF(HR_Data[[#This Row],[JobSatisfaction]]=2,"Medium",IF(HR_Data[[#This Row],[JobSatisfaction]]=3,"High","Very High")))</f>
        <v>Very High</v>
      </c>
      <c r="AP1170" t="str">
        <f>IF(HR_Data[[#This Row],[WorkLifeBalance]]=1,"Bad",IF(HR_Data[[#This Row],[WorkLifeBalance]]=2,"Good",IF(HR_Data[[#This Row],[WorkLifeBalance]]=3,"Better","Best")))</f>
        <v>Better</v>
      </c>
    </row>
    <row r="1171" spans="1:42"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IF(HR_Data[[#This Row],[Attrition]]="Yes",1,0)</f>
        <v>0</v>
      </c>
      <c r="AK1171">
        <f>IF(HR_Data[[#This Row],[Attrition]]="No",1,0)</f>
        <v>1</v>
      </c>
      <c r="AL1171" t="str">
        <f>IF(HR_Data[[#This Row],[Age]]&lt;25,"Under 25",IF(HR_Data[[#This Row],[Age]]&lt;=34,"25-34",IF(HR_Data[[#This Row],[Age]]&lt;=44,"35-44",IF(HR_Data[[#This Row],[Age]]&lt;=54,"45-54","55+"))))</f>
        <v>25-34</v>
      </c>
      <c r="AM1171" t="str">
        <f>IF(HR_Data[[#This Row],[MonthlyIncome]]&lt;3000,"Low Salary",IF(HR_Data[[#This Row],[MonthlyIncome]]&lt;=7000,"Medium Salary","High Salary"))</f>
        <v>Medium Salary</v>
      </c>
      <c r="AN1171" t="str">
        <f>IF(HR_Data[[#This Row],[YearsAtCompany]]&lt;2,"0-1 Years",IF(HR_Data[[#This Row],[YearsAtCompany]]&lt;=5,"2-5 Years",IF(HR_Data[[#This Row],[YearsAtCompany]]&lt;=10,"6-10 Years","10+ Years")))</f>
        <v>2-5 Years</v>
      </c>
      <c r="AO1171" t="str">
        <f>IF(HR_Data[[#This Row],[JobSatisfaction]]=1,"Low",IF(HR_Data[[#This Row],[JobSatisfaction]]=2,"Medium",IF(HR_Data[[#This Row],[JobSatisfaction]]=3,"High","Very High")))</f>
        <v>High</v>
      </c>
      <c r="AP1171" t="str">
        <f>IF(HR_Data[[#This Row],[WorkLifeBalance]]=1,"Bad",IF(HR_Data[[#This Row],[WorkLifeBalance]]=2,"Good",IF(HR_Data[[#This Row],[WorkLifeBalance]]=3,"Better","Best")))</f>
        <v>Better</v>
      </c>
    </row>
    <row r="1172" spans="1:42"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IF(HR_Data[[#This Row],[Attrition]]="Yes",1,0)</f>
        <v>0</v>
      </c>
      <c r="AK1172">
        <f>IF(HR_Data[[#This Row],[Attrition]]="No",1,0)</f>
        <v>1</v>
      </c>
      <c r="AL1172" t="str">
        <f>IF(HR_Data[[#This Row],[Age]]&lt;25,"Under 25",IF(HR_Data[[#This Row],[Age]]&lt;=34,"25-34",IF(HR_Data[[#This Row],[Age]]&lt;=44,"35-44",IF(HR_Data[[#This Row],[Age]]&lt;=54,"45-54","55+"))))</f>
        <v>25-34</v>
      </c>
      <c r="AM1172" t="str">
        <f>IF(HR_Data[[#This Row],[MonthlyIncome]]&lt;3000,"Low Salary",IF(HR_Data[[#This Row],[MonthlyIncome]]&lt;=7000,"Medium Salary","High Salary"))</f>
        <v>Low Salary</v>
      </c>
      <c r="AN1172" t="str">
        <f>IF(HR_Data[[#This Row],[YearsAtCompany]]&lt;2,"0-1 Years",IF(HR_Data[[#This Row],[YearsAtCompany]]&lt;=5,"2-5 Years",IF(HR_Data[[#This Row],[YearsAtCompany]]&lt;=10,"6-10 Years","10+ Years")))</f>
        <v>2-5 Years</v>
      </c>
      <c r="AO1172" t="str">
        <f>IF(HR_Data[[#This Row],[JobSatisfaction]]=1,"Low",IF(HR_Data[[#This Row],[JobSatisfaction]]=2,"Medium",IF(HR_Data[[#This Row],[JobSatisfaction]]=3,"High","Very High")))</f>
        <v>Very High</v>
      </c>
      <c r="AP1172" t="str">
        <f>IF(HR_Data[[#This Row],[WorkLifeBalance]]=1,"Bad",IF(HR_Data[[#This Row],[WorkLifeBalance]]=2,"Good",IF(HR_Data[[#This Row],[WorkLifeBalance]]=3,"Better","Best")))</f>
        <v>Good</v>
      </c>
    </row>
    <row r="1173" spans="1:42"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IF(HR_Data[[#This Row],[Attrition]]="Yes",1,0)</f>
        <v>1</v>
      </c>
      <c r="AK1173">
        <f>IF(HR_Data[[#This Row],[Attrition]]="No",1,0)</f>
        <v>0</v>
      </c>
      <c r="AL1173" t="str">
        <f>IF(HR_Data[[#This Row],[Age]]&lt;25,"Under 25",IF(HR_Data[[#This Row],[Age]]&lt;=34,"25-34",IF(HR_Data[[#This Row],[Age]]&lt;=44,"35-44",IF(HR_Data[[#This Row],[Age]]&lt;=54,"45-54","55+"))))</f>
        <v>35-44</v>
      </c>
      <c r="AM1173" t="str">
        <f>IF(HR_Data[[#This Row],[MonthlyIncome]]&lt;3000,"Low Salary",IF(HR_Data[[#This Row],[MonthlyIncome]]&lt;=7000,"Medium Salary","High Salary"))</f>
        <v>Low Salary</v>
      </c>
      <c r="AN1173" t="str">
        <f>IF(HR_Data[[#This Row],[YearsAtCompany]]&lt;2,"0-1 Years",IF(HR_Data[[#This Row],[YearsAtCompany]]&lt;=5,"2-5 Years",IF(HR_Data[[#This Row],[YearsAtCompany]]&lt;=10,"6-10 Years","10+ Years")))</f>
        <v>2-5 Years</v>
      </c>
      <c r="AO1173" t="str">
        <f>IF(HR_Data[[#This Row],[JobSatisfaction]]=1,"Low",IF(HR_Data[[#This Row],[JobSatisfaction]]=2,"Medium",IF(HR_Data[[#This Row],[JobSatisfaction]]=3,"High","Very High")))</f>
        <v>Low</v>
      </c>
      <c r="AP1173" t="str">
        <f>IF(HR_Data[[#This Row],[WorkLifeBalance]]=1,"Bad",IF(HR_Data[[#This Row],[WorkLifeBalance]]=2,"Good",IF(HR_Data[[#This Row],[WorkLifeBalance]]=3,"Better","Best")))</f>
        <v>Bad</v>
      </c>
    </row>
    <row r="1174" spans="1:42"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IF(HR_Data[[#This Row],[Attrition]]="Yes",1,0)</f>
        <v>0</v>
      </c>
      <c r="AK1174">
        <f>IF(HR_Data[[#This Row],[Attrition]]="No",1,0)</f>
        <v>1</v>
      </c>
      <c r="AL1174" t="str">
        <f>IF(HR_Data[[#This Row],[Age]]&lt;25,"Under 25",IF(HR_Data[[#This Row],[Age]]&lt;=34,"25-34",IF(HR_Data[[#This Row],[Age]]&lt;=44,"35-44",IF(HR_Data[[#This Row],[Age]]&lt;=54,"45-54","55+"))))</f>
        <v>25-34</v>
      </c>
      <c r="AM1174" t="str">
        <f>IF(HR_Data[[#This Row],[MonthlyIncome]]&lt;3000,"Low Salary",IF(HR_Data[[#This Row],[MonthlyIncome]]&lt;=7000,"Medium Salary","High Salary"))</f>
        <v>Medium Salary</v>
      </c>
      <c r="AN1174" t="str">
        <f>IF(HR_Data[[#This Row],[YearsAtCompany]]&lt;2,"0-1 Years",IF(HR_Data[[#This Row],[YearsAtCompany]]&lt;=5,"2-5 Years",IF(HR_Data[[#This Row],[YearsAtCompany]]&lt;=10,"6-10 Years","10+ Years")))</f>
        <v>2-5 Years</v>
      </c>
      <c r="AO1174" t="str">
        <f>IF(HR_Data[[#This Row],[JobSatisfaction]]=1,"Low",IF(HR_Data[[#This Row],[JobSatisfaction]]=2,"Medium",IF(HR_Data[[#This Row],[JobSatisfaction]]=3,"High","Very High")))</f>
        <v>High</v>
      </c>
      <c r="AP1174" t="str">
        <f>IF(HR_Data[[#This Row],[WorkLifeBalance]]=1,"Bad",IF(HR_Data[[#This Row],[WorkLifeBalance]]=2,"Good",IF(HR_Data[[#This Row],[WorkLifeBalance]]=3,"Better","Best")))</f>
        <v>Better</v>
      </c>
    </row>
    <row r="1175" spans="1:42"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IF(HR_Data[[#This Row],[Attrition]]="Yes",1,0)</f>
        <v>0</v>
      </c>
      <c r="AK1175">
        <f>IF(HR_Data[[#This Row],[Attrition]]="No",1,0)</f>
        <v>1</v>
      </c>
      <c r="AL1175" t="str">
        <f>IF(HR_Data[[#This Row],[Age]]&lt;25,"Under 25",IF(HR_Data[[#This Row],[Age]]&lt;=34,"25-34",IF(HR_Data[[#This Row],[Age]]&lt;=44,"35-44",IF(HR_Data[[#This Row],[Age]]&lt;=54,"45-54","55+"))))</f>
        <v>35-44</v>
      </c>
      <c r="AM1175" t="str">
        <f>IF(HR_Data[[#This Row],[MonthlyIncome]]&lt;3000,"Low Salary",IF(HR_Data[[#This Row],[MonthlyIncome]]&lt;=7000,"Medium Salary","High Salary"))</f>
        <v>High Salary</v>
      </c>
      <c r="AN1175" t="str">
        <f>IF(HR_Data[[#This Row],[YearsAtCompany]]&lt;2,"0-1 Years",IF(HR_Data[[#This Row],[YearsAtCompany]]&lt;=5,"2-5 Years",IF(HR_Data[[#This Row],[YearsAtCompany]]&lt;=10,"6-10 Years","10+ Years")))</f>
        <v>2-5 Years</v>
      </c>
      <c r="AO1175" t="str">
        <f>IF(HR_Data[[#This Row],[JobSatisfaction]]=1,"Low",IF(HR_Data[[#This Row],[JobSatisfaction]]=2,"Medium",IF(HR_Data[[#This Row],[JobSatisfaction]]=3,"High","Very High")))</f>
        <v>Low</v>
      </c>
      <c r="AP1175" t="str">
        <f>IF(HR_Data[[#This Row],[WorkLifeBalance]]=1,"Bad",IF(HR_Data[[#This Row],[WorkLifeBalance]]=2,"Good",IF(HR_Data[[#This Row],[WorkLifeBalance]]=3,"Better","Best")))</f>
        <v>Better</v>
      </c>
    </row>
    <row r="1176" spans="1:42"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IF(HR_Data[[#This Row],[Attrition]]="Yes",1,0)</f>
        <v>0</v>
      </c>
      <c r="AK1176">
        <f>IF(HR_Data[[#This Row],[Attrition]]="No",1,0)</f>
        <v>1</v>
      </c>
      <c r="AL1176" t="str">
        <f>IF(HR_Data[[#This Row],[Age]]&lt;25,"Under 25",IF(HR_Data[[#This Row],[Age]]&lt;=34,"25-34",IF(HR_Data[[#This Row],[Age]]&lt;=44,"35-44",IF(HR_Data[[#This Row],[Age]]&lt;=54,"45-54","55+"))))</f>
        <v>25-34</v>
      </c>
      <c r="AM1176" t="str">
        <f>IF(HR_Data[[#This Row],[MonthlyIncome]]&lt;3000,"Low Salary",IF(HR_Data[[#This Row],[MonthlyIncome]]&lt;=7000,"Medium Salary","High Salary"))</f>
        <v>Medium Salary</v>
      </c>
      <c r="AN1176" t="str">
        <f>IF(HR_Data[[#This Row],[YearsAtCompany]]&lt;2,"0-1 Years",IF(HR_Data[[#This Row],[YearsAtCompany]]&lt;=5,"2-5 Years",IF(HR_Data[[#This Row],[YearsAtCompany]]&lt;=10,"6-10 Years","10+ Years")))</f>
        <v>6-10 Years</v>
      </c>
      <c r="AO1176" t="str">
        <f>IF(HR_Data[[#This Row],[JobSatisfaction]]=1,"Low",IF(HR_Data[[#This Row],[JobSatisfaction]]=2,"Medium",IF(HR_Data[[#This Row],[JobSatisfaction]]=3,"High","Very High")))</f>
        <v>High</v>
      </c>
      <c r="AP1176" t="str">
        <f>IF(HR_Data[[#This Row],[WorkLifeBalance]]=1,"Bad",IF(HR_Data[[#This Row],[WorkLifeBalance]]=2,"Good",IF(HR_Data[[#This Row],[WorkLifeBalance]]=3,"Better","Best")))</f>
        <v>Better</v>
      </c>
    </row>
    <row r="1177" spans="1:42"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IF(HR_Data[[#This Row],[Attrition]]="Yes",1,0)</f>
        <v>0</v>
      </c>
      <c r="AK1177">
        <f>IF(HR_Data[[#This Row],[Attrition]]="No",1,0)</f>
        <v>1</v>
      </c>
      <c r="AL1177" t="str">
        <f>IF(HR_Data[[#This Row],[Age]]&lt;25,"Under 25",IF(HR_Data[[#This Row],[Age]]&lt;=34,"25-34",IF(HR_Data[[#This Row],[Age]]&lt;=44,"35-44",IF(HR_Data[[#This Row],[Age]]&lt;=54,"45-54","55+"))))</f>
        <v>35-44</v>
      </c>
      <c r="AM1177" t="str">
        <f>IF(HR_Data[[#This Row],[MonthlyIncome]]&lt;3000,"Low Salary",IF(HR_Data[[#This Row],[MonthlyIncome]]&lt;=7000,"Medium Salary","High Salary"))</f>
        <v>Medium Salary</v>
      </c>
      <c r="AN1177" t="str">
        <f>IF(HR_Data[[#This Row],[YearsAtCompany]]&lt;2,"0-1 Years",IF(HR_Data[[#This Row],[YearsAtCompany]]&lt;=5,"2-5 Years",IF(HR_Data[[#This Row],[YearsAtCompany]]&lt;=10,"6-10 Years","10+ Years")))</f>
        <v>2-5 Years</v>
      </c>
      <c r="AO1177" t="str">
        <f>IF(HR_Data[[#This Row],[JobSatisfaction]]=1,"Low",IF(HR_Data[[#This Row],[JobSatisfaction]]=2,"Medium",IF(HR_Data[[#This Row],[JobSatisfaction]]=3,"High","Very High")))</f>
        <v>Medium</v>
      </c>
      <c r="AP1177" t="str">
        <f>IF(HR_Data[[#This Row],[WorkLifeBalance]]=1,"Bad",IF(HR_Data[[#This Row],[WorkLifeBalance]]=2,"Good",IF(HR_Data[[#This Row],[WorkLifeBalance]]=3,"Better","Best")))</f>
        <v>Better</v>
      </c>
    </row>
    <row r="1178" spans="1:42"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IF(HR_Data[[#This Row],[Attrition]]="Yes",1,0)</f>
        <v>0</v>
      </c>
      <c r="AK1178">
        <f>IF(HR_Data[[#This Row],[Attrition]]="No",1,0)</f>
        <v>1</v>
      </c>
      <c r="AL1178" t="str">
        <f>IF(HR_Data[[#This Row],[Age]]&lt;25,"Under 25",IF(HR_Data[[#This Row],[Age]]&lt;=34,"25-34",IF(HR_Data[[#This Row],[Age]]&lt;=44,"35-44",IF(HR_Data[[#This Row],[Age]]&lt;=54,"45-54","55+"))))</f>
        <v>45-54</v>
      </c>
      <c r="AM1178" t="str">
        <f>IF(HR_Data[[#This Row],[MonthlyIncome]]&lt;3000,"Low Salary",IF(HR_Data[[#This Row],[MonthlyIncome]]&lt;=7000,"Medium Salary","High Salary"))</f>
        <v>High Salary</v>
      </c>
      <c r="AN1178" t="str">
        <f>IF(HR_Data[[#This Row],[YearsAtCompany]]&lt;2,"0-1 Years",IF(HR_Data[[#This Row],[YearsAtCompany]]&lt;=5,"2-5 Years",IF(HR_Data[[#This Row],[YearsAtCompany]]&lt;=10,"6-10 Years","10+ Years")))</f>
        <v>2-5 Years</v>
      </c>
      <c r="AO1178" t="str">
        <f>IF(HR_Data[[#This Row],[JobSatisfaction]]=1,"Low",IF(HR_Data[[#This Row],[JobSatisfaction]]=2,"Medium",IF(HR_Data[[#This Row],[JobSatisfaction]]=3,"High","Very High")))</f>
        <v>Medium</v>
      </c>
      <c r="AP1178" t="str">
        <f>IF(HR_Data[[#This Row],[WorkLifeBalance]]=1,"Bad",IF(HR_Data[[#This Row],[WorkLifeBalance]]=2,"Good",IF(HR_Data[[#This Row],[WorkLifeBalance]]=3,"Better","Best")))</f>
        <v>Better</v>
      </c>
    </row>
    <row r="1179" spans="1:42"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IF(HR_Data[[#This Row],[Attrition]]="Yes",1,0)</f>
        <v>0</v>
      </c>
      <c r="AK1179">
        <f>IF(HR_Data[[#This Row],[Attrition]]="No",1,0)</f>
        <v>1</v>
      </c>
      <c r="AL1179" t="str">
        <f>IF(HR_Data[[#This Row],[Age]]&lt;25,"Under 25",IF(HR_Data[[#This Row],[Age]]&lt;=34,"25-34",IF(HR_Data[[#This Row],[Age]]&lt;=44,"35-44",IF(HR_Data[[#This Row],[Age]]&lt;=54,"45-54","55+"))))</f>
        <v>45-54</v>
      </c>
      <c r="AM1179" t="str">
        <f>IF(HR_Data[[#This Row],[MonthlyIncome]]&lt;3000,"Low Salary",IF(HR_Data[[#This Row],[MonthlyIncome]]&lt;=7000,"Medium Salary","High Salary"))</f>
        <v>High Salary</v>
      </c>
      <c r="AN1179" t="str">
        <f>IF(HR_Data[[#This Row],[YearsAtCompany]]&lt;2,"0-1 Years",IF(HR_Data[[#This Row],[YearsAtCompany]]&lt;=5,"2-5 Years",IF(HR_Data[[#This Row],[YearsAtCompany]]&lt;=10,"6-10 Years","10+ Years")))</f>
        <v>10+ Years</v>
      </c>
      <c r="AO1179" t="str">
        <f>IF(HR_Data[[#This Row],[JobSatisfaction]]=1,"Low",IF(HR_Data[[#This Row],[JobSatisfaction]]=2,"Medium",IF(HR_Data[[#This Row],[JobSatisfaction]]=3,"High","Very High")))</f>
        <v>Low</v>
      </c>
      <c r="AP1179" t="str">
        <f>IF(HR_Data[[#This Row],[WorkLifeBalance]]=1,"Bad",IF(HR_Data[[#This Row],[WorkLifeBalance]]=2,"Good",IF(HR_Data[[#This Row],[WorkLifeBalance]]=3,"Better","Best")))</f>
        <v>Better</v>
      </c>
    </row>
    <row r="1180" spans="1:42"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IF(HR_Data[[#This Row],[Attrition]]="Yes",1,0)</f>
        <v>0</v>
      </c>
      <c r="AK1180">
        <f>IF(HR_Data[[#This Row],[Attrition]]="No",1,0)</f>
        <v>1</v>
      </c>
      <c r="AL1180" t="str">
        <f>IF(HR_Data[[#This Row],[Age]]&lt;25,"Under 25",IF(HR_Data[[#This Row],[Age]]&lt;=34,"25-34",IF(HR_Data[[#This Row],[Age]]&lt;=44,"35-44",IF(HR_Data[[#This Row],[Age]]&lt;=54,"45-54","55+"))))</f>
        <v>Under 25</v>
      </c>
      <c r="AM1180" t="str">
        <f>IF(HR_Data[[#This Row],[MonthlyIncome]]&lt;3000,"Low Salary",IF(HR_Data[[#This Row],[MonthlyIncome]]&lt;=7000,"Medium Salary","High Salary"))</f>
        <v>Low Salary</v>
      </c>
      <c r="AN1180" t="str">
        <f>IF(HR_Data[[#This Row],[YearsAtCompany]]&lt;2,"0-1 Years",IF(HR_Data[[#This Row],[YearsAtCompany]]&lt;=5,"2-5 Years",IF(HR_Data[[#This Row],[YearsAtCompany]]&lt;=10,"6-10 Years","10+ Years")))</f>
        <v>2-5 Years</v>
      </c>
      <c r="AO1180" t="str">
        <f>IF(HR_Data[[#This Row],[JobSatisfaction]]=1,"Low",IF(HR_Data[[#This Row],[JobSatisfaction]]=2,"Medium",IF(HR_Data[[#This Row],[JobSatisfaction]]=3,"High","Very High")))</f>
        <v>High</v>
      </c>
      <c r="AP1180" t="str">
        <f>IF(HR_Data[[#This Row],[WorkLifeBalance]]=1,"Bad",IF(HR_Data[[#This Row],[WorkLifeBalance]]=2,"Good",IF(HR_Data[[#This Row],[WorkLifeBalance]]=3,"Better","Best")))</f>
        <v>Better</v>
      </c>
    </row>
    <row r="1181" spans="1:42"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IF(HR_Data[[#This Row],[Attrition]]="Yes",1,0)</f>
        <v>0</v>
      </c>
      <c r="AK1181">
        <f>IF(HR_Data[[#This Row],[Attrition]]="No",1,0)</f>
        <v>1</v>
      </c>
      <c r="AL1181" t="str">
        <f>IF(HR_Data[[#This Row],[Age]]&lt;25,"Under 25",IF(HR_Data[[#This Row],[Age]]&lt;=34,"25-34",IF(HR_Data[[#This Row],[Age]]&lt;=44,"35-44",IF(HR_Data[[#This Row],[Age]]&lt;=54,"45-54","55+"))))</f>
        <v>25-34</v>
      </c>
      <c r="AM1181" t="str">
        <f>IF(HR_Data[[#This Row],[MonthlyIncome]]&lt;3000,"Low Salary",IF(HR_Data[[#This Row],[MonthlyIncome]]&lt;=7000,"Medium Salary","High Salary"))</f>
        <v>Medium Salary</v>
      </c>
      <c r="AN1181" t="str">
        <f>IF(HR_Data[[#This Row],[YearsAtCompany]]&lt;2,"0-1 Years",IF(HR_Data[[#This Row],[YearsAtCompany]]&lt;=5,"2-5 Years",IF(HR_Data[[#This Row],[YearsAtCompany]]&lt;=10,"6-10 Years","10+ Years")))</f>
        <v>10+ Years</v>
      </c>
      <c r="AO1181" t="str">
        <f>IF(HR_Data[[#This Row],[JobSatisfaction]]=1,"Low",IF(HR_Data[[#This Row],[JobSatisfaction]]=2,"Medium",IF(HR_Data[[#This Row],[JobSatisfaction]]=3,"High","Very High")))</f>
        <v>Medium</v>
      </c>
      <c r="AP1181" t="str">
        <f>IF(HR_Data[[#This Row],[WorkLifeBalance]]=1,"Bad",IF(HR_Data[[#This Row],[WorkLifeBalance]]=2,"Good",IF(HR_Data[[#This Row],[WorkLifeBalance]]=3,"Better","Best")))</f>
        <v>Better</v>
      </c>
    </row>
    <row r="1182" spans="1:42"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IF(HR_Data[[#This Row],[Attrition]]="Yes",1,0)</f>
        <v>0</v>
      </c>
      <c r="AK1182">
        <f>IF(HR_Data[[#This Row],[Attrition]]="No",1,0)</f>
        <v>1</v>
      </c>
      <c r="AL1182" t="str">
        <f>IF(HR_Data[[#This Row],[Age]]&lt;25,"Under 25",IF(HR_Data[[#This Row],[Age]]&lt;=34,"25-34",IF(HR_Data[[#This Row],[Age]]&lt;=44,"35-44",IF(HR_Data[[#This Row],[Age]]&lt;=54,"45-54","55+"))))</f>
        <v>35-44</v>
      </c>
      <c r="AM1182" t="str">
        <f>IF(HR_Data[[#This Row],[MonthlyIncome]]&lt;3000,"Low Salary",IF(HR_Data[[#This Row],[MonthlyIncome]]&lt;=7000,"Medium Salary","High Salary"))</f>
        <v>Low Salary</v>
      </c>
      <c r="AN1182" t="str">
        <f>IF(HR_Data[[#This Row],[YearsAtCompany]]&lt;2,"0-1 Years",IF(HR_Data[[#This Row],[YearsAtCompany]]&lt;=5,"2-5 Years",IF(HR_Data[[#This Row],[YearsAtCompany]]&lt;=10,"6-10 Years","10+ Years")))</f>
        <v>2-5 Years</v>
      </c>
      <c r="AO1182" t="str">
        <f>IF(HR_Data[[#This Row],[JobSatisfaction]]=1,"Low",IF(HR_Data[[#This Row],[JobSatisfaction]]=2,"Medium",IF(HR_Data[[#This Row],[JobSatisfaction]]=3,"High","Very High")))</f>
        <v>Medium</v>
      </c>
      <c r="AP1182" t="str">
        <f>IF(HR_Data[[#This Row],[WorkLifeBalance]]=1,"Bad",IF(HR_Data[[#This Row],[WorkLifeBalance]]=2,"Good",IF(HR_Data[[#This Row],[WorkLifeBalance]]=3,"Better","Best")))</f>
        <v>Better</v>
      </c>
    </row>
    <row r="1183" spans="1:42"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IF(HR_Data[[#This Row],[Attrition]]="Yes",1,0)</f>
        <v>0</v>
      </c>
      <c r="AK1183">
        <f>IF(HR_Data[[#This Row],[Attrition]]="No",1,0)</f>
        <v>1</v>
      </c>
      <c r="AL1183" t="str">
        <f>IF(HR_Data[[#This Row],[Age]]&lt;25,"Under 25",IF(HR_Data[[#This Row],[Age]]&lt;=34,"25-34",IF(HR_Data[[#This Row],[Age]]&lt;=44,"35-44",IF(HR_Data[[#This Row],[Age]]&lt;=54,"45-54","55+"))))</f>
        <v>45-54</v>
      </c>
      <c r="AM1183" t="str">
        <f>IF(HR_Data[[#This Row],[MonthlyIncome]]&lt;3000,"Low Salary",IF(HR_Data[[#This Row],[MonthlyIncome]]&lt;=7000,"Medium Salary","High Salary"))</f>
        <v>High Salary</v>
      </c>
      <c r="AN1183" t="str">
        <f>IF(HR_Data[[#This Row],[YearsAtCompany]]&lt;2,"0-1 Years",IF(HR_Data[[#This Row],[YearsAtCompany]]&lt;=5,"2-5 Years",IF(HR_Data[[#This Row],[YearsAtCompany]]&lt;=10,"6-10 Years","10+ Years")))</f>
        <v>10+ Years</v>
      </c>
      <c r="AO1183" t="str">
        <f>IF(HR_Data[[#This Row],[JobSatisfaction]]=1,"Low",IF(HR_Data[[#This Row],[JobSatisfaction]]=2,"Medium",IF(HR_Data[[#This Row],[JobSatisfaction]]=3,"High","Very High")))</f>
        <v>High</v>
      </c>
      <c r="AP1183" t="str">
        <f>IF(HR_Data[[#This Row],[WorkLifeBalance]]=1,"Bad",IF(HR_Data[[#This Row],[WorkLifeBalance]]=2,"Good",IF(HR_Data[[#This Row],[WorkLifeBalance]]=3,"Better","Best")))</f>
        <v>Better</v>
      </c>
    </row>
    <row r="1184" spans="1:42"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IF(HR_Data[[#This Row],[Attrition]]="Yes",1,0)</f>
        <v>0</v>
      </c>
      <c r="AK1184">
        <f>IF(HR_Data[[#This Row],[Attrition]]="No",1,0)</f>
        <v>1</v>
      </c>
      <c r="AL1184" t="str">
        <f>IF(HR_Data[[#This Row],[Age]]&lt;25,"Under 25",IF(HR_Data[[#This Row],[Age]]&lt;=34,"25-34",IF(HR_Data[[#This Row],[Age]]&lt;=44,"35-44",IF(HR_Data[[#This Row],[Age]]&lt;=54,"45-54","55+"))))</f>
        <v>35-44</v>
      </c>
      <c r="AM1184" t="str">
        <f>IF(HR_Data[[#This Row],[MonthlyIncome]]&lt;3000,"Low Salary",IF(HR_Data[[#This Row],[MonthlyIncome]]&lt;=7000,"Medium Salary","High Salary"))</f>
        <v>Medium Salary</v>
      </c>
      <c r="AN1184" t="str">
        <f>IF(HR_Data[[#This Row],[YearsAtCompany]]&lt;2,"0-1 Years",IF(HR_Data[[#This Row],[YearsAtCompany]]&lt;=5,"2-5 Years",IF(HR_Data[[#This Row],[YearsAtCompany]]&lt;=10,"6-10 Years","10+ Years")))</f>
        <v>2-5 Years</v>
      </c>
      <c r="AO1184" t="str">
        <f>IF(HR_Data[[#This Row],[JobSatisfaction]]=1,"Low",IF(HR_Data[[#This Row],[JobSatisfaction]]=2,"Medium",IF(HR_Data[[#This Row],[JobSatisfaction]]=3,"High","Very High")))</f>
        <v>High</v>
      </c>
      <c r="AP1184" t="str">
        <f>IF(HR_Data[[#This Row],[WorkLifeBalance]]=1,"Bad",IF(HR_Data[[#This Row],[WorkLifeBalance]]=2,"Good",IF(HR_Data[[#This Row],[WorkLifeBalance]]=3,"Better","Best")))</f>
        <v>Better</v>
      </c>
    </row>
    <row r="1185" spans="1:42"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IF(HR_Data[[#This Row],[Attrition]]="Yes",1,0)</f>
        <v>0</v>
      </c>
      <c r="AK1185">
        <f>IF(HR_Data[[#This Row],[Attrition]]="No",1,0)</f>
        <v>1</v>
      </c>
      <c r="AL1185" t="str">
        <f>IF(HR_Data[[#This Row],[Age]]&lt;25,"Under 25",IF(HR_Data[[#This Row],[Age]]&lt;=34,"25-34",IF(HR_Data[[#This Row],[Age]]&lt;=44,"35-44",IF(HR_Data[[#This Row],[Age]]&lt;=54,"45-54","55+"))))</f>
        <v>35-44</v>
      </c>
      <c r="AM1185" t="str">
        <f>IF(HR_Data[[#This Row],[MonthlyIncome]]&lt;3000,"Low Salary",IF(HR_Data[[#This Row],[MonthlyIncome]]&lt;=7000,"Medium Salary","High Salary"))</f>
        <v>Medium Salary</v>
      </c>
      <c r="AN1185" t="str">
        <f>IF(HR_Data[[#This Row],[YearsAtCompany]]&lt;2,"0-1 Years",IF(HR_Data[[#This Row],[YearsAtCompany]]&lt;=5,"2-5 Years",IF(HR_Data[[#This Row],[YearsAtCompany]]&lt;=10,"6-10 Years","10+ Years")))</f>
        <v>2-5 Years</v>
      </c>
      <c r="AO1185" t="str">
        <f>IF(HR_Data[[#This Row],[JobSatisfaction]]=1,"Low",IF(HR_Data[[#This Row],[JobSatisfaction]]=2,"Medium",IF(HR_Data[[#This Row],[JobSatisfaction]]=3,"High","Very High")))</f>
        <v>Low</v>
      </c>
      <c r="AP1185" t="str">
        <f>IF(HR_Data[[#This Row],[WorkLifeBalance]]=1,"Bad",IF(HR_Data[[#This Row],[WorkLifeBalance]]=2,"Good",IF(HR_Data[[#This Row],[WorkLifeBalance]]=3,"Better","Best")))</f>
        <v>Better</v>
      </c>
    </row>
    <row r="1186" spans="1:42"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IF(HR_Data[[#This Row],[Attrition]]="Yes",1,0)</f>
        <v>0</v>
      </c>
      <c r="AK1186">
        <f>IF(HR_Data[[#This Row],[Attrition]]="No",1,0)</f>
        <v>1</v>
      </c>
      <c r="AL1186" t="str">
        <f>IF(HR_Data[[#This Row],[Age]]&lt;25,"Under 25",IF(HR_Data[[#This Row],[Age]]&lt;=34,"25-34",IF(HR_Data[[#This Row],[Age]]&lt;=44,"35-44",IF(HR_Data[[#This Row],[Age]]&lt;=54,"45-54","55+"))))</f>
        <v>45-54</v>
      </c>
      <c r="AM1186" t="str">
        <f>IF(HR_Data[[#This Row],[MonthlyIncome]]&lt;3000,"Low Salary",IF(HR_Data[[#This Row],[MonthlyIncome]]&lt;=7000,"Medium Salary","High Salary"))</f>
        <v>High Salary</v>
      </c>
      <c r="AN1186" t="str">
        <f>IF(HR_Data[[#This Row],[YearsAtCompany]]&lt;2,"0-1 Years",IF(HR_Data[[#This Row],[YearsAtCompany]]&lt;=5,"2-5 Years",IF(HR_Data[[#This Row],[YearsAtCompany]]&lt;=10,"6-10 Years","10+ Years")))</f>
        <v>6-10 Years</v>
      </c>
      <c r="AO1186" t="str">
        <f>IF(HR_Data[[#This Row],[JobSatisfaction]]=1,"Low",IF(HR_Data[[#This Row],[JobSatisfaction]]=2,"Medium",IF(HR_Data[[#This Row],[JobSatisfaction]]=3,"High","Very High")))</f>
        <v>High</v>
      </c>
      <c r="AP1186" t="str">
        <f>IF(HR_Data[[#This Row],[WorkLifeBalance]]=1,"Bad",IF(HR_Data[[#This Row],[WorkLifeBalance]]=2,"Good",IF(HR_Data[[#This Row],[WorkLifeBalance]]=3,"Better","Best")))</f>
        <v>Better</v>
      </c>
    </row>
    <row r="1187" spans="1:42"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IF(HR_Data[[#This Row],[Attrition]]="Yes",1,0)</f>
        <v>0</v>
      </c>
      <c r="AK1187">
        <f>IF(HR_Data[[#This Row],[Attrition]]="No",1,0)</f>
        <v>1</v>
      </c>
      <c r="AL1187" t="str">
        <f>IF(HR_Data[[#This Row],[Age]]&lt;25,"Under 25",IF(HR_Data[[#This Row],[Age]]&lt;=34,"25-34",IF(HR_Data[[#This Row],[Age]]&lt;=44,"35-44",IF(HR_Data[[#This Row],[Age]]&lt;=54,"45-54","55+"))))</f>
        <v>35-44</v>
      </c>
      <c r="AM1187" t="str">
        <f>IF(HR_Data[[#This Row],[MonthlyIncome]]&lt;3000,"Low Salary",IF(HR_Data[[#This Row],[MonthlyIncome]]&lt;=7000,"Medium Salary","High Salary"))</f>
        <v>High Salary</v>
      </c>
      <c r="AN1187" t="str">
        <f>IF(HR_Data[[#This Row],[YearsAtCompany]]&lt;2,"0-1 Years",IF(HR_Data[[#This Row],[YearsAtCompany]]&lt;=5,"2-5 Years",IF(HR_Data[[#This Row],[YearsAtCompany]]&lt;=10,"6-10 Years","10+ Years")))</f>
        <v>10+ Years</v>
      </c>
      <c r="AO1187" t="str">
        <f>IF(HR_Data[[#This Row],[JobSatisfaction]]=1,"Low",IF(HR_Data[[#This Row],[JobSatisfaction]]=2,"Medium",IF(HR_Data[[#This Row],[JobSatisfaction]]=3,"High","Very High")))</f>
        <v>High</v>
      </c>
      <c r="AP1187" t="str">
        <f>IF(HR_Data[[#This Row],[WorkLifeBalance]]=1,"Bad",IF(HR_Data[[#This Row],[WorkLifeBalance]]=2,"Good",IF(HR_Data[[#This Row],[WorkLifeBalance]]=3,"Better","Best")))</f>
        <v>Better</v>
      </c>
    </row>
    <row r="1188" spans="1:42"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IF(HR_Data[[#This Row],[Attrition]]="Yes",1,0)</f>
        <v>1</v>
      </c>
      <c r="AK1188">
        <f>IF(HR_Data[[#This Row],[Attrition]]="No",1,0)</f>
        <v>0</v>
      </c>
      <c r="AL1188" t="str">
        <f>IF(HR_Data[[#This Row],[Age]]&lt;25,"Under 25",IF(HR_Data[[#This Row],[Age]]&lt;=34,"25-34",IF(HR_Data[[#This Row],[Age]]&lt;=44,"35-44",IF(HR_Data[[#This Row],[Age]]&lt;=54,"45-54","55+"))))</f>
        <v>35-44</v>
      </c>
      <c r="AM1188" t="str">
        <f>IF(HR_Data[[#This Row],[MonthlyIncome]]&lt;3000,"Low Salary",IF(HR_Data[[#This Row],[MonthlyIncome]]&lt;=7000,"Medium Salary","High Salary"))</f>
        <v>Medium Salary</v>
      </c>
      <c r="AN1188" t="str">
        <f>IF(HR_Data[[#This Row],[YearsAtCompany]]&lt;2,"0-1 Years",IF(HR_Data[[#This Row],[YearsAtCompany]]&lt;=5,"2-5 Years",IF(HR_Data[[#This Row],[YearsAtCompany]]&lt;=10,"6-10 Years","10+ Years")))</f>
        <v>10+ Years</v>
      </c>
      <c r="AO1188" t="str">
        <f>IF(HR_Data[[#This Row],[JobSatisfaction]]=1,"Low",IF(HR_Data[[#This Row],[JobSatisfaction]]=2,"Medium",IF(HR_Data[[#This Row],[JobSatisfaction]]=3,"High","Very High")))</f>
        <v>Very High</v>
      </c>
      <c r="AP1188" t="str">
        <f>IF(HR_Data[[#This Row],[WorkLifeBalance]]=1,"Bad",IF(HR_Data[[#This Row],[WorkLifeBalance]]=2,"Good",IF(HR_Data[[#This Row],[WorkLifeBalance]]=3,"Better","Best")))</f>
        <v>Best</v>
      </c>
    </row>
    <row r="1189" spans="1:42"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IF(HR_Data[[#This Row],[Attrition]]="Yes",1,0)</f>
        <v>0</v>
      </c>
      <c r="AK1189">
        <f>IF(HR_Data[[#This Row],[Attrition]]="No",1,0)</f>
        <v>1</v>
      </c>
      <c r="AL1189" t="str">
        <f>IF(HR_Data[[#This Row],[Age]]&lt;25,"Under 25",IF(HR_Data[[#This Row],[Age]]&lt;=34,"25-34",IF(HR_Data[[#This Row],[Age]]&lt;=44,"35-44",IF(HR_Data[[#This Row],[Age]]&lt;=54,"45-54","55+"))))</f>
        <v>35-44</v>
      </c>
      <c r="AM1189" t="str">
        <f>IF(HR_Data[[#This Row],[MonthlyIncome]]&lt;3000,"Low Salary",IF(HR_Data[[#This Row],[MonthlyIncome]]&lt;=7000,"Medium Salary","High Salary"))</f>
        <v>Medium Salary</v>
      </c>
      <c r="AN1189" t="str">
        <f>IF(HR_Data[[#This Row],[YearsAtCompany]]&lt;2,"0-1 Years",IF(HR_Data[[#This Row],[YearsAtCompany]]&lt;=5,"2-5 Years",IF(HR_Data[[#This Row],[YearsAtCompany]]&lt;=10,"6-10 Years","10+ Years")))</f>
        <v>10+ Years</v>
      </c>
      <c r="AO1189" t="str">
        <f>IF(HR_Data[[#This Row],[JobSatisfaction]]=1,"Low",IF(HR_Data[[#This Row],[JobSatisfaction]]=2,"Medium",IF(HR_Data[[#This Row],[JobSatisfaction]]=3,"High","Very High")))</f>
        <v>Very High</v>
      </c>
      <c r="AP1189" t="str">
        <f>IF(HR_Data[[#This Row],[WorkLifeBalance]]=1,"Bad",IF(HR_Data[[#This Row],[WorkLifeBalance]]=2,"Good",IF(HR_Data[[#This Row],[WorkLifeBalance]]=3,"Better","Best")))</f>
        <v>Best</v>
      </c>
    </row>
    <row r="1190" spans="1:42"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IF(HR_Data[[#This Row],[Attrition]]="Yes",1,0)</f>
        <v>0</v>
      </c>
      <c r="AK1190">
        <f>IF(HR_Data[[#This Row],[Attrition]]="No",1,0)</f>
        <v>1</v>
      </c>
      <c r="AL1190" t="str">
        <f>IF(HR_Data[[#This Row],[Age]]&lt;25,"Under 25",IF(HR_Data[[#This Row],[Age]]&lt;=34,"25-34",IF(HR_Data[[#This Row],[Age]]&lt;=44,"35-44",IF(HR_Data[[#This Row],[Age]]&lt;=54,"45-54","55+"))))</f>
        <v>25-34</v>
      </c>
      <c r="AM1190" t="str">
        <f>IF(HR_Data[[#This Row],[MonthlyIncome]]&lt;3000,"Low Salary",IF(HR_Data[[#This Row],[MonthlyIncome]]&lt;=7000,"Medium Salary","High Salary"))</f>
        <v>Medium Salary</v>
      </c>
      <c r="AN1190" t="str">
        <f>IF(HR_Data[[#This Row],[YearsAtCompany]]&lt;2,"0-1 Years",IF(HR_Data[[#This Row],[YearsAtCompany]]&lt;=5,"2-5 Years",IF(HR_Data[[#This Row],[YearsAtCompany]]&lt;=10,"6-10 Years","10+ Years")))</f>
        <v>6-10 Years</v>
      </c>
      <c r="AO1190" t="str">
        <f>IF(HR_Data[[#This Row],[JobSatisfaction]]=1,"Low",IF(HR_Data[[#This Row],[JobSatisfaction]]=2,"Medium",IF(HR_Data[[#This Row],[JobSatisfaction]]=3,"High","Very High")))</f>
        <v>Medium</v>
      </c>
      <c r="AP1190" t="str">
        <f>IF(HR_Data[[#This Row],[WorkLifeBalance]]=1,"Bad",IF(HR_Data[[#This Row],[WorkLifeBalance]]=2,"Good",IF(HR_Data[[#This Row],[WorkLifeBalance]]=3,"Better","Best")))</f>
        <v>Good</v>
      </c>
    </row>
    <row r="1191" spans="1:42"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IF(HR_Data[[#This Row],[Attrition]]="Yes",1,0)</f>
        <v>0</v>
      </c>
      <c r="AK1191">
        <f>IF(HR_Data[[#This Row],[Attrition]]="No",1,0)</f>
        <v>1</v>
      </c>
      <c r="AL1191" t="str">
        <f>IF(HR_Data[[#This Row],[Age]]&lt;25,"Under 25",IF(HR_Data[[#This Row],[Age]]&lt;=34,"25-34",IF(HR_Data[[#This Row],[Age]]&lt;=44,"35-44",IF(HR_Data[[#This Row],[Age]]&lt;=54,"45-54","55+"))))</f>
        <v>25-34</v>
      </c>
      <c r="AM1191" t="str">
        <f>IF(HR_Data[[#This Row],[MonthlyIncome]]&lt;3000,"Low Salary",IF(HR_Data[[#This Row],[MonthlyIncome]]&lt;=7000,"Medium Salary","High Salary"))</f>
        <v>Medium Salary</v>
      </c>
      <c r="AN1191" t="str">
        <f>IF(HR_Data[[#This Row],[YearsAtCompany]]&lt;2,"0-1 Years",IF(HR_Data[[#This Row],[YearsAtCompany]]&lt;=5,"2-5 Years",IF(HR_Data[[#This Row],[YearsAtCompany]]&lt;=10,"6-10 Years","10+ Years")))</f>
        <v>6-10 Years</v>
      </c>
      <c r="AO1191" t="str">
        <f>IF(HR_Data[[#This Row],[JobSatisfaction]]=1,"Low",IF(HR_Data[[#This Row],[JobSatisfaction]]=2,"Medium",IF(HR_Data[[#This Row],[JobSatisfaction]]=3,"High","Very High")))</f>
        <v>Very High</v>
      </c>
      <c r="AP1191" t="str">
        <f>IF(HR_Data[[#This Row],[WorkLifeBalance]]=1,"Bad",IF(HR_Data[[#This Row],[WorkLifeBalance]]=2,"Good",IF(HR_Data[[#This Row],[WorkLifeBalance]]=3,"Better","Best")))</f>
        <v>Better</v>
      </c>
    </row>
    <row r="1192" spans="1:42"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IF(HR_Data[[#This Row],[Attrition]]="Yes",1,0)</f>
        <v>0</v>
      </c>
      <c r="AK1192">
        <f>IF(HR_Data[[#This Row],[Attrition]]="No",1,0)</f>
        <v>1</v>
      </c>
      <c r="AL1192" t="str">
        <f>IF(HR_Data[[#This Row],[Age]]&lt;25,"Under 25",IF(HR_Data[[#This Row],[Age]]&lt;=34,"25-34",IF(HR_Data[[#This Row],[Age]]&lt;=44,"35-44",IF(HR_Data[[#This Row],[Age]]&lt;=54,"45-54","55+"))))</f>
        <v>25-34</v>
      </c>
      <c r="AM1192" t="str">
        <f>IF(HR_Data[[#This Row],[MonthlyIncome]]&lt;3000,"Low Salary",IF(HR_Data[[#This Row],[MonthlyIncome]]&lt;=7000,"Medium Salary","High Salary"))</f>
        <v>Medium Salary</v>
      </c>
      <c r="AN1192" t="str">
        <f>IF(HR_Data[[#This Row],[YearsAtCompany]]&lt;2,"0-1 Years",IF(HR_Data[[#This Row],[YearsAtCompany]]&lt;=5,"2-5 Years",IF(HR_Data[[#This Row],[YearsAtCompany]]&lt;=10,"6-10 Years","10+ Years")))</f>
        <v>6-10 Years</v>
      </c>
      <c r="AO1192" t="str">
        <f>IF(HR_Data[[#This Row],[JobSatisfaction]]=1,"Low",IF(HR_Data[[#This Row],[JobSatisfaction]]=2,"Medium",IF(HR_Data[[#This Row],[JobSatisfaction]]=3,"High","Very High")))</f>
        <v>Medium</v>
      </c>
      <c r="AP1192" t="str">
        <f>IF(HR_Data[[#This Row],[WorkLifeBalance]]=1,"Bad",IF(HR_Data[[#This Row],[WorkLifeBalance]]=2,"Good",IF(HR_Data[[#This Row],[WorkLifeBalance]]=3,"Better","Best")))</f>
        <v>Good</v>
      </c>
    </row>
    <row r="1193" spans="1:42"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IF(HR_Data[[#This Row],[Attrition]]="Yes",1,0)</f>
        <v>0</v>
      </c>
      <c r="AK1193">
        <f>IF(HR_Data[[#This Row],[Attrition]]="No",1,0)</f>
        <v>1</v>
      </c>
      <c r="AL1193" t="str">
        <f>IF(HR_Data[[#This Row],[Age]]&lt;25,"Under 25",IF(HR_Data[[#This Row],[Age]]&lt;=34,"25-34",IF(HR_Data[[#This Row],[Age]]&lt;=44,"35-44",IF(HR_Data[[#This Row],[Age]]&lt;=54,"45-54","55+"))))</f>
        <v>25-34</v>
      </c>
      <c r="AM1193" t="str">
        <f>IF(HR_Data[[#This Row],[MonthlyIncome]]&lt;3000,"Low Salary",IF(HR_Data[[#This Row],[MonthlyIncome]]&lt;=7000,"Medium Salary","High Salary"))</f>
        <v>Medium Salary</v>
      </c>
      <c r="AN1193" t="str">
        <f>IF(HR_Data[[#This Row],[YearsAtCompany]]&lt;2,"0-1 Years",IF(HR_Data[[#This Row],[YearsAtCompany]]&lt;=5,"2-5 Years",IF(HR_Data[[#This Row],[YearsAtCompany]]&lt;=10,"6-10 Years","10+ Years")))</f>
        <v>6-10 Years</v>
      </c>
      <c r="AO1193" t="str">
        <f>IF(HR_Data[[#This Row],[JobSatisfaction]]=1,"Low",IF(HR_Data[[#This Row],[JobSatisfaction]]=2,"Medium",IF(HR_Data[[#This Row],[JobSatisfaction]]=3,"High","Very High")))</f>
        <v>Very High</v>
      </c>
      <c r="AP1193" t="str">
        <f>IF(HR_Data[[#This Row],[WorkLifeBalance]]=1,"Bad",IF(HR_Data[[#This Row],[WorkLifeBalance]]=2,"Good",IF(HR_Data[[#This Row],[WorkLifeBalance]]=3,"Better","Best")))</f>
        <v>Better</v>
      </c>
    </row>
    <row r="1194" spans="1:42"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IF(HR_Data[[#This Row],[Attrition]]="Yes",1,0)</f>
        <v>0</v>
      </c>
      <c r="AK1194">
        <f>IF(HR_Data[[#This Row],[Attrition]]="No",1,0)</f>
        <v>1</v>
      </c>
      <c r="AL1194" t="str">
        <f>IF(HR_Data[[#This Row],[Age]]&lt;25,"Under 25",IF(HR_Data[[#This Row],[Age]]&lt;=34,"25-34",IF(HR_Data[[#This Row],[Age]]&lt;=44,"35-44",IF(HR_Data[[#This Row],[Age]]&lt;=54,"45-54","55+"))))</f>
        <v>45-54</v>
      </c>
      <c r="AM1194" t="str">
        <f>IF(HR_Data[[#This Row],[MonthlyIncome]]&lt;3000,"Low Salary",IF(HR_Data[[#This Row],[MonthlyIncome]]&lt;=7000,"Medium Salary","High Salary"))</f>
        <v>Low Salary</v>
      </c>
      <c r="AN1194" t="str">
        <f>IF(HR_Data[[#This Row],[YearsAtCompany]]&lt;2,"0-1 Years",IF(HR_Data[[#This Row],[YearsAtCompany]]&lt;=5,"2-5 Years",IF(HR_Data[[#This Row],[YearsAtCompany]]&lt;=10,"6-10 Years","10+ Years")))</f>
        <v>2-5 Years</v>
      </c>
      <c r="AO1194" t="str">
        <f>IF(HR_Data[[#This Row],[JobSatisfaction]]=1,"Low",IF(HR_Data[[#This Row],[JobSatisfaction]]=2,"Medium",IF(HR_Data[[#This Row],[JobSatisfaction]]=3,"High","Very High")))</f>
        <v>Low</v>
      </c>
      <c r="AP1194" t="str">
        <f>IF(HR_Data[[#This Row],[WorkLifeBalance]]=1,"Bad",IF(HR_Data[[#This Row],[WorkLifeBalance]]=2,"Good",IF(HR_Data[[#This Row],[WorkLifeBalance]]=3,"Better","Best")))</f>
        <v>Good</v>
      </c>
    </row>
    <row r="1195" spans="1:42"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IF(HR_Data[[#This Row],[Attrition]]="Yes",1,0)</f>
        <v>0</v>
      </c>
      <c r="AK1195">
        <f>IF(HR_Data[[#This Row],[Attrition]]="No",1,0)</f>
        <v>1</v>
      </c>
      <c r="AL1195" t="str">
        <f>IF(HR_Data[[#This Row],[Age]]&lt;25,"Under 25",IF(HR_Data[[#This Row],[Age]]&lt;=34,"25-34",IF(HR_Data[[#This Row],[Age]]&lt;=44,"35-44",IF(HR_Data[[#This Row],[Age]]&lt;=54,"45-54","55+"))))</f>
        <v>35-44</v>
      </c>
      <c r="AM1195" t="str">
        <f>IF(HR_Data[[#This Row],[MonthlyIncome]]&lt;3000,"Low Salary",IF(HR_Data[[#This Row],[MonthlyIncome]]&lt;=7000,"Medium Salary","High Salary"))</f>
        <v>Low Salary</v>
      </c>
      <c r="AN1195" t="str">
        <f>IF(HR_Data[[#This Row],[YearsAtCompany]]&lt;2,"0-1 Years",IF(HR_Data[[#This Row],[YearsAtCompany]]&lt;=5,"2-5 Years",IF(HR_Data[[#This Row],[YearsAtCompany]]&lt;=10,"6-10 Years","10+ Years")))</f>
        <v>2-5 Years</v>
      </c>
      <c r="AO1195" t="str">
        <f>IF(HR_Data[[#This Row],[JobSatisfaction]]=1,"Low",IF(HR_Data[[#This Row],[JobSatisfaction]]=2,"Medium",IF(HR_Data[[#This Row],[JobSatisfaction]]=3,"High","Very High")))</f>
        <v>Medium</v>
      </c>
      <c r="AP1195" t="str">
        <f>IF(HR_Data[[#This Row],[WorkLifeBalance]]=1,"Bad",IF(HR_Data[[#This Row],[WorkLifeBalance]]=2,"Good",IF(HR_Data[[#This Row],[WorkLifeBalance]]=3,"Better","Best")))</f>
        <v>Better</v>
      </c>
    </row>
    <row r="1196" spans="1:42"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IF(HR_Data[[#This Row],[Attrition]]="Yes",1,0)</f>
        <v>0</v>
      </c>
      <c r="AK1196">
        <f>IF(HR_Data[[#This Row],[Attrition]]="No",1,0)</f>
        <v>1</v>
      </c>
      <c r="AL1196" t="str">
        <f>IF(HR_Data[[#This Row],[Age]]&lt;25,"Under 25",IF(HR_Data[[#This Row],[Age]]&lt;=34,"25-34",IF(HR_Data[[#This Row],[Age]]&lt;=44,"35-44",IF(HR_Data[[#This Row],[Age]]&lt;=54,"45-54","55+"))))</f>
        <v>45-54</v>
      </c>
      <c r="AM1196" t="str">
        <f>IF(HR_Data[[#This Row],[MonthlyIncome]]&lt;3000,"Low Salary",IF(HR_Data[[#This Row],[MonthlyIncome]]&lt;=7000,"Medium Salary","High Salary"))</f>
        <v>High Salary</v>
      </c>
      <c r="AN1196" t="str">
        <f>IF(HR_Data[[#This Row],[YearsAtCompany]]&lt;2,"0-1 Years",IF(HR_Data[[#This Row],[YearsAtCompany]]&lt;=5,"2-5 Years",IF(HR_Data[[#This Row],[YearsAtCompany]]&lt;=10,"6-10 Years","10+ Years")))</f>
        <v>2-5 Years</v>
      </c>
      <c r="AO1196" t="str">
        <f>IF(HR_Data[[#This Row],[JobSatisfaction]]=1,"Low",IF(HR_Data[[#This Row],[JobSatisfaction]]=2,"Medium",IF(HR_Data[[#This Row],[JobSatisfaction]]=3,"High","Very High")))</f>
        <v>Medium</v>
      </c>
      <c r="AP1196" t="str">
        <f>IF(HR_Data[[#This Row],[WorkLifeBalance]]=1,"Bad",IF(HR_Data[[#This Row],[WorkLifeBalance]]=2,"Good",IF(HR_Data[[#This Row],[WorkLifeBalance]]=3,"Better","Best")))</f>
        <v>Better</v>
      </c>
    </row>
    <row r="1197" spans="1:42"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IF(HR_Data[[#This Row],[Attrition]]="Yes",1,0)</f>
        <v>0</v>
      </c>
      <c r="AK1197">
        <f>IF(HR_Data[[#This Row],[Attrition]]="No",1,0)</f>
        <v>1</v>
      </c>
      <c r="AL1197" t="str">
        <f>IF(HR_Data[[#This Row],[Age]]&lt;25,"Under 25",IF(HR_Data[[#This Row],[Age]]&lt;=34,"25-34",IF(HR_Data[[#This Row],[Age]]&lt;=44,"35-44",IF(HR_Data[[#This Row],[Age]]&lt;=54,"45-54","55+"))))</f>
        <v>45-54</v>
      </c>
      <c r="AM1197" t="str">
        <f>IF(HR_Data[[#This Row],[MonthlyIncome]]&lt;3000,"Low Salary",IF(HR_Data[[#This Row],[MonthlyIncome]]&lt;=7000,"Medium Salary","High Salary"))</f>
        <v>High Salary</v>
      </c>
      <c r="AN1197" t="str">
        <f>IF(HR_Data[[#This Row],[YearsAtCompany]]&lt;2,"0-1 Years",IF(HR_Data[[#This Row],[YearsAtCompany]]&lt;=5,"2-5 Years",IF(HR_Data[[#This Row],[YearsAtCompany]]&lt;=10,"6-10 Years","10+ Years")))</f>
        <v>6-10 Years</v>
      </c>
      <c r="AO1197" t="str">
        <f>IF(HR_Data[[#This Row],[JobSatisfaction]]=1,"Low",IF(HR_Data[[#This Row],[JobSatisfaction]]=2,"Medium",IF(HR_Data[[#This Row],[JobSatisfaction]]=3,"High","Very High")))</f>
        <v>High</v>
      </c>
      <c r="AP1197" t="str">
        <f>IF(HR_Data[[#This Row],[WorkLifeBalance]]=1,"Bad",IF(HR_Data[[#This Row],[WorkLifeBalance]]=2,"Good",IF(HR_Data[[#This Row],[WorkLifeBalance]]=3,"Better","Best")))</f>
        <v>Better</v>
      </c>
    </row>
    <row r="1198" spans="1:42"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IF(HR_Data[[#This Row],[Attrition]]="Yes",1,0)</f>
        <v>0</v>
      </c>
      <c r="AK1198">
        <f>IF(HR_Data[[#This Row],[Attrition]]="No",1,0)</f>
        <v>1</v>
      </c>
      <c r="AL1198" t="str">
        <f>IF(HR_Data[[#This Row],[Age]]&lt;25,"Under 25",IF(HR_Data[[#This Row],[Age]]&lt;=34,"25-34",IF(HR_Data[[#This Row],[Age]]&lt;=44,"35-44",IF(HR_Data[[#This Row],[Age]]&lt;=54,"45-54","55+"))))</f>
        <v>35-44</v>
      </c>
      <c r="AM1198" t="str">
        <f>IF(HR_Data[[#This Row],[MonthlyIncome]]&lt;3000,"Low Salary",IF(HR_Data[[#This Row],[MonthlyIncome]]&lt;=7000,"Medium Salary","High Salary"))</f>
        <v>High Salary</v>
      </c>
      <c r="AN1198" t="str">
        <f>IF(HR_Data[[#This Row],[YearsAtCompany]]&lt;2,"0-1 Years",IF(HR_Data[[#This Row],[YearsAtCompany]]&lt;=5,"2-5 Years",IF(HR_Data[[#This Row],[YearsAtCompany]]&lt;=10,"6-10 Years","10+ Years")))</f>
        <v>2-5 Years</v>
      </c>
      <c r="AO1198" t="str">
        <f>IF(HR_Data[[#This Row],[JobSatisfaction]]=1,"Low",IF(HR_Data[[#This Row],[JobSatisfaction]]=2,"Medium",IF(HR_Data[[#This Row],[JobSatisfaction]]=3,"High","Very High")))</f>
        <v>High</v>
      </c>
      <c r="AP1198" t="str">
        <f>IF(HR_Data[[#This Row],[WorkLifeBalance]]=1,"Bad",IF(HR_Data[[#This Row],[WorkLifeBalance]]=2,"Good",IF(HR_Data[[#This Row],[WorkLifeBalance]]=3,"Better","Best")))</f>
        <v>Better</v>
      </c>
    </row>
    <row r="1199" spans="1:42"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IF(HR_Data[[#This Row],[Attrition]]="Yes",1,0)</f>
        <v>0</v>
      </c>
      <c r="AK1199">
        <f>IF(HR_Data[[#This Row],[Attrition]]="No",1,0)</f>
        <v>1</v>
      </c>
      <c r="AL1199" t="str">
        <f>IF(HR_Data[[#This Row],[Age]]&lt;25,"Under 25",IF(HR_Data[[#This Row],[Age]]&lt;=34,"25-34",IF(HR_Data[[#This Row],[Age]]&lt;=44,"35-44",IF(HR_Data[[#This Row],[Age]]&lt;=54,"45-54","55+"))))</f>
        <v>Under 25</v>
      </c>
      <c r="AM1199" t="str">
        <f>IF(HR_Data[[#This Row],[MonthlyIncome]]&lt;3000,"Low Salary",IF(HR_Data[[#This Row],[MonthlyIncome]]&lt;=7000,"Medium Salary","High Salary"))</f>
        <v>Low Salary</v>
      </c>
      <c r="AN1199" t="str">
        <f>IF(HR_Data[[#This Row],[YearsAtCompany]]&lt;2,"0-1 Years",IF(HR_Data[[#This Row],[YearsAtCompany]]&lt;=5,"2-5 Years",IF(HR_Data[[#This Row],[YearsAtCompany]]&lt;=10,"6-10 Years","10+ Years")))</f>
        <v>2-5 Years</v>
      </c>
      <c r="AO1199" t="str">
        <f>IF(HR_Data[[#This Row],[JobSatisfaction]]=1,"Low",IF(HR_Data[[#This Row],[JobSatisfaction]]=2,"Medium",IF(HR_Data[[#This Row],[JobSatisfaction]]=3,"High","Very High")))</f>
        <v>Low</v>
      </c>
      <c r="AP1199" t="str">
        <f>IF(HR_Data[[#This Row],[WorkLifeBalance]]=1,"Bad",IF(HR_Data[[#This Row],[WorkLifeBalance]]=2,"Good",IF(HR_Data[[#This Row],[WorkLifeBalance]]=3,"Better","Best")))</f>
        <v>Better</v>
      </c>
    </row>
    <row r="1200" spans="1:42"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IF(HR_Data[[#This Row],[Attrition]]="Yes",1,0)</f>
        <v>0</v>
      </c>
      <c r="AK1200">
        <f>IF(HR_Data[[#This Row],[Attrition]]="No",1,0)</f>
        <v>1</v>
      </c>
      <c r="AL1200" t="str">
        <f>IF(HR_Data[[#This Row],[Age]]&lt;25,"Under 25",IF(HR_Data[[#This Row],[Age]]&lt;=34,"25-34",IF(HR_Data[[#This Row],[Age]]&lt;=44,"35-44",IF(HR_Data[[#This Row],[Age]]&lt;=54,"45-54","55+"))))</f>
        <v>25-34</v>
      </c>
      <c r="AM1200" t="str">
        <f>IF(HR_Data[[#This Row],[MonthlyIncome]]&lt;3000,"Low Salary",IF(HR_Data[[#This Row],[MonthlyIncome]]&lt;=7000,"Medium Salary","High Salary"))</f>
        <v>Medium Salary</v>
      </c>
      <c r="AN1200" t="str">
        <f>IF(HR_Data[[#This Row],[YearsAtCompany]]&lt;2,"0-1 Years",IF(HR_Data[[#This Row],[YearsAtCompany]]&lt;=5,"2-5 Years",IF(HR_Data[[#This Row],[YearsAtCompany]]&lt;=10,"6-10 Years","10+ Years")))</f>
        <v>6-10 Years</v>
      </c>
      <c r="AO1200" t="str">
        <f>IF(HR_Data[[#This Row],[JobSatisfaction]]=1,"Low",IF(HR_Data[[#This Row],[JobSatisfaction]]=2,"Medium",IF(HR_Data[[#This Row],[JobSatisfaction]]=3,"High","Very High")))</f>
        <v>Very High</v>
      </c>
      <c r="AP1200" t="str">
        <f>IF(HR_Data[[#This Row],[WorkLifeBalance]]=1,"Bad",IF(HR_Data[[#This Row],[WorkLifeBalance]]=2,"Good",IF(HR_Data[[#This Row],[WorkLifeBalance]]=3,"Better","Best")))</f>
        <v>Better</v>
      </c>
    </row>
    <row r="1201" spans="1:42"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IF(HR_Data[[#This Row],[Attrition]]="Yes",1,0)</f>
        <v>0</v>
      </c>
      <c r="AK1201">
        <f>IF(HR_Data[[#This Row],[Attrition]]="No",1,0)</f>
        <v>1</v>
      </c>
      <c r="AL1201" t="str">
        <f>IF(HR_Data[[#This Row],[Age]]&lt;25,"Under 25",IF(HR_Data[[#This Row],[Age]]&lt;=34,"25-34",IF(HR_Data[[#This Row],[Age]]&lt;=44,"35-44",IF(HR_Data[[#This Row],[Age]]&lt;=54,"45-54","55+"))))</f>
        <v>35-44</v>
      </c>
      <c r="AM1201" t="str">
        <f>IF(HR_Data[[#This Row],[MonthlyIncome]]&lt;3000,"Low Salary",IF(HR_Data[[#This Row],[MonthlyIncome]]&lt;=7000,"Medium Salary","High Salary"))</f>
        <v>Medium Salary</v>
      </c>
      <c r="AN1201" t="str">
        <f>IF(HR_Data[[#This Row],[YearsAtCompany]]&lt;2,"0-1 Years",IF(HR_Data[[#This Row],[YearsAtCompany]]&lt;=5,"2-5 Years",IF(HR_Data[[#This Row],[YearsAtCompany]]&lt;=10,"6-10 Years","10+ Years")))</f>
        <v>2-5 Years</v>
      </c>
      <c r="AO1201" t="str">
        <f>IF(HR_Data[[#This Row],[JobSatisfaction]]=1,"Low",IF(HR_Data[[#This Row],[JobSatisfaction]]=2,"Medium",IF(HR_Data[[#This Row],[JobSatisfaction]]=3,"High","Very High")))</f>
        <v>High</v>
      </c>
      <c r="AP1201" t="str">
        <f>IF(HR_Data[[#This Row],[WorkLifeBalance]]=1,"Bad",IF(HR_Data[[#This Row],[WorkLifeBalance]]=2,"Good",IF(HR_Data[[#This Row],[WorkLifeBalance]]=3,"Better","Best")))</f>
        <v>Good</v>
      </c>
    </row>
    <row r="1202" spans="1:42"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IF(HR_Data[[#This Row],[Attrition]]="Yes",1,0)</f>
        <v>0</v>
      </c>
      <c r="AK1202">
        <f>IF(HR_Data[[#This Row],[Attrition]]="No",1,0)</f>
        <v>1</v>
      </c>
      <c r="AL1202" t="str">
        <f>IF(HR_Data[[#This Row],[Age]]&lt;25,"Under 25",IF(HR_Data[[#This Row],[Age]]&lt;=34,"25-34",IF(HR_Data[[#This Row],[Age]]&lt;=44,"35-44",IF(HR_Data[[#This Row],[Age]]&lt;=54,"45-54","55+"))))</f>
        <v>35-44</v>
      </c>
      <c r="AM1202" t="str">
        <f>IF(HR_Data[[#This Row],[MonthlyIncome]]&lt;3000,"Low Salary",IF(HR_Data[[#This Row],[MonthlyIncome]]&lt;=7000,"Medium Salary","High Salary"))</f>
        <v>Medium Salary</v>
      </c>
      <c r="AN1202" t="str">
        <f>IF(HR_Data[[#This Row],[YearsAtCompany]]&lt;2,"0-1 Years",IF(HR_Data[[#This Row],[YearsAtCompany]]&lt;=5,"2-5 Years",IF(HR_Data[[#This Row],[YearsAtCompany]]&lt;=10,"6-10 Years","10+ Years")))</f>
        <v>2-5 Years</v>
      </c>
      <c r="AO1202" t="str">
        <f>IF(HR_Data[[#This Row],[JobSatisfaction]]=1,"Low",IF(HR_Data[[#This Row],[JobSatisfaction]]=2,"Medium",IF(HR_Data[[#This Row],[JobSatisfaction]]=3,"High","Very High")))</f>
        <v>Very High</v>
      </c>
      <c r="AP1202" t="str">
        <f>IF(HR_Data[[#This Row],[WorkLifeBalance]]=1,"Bad",IF(HR_Data[[#This Row],[WorkLifeBalance]]=2,"Good",IF(HR_Data[[#This Row],[WorkLifeBalance]]=3,"Better","Best")))</f>
        <v>Better</v>
      </c>
    </row>
    <row r="1203" spans="1:42"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IF(HR_Data[[#This Row],[Attrition]]="Yes",1,0)</f>
        <v>1</v>
      </c>
      <c r="AK1203">
        <f>IF(HR_Data[[#This Row],[Attrition]]="No",1,0)</f>
        <v>0</v>
      </c>
      <c r="AL1203" t="str">
        <f>IF(HR_Data[[#This Row],[Age]]&lt;25,"Under 25",IF(HR_Data[[#This Row],[Age]]&lt;=34,"25-34",IF(HR_Data[[#This Row],[Age]]&lt;=44,"35-44",IF(HR_Data[[#This Row],[Age]]&lt;=54,"45-54","55+"))))</f>
        <v>Under 25</v>
      </c>
      <c r="AM1203" t="str">
        <f>IF(HR_Data[[#This Row],[MonthlyIncome]]&lt;3000,"Low Salary",IF(HR_Data[[#This Row],[MonthlyIncome]]&lt;=7000,"Medium Salary","High Salary"))</f>
        <v>Medium Salary</v>
      </c>
      <c r="AN1203" t="str">
        <f>IF(HR_Data[[#This Row],[YearsAtCompany]]&lt;2,"0-1 Years",IF(HR_Data[[#This Row],[YearsAtCompany]]&lt;=5,"2-5 Years",IF(HR_Data[[#This Row],[YearsAtCompany]]&lt;=10,"6-10 Years","10+ Years")))</f>
        <v>2-5 Years</v>
      </c>
      <c r="AO1203" t="str">
        <f>IF(HR_Data[[#This Row],[JobSatisfaction]]=1,"Low",IF(HR_Data[[#This Row],[JobSatisfaction]]=2,"Medium",IF(HR_Data[[#This Row],[JobSatisfaction]]=3,"High","Very High")))</f>
        <v>High</v>
      </c>
      <c r="AP1203" t="str">
        <f>IF(HR_Data[[#This Row],[WorkLifeBalance]]=1,"Bad",IF(HR_Data[[#This Row],[WorkLifeBalance]]=2,"Good",IF(HR_Data[[#This Row],[WorkLifeBalance]]=3,"Better","Best")))</f>
        <v>Better</v>
      </c>
    </row>
    <row r="1204" spans="1:42"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IF(HR_Data[[#This Row],[Attrition]]="Yes",1,0)</f>
        <v>0</v>
      </c>
      <c r="AK1204">
        <f>IF(HR_Data[[#This Row],[Attrition]]="No",1,0)</f>
        <v>1</v>
      </c>
      <c r="AL1204" t="str">
        <f>IF(HR_Data[[#This Row],[Age]]&lt;25,"Under 25",IF(HR_Data[[#This Row],[Age]]&lt;=34,"25-34",IF(HR_Data[[#This Row],[Age]]&lt;=44,"35-44",IF(HR_Data[[#This Row],[Age]]&lt;=54,"45-54","55+"))))</f>
        <v>35-44</v>
      </c>
      <c r="AM1204" t="str">
        <f>IF(HR_Data[[#This Row],[MonthlyIncome]]&lt;3000,"Low Salary",IF(HR_Data[[#This Row],[MonthlyIncome]]&lt;=7000,"Medium Salary","High Salary"))</f>
        <v>Medium Salary</v>
      </c>
      <c r="AN1204" t="str">
        <f>IF(HR_Data[[#This Row],[YearsAtCompany]]&lt;2,"0-1 Years",IF(HR_Data[[#This Row],[YearsAtCompany]]&lt;=5,"2-5 Years",IF(HR_Data[[#This Row],[YearsAtCompany]]&lt;=10,"6-10 Years","10+ Years")))</f>
        <v>0-1 Years</v>
      </c>
      <c r="AO1204" t="str">
        <f>IF(HR_Data[[#This Row],[JobSatisfaction]]=1,"Low",IF(HR_Data[[#This Row],[JobSatisfaction]]=2,"Medium",IF(HR_Data[[#This Row],[JobSatisfaction]]=3,"High","Very High")))</f>
        <v>High</v>
      </c>
      <c r="AP1204" t="str">
        <f>IF(HR_Data[[#This Row],[WorkLifeBalance]]=1,"Bad",IF(HR_Data[[#This Row],[WorkLifeBalance]]=2,"Good",IF(HR_Data[[#This Row],[WorkLifeBalance]]=3,"Better","Best")))</f>
        <v>Good</v>
      </c>
    </row>
    <row r="1205" spans="1:42"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IF(HR_Data[[#This Row],[Attrition]]="Yes",1,0)</f>
        <v>0</v>
      </c>
      <c r="AK1205">
        <f>IF(HR_Data[[#This Row],[Attrition]]="No",1,0)</f>
        <v>1</v>
      </c>
      <c r="AL1205" t="str">
        <f>IF(HR_Data[[#This Row],[Age]]&lt;25,"Under 25",IF(HR_Data[[#This Row],[Age]]&lt;=34,"25-34",IF(HR_Data[[#This Row],[Age]]&lt;=44,"35-44",IF(HR_Data[[#This Row],[Age]]&lt;=54,"45-54","55+"))))</f>
        <v>45-54</v>
      </c>
      <c r="AM1205" t="str">
        <f>IF(HR_Data[[#This Row],[MonthlyIncome]]&lt;3000,"Low Salary",IF(HR_Data[[#This Row],[MonthlyIncome]]&lt;=7000,"Medium Salary","High Salary"))</f>
        <v>High Salary</v>
      </c>
      <c r="AN1205" t="str">
        <f>IF(HR_Data[[#This Row],[YearsAtCompany]]&lt;2,"0-1 Years",IF(HR_Data[[#This Row],[YearsAtCompany]]&lt;=5,"2-5 Years",IF(HR_Data[[#This Row],[YearsAtCompany]]&lt;=10,"6-10 Years","10+ Years")))</f>
        <v>2-5 Years</v>
      </c>
      <c r="AO1205" t="str">
        <f>IF(HR_Data[[#This Row],[JobSatisfaction]]=1,"Low",IF(HR_Data[[#This Row],[JobSatisfaction]]=2,"Medium",IF(HR_Data[[#This Row],[JobSatisfaction]]=3,"High","Very High")))</f>
        <v>Very High</v>
      </c>
      <c r="AP1205" t="str">
        <f>IF(HR_Data[[#This Row],[WorkLifeBalance]]=1,"Bad",IF(HR_Data[[#This Row],[WorkLifeBalance]]=2,"Good",IF(HR_Data[[#This Row],[WorkLifeBalance]]=3,"Better","Best")))</f>
        <v>Better</v>
      </c>
    </row>
    <row r="1206" spans="1:42"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IF(HR_Data[[#This Row],[Attrition]]="Yes",1,0)</f>
        <v>1</v>
      </c>
      <c r="AK1206">
        <f>IF(HR_Data[[#This Row],[Attrition]]="No",1,0)</f>
        <v>0</v>
      </c>
      <c r="AL1206" t="str">
        <f>IF(HR_Data[[#This Row],[Age]]&lt;25,"Under 25",IF(HR_Data[[#This Row],[Age]]&lt;=34,"25-34",IF(HR_Data[[#This Row],[Age]]&lt;=44,"35-44",IF(HR_Data[[#This Row],[Age]]&lt;=54,"45-54","55+"))))</f>
        <v>45-54</v>
      </c>
      <c r="AM1206" t="str">
        <f>IF(HR_Data[[#This Row],[MonthlyIncome]]&lt;3000,"Low Salary",IF(HR_Data[[#This Row],[MonthlyIncome]]&lt;=7000,"Medium Salary","High Salary"))</f>
        <v>Low Salary</v>
      </c>
      <c r="AN1206" t="str">
        <f>IF(HR_Data[[#This Row],[YearsAtCompany]]&lt;2,"0-1 Years",IF(HR_Data[[#This Row],[YearsAtCompany]]&lt;=5,"2-5 Years",IF(HR_Data[[#This Row],[YearsAtCompany]]&lt;=10,"6-10 Years","10+ Years")))</f>
        <v>6-10 Years</v>
      </c>
      <c r="AO1206" t="str">
        <f>IF(HR_Data[[#This Row],[JobSatisfaction]]=1,"Low",IF(HR_Data[[#This Row],[JobSatisfaction]]=2,"Medium",IF(HR_Data[[#This Row],[JobSatisfaction]]=3,"High","Very High")))</f>
        <v>High</v>
      </c>
      <c r="AP1206" t="str">
        <f>IF(HR_Data[[#This Row],[WorkLifeBalance]]=1,"Bad",IF(HR_Data[[#This Row],[WorkLifeBalance]]=2,"Good",IF(HR_Data[[#This Row],[WorkLifeBalance]]=3,"Better","Best")))</f>
        <v>Better</v>
      </c>
    </row>
    <row r="1207" spans="1:42"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IF(HR_Data[[#This Row],[Attrition]]="Yes",1,0)</f>
        <v>1</v>
      </c>
      <c r="AK1207">
        <f>IF(HR_Data[[#This Row],[Attrition]]="No",1,0)</f>
        <v>0</v>
      </c>
      <c r="AL1207" t="str">
        <f>IF(HR_Data[[#This Row],[Age]]&lt;25,"Under 25",IF(HR_Data[[#This Row],[Age]]&lt;=34,"25-34",IF(HR_Data[[#This Row],[Age]]&lt;=44,"35-44",IF(HR_Data[[#This Row],[Age]]&lt;=54,"45-54","55+"))))</f>
        <v>25-34</v>
      </c>
      <c r="AM1207" t="str">
        <f>IF(HR_Data[[#This Row],[MonthlyIncome]]&lt;3000,"Low Salary",IF(HR_Data[[#This Row],[MonthlyIncome]]&lt;=7000,"Medium Salary","High Salary"))</f>
        <v>Low Salary</v>
      </c>
      <c r="AN1207" t="str">
        <f>IF(HR_Data[[#This Row],[YearsAtCompany]]&lt;2,"0-1 Years",IF(HR_Data[[#This Row],[YearsAtCompany]]&lt;=5,"2-5 Years",IF(HR_Data[[#This Row],[YearsAtCompany]]&lt;=10,"6-10 Years","10+ Years")))</f>
        <v>0-1 Years</v>
      </c>
      <c r="AO1207" t="str">
        <f>IF(HR_Data[[#This Row],[JobSatisfaction]]=1,"Low",IF(HR_Data[[#This Row],[JobSatisfaction]]=2,"Medium",IF(HR_Data[[#This Row],[JobSatisfaction]]=3,"High","Very High")))</f>
        <v>Medium</v>
      </c>
      <c r="AP1207" t="str">
        <f>IF(HR_Data[[#This Row],[WorkLifeBalance]]=1,"Bad",IF(HR_Data[[#This Row],[WorkLifeBalance]]=2,"Good",IF(HR_Data[[#This Row],[WorkLifeBalance]]=3,"Better","Best")))</f>
        <v>Better</v>
      </c>
    </row>
    <row r="1208" spans="1:42"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IF(HR_Data[[#This Row],[Attrition]]="Yes",1,0)</f>
        <v>0</v>
      </c>
      <c r="AK1208">
        <f>IF(HR_Data[[#This Row],[Attrition]]="No",1,0)</f>
        <v>1</v>
      </c>
      <c r="AL1208" t="str">
        <f>IF(HR_Data[[#This Row],[Age]]&lt;25,"Under 25",IF(HR_Data[[#This Row],[Age]]&lt;=34,"25-34",IF(HR_Data[[#This Row],[Age]]&lt;=44,"35-44",IF(HR_Data[[#This Row],[Age]]&lt;=54,"45-54","55+"))))</f>
        <v>25-34</v>
      </c>
      <c r="AM1208" t="str">
        <f>IF(HR_Data[[#This Row],[MonthlyIncome]]&lt;3000,"Low Salary",IF(HR_Data[[#This Row],[MonthlyIncome]]&lt;=7000,"Medium Salary","High Salary"))</f>
        <v>Low Salary</v>
      </c>
      <c r="AN1208" t="str">
        <f>IF(HR_Data[[#This Row],[YearsAtCompany]]&lt;2,"0-1 Years",IF(HR_Data[[#This Row],[YearsAtCompany]]&lt;=5,"2-5 Years",IF(HR_Data[[#This Row],[YearsAtCompany]]&lt;=10,"6-10 Years","10+ Years")))</f>
        <v>6-10 Years</v>
      </c>
      <c r="AO1208" t="str">
        <f>IF(HR_Data[[#This Row],[JobSatisfaction]]=1,"Low",IF(HR_Data[[#This Row],[JobSatisfaction]]=2,"Medium",IF(HR_Data[[#This Row],[JobSatisfaction]]=3,"High","Very High")))</f>
        <v>Very High</v>
      </c>
      <c r="AP1208" t="str">
        <f>IF(HR_Data[[#This Row],[WorkLifeBalance]]=1,"Bad",IF(HR_Data[[#This Row],[WorkLifeBalance]]=2,"Good",IF(HR_Data[[#This Row],[WorkLifeBalance]]=3,"Better","Best")))</f>
        <v>Better</v>
      </c>
    </row>
    <row r="1209" spans="1:42"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IF(HR_Data[[#This Row],[Attrition]]="Yes",1,0)</f>
        <v>0</v>
      </c>
      <c r="AK1209">
        <f>IF(HR_Data[[#This Row],[Attrition]]="No",1,0)</f>
        <v>1</v>
      </c>
      <c r="AL1209" t="str">
        <f>IF(HR_Data[[#This Row],[Age]]&lt;25,"Under 25",IF(HR_Data[[#This Row],[Age]]&lt;=34,"25-34",IF(HR_Data[[#This Row],[Age]]&lt;=44,"35-44",IF(HR_Data[[#This Row],[Age]]&lt;=54,"45-54","55+"))))</f>
        <v>55+</v>
      </c>
      <c r="AM1209" t="str">
        <f>IF(HR_Data[[#This Row],[MonthlyIncome]]&lt;3000,"Low Salary",IF(HR_Data[[#This Row],[MonthlyIncome]]&lt;=7000,"Medium Salary","High Salary"))</f>
        <v>Medium Salary</v>
      </c>
      <c r="AN1209" t="str">
        <f>IF(HR_Data[[#This Row],[YearsAtCompany]]&lt;2,"0-1 Years",IF(HR_Data[[#This Row],[YearsAtCompany]]&lt;=5,"2-5 Years",IF(HR_Data[[#This Row],[YearsAtCompany]]&lt;=10,"6-10 Years","10+ Years")))</f>
        <v>2-5 Years</v>
      </c>
      <c r="AO1209" t="str">
        <f>IF(HR_Data[[#This Row],[JobSatisfaction]]=1,"Low",IF(HR_Data[[#This Row],[JobSatisfaction]]=2,"Medium",IF(HR_Data[[#This Row],[JobSatisfaction]]=3,"High","Very High")))</f>
        <v>Medium</v>
      </c>
      <c r="AP1209" t="str">
        <f>IF(HR_Data[[#This Row],[WorkLifeBalance]]=1,"Bad",IF(HR_Data[[#This Row],[WorkLifeBalance]]=2,"Good",IF(HR_Data[[#This Row],[WorkLifeBalance]]=3,"Better","Best")))</f>
        <v>Better</v>
      </c>
    </row>
    <row r="1210" spans="1:42"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IF(HR_Data[[#This Row],[Attrition]]="Yes",1,0)</f>
        <v>0</v>
      </c>
      <c r="AK1210">
        <f>IF(HR_Data[[#This Row],[Attrition]]="No",1,0)</f>
        <v>1</v>
      </c>
      <c r="AL1210" t="str">
        <f>IF(HR_Data[[#This Row],[Age]]&lt;25,"Under 25",IF(HR_Data[[#This Row],[Age]]&lt;=34,"25-34",IF(HR_Data[[#This Row],[Age]]&lt;=44,"35-44",IF(HR_Data[[#This Row],[Age]]&lt;=54,"45-54","55+"))))</f>
        <v>25-34</v>
      </c>
      <c r="AM1210" t="str">
        <f>IF(HR_Data[[#This Row],[MonthlyIncome]]&lt;3000,"Low Salary",IF(HR_Data[[#This Row],[MonthlyIncome]]&lt;=7000,"Medium Salary","High Salary"))</f>
        <v>Medium Salary</v>
      </c>
      <c r="AN1210" t="str">
        <f>IF(HR_Data[[#This Row],[YearsAtCompany]]&lt;2,"0-1 Years",IF(HR_Data[[#This Row],[YearsAtCompany]]&lt;=5,"2-5 Years",IF(HR_Data[[#This Row],[YearsAtCompany]]&lt;=10,"6-10 Years","10+ Years")))</f>
        <v>10+ Years</v>
      </c>
      <c r="AO1210" t="str">
        <f>IF(HR_Data[[#This Row],[JobSatisfaction]]=1,"Low",IF(HR_Data[[#This Row],[JobSatisfaction]]=2,"Medium",IF(HR_Data[[#This Row],[JobSatisfaction]]=3,"High","Very High")))</f>
        <v>Very High</v>
      </c>
      <c r="AP1210" t="str">
        <f>IF(HR_Data[[#This Row],[WorkLifeBalance]]=1,"Bad",IF(HR_Data[[#This Row],[WorkLifeBalance]]=2,"Good",IF(HR_Data[[#This Row],[WorkLifeBalance]]=3,"Better","Best")))</f>
        <v>Best</v>
      </c>
    </row>
    <row r="1211" spans="1:42"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IF(HR_Data[[#This Row],[Attrition]]="Yes",1,0)</f>
        <v>0</v>
      </c>
      <c r="AK1211">
        <f>IF(HR_Data[[#This Row],[Attrition]]="No",1,0)</f>
        <v>1</v>
      </c>
      <c r="AL1211" t="str">
        <f>IF(HR_Data[[#This Row],[Age]]&lt;25,"Under 25",IF(HR_Data[[#This Row],[Age]]&lt;=34,"25-34",IF(HR_Data[[#This Row],[Age]]&lt;=44,"35-44",IF(HR_Data[[#This Row],[Age]]&lt;=54,"45-54","55+"))))</f>
        <v>55+</v>
      </c>
      <c r="AM1211" t="str">
        <f>IF(HR_Data[[#This Row],[MonthlyIncome]]&lt;3000,"Low Salary",IF(HR_Data[[#This Row],[MonthlyIncome]]&lt;=7000,"Medium Salary","High Salary"))</f>
        <v>High Salary</v>
      </c>
      <c r="AN1211" t="str">
        <f>IF(HR_Data[[#This Row],[YearsAtCompany]]&lt;2,"0-1 Years",IF(HR_Data[[#This Row],[YearsAtCompany]]&lt;=5,"2-5 Years",IF(HR_Data[[#This Row],[YearsAtCompany]]&lt;=10,"6-10 Years","10+ Years")))</f>
        <v>0-1 Years</v>
      </c>
      <c r="AO1211" t="str">
        <f>IF(HR_Data[[#This Row],[JobSatisfaction]]=1,"Low",IF(HR_Data[[#This Row],[JobSatisfaction]]=2,"Medium",IF(HR_Data[[#This Row],[JobSatisfaction]]=3,"High","Very High")))</f>
        <v>Very High</v>
      </c>
      <c r="AP1211" t="str">
        <f>IF(HR_Data[[#This Row],[WorkLifeBalance]]=1,"Bad",IF(HR_Data[[#This Row],[WorkLifeBalance]]=2,"Good",IF(HR_Data[[#This Row],[WorkLifeBalance]]=3,"Better","Best")))</f>
        <v>Best</v>
      </c>
    </row>
    <row r="1212" spans="1:42"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IF(HR_Data[[#This Row],[Attrition]]="Yes",1,0)</f>
        <v>0</v>
      </c>
      <c r="AK1212">
        <f>IF(HR_Data[[#This Row],[Attrition]]="No",1,0)</f>
        <v>1</v>
      </c>
      <c r="AL1212" t="str">
        <f>IF(HR_Data[[#This Row],[Age]]&lt;25,"Under 25",IF(HR_Data[[#This Row],[Age]]&lt;=34,"25-34",IF(HR_Data[[#This Row],[Age]]&lt;=44,"35-44",IF(HR_Data[[#This Row],[Age]]&lt;=54,"45-54","55+"))))</f>
        <v>25-34</v>
      </c>
      <c r="AM1212" t="str">
        <f>IF(HR_Data[[#This Row],[MonthlyIncome]]&lt;3000,"Low Salary",IF(HR_Data[[#This Row],[MonthlyIncome]]&lt;=7000,"Medium Salary","High Salary"))</f>
        <v>Low Salary</v>
      </c>
      <c r="AN1212" t="str">
        <f>IF(HR_Data[[#This Row],[YearsAtCompany]]&lt;2,"0-1 Years",IF(HR_Data[[#This Row],[YearsAtCompany]]&lt;=5,"2-5 Years",IF(HR_Data[[#This Row],[YearsAtCompany]]&lt;=10,"6-10 Years","10+ Years")))</f>
        <v>10+ Years</v>
      </c>
      <c r="AO1212" t="str">
        <f>IF(HR_Data[[#This Row],[JobSatisfaction]]=1,"Low",IF(HR_Data[[#This Row],[JobSatisfaction]]=2,"Medium",IF(HR_Data[[#This Row],[JobSatisfaction]]=3,"High","Very High")))</f>
        <v>Medium</v>
      </c>
      <c r="AP1212" t="str">
        <f>IF(HR_Data[[#This Row],[WorkLifeBalance]]=1,"Bad",IF(HR_Data[[#This Row],[WorkLifeBalance]]=2,"Good",IF(HR_Data[[#This Row],[WorkLifeBalance]]=3,"Better","Best")))</f>
        <v>Better</v>
      </c>
    </row>
    <row r="1213" spans="1:42"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IF(HR_Data[[#This Row],[Attrition]]="Yes",1,0)</f>
        <v>0</v>
      </c>
      <c r="AK1213">
        <f>IF(HR_Data[[#This Row],[Attrition]]="No",1,0)</f>
        <v>1</v>
      </c>
      <c r="AL1213" t="str">
        <f>IF(HR_Data[[#This Row],[Age]]&lt;25,"Under 25",IF(HR_Data[[#This Row],[Age]]&lt;=34,"25-34",IF(HR_Data[[#This Row],[Age]]&lt;=44,"35-44",IF(HR_Data[[#This Row],[Age]]&lt;=54,"45-54","55+"))))</f>
        <v>35-44</v>
      </c>
      <c r="AM1213" t="str">
        <f>IF(HR_Data[[#This Row],[MonthlyIncome]]&lt;3000,"Low Salary",IF(HR_Data[[#This Row],[MonthlyIncome]]&lt;=7000,"Medium Salary","High Salary"))</f>
        <v>High Salary</v>
      </c>
      <c r="AN1213" t="str">
        <f>IF(HR_Data[[#This Row],[YearsAtCompany]]&lt;2,"0-1 Years",IF(HR_Data[[#This Row],[YearsAtCompany]]&lt;=5,"2-5 Years",IF(HR_Data[[#This Row],[YearsAtCompany]]&lt;=10,"6-10 Years","10+ Years")))</f>
        <v>6-10 Years</v>
      </c>
      <c r="AO1213" t="str">
        <f>IF(HR_Data[[#This Row],[JobSatisfaction]]=1,"Low",IF(HR_Data[[#This Row],[JobSatisfaction]]=2,"Medium",IF(HR_Data[[#This Row],[JobSatisfaction]]=3,"High","Very High")))</f>
        <v>Very High</v>
      </c>
      <c r="AP1213" t="str">
        <f>IF(HR_Data[[#This Row],[WorkLifeBalance]]=1,"Bad",IF(HR_Data[[#This Row],[WorkLifeBalance]]=2,"Good",IF(HR_Data[[#This Row],[WorkLifeBalance]]=3,"Better","Best")))</f>
        <v>Good</v>
      </c>
    </row>
    <row r="1214" spans="1:42"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IF(HR_Data[[#This Row],[Attrition]]="Yes",1,0)</f>
        <v>0</v>
      </c>
      <c r="AK1214">
        <f>IF(HR_Data[[#This Row],[Attrition]]="No",1,0)</f>
        <v>1</v>
      </c>
      <c r="AL1214" t="str">
        <f>IF(HR_Data[[#This Row],[Age]]&lt;25,"Under 25",IF(HR_Data[[#This Row],[Age]]&lt;=34,"25-34",IF(HR_Data[[#This Row],[Age]]&lt;=44,"35-44",IF(HR_Data[[#This Row],[Age]]&lt;=54,"45-54","55+"))))</f>
        <v>25-34</v>
      </c>
      <c r="AM1214" t="str">
        <f>IF(HR_Data[[#This Row],[MonthlyIncome]]&lt;3000,"Low Salary",IF(HR_Data[[#This Row],[MonthlyIncome]]&lt;=7000,"Medium Salary","High Salary"))</f>
        <v>Low Salary</v>
      </c>
      <c r="AN1214" t="str">
        <f>IF(HR_Data[[#This Row],[YearsAtCompany]]&lt;2,"0-1 Years",IF(HR_Data[[#This Row],[YearsAtCompany]]&lt;=5,"2-5 Years",IF(HR_Data[[#This Row],[YearsAtCompany]]&lt;=10,"6-10 Years","10+ Years")))</f>
        <v>6-10 Years</v>
      </c>
      <c r="AO1214" t="str">
        <f>IF(HR_Data[[#This Row],[JobSatisfaction]]=1,"Low",IF(HR_Data[[#This Row],[JobSatisfaction]]=2,"Medium",IF(HR_Data[[#This Row],[JobSatisfaction]]=3,"High","Very High")))</f>
        <v>Very High</v>
      </c>
      <c r="AP1214" t="str">
        <f>IF(HR_Data[[#This Row],[WorkLifeBalance]]=1,"Bad",IF(HR_Data[[#This Row],[WorkLifeBalance]]=2,"Good",IF(HR_Data[[#This Row],[WorkLifeBalance]]=3,"Better","Best")))</f>
        <v>Better</v>
      </c>
    </row>
    <row r="1215" spans="1:42"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IF(HR_Data[[#This Row],[Attrition]]="Yes",1,0)</f>
        <v>1</v>
      </c>
      <c r="AK1215">
        <f>IF(HR_Data[[#This Row],[Attrition]]="No",1,0)</f>
        <v>0</v>
      </c>
      <c r="AL1215" t="str">
        <f>IF(HR_Data[[#This Row],[Age]]&lt;25,"Under 25",IF(HR_Data[[#This Row],[Age]]&lt;=34,"25-34",IF(HR_Data[[#This Row],[Age]]&lt;=44,"35-44",IF(HR_Data[[#This Row],[Age]]&lt;=54,"45-54","55+"))))</f>
        <v>Under 25</v>
      </c>
      <c r="AM1215" t="str">
        <f>IF(HR_Data[[#This Row],[MonthlyIncome]]&lt;3000,"Low Salary",IF(HR_Data[[#This Row],[MonthlyIncome]]&lt;=7000,"Medium Salary","High Salary"))</f>
        <v>Low Salary</v>
      </c>
      <c r="AN1215" t="str">
        <f>IF(HR_Data[[#This Row],[YearsAtCompany]]&lt;2,"0-1 Years",IF(HR_Data[[#This Row],[YearsAtCompany]]&lt;=5,"2-5 Years",IF(HR_Data[[#This Row],[YearsAtCompany]]&lt;=10,"6-10 Years","10+ Years")))</f>
        <v>2-5 Years</v>
      </c>
      <c r="AO1215" t="str">
        <f>IF(HR_Data[[#This Row],[JobSatisfaction]]=1,"Low",IF(HR_Data[[#This Row],[JobSatisfaction]]=2,"Medium",IF(HR_Data[[#This Row],[JobSatisfaction]]=3,"High","Very High")))</f>
        <v>Very High</v>
      </c>
      <c r="AP1215" t="str">
        <f>IF(HR_Data[[#This Row],[WorkLifeBalance]]=1,"Bad",IF(HR_Data[[#This Row],[WorkLifeBalance]]=2,"Good",IF(HR_Data[[#This Row],[WorkLifeBalance]]=3,"Better","Best")))</f>
        <v>Better</v>
      </c>
    </row>
    <row r="1216" spans="1:42"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IF(HR_Data[[#This Row],[Attrition]]="Yes",1,0)</f>
        <v>0</v>
      </c>
      <c r="AK1216">
        <f>IF(HR_Data[[#This Row],[Attrition]]="No",1,0)</f>
        <v>1</v>
      </c>
      <c r="AL1216" t="str">
        <f>IF(HR_Data[[#This Row],[Age]]&lt;25,"Under 25",IF(HR_Data[[#This Row],[Age]]&lt;=34,"25-34",IF(HR_Data[[#This Row],[Age]]&lt;=44,"35-44",IF(HR_Data[[#This Row],[Age]]&lt;=54,"45-54","55+"))))</f>
        <v>35-44</v>
      </c>
      <c r="AM1216" t="str">
        <f>IF(HR_Data[[#This Row],[MonthlyIncome]]&lt;3000,"Low Salary",IF(HR_Data[[#This Row],[MonthlyIncome]]&lt;=7000,"Medium Salary","High Salary"))</f>
        <v>High Salary</v>
      </c>
      <c r="AN1216" t="str">
        <f>IF(HR_Data[[#This Row],[YearsAtCompany]]&lt;2,"0-1 Years",IF(HR_Data[[#This Row],[YearsAtCompany]]&lt;=5,"2-5 Years",IF(HR_Data[[#This Row],[YearsAtCompany]]&lt;=10,"6-10 Years","10+ Years")))</f>
        <v>6-10 Years</v>
      </c>
      <c r="AO1216" t="str">
        <f>IF(HR_Data[[#This Row],[JobSatisfaction]]=1,"Low",IF(HR_Data[[#This Row],[JobSatisfaction]]=2,"Medium",IF(HR_Data[[#This Row],[JobSatisfaction]]=3,"High","Very High")))</f>
        <v>Very High</v>
      </c>
      <c r="AP1216" t="str">
        <f>IF(HR_Data[[#This Row],[WorkLifeBalance]]=1,"Bad",IF(HR_Data[[#This Row],[WorkLifeBalance]]=2,"Good",IF(HR_Data[[#This Row],[WorkLifeBalance]]=3,"Better","Best")))</f>
        <v>Better</v>
      </c>
    </row>
    <row r="1217" spans="1:42"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IF(HR_Data[[#This Row],[Attrition]]="Yes",1,0)</f>
        <v>0</v>
      </c>
      <c r="AK1217">
        <f>IF(HR_Data[[#This Row],[Attrition]]="No",1,0)</f>
        <v>1</v>
      </c>
      <c r="AL1217" t="str">
        <f>IF(HR_Data[[#This Row],[Age]]&lt;25,"Under 25",IF(HR_Data[[#This Row],[Age]]&lt;=34,"25-34",IF(HR_Data[[#This Row],[Age]]&lt;=44,"35-44",IF(HR_Data[[#This Row],[Age]]&lt;=54,"45-54","55+"))))</f>
        <v>35-44</v>
      </c>
      <c r="AM1217" t="str">
        <f>IF(HR_Data[[#This Row],[MonthlyIncome]]&lt;3000,"Low Salary",IF(HR_Data[[#This Row],[MonthlyIncome]]&lt;=7000,"Medium Salary","High Salary"))</f>
        <v>Medium Salary</v>
      </c>
      <c r="AN1217" t="str">
        <f>IF(HR_Data[[#This Row],[YearsAtCompany]]&lt;2,"0-1 Years",IF(HR_Data[[#This Row],[YearsAtCompany]]&lt;=5,"2-5 Years",IF(HR_Data[[#This Row],[YearsAtCompany]]&lt;=10,"6-10 Years","10+ Years")))</f>
        <v>2-5 Years</v>
      </c>
      <c r="AO1217" t="str">
        <f>IF(HR_Data[[#This Row],[JobSatisfaction]]=1,"Low",IF(HR_Data[[#This Row],[JobSatisfaction]]=2,"Medium",IF(HR_Data[[#This Row],[JobSatisfaction]]=3,"High","Very High")))</f>
        <v>Very High</v>
      </c>
      <c r="AP1217" t="str">
        <f>IF(HR_Data[[#This Row],[WorkLifeBalance]]=1,"Bad",IF(HR_Data[[#This Row],[WorkLifeBalance]]=2,"Good",IF(HR_Data[[#This Row],[WorkLifeBalance]]=3,"Better","Best")))</f>
        <v>Best</v>
      </c>
    </row>
    <row r="1218" spans="1:42"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IF(HR_Data[[#This Row],[Attrition]]="Yes",1,0)</f>
        <v>0</v>
      </c>
      <c r="AK1218">
        <f>IF(HR_Data[[#This Row],[Attrition]]="No",1,0)</f>
        <v>1</v>
      </c>
      <c r="AL1218" t="str">
        <f>IF(HR_Data[[#This Row],[Age]]&lt;25,"Under 25",IF(HR_Data[[#This Row],[Age]]&lt;=34,"25-34",IF(HR_Data[[#This Row],[Age]]&lt;=44,"35-44",IF(HR_Data[[#This Row],[Age]]&lt;=54,"45-54","55+"))))</f>
        <v>35-44</v>
      </c>
      <c r="AM1218" t="str">
        <f>IF(HR_Data[[#This Row],[MonthlyIncome]]&lt;3000,"Low Salary",IF(HR_Data[[#This Row],[MonthlyIncome]]&lt;=7000,"Medium Salary","High Salary"))</f>
        <v>High Salary</v>
      </c>
      <c r="AN1218" t="str">
        <f>IF(HR_Data[[#This Row],[YearsAtCompany]]&lt;2,"0-1 Years",IF(HR_Data[[#This Row],[YearsAtCompany]]&lt;=5,"2-5 Years",IF(HR_Data[[#This Row],[YearsAtCompany]]&lt;=10,"6-10 Years","10+ Years")))</f>
        <v>6-10 Years</v>
      </c>
      <c r="AO1218" t="str">
        <f>IF(HR_Data[[#This Row],[JobSatisfaction]]=1,"Low",IF(HR_Data[[#This Row],[JobSatisfaction]]=2,"Medium",IF(HR_Data[[#This Row],[JobSatisfaction]]=3,"High","Very High")))</f>
        <v>Very High</v>
      </c>
      <c r="AP1218" t="str">
        <f>IF(HR_Data[[#This Row],[WorkLifeBalance]]=1,"Bad",IF(HR_Data[[#This Row],[WorkLifeBalance]]=2,"Good",IF(HR_Data[[#This Row],[WorkLifeBalance]]=3,"Better","Best")))</f>
        <v>Better</v>
      </c>
    </row>
    <row r="1219" spans="1:42"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IF(HR_Data[[#This Row],[Attrition]]="Yes",1,0)</f>
        <v>0</v>
      </c>
      <c r="AK1219">
        <f>IF(HR_Data[[#This Row],[Attrition]]="No",1,0)</f>
        <v>1</v>
      </c>
      <c r="AL1219" t="str">
        <f>IF(HR_Data[[#This Row],[Age]]&lt;25,"Under 25",IF(HR_Data[[#This Row],[Age]]&lt;=34,"25-34",IF(HR_Data[[#This Row],[Age]]&lt;=44,"35-44",IF(HR_Data[[#This Row],[Age]]&lt;=54,"45-54","55+"))))</f>
        <v>Under 25</v>
      </c>
      <c r="AM1219" t="str">
        <f>IF(HR_Data[[#This Row],[MonthlyIncome]]&lt;3000,"Low Salary",IF(HR_Data[[#This Row],[MonthlyIncome]]&lt;=7000,"Medium Salary","High Salary"))</f>
        <v>Medium Salary</v>
      </c>
      <c r="AN1219" t="str">
        <f>IF(HR_Data[[#This Row],[YearsAtCompany]]&lt;2,"0-1 Years",IF(HR_Data[[#This Row],[YearsAtCompany]]&lt;=5,"2-5 Years",IF(HR_Data[[#This Row],[YearsAtCompany]]&lt;=10,"6-10 Years","10+ Years")))</f>
        <v>2-5 Years</v>
      </c>
      <c r="AO1219" t="str">
        <f>IF(HR_Data[[#This Row],[JobSatisfaction]]=1,"Low",IF(HR_Data[[#This Row],[JobSatisfaction]]=2,"Medium",IF(HR_Data[[#This Row],[JobSatisfaction]]=3,"High","Very High")))</f>
        <v>High</v>
      </c>
      <c r="AP1219" t="str">
        <f>IF(HR_Data[[#This Row],[WorkLifeBalance]]=1,"Bad",IF(HR_Data[[#This Row],[WorkLifeBalance]]=2,"Good",IF(HR_Data[[#This Row],[WorkLifeBalance]]=3,"Better","Best")))</f>
        <v>Better</v>
      </c>
    </row>
    <row r="1220" spans="1:42"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IF(HR_Data[[#This Row],[Attrition]]="Yes",1,0)</f>
        <v>0</v>
      </c>
      <c r="AK1220">
        <f>IF(HR_Data[[#This Row],[Attrition]]="No",1,0)</f>
        <v>1</v>
      </c>
      <c r="AL1220" t="str">
        <f>IF(HR_Data[[#This Row],[Age]]&lt;25,"Under 25",IF(HR_Data[[#This Row],[Age]]&lt;=34,"25-34",IF(HR_Data[[#This Row],[Age]]&lt;=44,"35-44",IF(HR_Data[[#This Row],[Age]]&lt;=54,"45-54","55+"))))</f>
        <v>35-44</v>
      </c>
      <c r="AM1220" t="str">
        <f>IF(HR_Data[[#This Row],[MonthlyIncome]]&lt;3000,"Low Salary",IF(HR_Data[[#This Row],[MonthlyIncome]]&lt;=7000,"Medium Salary","High Salary"))</f>
        <v>High Salary</v>
      </c>
      <c r="AN1220" t="str">
        <f>IF(HR_Data[[#This Row],[YearsAtCompany]]&lt;2,"0-1 Years",IF(HR_Data[[#This Row],[YearsAtCompany]]&lt;=5,"2-5 Years",IF(HR_Data[[#This Row],[YearsAtCompany]]&lt;=10,"6-10 Years","10+ Years")))</f>
        <v>6-10 Years</v>
      </c>
      <c r="AO1220" t="str">
        <f>IF(HR_Data[[#This Row],[JobSatisfaction]]=1,"Low",IF(HR_Data[[#This Row],[JobSatisfaction]]=2,"Medium",IF(HR_Data[[#This Row],[JobSatisfaction]]=3,"High","Very High")))</f>
        <v>High</v>
      </c>
      <c r="AP1220" t="str">
        <f>IF(HR_Data[[#This Row],[WorkLifeBalance]]=1,"Bad",IF(HR_Data[[#This Row],[WorkLifeBalance]]=2,"Good",IF(HR_Data[[#This Row],[WorkLifeBalance]]=3,"Better","Best")))</f>
        <v>Better</v>
      </c>
    </row>
    <row r="1221" spans="1:42"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IF(HR_Data[[#This Row],[Attrition]]="Yes",1,0)</f>
        <v>0</v>
      </c>
      <c r="AK1221">
        <f>IF(HR_Data[[#This Row],[Attrition]]="No",1,0)</f>
        <v>1</v>
      </c>
      <c r="AL1221" t="str">
        <f>IF(HR_Data[[#This Row],[Age]]&lt;25,"Under 25",IF(HR_Data[[#This Row],[Age]]&lt;=34,"25-34",IF(HR_Data[[#This Row],[Age]]&lt;=44,"35-44",IF(HR_Data[[#This Row],[Age]]&lt;=54,"45-54","55+"))))</f>
        <v>25-34</v>
      </c>
      <c r="AM1221" t="str">
        <f>IF(HR_Data[[#This Row],[MonthlyIncome]]&lt;3000,"Low Salary",IF(HR_Data[[#This Row],[MonthlyIncome]]&lt;=7000,"Medium Salary","High Salary"))</f>
        <v>Low Salary</v>
      </c>
      <c r="AN1221" t="str">
        <f>IF(HR_Data[[#This Row],[YearsAtCompany]]&lt;2,"0-1 Years",IF(HR_Data[[#This Row],[YearsAtCompany]]&lt;=5,"2-5 Years",IF(HR_Data[[#This Row],[YearsAtCompany]]&lt;=10,"6-10 Years","10+ Years")))</f>
        <v>2-5 Years</v>
      </c>
      <c r="AO1221" t="str">
        <f>IF(HR_Data[[#This Row],[JobSatisfaction]]=1,"Low",IF(HR_Data[[#This Row],[JobSatisfaction]]=2,"Medium",IF(HR_Data[[#This Row],[JobSatisfaction]]=3,"High","Very High")))</f>
        <v>High</v>
      </c>
      <c r="AP1221" t="str">
        <f>IF(HR_Data[[#This Row],[WorkLifeBalance]]=1,"Bad",IF(HR_Data[[#This Row],[WorkLifeBalance]]=2,"Good",IF(HR_Data[[#This Row],[WorkLifeBalance]]=3,"Better","Best")))</f>
        <v>Better</v>
      </c>
    </row>
    <row r="1222" spans="1:42"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IF(HR_Data[[#This Row],[Attrition]]="Yes",1,0)</f>
        <v>0</v>
      </c>
      <c r="AK1222">
        <f>IF(HR_Data[[#This Row],[Attrition]]="No",1,0)</f>
        <v>1</v>
      </c>
      <c r="AL1222" t="str">
        <f>IF(HR_Data[[#This Row],[Age]]&lt;25,"Under 25",IF(HR_Data[[#This Row],[Age]]&lt;=34,"25-34",IF(HR_Data[[#This Row],[Age]]&lt;=44,"35-44",IF(HR_Data[[#This Row],[Age]]&lt;=54,"45-54","55+"))))</f>
        <v>35-44</v>
      </c>
      <c r="AM1222" t="str">
        <f>IF(HR_Data[[#This Row],[MonthlyIncome]]&lt;3000,"Low Salary",IF(HR_Data[[#This Row],[MonthlyIncome]]&lt;=7000,"Medium Salary","High Salary"))</f>
        <v>Medium Salary</v>
      </c>
      <c r="AN1222" t="str">
        <f>IF(HR_Data[[#This Row],[YearsAtCompany]]&lt;2,"0-1 Years",IF(HR_Data[[#This Row],[YearsAtCompany]]&lt;=5,"2-5 Years",IF(HR_Data[[#This Row],[YearsAtCompany]]&lt;=10,"6-10 Years","10+ Years")))</f>
        <v>10+ Years</v>
      </c>
      <c r="AO1222" t="str">
        <f>IF(HR_Data[[#This Row],[JobSatisfaction]]=1,"Low",IF(HR_Data[[#This Row],[JobSatisfaction]]=2,"Medium",IF(HR_Data[[#This Row],[JobSatisfaction]]=3,"High","Very High")))</f>
        <v>Very High</v>
      </c>
      <c r="AP1222" t="str">
        <f>IF(HR_Data[[#This Row],[WorkLifeBalance]]=1,"Bad",IF(HR_Data[[#This Row],[WorkLifeBalance]]=2,"Good",IF(HR_Data[[#This Row],[WorkLifeBalance]]=3,"Better","Best")))</f>
        <v>Good</v>
      </c>
    </row>
    <row r="1223" spans="1:42"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IF(HR_Data[[#This Row],[Attrition]]="Yes",1,0)</f>
        <v>0</v>
      </c>
      <c r="AK1223">
        <f>IF(HR_Data[[#This Row],[Attrition]]="No",1,0)</f>
        <v>1</v>
      </c>
      <c r="AL1223" t="str">
        <f>IF(HR_Data[[#This Row],[Age]]&lt;25,"Under 25",IF(HR_Data[[#This Row],[Age]]&lt;=34,"25-34",IF(HR_Data[[#This Row],[Age]]&lt;=44,"35-44",IF(HR_Data[[#This Row],[Age]]&lt;=54,"45-54","55+"))))</f>
        <v>45-54</v>
      </c>
      <c r="AM1223" t="str">
        <f>IF(HR_Data[[#This Row],[MonthlyIncome]]&lt;3000,"Low Salary",IF(HR_Data[[#This Row],[MonthlyIncome]]&lt;=7000,"Medium Salary","High Salary"))</f>
        <v>High Salary</v>
      </c>
      <c r="AN1223" t="str">
        <f>IF(HR_Data[[#This Row],[YearsAtCompany]]&lt;2,"0-1 Years",IF(HR_Data[[#This Row],[YearsAtCompany]]&lt;=5,"2-5 Years",IF(HR_Data[[#This Row],[YearsAtCompany]]&lt;=10,"6-10 Years","10+ Years")))</f>
        <v>10+ Years</v>
      </c>
      <c r="AO1223" t="str">
        <f>IF(HR_Data[[#This Row],[JobSatisfaction]]=1,"Low",IF(HR_Data[[#This Row],[JobSatisfaction]]=2,"Medium",IF(HR_Data[[#This Row],[JobSatisfaction]]=3,"High","Very High")))</f>
        <v>High</v>
      </c>
      <c r="AP1223" t="str">
        <f>IF(HR_Data[[#This Row],[WorkLifeBalance]]=1,"Bad",IF(HR_Data[[#This Row],[WorkLifeBalance]]=2,"Good",IF(HR_Data[[#This Row],[WorkLifeBalance]]=3,"Better","Best")))</f>
        <v>Good</v>
      </c>
    </row>
    <row r="1224" spans="1:42"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IF(HR_Data[[#This Row],[Attrition]]="Yes",1,0)</f>
        <v>1</v>
      </c>
      <c r="AK1224">
        <f>IF(HR_Data[[#This Row],[Attrition]]="No",1,0)</f>
        <v>0</v>
      </c>
      <c r="AL1224" t="str">
        <f>IF(HR_Data[[#This Row],[Age]]&lt;25,"Under 25",IF(HR_Data[[#This Row],[Age]]&lt;=34,"25-34",IF(HR_Data[[#This Row],[Age]]&lt;=44,"35-44",IF(HR_Data[[#This Row],[Age]]&lt;=54,"45-54","55+"))))</f>
        <v>Under 25</v>
      </c>
      <c r="AM1224" t="str">
        <f>IF(HR_Data[[#This Row],[MonthlyIncome]]&lt;3000,"Low Salary",IF(HR_Data[[#This Row],[MonthlyIncome]]&lt;=7000,"Medium Salary","High Salary"))</f>
        <v>Low Salary</v>
      </c>
      <c r="AN1224" t="str">
        <f>IF(HR_Data[[#This Row],[YearsAtCompany]]&lt;2,"0-1 Years",IF(HR_Data[[#This Row],[YearsAtCompany]]&lt;=5,"2-5 Years",IF(HR_Data[[#This Row],[YearsAtCompany]]&lt;=10,"6-10 Years","10+ Years")))</f>
        <v>0-1 Years</v>
      </c>
      <c r="AO1224" t="str">
        <f>IF(HR_Data[[#This Row],[JobSatisfaction]]=1,"Low",IF(HR_Data[[#This Row],[JobSatisfaction]]=2,"Medium",IF(HR_Data[[#This Row],[JobSatisfaction]]=3,"High","Very High")))</f>
        <v>High</v>
      </c>
      <c r="AP1224" t="str">
        <f>IF(HR_Data[[#This Row],[WorkLifeBalance]]=1,"Bad",IF(HR_Data[[#This Row],[WorkLifeBalance]]=2,"Good",IF(HR_Data[[#This Row],[WorkLifeBalance]]=3,"Better","Best")))</f>
        <v>Better</v>
      </c>
    </row>
    <row r="1225" spans="1:42"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IF(HR_Data[[#This Row],[Attrition]]="Yes",1,0)</f>
        <v>1</v>
      </c>
      <c r="AK1225">
        <f>IF(HR_Data[[#This Row],[Attrition]]="No",1,0)</f>
        <v>0</v>
      </c>
      <c r="AL1225" t="str">
        <f>IF(HR_Data[[#This Row],[Age]]&lt;25,"Under 25",IF(HR_Data[[#This Row],[Age]]&lt;=34,"25-34",IF(HR_Data[[#This Row],[Age]]&lt;=44,"35-44",IF(HR_Data[[#This Row],[Age]]&lt;=54,"45-54","55+"))))</f>
        <v>45-54</v>
      </c>
      <c r="AM1225" t="str">
        <f>IF(HR_Data[[#This Row],[MonthlyIncome]]&lt;3000,"Low Salary",IF(HR_Data[[#This Row],[MonthlyIncome]]&lt;=7000,"Medium Salary","High Salary"))</f>
        <v>High Salary</v>
      </c>
      <c r="AN1225" t="str">
        <f>IF(HR_Data[[#This Row],[YearsAtCompany]]&lt;2,"0-1 Years",IF(HR_Data[[#This Row],[YearsAtCompany]]&lt;=5,"2-5 Years",IF(HR_Data[[#This Row],[YearsAtCompany]]&lt;=10,"6-10 Years","10+ Years")))</f>
        <v>10+ Years</v>
      </c>
      <c r="AO1225" t="str">
        <f>IF(HR_Data[[#This Row],[JobSatisfaction]]=1,"Low",IF(HR_Data[[#This Row],[JobSatisfaction]]=2,"Medium",IF(HR_Data[[#This Row],[JobSatisfaction]]=3,"High","Very High")))</f>
        <v>High</v>
      </c>
      <c r="AP1225" t="str">
        <f>IF(HR_Data[[#This Row],[WorkLifeBalance]]=1,"Bad",IF(HR_Data[[#This Row],[WorkLifeBalance]]=2,"Good",IF(HR_Data[[#This Row],[WorkLifeBalance]]=3,"Better","Best")))</f>
        <v>Bad</v>
      </c>
    </row>
    <row r="1226" spans="1:42"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IF(HR_Data[[#This Row],[Attrition]]="Yes",1,0)</f>
        <v>0</v>
      </c>
      <c r="AK1226">
        <f>IF(HR_Data[[#This Row],[Attrition]]="No",1,0)</f>
        <v>1</v>
      </c>
      <c r="AL1226" t="str">
        <f>IF(HR_Data[[#This Row],[Age]]&lt;25,"Under 25",IF(HR_Data[[#This Row],[Age]]&lt;=34,"25-34",IF(HR_Data[[#This Row],[Age]]&lt;=44,"35-44",IF(HR_Data[[#This Row],[Age]]&lt;=54,"45-54","55+"))))</f>
        <v>25-34</v>
      </c>
      <c r="AM1226" t="str">
        <f>IF(HR_Data[[#This Row],[MonthlyIncome]]&lt;3000,"Low Salary",IF(HR_Data[[#This Row],[MonthlyIncome]]&lt;=7000,"Medium Salary","High Salary"))</f>
        <v>Low Salary</v>
      </c>
      <c r="AN1226" t="str">
        <f>IF(HR_Data[[#This Row],[YearsAtCompany]]&lt;2,"0-1 Years",IF(HR_Data[[#This Row],[YearsAtCompany]]&lt;=5,"2-5 Years",IF(HR_Data[[#This Row],[YearsAtCompany]]&lt;=10,"6-10 Years","10+ Years")))</f>
        <v>2-5 Years</v>
      </c>
      <c r="AO1226" t="str">
        <f>IF(HR_Data[[#This Row],[JobSatisfaction]]=1,"Low",IF(HR_Data[[#This Row],[JobSatisfaction]]=2,"Medium",IF(HR_Data[[#This Row],[JobSatisfaction]]=3,"High","Very High")))</f>
        <v>High</v>
      </c>
      <c r="AP1226" t="str">
        <f>IF(HR_Data[[#This Row],[WorkLifeBalance]]=1,"Bad",IF(HR_Data[[#This Row],[WorkLifeBalance]]=2,"Good",IF(HR_Data[[#This Row],[WorkLifeBalance]]=3,"Better","Best")))</f>
        <v>Best</v>
      </c>
    </row>
    <row r="1227" spans="1:42"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IF(HR_Data[[#This Row],[Attrition]]="Yes",1,0)</f>
        <v>0</v>
      </c>
      <c r="AK1227">
        <f>IF(HR_Data[[#This Row],[Attrition]]="No",1,0)</f>
        <v>1</v>
      </c>
      <c r="AL1227" t="str">
        <f>IF(HR_Data[[#This Row],[Age]]&lt;25,"Under 25",IF(HR_Data[[#This Row],[Age]]&lt;=34,"25-34",IF(HR_Data[[#This Row],[Age]]&lt;=44,"35-44",IF(HR_Data[[#This Row],[Age]]&lt;=54,"45-54","55+"))))</f>
        <v>45-54</v>
      </c>
      <c r="AM1227" t="str">
        <f>IF(HR_Data[[#This Row],[MonthlyIncome]]&lt;3000,"Low Salary",IF(HR_Data[[#This Row],[MonthlyIncome]]&lt;=7000,"Medium Salary","High Salary"))</f>
        <v>High Salary</v>
      </c>
      <c r="AN1227" t="str">
        <f>IF(HR_Data[[#This Row],[YearsAtCompany]]&lt;2,"0-1 Years",IF(HR_Data[[#This Row],[YearsAtCompany]]&lt;=5,"2-5 Years",IF(HR_Data[[#This Row],[YearsAtCompany]]&lt;=10,"6-10 Years","10+ Years")))</f>
        <v>10+ Years</v>
      </c>
      <c r="AO1227" t="str">
        <f>IF(HR_Data[[#This Row],[JobSatisfaction]]=1,"Low",IF(HR_Data[[#This Row],[JobSatisfaction]]=2,"Medium",IF(HR_Data[[#This Row],[JobSatisfaction]]=3,"High","Very High")))</f>
        <v>Medium</v>
      </c>
      <c r="AP1227" t="str">
        <f>IF(HR_Data[[#This Row],[WorkLifeBalance]]=1,"Bad",IF(HR_Data[[#This Row],[WorkLifeBalance]]=2,"Good",IF(HR_Data[[#This Row],[WorkLifeBalance]]=3,"Better","Best")))</f>
        <v>Better</v>
      </c>
    </row>
    <row r="1228" spans="1:42"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IF(HR_Data[[#This Row],[Attrition]]="Yes",1,0)</f>
        <v>0</v>
      </c>
      <c r="AK1228">
        <f>IF(HR_Data[[#This Row],[Attrition]]="No",1,0)</f>
        <v>1</v>
      </c>
      <c r="AL1228" t="str">
        <f>IF(HR_Data[[#This Row],[Age]]&lt;25,"Under 25",IF(HR_Data[[#This Row],[Age]]&lt;=34,"25-34",IF(HR_Data[[#This Row],[Age]]&lt;=44,"35-44",IF(HR_Data[[#This Row],[Age]]&lt;=54,"45-54","55+"))))</f>
        <v>25-34</v>
      </c>
      <c r="AM1228" t="str">
        <f>IF(HR_Data[[#This Row],[MonthlyIncome]]&lt;3000,"Low Salary",IF(HR_Data[[#This Row],[MonthlyIncome]]&lt;=7000,"Medium Salary","High Salary"))</f>
        <v>Medium Salary</v>
      </c>
      <c r="AN1228" t="str">
        <f>IF(HR_Data[[#This Row],[YearsAtCompany]]&lt;2,"0-1 Years",IF(HR_Data[[#This Row],[YearsAtCompany]]&lt;=5,"2-5 Years",IF(HR_Data[[#This Row],[YearsAtCompany]]&lt;=10,"6-10 Years","10+ Years")))</f>
        <v>2-5 Years</v>
      </c>
      <c r="AO1228" t="str">
        <f>IF(HR_Data[[#This Row],[JobSatisfaction]]=1,"Low",IF(HR_Data[[#This Row],[JobSatisfaction]]=2,"Medium",IF(HR_Data[[#This Row],[JobSatisfaction]]=3,"High","Very High")))</f>
        <v>High</v>
      </c>
      <c r="AP1228" t="str">
        <f>IF(HR_Data[[#This Row],[WorkLifeBalance]]=1,"Bad",IF(HR_Data[[#This Row],[WorkLifeBalance]]=2,"Good",IF(HR_Data[[#This Row],[WorkLifeBalance]]=3,"Better","Best")))</f>
        <v>Good</v>
      </c>
    </row>
    <row r="1229" spans="1:42"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IF(HR_Data[[#This Row],[Attrition]]="Yes",1,0)</f>
        <v>0</v>
      </c>
      <c r="AK1229">
        <f>IF(HR_Data[[#This Row],[Attrition]]="No",1,0)</f>
        <v>1</v>
      </c>
      <c r="AL1229" t="str">
        <f>IF(HR_Data[[#This Row],[Age]]&lt;25,"Under 25",IF(HR_Data[[#This Row],[Age]]&lt;=34,"25-34",IF(HR_Data[[#This Row],[Age]]&lt;=44,"35-44",IF(HR_Data[[#This Row],[Age]]&lt;=54,"45-54","55+"))))</f>
        <v>25-34</v>
      </c>
      <c r="AM1229" t="str">
        <f>IF(HR_Data[[#This Row],[MonthlyIncome]]&lt;3000,"Low Salary",IF(HR_Data[[#This Row],[MonthlyIncome]]&lt;=7000,"Medium Salary","High Salary"))</f>
        <v>Medium Salary</v>
      </c>
      <c r="AN1229" t="str">
        <f>IF(HR_Data[[#This Row],[YearsAtCompany]]&lt;2,"0-1 Years",IF(HR_Data[[#This Row],[YearsAtCompany]]&lt;=5,"2-5 Years",IF(HR_Data[[#This Row],[YearsAtCompany]]&lt;=10,"6-10 Years","10+ Years")))</f>
        <v>2-5 Years</v>
      </c>
      <c r="AO1229" t="str">
        <f>IF(HR_Data[[#This Row],[JobSatisfaction]]=1,"Low",IF(HR_Data[[#This Row],[JobSatisfaction]]=2,"Medium",IF(HR_Data[[#This Row],[JobSatisfaction]]=3,"High","Very High")))</f>
        <v>High</v>
      </c>
      <c r="AP1229" t="str">
        <f>IF(HR_Data[[#This Row],[WorkLifeBalance]]=1,"Bad",IF(HR_Data[[#This Row],[WorkLifeBalance]]=2,"Good",IF(HR_Data[[#This Row],[WorkLifeBalance]]=3,"Better","Best")))</f>
        <v>Best</v>
      </c>
    </row>
    <row r="1230" spans="1:42"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IF(HR_Data[[#This Row],[Attrition]]="Yes",1,0)</f>
        <v>0</v>
      </c>
      <c r="AK1230">
        <f>IF(HR_Data[[#This Row],[Attrition]]="No",1,0)</f>
        <v>1</v>
      </c>
      <c r="AL1230" t="str">
        <f>IF(HR_Data[[#This Row],[Age]]&lt;25,"Under 25",IF(HR_Data[[#This Row],[Age]]&lt;=34,"25-34",IF(HR_Data[[#This Row],[Age]]&lt;=44,"35-44",IF(HR_Data[[#This Row],[Age]]&lt;=54,"45-54","55+"))))</f>
        <v>35-44</v>
      </c>
      <c r="AM1230" t="str">
        <f>IF(HR_Data[[#This Row],[MonthlyIncome]]&lt;3000,"Low Salary",IF(HR_Data[[#This Row],[MonthlyIncome]]&lt;=7000,"Medium Salary","High Salary"))</f>
        <v>Medium Salary</v>
      </c>
      <c r="AN1230" t="str">
        <f>IF(HR_Data[[#This Row],[YearsAtCompany]]&lt;2,"0-1 Years",IF(HR_Data[[#This Row],[YearsAtCompany]]&lt;=5,"2-5 Years",IF(HR_Data[[#This Row],[YearsAtCompany]]&lt;=10,"6-10 Years","10+ Years")))</f>
        <v>2-5 Years</v>
      </c>
      <c r="AO1230" t="str">
        <f>IF(HR_Data[[#This Row],[JobSatisfaction]]=1,"Low",IF(HR_Data[[#This Row],[JobSatisfaction]]=2,"Medium",IF(HR_Data[[#This Row],[JobSatisfaction]]=3,"High","Very High")))</f>
        <v>Medium</v>
      </c>
      <c r="AP1230" t="str">
        <f>IF(HR_Data[[#This Row],[WorkLifeBalance]]=1,"Bad",IF(HR_Data[[#This Row],[WorkLifeBalance]]=2,"Good",IF(HR_Data[[#This Row],[WorkLifeBalance]]=3,"Better","Best")))</f>
        <v>Better</v>
      </c>
    </row>
    <row r="1231" spans="1:42"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IF(HR_Data[[#This Row],[Attrition]]="Yes",1,0)</f>
        <v>0</v>
      </c>
      <c r="AK1231">
        <f>IF(HR_Data[[#This Row],[Attrition]]="No",1,0)</f>
        <v>1</v>
      </c>
      <c r="AL1231" t="str">
        <f>IF(HR_Data[[#This Row],[Age]]&lt;25,"Under 25",IF(HR_Data[[#This Row],[Age]]&lt;=34,"25-34",IF(HR_Data[[#This Row],[Age]]&lt;=44,"35-44",IF(HR_Data[[#This Row],[Age]]&lt;=54,"45-54","55+"))))</f>
        <v>35-44</v>
      </c>
      <c r="AM1231" t="str">
        <f>IF(HR_Data[[#This Row],[MonthlyIncome]]&lt;3000,"Low Salary",IF(HR_Data[[#This Row],[MonthlyIncome]]&lt;=7000,"Medium Salary","High Salary"))</f>
        <v>Medium Salary</v>
      </c>
      <c r="AN1231" t="str">
        <f>IF(HR_Data[[#This Row],[YearsAtCompany]]&lt;2,"0-1 Years",IF(HR_Data[[#This Row],[YearsAtCompany]]&lt;=5,"2-5 Years",IF(HR_Data[[#This Row],[YearsAtCompany]]&lt;=10,"6-10 Years","10+ Years")))</f>
        <v>0-1 Years</v>
      </c>
      <c r="AO1231" t="str">
        <f>IF(HR_Data[[#This Row],[JobSatisfaction]]=1,"Low",IF(HR_Data[[#This Row],[JobSatisfaction]]=2,"Medium",IF(HR_Data[[#This Row],[JobSatisfaction]]=3,"High","Very High")))</f>
        <v>Low</v>
      </c>
      <c r="AP1231" t="str">
        <f>IF(HR_Data[[#This Row],[WorkLifeBalance]]=1,"Bad",IF(HR_Data[[#This Row],[WorkLifeBalance]]=2,"Good",IF(HR_Data[[#This Row],[WorkLifeBalance]]=3,"Better","Best")))</f>
        <v>Better</v>
      </c>
    </row>
    <row r="1232" spans="1:42"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IF(HR_Data[[#This Row],[Attrition]]="Yes",1,0)</f>
        <v>0</v>
      </c>
      <c r="AK1232">
        <f>IF(HR_Data[[#This Row],[Attrition]]="No",1,0)</f>
        <v>1</v>
      </c>
      <c r="AL1232" t="str">
        <f>IF(HR_Data[[#This Row],[Age]]&lt;25,"Under 25",IF(HR_Data[[#This Row],[Age]]&lt;=34,"25-34",IF(HR_Data[[#This Row],[Age]]&lt;=44,"35-44",IF(HR_Data[[#This Row],[Age]]&lt;=54,"45-54","55+"))))</f>
        <v>Under 25</v>
      </c>
      <c r="AM1232" t="str">
        <f>IF(HR_Data[[#This Row],[MonthlyIncome]]&lt;3000,"Low Salary",IF(HR_Data[[#This Row],[MonthlyIncome]]&lt;=7000,"Medium Salary","High Salary"))</f>
        <v>Medium Salary</v>
      </c>
      <c r="AN1232" t="str">
        <f>IF(HR_Data[[#This Row],[YearsAtCompany]]&lt;2,"0-1 Years",IF(HR_Data[[#This Row],[YearsAtCompany]]&lt;=5,"2-5 Years",IF(HR_Data[[#This Row],[YearsAtCompany]]&lt;=10,"6-10 Years","10+ Years")))</f>
        <v>6-10 Years</v>
      </c>
      <c r="AO1232" t="str">
        <f>IF(HR_Data[[#This Row],[JobSatisfaction]]=1,"Low",IF(HR_Data[[#This Row],[JobSatisfaction]]=2,"Medium",IF(HR_Data[[#This Row],[JobSatisfaction]]=3,"High","Very High")))</f>
        <v>Low</v>
      </c>
      <c r="AP1232" t="str">
        <f>IF(HR_Data[[#This Row],[WorkLifeBalance]]=1,"Bad",IF(HR_Data[[#This Row],[WorkLifeBalance]]=2,"Good",IF(HR_Data[[#This Row],[WorkLifeBalance]]=3,"Better","Best")))</f>
        <v>Best</v>
      </c>
    </row>
    <row r="1233" spans="1:42"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IF(HR_Data[[#This Row],[Attrition]]="Yes",1,0)</f>
        <v>0</v>
      </c>
      <c r="AK1233">
        <f>IF(HR_Data[[#This Row],[Attrition]]="No",1,0)</f>
        <v>1</v>
      </c>
      <c r="AL1233" t="str">
        <f>IF(HR_Data[[#This Row],[Age]]&lt;25,"Under 25",IF(HR_Data[[#This Row],[Age]]&lt;=34,"25-34",IF(HR_Data[[#This Row],[Age]]&lt;=44,"35-44",IF(HR_Data[[#This Row],[Age]]&lt;=54,"45-54","55+"))))</f>
        <v>45-54</v>
      </c>
      <c r="AM1233" t="str">
        <f>IF(HR_Data[[#This Row],[MonthlyIncome]]&lt;3000,"Low Salary",IF(HR_Data[[#This Row],[MonthlyIncome]]&lt;=7000,"Medium Salary","High Salary"))</f>
        <v>Medium Salary</v>
      </c>
      <c r="AN1233" t="str">
        <f>IF(HR_Data[[#This Row],[YearsAtCompany]]&lt;2,"0-1 Years",IF(HR_Data[[#This Row],[YearsAtCompany]]&lt;=5,"2-5 Years",IF(HR_Data[[#This Row],[YearsAtCompany]]&lt;=10,"6-10 Years","10+ Years")))</f>
        <v>6-10 Years</v>
      </c>
      <c r="AO1233" t="str">
        <f>IF(HR_Data[[#This Row],[JobSatisfaction]]=1,"Low",IF(HR_Data[[#This Row],[JobSatisfaction]]=2,"Medium",IF(HR_Data[[#This Row],[JobSatisfaction]]=3,"High","Very High")))</f>
        <v>Medium</v>
      </c>
      <c r="AP1233" t="str">
        <f>IF(HR_Data[[#This Row],[WorkLifeBalance]]=1,"Bad",IF(HR_Data[[#This Row],[WorkLifeBalance]]=2,"Good",IF(HR_Data[[#This Row],[WorkLifeBalance]]=3,"Better","Best")))</f>
        <v>Better</v>
      </c>
    </row>
    <row r="1234" spans="1:42"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IF(HR_Data[[#This Row],[Attrition]]="Yes",1,0)</f>
        <v>0</v>
      </c>
      <c r="AK1234">
        <f>IF(HR_Data[[#This Row],[Attrition]]="No",1,0)</f>
        <v>1</v>
      </c>
      <c r="AL1234" t="str">
        <f>IF(HR_Data[[#This Row],[Age]]&lt;25,"Under 25",IF(HR_Data[[#This Row],[Age]]&lt;=34,"25-34",IF(HR_Data[[#This Row],[Age]]&lt;=44,"35-44",IF(HR_Data[[#This Row],[Age]]&lt;=54,"45-54","55+"))))</f>
        <v>35-44</v>
      </c>
      <c r="AM1234" t="str">
        <f>IF(HR_Data[[#This Row],[MonthlyIncome]]&lt;3000,"Low Salary",IF(HR_Data[[#This Row],[MonthlyIncome]]&lt;=7000,"Medium Salary","High Salary"))</f>
        <v>Medium Salary</v>
      </c>
      <c r="AN1234" t="str">
        <f>IF(HR_Data[[#This Row],[YearsAtCompany]]&lt;2,"0-1 Years",IF(HR_Data[[#This Row],[YearsAtCompany]]&lt;=5,"2-5 Years",IF(HR_Data[[#This Row],[YearsAtCompany]]&lt;=10,"6-10 Years","10+ Years")))</f>
        <v>6-10 Years</v>
      </c>
      <c r="AO1234" t="str">
        <f>IF(HR_Data[[#This Row],[JobSatisfaction]]=1,"Low",IF(HR_Data[[#This Row],[JobSatisfaction]]=2,"Medium",IF(HR_Data[[#This Row],[JobSatisfaction]]=3,"High","Very High")))</f>
        <v>High</v>
      </c>
      <c r="AP1234" t="str">
        <f>IF(HR_Data[[#This Row],[WorkLifeBalance]]=1,"Bad",IF(HR_Data[[#This Row],[WorkLifeBalance]]=2,"Good",IF(HR_Data[[#This Row],[WorkLifeBalance]]=3,"Better","Best")))</f>
        <v>Better</v>
      </c>
    </row>
    <row r="1235" spans="1:42"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IF(HR_Data[[#This Row],[Attrition]]="Yes",1,0)</f>
        <v>0</v>
      </c>
      <c r="AK1235">
        <f>IF(HR_Data[[#This Row],[Attrition]]="No",1,0)</f>
        <v>1</v>
      </c>
      <c r="AL1235" t="str">
        <f>IF(HR_Data[[#This Row],[Age]]&lt;25,"Under 25",IF(HR_Data[[#This Row],[Age]]&lt;=34,"25-34",IF(HR_Data[[#This Row],[Age]]&lt;=44,"35-44",IF(HR_Data[[#This Row],[Age]]&lt;=54,"45-54","55+"))))</f>
        <v>25-34</v>
      </c>
      <c r="AM1235" t="str">
        <f>IF(HR_Data[[#This Row],[MonthlyIncome]]&lt;3000,"Low Salary",IF(HR_Data[[#This Row],[MonthlyIncome]]&lt;=7000,"Medium Salary","High Salary"))</f>
        <v>Low Salary</v>
      </c>
      <c r="AN1235" t="str">
        <f>IF(HR_Data[[#This Row],[YearsAtCompany]]&lt;2,"0-1 Years",IF(HR_Data[[#This Row],[YearsAtCompany]]&lt;=5,"2-5 Years",IF(HR_Data[[#This Row],[YearsAtCompany]]&lt;=10,"6-10 Years","10+ Years")))</f>
        <v>6-10 Years</v>
      </c>
      <c r="AO1235" t="str">
        <f>IF(HR_Data[[#This Row],[JobSatisfaction]]=1,"Low",IF(HR_Data[[#This Row],[JobSatisfaction]]=2,"Medium",IF(HR_Data[[#This Row],[JobSatisfaction]]=3,"High","Very High")))</f>
        <v>Very High</v>
      </c>
      <c r="AP1235" t="str">
        <f>IF(HR_Data[[#This Row],[WorkLifeBalance]]=1,"Bad",IF(HR_Data[[#This Row],[WorkLifeBalance]]=2,"Good",IF(HR_Data[[#This Row],[WorkLifeBalance]]=3,"Better","Best")))</f>
        <v>Good</v>
      </c>
    </row>
    <row r="1236" spans="1:42"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IF(HR_Data[[#This Row],[Attrition]]="Yes",1,0)</f>
        <v>0</v>
      </c>
      <c r="AK1236">
        <f>IF(HR_Data[[#This Row],[Attrition]]="No",1,0)</f>
        <v>1</v>
      </c>
      <c r="AL1236" t="str">
        <f>IF(HR_Data[[#This Row],[Age]]&lt;25,"Under 25",IF(HR_Data[[#This Row],[Age]]&lt;=34,"25-34",IF(HR_Data[[#This Row],[Age]]&lt;=44,"35-44",IF(HR_Data[[#This Row],[Age]]&lt;=54,"45-54","55+"))))</f>
        <v>45-54</v>
      </c>
      <c r="AM1236" t="str">
        <f>IF(HR_Data[[#This Row],[MonthlyIncome]]&lt;3000,"Low Salary",IF(HR_Data[[#This Row],[MonthlyIncome]]&lt;=7000,"Medium Salary","High Salary"))</f>
        <v>Medium Salary</v>
      </c>
      <c r="AN1236" t="str">
        <f>IF(HR_Data[[#This Row],[YearsAtCompany]]&lt;2,"0-1 Years",IF(HR_Data[[#This Row],[YearsAtCompany]]&lt;=5,"2-5 Years",IF(HR_Data[[#This Row],[YearsAtCompany]]&lt;=10,"6-10 Years","10+ Years")))</f>
        <v>0-1 Years</v>
      </c>
      <c r="AO1236" t="str">
        <f>IF(HR_Data[[#This Row],[JobSatisfaction]]=1,"Low",IF(HR_Data[[#This Row],[JobSatisfaction]]=2,"Medium",IF(HR_Data[[#This Row],[JobSatisfaction]]=3,"High","Very High")))</f>
        <v>Medium</v>
      </c>
      <c r="AP1236" t="str">
        <f>IF(HR_Data[[#This Row],[WorkLifeBalance]]=1,"Bad",IF(HR_Data[[#This Row],[WorkLifeBalance]]=2,"Good",IF(HR_Data[[#This Row],[WorkLifeBalance]]=3,"Better","Best")))</f>
        <v>Bad</v>
      </c>
    </row>
    <row r="1237" spans="1:42"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IF(HR_Data[[#This Row],[Attrition]]="Yes",1,0)</f>
        <v>0</v>
      </c>
      <c r="AK1237">
        <f>IF(HR_Data[[#This Row],[Attrition]]="No",1,0)</f>
        <v>1</v>
      </c>
      <c r="AL1237" t="str">
        <f>IF(HR_Data[[#This Row],[Age]]&lt;25,"Under 25",IF(HR_Data[[#This Row],[Age]]&lt;=34,"25-34",IF(HR_Data[[#This Row],[Age]]&lt;=44,"35-44",IF(HR_Data[[#This Row],[Age]]&lt;=54,"45-54","55+"))))</f>
        <v>45-54</v>
      </c>
      <c r="AM1237" t="str">
        <f>IF(HR_Data[[#This Row],[MonthlyIncome]]&lt;3000,"Low Salary",IF(HR_Data[[#This Row],[MonthlyIncome]]&lt;=7000,"Medium Salary","High Salary"))</f>
        <v>High Salary</v>
      </c>
      <c r="AN1237" t="str">
        <f>IF(HR_Data[[#This Row],[YearsAtCompany]]&lt;2,"0-1 Years",IF(HR_Data[[#This Row],[YearsAtCompany]]&lt;=5,"2-5 Years",IF(HR_Data[[#This Row],[YearsAtCompany]]&lt;=10,"6-10 Years","10+ Years")))</f>
        <v>6-10 Years</v>
      </c>
      <c r="AO1237" t="str">
        <f>IF(HR_Data[[#This Row],[JobSatisfaction]]=1,"Low",IF(HR_Data[[#This Row],[JobSatisfaction]]=2,"Medium",IF(HR_Data[[#This Row],[JobSatisfaction]]=3,"High","Very High")))</f>
        <v>Very High</v>
      </c>
      <c r="AP1237" t="str">
        <f>IF(HR_Data[[#This Row],[WorkLifeBalance]]=1,"Bad",IF(HR_Data[[#This Row],[WorkLifeBalance]]=2,"Good",IF(HR_Data[[#This Row],[WorkLifeBalance]]=3,"Better","Best")))</f>
        <v>Good</v>
      </c>
    </row>
    <row r="1238" spans="1:42"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IF(HR_Data[[#This Row],[Attrition]]="Yes",1,0)</f>
        <v>1</v>
      </c>
      <c r="AK1238">
        <f>IF(HR_Data[[#This Row],[Attrition]]="No",1,0)</f>
        <v>0</v>
      </c>
      <c r="AL1238" t="str">
        <f>IF(HR_Data[[#This Row],[Age]]&lt;25,"Under 25",IF(HR_Data[[#This Row],[Age]]&lt;=34,"25-34",IF(HR_Data[[#This Row],[Age]]&lt;=44,"35-44",IF(HR_Data[[#This Row],[Age]]&lt;=54,"45-54","55+"))))</f>
        <v>35-44</v>
      </c>
      <c r="AM1238" t="str">
        <f>IF(HR_Data[[#This Row],[MonthlyIncome]]&lt;3000,"Low Salary",IF(HR_Data[[#This Row],[MonthlyIncome]]&lt;=7000,"Medium Salary","High Salary"))</f>
        <v>Medium Salary</v>
      </c>
      <c r="AN1238" t="str">
        <f>IF(HR_Data[[#This Row],[YearsAtCompany]]&lt;2,"0-1 Years",IF(HR_Data[[#This Row],[YearsAtCompany]]&lt;=5,"2-5 Years",IF(HR_Data[[#This Row],[YearsAtCompany]]&lt;=10,"6-10 Years","10+ Years")))</f>
        <v>2-5 Years</v>
      </c>
      <c r="AO1238" t="str">
        <f>IF(HR_Data[[#This Row],[JobSatisfaction]]=1,"Low",IF(HR_Data[[#This Row],[JobSatisfaction]]=2,"Medium",IF(HR_Data[[#This Row],[JobSatisfaction]]=3,"High","Very High")))</f>
        <v>Low</v>
      </c>
      <c r="AP1238" t="str">
        <f>IF(HR_Data[[#This Row],[WorkLifeBalance]]=1,"Bad",IF(HR_Data[[#This Row],[WorkLifeBalance]]=2,"Good",IF(HR_Data[[#This Row],[WorkLifeBalance]]=3,"Better","Best")))</f>
        <v>Better</v>
      </c>
    </row>
    <row r="1239" spans="1:42"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IF(HR_Data[[#This Row],[Attrition]]="Yes",1,0)</f>
        <v>1</v>
      </c>
      <c r="AK1239">
        <f>IF(HR_Data[[#This Row],[Attrition]]="No",1,0)</f>
        <v>0</v>
      </c>
      <c r="AL1239" t="str">
        <f>IF(HR_Data[[#This Row],[Age]]&lt;25,"Under 25",IF(HR_Data[[#This Row],[Age]]&lt;=34,"25-34",IF(HR_Data[[#This Row],[Age]]&lt;=44,"35-44",IF(HR_Data[[#This Row],[Age]]&lt;=54,"45-54","55+"))))</f>
        <v>25-34</v>
      </c>
      <c r="AM1239" t="str">
        <f>IF(HR_Data[[#This Row],[MonthlyIncome]]&lt;3000,"Low Salary",IF(HR_Data[[#This Row],[MonthlyIncome]]&lt;=7000,"Medium Salary","High Salary"))</f>
        <v>Medium Salary</v>
      </c>
      <c r="AN1239" t="str">
        <f>IF(HR_Data[[#This Row],[YearsAtCompany]]&lt;2,"0-1 Years",IF(HR_Data[[#This Row],[YearsAtCompany]]&lt;=5,"2-5 Years",IF(HR_Data[[#This Row],[YearsAtCompany]]&lt;=10,"6-10 Years","10+ Years")))</f>
        <v>0-1 Years</v>
      </c>
      <c r="AO1239" t="str">
        <f>IF(HR_Data[[#This Row],[JobSatisfaction]]=1,"Low",IF(HR_Data[[#This Row],[JobSatisfaction]]=2,"Medium",IF(HR_Data[[#This Row],[JobSatisfaction]]=3,"High","Very High")))</f>
        <v>Medium</v>
      </c>
      <c r="AP1239" t="str">
        <f>IF(HR_Data[[#This Row],[WorkLifeBalance]]=1,"Bad",IF(HR_Data[[#This Row],[WorkLifeBalance]]=2,"Good",IF(HR_Data[[#This Row],[WorkLifeBalance]]=3,"Better","Best")))</f>
        <v>Better</v>
      </c>
    </row>
    <row r="1240" spans="1:42"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IF(HR_Data[[#This Row],[Attrition]]="Yes",1,0)</f>
        <v>0</v>
      </c>
      <c r="AK1240">
        <f>IF(HR_Data[[#This Row],[Attrition]]="No",1,0)</f>
        <v>1</v>
      </c>
      <c r="AL1240" t="str">
        <f>IF(HR_Data[[#This Row],[Age]]&lt;25,"Under 25",IF(HR_Data[[#This Row],[Age]]&lt;=34,"25-34",IF(HR_Data[[#This Row],[Age]]&lt;=44,"35-44",IF(HR_Data[[#This Row],[Age]]&lt;=54,"45-54","55+"))))</f>
        <v>Under 25</v>
      </c>
      <c r="AM1240" t="str">
        <f>IF(HR_Data[[#This Row],[MonthlyIncome]]&lt;3000,"Low Salary",IF(HR_Data[[#This Row],[MonthlyIncome]]&lt;=7000,"Medium Salary","High Salary"))</f>
        <v>Medium Salary</v>
      </c>
      <c r="AN1240" t="str">
        <f>IF(HR_Data[[#This Row],[YearsAtCompany]]&lt;2,"0-1 Years",IF(HR_Data[[#This Row],[YearsAtCompany]]&lt;=5,"2-5 Years",IF(HR_Data[[#This Row],[YearsAtCompany]]&lt;=10,"6-10 Years","10+ Years")))</f>
        <v>2-5 Years</v>
      </c>
      <c r="AO1240" t="str">
        <f>IF(HR_Data[[#This Row],[JobSatisfaction]]=1,"Low",IF(HR_Data[[#This Row],[JobSatisfaction]]=2,"Medium",IF(HR_Data[[#This Row],[JobSatisfaction]]=3,"High","Very High")))</f>
        <v>Medium</v>
      </c>
      <c r="AP1240" t="str">
        <f>IF(HR_Data[[#This Row],[WorkLifeBalance]]=1,"Bad",IF(HR_Data[[#This Row],[WorkLifeBalance]]=2,"Good",IF(HR_Data[[#This Row],[WorkLifeBalance]]=3,"Better","Best")))</f>
        <v>Bad</v>
      </c>
    </row>
    <row r="1241" spans="1:42"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IF(HR_Data[[#This Row],[Attrition]]="Yes",1,0)</f>
        <v>0</v>
      </c>
      <c r="AK1241">
        <f>IF(HR_Data[[#This Row],[Attrition]]="No",1,0)</f>
        <v>1</v>
      </c>
      <c r="AL1241" t="str">
        <f>IF(HR_Data[[#This Row],[Age]]&lt;25,"Under 25",IF(HR_Data[[#This Row],[Age]]&lt;=34,"25-34",IF(HR_Data[[#This Row],[Age]]&lt;=44,"35-44",IF(HR_Data[[#This Row],[Age]]&lt;=54,"45-54","55+"))))</f>
        <v>25-34</v>
      </c>
      <c r="AM1241" t="str">
        <f>IF(HR_Data[[#This Row],[MonthlyIncome]]&lt;3000,"Low Salary",IF(HR_Data[[#This Row],[MonthlyIncome]]&lt;=7000,"Medium Salary","High Salary"))</f>
        <v>Medium Salary</v>
      </c>
      <c r="AN1241" t="str">
        <f>IF(HR_Data[[#This Row],[YearsAtCompany]]&lt;2,"0-1 Years",IF(HR_Data[[#This Row],[YearsAtCompany]]&lt;=5,"2-5 Years",IF(HR_Data[[#This Row],[YearsAtCompany]]&lt;=10,"6-10 Years","10+ Years")))</f>
        <v>2-5 Years</v>
      </c>
      <c r="AO1241" t="str">
        <f>IF(HR_Data[[#This Row],[JobSatisfaction]]=1,"Low",IF(HR_Data[[#This Row],[JobSatisfaction]]=2,"Medium",IF(HR_Data[[#This Row],[JobSatisfaction]]=3,"High","Very High")))</f>
        <v>Very High</v>
      </c>
      <c r="AP1241" t="str">
        <f>IF(HR_Data[[#This Row],[WorkLifeBalance]]=1,"Bad",IF(HR_Data[[#This Row],[WorkLifeBalance]]=2,"Good",IF(HR_Data[[#This Row],[WorkLifeBalance]]=3,"Better","Best")))</f>
        <v>Good</v>
      </c>
    </row>
    <row r="1242" spans="1:42"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IF(HR_Data[[#This Row],[Attrition]]="Yes",1,0)</f>
        <v>0</v>
      </c>
      <c r="AK1242">
        <f>IF(HR_Data[[#This Row],[Attrition]]="No",1,0)</f>
        <v>1</v>
      </c>
      <c r="AL1242" t="str">
        <f>IF(HR_Data[[#This Row],[Age]]&lt;25,"Under 25",IF(HR_Data[[#This Row],[Age]]&lt;=34,"25-34",IF(HR_Data[[#This Row],[Age]]&lt;=44,"35-44",IF(HR_Data[[#This Row],[Age]]&lt;=54,"45-54","55+"))))</f>
        <v>35-44</v>
      </c>
      <c r="AM1242" t="str">
        <f>IF(HR_Data[[#This Row],[MonthlyIncome]]&lt;3000,"Low Salary",IF(HR_Data[[#This Row],[MonthlyIncome]]&lt;=7000,"Medium Salary","High Salary"))</f>
        <v>Medium Salary</v>
      </c>
      <c r="AN1242" t="str">
        <f>IF(HR_Data[[#This Row],[YearsAtCompany]]&lt;2,"0-1 Years",IF(HR_Data[[#This Row],[YearsAtCompany]]&lt;=5,"2-5 Years",IF(HR_Data[[#This Row],[YearsAtCompany]]&lt;=10,"6-10 Years","10+ Years")))</f>
        <v>6-10 Years</v>
      </c>
      <c r="AO1242" t="str">
        <f>IF(HR_Data[[#This Row],[JobSatisfaction]]=1,"Low",IF(HR_Data[[#This Row],[JobSatisfaction]]=2,"Medium",IF(HR_Data[[#This Row],[JobSatisfaction]]=3,"High","Very High")))</f>
        <v>Very High</v>
      </c>
      <c r="AP1242" t="str">
        <f>IF(HR_Data[[#This Row],[WorkLifeBalance]]=1,"Bad",IF(HR_Data[[#This Row],[WorkLifeBalance]]=2,"Good",IF(HR_Data[[#This Row],[WorkLifeBalance]]=3,"Better","Best")))</f>
        <v>Better</v>
      </c>
    </row>
    <row r="1243" spans="1:42"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IF(HR_Data[[#This Row],[Attrition]]="Yes",1,0)</f>
        <v>0</v>
      </c>
      <c r="AK1243">
        <f>IF(HR_Data[[#This Row],[Attrition]]="No",1,0)</f>
        <v>1</v>
      </c>
      <c r="AL1243" t="str">
        <f>IF(HR_Data[[#This Row],[Age]]&lt;25,"Under 25",IF(HR_Data[[#This Row],[Age]]&lt;=34,"25-34",IF(HR_Data[[#This Row],[Age]]&lt;=44,"35-44",IF(HR_Data[[#This Row],[Age]]&lt;=54,"45-54","55+"))))</f>
        <v>25-34</v>
      </c>
      <c r="AM1243" t="str">
        <f>IF(HR_Data[[#This Row],[MonthlyIncome]]&lt;3000,"Low Salary",IF(HR_Data[[#This Row],[MonthlyIncome]]&lt;=7000,"Medium Salary","High Salary"))</f>
        <v>High Salary</v>
      </c>
      <c r="AN1243" t="str">
        <f>IF(HR_Data[[#This Row],[YearsAtCompany]]&lt;2,"0-1 Years",IF(HR_Data[[#This Row],[YearsAtCompany]]&lt;=5,"2-5 Years",IF(HR_Data[[#This Row],[YearsAtCompany]]&lt;=10,"6-10 Years","10+ Years")))</f>
        <v>2-5 Years</v>
      </c>
      <c r="AO1243" t="str">
        <f>IF(HR_Data[[#This Row],[JobSatisfaction]]=1,"Low",IF(HR_Data[[#This Row],[JobSatisfaction]]=2,"Medium",IF(HR_Data[[#This Row],[JobSatisfaction]]=3,"High","Very High")))</f>
        <v>High</v>
      </c>
      <c r="AP1243" t="str">
        <f>IF(HR_Data[[#This Row],[WorkLifeBalance]]=1,"Bad",IF(HR_Data[[#This Row],[WorkLifeBalance]]=2,"Good",IF(HR_Data[[#This Row],[WorkLifeBalance]]=3,"Better","Best")))</f>
        <v>Bad</v>
      </c>
    </row>
    <row r="1244" spans="1:42"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IF(HR_Data[[#This Row],[Attrition]]="Yes",1,0)</f>
        <v>0</v>
      </c>
      <c r="AK1244">
        <f>IF(HR_Data[[#This Row],[Attrition]]="No",1,0)</f>
        <v>1</v>
      </c>
      <c r="AL1244" t="str">
        <f>IF(HR_Data[[#This Row],[Age]]&lt;25,"Under 25",IF(HR_Data[[#This Row],[Age]]&lt;=34,"25-34",IF(HR_Data[[#This Row],[Age]]&lt;=44,"35-44",IF(HR_Data[[#This Row],[Age]]&lt;=54,"45-54","55+"))))</f>
        <v>35-44</v>
      </c>
      <c r="AM1244" t="str">
        <f>IF(HR_Data[[#This Row],[MonthlyIncome]]&lt;3000,"Low Salary",IF(HR_Data[[#This Row],[MonthlyIncome]]&lt;=7000,"Medium Salary","High Salary"))</f>
        <v>High Salary</v>
      </c>
      <c r="AN1244" t="str">
        <f>IF(HR_Data[[#This Row],[YearsAtCompany]]&lt;2,"0-1 Years",IF(HR_Data[[#This Row],[YearsAtCompany]]&lt;=5,"2-5 Years",IF(HR_Data[[#This Row],[YearsAtCompany]]&lt;=10,"6-10 Years","10+ Years")))</f>
        <v>10+ Years</v>
      </c>
      <c r="AO1244" t="str">
        <f>IF(HR_Data[[#This Row],[JobSatisfaction]]=1,"Low",IF(HR_Data[[#This Row],[JobSatisfaction]]=2,"Medium",IF(HR_Data[[#This Row],[JobSatisfaction]]=3,"High","Very High")))</f>
        <v>Medium</v>
      </c>
      <c r="AP1244" t="str">
        <f>IF(HR_Data[[#This Row],[WorkLifeBalance]]=1,"Bad",IF(HR_Data[[#This Row],[WorkLifeBalance]]=2,"Good",IF(HR_Data[[#This Row],[WorkLifeBalance]]=3,"Better","Best")))</f>
        <v>Good</v>
      </c>
    </row>
    <row r="1245" spans="1:42"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IF(HR_Data[[#This Row],[Attrition]]="Yes",1,0)</f>
        <v>0</v>
      </c>
      <c r="AK1245">
        <f>IF(HR_Data[[#This Row],[Attrition]]="No",1,0)</f>
        <v>1</v>
      </c>
      <c r="AL1245" t="str">
        <f>IF(HR_Data[[#This Row],[Age]]&lt;25,"Under 25",IF(HR_Data[[#This Row],[Age]]&lt;=34,"25-34",IF(HR_Data[[#This Row],[Age]]&lt;=44,"35-44",IF(HR_Data[[#This Row],[Age]]&lt;=54,"45-54","55+"))))</f>
        <v>45-54</v>
      </c>
      <c r="AM1245" t="str">
        <f>IF(HR_Data[[#This Row],[MonthlyIncome]]&lt;3000,"Low Salary",IF(HR_Data[[#This Row],[MonthlyIncome]]&lt;=7000,"Medium Salary","High Salary"))</f>
        <v>High Salary</v>
      </c>
      <c r="AN1245" t="str">
        <f>IF(HR_Data[[#This Row],[YearsAtCompany]]&lt;2,"0-1 Years",IF(HR_Data[[#This Row],[YearsAtCompany]]&lt;=5,"2-5 Years",IF(HR_Data[[#This Row],[YearsAtCompany]]&lt;=10,"6-10 Years","10+ Years")))</f>
        <v>2-5 Years</v>
      </c>
      <c r="AO1245" t="str">
        <f>IF(HR_Data[[#This Row],[JobSatisfaction]]=1,"Low",IF(HR_Data[[#This Row],[JobSatisfaction]]=2,"Medium",IF(HR_Data[[#This Row],[JobSatisfaction]]=3,"High","Very High")))</f>
        <v>High</v>
      </c>
      <c r="AP1245" t="str">
        <f>IF(HR_Data[[#This Row],[WorkLifeBalance]]=1,"Bad",IF(HR_Data[[#This Row],[WorkLifeBalance]]=2,"Good",IF(HR_Data[[#This Row],[WorkLifeBalance]]=3,"Better","Best")))</f>
        <v>Best</v>
      </c>
    </row>
    <row r="1246" spans="1:42"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IF(HR_Data[[#This Row],[Attrition]]="Yes",1,0)</f>
        <v>0</v>
      </c>
      <c r="AK1246">
        <f>IF(HR_Data[[#This Row],[Attrition]]="No",1,0)</f>
        <v>1</v>
      </c>
      <c r="AL1246" t="str">
        <f>IF(HR_Data[[#This Row],[Age]]&lt;25,"Under 25",IF(HR_Data[[#This Row],[Age]]&lt;=34,"25-34",IF(HR_Data[[#This Row],[Age]]&lt;=44,"35-44",IF(HR_Data[[#This Row],[Age]]&lt;=54,"45-54","55+"))))</f>
        <v>25-34</v>
      </c>
      <c r="AM1246" t="str">
        <f>IF(HR_Data[[#This Row],[MonthlyIncome]]&lt;3000,"Low Salary",IF(HR_Data[[#This Row],[MonthlyIncome]]&lt;=7000,"Medium Salary","High Salary"))</f>
        <v>Medium Salary</v>
      </c>
      <c r="AN1246" t="str">
        <f>IF(HR_Data[[#This Row],[YearsAtCompany]]&lt;2,"0-1 Years",IF(HR_Data[[#This Row],[YearsAtCompany]]&lt;=5,"2-5 Years",IF(HR_Data[[#This Row],[YearsAtCompany]]&lt;=10,"6-10 Years","10+ Years")))</f>
        <v>6-10 Years</v>
      </c>
      <c r="AO1246" t="str">
        <f>IF(HR_Data[[#This Row],[JobSatisfaction]]=1,"Low",IF(HR_Data[[#This Row],[JobSatisfaction]]=2,"Medium",IF(HR_Data[[#This Row],[JobSatisfaction]]=3,"High","Very High")))</f>
        <v>Low</v>
      </c>
      <c r="AP1246" t="str">
        <f>IF(HR_Data[[#This Row],[WorkLifeBalance]]=1,"Bad",IF(HR_Data[[#This Row],[WorkLifeBalance]]=2,"Good",IF(HR_Data[[#This Row],[WorkLifeBalance]]=3,"Better","Best")))</f>
        <v>Better</v>
      </c>
    </row>
    <row r="1247" spans="1:42"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IF(HR_Data[[#This Row],[Attrition]]="Yes",1,0)</f>
        <v>0</v>
      </c>
      <c r="AK1247">
        <f>IF(HR_Data[[#This Row],[Attrition]]="No",1,0)</f>
        <v>1</v>
      </c>
      <c r="AL1247" t="str">
        <f>IF(HR_Data[[#This Row],[Age]]&lt;25,"Under 25",IF(HR_Data[[#This Row],[Age]]&lt;=34,"25-34",IF(HR_Data[[#This Row],[Age]]&lt;=44,"35-44",IF(HR_Data[[#This Row],[Age]]&lt;=54,"45-54","55+"))))</f>
        <v>Under 25</v>
      </c>
      <c r="AM1247" t="str">
        <f>IF(HR_Data[[#This Row],[MonthlyIncome]]&lt;3000,"Low Salary",IF(HR_Data[[#This Row],[MonthlyIncome]]&lt;=7000,"Medium Salary","High Salary"))</f>
        <v>Low Salary</v>
      </c>
      <c r="AN1247" t="str">
        <f>IF(HR_Data[[#This Row],[YearsAtCompany]]&lt;2,"0-1 Years",IF(HR_Data[[#This Row],[YearsAtCompany]]&lt;=5,"2-5 Years",IF(HR_Data[[#This Row],[YearsAtCompany]]&lt;=10,"6-10 Years","10+ Years")))</f>
        <v>2-5 Years</v>
      </c>
      <c r="AO1247" t="str">
        <f>IF(HR_Data[[#This Row],[JobSatisfaction]]=1,"Low",IF(HR_Data[[#This Row],[JobSatisfaction]]=2,"Medium",IF(HR_Data[[#This Row],[JobSatisfaction]]=3,"High","Very High")))</f>
        <v>Very High</v>
      </c>
      <c r="AP1247" t="str">
        <f>IF(HR_Data[[#This Row],[WorkLifeBalance]]=1,"Bad",IF(HR_Data[[#This Row],[WorkLifeBalance]]=2,"Good",IF(HR_Data[[#This Row],[WorkLifeBalance]]=3,"Better","Best")))</f>
        <v>Better</v>
      </c>
    </row>
    <row r="1248" spans="1:42"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IF(HR_Data[[#This Row],[Attrition]]="Yes",1,0)</f>
        <v>1</v>
      </c>
      <c r="AK1248">
        <f>IF(HR_Data[[#This Row],[Attrition]]="No",1,0)</f>
        <v>0</v>
      </c>
      <c r="AL1248" t="str">
        <f>IF(HR_Data[[#This Row],[Age]]&lt;25,"Under 25",IF(HR_Data[[#This Row],[Age]]&lt;=34,"25-34",IF(HR_Data[[#This Row],[Age]]&lt;=44,"35-44",IF(HR_Data[[#This Row],[Age]]&lt;=54,"45-54","55+"))))</f>
        <v>25-34</v>
      </c>
      <c r="AM1248" t="str">
        <f>IF(HR_Data[[#This Row],[MonthlyIncome]]&lt;3000,"Low Salary",IF(HR_Data[[#This Row],[MonthlyIncome]]&lt;=7000,"Medium Salary","High Salary"))</f>
        <v>Low Salary</v>
      </c>
      <c r="AN1248" t="str">
        <f>IF(HR_Data[[#This Row],[YearsAtCompany]]&lt;2,"0-1 Years",IF(HR_Data[[#This Row],[YearsAtCompany]]&lt;=5,"2-5 Years",IF(HR_Data[[#This Row],[YearsAtCompany]]&lt;=10,"6-10 Years","10+ Years")))</f>
        <v>2-5 Years</v>
      </c>
      <c r="AO1248" t="str">
        <f>IF(HR_Data[[#This Row],[JobSatisfaction]]=1,"Low",IF(HR_Data[[#This Row],[JobSatisfaction]]=2,"Medium",IF(HR_Data[[#This Row],[JobSatisfaction]]=3,"High","Very High")))</f>
        <v>Very High</v>
      </c>
      <c r="AP1248" t="str">
        <f>IF(HR_Data[[#This Row],[WorkLifeBalance]]=1,"Bad",IF(HR_Data[[#This Row],[WorkLifeBalance]]=2,"Good",IF(HR_Data[[#This Row],[WorkLifeBalance]]=3,"Better","Best")))</f>
        <v>Good</v>
      </c>
    </row>
    <row r="1249" spans="1:42"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IF(HR_Data[[#This Row],[Attrition]]="Yes",1,0)</f>
        <v>0</v>
      </c>
      <c r="AK1249">
        <f>IF(HR_Data[[#This Row],[Attrition]]="No",1,0)</f>
        <v>1</v>
      </c>
      <c r="AL1249" t="str">
        <f>IF(HR_Data[[#This Row],[Age]]&lt;25,"Under 25",IF(HR_Data[[#This Row],[Age]]&lt;=34,"25-34",IF(HR_Data[[#This Row],[Age]]&lt;=44,"35-44",IF(HR_Data[[#This Row],[Age]]&lt;=54,"45-54","55+"))))</f>
        <v>25-34</v>
      </c>
      <c r="AM1249" t="str">
        <f>IF(HR_Data[[#This Row],[MonthlyIncome]]&lt;3000,"Low Salary",IF(HR_Data[[#This Row],[MonthlyIncome]]&lt;=7000,"Medium Salary","High Salary"))</f>
        <v>High Salary</v>
      </c>
      <c r="AN1249" t="str">
        <f>IF(HR_Data[[#This Row],[YearsAtCompany]]&lt;2,"0-1 Years",IF(HR_Data[[#This Row],[YearsAtCompany]]&lt;=5,"2-5 Years",IF(HR_Data[[#This Row],[YearsAtCompany]]&lt;=10,"6-10 Years","10+ Years")))</f>
        <v>2-5 Years</v>
      </c>
      <c r="AO1249" t="str">
        <f>IF(HR_Data[[#This Row],[JobSatisfaction]]=1,"Low",IF(HR_Data[[#This Row],[JobSatisfaction]]=2,"Medium",IF(HR_Data[[#This Row],[JobSatisfaction]]=3,"High","Very High")))</f>
        <v>High</v>
      </c>
      <c r="AP1249" t="str">
        <f>IF(HR_Data[[#This Row],[WorkLifeBalance]]=1,"Bad",IF(HR_Data[[#This Row],[WorkLifeBalance]]=2,"Good",IF(HR_Data[[#This Row],[WorkLifeBalance]]=3,"Better","Best")))</f>
        <v>Better</v>
      </c>
    </row>
    <row r="1250" spans="1:42"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IF(HR_Data[[#This Row],[Attrition]]="Yes",1,0)</f>
        <v>0</v>
      </c>
      <c r="AK1250">
        <f>IF(HR_Data[[#This Row],[Attrition]]="No",1,0)</f>
        <v>1</v>
      </c>
      <c r="AL1250" t="str">
        <f>IF(HR_Data[[#This Row],[Age]]&lt;25,"Under 25",IF(HR_Data[[#This Row],[Age]]&lt;=34,"25-34",IF(HR_Data[[#This Row],[Age]]&lt;=44,"35-44",IF(HR_Data[[#This Row],[Age]]&lt;=54,"45-54","55+"))))</f>
        <v>25-34</v>
      </c>
      <c r="AM1250" t="str">
        <f>IF(HR_Data[[#This Row],[MonthlyIncome]]&lt;3000,"Low Salary",IF(HR_Data[[#This Row],[MonthlyIncome]]&lt;=7000,"Medium Salary","High Salary"))</f>
        <v>Medium Salary</v>
      </c>
      <c r="AN1250" t="str">
        <f>IF(HR_Data[[#This Row],[YearsAtCompany]]&lt;2,"0-1 Years",IF(HR_Data[[#This Row],[YearsAtCompany]]&lt;=5,"2-5 Years",IF(HR_Data[[#This Row],[YearsAtCompany]]&lt;=10,"6-10 Years","10+ Years")))</f>
        <v>6-10 Years</v>
      </c>
      <c r="AO1250" t="str">
        <f>IF(HR_Data[[#This Row],[JobSatisfaction]]=1,"Low",IF(HR_Data[[#This Row],[JobSatisfaction]]=2,"Medium",IF(HR_Data[[#This Row],[JobSatisfaction]]=3,"High","Very High")))</f>
        <v>Very High</v>
      </c>
      <c r="AP1250" t="str">
        <f>IF(HR_Data[[#This Row],[WorkLifeBalance]]=1,"Bad",IF(HR_Data[[#This Row],[WorkLifeBalance]]=2,"Good",IF(HR_Data[[#This Row],[WorkLifeBalance]]=3,"Better","Best")))</f>
        <v>Good</v>
      </c>
    </row>
    <row r="1251" spans="1:42"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IF(HR_Data[[#This Row],[Attrition]]="Yes",1,0)</f>
        <v>1</v>
      </c>
      <c r="AK1251">
        <f>IF(HR_Data[[#This Row],[Attrition]]="No",1,0)</f>
        <v>0</v>
      </c>
      <c r="AL1251" t="str">
        <f>IF(HR_Data[[#This Row],[Age]]&lt;25,"Under 25",IF(HR_Data[[#This Row],[Age]]&lt;=34,"25-34",IF(HR_Data[[#This Row],[Age]]&lt;=44,"35-44",IF(HR_Data[[#This Row],[Age]]&lt;=54,"45-54","55+"))))</f>
        <v>25-34</v>
      </c>
      <c r="AM1251" t="str">
        <f>IF(HR_Data[[#This Row],[MonthlyIncome]]&lt;3000,"Low Salary",IF(HR_Data[[#This Row],[MonthlyIncome]]&lt;=7000,"Medium Salary","High Salary"))</f>
        <v>Low Salary</v>
      </c>
      <c r="AN1251" t="str">
        <f>IF(HR_Data[[#This Row],[YearsAtCompany]]&lt;2,"0-1 Years",IF(HR_Data[[#This Row],[YearsAtCompany]]&lt;=5,"2-5 Years",IF(HR_Data[[#This Row],[YearsAtCompany]]&lt;=10,"6-10 Years","10+ Years")))</f>
        <v>2-5 Years</v>
      </c>
      <c r="AO1251" t="str">
        <f>IF(HR_Data[[#This Row],[JobSatisfaction]]=1,"Low",IF(HR_Data[[#This Row],[JobSatisfaction]]=2,"Medium",IF(HR_Data[[#This Row],[JobSatisfaction]]=3,"High","Very High")))</f>
        <v>Medium</v>
      </c>
      <c r="AP1251" t="str">
        <f>IF(HR_Data[[#This Row],[WorkLifeBalance]]=1,"Bad",IF(HR_Data[[#This Row],[WorkLifeBalance]]=2,"Good",IF(HR_Data[[#This Row],[WorkLifeBalance]]=3,"Better","Best")))</f>
        <v>Better</v>
      </c>
    </row>
    <row r="1252" spans="1:42"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IF(HR_Data[[#This Row],[Attrition]]="Yes",1,0)</f>
        <v>0</v>
      </c>
      <c r="AK1252">
        <f>IF(HR_Data[[#This Row],[Attrition]]="No",1,0)</f>
        <v>1</v>
      </c>
      <c r="AL1252" t="str">
        <f>IF(HR_Data[[#This Row],[Age]]&lt;25,"Under 25",IF(HR_Data[[#This Row],[Age]]&lt;=34,"25-34",IF(HR_Data[[#This Row],[Age]]&lt;=44,"35-44",IF(HR_Data[[#This Row],[Age]]&lt;=54,"45-54","55+"))))</f>
        <v>25-34</v>
      </c>
      <c r="AM1252" t="str">
        <f>IF(HR_Data[[#This Row],[MonthlyIncome]]&lt;3000,"Low Salary",IF(HR_Data[[#This Row],[MonthlyIncome]]&lt;=7000,"Medium Salary","High Salary"))</f>
        <v>Medium Salary</v>
      </c>
      <c r="AN1252" t="str">
        <f>IF(HR_Data[[#This Row],[YearsAtCompany]]&lt;2,"0-1 Years",IF(HR_Data[[#This Row],[YearsAtCompany]]&lt;=5,"2-5 Years",IF(HR_Data[[#This Row],[YearsAtCompany]]&lt;=10,"6-10 Years","10+ Years")))</f>
        <v>2-5 Years</v>
      </c>
      <c r="AO1252" t="str">
        <f>IF(HR_Data[[#This Row],[JobSatisfaction]]=1,"Low",IF(HR_Data[[#This Row],[JobSatisfaction]]=2,"Medium",IF(HR_Data[[#This Row],[JobSatisfaction]]=3,"High","Very High")))</f>
        <v>High</v>
      </c>
      <c r="AP1252" t="str">
        <f>IF(HR_Data[[#This Row],[WorkLifeBalance]]=1,"Bad",IF(HR_Data[[#This Row],[WorkLifeBalance]]=2,"Good",IF(HR_Data[[#This Row],[WorkLifeBalance]]=3,"Better","Best")))</f>
        <v>Best</v>
      </c>
    </row>
    <row r="1253" spans="1:42"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IF(HR_Data[[#This Row],[Attrition]]="Yes",1,0)</f>
        <v>0</v>
      </c>
      <c r="AK1253">
        <f>IF(HR_Data[[#This Row],[Attrition]]="No",1,0)</f>
        <v>1</v>
      </c>
      <c r="AL1253" t="str">
        <f>IF(HR_Data[[#This Row],[Age]]&lt;25,"Under 25",IF(HR_Data[[#This Row],[Age]]&lt;=34,"25-34",IF(HR_Data[[#This Row],[Age]]&lt;=44,"35-44",IF(HR_Data[[#This Row],[Age]]&lt;=54,"45-54","55+"))))</f>
        <v>25-34</v>
      </c>
      <c r="AM1253" t="str">
        <f>IF(HR_Data[[#This Row],[MonthlyIncome]]&lt;3000,"Low Salary",IF(HR_Data[[#This Row],[MonthlyIncome]]&lt;=7000,"Medium Salary","High Salary"))</f>
        <v>High Salary</v>
      </c>
      <c r="AN1253" t="str">
        <f>IF(HR_Data[[#This Row],[YearsAtCompany]]&lt;2,"0-1 Years",IF(HR_Data[[#This Row],[YearsAtCompany]]&lt;=5,"2-5 Years",IF(HR_Data[[#This Row],[YearsAtCompany]]&lt;=10,"6-10 Years","10+ Years")))</f>
        <v>6-10 Years</v>
      </c>
      <c r="AO1253" t="str">
        <f>IF(HR_Data[[#This Row],[JobSatisfaction]]=1,"Low",IF(HR_Data[[#This Row],[JobSatisfaction]]=2,"Medium",IF(HR_Data[[#This Row],[JobSatisfaction]]=3,"High","Very High")))</f>
        <v>Low</v>
      </c>
      <c r="AP1253" t="str">
        <f>IF(HR_Data[[#This Row],[WorkLifeBalance]]=1,"Bad",IF(HR_Data[[#This Row],[WorkLifeBalance]]=2,"Good",IF(HR_Data[[#This Row],[WorkLifeBalance]]=3,"Better","Best")))</f>
        <v>Better</v>
      </c>
    </row>
    <row r="1254" spans="1:42"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IF(HR_Data[[#This Row],[Attrition]]="Yes",1,0)</f>
        <v>0</v>
      </c>
      <c r="AK1254">
        <f>IF(HR_Data[[#This Row],[Attrition]]="No",1,0)</f>
        <v>1</v>
      </c>
      <c r="AL1254" t="str">
        <f>IF(HR_Data[[#This Row],[Age]]&lt;25,"Under 25",IF(HR_Data[[#This Row],[Age]]&lt;=34,"25-34",IF(HR_Data[[#This Row],[Age]]&lt;=44,"35-44",IF(HR_Data[[#This Row],[Age]]&lt;=54,"45-54","55+"))))</f>
        <v>25-34</v>
      </c>
      <c r="AM1254" t="str">
        <f>IF(HR_Data[[#This Row],[MonthlyIncome]]&lt;3000,"Low Salary",IF(HR_Data[[#This Row],[MonthlyIncome]]&lt;=7000,"Medium Salary","High Salary"))</f>
        <v>Low Salary</v>
      </c>
      <c r="AN1254" t="str">
        <f>IF(HR_Data[[#This Row],[YearsAtCompany]]&lt;2,"0-1 Years",IF(HR_Data[[#This Row],[YearsAtCompany]]&lt;=5,"2-5 Years",IF(HR_Data[[#This Row],[YearsAtCompany]]&lt;=10,"6-10 Years","10+ Years")))</f>
        <v>2-5 Years</v>
      </c>
      <c r="AO1254" t="str">
        <f>IF(HR_Data[[#This Row],[JobSatisfaction]]=1,"Low",IF(HR_Data[[#This Row],[JobSatisfaction]]=2,"Medium",IF(HR_Data[[#This Row],[JobSatisfaction]]=3,"High","Very High")))</f>
        <v>Very High</v>
      </c>
      <c r="AP1254" t="str">
        <f>IF(HR_Data[[#This Row],[WorkLifeBalance]]=1,"Bad",IF(HR_Data[[#This Row],[WorkLifeBalance]]=2,"Good",IF(HR_Data[[#This Row],[WorkLifeBalance]]=3,"Better","Best")))</f>
        <v>Better</v>
      </c>
    </row>
    <row r="1255" spans="1:42"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IF(HR_Data[[#This Row],[Attrition]]="Yes",1,0)</f>
        <v>0</v>
      </c>
      <c r="AK1255">
        <f>IF(HR_Data[[#This Row],[Attrition]]="No",1,0)</f>
        <v>1</v>
      </c>
      <c r="AL1255" t="str">
        <f>IF(HR_Data[[#This Row],[Age]]&lt;25,"Under 25",IF(HR_Data[[#This Row],[Age]]&lt;=34,"25-34",IF(HR_Data[[#This Row],[Age]]&lt;=44,"35-44",IF(HR_Data[[#This Row],[Age]]&lt;=54,"45-54","55+"))))</f>
        <v>25-34</v>
      </c>
      <c r="AM1255" t="str">
        <f>IF(HR_Data[[#This Row],[MonthlyIncome]]&lt;3000,"Low Salary",IF(HR_Data[[#This Row],[MonthlyIncome]]&lt;=7000,"Medium Salary","High Salary"))</f>
        <v>Medium Salary</v>
      </c>
      <c r="AN1255" t="str">
        <f>IF(HR_Data[[#This Row],[YearsAtCompany]]&lt;2,"0-1 Years",IF(HR_Data[[#This Row],[YearsAtCompany]]&lt;=5,"2-5 Years",IF(HR_Data[[#This Row],[YearsAtCompany]]&lt;=10,"6-10 Years","10+ Years")))</f>
        <v>10+ Years</v>
      </c>
      <c r="AO1255" t="str">
        <f>IF(HR_Data[[#This Row],[JobSatisfaction]]=1,"Low",IF(HR_Data[[#This Row],[JobSatisfaction]]=2,"Medium",IF(HR_Data[[#This Row],[JobSatisfaction]]=3,"High","Very High")))</f>
        <v>Medium</v>
      </c>
      <c r="AP1255" t="str">
        <f>IF(HR_Data[[#This Row],[WorkLifeBalance]]=1,"Bad",IF(HR_Data[[#This Row],[WorkLifeBalance]]=2,"Good",IF(HR_Data[[#This Row],[WorkLifeBalance]]=3,"Better","Best")))</f>
        <v>Good</v>
      </c>
    </row>
    <row r="1256" spans="1:42"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IF(HR_Data[[#This Row],[Attrition]]="Yes",1,0)</f>
        <v>0</v>
      </c>
      <c r="AK1256">
        <f>IF(HR_Data[[#This Row],[Attrition]]="No",1,0)</f>
        <v>1</v>
      </c>
      <c r="AL1256" t="str">
        <f>IF(HR_Data[[#This Row],[Age]]&lt;25,"Under 25",IF(HR_Data[[#This Row],[Age]]&lt;=34,"25-34",IF(HR_Data[[#This Row],[Age]]&lt;=44,"35-44",IF(HR_Data[[#This Row],[Age]]&lt;=54,"45-54","55+"))))</f>
        <v>45-54</v>
      </c>
      <c r="AM1256" t="str">
        <f>IF(HR_Data[[#This Row],[MonthlyIncome]]&lt;3000,"Low Salary",IF(HR_Data[[#This Row],[MonthlyIncome]]&lt;=7000,"Medium Salary","High Salary"))</f>
        <v>Medium Salary</v>
      </c>
      <c r="AN1256" t="str">
        <f>IF(HR_Data[[#This Row],[YearsAtCompany]]&lt;2,"0-1 Years",IF(HR_Data[[#This Row],[YearsAtCompany]]&lt;=5,"2-5 Years",IF(HR_Data[[#This Row],[YearsAtCompany]]&lt;=10,"6-10 Years","10+ Years")))</f>
        <v>2-5 Years</v>
      </c>
      <c r="AO1256" t="str">
        <f>IF(HR_Data[[#This Row],[JobSatisfaction]]=1,"Low",IF(HR_Data[[#This Row],[JobSatisfaction]]=2,"Medium",IF(HR_Data[[#This Row],[JobSatisfaction]]=3,"High","Very High")))</f>
        <v>Very High</v>
      </c>
      <c r="AP1256" t="str">
        <f>IF(HR_Data[[#This Row],[WorkLifeBalance]]=1,"Bad",IF(HR_Data[[#This Row],[WorkLifeBalance]]=2,"Good",IF(HR_Data[[#This Row],[WorkLifeBalance]]=3,"Better","Best")))</f>
        <v>Best</v>
      </c>
    </row>
    <row r="1257" spans="1:42"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IF(HR_Data[[#This Row],[Attrition]]="Yes",1,0)</f>
        <v>1</v>
      </c>
      <c r="AK1257">
        <f>IF(HR_Data[[#This Row],[Attrition]]="No",1,0)</f>
        <v>0</v>
      </c>
      <c r="AL1257" t="str">
        <f>IF(HR_Data[[#This Row],[Age]]&lt;25,"Under 25",IF(HR_Data[[#This Row],[Age]]&lt;=34,"25-34",IF(HR_Data[[#This Row],[Age]]&lt;=44,"35-44",IF(HR_Data[[#This Row],[Age]]&lt;=54,"45-54","55+"))))</f>
        <v>25-34</v>
      </c>
      <c r="AM1257" t="str">
        <f>IF(HR_Data[[#This Row],[MonthlyIncome]]&lt;3000,"Low Salary",IF(HR_Data[[#This Row],[MonthlyIncome]]&lt;=7000,"Medium Salary","High Salary"))</f>
        <v>High Salary</v>
      </c>
      <c r="AN1257" t="str">
        <f>IF(HR_Data[[#This Row],[YearsAtCompany]]&lt;2,"0-1 Years",IF(HR_Data[[#This Row],[YearsAtCompany]]&lt;=5,"2-5 Years",IF(HR_Data[[#This Row],[YearsAtCompany]]&lt;=10,"6-10 Years","10+ Years")))</f>
        <v>0-1 Years</v>
      </c>
      <c r="AO1257" t="str">
        <f>IF(HR_Data[[#This Row],[JobSatisfaction]]=1,"Low",IF(HR_Data[[#This Row],[JobSatisfaction]]=2,"Medium",IF(HR_Data[[#This Row],[JobSatisfaction]]=3,"High","Very High")))</f>
        <v>Low</v>
      </c>
      <c r="AP1257" t="str">
        <f>IF(HR_Data[[#This Row],[WorkLifeBalance]]=1,"Bad",IF(HR_Data[[#This Row],[WorkLifeBalance]]=2,"Good",IF(HR_Data[[#This Row],[WorkLifeBalance]]=3,"Better","Best")))</f>
        <v>Good</v>
      </c>
    </row>
    <row r="1258" spans="1:42"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IF(HR_Data[[#This Row],[Attrition]]="Yes",1,0)</f>
        <v>0</v>
      </c>
      <c r="AK1258">
        <f>IF(HR_Data[[#This Row],[Attrition]]="No",1,0)</f>
        <v>1</v>
      </c>
      <c r="AL1258" t="str">
        <f>IF(HR_Data[[#This Row],[Age]]&lt;25,"Under 25",IF(HR_Data[[#This Row],[Age]]&lt;=34,"25-34",IF(HR_Data[[#This Row],[Age]]&lt;=44,"35-44",IF(HR_Data[[#This Row],[Age]]&lt;=54,"45-54","55+"))))</f>
        <v>35-44</v>
      </c>
      <c r="AM1258" t="str">
        <f>IF(HR_Data[[#This Row],[MonthlyIncome]]&lt;3000,"Low Salary",IF(HR_Data[[#This Row],[MonthlyIncome]]&lt;=7000,"Medium Salary","High Salary"))</f>
        <v>Low Salary</v>
      </c>
      <c r="AN1258" t="str">
        <f>IF(HR_Data[[#This Row],[YearsAtCompany]]&lt;2,"0-1 Years",IF(HR_Data[[#This Row],[YearsAtCompany]]&lt;=5,"2-5 Years",IF(HR_Data[[#This Row],[YearsAtCompany]]&lt;=10,"6-10 Years","10+ Years")))</f>
        <v>6-10 Years</v>
      </c>
      <c r="AO1258" t="str">
        <f>IF(HR_Data[[#This Row],[JobSatisfaction]]=1,"Low",IF(HR_Data[[#This Row],[JobSatisfaction]]=2,"Medium",IF(HR_Data[[#This Row],[JobSatisfaction]]=3,"High","Very High")))</f>
        <v>Medium</v>
      </c>
      <c r="AP1258" t="str">
        <f>IF(HR_Data[[#This Row],[WorkLifeBalance]]=1,"Bad",IF(HR_Data[[#This Row],[WorkLifeBalance]]=2,"Good",IF(HR_Data[[#This Row],[WorkLifeBalance]]=3,"Better","Best")))</f>
        <v>Good</v>
      </c>
    </row>
    <row r="1259" spans="1:42"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IF(HR_Data[[#This Row],[Attrition]]="Yes",1,0)</f>
        <v>1</v>
      </c>
      <c r="AK1259">
        <f>IF(HR_Data[[#This Row],[Attrition]]="No",1,0)</f>
        <v>0</v>
      </c>
      <c r="AL1259" t="str">
        <f>IF(HR_Data[[#This Row],[Age]]&lt;25,"Under 25",IF(HR_Data[[#This Row],[Age]]&lt;=34,"25-34",IF(HR_Data[[#This Row],[Age]]&lt;=44,"35-44",IF(HR_Data[[#This Row],[Age]]&lt;=54,"45-54","55+"))))</f>
        <v>25-34</v>
      </c>
      <c r="AM1259" t="str">
        <f>IF(HR_Data[[#This Row],[MonthlyIncome]]&lt;3000,"Low Salary",IF(HR_Data[[#This Row],[MonthlyIncome]]&lt;=7000,"Medium Salary","High Salary"))</f>
        <v>High Salary</v>
      </c>
      <c r="AN1259" t="str">
        <f>IF(HR_Data[[#This Row],[YearsAtCompany]]&lt;2,"0-1 Years",IF(HR_Data[[#This Row],[YearsAtCompany]]&lt;=5,"2-5 Years",IF(HR_Data[[#This Row],[YearsAtCompany]]&lt;=10,"6-10 Years","10+ Years")))</f>
        <v>0-1 Years</v>
      </c>
      <c r="AO1259" t="str">
        <f>IF(HR_Data[[#This Row],[JobSatisfaction]]=1,"Low",IF(HR_Data[[#This Row],[JobSatisfaction]]=2,"Medium",IF(HR_Data[[#This Row],[JobSatisfaction]]=3,"High","Very High")))</f>
        <v>High</v>
      </c>
      <c r="AP1259" t="str">
        <f>IF(HR_Data[[#This Row],[WorkLifeBalance]]=1,"Bad",IF(HR_Data[[#This Row],[WorkLifeBalance]]=2,"Good",IF(HR_Data[[#This Row],[WorkLifeBalance]]=3,"Better","Best")))</f>
        <v>Better</v>
      </c>
    </row>
    <row r="1260" spans="1:42"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IF(HR_Data[[#This Row],[Attrition]]="Yes",1,0)</f>
        <v>0</v>
      </c>
      <c r="AK1260">
        <f>IF(HR_Data[[#This Row],[Attrition]]="No",1,0)</f>
        <v>1</v>
      </c>
      <c r="AL1260" t="str">
        <f>IF(HR_Data[[#This Row],[Age]]&lt;25,"Under 25",IF(HR_Data[[#This Row],[Age]]&lt;=34,"25-34",IF(HR_Data[[#This Row],[Age]]&lt;=44,"35-44",IF(HR_Data[[#This Row],[Age]]&lt;=54,"45-54","55+"))))</f>
        <v>25-34</v>
      </c>
      <c r="AM1260" t="str">
        <f>IF(HR_Data[[#This Row],[MonthlyIncome]]&lt;3000,"Low Salary",IF(HR_Data[[#This Row],[MonthlyIncome]]&lt;=7000,"Medium Salary","High Salary"))</f>
        <v>Low Salary</v>
      </c>
      <c r="AN1260" t="str">
        <f>IF(HR_Data[[#This Row],[YearsAtCompany]]&lt;2,"0-1 Years",IF(HR_Data[[#This Row],[YearsAtCompany]]&lt;=5,"2-5 Years",IF(HR_Data[[#This Row],[YearsAtCompany]]&lt;=10,"6-10 Years","10+ Years")))</f>
        <v>0-1 Years</v>
      </c>
      <c r="AO1260" t="str">
        <f>IF(HR_Data[[#This Row],[JobSatisfaction]]=1,"Low",IF(HR_Data[[#This Row],[JobSatisfaction]]=2,"Medium",IF(HR_Data[[#This Row],[JobSatisfaction]]=3,"High","Very High")))</f>
        <v>Low</v>
      </c>
      <c r="AP1260" t="str">
        <f>IF(HR_Data[[#This Row],[WorkLifeBalance]]=1,"Bad",IF(HR_Data[[#This Row],[WorkLifeBalance]]=2,"Good",IF(HR_Data[[#This Row],[WorkLifeBalance]]=3,"Better","Best")))</f>
        <v>Better</v>
      </c>
    </row>
    <row r="1261" spans="1:42"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IF(HR_Data[[#This Row],[Attrition]]="Yes",1,0)</f>
        <v>0</v>
      </c>
      <c r="AK1261">
        <f>IF(HR_Data[[#This Row],[Attrition]]="No",1,0)</f>
        <v>1</v>
      </c>
      <c r="AL1261" t="str">
        <f>IF(HR_Data[[#This Row],[Age]]&lt;25,"Under 25",IF(HR_Data[[#This Row],[Age]]&lt;=34,"25-34",IF(HR_Data[[#This Row],[Age]]&lt;=44,"35-44",IF(HR_Data[[#This Row],[Age]]&lt;=54,"45-54","55+"))))</f>
        <v>25-34</v>
      </c>
      <c r="AM1261" t="str">
        <f>IF(HR_Data[[#This Row],[MonthlyIncome]]&lt;3000,"Low Salary",IF(HR_Data[[#This Row],[MonthlyIncome]]&lt;=7000,"Medium Salary","High Salary"))</f>
        <v>Medium Salary</v>
      </c>
      <c r="AN1261" t="str">
        <f>IF(HR_Data[[#This Row],[YearsAtCompany]]&lt;2,"0-1 Years",IF(HR_Data[[#This Row],[YearsAtCompany]]&lt;=5,"2-5 Years",IF(HR_Data[[#This Row],[YearsAtCompany]]&lt;=10,"6-10 Years","10+ Years")))</f>
        <v>6-10 Years</v>
      </c>
      <c r="AO1261" t="str">
        <f>IF(HR_Data[[#This Row],[JobSatisfaction]]=1,"Low",IF(HR_Data[[#This Row],[JobSatisfaction]]=2,"Medium",IF(HR_Data[[#This Row],[JobSatisfaction]]=3,"High","Very High")))</f>
        <v>High</v>
      </c>
      <c r="AP1261" t="str">
        <f>IF(HR_Data[[#This Row],[WorkLifeBalance]]=1,"Bad",IF(HR_Data[[#This Row],[WorkLifeBalance]]=2,"Good",IF(HR_Data[[#This Row],[WorkLifeBalance]]=3,"Better","Best")))</f>
        <v>Better</v>
      </c>
    </row>
    <row r="1262" spans="1:42"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IF(HR_Data[[#This Row],[Attrition]]="Yes",1,0)</f>
        <v>0</v>
      </c>
      <c r="AK1262">
        <f>IF(HR_Data[[#This Row],[Attrition]]="No",1,0)</f>
        <v>1</v>
      </c>
      <c r="AL1262" t="str">
        <f>IF(HR_Data[[#This Row],[Age]]&lt;25,"Under 25",IF(HR_Data[[#This Row],[Age]]&lt;=34,"25-34",IF(HR_Data[[#This Row],[Age]]&lt;=44,"35-44",IF(HR_Data[[#This Row],[Age]]&lt;=54,"45-54","55+"))))</f>
        <v>25-34</v>
      </c>
      <c r="AM1262" t="str">
        <f>IF(HR_Data[[#This Row],[MonthlyIncome]]&lt;3000,"Low Salary",IF(HR_Data[[#This Row],[MonthlyIncome]]&lt;=7000,"Medium Salary","High Salary"))</f>
        <v>Low Salary</v>
      </c>
      <c r="AN1262" t="str">
        <f>IF(HR_Data[[#This Row],[YearsAtCompany]]&lt;2,"0-1 Years",IF(HR_Data[[#This Row],[YearsAtCompany]]&lt;=5,"2-5 Years",IF(HR_Data[[#This Row],[YearsAtCompany]]&lt;=10,"6-10 Years","10+ Years")))</f>
        <v>6-10 Years</v>
      </c>
      <c r="AO1262" t="str">
        <f>IF(HR_Data[[#This Row],[JobSatisfaction]]=1,"Low",IF(HR_Data[[#This Row],[JobSatisfaction]]=2,"Medium",IF(HR_Data[[#This Row],[JobSatisfaction]]=3,"High","Very High")))</f>
        <v>Medium</v>
      </c>
      <c r="AP1262" t="str">
        <f>IF(HR_Data[[#This Row],[WorkLifeBalance]]=1,"Bad",IF(HR_Data[[#This Row],[WorkLifeBalance]]=2,"Good",IF(HR_Data[[#This Row],[WorkLifeBalance]]=3,"Better","Best")))</f>
        <v>Better</v>
      </c>
    </row>
    <row r="1263" spans="1:42"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IF(HR_Data[[#This Row],[Attrition]]="Yes",1,0)</f>
        <v>0</v>
      </c>
      <c r="AK1263">
        <f>IF(HR_Data[[#This Row],[Attrition]]="No",1,0)</f>
        <v>1</v>
      </c>
      <c r="AL1263" t="str">
        <f>IF(HR_Data[[#This Row],[Age]]&lt;25,"Under 25",IF(HR_Data[[#This Row],[Age]]&lt;=34,"25-34",IF(HR_Data[[#This Row],[Age]]&lt;=44,"35-44",IF(HR_Data[[#This Row],[Age]]&lt;=54,"45-54","55+"))))</f>
        <v>35-44</v>
      </c>
      <c r="AM1263" t="str">
        <f>IF(HR_Data[[#This Row],[MonthlyIncome]]&lt;3000,"Low Salary",IF(HR_Data[[#This Row],[MonthlyIncome]]&lt;=7000,"Medium Salary","High Salary"))</f>
        <v>Medium Salary</v>
      </c>
      <c r="AN1263" t="str">
        <f>IF(HR_Data[[#This Row],[YearsAtCompany]]&lt;2,"0-1 Years",IF(HR_Data[[#This Row],[YearsAtCompany]]&lt;=5,"2-5 Years",IF(HR_Data[[#This Row],[YearsAtCompany]]&lt;=10,"6-10 Years","10+ Years")))</f>
        <v>0-1 Years</v>
      </c>
      <c r="AO1263" t="str">
        <f>IF(HR_Data[[#This Row],[JobSatisfaction]]=1,"Low",IF(HR_Data[[#This Row],[JobSatisfaction]]=2,"Medium",IF(HR_Data[[#This Row],[JobSatisfaction]]=3,"High","Very High")))</f>
        <v>Very High</v>
      </c>
      <c r="AP1263" t="str">
        <f>IF(HR_Data[[#This Row],[WorkLifeBalance]]=1,"Bad",IF(HR_Data[[#This Row],[WorkLifeBalance]]=2,"Good",IF(HR_Data[[#This Row],[WorkLifeBalance]]=3,"Better","Best")))</f>
        <v>Better</v>
      </c>
    </row>
    <row r="1264" spans="1:42"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IF(HR_Data[[#This Row],[Attrition]]="Yes",1,0)</f>
        <v>1</v>
      </c>
      <c r="AK1264">
        <f>IF(HR_Data[[#This Row],[Attrition]]="No",1,0)</f>
        <v>0</v>
      </c>
      <c r="AL1264" t="str">
        <f>IF(HR_Data[[#This Row],[Age]]&lt;25,"Under 25",IF(HR_Data[[#This Row],[Age]]&lt;=34,"25-34",IF(HR_Data[[#This Row],[Age]]&lt;=44,"35-44",IF(HR_Data[[#This Row],[Age]]&lt;=54,"45-54","55+"))))</f>
        <v>35-44</v>
      </c>
      <c r="AM1264" t="str">
        <f>IF(HR_Data[[#This Row],[MonthlyIncome]]&lt;3000,"Low Salary",IF(HR_Data[[#This Row],[MonthlyIncome]]&lt;=7000,"Medium Salary","High Salary"))</f>
        <v>Low Salary</v>
      </c>
      <c r="AN1264" t="str">
        <f>IF(HR_Data[[#This Row],[YearsAtCompany]]&lt;2,"0-1 Years",IF(HR_Data[[#This Row],[YearsAtCompany]]&lt;=5,"2-5 Years",IF(HR_Data[[#This Row],[YearsAtCompany]]&lt;=10,"6-10 Years","10+ Years")))</f>
        <v>0-1 Years</v>
      </c>
      <c r="AO1264" t="str">
        <f>IF(HR_Data[[#This Row],[JobSatisfaction]]=1,"Low",IF(HR_Data[[#This Row],[JobSatisfaction]]=2,"Medium",IF(HR_Data[[#This Row],[JobSatisfaction]]=3,"High","Very High")))</f>
        <v>High</v>
      </c>
      <c r="AP1264" t="str">
        <f>IF(HR_Data[[#This Row],[WorkLifeBalance]]=1,"Bad",IF(HR_Data[[#This Row],[WorkLifeBalance]]=2,"Good",IF(HR_Data[[#This Row],[WorkLifeBalance]]=3,"Better","Best")))</f>
        <v>Better</v>
      </c>
    </row>
    <row r="1265" spans="1:42"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IF(HR_Data[[#This Row],[Attrition]]="Yes",1,0)</f>
        <v>0</v>
      </c>
      <c r="AK1265">
        <f>IF(HR_Data[[#This Row],[Attrition]]="No",1,0)</f>
        <v>1</v>
      </c>
      <c r="AL1265" t="str">
        <f>IF(HR_Data[[#This Row],[Age]]&lt;25,"Under 25",IF(HR_Data[[#This Row],[Age]]&lt;=34,"25-34",IF(HR_Data[[#This Row],[Age]]&lt;=44,"35-44",IF(HR_Data[[#This Row],[Age]]&lt;=54,"45-54","55+"))))</f>
        <v>35-44</v>
      </c>
      <c r="AM1265" t="str">
        <f>IF(HR_Data[[#This Row],[MonthlyIncome]]&lt;3000,"Low Salary",IF(HR_Data[[#This Row],[MonthlyIncome]]&lt;=7000,"Medium Salary","High Salary"))</f>
        <v>Low Salary</v>
      </c>
      <c r="AN1265" t="str">
        <f>IF(HR_Data[[#This Row],[YearsAtCompany]]&lt;2,"0-1 Years",IF(HR_Data[[#This Row],[YearsAtCompany]]&lt;=5,"2-5 Years",IF(HR_Data[[#This Row],[YearsAtCompany]]&lt;=10,"6-10 Years","10+ Years")))</f>
        <v>2-5 Years</v>
      </c>
      <c r="AO1265" t="str">
        <f>IF(HR_Data[[#This Row],[JobSatisfaction]]=1,"Low",IF(HR_Data[[#This Row],[JobSatisfaction]]=2,"Medium",IF(HR_Data[[#This Row],[JobSatisfaction]]=3,"High","Very High")))</f>
        <v>Medium</v>
      </c>
      <c r="AP1265" t="str">
        <f>IF(HR_Data[[#This Row],[WorkLifeBalance]]=1,"Bad",IF(HR_Data[[#This Row],[WorkLifeBalance]]=2,"Good",IF(HR_Data[[#This Row],[WorkLifeBalance]]=3,"Better","Best")))</f>
        <v>Good</v>
      </c>
    </row>
    <row r="1266" spans="1:42"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IF(HR_Data[[#This Row],[Attrition]]="Yes",1,0)</f>
        <v>0</v>
      </c>
      <c r="AK1266">
        <f>IF(HR_Data[[#This Row],[Attrition]]="No",1,0)</f>
        <v>1</v>
      </c>
      <c r="AL1266" t="str">
        <f>IF(HR_Data[[#This Row],[Age]]&lt;25,"Under 25",IF(HR_Data[[#This Row],[Age]]&lt;=34,"25-34",IF(HR_Data[[#This Row],[Age]]&lt;=44,"35-44",IF(HR_Data[[#This Row],[Age]]&lt;=54,"45-54","55+"))))</f>
        <v>55+</v>
      </c>
      <c r="AM1266" t="str">
        <f>IF(HR_Data[[#This Row],[MonthlyIncome]]&lt;3000,"Low Salary",IF(HR_Data[[#This Row],[MonthlyIncome]]&lt;=7000,"Medium Salary","High Salary"))</f>
        <v>High Salary</v>
      </c>
      <c r="AN1266" t="str">
        <f>IF(HR_Data[[#This Row],[YearsAtCompany]]&lt;2,"0-1 Years",IF(HR_Data[[#This Row],[YearsAtCompany]]&lt;=5,"2-5 Years",IF(HR_Data[[#This Row],[YearsAtCompany]]&lt;=10,"6-10 Years","10+ Years")))</f>
        <v>0-1 Years</v>
      </c>
      <c r="AO1266" t="str">
        <f>IF(HR_Data[[#This Row],[JobSatisfaction]]=1,"Low",IF(HR_Data[[#This Row],[JobSatisfaction]]=2,"Medium",IF(HR_Data[[#This Row],[JobSatisfaction]]=3,"High","Very High")))</f>
        <v>Low</v>
      </c>
      <c r="AP1266" t="str">
        <f>IF(HR_Data[[#This Row],[WorkLifeBalance]]=1,"Bad",IF(HR_Data[[#This Row],[WorkLifeBalance]]=2,"Good",IF(HR_Data[[#This Row],[WorkLifeBalance]]=3,"Better","Best")))</f>
        <v>Better</v>
      </c>
    </row>
    <row r="1267" spans="1:42"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IF(HR_Data[[#This Row],[Attrition]]="Yes",1,0)</f>
        <v>0</v>
      </c>
      <c r="AK1267">
        <f>IF(HR_Data[[#This Row],[Attrition]]="No",1,0)</f>
        <v>1</v>
      </c>
      <c r="AL1267" t="str">
        <f>IF(HR_Data[[#This Row],[Age]]&lt;25,"Under 25",IF(HR_Data[[#This Row],[Age]]&lt;=34,"25-34",IF(HR_Data[[#This Row],[Age]]&lt;=44,"35-44",IF(HR_Data[[#This Row],[Age]]&lt;=54,"45-54","55+"))))</f>
        <v>25-34</v>
      </c>
      <c r="AM1267" t="str">
        <f>IF(HR_Data[[#This Row],[MonthlyIncome]]&lt;3000,"Low Salary",IF(HR_Data[[#This Row],[MonthlyIncome]]&lt;=7000,"Medium Salary","High Salary"))</f>
        <v>Medium Salary</v>
      </c>
      <c r="AN1267" t="str">
        <f>IF(HR_Data[[#This Row],[YearsAtCompany]]&lt;2,"0-1 Years",IF(HR_Data[[#This Row],[YearsAtCompany]]&lt;=5,"2-5 Years",IF(HR_Data[[#This Row],[YearsAtCompany]]&lt;=10,"6-10 Years","10+ Years")))</f>
        <v>6-10 Years</v>
      </c>
      <c r="AO1267" t="str">
        <f>IF(HR_Data[[#This Row],[JobSatisfaction]]=1,"Low",IF(HR_Data[[#This Row],[JobSatisfaction]]=2,"Medium",IF(HR_Data[[#This Row],[JobSatisfaction]]=3,"High","Very High")))</f>
        <v>Medium</v>
      </c>
      <c r="AP1267" t="str">
        <f>IF(HR_Data[[#This Row],[WorkLifeBalance]]=1,"Bad",IF(HR_Data[[#This Row],[WorkLifeBalance]]=2,"Good",IF(HR_Data[[#This Row],[WorkLifeBalance]]=3,"Better","Best")))</f>
        <v>Good</v>
      </c>
    </row>
    <row r="1268" spans="1:42"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IF(HR_Data[[#This Row],[Attrition]]="Yes",1,0)</f>
        <v>0</v>
      </c>
      <c r="AK1268">
        <f>IF(HR_Data[[#This Row],[Attrition]]="No",1,0)</f>
        <v>1</v>
      </c>
      <c r="AL1268" t="str">
        <f>IF(HR_Data[[#This Row],[Age]]&lt;25,"Under 25",IF(HR_Data[[#This Row],[Age]]&lt;=34,"25-34",IF(HR_Data[[#This Row],[Age]]&lt;=44,"35-44",IF(HR_Data[[#This Row],[Age]]&lt;=54,"45-54","55+"))))</f>
        <v>35-44</v>
      </c>
      <c r="AM1268" t="str">
        <f>IF(HR_Data[[#This Row],[MonthlyIncome]]&lt;3000,"Low Salary",IF(HR_Data[[#This Row],[MonthlyIncome]]&lt;=7000,"Medium Salary","High Salary"))</f>
        <v>Low Salary</v>
      </c>
      <c r="AN1268" t="str">
        <f>IF(HR_Data[[#This Row],[YearsAtCompany]]&lt;2,"0-1 Years",IF(HR_Data[[#This Row],[YearsAtCompany]]&lt;=5,"2-5 Years",IF(HR_Data[[#This Row],[YearsAtCompany]]&lt;=10,"6-10 Years","10+ Years")))</f>
        <v>2-5 Years</v>
      </c>
      <c r="AO1268" t="str">
        <f>IF(HR_Data[[#This Row],[JobSatisfaction]]=1,"Low",IF(HR_Data[[#This Row],[JobSatisfaction]]=2,"Medium",IF(HR_Data[[#This Row],[JobSatisfaction]]=3,"High","Very High")))</f>
        <v>Low</v>
      </c>
      <c r="AP1268" t="str">
        <f>IF(HR_Data[[#This Row],[WorkLifeBalance]]=1,"Bad",IF(HR_Data[[#This Row],[WorkLifeBalance]]=2,"Good",IF(HR_Data[[#This Row],[WorkLifeBalance]]=3,"Better","Best")))</f>
        <v>Better</v>
      </c>
    </row>
    <row r="1269" spans="1:42"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IF(HR_Data[[#This Row],[Attrition]]="Yes",1,0)</f>
        <v>0</v>
      </c>
      <c r="AK1269">
        <f>IF(HR_Data[[#This Row],[Attrition]]="No",1,0)</f>
        <v>1</v>
      </c>
      <c r="AL1269" t="str">
        <f>IF(HR_Data[[#This Row],[Age]]&lt;25,"Under 25",IF(HR_Data[[#This Row],[Age]]&lt;=34,"25-34",IF(HR_Data[[#This Row],[Age]]&lt;=44,"35-44",IF(HR_Data[[#This Row],[Age]]&lt;=54,"45-54","55+"))))</f>
        <v>25-34</v>
      </c>
      <c r="AM1269" t="str">
        <f>IF(HR_Data[[#This Row],[MonthlyIncome]]&lt;3000,"Low Salary",IF(HR_Data[[#This Row],[MonthlyIncome]]&lt;=7000,"Medium Salary","High Salary"))</f>
        <v>Medium Salary</v>
      </c>
      <c r="AN1269" t="str">
        <f>IF(HR_Data[[#This Row],[YearsAtCompany]]&lt;2,"0-1 Years",IF(HR_Data[[#This Row],[YearsAtCompany]]&lt;=5,"2-5 Years",IF(HR_Data[[#This Row],[YearsAtCompany]]&lt;=10,"6-10 Years","10+ Years")))</f>
        <v>10+ Years</v>
      </c>
      <c r="AO1269" t="str">
        <f>IF(HR_Data[[#This Row],[JobSatisfaction]]=1,"Low",IF(HR_Data[[#This Row],[JobSatisfaction]]=2,"Medium",IF(HR_Data[[#This Row],[JobSatisfaction]]=3,"High","Very High")))</f>
        <v>High</v>
      </c>
      <c r="AP1269" t="str">
        <f>IF(HR_Data[[#This Row],[WorkLifeBalance]]=1,"Bad",IF(HR_Data[[#This Row],[WorkLifeBalance]]=2,"Good",IF(HR_Data[[#This Row],[WorkLifeBalance]]=3,"Better","Best")))</f>
        <v>Better</v>
      </c>
    </row>
    <row r="1270" spans="1:42"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IF(HR_Data[[#This Row],[Attrition]]="Yes",1,0)</f>
        <v>0</v>
      </c>
      <c r="AK1270">
        <f>IF(HR_Data[[#This Row],[Attrition]]="No",1,0)</f>
        <v>1</v>
      </c>
      <c r="AL1270" t="str">
        <f>IF(HR_Data[[#This Row],[Age]]&lt;25,"Under 25",IF(HR_Data[[#This Row],[Age]]&lt;=34,"25-34",IF(HR_Data[[#This Row],[Age]]&lt;=44,"35-44",IF(HR_Data[[#This Row],[Age]]&lt;=54,"45-54","55+"))))</f>
        <v>45-54</v>
      </c>
      <c r="AM1270" t="str">
        <f>IF(HR_Data[[#This Row],[MonthlyIncome]]&lt;3000,"Low Salary",IF(HR_Data[[#This Row],[MonthlyIncome]]&lt;=7000,"Medium Salary","High Salary"))</f>
        <v>High Salary</v>
      </c>
      <c r="AN1270" t="str">
        <f>IF(HR_Data[[#This Row],[YearsAtCompany]]&lt;2,"0-1 Years",IF(HR_Data[[#This Row],[YearsAtCompany]]&lt;=5,"2-5 Years",IF(HR_Data[[#This Row],[YearsAtCompany]]&lt;=10,"6-10 Years","10+ Years")))</f>
        <v>2-5 Years</v>
      </c>
      <c r="AO1270" t="str">
        <f>IF(HR_Data[[#This Row],[JobSatisfaction]]=1,"Low",IF(HR_Data[[#This Row],[JobSatisfaction]]=2,"Medium",IF(HR_Data[[#This Row],[JobSatisfaction]]=3,"High","Very High")))</f>
        <v>High</v>
      </c>
      <c r="AP1270" t="str">
        <f>IF(HR_Data[[#This Row],[WorkLifeBalance]]=1,"Bad",IF(HR_Data[[#This Row],[WorkLifeBalance]]=2,"Good",IF(HR_Data[[#This Row],[WorkLifeBalance]]=3,"Better","Best")))</f>
        <v>Good</v>
      </c>
    </row>
    <row r="1271" spans="1:42"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IF(HR_Data[[#This Row],[Attrition]]="Yes",1,0)</f>
        <v>0</v>
      </c>
      <c r="AK1271">
        <f>IF(HR_Data[[#This Row],[Attrition]]="No",1,0)</f>
        <v>1</v>
      </c>
      <c r="AL1271" t="str">
        <f>IF(HR_Data[[#This Row],[Age]]&lt;25,"Under 25",IF(HR_Data[[#This Row],[Age]]&lt;=34,"25-34",IF(HR_Data[[#This Row],[Age]]&lt;=44,"35-44",IF(HR_Data[[#This Row],[Age]]&lt;=54,"45-54","55+"))))</f>
        <v>35-44</v>
      </c>
      <c r="AM1271" t="str">
        <f>IF(HR_Data[[#This Row],[MonthlyIncome]]&lt;3000,"Low Salary",IF(HR_Data[[#This Row],[MonthlyIncome]]&lt;=7000,"Medium Salary","High Salary"))</f>
        <v>Medium Salary</v>
      </c>
      <c r="AN1271" t="str">
        <f>IF(HR_Data[[#This Row],[YearsAtCompany]]&lt;2,"0-1 Years",IF(HR_Data[[#This Row],[YearsAtCompany]]&lt;=5,"2-5 Years",IF(HR_Data[[#This Row],[YearsAtCompany]]&lt;=10,"6-10 Years","10+ Years")))</f>
        <v>6-10 Years</v>
      </c>
      <c r="AO1271" t="str">
        <f>IF(HR_Data[[#This Row],[JobSatisfaction]]=1,"Low",IF(HR_Data[[#This Row],[JobSatisfaction]]=2,"Medium",IF(HR_Data[[#This Row],[JobSatisfaction]]=3,"High","Very High")))</f>
        <v>Very High</v>
      </c>
      <c r="AP1271" t="str">
        <f>IF(HR_Data[[#This Row],[WorkLifeBalance]]=1,"Bad",IF(HR_Data[[#This Row],[WorkLifeBalance]]=2,"Good",IF(HR_Data[[#This Row],[WorkLifeBalance]]=3,"Better","Best")))</f>
        <v>Better</v>
      </c>
    </row>
    <row r="1272" spans="1:42"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IF(HR_Data[[#This Row],[Attrition]]="Yes",1,0)</f>
        <v>0</v>
      </c>
      <c r="AK1272">
        <f>IF(HR_Data[[#This Row],[Attrition]]="No",1,0)</f>
        <v>1</v>
      </c>
      <c r="AL1272" t="str">
        <f>IF(HR_Data[[#This Row],[Age]]&lt;25,"Under 25",IF(HR_Data[[#This Row],[Age]]&lt;=34,"25-34",IF(HR_Data[[#This Row],[Age]]&lt;=44,"35-44",IF(HR_Data[[#This Row],[Age]]&lt;=54,"45-54","55+"))))</f>
        <v>25-34</v>
      </c>
      <c r="AM1272" t="str">
        <f>IF(HR_Data[[#This Row],[MonthlyIncome]]&lt;3000,"Low Salary",IF(HR_Data[[#This Row],[MonthlyIncome]]&lt;=7000,"Medium Salary","High Salary"))</f>
        <v>Medium Salary</v>
      </c>
      <c r="AN1272" t="str">
        <f>IF(HR_Data[[#This Row],[YearsAtCompany]]&lt;2,"0-1 Years",IF(HR_Data[[#This Row],[YearsAtCompany]]&lt;=5,"2-5 Years",IF(HR_Data[[#This Row],[YearsAtCompany]]&lt;=10,"6-10 Years","10+ Years")))</f>
        <v>2-5 Years</v>
      </c>
      <c r="AO1272" t="str">
        <f>IF(HR_Data[[#This Row],[JobSatisfaction]]=1,"Low",IF(HR_Data[[#This Row],[JobSatisfaction]]=2,"Medium",IF(HR_Data[[#This Row],[JobSatisfaction]]=3,"High","Very High")))</f>
        <v>Very High</v>
      </c>
      <c r="AP1272" t="str">
        <f>IF(HR_Data[[#This Row],[WorkLifeBalance]]=1,"Bad",IF(HR_Data[[#This Row],[WorkLifeBalance]]=2,"Good",IF(HR_Data[[#This Row],[WorkLifeBalance]]=3,"Better","Best")))</f>
        <v>Better</v>
      </c>
    </row>
    <row r="1273" spans="1:42"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IF(HR_Data[[#This Row],[Attrition]]="Yes",1,0)</f>
        <v>1</v>
      </c>
      <c r="AK1273">
        <f>IF(HR_Data[[#This Row],[Attrition]]="No",1,0)</f>
        <v>0</v>
      </c>
      <c r="AL1273" t="str">
        <f>IF(HR_Data[[#This Row],[Age]]&lt;25,"Under 25",IF(HR_Data[[#This Row],[Age]]&lt;=34,"25-34",IF(HR_Data[[#This Row],[Age]]&lt;=44,"35-44",IF(HR_Data[[#This Row],[Age]]&lt;=54,"45-54","55+"))))</f>
        <v>Under 25</v>
      </c>
      <c r="AM1273" t="str">
        <f>IF(HR_Data[[#This Row],[MonthlyIncome]]&lt;3000,"Low Salary",IF(HR_Data[[#This Row],[MonthlyIncome]]&lt;=7000,"Medium Salary","High Salary"))</f>
        <v>Low Salary</v>
      </c>
      <c r="AN1273" t="str">
        <f>IF(HR_Data[[#This Row],[YearsAtCompany]]&lt;2,"0-1 Years",IF(HR_Data[[#This Row],[YearsAtCompany]]&lt;=5,"2-5 Years",IF(HR_Data[[#This Row],[YearsAtCompany]]&lt;=10,"6-10 Years","10+ Years")))</f>
        <v>0-1 Years</v>
      </c>
      <c r="AO1273" t="str">
        <f>IF(HR_Data[[#This Row],[JobSatisfaction]]=1,"Low",IF(HR_Data[[#This Row],[JobSatisfaction]]=2,"Medium",IF(HR_Data[[#This Row],[JobSatisfaction]]=3,"High","Very High")))</f>
        <v>Medium</v>
      </c>
      <c r="AP1273" t="str">
        <f>IF(HR_Data[[#This Row],[WorkLifeBalance]]=1,"Bad",IF(HR_Data[[#This Row],[WorkLifeBalance]]=2,"Good",IF(HR_Data[[#This Row],[WorkLifeBalance]]=3,"Better","Best")))</f>
        <v>Better</v>
      </c>
    </row>
    <row r="1274" spans="1:42"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IF(HR_Data[[#This Row],[Attrition]]="Yes",1,0)</f>
        <v>0</v>
      </c>
      <c r="AK1274">
        <f>IF(HR_Data[[#This Row],[Attrition]]="No",1,0)</f>
        <v>1</v>
      </c>
      <c r="AL1274" t="str">
        <f>IF(HR_Data[[#This Row],[Age]]&lt;25,"Under 25",IF(HR_Data[[#This Row],[Age]]&lt;=34,"25-34",IF(HR_Data[[#This Row],[Age]]&lt;=44,"35-44",IF(HR_Data[[#This Row],[Age]]&lt;=54,"45-54","55+"))))</f>
        <v>35-44</v>
      </c>
      <c r="AM1274" t="str">
        <f>IF(HR_Data[[#This Row],[MonthlyIncome]]&lt;3000,"Low Salary",IF(HR_Data[[#This Row],[MonthlyIncome]]&lt;=7000,"Medium Salary","High Salary"))</f>
        <v>Medium Salary</v>
      </c>
      <c r="AN1274" t="str">
        <f>IF(HR_Data[[#This Row],[YearsAtCompany]]&lt;2,"0-1 Years",IF(HR_Data[[#This Row],[YearsAtCompany]]&lt;=5,"2-5 Years",IF(HR_Data[[#This Row],[YearsAtCompany]]&lt;=10,"6-10 Years","10+ Years")))</f>
        <v>2-5 Years</v>
      </c>
      <c r="AO1274" t="str">
        <f>IF(HR_Data[[#This Row],[JobSatisfaction]]=1,"Low",IF(HR_Data[[#This Row],[JobSatisfaction]]=2,"Medium",IF(HR_Data[[#This Row],[JobSatisfaction]]=3,"High","Very High")))</f>
        <v>High</v>
      </c>
      <c r="AP1274" t="str">
        <f>IF(HR_Data[[#This Row],[WorkLifeBalance]]=1,"Bad",IF(HR_Data[[#This Row],[WorkLifeBalance]]=2,"Good",IF(HR_Data[[#This Row],[WorkLifeBalance]]=3,"Better","Best")))</f>
        <v>Better</v>
      </c>
    </row>
    <row r="1275" spans="1:42"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IF(HR_Data[[#This Row],[Attrition]]="Yes",1,0)</f>
        <v>1</v>
      </c>
      <c r="AK1275">
        <f>IF(HR_Data[[#This Row],[Attrition]]="No",1,0)</f>
        <v>0</v>
      </c>
      <c r="AL1275" t="str">
        <f>IF(HR_Data[[#This Row],[Age]]&lt;25,"Under 25",IF(HR_Data[[#This Row],[Age]]&lt;=34,"25-34",IF(HR_Data[[#This Row],[Age]]&lt;=44,"35-44",IF(HR_Data[[#This Row],[Age]]&lt;=54,"45-54","55+"))))</f>
        <v>Under 25</v>
      </c>
      <c r="AM1275" t="str">
        <f>IF(HR_Data[[#This Row],[MonthlyIncome]]&lt;3000,"Low Salary",IF(HR_Data[[#This Row],[MonthlyIncome]]&lt;=7000,"Medium Salary","High Salary"))</f>
        <v>Low Salary</v>
      </c>
      <c r="AN1275" t="str">
        <f>IF(HR_Data[[#This Row],[YearsAtCompany]]&lt;2,"0-1 Years",IF(HR_Data[[#This Row],[YearsAtCompany]]&lt;=5,"2-5 Years",IF(HR_Data[[#This Row],[YearsAtCompany]]&lt;=10,"6-10 Years","10+ Years")))</f>
        <v>0-1 Years</v>
      </c>
      <c r="AO1275" t="str">
        <f>IF(HR_Data[[#This Row],[JobSatisfaction]]=1,"Low",IF(HR_Data[[#This Row],[JobSatisfaction]]=2,"Medium",IF(HR_Data[[#This Row],[JobSatisfaction]]=3,"High","Very High")))</f>
        <v>Low</v>
      </c>
      <c r="AP1275" t="str">
        <f>IF(HR_Data[[#This Row],[WorkLifeBalance]]=1,"Bad",IF(HR_Data[[#This Row],[WorkLifeBalance]]=2,"Good",IF(HR_Data[[#This Row],[WorkLifeBalance]]=3,"Better","Best")))</f>
        <v>Better</v>
      </c>
    </row>
    <row r="1276" spans="1:42"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IF(HR_Data[[#This Row],[Attrition]]="Yes",1,0)</f>
        <v>0</v>
      </c>
      <c r="AK1276">
        <f>IF(HR_Data[[#This Row],[Attrition]]="No",1,0)</f>
        <v>1</v>
      </c>
      <c r="AL1276" t="str">
        <f>IF(HR_Data[[#This Row],[Age]]&lt;25,"Under 25",IF(HR_Data[[#This Row],[Age]]&lt;=34,"25-34",IF(HR_Data[[#This Row],[Age]]&lt;=44,"35-44",IF(HR_Data[[#This Row],[Age]]&lt;=54,"45-54","55+"))))</f>
        <v>25-34</v>
      </c>
      <c r="AM1276" t="str">
        <f>IF(HR_Data[[#This Row],[MonthlyIncome]]&lt;3000,"Low Salary",IF(HR_Data[[#This Row],[MonthlyIncome]]&lt;=7000,"Medium Salary","High Salary"))</f>
        <v>Medium Salary</v>
      </c>
      <c r="AN1276" t="str">
        <f>IF(HR_Data[[#This Row],[YearsAtCompany]]&lt;2,"0-1 Years",IF(HR_Data[[#This Row],[YearsAtCompany]]&lt;=5,"2-5 Years",IF(HR_Data[[#This Row],[YearsAtCompany]]&lt;=10,"6-10 Years","10+ Years")))</f>
        <v>10+ Years</v>
      </c>
      <c r="AO1276" t="str">
        <f>IF(HR_Data[[#This Row],[JobSatisfaction]]=1,"Low",IF(HR_Data[[#This Row],[JobSatisfaction]]=2,"Medium",IF(HR_Data[[#This Row],[JobSatisfaction]]=3,"High","Very High")))</f>
        <v>Very High</v>
      </c>
      <c r="AP1276" t="str">
        <f>IF(HR_Data[[#This Row],[WorkLifeBalance]]=1,"Bad",IF(HR_Data[[#This Row],[WorkLifeBalance]]=2,"Good",IF(HR_Data[[#This Row],[WorkLifeBalance]]=3,"Better","Best")))</f>
        <v>Better</v>
      </c>
    </row>
    <row r="1277" spans="1:42"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IF(HR_Data[[#This Row],[Attrition]]="Yes",1,0)</f>
        <v>0</v>
      </c>
      <c r="AK1277">
        <f>IF(HR_Data[[#This Row],[Attrition]]="No",1,0)</f>
        <v>1</v>
      </c>
      <c r="AL1277" t="str">
        <f>IF(HR_Data[[#This Row],[Age]]&lt;25,"Under 25",IF(HR_Data[[#This Row],[Age]]&lt;=34,"25-34",IF(HR_Data[[#This Row],[Age]]&lt;=44,"35-44",IF(HR_Data[[#This Row],[Age]]&lt;=54,"45-54","55+"))))</f>
        <v>45-54</v>
      </c>
      <c r="AM1277" t="str">
        <f>IF(HR_Data[[#This Row],[MonthlyIncome]]&lt;3000,"Low Salary",IF(HR_Data[[#This Row],[MonthlyIncome]]&lt;=7000,"Medium Salary","High Salary"))</f>
        <v>High Salary</v>
      </c>
      <c r="AN1277" t="str">
        <f>IF(HR_Data[[#This Row],[YearsAtCompany]]&lt;2,"0-1 Years",IF(HR_Data[[#This Row],[YearsAtCompany]]&lt;=5,"2-5 Years",IF(HR_Data[[#This Row],[YearsAtCompany]]&lt;=10,"6-10 Years","10+ Years")))</f>
        <v>2-5 Years</v>
      </c>
      <c r="AO1277" t="str">
        <f>IF(HR_Data[[#This Row],[JobSatisfaction]]=1,"Low",IF(HR_Data[[#This Row],[JobSatisfaction]]=2,"Medium",IF(HR_Data[[#This Row],[JobSatisfaction]]=3,"High","Very High")))</f>
        <v>High</v>
      </c>
      <c r="AP1277" t="str">
        <f>IF(HR_Data[[#This Row],[WorkLifeBalance]]=1,"Bad",IF(HR_Data[[#This Row],[WorkLifeBalance]]=2,"Good",IF(HR_Data[[#This Row],[WorkLifeBalance]]=3,"Better","Best")))</f>
        <v>Better</v>
      </c>
    </row>
    <row r="1278" spans="1:42"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IF(HR_Data[[#This Row],[Attrition]]="Yes",1,0)</f>
        <v>0</v>
      </c>
      <c r="AK1278">
        <f>IF(HR_Data[[#This Row],[Attrition]]="No",1,0)</f>
        <v>1</v>
      </c>
      <c r="AL1278" t="str">
        <f>IF(HR_Data[[#This Row],[Age]]&lt;25,"Under 25",IF(HR_Data[[#This Row],[Age]]&lt;=34,"25-34",IF(HR_Data[[#This Row],[Age]]&lt;=44,"35-44",IF(HR_Data[[#This Row],[Age]]&lt;=54,"45-54","55+"))))</f>
        <v>35-44</v>
      </c>
      <c r="AM1278" t="str">
        <f>IF(HR_Data[[#This Row],[MonthlyIncome]]&lt;3000,"Low Salary",IF(HR_Data[[#This Row],[MonthlyIncome]]&lt;=7000,"Medium Salary","High Salary"))</f>
        <v>Medium Salary</v>
      </c>
      <c r="AN1278" t="str">
        <f>IF(HR_Data[[#This Row],[YearsAtCompany]]&lt;2,"0-1 Years",IF(HR_Data[[#This Row],[YearsAtCompany]]&lt;=5,"2-5 Years",IF(HR_Data[[#This Row],[YearsAtCompany]]&lt;=10,"6-10 Years","10+ Years")))</f>
        <v>2-5 Years</v>
      </c>
      <c r="AO1278" t="str">
        <f>IF(HR_Data[[#This Row],[JobSatisfaction]]=1,"Low",IF(HR_Data[[#This Row],[JobSatisfaction]]=2,"Medium",IF(HR_Data[[#This Row],[JobSatisfaction]]=3,"High","Very High")))</f>
        <v>Medium</v>
      </c>
      <c r="AP1278" t="str">
        <f>IF(HR_Data[[#This Row],[WorkLifeBalance]]=1,"Bad",IF(HR_Data[[#This Row],[WorkLifeBalance]]=2,"Good",IF(HR_Data[[#This Row],[WorkLifeBalance]]=3,"Better","Best")))</f>
        <v>Better</v>
      </c>
    </row>
    <row r="1279" spans="1:42"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IF(HR_Data[[#This Row],[Attrition]]="Yes",1,0)</f>
        <v>0</v>
      </c>
      <c r="AK1279">
        <f>IF(HR_Data[[#This Row],[Attrition]]="No",1,0)</f>
        <v>1</v>
      </c>
      <c r="AL1279" t="str">
        <f>IF(HR_Data[[#This Row],[Age]]&lt;25,"Under 25",IF(HR_Data[[#This Row],[Age]]&lt;=34,"25-34",IF(HR_Data[[#This Row],[Age]]&lt;=44,"35-44",IF(HR_Data[[#This Row],[Age]]&lt;=54,"45-54","55+"))))</f>
        <v>45-54</v>
      </c>
      <c r="AM1279" t="str">
        <f>IF(HR_Data[[#This Row],[MonthlyIncome]]&lt;3000,"Low Salary",IF(HR_Data[[#This Row],[MonthlyIncome]]&lt;=7000,"Medium Salary","High Salary"))</f>
        <v>High Salary</v>
      </c>
      <c r="AN1279" t="str">
        <f>IF(HR_Data[[#This Row],[YearsAtCompany]]&lt;2,"0-1 Years",IF(HR_Data[[#This Row],[YearsAtCompany]]&lt;=5,"2-5 Years",IF(HR_Data[[#This Row],[YearsAtCompany]]&lt;=10,"6-10 Years","10+ Years")))</f>
        <v>2-5 Years</v>
      </c>
      <c r="AO1279" t="str">
        <f>IF(HR_Data[[#This Row],[JobSatisfaction]]=1,"Low",IF(HR_Data[[#This Row],[JobSatisfaction]]=2,"Medium",IF(HR_Data[[#This Row],[JobSatisfaction]]=3,"High","Very High")))</f>
        <v>Very High</v>
      </c>
      <c r="AP1279" t="str">
        <f>IF(HR_Data[[#This Row],[WorkLifeBalance]]=1,"Bad",IF(HR_Data[[#This Row],[WorkLifeBalance]]=2,"Good",IF(HR_Data[[#This Row],[WorkLifeBalance]]=3,"Better","Best")))</f>
        <v>Better</v>
      </c>
    </row>
    <row r="1280" spans="1:42"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IF(HR_Data[[#This Row],[Attrition]]="Yes",1,0)</f>
        <v>0</v>
      </c>
      <c r="AK1280">
        <f>IF(HR_Data[[#This Row],[Attrition]]="No",1,0)</f>
        <v>1</v>
      </c>
      <c r="AL1280" t="str">
        <f>IF(HR_Data[[#This Row],[Age]]&lt;25,"Under 25",IF(HR_Data[[#This Row],[Age]]&lt;=34,"25-34",IF(HR_Data[[#This Row],[Age]]&lt;=44,"35-44",IF(HR_Data[[#This Row],[Age]]&lt;=54,"45-54","55+"))))</f>
        <v>35-44</v>
      </c>
      <c r="AM1280" t="str">
        <f>IF(HR_Data[[#This Row],[MonthlyIncome]]&lt;3000,"Low Salary",IF(HR_Data[[#This Row],[MonthlyIncome]]&lt;=7000,"Medium Salary","High Salary"))</f>
        <v>High Salary</v>
      </c>
      <c r="AN1280" t="str">
        <f>IF(HR_Data[[#This Row],[YearsAtCompany]]&lt;2,"0-1 Years",IF(HR_Data[[#This Row],[YearsAtCompany]]&lt;=5,"2-5 Years",IF(HR_Data[[#This Row],[YearsAtCompany]]&lt;=10,"6-10 Years","10+ Years")))</f>
        <v>10+ Years</v>
      </c>
      <c r="AO1280" t="str">
        <f>IF(HR_Data[[#This Row],[JobSatisfaction]]=1,"Low",IF(HR_Data[[#This Row],[JobSatisfaction]]=2,"Medium",IF(HR_Data[[#This Row],[JobSatisfaction]]=3,"High","Very High")))</f>
        <v>Low</v>
      </c>
      <c r="AP1280" t="str">
        <f>IF(HR_Data[[#This Row],[WorkLifeBalance]]=1,"Bad",IF(HR_Data[[#This Row],[WorkLifeBalance]]=2,"Good",IF(HR_Data[[#This Row],[WorkLifeBalance]]=3,"Better","Best")))</f>
        <v>Better</v>
      </c>
    </row>
    <row r="1281" spans="1:42"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IF(HR_Data[[#This Row],[Attrition]]="Yes",1,0)</f>
        <v>1</v>
      </c>
      <c r="AK1281">
        <f>IF(HR_Data[[#This Row],[Attrition]]="No",1,0)</f>
        <v>0</v>
      </c>
      <c r="AL1281" t="str">
        <f>IF(HR_Data[[#This Row],[Age]]&lt;25,"Under 25",IF(HR_Data[[#This Row],[Age]]&lt;=34,"25-34",IF(HR_Data[[#This Row],[Age]]&lt;=44,"35-44",IF(HR_Data[[#This Row],[Age]]&lt;=54,"45-54","55+"))))</f>
        <v>35-44</v>
      </c>
      <c r="AM1281" t="str">
        <f>IF(HR_Data[[#This Row],[MonthlyIncome]]&lt;3000,"Low Salary",IF(HR_Data[[#This Row],[MonthlyIncome]]&lt;=7000,"Medium Salary","High Salary"))</f>
        <v>Low Salary</v>
      </c>
      <c r="AN1281" t="str">
        <f>IF(HR_Data[[#This Row],[YearsAtCompany]]&lt;2,"0-1 Years",IF(HR_Data[[#This Row],[YearsAtCompany]]&lt;=5,"2-5 Years",IF(HR_Data[[#This Row],[YearsAtCompany]]&lt;=10,"6-10 Years","10+ Years")))</f>
        <v>2-5 Years</v>
      </c>
      <c r="AO1281" t="str">
        <f>IF(HR_Data[[#This Row],[JobSatisfaction]]=1,"Low",IF(HR_Data[[#This Row],[JobSatisfaction]]=2,"Medium",IF(HR_Data[[#This Row],[JobSatisfaction]]=3,"High","Very High")))</f>
        <v>Medium</v>
      </c>
      <c r="AP1281" t="str">
        <f>IF(HR_Data[[#This Row],[WorkLifeBalance]]=1,"Bad",IF(HR_Data[[#This Row],[WorkLifeBalance]]=2,"Good",IF(HR_Data[[#This Row],[WorkLifeBalance]]=3,"Better","Best")))</f>
        <v>Good</v>
      </c>
    </row>
    <row r="1282" spans="1:42"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IF(HR_Data[[#This Row],[Attrition]]="Yes",1,0)</f>
        <v>0</v>
      </c>
      <c r="AK1282">
        <f>IF(HR_Data[[#This Row],[Attrition]]="No",1,0)</f>
        <v>1</v>
      </c>
      <c r="AL1282" t="str">
        <f>IF(HR_Data[[#This Row],[Age]]&lt;25,"Under 25",IF(HR_Data[[#This Row],[Age]]&lt;=34,"25-34",IF(HR_Data[[#This Row],[Age]]&lt;=44,"35-44",IF(HR_Data[[#This Row],[Age]]&lt;=54,"45-54","55+"))))</f>
        <v>35-44</v>
      </c>
      <c r="AM1282" t="str">
        <f>IF(HR_Data[[#This Row],[MonthlyIncome]]&lt;3000,"Low Salary",IF(HR_Data[[#This Row],[MonthlyIncome]]&lt;=7000,"Medium Salary","High Salary"))</f>
        <v>Medium Salary</v>
      </c>
      <c r="AN1282" t="str">
        <f>IF(HR_Data[[#This Row],[YearsAtCompany]]&lt;2,"0-1 Years",IF(HR_Data[[#This Row],[YearsAtCompany]]&lt;=5,"2-5 Years",IF(HR_Data[[#This Row],[YearsAtCompany]]&lt;=10,"6-10 Years","10+ Years")))</f>
        <v>6-10 Years</v>
      </c>
      <c r="AO1282" t="str">
        <f>IF(HR_Data[[#This Row],[JobSatisfaction]]=1,"Low",IF(HR_Data[[#This Row],[JobSatisfaction]]=2,"Medium",IF(HR_Data[[#This Row],[JobSatisfaction]]=3,"High","Very High")))</f>
        <v>Medium</v>
      </c>
      <c r="AP1282" t="str">
        <f>IF(HR_Data[[#This Row],[WorkLifeBalance]]=1,"Bad",IF(HR_Data[[#This Row],[WorkLifeBalance]]=2,"Good",IF(HR_Data[[#This Row],[WorkLifeBalance]]=3,"Better","Best")))</f>
        <v>Good</v>
      </c>
    </row>
    <row r="1283" spans="1:42"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IF(HR_Data[[#This Row],[Attrition]]="Yes",1,0)</f>
        <v>1</v>
      </c>
      <c r="AK1283">
        <f>IF(HR_Data[[#This Row],[Attrition]]="No",1,0)</f>
        <v>0</v>
      </c>
      <c r="AL1283" t="str">
        <f>IF(HR_Data[[#This Row],[Age]]&lt;25,"Under 25",IF(HR_Data[[#This Row],[Age]]&lt;=34,"25-34",IF(HR_Data[[#This Row],[Age]]&lt;=44,"35-44",IF(HR_Data[[#This Row],[Age]]&lt;=54,"45-54","55+"))))</f>
        <v>35-44</v>
      </c>
      <c r="AM1283" t="str">
        <f>IF(HR_Data[[#This Row],[MonthlyIncome]]&lt;3000,"Low Salary",IF(HR_Data[[#This Row],[MonthlyIncome]]&lt;=7000,"Medium Salary","High Salary"))</f>
        <v>Medium Salary</v>
      </c>
      <c r="AN1283" t="str">
        <f>IF(HR_Data[[#This Row],[YearsAtCompany]]&lt;2,"0-1 Years",IF(HR_Data[[#This Row],[YearsAtCompany]]&lt;=5,"2-5 Years",IF(HR_Data[[#This Row],[YearsAtCompany]]&lt;=10,"6-10 Years","10+ Years")))</f>
        <v>6-10 Years</v>
      </c>
      <c r="AO1283" t="str">
        <f>IF(HR_Data[[#This Row],[JobSatisfaction]]=1,"Low",IF(HR_Data[[#This Row],[JobSatisfaction]]=2,"Medium",IF(HR_Data[[#This Row],[JobSatisfaction]]=3,"High","Very High")))</f>
        <v>Very High</v>
      </c>
      <c r="AP1283" t="str">
        <f>IF(HR_Data[[#This Row],[WorkLifeBalance]]=1,"Bad",IF(HR_Data[[#This Row],[WorkLifeBalance]]=2,"Good",IF(HR_Data[[#This Row],[WorkLifeBalance]]=3,"Better","Best")))</f>
        <v>Better</v>
      </c>
    </row>
    <row r="1284" spans="1:42"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IF(HR_Data[[#This Row],[Attrition]]="Yes",1,0)</f>
        <v>0</v>
      </c>
      <c r="AK1284">
        <f>IF(HR_Data[[#This Row],[Attrition]]="No",1,0)</f>
        <v>1</v>
      </c>
      <c r="AL1284" t="str">
        <f>IF(HR_Data[[#This Row],[Age]]&lt;25,"Under 25",IF(HR_Data[[#This Row],[Age]]&lt;=34,"25-34",IF(HR_Data[[#This Row],[Age]]&lt;=44,"35-44",IF(HR_Data[[#This Row],[Age]]&lt;=54,"45-54","55+"))))</f>
        <v>25-34</v>
      </c>
      <c r="AM1284" t="str">
        <f>IF(HR_Data[[#This Row],[MonthlyIncome]]&lt;3000,"Low Salary",IF(HR_Data[[#This Row],[MonthlyIncome]]&lt;=7000,"Medium Salary","High Salary"))</f>
        <v>Medium Salary</v>
      </c>
      <c r="AN1284" t="str">
        <f>IF(HR_Data[[#This Row],[YearsAtCompany]]&lt;2,"0-1 Years",IF(HR_Data[[#This Row],[YearsAtCompany]]&lt;=5,"2-5 Years",IF(HR_Data[[#This Row],[YearsAtCompany]]&lt;=10,"6-10 Years","10+ Years")))</f>
        <v>6-10 Years</v>
      </c>
      <c r="AO1284" t="str">
        <f>IF(HR_Data[[#This Row],[JobSatisfaction]]=1,"Low",IF(HR_Data[[#This Row],[JobSatisfaction]]=2,"Medium",IF(HR_Data[[#This Row],[JobSatisfaction]]=3,"High","Very High")))</f>
        <v>Low</v>
      </c>
      <c r="AP1284" t="str">
        <f>IF(HR_Data[[#This Row],[WorkLifeBalance]]=1,"Bad",IF(HR_Data[[#This Row],[WorkLifeBalance]]=2,"Good",IF(HR_Data[[#This Row],[WorkLifeBalance]]=3,"Better","Best")))</f>
        <v>Better</v>
      </c>
    </row>
    <row r="1285" spans="1:42"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IF(HR_Data[[#This Row],[Attrition]]="Yes",1,0)</f>
        <v>0</v>
      </c>
      <c r="AK1285">
        <f>IF(HR_Data[[#This Row],[Attrition]]="No",1,0)</f>
        <v>1</v>
      </c>
      <c r="AL1285" t="str">
        <f>IF(HR_Data[[#This Row],[Age]]&lt;25,"Under 25",IF(HR_Data[[#This Row],[Age]]&lt;=34,"25-34",IF(HR_Data[[#This Row],[Age]]&lt;=44,"35-44",IF(HR_Data[[#This Row],[Age]]&lt;=54,"45-54","55+"))))</f>
        <v>25-34</v>
      </c>
      <c r="AM1285" t="str">
        <f>IF(HR_Data[[#This Row],[MonthlyIncome]]&lt;3000,"Low Salary",IF(HR_Data[[#This Row],[MonthlyIncome]]&lt;=7000,"Medium Salary","High Salary"))</f>
        <v>Low Salary</v>
      </c>
      <c r="AN1285" t="str">
        <f>IF(HR_Data[[#This Row],[YearsAtCompany]]&lt;2,"0-1 Years",IF(HR_Data[[#This Row],[YearsAtCompany]]&lt;=5,"2-5 Years",IF(HR_Data[[#This Row],[YearsAtCompany]]&lt;=10,"6-10 Years","10+ Years")))</f>
        <v>2-5 Years</v>
      </c>
      <c r="AO1285" t="str">
        <f>IF(HR_Data[[#This Row],[JobSatisfaction]]=1,"Low",IF(HR_Data[[#This Row],[JobSatisfaction]]=2,"Medium",IF(HR_Data[[#This Row],[JobSatisfaction]]=3,"High","Very High")))</f>
        <v>Very High</v>
      </c>
      <c r="AP1285" t="str">
        <f>IF(HR_Data[[#This Row],[WorkLifeBalance]]=1,"Bad",IF(HR_Data[[#This Row],[WorkLifeBalance]]=2,"Good",IF(HR_Data[[#This Row],[WorkLifeBalance]]=3,"Better","Best")))</f>
        <v>Best</v>
      </c>
    </row>
    <row r="1286" spans="1:42"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IF(HR_Data[[#This Row],[Attrition]]="Yes",1,0)</f>
        <v>0</v>
      </c>
      <c r="AK1286">
        <f>IF(HR_Data[[#This Row],[Attrition]]="No",1,0)</f>
        <v>1</v>
      </c>
      <c r="AL1286" t="str">
        <f>IF(HR_Data[[#This Row],[Age]]&lt;25,"Under 25",IF(HR_Data[[#This Row],[Age]]&lt;=34,"25-34",IF(HR_Data[[#This Row],[Age]]&lt;=44,"35-44",IF(HR_Data[[#This Row],[Age]]&lt;=54,"45-54","55+"))))</f>
        <v>35-44</v>
      </c>
      <c r="AM1286" t="str">
        <f>IF(HR_Data[[#This Row],[MonthlyIncome]]&lt;3000,"Low Salary",IF(HR_Data[[#This Row],[MonthlyIncome]]&lt;=7000,"Medium Salary","High Salary"))</f>
        <v>High Salary</v>
      </c>
      <c r="AN1286" t="str">
        <f>IF(HR_Data[[#This Row],[YearsAtCompany]]&lt;2,"0-1 Years",IF(HR_Data[[#This Row],[YearsAtCompany]]&lt;=5,"2-5 Years",IF(HR_Data[[#This Row],[YearsAtCompany]]&lt;=10,"6-10 Years","10+ Years")))</f>
        <v>2-5 Years</v>
      </c>
      <c r="AO1286" t="str">
        <f>IF(HR_Data[[#This Row],[JobSatisfaction]]=1,"Low",IF(HR_Data[[#This Row],[JobSatisfaction]]=2,"Medium",IF(HR_Data[[#This Row],[JobSatisfaction]]=3,"High","Very High")))</f>
        <v>High</v>
      </c>
      <c r="AP1286" t="str">
        <f>IF(HR_Data[[#This Row],[WorkLifeBalance]]=1,"Bad",IF(HR_Data[[#This Row],[WorkLifeBalance]]=2,"Good",IF(HR_Data[[#This Row],[WorkLifeBalance]]=3,"Better","Best")))</f>
        <v>Better</v>
      </c>
    </row>
    <row r="1287" spans="1:42"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IF(HR_Data[[#This Row],[Attrition]]="Yes",1,0)</f>
        <v>0</v>
      </c>
      <c r="AK1287">
        <f>IF(HR_Data[[#This Row],[Attrition]]="No",1,0)</f>
        <v>1</v>
      </c>
      <c r="AL1287" t="str">
        <f>IF(HR_Data[[#This Row],[Age]]&lt;25,"Under 25",IF(HR_Data[[#This Row],[Age]]&lt;=34,"25-34",IF(HR_Data[[#This Row],[Age]]&lt;=44,"35-44",IF(HR_Data[[#This Row],[Age]]&lt;=54,"45-54","55+"))))</f>
        <v>45-54</v>
      </c>
      <c r="AM1287" t="str">
        <f>IF(HR_Data[[#This Row],[MonthlyIncome]]&lt;3000,"Low Salary",IF(HR_Data[[#This Row],[MonthlyIncome]]&lt;=7000,"Medium Salary","High Salary"))</f>
        <v>High Salary</v>
      </c>
      <c r="AN1287" t="str">
        <f>IF(HR_Data[[#This Row],[YearsAtCompany]]&lt;2,"0-1 Years",IF(HR_Data[[#This Row],[YearsAtCompany]]&lt;=5,"2-5 Years",IF(HR_Data[[#This Row],[YearsAtCompany]]&lt;=10,"6-10 Years","10+ Years")))</f>
        <v>2-5 Years</v>
      </c>
      <c r="AO1287" t="str">
        <f>IF(HR_Data[[#This Row],[JobSatisfaction]]=1,"Low",IF(HR_Data[[#This Row],[JobSatisfaction]]=2,"Medium",IF(HR_Data[[#This Row],[JobSatisfaction]]=3,"High","Very High")))</f>
        <v>Medium</v>
      </c>
      <c r="AP1287" t="str">
        <f>IF(HR_Data[[#This Row],[WorkLifeBalance]]=1,"Bad",IF(HR_Data[[#This Row],[WorkLifeBalance]]=2,"Good",IF(HR_Data[[#This Row],[WorkLifeBalance]]=3,"Better","Best")))</f>
        <v>Better</v>
      </c>
    </row>
    <row r="1288" spans="1:42"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IF(HR_Data[[#This Row],[Attrition]]="Yes",1,0)</f>
        <v>0</v>
      </c>
      <c r="AK1288">
        <f>IF(HR_Data[[#This Row],[Attrition]]="No",1,0)</f>
        <v>1</v>
      </c>
      <c r="AL1288" t="str">
        <f>IF(HR_Data[[#This Row],[Age]]&lt;25,"Under 25",IF(HR_Data[[#This Row],[Age]]&lt;=34,"25-34",IF(HR_Data[[#This Row],[Age]]&lt;=44,"35-44",IF(HR_Data[[#This Row],[Age]]&lt;=54,"45-54","55+"))))</f>
        <v>35-44</v>
      </c>
      <c r="AM1288" t="str">
        <f>IF(HR_Data[[#This Row],[MonthlyIncome]]&lt;3000,"Low Salary",IF(HR_Data[[#This Row],[MonthlyIncome]]&lt;=7000,"Medium Salary","High Salary"))</f>
        <v>Medium Salary</v>
      </c>
      <c r="AN1288" t="str">
        <f>IF(HR_Data[[#This Row],[YearsAtCompany]]&lt;2,"0-1 Years",IF(HR_Data[[#This Row],[YearsAtCompany]]&lt;=5,"2-5 Years",IF(HR_Data[[#This Row],[YearsAtCompany]]&lt;=10,"6-10 Years","10+ Years")))</f>
        <v>2-5 Years</v>
      </c>
      <c r="AO1288" t="str">
        <f>IF(HR_Data[[#This Row],[JobSatisfaction]]=1,"Low",IF(HR_Data[[#This Row],[JobSatisfaction]]=2,"Medium",IF(HR_Data[[#This Row],[JobSatisfaction]]=3,"High","Very High")))</f>
        <v>Low</v>
      </c>
      <c r="AP1288" t="str">
        <f>IF(HR_Data[[#This Row],[WorkLifeBalance]]=1,"Bad",IF(HR_Data[[#This Row],[WorkLifeBalance]]=2,"Good",IF(HR_Data[[#This Row],[WorkLifeBalance]]=3,"Better","Best")))</f>
        <v>Good</v>
      </c>
    </row>
    <row r="1289" spans="1:42"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IF(HR_Data[[#This Row],[Attrition]]="Yes",1,0)</f>
        <v>0</v>
      </c>
      <c r="AK1289">
        <f>IF(HR_Data[[#This Row],[Attrition]]="No",1,0)</f>
        <v>1</v>
      </c>
      <c r="AL1289" t="str">
        <f>IF(HR_Data[[#This Row],[Age]]&lt;25,"Under 25",IF(HR_Data[[#This Row],[Age]]&lt;=34,"25-34",IF(HR_Data[[#This Row],[Age]]&lt;=44,"35-44",IF(HR_Data[[#This Row],[Age]]&lt;=54,"45-54","55+"))))</f>
        <v>35-44</v>
      </c>
      <c r="AM1289" t="str">
        <f>IF(HR_Data[[#This Row],[MonthlyIncome]]&lt;3000,"Low Salary",IF(HR_Data[[#This Row],[MonthlyIncome]]&lt;=7000,"Medium Salary","High Salary"))</f>
        <v>Medium Salary</v>
      </c>
      <c r="AN1289" t="str">
        <f>IF(HR_Data[[#This Row],[YearsAtCompany]]&lt;2,"0-1 Years",IF(HR_Data[[#This Row],[YearsAtCompany]]&lt;=5,"2-5 Years",IF(HR_Data[[#This Row],[YearsAtCompany]]&lt;=10,"6-10 Years","10+ Years")))</f>
        <v>0-1 Years</v>
      </c>
      <c r="AO1289" t="str">
        <f>IF(HR_Data[[#This Row],[JobSatisfaction]]=1,"Low",IF(HR_Data[[#This Row],[JobSatisfaction]]=2,"Medium",IF(HR_Data[[#This Row],[JobSatisfaction]]=3,"High","Very High")))</f>
        <v>Low</v>
      </c>
      <c r="AP1289" t="str">
        <f>IF(HR_Data[[#This Row],[WorkLifeBalance]]=1,"Bad",IF(HR_Data[[#This Row],[WorkLifeBalance]]=2,"Good",IF(HR_Data[[#This Row],[WorkLifeBalance]]=3,"Better","Best")))</f>
        <v>Good</v>
      </c>
    </row>
    <row r="1290" spans="1:42"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IF(HR_Data[[#This Row],[Attrition]]="Yes",1,0)</f>
        <v>0</v>
      </c>
      <c r="AK1290">
        <f>IF(HR_Data[[#This Row],[Attrition]]="No",1,0)</f>
        <v>1</v>
      </c>
      <c r="AL1290" t="str">
        <f>IF(HR_Data[[#This Row],[Age]]&lt;25,"Under 25",IF(HR_Data[[#This Row],[Age]]&lt;=34,"25-34",IF(HR_Data[[#This Row],[Age]]&lt;=44,"35-44",IF(HR_Data[[#This Row],[Age]]&lt;=54,"45-54","55+"))))</f>
        <v>35-44</v>
      </c>
      <c r="AM1290" t="str">
        <f>IF(HR_Data[[#This Row],[MonthlyIncome]]&lt;3000,"Low Salary",IF(HR_Data[[#This Row],[MonthlyIncome]]&lt;=7000,"Medium Salary","High Salary"))</f>
        <v>Medium Salary</v>
      </c>
      <c r="AN1290" t="str">
        <f>IF(HR_Data[[#This Row],[YearsAtCompany]]&lt;2,"0-1 Years",IF(HR_Data[[#This Row],[YearsAtCompany]]&lt;=5,"2-5 Years",IF(HR_Data[[#This Row],[YearsAtCompany]]&lt;=10,"6-10 Years","10+ Years")))</f>
        <v>6-10 Years</v>
      </c>
      <c r="AO1290" t="str">
        <f>IF(HR_Data[[#This Row],[JobSatisfaction]]=1,"Low",IF(HR_Data[[#This Row],[JobSatisfaction]]=2,"Medium",IF(HR_Data[[#This Row],[JobSatisfaction]]=3,"High","Very High")))</f>
        <v>Very High</v>
      </c>
      <c r="AP1290" t="str">
        <f>IF(HR_Data[[#This Row],[WorkLifeBalance]]=1,"Bad",IF(HR_Data[[#This Row],[WorkLifeBalance]]=2,"Good",IF(HR_Data[[#This Row],[WorkLifeBalance]]=3,"Better","Best")))</f>
        <v>Better</v>
      </c>
    </row>
    <row r="1291" spans="1:42"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IF(HR_Data[[#This Row],[Attrition]]="Yes",1,0)</f>
        <v>0</v>
      </c>
      <c r="AK1291">
        <f>IF(HR_Data[[#This Row],[Attrition]]="No",1,0)</f>
        <v>1</v>
      </c>
      <c r="AL1291" t="str">
        <f>IF(HR_Data[[#This Row],[Age]]&lt;25,"Under 25",IF(HR_Data[[#This Row],[Age]]&lt;=34,"25-34",IF(HR_Data[[#This Row],[Age]]&lt;=44,"35-44",IF(HR_Data[[#This Row],[Age]]&lt;=54,"45-54","55+"))))</f>
        <v>35-44</v>
      </c>
      <c r="AM1291" t="str">
        <f>IF(HR_Data[[#This Row],[MonthlyIncome]]&lt;3000,"Low Salary",IF(HR_Data[[#This Row],[MonthlyIncome]]&lt;=7000,"Medium Salary","High Salary"))</f>
        <v>Low Salary</v>
      </c>
      <c r="AN1291" t="str">
        <f>IF(HR_Data[[#This Row],[YearsAtCompany]]&lt;2,"0-1 Years",IF(HR_Data[[#This Row],[YearsAtCompany]]&lt;=5,"2-5 Years",IF(HR_Data[[#This Row],[YearsAtCompany]]&lt;=10,"6-10 Years","10+ Years")))</f>
        <v>10+ Years</v>
      </c>
      <c r="AO1291" t="str">
        <f>IF(HR_Data[[#This Row],[JobSatisfaction]]=1,"Low",IF(HR_Data[[#This Row],[JobSatisfaction]]=2,"Medium",IF(HR_Data[[#This Row],[JobSatisfaction]]=3,"High","Very High")))</f>
        <v>Medium</v>
      </c>
      <c r="AP1291" t="str">
        <f>IF(HR_Data[[#This Row],[WorkLifeBalance]]=1,"Bad",IF(HR_Data[[#This Row],[WorkLifeBalance]]=2,"Good",IF(HR_Data[[#This Row],[WorkLifeBalance]]=3,"Better","Best")))</f>
        <v>Better</v>
      </c>
    </row>
    <row r="1292" spans="1:42"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IF(HR_Data[[#This Row],[Attrition]]="Yes",1,0)</f>
        <v>1</v>
      </c>
      <c r="AK1292">
        <f>IF(HR_Data[[#This Row],[Attrition]]="No",1,0)</f>
        <v>0</v>
      </c>
      <c r="AL1292" t="str">
        <f>IF(HR_Data[[#This Row],[Age]]&lt;25,"Under 25",IF(HR_Data[[#This Row],[Age]]&lt;=34,"25-34",IF(HR_Data[[#This Row],[Age]]&lt;=44,"35-44",IF(HR_Data[[#This Row],[Age]]&lt;=54,"45-54","55+"))))</f>
        <v>25-34</v>
      </c>
      <c r="AM1292" t="str">
        <f>IF(HR_Data[[#This Row],[MonthlyIncome]]&lt;3000,"Low Salary",IF(HR_Data[[#This Row],[MonthlyIncome]]&lt;=7000,"Medium Salary","High Salary"))</f>
        <v>Medium Salary</v>
      </c>
      <c r="AN1292" t="str">
        <f>IF(HR_Data[[#This Row],[YearsAtCompany]]&lt;2,"0-1 Years",IF(HR_Data[[#This Row],[YearsAtCompany]]&lt;=5,"2-5 Years",IF(HR_Data[[#This Row],[YearsAtCompany]]&lt;=10,"6-10 Years","10+ Years")))</f>
        <v>6-10 Years</v>
      </c>
      <c r="AO1292" t="str">
        <f>IF(HR_Data[[#This Row],[JobSatisfaction]]=1,"Low",IF(HR_Data[[#This Row],[JobSatisfaction]]=2,"Medium",IF(HR_Data[[#This Row],[JobSatisfaction]]=3,"High","Very High")))</f>
        <v>Low</v>
      </c>
      <c r="AP1292" t="str">
        <f>IF(HR_Data[[#This Row],[WorkLifeBalance]]=1,"Bad",IF(HR_Data[[#This Row],[WorkLifeBalance]]=2,"Good",IF(HR_Data[[#This Row],[WorkLifeBalance]]=3,"Better","Best")))</f>
        <v>Good</v>
      </c>
    </row>
    <row r="1293" spans="1:42"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IF(HR_Data[[#This Row],[Attrition]]="Yes",1,0)</f>
        <v>1</v>
      </c>
      <c r="AK1293">
        <f>IF(HR_Data[[#This Row],[Attrition]]="No",1,0)</f>
        <v>0</v>
      </c>
      <c r="AL1293" t="str">
        <f>IF(HR_Data[[#This Row],[Age]]&lt;25,"Under 25",IF(HR_Data[[#This Row],[Age]]&lt;=34,"25-34",IF(HR_Data[[#This Row],[Age]]&lt;=44,"35-44",IF(HR_Data[[#This Row],[Age]]&lt;=54,"45-54","55+"))))</f>
        <v>35-44</v>
      </c>
      <c r="AM1293" t="str">
        <f>IF(HR_Data[[#This Row],[MonthlyIncome]]&lt;3000,"Low Salary",IF(HR_Data[[#This Row],[MonthlyIncome]]&lt;=7000,"Medium Salary","High Salary"))</f>
        <v>Medium Salary</v>
      </c>
      <c r="AN1293" t="str">
        <f>IF(HR_Data[[#This Row],[YearsAtCompany]]&lt;2,"0-1 Years",IF(HR_Data[[#This Row],[YearsAtCompany]]&lt;=5,"2-5 Years",IF(HR_Data[[#This Row],[YearsAtCompany]]&lt;=10,"6-10 Years","10+ Years")))</f>
        <v>6-10 Years</v>
      </c>
      <c r="AO1293" t="str">
        <f>IF(HR_Data[[#This Row],[JobSatisfaction]]=1,"Low",IF(HR_Data[[#This Row],[JobSatisfaction]]=2,"Medium",IF(HR_Data[[#This Row],[JobSatisfaction]]=3,"High","Very High")))</f>
        <v>Low</v>
      </c>
      <c r="AP1293" t="str">
        <f>IF(HR_Data[[#This Row],[WorkLifeBalance]]=1,"Bad",IF(HR_Data[[#This Row],[WorkLifeBalance]]=2,"Good",IF(HR_Data[[#This Row],[WorkLifeBalance]]=3,"Better","Best")))</f>
        <v>Bad</v>
      </c>
    </row>
    <row r="1294" spans="1:42"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IF(HR_Data[[#This Row],[Attrition]]="Yes",1,0)</f>
        <v>0</v>
      </c>
      <c r="AK1294">
        <f>IF(HR_Data[[#This Row],[Attrition]]="No",1,0)</f>
        <v>1</v>
      </c>
      <c r="AL1294" t="str">
        <f>IF(HR_Data[[#This Row],[Age]]&lt;25,"Under 25",IF(HR_Data[[#This Row],[Age]]&lt;=34,"25-34",IF(HR_Data[[#This Row],[Age]]&lt;=44,"35-44",IF(HR_Data[[#This Row],[Age]]&lt;=54,"45-54","55+"))))</f>
        <v>35-44</v>
      </c>
      <c r="AM1294" t="str">
        <f>IF(HR_Data[[#This Row],[MonthlyIncome]]&lt;3000,"Low Salary",IF(HR_Data[[#This Row],[MonthlyIncome]]&lt;=7000,"Medium Salary","High Salary"))</f>
        <v>Medium Salary</v>
      </c>
      <c r="AN1294" t="str">
        <f>IF(HR_Data[[#This Row],[YearsAtCompany]]&lt;2,"0-1 Years",IF(HR_Data[[#This Row],[YearsAtCompany]]&lt;=5,"2-5 Years",IF(HR_Data[[#This Row],[YearsAtCompany]]&lt;=10,"6-10 Years","10+ Years")))</f>
        <v>2-5 Years</v>
      </c>
      <c r="AO1294" t="str">
        <f>IF(HR_Data[[#This Row],[JobSatisfaction]]=1,"Low",IF(HR_Data[[#This Row],[JobSatisfaction]]=2,"Medium",IF(HR_Data[[#This Row],[JobSatisfaction]]=3,"High","Very High")))</f>
        <v>Very High</v>
      </c>
      <c r="AP1294" t="str">
        <f>IF(HR_Data[[#This Row],[WorkLifeBalance]]=1,"Bad",IF(HR_Data[[#This Row],[WorkLifeBalance]]=2,"Good",IF(HR_Data[[#This Row],[WorkLifeBalance]]=3,"Better","Best")))</f>
        <v>Better</v>
      </c>
    </row>
    <row r="1295" spans="1:42"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IF(HR_Data[[#This Row],[Attrition]]="Yes",1,0)</f>
        <v>0</v>
      </c>
      <c r="AK1295">
        <f>IF(HR_Data[[#This Row],[Attrition]]="No",1,0)</f>
        <v>1</v>
      </c>
      <c r="AL1295" t="str">
        <f>IF(HR_Data[[#This Row],[Age]]&lt;25,"Under 25",IF(HR_Data[[#This Row],[Age]]&lt;=34,"25-34",IF(HR_Data[[#This Row],[Age]]&lt;=44,"35-44",IF(HR_Data[[#This Row],[Age]]&lt;=54,"45-54","55+"))))</f>
        <v>35-44</v>
      </c>
      <c r="AM1295" t="str">
        <f>IF(HR_Data[[#This Row],[MonthlyIncome]]&lt;3000,"Low Salary",IF(HR_Data[[#This Row],[MonthlyIncome]]&lt;=7000,"Medium Salary","High Salary"))</f>
        <v>Low Salary</v>
      </c>
      <c r="AN1295" t="str">
        <f>IF(HR_Data[[#This Row],[YearsAtCompany]]&lt;2,"0-1 Years",IF(HR_Data[[#This Row],[YearsAtCompany]]&lt;=5,"2-5 Years",IF(HR_Data[[#This Row],[YearsAtCompany]]&lt;=10,"6-10 Years","10+ Years")))</f>
        <v>2-5 Years</v>
      </c>
      <c r="AO1295" t="str">
        <f>IF(HR_Data[[#This Row],[JobSatisfaction]]=1,"Low",IF(HR_Data[[#This Row],[JobSatisfaction]]=2,"Medium",IF(HR_Data[[#This Row],[JobSatisfaction]]=3,"High","Very High")))</f>
        <v>High</v>
      </c>
      <c r="AP1295" t="str">
        <f>IF(HR_Data[[#This Row],[WorkLifeBalance]]=1,"Bad",IF(HR_Data[[#This Row],[WorkLifeBalance]]=2,"Good",IF(HR_Data[[#This Row],[WorkLifeBalance]]=3,"Better","Best")))</f>
        <v>Good</v>
      </c>
    </row>
    <row r="1296" spans="1:42"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IF(HR_Data[[#This Row],[Attrition]]="Yes",1,0)</f>
        <v>0</v>
      </c>
      <c r="AK1296">
        <f>IF(HR_Data[[#This Row],[Attrition]]="No",1,0)</f>
        <v>1</v>
      </c>
      <c r="AL1296" t="str">
        <f>IF(HR_Data[[#This Row],[Age]]&lt;25,"Under 25",IF(HR_Data[[#This Row],[Age]]&lt;=34,"25-34",IF(HR_Data[[#This Row],[Age]]&lt;=44,"35-44",IF(HR_Data[[#This Row],[Age]]&lt;=54,"45-54","55+"))))</f>
        <v>35-44</v>
      </c>
      <c r="AM1296" t="str">
        <f>IF(HR_Data[[#This Row],[MonthlyIncome]]&lt;3000,"Low Salary",IF(HR_Data[[#This Row],[MonthlyIncome]]&lt;=7000,"Medium Salary","High Salary"))</f>
        <v>Medium Salary</v>
      </c>
      <c r="AN1296" t="str">
        <f>IF(HR_Data[[#This Row],[YearsAtCompany]]&lt;2,"0-1 Years",IF(HR_Data[[#This Row],[YearsAtCompany]]&lt;=5,"2-5 Years",IF(HR_Data[[#This Row],[YearsAtCompany]]&lt;=10,"6-10 Years","10+ Years")))</f>
        <v>2-5 Years</v>
      </c>
      <c r="AO1296" t="str">
        <f>IF(HR_Data[[#This Row],[JobSatisfaction]]=1,"Low",IF(HR_Data[[#This Row],[JobSatisfaction]]=2,"Medium",IF(HR_Data[[#This Row],[JobSatisfaction]]=3,"High","Very High")))</f>
        <v>Medium</v>
      </c>
      <c r="AP1296" t="str">
        <f>IF(HR_Data[[#This Row],[WorkLifeBalance]]=1,"Bad",IF(HR_Data[[#This Row],[WorkLifeBalance]]=2,"Good",IF(HR_Data[[#This Row],[WorkLifeBalance]]=3,"Better","Best")))</f>
        <v>Bad</v>
      </c>
    </row>
    <row r="1297" spans="1:42"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IF(HR_Data[[#This Row],[Attrition]]="Yes",1,0)</f>
        <v>0</v>
      </c>
      <c r="AK1297">
        <f>IF(HR_Data[[#This Row],[Attrition]]="No",1,0)</f>
        <v>1</v>
      </c>
      <c r="AL1297" t="str">
        <f>IF(HR_Data[[#This Row],[Age]]&lt;25,"Under 25",IF(HR_Data[[#This Row],[Age]]&lt;=34,"25-34",IF(HR_Data[[#This Row],[Age]]&lt;=44,"35-44",IF(HR_Data[[#This Row],[Age]]&lt;=54,"45-54","55+"))))</f>
        <v>35-44</v>
      </c>
      <c r="AM1297" t="str">
        <f>IF(HR_Data[[#This Row],[MonthlyIncome]]&lt;3000,"Low Salary",IF(HR_Data[[#This Row],[MonthlyIncome]]&lt;=7000,"Medium Salary","High Salary"))</f>
        <v>High Salary</v>
      </c>
      <c r="AN1297" t="str">
        <f>IF(HR_Data[[#This Row],[YearsAtCompany]]&lt;2,"0-1 Years",IF(HR_Data[[#This Row],[YearsAtCompany]]&lt;=5,"2-5 Years",IF(HR_Data[[#This Row],[YearsAtCompany]]&lt;=10,"6-10 Years","10+ Years")))</f>
        <v>10+ Years</v>
      </c>
      <c r="AO1297" t="str">
        <f>IF(HR_Data[[#This Row],[JobSatisfaction]]=1,"Low",IF(HR_Data[[#This Row],[JobSatisfaction]]=2,"Medium",IF(HR_Data[[#This Row],[JobSatisfaction]]=3,"High","Very High")))</f>
        <v>High</v>
      </c>
      <c r="AP1297" t="str">
        <f>IF(HR_Data[[#This Row],[WorkLifeBalance]]=1,"Bad",IF(HR_Data[[#This Row],[WorkLifeBalance]]=2,"Good",IF(HR_Data[[#This Row],[WorkLifeBalance]]=3,"Better","Best")))</f>
        <v>Best</v>
      </c>
    </row>
    <row r="1298" spans="1:42"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IF(HR_Data[[#This Row],[Attrition]]="Yes",1,0)</f>
        <v>0</v>
      </c>
      <c r="AK1298">
        <f>IF(HR_Data[[#This Row],[Attrition]]="No",1,0)</f>
        <v>1</v>
      </c>
      <c r="AL1298" t="str">
        <f>IF(HR_Data[[#This Row],[Age]]&lt;25,"Under 25",IF(HR_Data[[#This Row],[Age]]&lt;=34,"25-34",IF(HR_Data[[#This Row],[Age]]&lt;=44,"35-44",IF(HR_Data[[#This Row],[Age]]&lt;=54,"45-54","55+"))))</f>
        <v>25-34</v>
      </c>
      <c r="AM1298" t="str">
        <f>IF(HR_Data[[#This Row],[MonthlyIncome]]&lt;3000,"Low Salary",IF(HR_Data[[#This Row],[MonthlyIncome]]&lt;=7000,"Medium Salary","High Salary"))</f>
        <v>High Salary</v>
      </c>
      <c r="AN1298" t="str">
        <f>IF(HR_Data[[#This Row],[YearsAtCompany]]&lt;2,"0-1 Years",IF(HR_Data[[#This Row],[YearsAtCompany]]&lt;=5,"2-5 Years",IF(HR_Data[[#This Row],[YearsAtCompany]]&lt;=10,"6-10 Years","10+ Years")))</f>
        <v>6-10 Years</v>
      </c>
      <c r="AO1298" t="str">
        <f>IF(HR_Data[[#This Row],[JobSatisfaction]]=1,"Low",IF(HR_Data[[#This Row],[JobSatisfaction]]=2,"Medium",IF(HR_Data[[#This Row],[JobSatisfaction]]=3,"High","Very High")))</f>
        <v>High</v>
      </c>
      <c r="AP1298" t="str">
        <f>IF(HR_Data[[#This Row],[WorkLifeBalance]]=1,"Bad",IF(HR_Data[[#This Row],[WorkLifeBalance]]=2,"Good",IF(HR_Data[[#This Row],[WorkLifeBalance]]=3,"Better","Best")))</f>
        <v>Better</v>
      </c>
    </row>
    <row r="1299" spans="1:42"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IF(HR_Data[[#This Row],[Attrition]]="Yes",1,0)</f>
        <v>1</v>
      </c>
      <c r="AK1299">
        <f>IF(HR_Data[[#This Row],[Attrition]]="No",1,0)</f>
        <v>0</v>
      </c>
      <c r="AL1299" t="str">
        <f>IF(HR_Data[[#This Row],[Age]]&lt;25,"Under 25",IF(HR_Data[[#This Row],[Age]]&lt;=34,"25-34",IF(HR_Data[[#This Row],[Age]]&lt;=44,"35-44",IF(HR_Data[[#This Row],[Age]]&lt;=54,"45-54","55+"))))</f>
        <v>25-34</v>
      </c>
      <c r="AM1299" t="str">
        <f>IF(HR_Data[[#This Row],[MonthlyIncome]]&lt;3000,"Low Salary",IF(HR_Data[[#This Row],[MonthlyIncome]]&lt;=7000,"Medium Salary","High Salary"))</f>
        <v>Low Salary</v>
      </c>
      <c r="AN1299" t="str">
        <f>IF(HR_Data[[#This Row],[YearsAtCompany]]&lt;2,"0-1 Years",IF(HR_Data[[#This Row],[YearsAtCompany]]&lt;=5,"2-5 Years",IF(HR_Data[[#This Row],[YearsAtCompany]]&lt;=10,"6-10 Years","10+ Years")))</f>
        <v>2-5 Years</v>
      </c>
      <c r="AO1299" t="str">
        <f>IF(HR_Data[[#This Row],[JobSatisfaction]]=1,"Low",IF(HR_Data[[#This Row],[JobSatisfaction]]=2,"Medium",IF(HR_Data[[#This Row],[JobSatisfaction]]=3,"High","Very High")))</f>
        <v>Medium</v>
      </c>
      <c r="AP1299" t="str">
        <f>IF(HR_Data[[#This Row],[WorkLifeBalance]]=1,"Bad",IF(HR_Data[[#This Row],[WorkLifeBalance]]=2,"Good",IF(HR_Data[[#This Row],[WorkLifeBalance]]=3,"Better","Best")))</f>
        <v>Better</v>
      </c>
    </row>
    <row r="1300" spans="1:42"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IF(HR_Data[[#This Row],[Attrition]]="Yes",1,0)</f>
        <v>1</v>
      </c>
      <c r="AK1300">
        <f>IF(HR_Data[[#This Row],[Attrition]]="No",1,0)</f>
        <v>0</v>
      </c>
      <c r="AL1300" t="str">
        <f>IF(HR_Data[[#This Row],[Age]]&lt;25,"Under 25",IF(HR_Data[[#This Row],[Age]]&lt;=34,"25-34",IF(HR_Data[[#This Row],[Age]]&lt;=44,"35-44",IF(HR_Data[[#This Row],[Age]]&lt;=54,"45-54","55+"))))</f>
        <v>45-54</v>
      </c>
      <c r="AM1300" t="str">
        <f>IF(HR_Data[[#This Row],[MonthlyIncome]]&lt;3000,"Low Salary",IF(HR_Data[[#This Row],[MonthlyIncome]]&lt;=7000,"Medium Salary","High Salary"))</f>
        <v>High Salary</v>
      </c>
      <c r="AN1300" t="str">
        <f>IF(HR_Data[[#This Row],[YearsAtCompany]]&lt;2,"0-1 Years",IF(HR_Data[[#This Row],[YearsAtCompany]]&lt;=5,"2-5 Years",IF(HR_Data[[#This Row],[YearsAtCompany]]&lt;=10,"6-10 Years","10+ Years")))</f>
        <v>6-10 Years</v>
      </c>
      <c r="AO1300" t="str">
        <f>IF(HR_Data[[#This Row],[JobSatisfaction]]=1,"Low",IF(HR_Data[[#This Row],[JobSatisfaction]]=2,"Medium",IF(HR_Data[[#This Row],[JobSatisfaction]]=3,"High","Very High")))</f>
        <v>Medium</v>
      </c>
      <c r="AP1300" t="str">
        <f>IF(HR_Data[[#This Row],[WorkLifeBalance]]=1,"Bad",IF(HR_Data[[#This Row],[WorkLifeBalance]]=2,"Good",IF(HR_Data[[#This Row],[WorkLifeBalance]]=3,"Better","Best")))</f>
        <v>Best</v>
      </c>
    </row>
    <row r="1301" spans="1:42"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IF(HR_Data[[#This Row],[Attrition]]="Yes",1,0)</f>
        <v>0</v>
      </c>
      <c r="AK1301">
        <f>IF(HR_Data[[#This Row],[Attrition]]="No",1,0)</f>
        <v>1</v>
      </c>
      <c r="AL1301" t="str">
        <f>IF(HR_Data[[#This Row],[Age]]&lt;25,"Under 25",IF(HR_Data[[#This Row],[Age]]&lt;=34,"25-34",IF(HR_Data[[#This Row],[Age]]&lt;=44,"35-44",IF(HR_Data[[#This Row],[Age]]&lt;=54,"45-54","55+"))))</f>
        <v>35-44</v>
      </c>
      <c r="AM1301" t="str">
        <f>IF(HR_Data[[#This Row],[MonthlyIncome]]&lt;3000,"Low Salary",IF(HR_Data[[#This Row],[MonthlyIncome]]&lt;=7000,"Medium Salary","High Salary"))</f>
        <v>Medium Salary</v>
      </c>
      <c r="AN1301" t="str">
        <f>IF(HR_Data[[#This Row],[YearsAtCompany]]&lt;2,"0-1 Years",IF(HR_Data[[#This Row],[YearsAtCompany]]&lt;=5,"2-5 Years",IF(HR_Data[[#This Row],[YearsAtCompany]]&lt;=10,"6-10 Years","10+ Years")))</f>
        <v>2-5 Years</v>
      </c>
      <c r="AO1301" t="str">
        <f>IF(HR_Data[[#This Row],[JobSatisfaction]]=1,"Low",IF(HR_Data[[#This Row],[JobSatisfaction]]=2,"Medium",IF(HR_Data[[#This Row],[JobSatisfaction]]=3,"High","Very High")))</f>
        <v>Very High</v>
      </c>
      <c r="AP1301" t="str">
        <f>IF(HR_Data[[#This Row],[WorkLifeBalance]]=1,"Bad",IF(HR_Data[[#This Row],[WorkLifeBalance]]=2,"Good",IF(HR_Data[[#This Row],[WorkLifeBalance]]=3,"Better","Best")))</f>
        <v>Better</v>
      </c>
    </row>
    <row r="1302" spans="1:42"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IF(HR_Data[[#This Row],[Attrition]]="Yes",1,0)</f>
        <v>0</v>
      </c>
      <c r="AK1302">
        <f>IF(HR_Data[[#This Row],[Attrition]]="No",1,0)</f>
        <v>1</v>
      </c>
      <c r="AL1302" t="str">
        <f>IF(HR_Data[[#This Row],[Age]]&lt;25,"Under 25",IF(HR_Data[[#This Row],[Age]]&lt;=34,"25-34",IF(HR_Data[[#This Row],[Age]]&lt;=44,"35-44",IF(HR_Data[[#This Row],[Age]]&lt;=54,"45-54","55+"))))</f>
        <v>25-34</v>
      </c>
      <c r="AM1302" t="str">
        <f>IF(HR_Data[[#This Row],[MonthlyIncome]]&lt;3000,"Low Salary",IF(HR_Data[[#This Row],[MonthlyIncome]]&lt;=7000,"Medium Salary","High Salary"))</f>
        <v>Medium Salary</v>
      </c>
      <c r="AN1302" t="str">
        <f>IF(HR_Data[[#This Row],[YearsAtCompany]]&lt;2,"0-1 Years",IF(HR_Data[[#This Row],[YearsAtCompany]]&lt;=5,"2-5 Years",IF(HR_Data[[#This Row],[YearsAtCompany]]&lt;=10,"6-10 Years","10+ Years")))</f>
        <v>6-10 Years</v>
      </c>
      <c r="AO1302" t="str">
        <f>IF(HR_Data[[#This Row],[JobSatisfaction]]=1,"Low",IF(HR_Data[[#This Row],[JobSatisfaction]]=2,"Medium",IF(HR_Data[[#This Row],[JobSatisfaction]]=3,"High","Very High")))</f>
        <v>High</v>
      </c>
      <c r="AP1302" t="str">
        <f>IF(HR_Data[[#This Row],[WorkLifeBalance]]=1,"Bad",IF(HR_Data[[#This Row],[WorkLifeBalance]]=2,"Good",IF(HR_Data[[#This Row],[WorkLifeBalance]]=3,"Better","Best")))</f>
        <v>Better</v>
      </c>
    </row>
    <row r="1303" spans="1:42"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IF(HR_Data[[#This Row],[Attrition]]="Yes",1,0)</f>
        <v>0</v>
      </c>
      <c r="AK1303">
        <f>IF(HR_Data[[#This Row],[Attrition]]="No",1,0)</f>
        <v>1</v>
      </c>
      <c r="AL1303" t="str">
        <f>IF(HR_Data[[#This Row],[Age]]&lt;25,"Under 25",IF(HR_Data[[#This Row],[Age]]&lt;=34,"25-34",IF(HR_Data[[#This Row],[Age]]&lt;=44,"35-44",IF(HR_Data[[#This Row],[Age]]&lt;=54,"45-54","55+"))))</f>
        <v>55+</v>
      </c>
      <c r="AM1303" t="str">
        <f>IF(HR_Data[[#This Row],[MonthlyIncome]]&lt;3000,"Low Salary",IF(HR_Data[[#This Row],[MonthlyIncome]]&lt;=7000,"Medium Salary","High Salary"))</f>
        <v>High Salary</v>
      </c>
      <c r="AN1303" t="str">
        <f>IF(HR_Data[[#This Row],[YearsAtCompany]]&lt;2,"0-1 Years",IF(HR_Data[[#This Row],[YearsAtCompany]]&lt;=5,"2-5 Years",IF(HR_Data[[#This Row],[YearsAtCompany]]&lt;=10,"6-10 Years","10+ Years")))</f>
        <v>10+ Years</v>
      </c>
      <c r="AO1303" t="str">
        <f>IF(HR_Data[[#This Row],[JobSatisfaction]]=1,"Low",IF(HR_Data[[#This Row],[JobSatisfaction]]=2,"Medium",IF(HR_Data[[#This Row],[JobSatisfaction]]=3,"High","Very High")))</f>
        <v>Medium</v>
      </c>
      <c r="AP1303" t="str">
        <f>IF(HR_Data[[#This Row],[WorkLifeBalance]]=1,"Bad",IF(HR_Data[[#This Row],[WorkLifeBalance]]=2,"Good",IF(HR_Data[[#This Row],[WorkLifeBalance]]=3,"Better","Best")))</f>
        <v>Good</v>
      </c>
    </row>
    <row r="1304" spans="1:42"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IF(HR_Data[[#This Row],[Attrition]]="Yes",1,0)</f>
        <v>0</v>
      </c>
      <c r="AK1304">
        <f>IF(HR_Data[[#This Row],[Attrition]]="No",1,0)</f>
        <v>1</v>
      </c>
      <c r="AL1304" t="str">
        <f>IF(HR_Data[[#This Row],[Age]]&lt;25,"Under 25",IF(HR_Data[[#This Row],[Age]]&lt;=34,"25-34",IF(HR_Data[[#This Row],[Age]]&lt;=44,"35-44",IF(HR_Data[[#This Row],[Age]]&lt;=54,"45-54","55+"))))</f>
        <v>35-44</v>
      </c>
      <c r="AM1304" t="str">
        <f>IF(HR_Data[[#This Row],[MonthlyIncome]]&lt;3000,"Low Salary",IF(HR_Data[[#This Row],[MonthlyIncome]]&lt;=7000,"Medium Salary","High Salary"))</f>
        <v>Low Salary</v>
      </c>
      <c r="AN1304" t="str">
        <f>IF(HR_Data[[#This Row],[YearsAtCompany]]&lt;2,"0-1 Years",IF(HR_Data[[#This Row],[YearsAtCompany]]&lt;=5,"2-5 Years",IF(HR_Data[[#This Row],[YearsAtCompany]]&lt;=10,"6-10 Years","10+ Years")))</f>
        <v>2-5 Years</v>
      </c>
      <c r="AO1304" t="str">
        <f>IF(HR_Data[[#This Row],[JobSatisfaction]]=1,"Low",IF(HR_Data[[#This Row],[JobSatisfaction]]=2,"Medium",IF(HR_Data[[#This Row],[JobSatisfaction]]=3,"High","Very High")))</f>
        <v>High</v>
      </c>
      <c r="AP1304" t="str">
        <f>IF(HR_Data[[#This Row],[WorkLifeBalance]]=1,"Bad",IF(HR_Data[[#This Row],[WorkLifeBalance]]=2,"Good",IF(HR_Data[[#This Row],[WorkLifeBalance]]=3,"Better","Best")))</f>
        <v>Best</v>
      </c>
    </row>
    <row r="1305" spans="1:42"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IF(HR_Data[[#This Row],[Attrition]]="Yes",1,0)</f>
        <v>0</v>
      </c>
      <c r="AK1305">
        <f>IF(HR_Data[[#This Row],[Attrition]]="No",1,0)</f>
        <v>1</v>
      </c>
      <c r="AL1305" t="str">
        <f>IF(HR_Data[[#This Row],[Age]]&lt;25,"Under 25",IF(HR_Data[[#This Row],[Age]]&lt;=34,"25-34",IF(HR_Data[[#This Row],[Age]]&lt;=44,"35-44",IF(HR_Data[[#This Row],[Age]]&lt;=54,"45-54","55+"))))</f>
        <v>45-54</v>
      </c>
      <c r="AM1305" t="str">
        <f>IF(HR_Data[[#This Row],[MonthlyIncome]]&lt;3000,"Low Salary",IF(HR_Data[[#This Row],[MonthlyIncome]]&lt;=7000,"Medium Salary","High Salary"))</f>
        <v>High Salary</v>
      </c>
      <c r="AN1305" t="str">
        <f>IF(HR_Data[[#This Row],[YearsAtCompany]]&lt;2,"0-1 Years",IF(HR_Data[[#This Row],[YearsAtCompany]]&lt;=5,"2-5 Years",IF(HR_Data[[#This Row],[YearsAtCompany]]&lt;=10,"6-10 Years","10+ Years")))</f>
        <v>10+ Years</v>
      </c>
      <c r="AO1305" t="str">
        <f>IF(HR_Data[[#This Row],[JobSatisfaction]]=1,"Low",IF(HR_Data[[#This Row],[JobSatisfaction]]=2,"Medium",IF(HR_Data[[#This Row],[JobSatisfaction]]=3,"High","Very High")))</f>
        <v>Medium</v>
      </c>
      <c r="AP1305" t="str">
        <f>IF(HR_Data[[#This Row],[WorkLifeBalance]]=1,"Bad",IF(HR_Data[[#This Row],[WorkLifeBalance]]=2,"Good",IF(HR_Data[[#This Row],[WorkLifeBalance]]=3,"Better","Best")))</f>
        <v>Better</v>
      </c>
    </row>
    <row r="1306" spans="1:42"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IF(HR_Data[[#This Row],[Attrition]]="Yes",1,0)</f>
        <v>0</v>
      </c>
      <c r="AK1306">
        <f>IF(HR_Data[[#This Row],[Attrition]]="No",1,0)</f>
        <v>1</v>
      </c>
      <c r="AL1306" t="str">
        <f>IF(HR_Data[[#This Row],[Age]]&lt;25,"Under 25",IF(HR_Data[[#This Row],[Age]]&lt;=34,"25-34",IF(HR_Data[[#This Row],[Age]]&lt;=44,"35-44",IF(HR_Data[[#This Row],[Age]]&lt;=54,"45-54","55+"))))</f>
        <v>35-44</v>
      </c>
      <c r="AM1306" t="str">
        <f>IF(HR_Data[[#This Row],[MonthlyIncome]]&lt;3000,"Low Salary",IF(HR_Data[[#This Row],[MonthlyIncome]]&lt;=7000,"Medium Salary","High Salary"))</f>
        <v>Medium Salary</v>
      </c>
      <c r="AN1306" t="str">
        <f>IF(HR_Data[[#This Row],[YearsAtCompany]]&lt;2,"0-1 Years",IF(HR_Data[[#This Row],[YearsAtCompany]]&lt;=5,"2-5 Years",IF(HR_Data[[#This Row],[YearsAtCompany]]&lt;=10,"6-10 Years","10+ Years")))</f>
        <v>6-10 Years</v>
      </c>
      <c r="AO1306" t="str">
        <f>IF(HR_Data[[#This Row],[JobSatisfaction]]=1,"Low",IF(HR_Data[[#This Row],[JobSatisfaction]]=2,"Medium",IF(HR_Data[[#This Row],[JobSatisfaction]]=3,"High","Very High")))</f>
        <v>Low</v>
      </c>
      <c r="AP1306" t="str">
        <f>IF(HR_Data[[#This Row],[WorkLifeBalance]]=1,"Bad",IF(HR_Data[[#This Row],[WorkLifeBalance]]=2,"Good",IF(HR_Data[[#This Row],[WorkLifeBalance]]=3,"Better","Best")))</f>
        <v>Better</v>
      </c>
    </row>
    <row r="1307" spans="1:42"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IF(HR_Data[[#This Row],[Attrition]]="Yes",1,0)</f>
        <v>0</v>
      </c>
      <c r="AK1307">
        <f>IF(HR_Data[[#This Row],[Attrition]]="No",1,0)</f>
        <v>1</v>
      </c>
      <c r="AL1307" t="str">
        <f>IF(HR_Data[[#This Row],[Age]]&lt;25,"Under 25",IF(HR_Data[[#This Row],[Age]]&lt;=34,"25-34",IF(HR_Data[[#This Row],[Age]]&lt;=44,"35-44",IF(HR_Data[[#This Row],[Age]]&lt;=54,"45-54","55+"))))</f>
        <v>45-54</v>
      </c>
      <c r="AM1307" t="str">
        <f>IF(HR_Data[[#This Row],[MonthlyIncome]]&lt;3000,"Low Salary",IF(HR_Data[[#This Row],[MonthlyIncome]]&lt;=7000,"Medium Salary","High Salary"))</f>
        <v>Medium Salary</v>
      </c>
      <c r="AN1307" t="str">
        <f>IF(HR_Data[[#This Row],[YearsAtCompany]]&lt;2,"0-1 Years",IF(HR_Data[[#This Row],[YearsAtCompany]]&lt;=5,"2-5 Years",IF(HR_Data[[#This Row],[YearsAtCompany]]&lt;=10,"6-10 Years","10+ Years")))</f>
        <v>6-10 Years</v>
      </c>
      <c r="AO1307" t="str">
        <f>IF(HR_Data[[#This Row],[JobSatisfaction]]=1,"Low",IF(HR_Data[[#This Row],[JobSatisfaction]]=2,"Medium",IF(HR_Data[[#This Row],[JobSatisfaction]]=3,"High","Very High")))</f>
        <v>Very High</v>
      </c>
      <c r="AP1307" t="str">
        <f>IF(HR_Data[[#This Row],[WorkLifeBalance]]=1,"Bad",IF(HR_Data[[#This Row],[WorkLifeBalance]]=2,"Good",IF(HR_Data[[#This Row],[WorkLifeBalance]]=3,"Better","Best")))</f>
        <v>Good</v>
      </c>
    </row>
    <row r="1308" spans="1:42"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IF(HR_Data[[#This Row],[Attrition]]="Yes",1,0)</f>
        <v>0</v>
      </c>
      <c r="AK1308">
        <f>IF(HR_Data[[#This Row],[Attrition]]="No",1,0)</f>
        <v>1</v>
      </c>
      <c r="AL1308" t="str">
        <f>IF(HR_Data[[#This Row],[Age]]&lt;25,"Under 25",IF(HR_Data[[#This Row],[Age]]&lt;=34,"25-34",IF(HR_Data[[#This Row],[Age]]&lt;=44,"35-44",IF(HR_Data[[#This Row],[Age]]&lt;=54,"45-54","55+"))))</f>
        <v>25-34</v>
      </c>
      <c r="AM1308" t="str">
        <f>IF(HR_Data[[#This Row],[MonthlyIncome]]&lt;3000,"Low Salary",IF(HR_Data[[#This Row],[MonthlyIncome]]&lt;=7000,"Medium Salary","High Salary"))</f>
        <v>High Salary</v>
      </c>
      <c r="AN1308" t="str">
        <f>IF(HR_Data[[#This Row],[YearsAtCompany]]&lt;2,"0-1 Years",IF(HR_Data[[#This Row],[YearsAtCompany]]&lt;=5,"2-5 Years",IF(HR_Data[[#This Row],[YearsAtCompany]]&lt;=10,"6-10 Years","10+ Years")))</f>
        <v>2-5 Years</v>
      </c>
      <c r="AO1308" t="str">
        <f>IF(HR_Data[[#This Row],[JobSatisfaction]]=1,"Low",IF(HR_Data[[#This Row],[JobSatisfaction]]=2,"Medium",IF(HR_Data[[#This Row],[JobSatisfaction]]=3,"High","Very High")))</f>
        <v>Low</v>
      </c>
      <c r="AP1308" t="str">
        <f>IF(HR_Data[[#This Row],[WorkLifeBalance]]=1,"Bad",IF(HR_Data[[#This Row],[WorkLifeBalance]]=2,"Good",IF(HR_Data[[#This Row],[WorkLifeBalance]]=3,"Better","Best")))</f>
        <v>Better</v>
      </c>
    </row>
    <row r="1309" spans="1:42"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IF(HR_Data[[#This Row],[Attrition]]="Yes",1,0)</f>
        <v>0</v>
      </c>
      <c r="AK1309">
        <f>IF(HR_Data[[#This Row],[Attrition]]="No",1,0)</f>
        <v>1</v>
      </c>
      <c r="AL1309" t="str">
        <f>IF(HR_Data[[#This Row],[Age]]&lt;25,"Under 25",IF(HR_Data[[#This Row],[Age]]&lt;=34,"25-34",IF(HR_Data[[#This Row],[Age]]&lt;=44,"35-44",IF(HR_Data[[#This Row],[Age]]&lt;=54,"45-54","55+"))))</f>
        <v>25-34</v>
      </c>
      <c r="AM1309" t="str">
        <f>IF(HR_Data[[#This Row],[MonthlyIncome]]&lt;3000,"Low Salary",IF(HR_Data[[#This Row],[MonthlyIncome]]&lt;=7000,"Medium Salary","High Salary"))</f>
        <v>Medium Salary</v>
      </c>
      <c r="AN1309" t="str">
        <f>IF(HR_Data[[#This Row],[YearsAtCompany]]&lt;2,"0-1 Years",IF(HR_Data[[#This Row],[YearsAtCompany]]&lt;=5,"2-5 Years",IF(HR_Data[[#This Row],[YearsAtCompany]]&lt;=10,"6-10 Years","10+ Years")))</f>
        <v>2-5 Years</v>
      </c>
      <c r="AO1309" t="str">
        <f>IF(HR_Data[[#This Row],[JobSatisfaction]]=1,"Low",IF(HR_Data[[#This Row],[JobSatisfaction]]=2,"Medium",IF(HR_Data[[#This Row],[JobSatisfaction]]=3,"High","Very High")))</f>
        <v>Low</v>
      </c>
      <c r="AP1309" t="str">
        <f>IF(HR_Data[[#This Row],[WorkLifeBalance]]=1,"Bad",IF(HR_Data[[#This Row],[WorkLifeBalance]]=2,"Good",IF(HR_Data[[#This Row],[WorkLifeBalance]]=3,"Better","Best")))</f>
        <v>Better</v>
      </c>
    </row>
    <row r="1310" spans="1:42"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IF(HR_Data[[#This Row],[Attrition]]="Yes",1,0)</f>
        <v>0</v>
      </c>
      <c r="AK1310">
        <f>IF(HR_Data[[#This Row],[Attrition]]="No",1,0)</f>
        <v>1</v>
      </c>
      <c r="AL1310" t="str">
        <f>IF(HR_Data[[#This Row],[Age]]&lt;25,"Under 25",IF(HR_Data[[#This Row],[Age]]&lt;=34,"25-34",IF(HR_Data[[#This Row],[Age]]&lt;=44,"35-44",IF(HR_Data[[#This Row],[Age]]&lt;=54,"45-54","55+"))))</f>
        <v>35-44</v>
      </c>
      <c r="AM1310" t="str">
        <f>IF(HR_Data[[#This Row],[MonthlyIncome]]&lt;3000,"Low Salary",IF(HR_Data[[#This Row],[MonthlyIncome]]&lt;=7000,"Medium Salary","High Salary"))</f>
        <v>Medium Salary</v>
      </c>
      <c r="AN1310" t="str">
        <f>IF(HR_Data[[#This Row],[YearsAtCompany]]&lt;2,"0-1 Years",IF(HR_Data[[#This Row],[YearsAtCompany]]&lt;=5,"2-5 Years",IF(HR_Data[[#This Row],[YearsAtCompany]]&lt;=10,"6-10 Years","10+ Years")))</f>
        <v>2-5 Years</v>
      </c>
      <c r="AO1310" t="str">
        <f>IF(HR_Data[[#This Row],[JobSatisfaction]]=1,"Low",IF(HR_Data[[#This Row],[JobSatisfaction]]=2,"Medium",IF(HR_Data[[#This Row],[JobSatisfaction]]=3,"High","Very High")))</f>
        <v>Very High</v>
      </c>
      <c r="AP1310" t="str">
        <f>IF(HR_Data[[#This Row],[WorkLifeBalance]]=1,"Bad",IF(HR_Data[[#This Row],[WorkLifeBalance]]=2,"Good",IF(HR_Data[[#This Row],[WorkLifeBalance]]=3,"Better","Best")))</f>
        <v>Good</v>
      </c>
    </row>
    <row r="1311" spans="1:42"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IF(HR_Data[[#This Row],[Attrition]]="Yes",1,0)</f>
        <v>0</v>
      </c>
      <c r="AK1311">
        <f>IF(HR_Data[[#This Row],[Attrition]]="No",1,0)</f>
        <v>1</v>
      </c>
      <c r="AL1311" t="str">
        <f>IF(HR_Data[[#This Row],[Age]]&lt;25,"Under 25",IF(HR_Data[[#This Row],[Age]]&lt;=34,"25-34",IF(HR_Data[[#This Row],[Age]]&lt;=44,"35-44",IF(HR_Data[[#This Row],[Age]]&lt;=54,"45-54","55+"))))</f>
        <v>25-34</v>
      </c>
      <c r="AM1311" t="str">
        <f>IF(HR_Data[[#This Row],[MonthlyIncome]]&lt;3000,"Low Salary",IF(HR_Data[[#This Row],[MonthlyIncome]]&lt;=7000,"Medium Salary","High Salary"))</f>
        <v>Medium Salary</v>
      </c>
      <c r="AN1311" t="str">
        <f>IF(HR_Data[[#This Row],[YearsAtCompany]]&lt;2,"0-1 Years",IF(HR_Data[[#This Row],[YearsAtCompany]]&lt;=5,"2-5 Years",IF(HR_Data[[#This Row],[YearsAtCompany]]&lt;=10,"6-10 Years","10+ Years")))</f>
        <v>2-5 Years</v>
      </c>
      <c r="AO1311" t="str">
        <f>IF(HR_Data[[#This Row],[JobSatisfaction]]=1,"Low",IF(HR_Data[[#This Row],[JobSatisfaction]]=2,"Medium",IF(HR_Data[[#This Row],[JobSatisfaction]]=3,"High","Very High")))</f>
        <v>Very High</v>
      </c>
      <c r="AP1311" t="str">
        <f>IF(HR_Data[[#This Row],[WorkLifeBalance]]=1,"Bad",IF(HR_Data[[#This Row],[WorkLifeBalance]]=2,"Good",IF(HR_Data[[#This Row],[WorkLifeBalance]]=3,"Better","Best")))</f>
        <v>Better</v>
      </c>
    </row>
    <row r="1312" spans="1:42"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IF(HR_Data[[#This Row],[Attrition]]="Yes",1,0)</f>
        <v>0</v>
      </c>
      <c r="AK1312">
        <f>IF(HR_Data[[#This Row],[Attrition]]="No",1,0)</f>
        <v>1</v>
      </c>
      <c r="AL1312" t="str">
        <f>IF(HR_Data[[#This Row],[Age]]&lt;25,"Under 25",IF(HR_Data[[#This Row],[Age]]&lt;=34,"25-34",IF(HR_Data[[#This Row],[Age]]&lt;=44,"35-44",IF(HR_Data[[#This Row],[Age]]&lt;=54,"45-54","55+"))))</f>
        <v>55+</v>
      </c>
      <c r="AM1312" t="str">
        <f>IF(HR_Data[[#This Row],[MonthlyIncome]]&lt;3000,"Low Salary",IF(HR_Data[[#This Row],[MonthlyIncome]]&lt;=7000,"Medium Salary","High Salary"))</f>
        <v>High Salary</v>
      </c>
      <c r="AN1312" t="str">
        <f>IF(HR_Data[[#This Row],[YearsAtCompany]]&lt;2,"0-1 Years",IF(HR_Data[[#This Row],[YearsAtCompany]]&lt;=5,"2-5 Years",IF(HR_Data[[#This Row],[YearsAtCompany]]&lt;=10,"6-10 Years","10+ Years")))</f>
        <v>2-5 Years</v>
      </c>
      <c r="AO1312" t="str">
        <f>IF(HR_Data[[#This Row],[JobSatisfaction]]=1,"Low",IF(HR_Data[[#This Row],[JobSatisfaction]]=2,"Medium",IF(HR_Data[[#This Row],[JobSatisfaction]]=3,"High","Very High")))</f>
        <v>High</v>
      </c>
      <c r="AP1312" t="str">
        <f>IF(HR_Data[[#This Row],[WorkLifeBalance]]=1,"Bad",IF(HR_Data[[#This Row],[WorkLifeBalance]]=2,"Good",IF(HR_Data[[#This Row],[WorkLifeBalance]]=3,"Better","Best")))</f>
        <v>Better</v>
      </c>
    </row>
    <row r="1313" spans="1:42"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IF(HR_Data[[#This Row],[Attrition]]="Yes",1,0)</f>
        <v>0</v>
      </c>
      <c r="AK1313">
        <f>IF(HR_Data[[#This Row],[Attrition]]="No",1,0)</f>
        <v>1</v>
      </c>
      <c r="AL1313" t="str">
        <f>IF(HR_Data[[#This Row],[Age]]&lt;25,"Under 25",IF(HR_Data[[#This Row],[Age]]&lt;=34,"25-34",IF(HR_Data[[#This Row],[Age]]&lt;=44,"35-44",IF(HR_Data[[#This Row],[Age]]&lt;=54,"45-54","55+"))))</f>
        <v>Under 25</v>
      </c>
      <c r="AM1313" t="str">
        <f>IF(HR_Data[[#This Row],[MonthlyIncome]]&lt;3000,"Low Salary",IF(HR_Data[[#This Row],[MonthlyIncome]]&lt;=7000,"Medium Salary","High Salary"))</f>
        <v>Low Salary</v>
      </c>
      <c r="AN1313" t="str">
        <f>IF(HR_Data[[#This Row],[YearsAtCompany]]&lt;2,"0-1 Years",IF(HR_Data[[#This Row],[YearsAtCompany]]&lt;=5,"2-5 Years",IF(HR_Data[[#This Row],[YearsAtCompany]]&lt;=10,"6-10 Years","10+ Years")))</f>
        <v>0-1 Years</v>
      </c>
      <c r="AO1313" t="str">
        <f>IF(HR_Data[[#This Row],[JobSatisfaction]]=1,"Low",IF(HR_Data[[#This Row],[JobSatisfaction]]=2,"Medium",IF(HR_Data[[#This Row],[JobSatisfaction]]=3,"High","Very High")))</f>
        <v>High</v>
      </c>
      <c r="AP1313" t="str">
        <f>IF(HR_Data[[#This Row],[WorkLifeBalance]]=1,"Bad",IF(HR_Data[[#This Row],[WorkLifeBalance]]=2,"Good",IF(HR_Data[[#This Row],[WorkLifeBalance]]=3,"Better","Best")))</f>
        <v>Bad</v>
      </c>
    </row>
    <row r="1314" spans="1:42"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IF(HR_Data[[#This Row],[Attrition]]="Yes",1,0)</f>
        <v>1</v>
      </c>
      <c r="AK1314">
        <f>IF(HR_Data[[#This Row],[Attrition]]="No",1,0)</f>
        <v>0</v>
      </c>
      <c r="AL1314" t="str">
        <f>IF(HR_Data[[#This Row],[Age]]&lt;25,"Under 25",IF(HR_Data[[#This Row],[Age]]&lt;=34,"25-34",IF(HR_Data[[#This Row],[Age]]&lt;=44,"35-44",IF(HR_Data[[#This Row],[Age]]&lt;=54,"45-54","55+"))))</f>
        <v>25-34</v>
      </c>
      <c r="AM1314" t="str">
        <f>IF(HR_Data[[#This Row],[MonthlyIncome]]&lt;3000,"Low Salary",IF(HR_Data[[#This Row],[MonthlyIncome]]&lt;=7000,"Medium Salary","High Salary"))</f>
        <v>Low Salary</v>
      </c>
      <c r="AN1314" t="str">
        <f>IF(HR_Data[[#This Row],[YearsAtCompany]]&lt;2,"0-1 Years",IF(HR_Data[[#This Row],[YearsAtCompany]]&lt;=5,"2-5 Years",IF(HR_Data[[#This Row],[YearsAtCompany]]&lt;=10,"6-10 Years","10+ Years")))</f>
        <v>0-1 Years</v>
      </c>
      <c r="AO1314" t="str">
        <f>IF(HR_Data[[#This Row],[JobSatisfaction]]=1,"Low",IF(HR_Data[[#This Row],[JobSatisfaction]]=2,"Medium",IF(HR_Data[[#This Row],[JobSatisfaction]]=3,"High","Very High")))</f>
        <v>Low</v>
      </c>
      <c r="AP1314" t="str">
        <f>IF(HR_Data[[#This Row],[WorkLifeBalance]]=1,"Bad",IF(HR_Data[[#This Row],[WorkLifeBalance]]=2,"Good",IF(HR_Data[[#This Row],[WorkLifeBalance]]=3,"Better","Best")))</f>
        <v>Better</v>
      </c>
    </row>
    <row r="1315" spans="1:42"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IF(HR_Data[[#This Row],[Attrition]]="Yes",1,0)</f>
        <v>1</v>
      </c>
      <c r="AK1315">
        <f>IF(HR_Data[[#This Row],[Attrition]]="No",1,0)</f>
        <v>0</v>
      </c>
      <c r="AL1315" t="str">
        <f>IF(HR_Data[[#This Row],[Age]]&lt;25,"Under 25",IF(HR_Data[[#This Row],[Age]]&lt;=34,"25-34",IF(HR_Data[[#This Row],[Age]]&lt;=44,"35-44",IF(HR_Data[[#This Row],[Age]]&lt;=54,"45-54","55+"))))</f>
        <v>25-34</v>
      </c>
      <c r="AM1315" t="str">
        <f>IF(HR_Data[[#This Row],[MonthlyIncome]]&lt;3000,"Low Salary",IF(HR_Data[[#This Row],[MonthlyIncome]]&lt;=7000,"Medium Salary","High Salary"))</f>
        <v>Low Salary</v>
      </c>
      <c r="AN1315" t="str">
        <f>IF(HR_Data[[#This Row],[YearsAtCompany]]&lt;2,"0-1 Years",IF(HR_Data[[#This Row],[YearsAtCompany]]&lt;=5,"2-5 Years",IF(HR_Data[[#This Row],[YearsAtCompany]]&lt;=10,"6-10 Years","10+ Years")))</f>
        <v>2-5 Years</v>
      </c>
      <c r="AO1315" t="str">
        <f>IF(HR_Data[[#This Row],[JobSatisfaction]]=1,"Low",IF(HR_Data[[#This Row],[JobSatisfaction]]=2,"Medium",IF(HR_Data[[#This Row],[JobSatisfaction]]=3,"High","Very High")))</f>
        <v>Low</v>
      </c>
      <c r="AP1315" t="str">
        <f>IF(HR_Data[[#This Row],[WorkLifeBalance]]=1,"Bad",IF(HR_Data[[#This Row],[WorkLifeBalance]]=2,"Good",IF(HR_Data[[#This Row],[WorkLifeBalance]]=3,"Better","Best")))</f>
        <v>Better</v>
      </c>
    </row>
    <row r="1316" spans="1:42"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IF(HR_Data[[#This Row],[Attrition]]="Yes",1,0)</f>
        <v>0</v>
      </c>
      <c r="AK1316">
        <f>IF(HR_Data[[#This Row],[Attrition]]="No",1,0)</f>
        <v>1</v>
      </c>
      <c r="AL1316" t="str">
        <f>IF(HR_Data[[#This Row],[Age]]&lt;25,"Under 25",IF(HR_Data[[#This Row],[Age]]&lt;=34,"25-34",IF(HR_Data[[#This Row],[Age]]&lt;=44,"35-44",IF(HR_Data[[#This Row],[Age]]&lt;=54,"45-54","55+"))))</f>
        <v>45-54</v>
      </c>
      <c r="AM1316" t="str">
        <f>IF(HR_Data[[#This Row],[MonthlyIncome]]&lt;3000,"Low Salary",IF(HR_Data[[#This Row],[MonthlyIncome]]&lt;=7000,"Medium Salary","High Salary"))</f>
        <v>Medium Salary</v>
      </c>
      <c r="AN1316" t="str">
        <f>IF(HR_Data[[#This Row],[YearsAtCompany]]&lt;2,"0-1 Years",IF(HR_Data[[#This Row],[YearsAtCompany]]&lt;=5,"2-5 Years",IF(HR_Data[[#This Row],[YearsAtCompany]]&lt;=10,"6-10 Years","10+ Years")))</f>
        <v>6-10 Years</v>
      </c>
      <c r="AO1316" t="str">
        <f>IF(HR_Data[[#This Row],[JobSatisfaction]]=1,"Low",IF(HR_Data[[#This Row],[JobSatisfaction]]=2,"Medium",IF(HR_Data[[#This Row],[JobSatisfaction]]=3,"High","Very High")))</f>
        <v>High</v>
      </c>
      <c r="AP1316" t="str">
        <f>IF(HR_Data[[#This Row],[WorkLifeBalance]]=1,"Bad",IF(HR_Data[[#This Row],[WorkLifeBalance]]=2,"Good",IF(HR_Data[[#This Row],[WorkLifeBalance]]=3,"Better","Best")))</f>
        <v>Best</v>
      </c>
    </row>
    <row r="1317" spans="1:42"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IF(HR_Data[[#This Row],[Attrition]]="Yes",1,0)</f>
        <v>0</v>
      </c>
      <c r="AK1317">
        <f>IF(HR_Data[[#This Row],[Attrition]]="No",1,0)</f>
        <v>1</v>
      </c>
      <c r="AL1317" t="str">
        <f>IF(HR_Data[[#This Row],[Age]]&lt;25,"Under 25",IF(HR_Data[[#This Row],[Age]]&lt;=34,"25-34",IF(HR_Data[[#This Row],[Age]]&lt;=44,"35-44",IF(HR_Data[[#This Row],[Age]]&lt;=54,"45-54","55+"))))</f>
        <v>35-44</v>
      </c>
      <c r="AM1317" t="str">
        <f>IF(HR_Data[[#This Row],[MonthlyIncome]]&lt;3000,"Low Salary",IF(HR_Data[[#This Row],[MonthlyIncome]]&lt;=7000,"Medium Salary","High Salary"))</f>
        <v>Medium Salary</v>
      </c>
      <c r="AN1317" t="str">
        <f>IF(HR_Data[[#This Row],[YearsAtCompany]]&lt;2,"0-1 Years",IF(HR_Data[[#This Row],[YearsAtCompany]]&lt;=5,"2-5 Years",IF(HR_Data[[#This Row],[YearsAtCompany]]&lt;=10,"6-10 Years","10+ Years")))</f>
        <v>0-1 Years</v>
      </c>
      <c r="AO1317" t="str">
        <f>IF(HR_Data[[#This Row],[JobSatisfaction]]=1,"Low",IF(HR_Data[[#This Row],[JobSatisfaction]]=2,"Medium",IF(HR_Data[[#This Row],[JobSatisfaction]]=3,"High","Very High")))</f>
        <v>Medium</v>
      </c>
      <c r="AP1317" t="str">
        <f>IF(HR_Data[[#This Row],[WorkLifeBalance]]=1,"Bad",IF(HR_Data[[#This Row],[WorkLifeBalance]]=2,"Good",IF(HR_Data[[#This Row],[WorkLifeBalance]]=3,"Better","Best")))</f>
        <v>Better</v>
      </c>
    </row>
    <row r="1318" spans="1:42"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IF(HR_Data[[#This Row],[Attrition]]="Yes",1,0)</f>
        <v>0</v>
      </c>
      <c r="AK1318">
        <f>IF(HR_Data[[#This Row],[Attrition]]="No",1,0)</f>
        <v>1</v>
      </c>
      <c r="AL1318" t="str">
        <f>IF(HR_Data[[#This Row],[Age]]&lt;25,"Under 25",IF(HR_Data[[#This Row],[Age]]&lt;=34,"25-34",IF(HR_Data[[#This Row],[Age]]&lt;=44,"35-44",IF(HR_Data[[#This Row],[Age]]&lt;=54,"45-54","55+"))))</f>
        <v>35-44</v>
      </c>
      <c r="AM1318" t="str">
        <f>IF(HR_Data[[#This Row],[MonthlyIncome]]&lt;3000,"Low Salary",IF(HR_Data[[#This Row],[MonthlyIncome]]&lt;=7000,"Medium Salary","High Salary"))</f>
        <v>Medium Salary</v>
      </c>
      <c r="AN1318" t="str">
        <f>IF(HR_Data[[#This Row],[YearsAtCompany]]&lt;2,"0-1 Years",IF(HR_Data[[#This Row],[YearsAtCompany]]&lt;=5,"2-5 Years",IF(HR_Data[[#This Row],[YearsAtCompany]]&lt;=10,"6-10 Years","10+ Years")))</f>
        <v>6-10 Years</v>
      </c>
      <c r="AO1318" t="str">
        <f>IF(HR_Data[[#This Row],[JobSatisfaction]]=1,"Low",IF(HR_Data[[#This Row],[JobSatisfaction]]=2,"Medium",IF(HR_Data[[#This Row],[JobSatisfaction]]=3,"High","Very High")))</f>
        <v>Very High</v>
      </c>
      <c r="AP1318" t="str">
        <f>IF(HR_Data[[#This Row],[WorkLifeBalance]]=1,"Bad",IF(HR_Data[[#This Row],[WorkLifeBalance]]=2,"Good",IF(HR_Data[[#This Row],[WorkLifeBalance]]=3,"Better","Best")))</f>
        <v>Better</v>
      </c>
    </row>
    <row r="1319" spans="1:42"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IF(HR_Data[[#This Row],[Attrition]]="Yes",1,0)</f>
        <v>0</v>
      </c>
      <c r="AK1319">
        <f>IF(HR_Data[[#This Row],[Attrition]]="No",1,0)</f>
        <v>1</v>
      </c>
      <c r="AL1319" t="str">
        <f>IF(HR_Data[[#This Row],[Age]]&lt;25,"Under 25",IF(HR_Data[[#This Row],[Age]]&lt;=34,"25-34",IF(HR_Data[[#This Row],[Age]]&lt;=44,"35-44",IF(HR_Data[[#This Row],[Age]]&lt;=54,"45-54","55+"))))</f>
        <v>25-34</v>
      </c>
      <c r="AM1319" t="str">
        <f>IF(HR_Data[[#This Row],[MonthlyIncome]]&lt;3000,"Low Salary",IF(HR_Data[[#This Row],[MonthlyIncome]]&lt;=7000,"Medium Salary","High Salary"))</f>
        <v>Low Salary</v>
      </c>
      <c r="AN1319" t="str">
        <f>IF(HR_Data[[#This Row],[YearsAtCompany]]&lt;2,"0-1 Years",IF(HR_Data[[#This Row],[YearsAtCompany]]&lt;=5,"2-5 Years",IF(HR_Data[[#This Row],[YearsAtCompany]]&lt;=10,"6-10 Years","10+ Years")))</f>
        <v>2-5 Years</v>
      </c>
      <c r="AO1319" t="str">
        <f>IF(HR_Data[[#This Row],[JobSatisfaction]]=1,"Low",IF(HR_Data[[#This Row],[JobSatisfaction]]=2,"Medium",IF(HR_Data[[#This Row],[JobSatisfaction]]=3,"High","Very High")))</f>
        <v>Very High</v>
      </c>
      <c r="AP1319" t="str">
        <f>IF(HR_Data[[#This Row],[WorkLifeBalance]]=1,"Bad",IF(HR_Data[[#This Row],[WorkLifeBalance]]=2,"Good",IF(HR_Data[[#This Row],[WorkLifeBalance]]=3,"Better","Best")))</f>
        <v>Good</v>
      </c>
    </row>
    <row r="1320" spans="1:42"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IF(HR_Data[[#This Row],[Attrition]]="Yes",1,0)</f>
        <v>0</v>
      </c>
      <c r="AK1320">
        <f>IF(HR_Data[[#This Row],[Attrition]]="No",1,0)</f>
        <v>1</v>
      </c>
      <c r="AL1320" t="str">
        <f>IF(HR_Data[[#This Row],[Age]]&lt;25,"Under 25",IF(HR_Data[[#This Row],[Age]]&lt;=34,"25-34",IF(HR_Data[[#This Row],[Age]]&lt;=44,"35-44",IF(HR_Data[[#This Row],[Age]]&lt;=54,"45-54","55+"))))</f>
        <v>25-34</v>
      </c>
      <c r="AM1320" t="str">
        <f>IF(HR_Data[[#This Row],[MonthlyIncome]]&lt;3000,"Low Salary",IF(HR_Data[[#This Row],[MonthlyIncome]]&lt;=7000,"Medium Salary","High Salary"))</f>
        <v>Medium Salary</v>
      </c>
      <c r="AN1320" t="str">
        <f>IF(HR_Data[[#This Row],[YearsAtCompany]]&lt;2,"0-1 Years",IF(HR_Data[[#This Row],[YearsAtCompany]]&lt;=5,"2-5 Years",IF(HR_Data[[#This Row],[YearsAtCompany]]&lt;=10,"6-10 Years","10+ Years")))</f>
        <v>10+ Years</v>
      </c>
      <c r="AO1320" t="str">
        <f>IF(HR_Data[[#This Row],[JobSatisfaction]]=1,"Low",IF(HR_Data[[#This Row],[JobSatisfaction]]=2,"Medium",IF(HR_Data[[#This Row],[JobSatisfaction]]=3,"High","Very High")))</f>
        <v>Very High</v>
      </c>
      <c r="AP1320" t="str">
        <f>IF(HR_Data[[#This Row],[WorkLifeBalance]]=1,"Bad",IF(HR_Data[[#This Row],[WorkLifeBalance]]=2,"Good",IF(HR_Data[[#This Row],[WorkLifeBalance]]=3,"Better","Best")))</f>
        <v>Best</v>
      </c>
    </row>
    <row r="1321" spans="1:42"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IF(HR_Data[[#This Row],[Attrition]]="Yes",1,0)</f>
        <v>0</v>
      </c>
      <c r="AK1321">
        <f>IF(HR_Data[[#This Row],[Attrition]]="No",1,0)</f>
        <v>1</v>
      </c>
      <c r="AL1321" t="str">
        <f>IF(HR_Data[[#This Row],[Age]]&lt;25,"Under 25",IF(HR_Data[[#This Row],[Age]]&lt;=34,"25-34",IF(HR_Data[[#This Row],[Age]]&lt;=44,"35-44",IF(HR_Data[[#This Row],[Age]]&lt;=54,"45-54","55+"))))</f>
        <v>25-34</v>
      </c>
      <c r="AM1321" t="str">
        <f>IF(HR_Data[[#This Row],[MonthlyIncome]]&lt;3000,"Low Salary",IF(HR_Data[[#This Row],[MonthlyIncome]]&lt;=7000,"Medium Salary","High Salary"))</f>
        <v>Medium Salary</v>
      </c>
      <c r="AN1321" t="str">
        <f>IF(HR_Data[[#This Row],[YearsAtCompany]]&lt;2,"0-1 Years",IF(HR_Data[[#This Row],[YearsAtCompany]]&lt;=5,"2-5 Years",IF(HR_Data[[#This Row],[YearsAtCompany]]&lt;=10,"6-10 Years","10+ Years")))</f>
        <v>0-1 Years</v>
      </c>
      <c r="AO1321" t="str">
        <f>IF(HR_Data[[#This Row],[JobSatisfaction]]=1,"Low",IF(HR_Data[[#This Row],[JobSatisfaction]]=2,"Medium",IF(HR_Data[[#This Row],[JobSatisfaction]]=3,"High","Very High")))</f>
        <v>Very High</v>
      </c>
      <c r="AP1321" t="str">
        <f>IF(HR_Data[[#This Row],[WorkLifeBalance]]=1,"Bad",IF(HR_Data[[#This Row],[WorkLifeBalance]]=2,"Good",IF(HR_Data[[#This Row],[WorkLifeBalance]]=3,"Better","Best")))</f>
        <v>Best</v>
      </c>
    </row>
    <row r="1322" spans="1:42"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IF(HR_Data[[#This Row],[Attrition]]="Yes",1,0)</f>
        <v>0</v>
      </c>
      <c r="AK1322">
        <f>IF(HR_Data[[#This Row],[Attrition]]="No",1,0)</f>
        <v>1</v>
      </c>
      <c r="AL1322" t="str">
        <f>IF(HR_Data[[#This Row],[Age]]&lt;25,"Under 25",IF(HR_Data[[#This Row],[Age]]&lt;=34,"25-34",IF(HR_Data[[#This Row],[Age]]&lt;=44,"35-44",IF(HR_Data[[#This Row],[Age]]&lt;=54,"45-54","55+"))))</f>
        <v>35-44</v>
      </c>
      <c r="AM1322" t="str">
        <f>IF(HR_Data[[#This Row],[MonthlyIncome]]&lt;3000,"Low Salary",IF(HR_Data[[#This Row],[MonthlyIncome]]&lt;=7000,"Medium Salary","High Salary"))</f>
        <v>Low Salary</v>
      </c>
      <c r="AN1322" t="str">
        <f>IF(HR_Data[[#This Row],[YearsAtCompany]]&lt;2,"0-1 Years",IF(HR_Data[[#This Row],[YearsAtCompany]]&lt;=5,"2-5 Years",IF(HR_Data[[#This Row],[YearsAtCompany]]&lt;=10,"6-10 Years","10+ Years")))</f>
        <v>6-10 Years</v>
      </c>
      <c r="AO1322" t="str">
        <f>IF(HR_Data[[#This Row],[JobSatisfaction]]=1,"Low",IF(HR_Data[[#This Row],[JobSatisfaction]]=2,"Medium",IF(HR_Data[[#This Row],[JobSatisfaction]]=3,"High","Very High")))</f>
        <v>High</v>
      </c>
      <c r="AP1322" t="str">
        <f>IF(HR_Data[[#This Row],[WorkLifeBalance]]=1,"Bad",IF(HR_Data[[#This Row],[WorkLifeBalance]]=2,"Good",IF(HR_Data[[#This Row],[WorkLifeBalance]]=3,"Better","Best")))</f>
        <v>Good</v>
      </c>
    </row>
    <row r="1323" spans="1:42"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IF(HR_Data[[#This Row],[Attrition]]="Yes",1,0)</f>
        <v>0</v>
      </c>
      <c r="AK1323">
        <f>IF(HR_Data[[#This Row],[Attrition]]="No",1,0)</f>
        <v>1</v>
      </c>
      <c r="AL1323" t="str">
        <f>IF(HR_Data[[#This Row],[Age]]&lt;25,"Under 25",IF(HR_Data[[#This Row],[Age]]&lt;=34,"25-34",IF(HR_Data[[#This Row],[Age]]&lt;=44,"35-44",IF(HR_Data[[#This Row],[Age]]&lt;=54,"45-54","55+"))))</f>
        <v>45-54</v>
      </c>
      <c r="AM1323" t="str">
        <f>IF(HR_Data[[#This Row],[MonthlyIncome]]&lt;3000,"Low Salary",IF(HR_Data[[#This Row],[MonthlyIncome]]&lt;=7000,"Medium Salary","High Salary"))</f>
        <v>Low Salary</v>
      </c>
      <c r="AN1323" t="str">
        <f>IF(HR_Data[[#This Row],[YearsAtCompany]]&lt;2,"0-1 Years",IF(HR_Data[[#This Row],[YearsAtCompany]]&lt;=5,"2-5 Years",IF(HR_Data[[#This Row],[YearsAtCompany]]&lt;=10,"6-10 Years","10+ Years")))</f>
        <v>2-5 Years</v>
      </c>
      <c r="AO1323" t="str">
        <f>IF(HR_Data[[#This Row],[JobSatisfaction]]=1,"Low",IF(HR_Data[[#This Row],[JobSatisfaction]]=2,"Medium",IF(HR_Data[[#This Row],[JobSatisfaction]]=3,"High","Very High")))</f>
        <v>High</v>
      </c>
      <c r="AP1323" t="str">
        <f>IF(HR_Data[[#This Row],[WorkLifeBalance]]=1,"Bad",IF(HR_Data[[#This Row],[WorkLifeBalance]]=2,"Good",IF(HR_Data[[#This Row],[WorkLifeBalance]]=3,"Better","Best")))</f>
        <v>Better</v>
      </c>
    </row>
    <row r="1324" spans="1:42"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IF(HR_Data[[#This Row],[Attrition]]="Yes",1,0)</f>
        <v>0</v>
      </c>
      <c r="AK1324">
        <f>IF(HR_Data[[#This Row],[Attrition]]="No",1,0)</f>
        <v>1</v>
      </c>
      <c r="AL1324" t="str">
        <f>IF(HR_Data[[#This Row],[Age]]&lt;25,"Under 25",IF(HR_Data[[#This Row],[Age]]&lt;=34,"25-34",IF(HR_Data[[#This Row],[Age]]&lt;=44,"35-44",IF(HR_Data[[#This Row],[Age]]&lt;=54,"45-54","55+"))))</f>
        <v>45-54</v>
      </c>
      <c r="AM1324" t="str">
        <f>IF(HR_Data[[#This Row],[MonthlyIncome]]&lt;3000,"Low Salary",IF(HR_Data[[#This Row],[MonthlyIncome]]&lt;=7000,"Medium Salary","High Salary"))</f>
        <v>High Salary</v>
      </c>
      <c r="AN1324" t="str">
        <f>IF(HR_Data[[#This Row],[YearsAtCompany]]&lt;2,"0-1 Years",IF(HR_Data[[#This Row],[YearsAtCompany]]&lt;=5,"2-5 Years",IF(HR_Data[[#This Row],[YearsAtCompany]]&lt;=10,"6-10 Years","10+ Years")))</f>
        <v>6-10 Years</v>
      </c>
      <c r="AO1324" t="str">
        <f>IF(HR_Data[[#This Row],[JobSatisfaction]]=1,"Low",IF(HR_Data[[#This Row],[JobSatisfaction]]=2,"Medium",IF(HR_Data[[#This Row],[JobSatisfaction]]=3,"High","Very High")))</f>
        <v>Very High</v>
      </c>
      <c r="AP1324" t="str">
        <f>IF(HR_Data[[#This Row],[WorkLifeBalance]]=1,"Bad",IF(HR_Data[[#This Row],[WorkLifeBalance]]=2,"Good",IF(HR_Data[[#This Row],[WorkLifeBalance]]=3,"Better","Best")))</f>
        <v>Good</v>
      </c>
    </row>
    <row r="1325" spans="1:42"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IF(HR_Data[[#This Row],[Attrition]]="Yes",1,0)</f>
        <v>0</v>
      </c>
      <c r="AK1325">
        <f>IF(HR_Data[[#This Row],[Attrition]]="No",1,0)</f>
        <v>1</v>
      </c>
      <c r="AL1325" t="str">
        <f>IF(HR_Data[[#This Row],[Age]]&lt;25,"Under 25",IF(HR_Data[[#This Row],[Age]]&lt;=34,"25-34",IF(HR_Data[[#This Row],[Age]]&lt;=44,"35-44",IF(HR_Data[[#This Row],[Age]]&lt;=54,"45-54","55+"))))</f>
        <v>25-34</v>
      </c>
      <c r="AM1325" t="str">
        <f>IF(HR_Data[[#This Row],[MonthlyIncome]]&lt;3000,"Low Salary",IF(HR_Data[[#This Row],[MonthlyIncome]]&lt;=7000,"Medium Salary","High Salary"))</f>
        <v>Low Salary</v>
      </c>
      <c r="AN1325" t="str">
        <f>IF(HR_Data[[#This Row],[YearsAtCompany]]&lt;2,"0-1 Years",IF(HR_Data[[#This Row],[YearsAtCompany]]&lt;=5,"2-5 Years",IF(HR_Data[[#This Row],[YearsAtCompany]]&lt;=10,"6-10 Years","10+ Years")))</f>
        <v>2-5 Years</v>
      </c>
      <c r="AO1325" t="str">
        <f>IF(HR_Data[[#This Row],[JobSatisfaction]]=1,"Low",IF(HR_Data[[#This Row],[JobSatisfaction]]=2,"Medium",IF(HR_Data[[#This Row],[JobSatisfaction]]=3,"High","Very High")))</f>
        <v>Very High</v>
      </c>
      <c r="AP1325" t="str">
        <f>IF(HR_Data[[#This Row],[WorkLifeBalance]]=1,"Bad",IF(HR_Data[[#This Row],[WorkLifeBalance]]=2,"Good",IF(HR_Data[[#This Row],[WorkLifeBalance]]=3,"Better","Best")))</f>
        <v>Better</v>
      </c>
    </row>
    <row r="1326" spans="1:42"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IF(HR_Data[[#This Row],[Attrition]]="Yes",1,0)</f>
        <v>0</v>
      </c>
      <c r="AK1326">
        <f>IF(HR_Data[[#This Row],[Attrition]]="No",1,0)</f>
        <v>1</v>
      </c>
      <c r="AL1326" t="str">
        <f>IF(HR_Data[[#This Row],[Age]]&lt;25,"Under 25",IF(HR_Data[[#This Row],[Age]]&lt;=34,"25-34",IF(HR_Data[[#This Row],[Age]]&lt;=44,"35-44",IF(HR_Data[[#This Row],[Age]]&lt;=54,"45-54","55+"))))</f>
        <v>25-34</v>
      </c>
      <c r="AM1326" t="str">
        <f>IF(HR_Data[[#This Row],[MonthlyIncome]]&lt;3000,"Low Salary",IF(HR_Data[[#This Row],[MonthlyIncome]]&lt;=7000,"Medium Salary","High Salary"))</f>
        <v>Medium Salary</v>
      </c>
      <c r="AN1326" t="str">
        <f>IF(HR_Data[[#This Row],[YearsAtCompany]]&lt;2,"0-1 Years",IF(HR_Data[[#This Row],[YearsAtCompany]]&lt;=5,"2-5 Years",IF(HR_Data[[#This Row],[YearsAtCompany]]&lt;=10,"6-10 Years","10+ Years")))</f>
        <v>6-10 Years</v>
      </c>
      <c r="AO1326" t="str">
        <f>IF(HR_Data[[#This Row],[JobSatisfaction]]=1,"Low",IF(HR_Data[[#This Row],[JobSatisfaction]]=2,"Medium",IF(HR_Data[[#This Row],[JobSatisfaction]]=3,"High","Very High")))</f>
        <v>High</v>
      </c>
      <c r="AP1326" t="str">
        <f>IF(HR_Data[[#This Row],[WorkLifeBalance]]=1,"Bad",IF(HR_Data[[#This Row],[WorkLifeBalance]]=2,"Good",IF(HR_Data[[#This Row],[WorkLifeBalance]]=3,"Better","Best")))</f>
        <v>Better</v>
      </c>
    </row>
    <row r="1327" spans="1:42"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IF(HR_Data[[#This Row],[Attrition]]="Yes",1,0)</f>
        <v>0</v>
      </c>
      <c r="AK1327">
        <f>IF(HR_Data[[#This Row],[Attrition]]="No",1,0)</f>
        <v>1</v>
      </c>
      <c r="AL1327" t="str">
        <f>IF(HR_Data[[#This Row],[Age]]&lt;25,"Under 25",IF(HR_Data[[#This Row],[Age]]&lt;=34,"25-34",IF(HR_Data[[#This Row],[Age]]&lt;=44,"35-44",IF(HR_Data[[#This Row],[Age]]&lt;=54,"45-54","55+"))))</f>
        <v>35-44</v>
      </c>
      <c r="AM1327" t="str">
        <f>IF(HR_Data[[#This Row],[MonthlyIncome]]&lt;3000,"Low Salary",IF(HR_Data[[#This Row],[MonthlyIncome]]&lt;=7000,"Medium Salary","High Salary"))</f>
        <v>Medium Salary</v>
      </c>
      <c r="AN1327" t="str">
        <f>IF(HR_Data[[#This Row],[YearsAtCompany]]&lt;2,"0-1 Years",IF(HR_Data[[#This Row],[YearsAtCompany]]&lt;=5,"2-5 Years",IF(HR_Data[[#This Row],[YearsAtCompany]]&lt;=10,"6-10 Years","10+ Years")))</f>
        <v>0-1 Years</v>
      </c>
      <c r="AO1327" t="str">
        <f>IF(HR_Data[[#This Row],[JobSatisfaction]]=1,"Low",IF(HR_Data[[#This Row],[JobSatisfaction]]=2,"Medium",IF(HR_Data[[#This Row],[JobSatisfaction]]=3,"High","Very High")))</f>
        <v>High</v>
      </c>
      <c r="AP1327" t="str">
        <f>IF(HR_Data[[#This Row],[WorkLifeBalance]]=1,"Bad",IF(HR_Data[[#This Row],[WorkLifeBalance]]=2,"Good",IF(HR_Data[[#This Row],[WorkLifeBalance]]=3,"Better","Best")))</f>
        <v>Better</v>
      </c>
    </row>
    <row r="1328" spans="1:42"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IF(HR_Data[[#This Row],[Attrition]]="Yes",1,0)</f>
        <v>1</v>
      </c>
      <c r="AK1328">
        <f>IF(HR_Data[[#This Row],[Attrition]]="No",1,0)</f>
        <v>0</v>
      </c>
      <c r="AL1328" t="str">
        <f>IF(HR_Data[[#This Row],[Age]]&lt;25,"Under 25",IF(HR_Data[[#This Row],[Age]]&lt;=34,"25-34",IF(HR_Data[[#This Row],[Age]]&lt;=44,"35-44",IF(HR_Data[[#This Row],[Age]]&lt;=54,"45-54","55+"))))</f>
        <v>25-34</v>
      </c>
      <c r="AM1328" t="str">
        <f>IF(HR_Data[[#This Row],[MonthlyIncome]]&lt;3000,"Low Salary",IF(HR_Data[[#This Row],[MonthlyIncome]]&lt;=7000,"Medium Salary","High Salary"))</f>
        <v>High Salary</v>
      </c>
      <c r="AN1328" t="str">
        <f>IF(HR_Data[[#This Row],[YearsAtCompany]]&lt;2,"0-1 Years",IF(HR_Data[[#This Row],[YearsAtCompany]]&lt;=5,"2-5 Years",IF(HR_Data[[#This Row],[YearsAtCompany]]&lt;=10,"6-10 Years","10+ Years")))</f>
        <v>2-5 Years</v>
      </c>
      <c r="AO1328" t="str">
        <f>IF(HR_Data[[#This Row],[JobSatisfaction]]=1,"Low",IF(HR_Data[[#This Row],[JobSatisfaction]]=2,"Medium",IF(HR_Data[[#This Row],[JobSatisfaction]]=3,"High","Very High")))</f>
        <v>Medium</v>
      </c>
      <c r="AP1328" t="str">
        <f>IF(HR_Data[[#This Row],[WorkLifeBalance]]=1,"Bad",IF(HR_Data[[#This Row],[WorkLifeBalance]]=2,"Good",IF(HR_Data[[#This Row],[WorkLifeBalance]]=3,"Better","Best")))</f>
        <v>Good</v>
      </c>
    </row>
    <row r="1329" spans="1:42"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IF(HR_Data[[#This Row],[Attrition]]="Yes",1,0)</f>
        <v>0</v>
      </c>
      <c r="AK1329">
        <f>IF(HR_Data[[#This Row],[Attrition]]="No",1,0)</f>
        <v>1</v>
      </c>
      <c r="AL1329" t="str">
        <f>IF(HR_Data[[#This Row],[Age]]&lt;25,"Under 25",IF(HR_Data[[#This Row],[Age]]&lt;=34,"25-34",IF(HR_Data[[#This Row],[Age]]&lt;=44,"35-44",IF(HR_Data[[#This Row],[Age]]&lt;=54,"45-54","55+"))))</f>
        <v>45-54</v>
      </c>
      <c r="AM1329" t="str">
        <f>IF(HR_Data[[#This Row],[MonthlyIncome]]&lt;3000,"Low Salary",IF(HR_Data[[#This Row],[MonthlyIncome]]&lt;=7000,"Medium Salary","High Salary"))</f>
        <v>High Salary</v>
      </c>
      <c r="AN1329" t="str">
        <f>IF(HR_Data[[#This Row],[YearsAtCompany]]&lt;2,"0-1 Years",IF(HR_Data[[#This Row],[YearsAtCompany]]&lt;=5,"2-5 Years",IF(HR_Data[[#This Row],[YearsAtCompany]]&lt;=10,"6-10 Years","10+ Years")))</f>
        <v>10+ Years</v>
      </c>
      <c r="AO1329" t="str">
        <f>IF(HR_Data[[#This Row],[JobSatisfaction]]=1,"Low",IF(HR_Data[[#This Row],[JobSatisfaction]]=2,"Medium",IF(HR_Data[[#This Row],[JobSatisfaction]]=3,"High","Very High")))</f>
        <v>Low</v>
      </c>
      <c r="AP1329" t="str">
        <f>IF(HR_Data[[#This Row],[WorkLifeBalance]]=1,"Bad",IF(HR_Data[[#This Row],[WorkLifeBalance]]=2,"Good",IF(HR_Data[[#This Row],[WorkLifeBalance]]=3,"Better","Best")))</f>
        <v>Better</v>
      </c>
    </row>
    <row r="1330" spans="1:42"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IF(HR_Data[[#This Row],[Attrition]]="Yes",1,0)</f>
        <v>0</v>
      </c>
      <c r="AK1330">
        <f>IF(HR_Data[[#This Row],[Attrition]]="No",1,0)</f>
        <v>1</v>
      </c>
      <c r="AL1330" t="str">
        <f>IF(HR_Data[[#This Row],[Age]]&lt;25,"Under 25",IF(HR_Data[[#This Row],[Age]]&lt;=34,"25-34",IF(HR_Data[[#This Row],[Age]]&lt;=44,"35-44",IF(HR_Data[[#This Row],[Age]]&lt;=54,"45-54","55+"))))</f>
        <v>25-34</v>
      </c>
      <c r="AM1330" t="str">
        <f>IF(HR_Data[[#This Row],[MonthlyIncome]]&lt;3000,"Low Salary",IF(HR_Data[[#This Row],[MonthlyIncome]]&lt;=7000,"Medium Salary","High Salary"))</f>
        <v>Medium Salary</v>
      </c>
      <c r="AN1330" t="str">
        <f>IF(HR_Data[[#This Row],[YearsAtCompany]]&lt;2,"0-1 Years",IF(HR_Data[[#This Row],[YearsAtCompany]]&lt;=5,"2-5 Years",IF(HR_Data[[#This Row],[YearsAtCompany]]&lt;=10,"6-10 Years","10+ Years")))</f>
        <v>6-10 Years</v>
      </c>
      <c r="AO1330" t="str">
        <f>IF(HR_Data[[#This Row],[JobSatisfaction]]=1,"Low",IF(HR_Data[[#This Row],[JobSatisfaction]]=2,"Medium",IF(HR_Data[[#This Row],[JobSatisfaction]]=3,"High","Very High")))</f>
        <v>High</v>
      </c>
      <c r="AP1330" t="str">
        <f>IF(HR_Data[[#This Row],[WorkLifeBalance]]=1,"Bad",IF(HR_Data[[#This Row],[WorkLifeBalance]]=2,"Good",IF(HR_Data[[#This Row],[WorkLifeBalance]]=3,"Better","Best")))</f>
        <v>Better</v>
      </c>
    </row>
    <row r="1331" spans="1:42"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IF(HR_Data[[#This Row],[Attrition]]="Yes",1,0)</f>
        <v>0</v>
      </c>
      <c r="AK1331">
        <f>IF(HR_Data[[#This Row],[Attrition]]="No",1,0)</f>
        <v>1</v>
      </c>
      <c r="AL1331" t="str">
        <f>IF(HR_Data[[#This Row],[Age]]&lt;25,"Under 25",IF(HR_Data[[#This Row],[Age]]&lt;=34,"25-34",IF(HR_Data[[#This Row],[Age]]&lt;=44,"35-44",IF(HR_Data[[#This Row],[Age]]&lt;=54,"45-54","55+"))))</f>
        <v>25-34</v>
      </c>
      <c r="AM1331" t="str">
        <f>IF(HR_Data[[#This Row],[MonthlyIncome]]&lt;3000,"Low Salary",IF(HR_Data[[#This Row],[MonthlyIncome]]&lt;=7000,"Medium Salary","High Salary"))</f>
        <v>Low Salary</v>
      </c>
      <c r="AN1331" t="str">
        <f>IF(HR_Data[[#This Row],[YearsAtCompany]]&lt;2,"0-1 Years",IF(HR_Data[[#This Row],[YearsAtCompany]]&lt;=5,"2-5 Years",IF(HR_Data[[#This Row],[YearsAtCompany]]&lt;=10,"6-10 Years","10+ Years")))</f>
        <v>0-1 Years</v>
      </c>
      <c r="AO1331" t="str">
        <f>IF(HR_Data[[#This Row],[JobSatisfaction]]=1,"Low",IF(HR_Data[[#This Row],[JobSatisfaction]]=2,"Medium",IF(HR_Data[[#This Row],[JobSatisfaction]]=3,"High","Very High")))</f>
        <v>Medium</v>
      </c>
      <c r="AP1331" t="str">
        <f>IF(HR_Data[[#This Row],[WorkLifeBalance]]=1,"Bad",IF(HR_Data[[#This Row],[WorkLifeBalance]]=2,"Good",IF(HR_Data[[#This Row],[WorkLifeBalance]]=3,"Better","Best")))</f>
        <v>Better</v>
      </c>
    </row>
    <row r="1332" spans="1:42"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IF(HR_Data[[#This Row],[Attrition]]="Yes",1,0)</f>
        <v>0</v>
      </c>
      <c r="AK1332">
        <f>IF(HR_Data[[#This Row],[Attrition]]="No",1,0)</f>
        <v>1</v>
      </c>
      <c r="AL1332" t="str">
        <f>IF(HR_Data[[#This Row],[Age]]&lt;25,"Under 25",IF(HR_Data[[#This Row],[Age]]&lt;=34,"25-34",IF(HR_Data[[#This Row],[Age]]&lt;=44,"35-44",IF(HR_Data[[#This Row],[Age]]&lt;=54,"45-54","55+"))))</f>
        <v>35-44</v>
      </c>
      <c r="AM1332" t="str">
        <f>IF(HR_Data[[#This Row],[MonthlyIncome]]&lt;3000,"Low Salary",IF(HR_Data[[#This Row],[MonthlyIncome]]&lt;=7000,"Medium Salary","High Salary"))</f>
        <v>High Salary</v>
      </c>
      <c r="AN1332" t="str">
        <f>IF(HR_Data[[#This Row],[YearsAtCompany]]&lt;2,"0-1 Years",IF(HR_Data[[#This Row],[YearsAtCompany]]&lt;=5,"2-5 Years",IF(HR_Data[[#This Row],[YearsAtCompany]]&lt;=10,"6-10 Years","10+ Years")))</f>
        <v>10+ Years</v>
      </c>
      <c r="AO1332" t="str">
        <f>IF(HR_Data[[#This Row],[JobSatisfaction]]=1,"Low",IF(HR_Data[[#This Row],[JobSatisfaction]]=2,"Medium",IF(HR_Data[[#This Row],[JobSatisfaction]]=3,"High","Very High")))</f>
        <v>High</v>
      </c>
      <c r="AP1332" t="str">
        <f>IF(HR_Data[[#This Row],[WorkLifeBalance]]=1,"Bad",IF(HR_Data[[#This Row],[WorkLifeBalance]]=2,"Good",IF(HR_Data[[#This Row],[WorkLifeBalance]]=3,"Better","Best")))</f>
        <v>Better</v>
      </c>
    </row>
    <row r="1333" spans="1:42"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IF(HR_Data[[#This Row],[Attrition]]="Yes",1,0)</f>
        <v>0</v>
      </c>
      <c r="AK1333">
        <f>IF(HR_Data[[#This Row],[Attrition]]="No",1,0)</f>
        <v>1</v>
      </c>
      <c r="AL1333" t="str">
        <f>IF(HR_Data[[#This Row],[Age]]&lt;25,"Under 25",IF(HR_Data[[#This Row],[Age]]&lt;=34,"25-34",IF(HR_Data[[#This Row],[Age]]&lt;=44,"35-44",IF(HR_Data[[#This Row],[Age]]&lt;=54,"45-54","55+"))))</f>
        <v>45-54</v>
      </c>
      <c r="AM1333" t="str">
        <f>IF(HR_Data[[#This Row],[MonthlyIncome]]&lt;3000,"Low Salary",IF(HR_Data[[#This Row],[MonthlyIncome]]&lt;=7000,"Medium Salary","High Salary"))</f>
        <v>High Salary</v>
      </c>
      <c r="AN1333" t="str">
        <f>IF(HR_Data[[#This Row],[YearsAtCompany]]&lt;2,"0-1 Years",IF(HR_Data[[#This Row],[YearsAtCompany]]&lt;=5,"2-5 Years",IF(HR_Data[[#This Row],[YearsAtCompany]]&lt;=10,"6-10 Years","10+ Years")))</f>
        <v>10+ Years</v>
      </c>
      <c r="AO1333" t="str">
        <f>IF(HR_Data[[#This Row],[JobSatisfaction]]=1,"Low",IF(HR_Data[[#This Row],[JobSatisfaction]]=2,"Medium",IF(HR_Data[[#This Row],[JobSatisfaction]]=3,"High","Very High")))</f>
        <v>Medium</v>
      </c>
      <c r="AP1333" t="str">
        <f>IF(HR_Data[[#This Row],[WorkLifeBalance]]=1,"Bad",IF(HR_Data[[#This Row],[WorkLifeBalance]]=2,"Good",IF(HR_Data[[#This Row],[WorkLifeBalance]]=3,"Better","Best")))</f>
        <v>Better</v>
      </c>
    </row>
    <row r="1334" spans="1:42"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IF(HR_Data[[#This Row],[Attrition]]="Yes",1,0)</f>
        <v>1</v>
      </c>
      <c r="AK1334">
        <f>IF(HR_Data[[#This Row],[Attrition]]="No",1,0)</f>
        <v>0</v>
      </c>
      <c r="AL1334" t="str">
        <f>IF(HR_Data[[#This Row],[Age]]&lt;25,"Under 25",IF(HR_Data[[#This Row],[Age]]&lt;=34,"25-34",IF(HR_Data[[#This Row],[Age]]&lt;=44,"35-44",IF(HR_Data[[#This Row],[Age]]&lt;=54,"45-54","55+"))))</f>
        <v>25-34</v>
      </c>
      <c r="AM1334" t="str">
        <f>IF(HR_Data[[#This Row],[MonthlyIncome]]&lt;3000,"Low Salary",IF(HR_Data[[#This Row],[MonthlyIncome]]&lt;=7000,"Medium Salary","High Salary"))</f>
        <v>Low Salary</v>
      </c>
      <c r="AN1334" t="str">
        <f>IF(HR_Data[[#This Row],[YearsAtCompany]]&lt;2,"0-1 Years",IF(HR_Data[[#This Row],[YearsAtCompany]]&lt;=5,"2-5 Years",IF(HR_Data[[#This Row],[YearsAtCompany]]&lt;=10,"6-10 Years","10+ Years")))</f>
        <v>0-1 Years</v>
      </c>
      <c r="AO1334" t="str">
        <f>IF(HR_Data[[#This Row],[JobSatisfaction]]=1,"Low",IF(HR_Data[[#This Row],[JobSatisfaction]]=2,"Medium",IF(HR_Data[[#This Row],[JobSatisfaction]]=3,"High","Very High")))</f>
        <v>Very High</v>
      </c>
      <c r="AP1334" t="str">
        <f>IF(HR_Data[[#This Row],[WorkLifeBalance]]=1,"Bad",IF(HR_Data[[#This Row],[WorkLifeBalance]]=2,"Good",IF(HR_Data[[#This Row],[WorkLifeBalance]]=3,"Better","Best")))</f>
        <v>Good</v>
      </c>
    </row>
    <row r="1335" spans="1:42"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IF(HR_Data[[#This Row],[Attrition]]="Yes",1,0)</f>
        <v>1</v>
      </c>
      <c r="AK1335">
        <f>IF(HR_Data[[#This Row],[Attrition]]="No",1,0)</f>
        <v>0</v>
      </c>
      <c r="AL1335" t="str">
        <f>IF(HR_Data[[#This Row],[Age]]&lt;25,"Under 25",IF(HR_Data[[#This Row],[Age]]&lt;=34,"25-34",IF(HR_Data[[#This Row],[Age]]&lt;=44,"35-44",IF(HR_Data[[#This Row],[Age]]&lt;=54,"45-54","55+"))))</f>
        <v>45-54</v>
      </c>
      <c r="AM1335" t="str">
        <f>IF(HR_Data[[#This Row],[MonthlyIncome]]&lt;3000,"Low Salary",IF(HR_Data[[#This Row],[MonthlyIncome]]&lt;=7000,"Medium Salary","High Salary"))</f>
        <v>High Salary</v>
      </c>
      <c r="AN1335" t="str">
        <f>IF(HR_Data[[#This Row],[YearsAtCompany]]&lt;2,"0-1 Years",IF(HR_Data[[#This Row],[YearsAtCompany]]&lt;=5,"2-5 Years",IF(HR_Data[[#This Row],[YearsAtCompany]]&lt;=10,"6-10 Years","10+ Years")))</f>
        <v>6-10 Years</v>
      </c>
      <c r="AO1335" t="str">
        <f>IF(HR_Data[[#This Row],[JobSatisfaction]]=1,"Low",IF(HR_Data[[#This Row],[JobSatisfaction]]=2,"Medium",IF(HR_Data[[#This Row],[JobSatisfaction]]=3,"High","Very High")))</f>
        <v>Medium</v>
      </c>
      <c r="AP1335" t="str">
        <f>IF(HR_Data[[#This Row],[WorkLifeBalance]]=1,"Bad",IF(HR_Data[[#This Row],[WorkLifeBalance]]=2,"Good",IF(HR_Data[[#This Row],[WorkLifeBalance]]=3,"Better","Best")))</f>
        <v>Better</v>
      </c>
    </row>
    <row r="1336" spans="1:42"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IF(HR_Data[[#This Row],[Attrition]]="Yes",1,0)</f>
        <v>0</v>
      </c>
      <c r="AK1336">
        <f>IF(HR_Data[[#This Row],[Attrition]]="No",1,0)</f>
        <v>1</v>
      </c>
      <c r="AL1336" t="str">
        <f>IF(HR_Data[[#This Row],[Age]]&lt;25,"Under 25",IF(HR_Data[[#This Row],[Age]]&lt;=34,"25-34",IF(HR_Data[[#This Row],[Age]]&lt;=44,"35-44",IF(HR_Data[[#This Row],[Age]]&lt;=54,"45-54","55+"))))</f>
        <v>25-34</v>
      </c>
      <c r="AM1336" t="str">
        <f>IF(HR_Data[[#This Row],[MonthlyIncome]]&lt;3000,"Low Salary",IF(HR_Data[[#This Row],[MonthlyIncome]]&lt;=7000,"Medium Salary","High Salary"))</f>
        <v>Medium Salary</v>
      </c>
      <c r="AN1336" t="str">
        <f>IF(HR_Data[[#This Row],[YearsAtCompany]]&lt;2,"0-1 Years",IF(HR_Data[[#This Row],[YearsAtCompany]]&lt;=5,"2-5 Years",IF(HR_Data[[#This Row],[YearsAtCompany]]&lt;=10,"6-10 Years","10+ Years")))</f>
        <v>6-10 Years</v>
      </c>
      <c r="AO1336" t="str">
        <f>IF(HR_Data[[#This Row],[JobSatisfaction]]=1,"Low",IF(HR_Data[[#This Row],[JobSatisfaction]]=2,"Medium",IF(HR_Data[[#This Row],[JobSatisfaction]]=3,"High","Very High")))</f>
        <v>Low</v>
      </c>
      <c r="AP1336" t="str">
        <f>IF(HR_Data[[#This Row],[WorkLifeBalance]]=1,"Bad",IF(HR_Data[[#This Row],[WorkLifeBalance]]=2,"Good",IF(HR_Data[[#This Row],[WorkLifeBalance]]=3,"Better","Best")))</f>
        <v>Good</v>
      </c>
    </row>
    <row r="1337" spans="1:42"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IF(HR_Data[[#This Row],[Attrition]]="Yes",1,0)</f>
        <v>0</v>
      </c>
      <c r="AK1337">
        <f>IF(HR_Data[[#This Row],[Attrition]]="No",1,0)</f>
        <v>1</v>
      </c>
      <c r="AL1337" t="str">
        <f>IF(HR_Data[[#This Row],[Age]]&lt;25,"Under 25",IF(HR_Data[[#This Row],[Age]]&lt;=34,"25-34",IF(HR_Data[[#This Row],[Age]]&lt;=44,"35-44",IF(HR_Data[[#This Row],[Age]]&lt;=54,"45-54","55+"))))</f>
        <v>35-44</v>
      </c>
      <c r="AM1337" t="str">
        <f>IF(HR_Data[[#This Row],[MonthlyIncome]]&lt;3000,"Low Salary",IF(HR_Data[[#This Row],[MonthlyIncome]]&lt;=7000,"Medium Salary","High Salary"))</f>
        <v>Medium Salary</v>
      </c>
      <c r="AN1337" t="str">
        <f>IF(HR_Data[[#This Row],[YearsAtCompany]]&lt;2,"0-1 Years",IF(HR_Data[[#This Row],[YearsAtCompany]]&lt;=5,"2-5 Years",IF(HR_Data[[#This Row],[YearsAtCompany]]&lt;=10,"6-10 Years","10+ Years")))</f>
        <v>2-5 Years</v>
      </c>
      <c r="AO1337" t="str">
        <f>IF(HR_Data[[#This Row],[JobSatisfaction]]=1,"Low",IF(HR_Data[[#This Row],[JobSatisfaction]]=2,"Medium",IF(HR_Data[[#This Row],[JobSatisfaction]]=3,"High","Very High")))</f>
        <v>Very High</v>
      </c>
      <c r="AP1337" t="str">
        <f>IF(HR_Data[[#This Row],[WorkLifeBalance]]=1,"Bad",IF(HR_Data[[#This Row],[WorkLifeBalance]]=2,"Good",IF(HR_Data[[#This Row],[WorkLifeBalance]]=3,"Better","Best")))</f>
        <v>Better</v>
      </c>
    </row>
    <row r="1338" spans="1:42"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IF(HR_Data[[#This Row],[Attrition]]="Yes",1,0)</f>
        <v>0</v>
      </c>
      <c r="AK1338">
        <f>IF(HR_Data[[#This Row],[Attrition]]="No",1,0)</f>
        <v>1</v>
      </c>
      <c r="AL1338" t="str">
        <f>IF(HR_Data[[#This Row],[Age]]&lt;25,"Under 25",IF(HR_Data[[#This Row],[Age]]&lt;=34,"25-34",IF(HR_Data[[#This Row],[Age]]&lt;=44,"35-44",IF(HR_Data[[#This Row],[Age]]&lt;=54,"45-54","55+"))))</f>
        <v>55+</v>
      </c>
      <c r="AM1338" t="str">
        <f>IF(HR_Data[[#This Row],[MonthlyIncome]]&lt;3000,"Low Salary",IF(HR_Data[[#This Row],[MonthlyIncome]]&lt;=7000,"Medium Salary","High Salary"))</f>
        <v>Low Salary</v>
      </c>
      <c r="AN1338" t="str">
        <f>IF(HR_Data[[#This Row],[YearsAtCompany]]&lt;2,"0-1 Years",IF(HR_Data[[#This Row],[YearsAtCompany]]&lt;=5,"2-5 Years",IF(HR_Data[[#This Row],[YearsAtCompany]]&lt;=10,"6-10 Years","10+ Years")))</f>
        <v>2-5 Years</v>
      </c>
      <c r="AO1338" t="str">
        <f>IF(HR_Data[[#This Row],[JobSatisfaction]]=1,"Low",IF(HR_Data[[#This Row],[JobSatisfaction]]=2,"Medium",IF(HR_Data[[#This Row],[JobSatisfaction]]=3,"High","Very High")))</f>
        <v>Very High</v>
      </c>
      <c r="AP1338" t="str">
        <f>IF(HR_Data[[#This Row],[WorkLifeBalance]]=1,"Bad",IF(HR_Data[[#This Row],[WorkLifeBalance]]=2,"Good",IF(HR_Data[[#This Row],[WorkLifeBalance]]=3,"Better","Best")))</f>
        <v>Best</v>
      </c>
    </row>
    <row r="1339" spans="1:42"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IF(HR_Data[[#This Row],[Attrition]]="Yes",1,0)</f>
        <v>0</v>
      </c>
      <c r="AK1339">
        <f>IF(HR_Data[[#This Row],[Attrition]]="No",1,0)</f>
        <v>1</v>
      </c>
      <c r="AL1339" t="str">
        <f>IF(HR_Data[[#This Row],[Age]]&lt;25,"Under 25",IF(HR_Data[[#This Row],[Age]]&lt;=34,"25-34",IF(HR_Data[[#This Row],[Age]]&lt;=44,"35-44",IF(HR_Data[[#This Row],[Age]]&lt;=54,"45-54","55+"))))</f>
        <v>25-34</v>
      </c>
      <c r="AM1339" t="str">
        <f>IF(HR_Data[[#This Row],[MonthlyIncome]]&lt;3000,"Low Salary",IF(HR_Data[[#This Row],[MonthlyIncome]]&lt;=7000,"Medium Salary","High Salary"))</f>
        <v>Low Salary</v>
      </c>
      <c r="AN1339" t="str">
        <f>IF(HR_Data[[#This Row],[YearsAtCompany]]&lt;2,"0-1 Years",IF(HR_Data[[#This Row],[YearsAtCompany]]&lt;=5,"2-5 Years",IF(HR_Data[[#This Row],[YearsAtCompany]]&lt;=10,"6-10 Years","10+ Years")))</f>
        <v>0-1 Years</v>
      </c>
      <c r="AO1339" t="str">
        <f>IF(HR_Data[[#This Row],[JobSatisfaction]]=1,"Low",IF(HR_Data[[#This Row],[JobSatisfaction]]=2,"Medium",IF(HR_Data[[#This Row],[JobSatisfaction]]=3,"High","Very High")))</f>
        <v>Medium</v>
      </c>
      <c r="AP1339" t="str">
        <f>IF(HR_Data[[#This Row],[WorkLifeBalance]]=1,"Bad",IF(HR_Data[[#This Row],[WorkLifeBalance]]=2,"Good",IF(HR_Data[[#This Row],[WorkLifeBalance]]=3,"Better","Best")))</f>
        <v>Better</v>
      </c>
    </row>
    <row r="1340" spans="1:42"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IF(HR_Data[[#This Row],[Attrition]]="Yes",1,0)</f>
        <v>1</v>
      </c>
      <c r="AK1340">
        <f>IF(HR_Data[[#This Row],[Attrition]]="No",1,0)</f>
        <v>0</v>
      </c>
      <c r="AL1340" t="str">
        <f>IF(HR_Data[[#This Row],[Age]]&lt;25,"Under 25",IF(HR_Data[[#This Row],[Age]]&lt;=34,"25-34",IF(HR_Data[[#This Row],[Age]]&lt;=44,"35-44",IF(HR_Data[[#This Row],[Age]]&lt;=54,"45-54","55+"))))</f>
        <v>25-34</v>
      </c>
      <c r="AM1340" t="str">
        <f>IF(HR_Data[[#This Row],[MonthlyIncome]]&lt;3000,"Low Salary",IF(HR_Data[[#This Row],[MonthlyIncome]]&lt;=7000,"Medium Salary","High Salary"))</f>
        <v>Low Salary</v>
      </c>
      <c r="AN1340" t="str">
        <f>IF(HR_Data[[#This Row],[YearsAtCompany]]&lt;2,"0-1 Years",IF(HR_Data[[#This Row],[YearsAtCompany]]&lt;=5,"2-5 Years",IF(HR_Data[[#This Row],[YearsAtCompany]]&lt;=10,"6-10 Years","10+ Years")))</f>
        <v>0-1 Years</v>
      </c>
      <c r="AO1340" t="str">
        <f>IF(HR_Data[[#This Row],[JobSatisfaction]]=1,"Low",IF(HR_Data[[#This Row],[JobSatisfaction]]=2,"Medium",IF(HR_Data[[#This Row],[JobSatisfaction]]=3,"High","Very High")))</f>
        <v>Very High</v>
      </c>
      <c r="AP1340" t="str">
        <f>IF(HR_Data[[#This Row],[WorkLifeBalance]]=1,"Bad",IF(HR_Data[[#This Row],[WorkLifeBalance]]=2,"Good",IF(HR_Data[[#This Row],[WorkLifeBalance]]=3,"Better","Best")))</f>
        <v>Good</v>
      </c>
    </row>
    <row r="1341" spans="1:42"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IF(HR_Data[[#This Row],[Attrition]]="Yes",1,0)</f>
        <v>1</v>
      </c>
      <c r="AK1341">
        <f>IF(HR_Data[[#This Row],[Attrition]]="No",1,0)</f>
        <v>0</v>
      </c>
      <c r="AL1341" t="str">
        <f>IF(HR_Data[[#This Row],[Age]]&lt;25,"Under 25",IF(HR_Data[[#This Row],[Age]]&lt;=34,"25-34",IF(HR_Data[[#This Row],[Age]]&lt;=44,"35-44",IF(HR_Data[[#This Row],[Age]]&lt;=54,"45-54","55+"))))</f>
        <v>Under 25</v>
      </c>
      <c r="AM1341" t="str">
        <f>IF(HR_Data[[#This Row],[MonthlyIncome]]&lt;3000,"Low Salary",IF(HR_Data[[#This Row],[MonthlyIncome]]&lt;=7000,"Medium Salary","High Salary"))</f>
        <v>Low Salary</v>
      </c>
      <c r="AN1341" t="str">
        <f>IF(HR_Data[[#This Row],[YearsAtCompany]]&lt;2,"0-1 Years",IF(HR_Data[[#This Row],[YearsAtCompany]]&lt;=5,"2-5 Years",IF(HR_Data[[#This Row],[YearsAtCompany]]&lt;=10,"6-10 Years","10+ Years")))</f>
        <v>0-1 Years</v>
      </c>
      <c r="AO1341" t="str">
        <f>IF(HR_Data[[#This Row],[JobSatisfaction]]=1,"Low",IF(HR_Data[[#This Row],[JobSatisfaction]]=2,"Medium",IF(HR_Data[[#This Row],[JobSatisfaction]]=3,"High","Very High")))</f>
        <v>Medium</v>
      </c>
      <c r="AP1341" t="str">
        <f>IF(HR_Data[[#This Row],[WorkLifeBalance]]=1,"Bad",IF(HR_Data[[#This Row],[WorkLifeBalance]]=2,"Good",IF(HR_Data[[#This Row],[WorkLifeBalance]]=3,"Better","Best")))</f>
        <v>Better</v>
      </c>
    </row>
    <row r="1342" spans="1:42"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IF(HR_Data[[#This Row],[Attrition]]="Yes",1,0)</f>
        <v>0</v>
      </c>
      <c r="AK1342">
        <f>IF(HR_Data[[#This Row],[Attrition]]="No",1,0)</f>
        <v>1</v>
      </c>
      <c r="AL1342" t="str">
        <f>IF(HR_Data[[#This Row],[Age]]&lt;25,"Under 25",IF(HR_Data[[#This Row],[Age]]&lt;=34,"25-34",IF(HR_Data[[#This Row],[Age]]&lt;=44,"35-44",IF(HR_Data[[#This Row],[Age]]&lt;=54,"45-54","55+"))))</f>
        <v>35-44</v>
      </c>
      <c r="AM1342" t="str">
        <f>IF(HR_Data[[#This Row],[MonthlyIncome]]&lt;3000,"Low Salary",IF(HR_Data[[#This Row],[MonthlyIncome]]&lt;=7000,"Medium Salary","High Salary"))</f>
        <v>Medium Salary</v>
      </c>
      <c r="AN1342" t="str">
        <f>IF(HR_Data[[#This Row],[YearsAtCompany]]&lt;2,"0-1 Years",IF(HR_Data[[#This Row],[YearsAtCompany]]&lt;=5,"2-5 Years",IF(HR_Data[[#This Row],[YearsAtCompany]]&lt;=10,"6-10 Years","10+ Years")))</f>
        <v>6-10 Years</v>
      </c>
      <c r="AO1342" t="str">
        <f>IF(HR_Data[[#This Row],[JobSatisfaction]]=1,"Low",IF(HR_Data[[#This Row],[JobSatisfaction]]=2,"Medium",IF(HR_Data[[#This Row],[JobSatisfaction]]=3,"High","Very High")))</f>
        <v>High</v>
      </c>
      <c r="AP1342" t="str">
        <f>IF(HR_Data[[#This Row],[WorkLifeBalance]]=1,"Bad",IF(HR_Data[[#This Row],[WorkLifeBalance]]=2,"Good",IF(HR_Data[[#This Row],[WorkLifeBalance]]=3,"Better","Best")))</f>
        <v>Better</v>
      </c>
    </row>
    <row r="1343" spans="1:42"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IF(HR_Data[[#This Row],[Attrition]]="Yes",1,0)</f>
        <v>0</v>
      </c>
      <c r="AK1343">
        <f>IF(HR_Data[[#This Row],[Attrition]]="No",1,0)</f>
        <v>1</v>
      </c>
      <c r="AL1343" t="str">
        <f>IF(HR_Data[[#This Row],[Age]]&lt;25,"Under 25",IF(HR_Data[[#This Row],[Age]]&lt;=34,"25-34",IF(HR_Data[[#This Row],[Age]]&lt;=44,"35-44",IF(HR_Data[[#This Row],[Age]]&lt;=54,"45-54","55+"))))</f>
        <v>25-34</v>
      </c>
      <c r="AM1343" t="str">
        <f>IF(HR_Data[[#This Row],[MonthlyIncome]]&lt;3000,"Low Salary",IF(HR_Data[[#This Row],[MonthlyIncome]]&lt;=7000,"Medium Salary","High Salary"))</f>
        <v>Medium Salary</v>
      </c>
      <c r="AN1343" t="str">
        <f>IF(HR_Data[[#This Row],[YearsAtCompany]]&lt;2,"0-1 Years",IF(HR_Data[[#This Row],[YearsAtCompany]]&lt;=5,"2-5 Years",IF(HR_Data[[#This Row],[YearsAtCompany]]&lt;=10,"6-10 Years","10+ Years")))</f>
        <v>6-10 Years</v>
      </c>
      <c r="AO1343" t="str">
        <f>IF(HR_Data[[#This Row],[JobSatisfaction]]=1,"Low",IF(HR_Data[[#This Row],[JobSatisfaction]]=2,"Medium",IF(HR_Data[[#This Row],[JobSatisfaction]]=3,"High","Very High")))</f>
        <v>High</v>
      </c>
      <c r="AP1343" t="str">
        <f>IF(HR_Data[[#This Row],[WorkLifeBalance]]=1,"Bad",IF(HR_Data[[#This Row],[WorkLifeBalance]]=2,"Good",IF(HR_Data[[#This Row],[WorkLifeBalance]]=3,"Better","Best")))</f>
        <v>Better</v>
      </c>
    </row>
    <row r="1344" spans="1:42"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IF(HR_Data[[#This Row],[Attrition]]="Yes",1,0)</f>
        <v>0</v>
      </c>
      <c r="AK1344">
        <f>IF(HR_Data[[#This Row],[Attrition]]="No",1,0)</f>
        <v>1</v>
      </c>
      <c r="AL1344" t="str">
        <f>IF(HR_Data[[#This Row],[Age]]&lt;25,"Under 25",IF(HR_Data[[#This Row],[Age]]&lt;=34,"25-34",IF(HR_Data[[#This Row],[Age]]&lt;=44,"35-44",IF(HR_Data[[#This Row],[Age]]&lt;=54,"45-54","55+"))))</f>
        <v>25-34</v>
      </c>
      <c r="AM1344" t="str">
        <f>IF(HR_Data[[#This Row],[MonthlyIncome]]&lt;3000,"Low Salary",IF(HR_Data[[#This Row],[MonthlyIncome]]&lt;=7000,"Medium Salary","High Salary"))</f>
        <v>High Salary</v>
      </c>
      <c r="AN1344" t="str">
        <f>IF(HR_Data[[#This Row],[YearsAtCompany]]&lt;2,"0-1 Years",IF(HR_Data[[#This Row],[YearsAtCompany]]&lt;=5,"2-5 Years",IF(HR_Data[[#This Row],[YearsAtCompany]]&lt;=10,"6-10 Years","10+ Years")))</f>
        <v>2-5 Years</v>
      </c>
      <c r="AO1344" t="str">
        <f>IF(HR_Data[[#This Row],[JobSatisfaction]]=1,"Low",IF(HR_Data[[#This Row],[JobSatisfaction]]=2,"Medium",IF(HR_Data[[#This Row],[JobSatisfaction]]=3,"High","Very High")))</f>
        <v>Very High</v>
      </c>
      <c r="AP1344" t="str">
        <f>IF(HR_Data[[#This Row],[WorkLifeBalance]]=1,"Bad",IF(HR_Data[[#This Row],[WorkLifeBalance]]=2,"Good",IF(HR_Data[[#This Row],[WorkLifeBalance]]=3,"Better","Best")))</f>
        <v>Better</v>
      </c>
    </row>
    <row r="1345" spans="1:42"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IF(HR_Data[[#This Row],[Attrition]]="Yes",1,0)</f>
        <v>0</v>
      </c>
      <c r="AK1345">
        <f>IF(HR_Data[[#This Row],[Attrition]]="No",1,0)</f>
        <v>1</v>
      </c>
      <c r="AL1345" t="str">
        <f>IF(HR_Data[[#This Row],[Age]]&lt;25,"Under 25",IF(HR_Data[[#This Row],[Age]]&lt;=34,"25-34",IF(HR_Data[[#This Row],[Age]]&lt;=44,"35-44",IF(HR_Data[[#This Row],[Age]]&lt;=54,"45-54","55+"))))</f>
        <v>25-34</v>
      </c>
      <c r="AM1345" t="str">
        <f>IF(HR_Data[[#This Row],[MonthlyIncome]]&lt;3000,"Low Salary",IF(HR_Data[[#This Row],[MonthlyIncome]]&lt;=7000,"Medium Salary","High Salary"))</f>
        <v>Low Salary</v>
      </c>
      <c r="AN1345" t="str">
        <f>IF(HR_Data[[#This Row],[YearsAtCompany]]&lt;2,"0-1 Years",IF(HR_Data[[#This Row],[YearsAtCompany]]&lt;=5,"2-5 Years",IF(HR_Data[[#This Row],[YearsAtCompany]]&lt;=10,"6-10 Years","10+ Years")))</f>
        <v>2-5 Years</v>
      </c>
      <c r="AO1345" t="str">
        <f>IF(HR_Data[[#This Row],[JobSatisfaction]]=1,"Low",IF(HR_Data[[#This Row],[JobSatisfaction]]=2,"Medium",IF(HR_Data[[#This Row],[JobSatisfaction]]=3,"High","Very High")))</f>
        <v>Low</v>
      </c>
      <c r="AP1345" t="str">
        <f>IF(HR_Data[[#This Row],[WorkLifeBalance]]=1,"Bad",IF(HR_Data[[#This Row],[WorkLifeBalance]]=2,"Good",IF(HR_Data[[#This Row],[WorkLifeBalance]]=3,"Better","Best")))</f>
        <v>Better</v>
      </c>
    </row>
    <row r="1346" spans="1:42"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IF(HR_Data[[#This Row],[Attrition]]="Yes",1,0)</f>
        <v>0</v>
      </c>
      <c r="AK1346">
        <f>IF(HR_Data[[#This Row],[Attrition]]="No",1,0)</f>
        <v>1</v>
      </c>
      <c r="AL1346" t="str">
        <f>IF(HR_Data[[#This Row],[Age]]&lt;25,"Under 25",IF(HR_Data[[#This Row],[Age]]&lt;=34,"25-34",IF(HR_Data[[#This Row],[Age]]&lt;=44,"35-44",IF(HR_Data[[#This Row],[Age]]&lt;=54,"45-54","55+"))))</f>
        <v>35-44</v>
      </c>
      <c r="AM1346" t="str">
        <f>IF(HR_Data[[#This Row],[MonthlyIncome]]&lt;3000,"Low Salary",IF(HR_Data[[#This Row],[MonthlyIncome]]&lt;=7000,"Medium Salary","High Salary"))</f>
        <v>Medium Salary</v>
      </c>
      <c r="AN1346" t="str">
        <f>IF(HR_Data[[#This Row],[YearsAtCompany]]&lt;2,"0-1 Years",IF(HR_Data[[#This Row],[YearsAtCompany]]&lt;=5,"2-5 Years",IF(HR_Data[[#This Row],[YearsAtCompany]]&lt;=10,"6-10 Years","10+ Years")))</f>
        <v>2-5 Years</v>
      </c>
      <c r="AO1346" t="str">
        <f>IF(HR_Data[[#This Row],[JobSatisfaction]]=1,"Low",IF(HR_Data[[#This Row],[JobSatisfaction]]=2,"Medium",IF(HR_Data[[#This Row],[JobSatisfaction]]=3,"High","Very High")))</f>
        <v>Low</v>
      </c>
      <c r="AP1346" t="str">
        <f>IF(HR_Data[[#This Row],[WorkLifeBalance]]=1,"Bad",IF(HR_Data[[#This Row],[WorkLifeBalance]]=2,"Good",IF(HR_Data[[#This Row],[WorkLifeBalance]]=3,"Better","Best")))</f>
        <v>Better</v>
      </c>
    </row>
    <row r="1347" spans="1:42"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IF(HR_Data[[#This Row],[Attrition]]="Yes",1,0)</f>
        <v>0</v>
      </c>
      <c r="AK1347">
        <f>IF(HR_Data[[#This Row],[Attrition]]="No",1,0)</f>
        <v>1</v>
      </c>
      <c r="AL1347" t="str">
        <f>IF(HR_Data[[#This Row],[Age]]&lt;25,"Under 25",IF(HR_Data[[#This Row],[Age]]&lt;=34,"25-34",IF(HR_Data[[#This Row],[Age]]&lt;=44,"35-44",IF(HR_Data[[#This Row],[Age]]&lt;=54,"45-54","55+"))))</f>
        <v>35-44</v>
      </c>
      <c r="AM1347" t="str">
        <f>IF(HR_Data[[#This Row],[MonthlyIncome]]&lt;3000,"Low Salary",IF(HR_Data[[#This Row],[MonthlyIncome]]&lt;=7000,"Medium Salary","High Salary"))</f>
        <v>Medium Salary</v>
      </c>
      <c r="AN1347" t="str">
        <f>IF(HR_Data[[#This Row],[YearsAtCompany]]&lt;2,"0-1 Years",IF(HR_Data[[#This Row],[YearsAtCompany]]&lt;=5,"2-5 Years",IF(HR_Data[[#This Row],[YearsAtCompany]]&lt;=10,"6-10 Years","10+ Years")))</f>
        <v>2-5 Years</v>
      </c>
      <c r="AO1347" t="str">
        <f>IF(HR_Data[[#This Row],[JobSatisfaction]]=1,"Low",IF(HR_Data[[#This Row],[JobSatisfaction]]=2,"Medium",IF(HR_Data[[#This Row],[JobSatisfaction]]=3,"High","Very High")))</f>
        <v>Medium</v>
      </c>
      <c r="AP1347" t="str">
        <f>IF(HR_Data[[#This Row],[WorkLifeBalance]]=1,"Bad",IF(HR_Data[[#This Row],[WorkLifeBalance]]=2,"Good",IF(HR_Data[[#This Row],[WorkLifeBalance]]=3,"Better","Best")))</f>
        <v>Better</v>
      </c>
    </row>
    <row r="1348" spans="1:42"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IF(HR_Data[[#This Row],[Attrition]]="Yes",1,0)</f>
        <v>0</v>
      </c>
      <c r="AK1348">
        <f>IF(HR_Data[[#This Row],[Attrition]]="No",1,0)</f>
        <v>1</v>
      </c>
      <c r="AL1348" t="str">
        <f>IF(HR_Data[[#This Row],[Age]]&lt;25,"Under 25",IF(HR_Data[[#This Row],[Age]]&lt;=34,"25-34",IF(HR_Data[[#This Row],[Age]]&lt;=44,"35-44",IF(HR_Data[[#This Row],[Age]]&lt;=54,"45-54","55+"))))</f>
        <v>45-54</v>
      </c>
      <c r="AM1348" t="str">
        <f>IF(HR_Data[[#This Row],[MonthlyIncome]]&lt;3000,"Low Salary",IF(HR_Data[[#This Row],[MonthlyIncome]]&lt;=7000,"Medium Salary","High Salary"))</f>
        <v>Medium Salary</v>
      </c>
      <c r="AN1348" t="str">
        <f>IF(HR_Data[[#This Row],[YearsAtCompany]]&lt;2,"0-1 Years",IF(HR_Data[[#This Row],[YearsAtCompany]]&lt;=5,"2-5 Years",IF(HR_Data[[#This Row],[YearsAtCompany]]&lt;=10,"6-10 Years","10+ Years")))</f>
        <v>6-10 Years</v>
      </c>
      <c r="AO1348" t="str">
        <f>IF(HR_Data[[#This Row],[JobSatisfaction]]=1,"Low",IF(HR_Data[[#This Row],[JobSatisfaction]]=2,"Medium",IF(HR_Data[[#This Row],[JobSatisfaction]]=3,"High","Very High")))</f>
        <v>Very High</v>
      </c>
      <c r="AP1348" t="str">
        <f>IF(HR_Data[[#This Row],[WorkLifeBalance]]=1,"Bad",IF(HR_Data[[#This Row],[WorkLifeBalance]]=2,"Good",IF(HR_Data[[#This Row],[WorkLifeBalance]]=3,"Better","Best")))</f>
        <v>Good</v>
      </c>
    </row>
    <row r="1349" spans="1:42"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IF(HR_Data[[#This Row],[Attrition]]="Yes",1,0)</f>
        <v>0</v>
      </c>
      <c r="AK1349">
        <f>IF(HR_Data[[#This Row],[Attrition]]="No",1,0)</f>
        <v>1</v>
      </c>
      <c r="AL1349" t="str">
        <f>IF(HR_Data[[#This Row],[Age]]&lt;25,"Under 25",IF(HR_Data[[#This Row],[Age]]&lt;=34,"25-34",IF(HR_Data[[#This Row],[Age]]&lt;=44,"35-44",IF(HR_Data[[#This Row],[Age]]&lt;=54,"45-54","55+"))))</f>
        <v>35-44</v>
      </c>
      <c r="AM1349" t="str">
        <f>IF(HR_Data[[#This Row],[MonthlyIncome]]&lt;3000,"Low Salary",IF(HR_Data[[#This Row],[MonthlyIncome]]&lt;=7000,"Medium Salary","High Salary"))</f>
        <v>Medium Salary</v>
      </c>
      <c r="AN1349" t="str">
        <f>IF(HR_Data[[#This Row],[YearsAtCompany]]&lt;2,"0-1 Years",IF(HR_Data[[#This Row],[YearsAtCompany]]&lt;=5,"2-5 Years",IF(HR_Data[[#This Row],[YearsAtCompany]]&lt;=10,"6-10 Years","10+ Years")))</f>
        <v>6-10 Years</v>
      </c>
      <c r="AO1349" t="str">
        <f>IF(HR_Data[[#This Row],[JobSatisfaction]]=1,"Low",IF(HR_Data[[#This Row],[JobSatisfaction]]=2,"Medium",IF(HR_Data[[#This Row],[JobSatisfaction]]=3,"High","Very High")))</f>
        <v>Very High</v>
      </c>
      <c r="AP1349" t="str">
        <f>IF(HR_Data[[#This Row],[WorkLifeBalance]]=1,"Bad",IF(HR_Data[[#This Row],[WorkLifeBalance]]=2,"Good",IF(HR_Data[[#This Row],[WorkLifeBalance]]=3,"Better","Best")))</f>
        <v>Good</v>
      </c>
    </row>
    <row r="1350" spans="1:42"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IF(HR_Data[[#This Row],[Attrition]]="Yes",1,0)</f>
        <v>0</v>
      </c>
      <c r="AK1350">
        <f>IF(HR_Data[[#This Row],[Attrition]]="No",1,0)</f>
        <v>1</v>
      </c>
      <c r="AL1350" t="str">
        <f>IF(HR_Data[[#This Row],[Age]]&lt;25,"Under 25",IF(HR_Data[[#This Row],[Age]]&lt;=34,"25-34",IF(HR_Data[[#This Row],[Age]]&lt;=44,"35-44",IF(HR_Data[[#This Row],[Age]]&lt;=54,"45-54","55+"))))</f>
        <v>35-44</v>
      </c>
      <c r="AM1350" t="str">
        <f>IF(HR_Data[[#This Row],[MonthlyIncome]]&lt;3000,"Low Salary",IF(HR_Data[[#This Row],[MonthlyIncome]]&lt;=7000,"Medium Salary","High Salary"))</f>
        <v>High Salary</v>
      </c>
      <c r="AN1350" t="str">
        <f>IF(HR_Data[[#This Row],[YearsAtCompany]]&lt;2,"0-1 Years",IF(HR_Data[[#This Row],[YearsAtCompany]]&lt;=5,"2-5 Years",IF(HR_Data[[#This Row],[YearsAtCompany]]&lt;=10,"6-10 Years","10+ Years")))</f>
        <v>10+ Years</v>
      </c>
      <c r="AO1350" t="str">
        <f>IF(HR_Data[[#This Row],[JobSatisfaction]]=1,"Low",IF(HR_Data[[#This Row],[JobSatisfaction]]=2,"Medium",IF(HR_Data[[#This Row],[JobSatisfaction]]=3,"High","Very High")))</f>
        <v>Low</v>
      </c>
      <c r="AP1350" t="str">
        <f>IF(HR_Data[[#This Row],[WorkLifeBalance]]=1,"Bad",IF(HR_Data[[#This Row],[WorkLifeBalance]]=2,"Good",IF(HR_Data[[#This Row],[WorkLifeBalance]]=3,"Better","Best")))</f>
        <v>Better</v>
      </c>
    </row>
    <row r="1351" spans="1:42"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IF(HR_Data[[#This Row],[Attrition]]="Yes",1,0)</f>
        <v>0</v>
      </c>
      <c r="AK1351">
        <f>IF(HR_Data[[#This Row],[Attrition]]="No",1,0)</f>
        <v>1</v>
      </c>
      <c r="AL1351" t="str">
        <f>IF(HR_Data[[#This Row],[Age]]&lt;25,"Under 25",IF(HR_Data[[#This Row],[Age]]&lt;=34,"25-34",IF(HR_Data[[#This Row],[Age]]&lt;=44,"35-44",IF(HR_Data[[#This Row],[Age]]&lt;=54,"45-54","55+"))))</f>
        <v>25-34</v>
      </c>
      <c r="AM1351" t="str">
        <f>IF(HR_Data[[#This Row],[MonthlyIncome]]&lt;3000,"Low Salary",IF(HR_Data[[#This Row],[MonthlyIncome]]&lt;=7000,"Medium Salary","High Salary"))</f>
        <v>Low Salary</v>
      </c>
      <c r="AN1351" t="str">
        <f>IF(HR_Data[[#This Row],[YearsAtCompany]]&lt;2,"0-1 Years",IF(HR_Data[[#This Row],[YearsAtCompany]]&lt;=5,"2-5 Years",IF(HR_Data[[#This Row],[YearsAtCompany]]&lt;=10,"6-10 Years","10+ Years")))</f>
        <v>0-1 Years</v>
      </c>
      <c r="AO1351" t="str">
        <f>IF(HR_Data[[#This Row],[JobSatisfaction]]=1,"Low",IF(HR_Data[[#This Row],[JobSatisfaction]]=2,"Medium",IF(HR_Data[[#This Row],[JobSatisfaction]]=3,"High","Very High")))</f>
        <v>High</v>
      </c>
      <c r="AP1351" t="str">
        <f>IF(HR_Data[[#This Row],[WorkLifeBalance]]=1,"Bad",IF(HR_Data[[#This Row],[WorkLifeBalance]]=2,"Good",IF(HR_Data[[#This Row],[WorkLifeBalance]]=3,"Better","Best")))</f>
        <v>Good</v>
      </c>
    </row>
    <row r="1352" spans="1:42"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IF(HR_Data[[#This Row],[Attrition]]="Yes",1,0)</f>
        <v>0</v>
      </c>
      <c r="AK1352">
        <f>IF(HR_Data[[#This Row],[Attrition]]="No",1,0)</f>
        <v>1</v>
      </c>
      <c r="AL1352" t="str">
        <f>IF(HR_Data[[#This Row],[Age]]&lt;25,"Under 25",IF(HR_Data[[#This Row],[Age]]&lt;=34,"25-34",IF(HR_Data[[#This Row],[Age]]&lt;=44,"35-44",IF(HR_Data[[#This Row],[Age]]&lt;=54,"45-54","55+"))))</f>
        <v>25-34</v>
      </c>
      <c r="AM1352" t="str">
        <f>IF(HR_Data[[#This Row],[MonthlyIncome]]&lt;3000,"Low Salary",IF(HR_Data[[#This Row],[MonthlyIncome]]&lt;=7000,"Medium Salary","High Salary"))</f>
        <v>Medium Salary</v>
      </c>
      <c r="AN1352" t="str">
        <f>IF(HR_Data[[#This Row],[YearsAtCompany]]&lt;2,"0-1 Years",IF(HR_Data[[#This Row],[YearsAtCompany]]&lt;=5,"2-5 Years",IF(HR_Data[[#This Row],[YearsAtCompany]]&lt;=10,"6-10 Years","10+ Years")))</f>
        <v>6-10 Years</v>
      </c>
      <c r="AO1352" t="str">
        <f>IF(HR_Data[[#This Row],[JobSatisfaction]]=1,"Low",IF(HR_Data[[#This Row],[JobSatisfaction]]=2,"Medium",IF(HR_Data[[#This Row],[JobSatisfaction]]=3,"High","Very High")))</f>
        <v>High</v>
      </c>
      <c r="AP1352" t="str">
        <f>IF(HR_Data[[#This Row],[WorkLifeBalance]]=1,"Bad",IF(HR_Data[[#This Row],[WorkLifeBalance]]=2,"Good",IF(HR_Data[[#This Row],[WorkLifeBalance]]=3,"Better","Best")))</f>
        <v>Good</v>
      </c>
    </row>
    <row r="1353" spans="1:42"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IF(HR_Data[[#This Row],[Attrition]]="Yes",1,0)</f>
        <v>0</v>
      </c>
      <c r="AK1353">
        <f>IF(HR_Data[[#This Row],[Attrition]]="No",1,0)</f>
        <v>1</v>
      </c>
      <c r="AL1353" t="str">
        <f>IF(HR_Data[[#This Row],[Age]]&lt;25,"Under 25",IF(HR_Data[[#This Row],[Age]]&lt;=34,"25-34",IF(HR_Data[[#This Row],[Age]]&lt;=44,"35-44",IF(HR_Data[[#This Row],[Age]]&lt;=54,"45-54","55+"))))</f>
        <v>45-54</v>
      </c>
      <c r="AM1353" t="str">
        <f>IF(HR_Data[[#This Row],[MonthlyIncome]]&lt;3000,"Low Salary",IF(HR_Data[[#This Row],[MonthlyIncome]]&lt;=7000,"Medium Salary","High Salary"))</f>
        <v>High Salary</v>
      </c>
      <c r="AN1353" t="str">
        <f>IF(HR_Data[[#This Row],[YearsAtCompany]]&lt;2,"0-1 Years",IF(HR_Data[[#This Row],[YearsAtCompany]]&lt;=5,"2-5 Years",IF(HR_Data[[#This Row],[YearsAtCompany]]&lt;=10,"6-10 Years","10+ Years")))</f>
        <v>10+ Years</v>
      </c>
      <c r="AO1353" t="str">
        <f>IF(HR_Data[[#This Row],[JobSatisfaction]]=1,"Low",IF(HR_Data[[#This Row],[JobSatisfaction]]=2,"Medium",IF(HR_Data[[#This Row],[JobSatisfaction]]=3,"High","Very High")))</f>
        <v>Very High</v>
      </c>
      <c r="AP1353" t="str">
        <f>IF(HR_Data[[#This Row],[WorkLifeBalance]]=1,"Bad",IF(HR_Data[[#This Row],[WorkLifeBalance]]=2,"Good",IF(HR_Data[[#This Row],[WorkLifeBalance]]=3,"Better","Best")))</f>
        <v>Better</v>
      </c>
    </row>
    <row r="1354" spans="1:42"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IF(HR_Data[[#This Row],[Attrition]]="Yes",1,0)</f>
        <v>0</v>
      </c>
      <c r="AK1354">
        <f>IF(HR_Data[[#This Row],[Attrition]]="No",1,0)</f>
        <v>1</v>
      </c>
      <c r="AL1354" t="str">
        <f>IF(HR_Data[[#This Row],[Age]]&lt;25,"Under 25",IF(HR_Data[[#This Row],[Age]]&lt;=34,"25-34",IF(HR_Data[[#This Row],[Age]]&lt;=44,"35-44",IF(HR_Data[[#This Row],[Age]]&lt;=54,"45-54","55+"))))</f>
        <v>35-44</v>
      </c>
      <c r="AM1354" t="str">
        <f>IF(HR_Data[[#This Row],[MonthlyIncome]]&lt;3000,"Low Salary",IF(HR_Data[[#This Row],[MonthlyIncome]]&lt;=7000,"Medium Salary","High Salary"))</f>
        <v>Medium Salary</v>
      </c>
      <c r="AN1354" t="str">
        <f>IF(HR_Data[[#This Row],[YearsAtCompany]]&lt;2,"0-1 Years",IF(HR_Data[[#This Row],[YearsAtCompany]]&lt;=5,"2-5 Years",IF(HR_Data[[#This Row],[YearsAtCompany]]&lt;=10,"6-10 Years","10+ Years")))</f>
        <v>2-5 Years</v>
      </c>
      <c r="AO1354" t="str">
        <f>IF(HR_Data[[#This Row],[JobSatisfaction]]=1,"Low",IF(HR_Data[[#This Row],[JobSatisfaction]]=2,"Medium",IF(HR_Data[[#This Row],[JobSatisfaction]]=3,"High","Very High")))</f>
        <v>Low</v>
      </c>
      <c r="AP1354" t="str">
        <f>IF(HR_Data[[#This Row],[WorkLifeBalance]]=1,"Bad",IF(HR_Data[[#This Row],[WorkLifeBalance]]=2,"Good",IF(HR_Data[[#This Row],[WorkLifeBalance]]=3,"Better","Best")))</f>
        <v>Better</v>
      </c>
    </row>
    <row r="1355" spans="1:42"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IF(HR_Data[[#This Row],[Attrition]]="Yes",1,0)</f>
        <v>1</v>
      </c>
      <c r="AK1355">
        <f>IF(HR_Data[[#This Row],[Attrition]]="No",1,0)</f>
        <v>0</v>
      </c>
      <c r="AL1355" t="str">
        <f>IF(HR_Data[[#This Row],[Age]]&lt;25,"Under 25",IF(HR_Data[[#This Row],[Age]]&lt;=34,"25-34",IF(HR_Data[[#This Row],[Age]]&lt;=44,"35-44",IF(HR_Data[[#This Row],[Age]]&lt;=54,"45-54","55+"))))</f>
        <v>25-34</v>
      </c>
      <c r="AM1355" t="str">
        <f>IF(HR_Data[[#This Row],[MonthlyIncome]]&lt;3000,"Low Salary",IF(HR_Data[[#This Row],[MonthlyIncome]]&lt;=7000,"Medium Salary","High Salary"))</f>
        <v>Low Salary</v>
      </c>
      <c r="AN1355" t="str">
        <f>IF(HR_Data[[#This Row],[YearsAtCompany]]&lt;2,"0-1 Years",IF(HR_Data[[#This Row],[YearsAtCompany]]&lt;=5,"2-5 Years",IF(HR_Data[[#This Row],[YearsAtCompany]]&lt;=10,"6-10 Years","10+ Years")))</f>
        <v>2-5 Years</v>
      </c>
      <c r="AO1355" t="str">
        <f>IF(HR_Data[[#This Row],[JobSatisfaction]]=1,"Low",IF(HR_Data[[#This Row],[JobSatisfaction]]=2,"Medium",IF(HR_Data[[#This Row],[JobSatisfaction]]=3,"High","Very High")))</f>
        <v>Low</v>
      </c>
      <c r="AP1355" t="str">
        <f>IF(HR_Data[[#This Row],[WorkLifeBalance]]=1,"Bad",IF(HR_Data[[#This Row],[WorkLifeBalance]]=2,"Good",IF(HR_Data[[#This Row],[WorkLifeBalance]]=3,"Better","Best")))</f>
        <v>Better</v>
      </c>
    </row>
    <row r="1356" spans="1:42"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IF(HR_Data[[#This Row],[Attrition]]="Yes",1,0)</f>
        <v>1</v>
      </c>
      <c r="AK1356">
        <f>IF(HR_Data[[#This Row],[Attrition]]="No",1,0)</f>
        <v>0</v>
      </c>
      <c r="AL1356" t="str">
        <f>IF(HR_Data[[#This Row],[Age]]&lt;25,"Under 25",IF(HR_Data[[#This Row],[Age]]&lt;=34,"25-34",IF(HR_Data[[#This Row],[Age]]&lt;=44,"35-44",IF(HR_Data[[#This Row],[Age]]&lt;=54,"45-54","55+"))))</f>
        <v>55+</v>
      </c>
      <c r="AM1356" t="str">
        <f>IF(HR_Data[[#This Row],[MonthlyIncome]]&lt;3000,"Low Salary",IF(HR_Data[[#This Row],[MonthlyIncome]]&lt;=7000,"Medium Salary","High Salary"))</f>
        <v>Low Salary</v>
      </c>
      <c r="AN1356" t="str">
        <f>IF(HR_Data[[#This Row],[YearsAtCompany]]&lt;2,"0-1 Years",IF(HR_Data[[#This Row],[YearsAtCompany]]&lt;=5,"2-5 Years",IF(HR_Data[[#This Row],[YearsAtCompany]]&lt;=10,"6-10 Years","10+ Years")))</f>
        <v>2-5 Years</v>
      </c>
      <c r="AO1356" t="str">
        <f>IF(HR_Data[[#This Row],[JobSatisfaction]]=1,"Low",IF(HR_Data[[#This Row],[JobSatisfaction]]=2,"Medium",IF(HR_Data[[#This Row],[JobSatisfaction]]=3,"High","Very High")))</f>
        <v>Very High</v>
      </c>
      <c r="AP1356" t="str">
        <f>IF(HR_Data[[#This Row],[WorkLifeBalance]]=1,"Bad",IF(HR_Data[[#This Row],[WorkLifeBalance]]=2,"Good",IF(HR_Data[[#This Row],[WorkLifeBalance]]=3,"Better","Best")))</f>
        <v>Better</v>
      </c>
    </row>
    <row r="1357" spans="1:42"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IF(HR_Data[[#This Row],[Attrition]]="Yes",1,0)</f>
        <v>0</v>
      </c>
      <c r="AK1357">
        <f>IF(HR_Data[[#This Row],[Attrition]]="No",1,0)</f>
        <v>1</v>
      </c>
      <c r="AL1357" t="str">
        <f>IF(HR_Data[[#This Row],[Age]]&lt;25,"Under 25",IF(HR_Data[[#This Row],[Age]]&lt;=34,"25-34",IF(HR_Data[[#This Row],[Age]]&lt;=44,"35-44",IF(HR_Data[[#This Row],[Age]]&lt;=54,"45-54","55+"))))</f>
        <v>35-44</v>
      </c>
      <c r="AM1357" t="str">
        <f>IF(HR_Data[[#This Row],[MonthlyIncome]]&lt;3000,"Low Salary",IF(HR_Data[[#This Row],[MonthlyIncome]]&lt;=7000,"Medium Salary","High Salary"))</f>
        <v>Medium Salary</v>
      </c>
      <c r="AN1357" t="str">
        <f>IF(HR_Data[[#This Row],[YearsAtCompany]]&lt;2,"0-1 Years",IF(HR_Data[[#This Row],[YearsAtCompany]]&lt;=5,"2-5 Years",IF(HR_Data[[#This Row],[YearsAtCompany]]&lt;=10,"6-10 Years","10+ Years")))</f>
        <v>2-5 Years</v>
      </c>
      <c r="AO1357" t="str">
        <f>IF(HR_Data[[#This Row],[JobSatisfaction]]=1,"Low",IF(HR_Data[[#This Row],[JobSatisfaction]]=2,"Medium",IF(HR_Data[[#This Row],[JobSatisfaction]]=3,"High","Very High")))</f>
        <v>Medium</v>
      </c>
      <c r="AP1357" t="str">
        <f>IF(HR_Data[[#This Row],[WorkLifeBalance]]=1,"Bad",IF(HR_Data[[#This Row],[WorkLifeBalance]]=2,"Good",IF(HR_Data[[#This Row],[WorkLifeBalance]]=3,"Better","Best")))</f>
        <v>Bad</v>
      </c>
    </row>
    <row r="1358" spans="1:42"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IF(HR_Data[[#This Row],[Attrition]]="Yes",1,0)</f>
        <v>0</v>
      </c>
      <c r="AK1358">
        <f>IF(HR_Data[[#This Row],[Attrition]]="No",1,0)</f>
        <v>1</v>
      </c>
      <c r="AL1358" t="str">
        <f>IF(HR_Data[[#This Row],[Age]]&lt;25,"Under 25",IF(HR_Data[[#This Row],[Age]]&lt;=34,"25-34",IF(HR_Data[[#This Row],[Age]]&lt;=44,"35-44",IF(HR_Data[[#This Row],[Age]]&lt;=54,"45-54","55+"))))</f>
        <v>35-44</v>
      </c>
      <c r="AM1358" t="str">
        <f>IF(HR_Data[[#This Row],[MonthlyIncome]]&lt;3000,"Low Salary",IF(HR_Data[[#This Row],[MonthlyIncome]]&lt;=7000,"Medium Salary","High Salary"))</f>
        <v>Medium Salary</v>
      </c>
      <c r="AN1358" t="str">
        <f>IF(HR_Data[[#This Row],[YearsAtCompany]]&lt;2,"0-1 Years",IF(HR_Data[[#This Row],[YearsAtCompany]]&lt;=5,"2-5 Years",IF(HR_Data[[#This Row],[YearsAtCompany]]&lt;=10,"6-10 Years","10+ Years")))</f>
        <v>2-5 Years</v>
      </c>
      <c r="AO1358" t="str">
        <f>IF(HR_Data[[#This Row],[JobSatisfaction]]=1,"Low",IF(HR_Data[[#This Row],[JobSatisfaction]]=2,"Medium",IF(HR_Data[[#This Row],[JobSatisfaction]]=3,"High","Very High")))</f>
        <v>Medium</v>
      </c>
      <c r="AP1358" t="str">
        <f>IF(HR_Data[[#This Row],[WorkLifeBalance]]=1,"Bad",IF(HR_Data[[#This Row],[WorkLifeBalance]]=2,"Good",IF(HR_Data[[#This Row],[WorkLifeBalance]]=3,"Better","Best")))</f>
        <v>Better</v>
      </c>
    </row>
    <row r="1359" spans="1:42"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IF(HR_Data[[#This Row],[Attrition]]="Yes",1,0)</f>
        <v>0</v>
      </c>
      <c r="AK1359">
        <f>IF(HR_Data[[#This Row],[Attrition]]="No",1,0)</f>
        <v>1</v>
      </c>
      <c r="AL1359" t="str">
        <f>IF(HR_Data[[#This Row],[Age]]&lt;25,"Under 25",IF(HR_Data[[#This Row],[Age]]&lt;=34,"25-34",IF(HR_Data[[#This Row],[Age]]&lt;=44,"35-44",IF(HR_Data[[#This Row],[Age]]&lt;=54,"45-54","55+"))))</f>
        <v>35-44</v>
      </c>
      <c r="AM1359" t="str">
        <f>IF(HR_Data[[#This Row],[MonthlyIncome]]&lt;3000,"Low Salary",IF(HR_Data[[#This Row],[MonthlyIncome]]&lt;=7000,"Medium Salary","High Salary"))</f>
        <v>High Salary</v>
      </c>
      <c r="AN1359" t="str">
        <f>IF(HR_Data[[#This Row],[YearsAtCompany]]&lt;2,"0-1 Years",IF(HR_Data[[#This Row],[YearsAtCompany]]&lt;=5,"2-5 Years",IF(HR_Data[[#This Row],[YearsAtCompany]]&lt;=10,"6-10 Years","10+ Years")))</f>
        <v>10+ Years</v>
      </c>
      <c r="AO1359" t="str">
        <f>IF(HR_Data[[#This Row],[JobSatisfaction]]=1,"Low",IF(HR_Data[[#This Row],[JobSatisfaction]]=2,"Medium",IF(HR_Data[[#This Row],[JobSatisfaction]]=3,"High","Very High")))</f>
        <v>Low</v>
      </c>
      <c r="AP1359" t="str">
        <f>IF(HR_Data[[#This Row],[WorkLifeBalance]]=1,"Bad",IF(HR_Data[[#This Row],[WorkLifeBalance]]=2,"Good",IF(HR_Data[[#This Row],[WorkLifeBalance]]=3,"Better","Best")))</f>
        <v>Best</v>
      </c>
    </row>
    <row r="1360" spans="1:42"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IF(HR_Data[[#This Row],[Attrition]]="Yes",1,0)</f>
        <v>0</v>
      </c>
      <c r="AK1360">
        <f>IF(HR_Data[[#This Row],[Attrition]]="No",1,0)</f>
        <v>1</v>
      </c>
      <c r="AL1360" t="str">
        <f>IF(HR_Data[[#This Row],[Age]]&lt;25,"Under 25",IF(HR_Data[[#This Row],[Age]]&lt;=34,"25-34",IF(HR_Data[[#This Row],[Age]]&lt;=44,"35-44",IF(HR_Data[[#This Row],[Age]]&lt;=54,"45-54","55+"))))</f>
        <v>25-34</v>
      </c>
      <c r="AM1360" t="str">
        <f>IF(HR_Data[[#This Row],[MonthlyIncome]]&lt;3000,"Low Salary",IF(HR_Data[[#This Row],[MonthlyIncome]]&lt;=7000,"Medium Salary","High Salary"))</f>
        <v>Medium Salary</v>
      </c>
      <c r="AN1360" t="str">
        <f>IF(HR_Data[[#This Row],[YearsAtCompany]]&lt;2,"0-1 Years",IF(HR_Data[[#This Row],[YearsAtCompany]]&lt;=5,"2-5 Years",IF(HR_Data[[#This Row],[YearsAtCompany]]&lt;=10,"6-10 Years","10+ Years")))</f>
        <v>2-5 Years</v>
      </c>
      <c r="AO1360" t="str">
        <f>IF(HR_Data[[#This Row],[JobSatisfaction]]=1,"Low",IF(HR_Data[[#This Row],[JobSatisfaction]]=2,"Medium",IF(HR_Data[[#This Row],[JobSatisfaction]]=3,"High","Very High")))</f>
        <v>Very High</v>
      </c>
      <c r="AP1360" t="str">
        <f>IF(HR_Data[[#This Row],[WorkLifeBalance]]=1,"Bad",IF(HR_Data[[#This Row],[WorkLifeBalance]]=2,"Good",IF(HR_Data[[#This Row],[WorkLifeBalance]]=3,"Better","Best")))</f>
        <v>Better</v>
      </c>
    </row>
    <row r="1361" spans="1:42"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IF(HR_Data[[#This Row],[Attrition]]="Yes",1,0)</f>
        <v>0</v>
      </c>
      <c r="AK1361">
        <f>IF(HR_Data[[#This Row],[Attrition]]="No",1,0)</f>
        <v>1</v>
      </c>
      <c r="AL1361" t="str">
        <f>IF(HR_Data[[#This Row],[Age]]&lt;25,"Under 25",IF(HR_Data[[#This Row],[Age]]&lt;=34,"25-34",IF(HR_Data[[#This Row],[Age]]&lt;=44,"35-44",IF(HR_Data[[#This Row],[Age]]&lt;=54,"45-54","55+"))))</f>
        <v>25-34</v>
      </c>
      <c r="AM1361" t="str">
        <f>IF(HR_Data[[#This Row],[MonthlyIncome]]&lt;3000,"Low Salary",IF(HR_Data[[#This Row],[MonthlyIncome]]&lt;=7000,"Medium Salary","High Salary"))</f>
        <v>High Salary</v>
      </c>
      <c r="AN1361" t="str">
        <f>IF(HR_Data[[#This Row],[YearsAtCompany]]&lt;2,"0-1 Years",IF(HR_Data[[#This Row],[YearsAtCompany]]&lt;=5,"2-5 Years",IF(HR_Data[[#This Row],[YearsAtCompany]]&lt;=10,"6-10 Years","10+ Years")))</f>
        <v>2-5 Years</v>
      </c>
      <c r="AO1361" t="str">
        <f>IF(HR_Data[[#This Row],[JobSatisfaction]]=1,"Low",IF(HR_Data[[#This Row],[JobSatisfaction]]=2,"Medium",IF(HR_Data[[#This Row],[JobSatisfaction]]=3,"High","Very High")))</f>
        <v>Very High</v>
      </c>
      <c r="AP1361" t="str">
        <f>IF(HR_Data[[#This Row],[WorkLifeBalance]]=1,"Bad",IF(HR_Data[[#This Row],[WorkLifeBalance]]=2,"Good",IF(HR_Data[[#This Row],[WorkLifeBalance]]=3,"Better","Best")))</f>
        <v>Good</v>
      </c>
    </row>
    <row r="1362" spans="1:42"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IF(HR_Data[[#This Row],[Attrition]]="Yes",1,0)</f>
        <v>0</v>
      </c>
      <c r="AK1362">
        <f>IF(HR_Data[[#This Row],[Attrition]]="No",1,0)</f>
        <v>1</v>
      </c>
      <c r="AL1362" t="str">
        <f>IF(HR_Data[[#This Row],[Age]]&lt;25,"Under 25",IF(HR_Data[[#This Row],[Age]]&lt;=34,"25-34",IF(HR_Data[[#This Row],[Age]]&lt;=44,"35-44",IF(HR_Data[[#This Row],[Age]]&lt;=54,"45-54","55+"))))</f>
        <v>25-34</v>
      </c>
      <c r="AM1362" t="str">
        <f>IF(HR_Data[[#This Row],[MonthlyIncome]]&lt;3000,"Low Salary",IF(HR_Data[[#This Row],[MonthlyIncome]]&lt;=7000,"Medium Salary","High Salary"))</f>
        <v>Medium Salary</v>
      </c>
      <c r="AN1362" t="str">
        <f>IF(HR_Data[[#This Row],[YearsAtCompany]]&lt;2,"0-1 Years",IF(HR_Data[[#This Row],[YearsAtCompany]]&lt;=5,"2-5 Years",IF(HR_Data[[#This Row],[YearsAtCompany]]&lt;=10,"6-10 Years","10+ Years")))</f>
        <v>2-5 Years</v>
      </c>
      <c r="AO1362" t="str">
        <f>IF(HR_Data[[#This Row],[JobSatisfaction]]=1,"Low",IF(HR_Data[[#This Row],[JobSatisfaction]]=2,"Medium",IF(HR_Data[[#This Row],[JobSatisfaction]]=3,"High","Very High")))</f>
        <v>High</v>
      </c>
      <c r="AP1362" t="str">
        <f>IF(HR_Data[[#This Row],[WorkLifeBalance]]=1,"Bad",IF(HR_Data[[#This Row],[WorkLifeBalance]]=2,"Good",IF(HR_Data[[#This Row],[WorkLifeBalance]]=3,"Better","Best")))</f>
        <v>Good</v>
      </c>
    </row>
    <row r="1363" spans="1:42"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IF(HR_Data[[#This Row],[Attrition]]="Yes",1,0)</f>
        <v>0</v>
      </c>
      <c r="AK1363">
        <f>IF(HR_Data[[#This Row],[Attrition]]="No",1,0)</f>
        <v>1</v>
      </c>
      <c r="AL1363" t="str">
        <f>IF(HR_Data[[#This Row],[Age]]&lt;25,"Under 25",IF(HR_Data[[#This Row],[Age]]&lt;=34,"25-34",IF(HR_Data[[#This Row],[Age]]&lt;=44,"35-44",IF(HR_Data[[#This Row],[Age]]&lt;=54,"45-54","55+"))))</f>
        <v>25-34</v>
      </c>
      <c r="AM1363" t="str">
        <f>IF(HR_Data[[#This Row],[MonthlyIncome]]&lt;3000,"Low Salary",IF(HR_Data[[#This Row],[MonthlyIncome]]&lt;=7000,"Medium Salary","High Salary"))</f>
        <v>Low Salary</v>
      </c>
      <c r="AN1363" t="str">
        <f>IF(HR_Data[[#This Row],[YearsAtCompany]]&lt;2,"0-1 Years",IF(HR_Data[[#This Row],[YearsAtCompany]]&lt;=5,"2-5 Years",IF(HR_Data[[#This Row],[YearsAtCompany]]&lt;=10,"6-10 Years","10+ Years")))</f>
        <v>6-10 Years</v>
      </c>
      <c r="AO1363" t="str">
        <f>IF(HR_Data[[#This Row],[JobSatisfaction]]=1,"Low",IF(HR_Data[[#This Row],[JobSatisfaction]]=2,"Medium",IF(HR_Data[[#This Row],[JobSatisfaction]]=3,"High","Very High")))</f>
        <v>Very High</v>
      </c>
      <c r="AP1363" t="str">
        <f>IF(HR_Data[[#This Row],[WorkLifeBalance]]=1,"Bad",IF(HR_Data[[#This Row],[WorkLifeBalance]]=2,"Good",IF(HR_Data[[#This Row],[WorkLifeBalance]]=3,"Better","Best")))</f>
        <v>Better</v>
      </c>
    </row>
    <row r="1364" spans="1:42"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IF(HR_Data[[#This Row],[Attrition]]="Yes",1,0)</f>
        <v>0</v>
      </c>
      <c r="AK1364">
        <f>IF(HR_Data[[#This Row],[Attrition]]="No",1,0)</f>
        <v>1</v>
      </c>
      <c r="AL1364" t="str">
        <f>IF(HR_Data[[#This Row],[Age]]&lt;25,"Under 25",IF(HR_Data[[#This Row],[Age]]&lt;=34,"25-34",IF(HR_Data[[#This Row],[Age]]&lt;=44,"35-44",IF(HR_Data[[#This Row],[Age]]&lt;=54,"45-54","55+"))))</f>
        <v>45-54</v>
      </c>
      <c r="AM1364" t="str">
        <f>IF(HR_Data[[#This Row],[MonthlyIncome]]&lt;3000,"Low Salary",IF(HR_Data[[#This Row],[MonthlyIncome]]&lt;=7000,"Medium Salary","High Salary"))</f>
        <v>Medium Salary</v>
      </c>
      <c r="AN1364" t="str">
        <f>IF(HR_Data[[#This Row],[YearsAtCompany]]&lt;2,"0-1 Years",IF(HR_Data[[#This Row],[YearsAtCompany]]&lt;=5,"2-5 Years",IF(HR_Data[[#This Row],[YearsAtCompany]]&lt;=10,"6-10 Years","10+ Years")))</f>
        <v>2-5 Years</v>
      </c>
      <c r="AO1364" t="str">
        <f>IF(HR_Data[[#This Row],[JobSatisfaction]]=1,"Low",IF(HR_Data[[#This Row],[JobSatisfaction]]=2,"Medium",IF(HR_Data[[#This Row],[JobSatisfaction]]=3,"High","Very High")))</f>
        <v>High</v>
      </c>
      <c r="AP1364" t="str">
        <f>IF(HR_Data[[#This Row],[WorkLifeBalance]]=1,"Bad",IF(HR_Data[[#This Row],[WorkLifeBalance]]=2,"Good",IF(HR_Data[[#This Row],[WorkLifeBalance]]=3,"Better","Best")))</f>
        <v>Better</v>
      </c>
    </row>
    <row r="1365" spans="1:42"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IF(HR_Data[[#This Row],[Attrition]]="Yes",1,0)</f>
        <v>0</v>
      </c>
      <c r="AK1365">
        <f>IF(HR_Data[[#This Row],[Attrition]]="No",1,0)</f>
        <v>1</v>
      </c>
      <c r="AL1365" t="str">
        <f>IF(HR_Data[[#This Row],[Age]]&lt;25,"Under 25",IF(HR_Data[[#This Row],[Age]]&lt;=34,"25-34",IF(HR_Data[[#This Row],[Age]]&lt;=44,"35-44",IF(HR_Data[[#This Row],[Age]]&lt;=54,"45-54","55+"))))</f>
        <v>25-34</v>
      </c>
      <c r="AM1365" t="str">
        <f>IF(HR_Data[[#This Row],[MonthlyIncome]]&lt;3000,"Low Salary",IF(HR_Data[[#This Row],[MonthlyIncome]]&lt;=7000,"Medium Salary","High Salary"))</f>
        <v>Medium Salary</v>
      </c>
      <c r="AN1365" t="str">
        <f>IF(HR_Data[[#This Row],[YearsAtCompany]]&lt;2,"0-1 Years",IF(HR_Data[[#This Row],[YearsAtCompany]]&lt;=5,"2-5 Years",IF(HR_Data[[#This Row],[YearsAtCompany]]&lt;=10,"6-10 Years","10+ Years")))</f>
        <v>6-10 Years</v>
      </c>
      <c r="AO1365" t="str">
        <f>IF(HR_Data[[#This Row],[JobSatisfaction]]=1,"Low",IF(HR_Data[[#This Row],[JobSatisfaction]]=2,"Medium",IF(HR_Data[[#This Row],[JobSatisfaction]]=3,"High","Very High")))</f>
        <v>High</v>
      </c>
      <c r="AP1365" t="str">
        <f>IF(HR_Data[[#This Row],[WorkLifeBalance]]=1,"Bad",IF(HR_Data[[#This Row],[WorkLifeBalance]]=2,"Good",IF(HR_Data[[#This Row],[WorkLifeBalance]]=3,"Better","Best")))</f>
        <v>Good</v>
      </c>
    </row>
    <row r="1366" spans="1:42"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IF(HR_Data[[#This Row],[Attrition]]="Yes",1,0)</f>
        <v>0</v>
      </c>
      <c r="AK1366">
        <f>IF(HR_Data[[#This Row],[Attrition]]="No",1,0)</f>
        <v>1</v>
      </c>
      <c r="AL1366" t="str">
        <f>IF(HR_Data[[#This Row],[Age]]&lt;25,"Under 25",IF(HR_Data[[#This Row],[Age]]&lt;=34,"25-34",IF(HR_Data[[#This Row],[Age]]&lt;=44,"35-44",IF(HR_Data[[#This Row],[Age]]&lt;=54,"45-54","55+"))))</f>
        <v>25-34</v>
      </c>
      <c r="AM1366" t="str">
        <f>IF(HR_Data[[#This Row],[MonthlyIncome]]&lt;3000,"Low Salary",IF(HR_Data[[#This Row],[MonthlyIncome]]&lt;=7000,"Medium Salary","High Salary"))</f>
        <v>Medium Salary</v>
      </c>
      <c r="AN1366" t="str">
        <f>IF(HR_Data[[#This Row],[YearsAtCompany]]&lt;2,"0-1 Years",IF(HR_Data[[#This Row],[YearsAtCompany]]&lt;=5,"2-5 Years",IF(HR_Data[[#This Row],[YearsAtCompany]]&lt;=10,"6-10 Years","10+ Years")))</f>
        <v>6-10 Years</v>
      </c>
      <c r="AO1366" t="str">
        <f>IF(HR_Data[[#This Row],[JobSatisfaction]]=1,"Low",IF(HR_Data[[#This Row],[JobSatisfaction]]=2,"Medium",IF(HR_Data[[#This Row],[JobSatisfaction]]=3,"High","Very High")))</f>
        <v>Very High</v>
      </c>
      <c r="AP1366" t="str">
        <f>IF(HR_Data[[#This Row],[WorkLifeBalance]]=1,"Bad",IF(HR_Data[[#This Row],[WorkLifeBalance]]=2,"Good",IF(HR_Data[[#This Row],[WorkLifeBalance]]=3,"Better","Best")))</f>
        <v>Better</v>
      </c>
    </row>
    <row r="1367" spans="1:42"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IF(HR_Data[[#This Row],[Attrition]]="Yes",1,0)</f>
        <v>1</v>
      </c>
      <c r="AK1367">
        <f>IF(HR_Data[[#This Row],[Attrition]]="No",1,0)</f>
        <v>0</v>
      </c>
      <c r="AL1367" t="str">
        <f>IF(HR_Data[[#This Row],[Age]]&lt;25,"Under 25",IF(HR_Data[[#This Row],[Age]]&lt;=34,"25-34",IF(HR_Data[[#This Row],[Age]]&lt;=44,"35-44",IF(HR_Data[[#This Row],[Age]]&lt;=54,"45-54","55+"))))</f>
        <v>25-34</v>
      </c>
      <c r="AM1367" t="str">
        <f>IF(HR_Data[[#This Row],[MonthlyIncome]]&lt;3000,"Low Salary",IF(HR_Data[[#This Row],[MonthlyIncome]]&lt;=7000,"Medium Salary","High Salary"))</f>
        <v>Low Salary</v>
      </c>
      <c r="AN1367" t="str">
        <f>IF(HR_Data[[#This Row],[YearsAtCompany]]&lt;2,"0-1 Years",IF(HR_Data[[#This Row],[YearsAtCompany]]&lt;=5,"2-5 Years",IF(HR_Data[[#This Row],[YearsAtCompany]]&lt;=10,"6-10 Years","10+ Years")))</f>
        <v>0-1 Years</v>
      </c>
      <c r="AO1367" t="str">
        <f>IF(HR_Data[[#This Row],[JobSatisfaction]]=1,"Low",IF(HR_Data[[#This Row],[JobSatisfaction]]=2,"Medium",IF(HR_Data[[#This Row],[JobSatisfaction]]=3,"High","Very High")))</f>
        <v>Low</v>
      </c>
      <c r="AP1367" t="str">
        <f>IF(HR_Data[[#This Row],[WorkLifeBalance]]=1,"Bad",IF(HR_Data[[#This Row],[WorkLifeBalance]]=2,"Good",IF(HR_Data[[#This Row],[WorkLifeBalance]]=3,"Better","Best")))</f>
        <v>Better</v>
      </c>
    </row>
    <row r="1368" spans="1:42"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IF(HR_Data[[#This Row],[Attrition]]="Yes",1,0)</f>
        <v>0</v>
      </c>
      <c r="AK1368">
        <f>IF(HR_Data[[#This Row],[Attrition]]="No",1,0)</f>
        <v>1</v>
      </c>
      <c r="AL1368" t="str">
        <f>IF(HR_Data[[#This Row],[Age]]&lt;25,"Under 25",IF(HR_Data[[#This Row],[Age]]&lt;=34,"25-34",IF(HR_Data[[#This Row],[Age]]&lt;=44,"35-44",IF(HR_Data[[#This Row],[Age]]&lt;=54,"45-54","55+"))))</f>
        <v>35-44</v>
      </c>
      <c r="AM1368" t="str">
        <f>IF(HR_Data[[#This Row],[MonthlyIncome]]&lt;3000,"Low Salary",IF(HR_Data[[#This Row],[MonthlyIncome]]&lt;=7000,"Medium Salary","High Salary"))</f>
        <v>Medium Salary</v>
      </c>
      <c r="AN1368" t="str">
        <f>IF(HR_Data[[#This Row],[YearsAtCompany]]&lt;2,"0-1 Years",IF(HR_Data[[#This Row],[YearsAtCompany]]&lt;=5,"2-5 Years",IF(HR_Data[[#This Row],[YearsAtCompany]]&lt;=10,"6-10 Years","10+ Years")))</f>
        <v>2-5 Years</v>
      </c>
      <c r="AO1368" t="str">
        <f>IF(HR_Data[[#This Row],[JobSatisfaction]]=1,"Low",IF(HR_Data[[#This Row],[JobSatisfaction]]=2,"Medium",IF(HR_Data[[#This Row],[JobSatisfaction]]=3,"High","Very High")))</f>
        <v>High</v>
      </c>
      <c r="AP1368" t="str">
        <f>IF(HR_Data[[#This Row],[WorkLifeBalance]]=1,"Bad",IF(HR_Data[[#This Row],[WorkLifeBalance]]=2,"Good",IF(HR_Data[[#This Row],[WorkLifeBalance]]=3,"Better","Best")))</f>
        <v>Better</v>
      </c>
    </row>
    <row r="1369" spans="1:42"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IF(HR_Data[[#This Row],[Attrition]]="Yes",1,0)</f>
        <v>0</v>
      </c>
      <c r="AK1369">
        <f>IF(HR_Data[[#This Row],[Attrition]]="No",1,0)</f>
        <v>1</v>
      </c>
      <c r="AL1369" t="str">
        <f>IF(HR_Data[[#This Row],[Age]]&lt;25,"Under 25",IF(HR_Data[[#This Row],[Age]]&lt;=34,"25-34",IF(HR_Data[[#This Row],[Age]]&lt;=44,"35-44",IF(HR_Data[[#This Row],[Age]]&lt;=54,"45-54","55+"))))</f>
        <v>25-34</v>
      </c>
      <c r="AM1369" t="str">
        <f>IF(HR_Data[[#This Row],[MonthlyIncome]]&lt;3000,"Low Salary",IF(HR_Data[[#This Row],[MonthlyIncome]]&lt;=7000,"Medium Salary","High Salary"))</f>
        <v>Low Salary</v>
      </c>
      <c r="AN1369" t="str">
        <f>IF(HR_Data[[#This Row],[YearsAtCompany]]&lt;2,"0-1 Years",IF(HR_Data[[#This Row],[YearsAtCompany]]&lt;=5,"2-5 Years",IF(HR_Data[[#This Row],[YearsAtCompany]]&lt;=10,"6-10 Years","10+ Years")))</f>
        <v>2-5 Years</v>
      </c>
      <c r="AO1369" t="str">
        <f>IF(HR_Data[[#This Row],[JobSatisfaction]]=1,"Low",IF(HR_Data[[#This Row],[JobSatisfaction]]=2,"Medium",IF(HR_Data[[#This Row],[JobSatisfaction]]=3,"High","Very High")))</f>
        <v>Medium</v>
      </c>
      <c r="AP1369" t="str">
        <f>IF(HR_Data[[#This Row],[WorkLifeBalance]]=1,"Bad",IF(HR_Data[[#This Row],[WorkLifeBalance]]=2,"Good",IF(HR_Data[[#This Row],[WorkLifeBalance]]=3,"Better","Best")))</f>
        <v>Good</v>
      </c>
    </row>
    <row r="1370" spans="1:42"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IF(HR_Data[[#This Row],[Attrition]]="Yes",1,0)</f>
        <v>0</v>
      </c>
      <c r="AK1370">
        <f>IF(HR_Data[[#This Row],[Attrition]]="No",1,0)</f>
        <v>1</v>
      </c>
      <c r="AL1370" t="str">
        <f>IF(HR_Data[[#This Row],[Age]]&lt;25,"Under 25",IF(HR_Data[[#This Row],[Age]]&lt;=34,"25-34",IF(HR_Data[[#This Row],[Age]]&lt;=44,"35-44",IF(HR_Data[[#This Row],[Age]]&lt;=54,"45-54","55+"))))</f>
        <v>25-34</v>
      </c>
      <c r="AM1370" t="str">
        <f>IF(HR_Data[[#This Row],[MonthlyIncome]]&lt;3000,"Low Salary",IF(HR_Data[[#This Row],[MonthlyIncome]]&lt;=7000,"Medium Salary","High Salary"))</f>
        <v>Medium Salary</v>
      </c>
      <c r="AN1370" t="str">
        <f>IF(HR_Data[[#This Row],[YearsAtCompany]]&lt;2,"0-1 Years",IF(HR_Data[[#This Row],[YearsAtCompany]]&lt;=5,"2-5 Years",IF(HR_Data[[#This Row],[YearsAtCompany]]&lt;=10,"6-10 Years","10+ Years")))</f>
        <v>10+ Years</v>
      </c>
      <c r="AO1370" t="str">
        <f>IF(HR_Data[[#This Row],[JobSatisfaction]]=1,"Low",IF(HR_Data[[#This Row],[JobSatisfaction]]=2,"Medium",IF(HR_Data[[#This Row],[JobSatisfaction]]=3,"High","Very High")))</f>
        <v>Very High</v>
      </c>
      <c r="AP1370" t="str">
        <f>IF(HR_Data[[#This Row],[WorkLifeBalance]]=1,"Bad",IF(HR_Data[[#This Row],[WorkLifeBalance]]=2,"Good",IF(HR_Data[[#This Row],[WorkLifeBalance]]=3,"Better","Best")))</f>
        <v>Better</v>
      </c>
    </row>
    <row r="1371" spans="1:42"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IF(HR_Data[[#This Row],[Attrition]]="Yes",1,0)</f>
        <v>1</v>
      </c>
      <c r="AK1371">
        <f>IF(HR_Data[[#This Row],[Attrition]]="No",1,0)</f>
        <v>0</v>
      </c>
      <c r="AL1371" t="str">
        <f>IF(HR_Data[[#This Row],[Age]]&lt;25,"Under 25",IF(HR_Data[[#This Row],[Age]]&lt;=34,"25-34",IF(HR_Data[[#This Row],[Age]]&lt;=44,"35-44",IF(HR_Data[[#This Row],[Age]]&lt;=54,"45-54","55+"))))</f>
        <v>25-34</v>
      </c>
      <c r="AM1371" t="str">
        <f>IF(HR_Data[[#This Row],[MonthlyIncome]]&lt;3000,"Low Salary",IF(HR_Data[[#This Row],[MonthlyIncome]]&lt;=7000,"Medium Salary","High Salary"))</f>
        <v>High Salary</v>
      </c>
      <c r="AN1371" t="str">
        <f>IF(HR_Data[[#This Row],[YearsAtCompany]]&lt;2,"0-1 Years",IF(HR_Data[[#This Row],[YearsAtCompany]]&lt;=5,"2-5 Years",IF(HR_Data[[#This Row],[YearsAtCompany]]&lt;=10,"6-10 Years","10+ Years")))</f>
        <v>2-5 Years</v>
      </c>
      <c r="AO1371" t="str">
        <f>IF(HR_Data[[#This Row],[JobSatisfaction]]=1,"Low",IF(HR_Data[[#This Row],[JobSatisfaction]]=2,"Medium",IF(HR_Data[[#This Row],[JobSatisfaction]]=3,"High","Very High")))</f>
        <v>High</v>
      </c>
      <c r="AP1371" t="str">
        <f>IF(HR_Data[[#This Row],[WorkLifeBalance]]=1,"Bad",IF(HR_Data[[#This Row],[WorkLifeBalance]]=2,"Good",IF(HR_Data[[#This Row],[WorkLifeBalance]]=3,"Better","Best")))</f>
        <v>Better</v>
      </c>
    </row>
    <row r="1372" spans="1:42"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IF(HR_Data[[#This Row],[Attrition]]="Yes",1,0)</f>
        <v>0</v>
      </c>
      <c r="AK1372">
        <f>IF(HR_Data[[#This Row],[Attrition]]="No",1,0)</f>
        <v>1</v>
      </c>
      <c r="AL1372" t="str">
        <f>IF(HR_Data[[#This Row],[Age]]&lt;25,"Under 25",IF(HR_Data[[#This Row],[Age]]&lt;=34,"25-34",IF(HR_Data[[#This Row],[Age]]&lt;=44,"35-44",IF(HR_Data[[#This Row],[Age]]&lt;=54,"45-54","55+"))))</f>
        <v>45-54</v>
      </c>
      <c r="AM1372" t="str">
        <f>IF(HR_Data[[#This Row],[MonthlyIncome]]&lt;3000,"Low Salary",IF(HR_Data[[#This Row],[MonthlyIncome]]&lt;=7000,"Medium Salary","High Salary"))</f>
        <v>Medium Salary</v>
      </c>
      <c r="AN1372" t="str">
        <f>IF(HR_Data[[#This Row],[YearsAtCompany]]&lt;2,"0-1 Years",IF(HR_Data[[#This Row],[YearsAtCompany]]&lt;=5,"2-5 Years",IF(HR_Data[[#This Row],[YearsAtCompany]]&lt;=10,"6-10 Years","10+ Years")))</f>
        <v>6-10 Years</v>
      </c>
      <c r="AO1372" t="str">
        <f>IF(HR_Data[[#This Row],[JobSatisfaction]]=1,"Low",IF(HR_Data[[#This Row],[JobSatisfaction]]=2,"Medium",IF(HR_Data[[#This Row],[JobSatisfaction]]=3,"High","Very High")))</f>
        <v>Medium</v>
      </c>
      <c r="AP1372" t="str">
        <f>IF(HR_Data[[#This Row],[WorkLifeBalance]]=1,"Bad",IF(HR_Data[[#This Row],[WorkLifeBalance]]=2,"Good",IF(HR_Data[[#This Row],[WorkLifeBalance]]=3,"Better","Best")))</f>
        <v>Best</v>
      </c>
    </row>
    <row r="1373" spans="1:42"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IF(HR_Data[[#This Row],[Attrition]]="Yes",1,0)</f>
        <v>0</v>
      </c>
      <c r="AK1373">
        <f>IF(HR_Data[[#This Row],[Attrition]]="No",1,0)</f>
        <v>1</v>
      </c>
      <c r="AL1373" t="str">
        <f>IF(HR_Data[[#This Row],[Age]]&lt;25,"Under 25",IF(HR_Data[[#This Row],[Age]]&lt;=34,"25-34",IF(HR_Data[[#This Row],[Age]]&lt;=44,"35-44",IF(HR_Data[[#This Row],[Age]]&lt;=54,"45-54","55+"))))</f>
        <v>55+</v>
      </c>
      <c r="AM1373" t="str">
        <f>IF(HR_Data[[#This Row],[MonthlyIncome]]&lt;3000,"Low Salary",IF(HR_Data[[#This Row],[MonthlyIncome]]&lt;=7000,"Medium Salary","High Salary"))</f>
        <v>Medium Salary</v>
      </c>
      <c r="AN1373" t="str">
        <f>IF(HR_Data[[#This Row],[YearsAtCompany]]&lt;2,"0-1 Years",IF(HR_Data[[#This Row],[YearsAtCompany]]&lt;=5,"2-5 Years",IF(HR_Data[[#This Row],[YearsAtCompany]]&lt;=10,"6-10 Years","10+ Years")))</f>
        <v>0-1 Years</v>
      </c>
      <c r="AO1373" t="str">
        <f>IF(HR_Data[[#This Row],[JobSatisfaction]]=1,"Low",IF(HR_Data[[#This Row],[JobSatisfaction]]=2,"Medium",IF(HR_Data[[#This Row],[JobSatisfaction]]=3,"High","Very High")))</f>
        <v>Low</v>
      </c>
      <c r="AP1373" t="str">
        <f>IF(HR_Data[[#This Row],[WorkLifeBalance]]=1,"Bad",IF(HR_Data[[#This Row],[WorkLifeBalance]]=2,"Good",IF(HR_Data[[#This Row],[WorkLifeBalance]]=3,"Better","Best")))</f>
        <v>Better</v>
      </c>
    </row>
    <row r="1374" spans="1:42"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IF(HR_Data[[#This Row],[Attrition]]="Yes",1,0)</f>
        <v>0</v>
      </c>
      <c r="AK1374">
        <f>IF(HR_Data[[#This Row],[Attrition]]="No",1,0)</f>
        <v>1</v>
      </c>
      <c r="AL1374" t="str">
        <f>IF(HR_Data[[#This Row],[Age]]&lt;25,"Under 25",IF(HR_Data[[#This Row],[Age]]&lt;=34,"25-34",IF(HR_Data[[#This Row],[Age]]&lt;=44,"35-44",IF(HR_Data[[#This Row],[Age]]&lt;=54,"45-54","55+"))))</f>
        <v>35-44</v>
      </c>
      <c r="AM1374" t="str">
        <f>IF(HR_Data[[#This Row],[MonthlyIncome]]&lt;3000,"Low Salary",IF(HR_Data[[#This Row],[MonthlyIncome]]&lt;=7000,"Medium Salary","High Salary"))</f>
        <v>Medium Salary</v>
      </c>
      <c r="AN1374" t="str">
        <f>IF(HR_Data[[#This Row],[YearsAtCompany]]&lt;2,"0-1 Years",IF(HR_Data[[#This Row],[YearsAtCompany]]&lt;=5,"2-5 Years",IF(HR_Data[[#This Row],[YearsAtCompany]]&lt;=10,"6-10 Years","10+ Years")))</f>
        <v>6-10 Years</v>
      </c>
      <c r="AO1374" t="str">
        <f>IF(HR_Data[[#This Row],[JobSatisfaction]]=1,"Low",IF(HR_Data[[#This Row],[JobSatisfaction]]=2,"Medium",IF(HR_Data[[#This Row],[JobSatisfaction]]=3,"High","Very High")))</f>
        <v>Low</v>
      </c>
      <c r="AP1374" t="str">
        <f>IF(HR_Data[[#This Row],[WorkLifeBalance]]=1,"Bad",IF(HR_Data[[#This Row],[WorkLifeBalance]]=2,"Good",IF(HR_Data[[#This Row],[WorkLifeBalance]]=3,"Better","Best")))</f>
        <v>Better</v>
      </c>
    </row>
    <row r="1375" spans="1:42"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IF(HR_Data[[#This Row],[Attrition]]="Yes",1,0)</f>
        <v>0</v>
      </c>
      <c r="AK1375">
        <f>IF(HR_Data[[#This Row],[Attrition]]="No",1,0)</f>
        <v>1</v>
      </c>
      <c r="AL1375" t="str">
        <f>IF(HR_Data[[#This Row],[Age]]&lt;25,"Under 25",IF(HR_Data[[#This Row],[Age]]&lt;=34,"25-34",IF(HR_Data[[#This Row],[Age]]&lt;=44,"35-44",IF(HR_Data[[#This Row],[Age]]&lt;=54,"45-54","55+"))))</f>
        <v>35-44</v>
      </c>
      <c r="AM1375" t="str">
        <f>IF(HR_Data[[#This Row],[MonthlyIncome]]&lt;3000,"Low Salary",IF(HR_Data[[#This Row],[MonthlyIncome]]&lt;=7000,"Medium Salary","High Salary"))</f>
        <v>Low Salary</v>
      </c>
      <c r="AN1375" t="str">
        <f>IF(HR_Data[[#This Row],[YearsAtCompany]]&lt;2,"0-1 Years",IF(HR_Data[[#This Row],[YearsAtCompany]]&lt;=5,"2-5 Years",IF(HR_Data[[#This Row],[YearsAtCompany]]&lt;=10,"6-10 Years","10+ Years")))</f>
        <v>10+ Years</v>
      </c>
      <c r="AO1375" t="str">
        <f>IF(HR_Data[[#This Row],[JobSatisfaction]]=1,"Low",IF(HR_Data[[#This Row],[JobSatisfaction]]=2,"Medium",IF(HR_Data[[#This Row],[JobSatisfaction]]=3,"High","Very High")))</f>
        <v>Medium</v>
      </c>
      <c r="AP1375" t="str">
        <f>IF(HR_Data[[#This Row],[WorkLifeBalance]]=1,"Bad",IF(HR_Data[[#This Row],[WorkLifeBalance]]=2,"Good",IF(HR_Data[[#This Row],[WorkLifeBalance]]=3,"Better","Best")))</f>
        <v>Better</v>
      </c>
    </row>
    <row r="1376" spans="1:42"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IF(HR_Data[[#This Row],[Attrition]]="Yes",1,0)</f>
        <v>0</v>
      </c>
      <c r="AK1376">
        <f>IF(HR_Data[[#This Row],[Attrition]]="No",1,0)</f>
        <v>1</v>
      </c>
      <c r="AL1376" t="str">
        <f>IF(HR_Data[[#This Row],[Age]]&lt;25,"Under 25",IF(HR_Data[[#This Row],[Age]]&lt;=34,"25-34",IF(HR_Data[[#This Row],[Age]]&lt;=44,"35-44",IF(HR_Data[[#This Row],[Age]]&lt;=54,"45-54","55+"))))</f>
        <v>55+</v>
      </c>
      <c r="AM1376" t="str">
        <f>IF(HR_Data[[#This Row],[MonthlyIncome]]&lt;3000,"Low Salary",IF(HR_Data[[#This Row],[MonthlyIncome]]&lt;=7000,"Medium Salary","High Salary"))</f>
        <v>High Salary</v>
      </c>
      <c r="AN1376" t="str">
        <f>IF(HR_Data[[#This Row],[YearsAtCompany]]&lt;2,"0-1 Years",IF(HR_Data[[#This Row],[YearsAtCompany]]&lt;=5,"2-5 Years",IF(HR_Data[[#This Row],[YearsAtCompany]]&lt;=10,"6-10 Years","10+ Years")))</f>
        <v>0-1 Years</v>
      </c>
      <c r="AO1376" t="str">
        <f>IF(HR_Data[[#This Row],[JobSatisfaction]]=1,"Low",IF(HR_Data[[#This Row],[JobSatisfaction]]=2,"Medium",IF(HR_Data[[#This Row],[JobSatisfaction]]=3,"High","Very High")))</f>
        <v>Very High</v>
      </c>
      <c r="AP1376" t="str">
        <f>IF(HR_Data[[#This Row],[WorkLifeBalance]]=1,"Bad",IF(HR_Data[[#This Row],[WorkLifeBalance]]=2,"Good",IF(HR_Data[[#This Row],[WorkLifeBalance]]=3,"Better","Best")))</f>
        <v>Good</v>
      </c>
    </row>
    <row r="1377" spans="1:42"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IF(HR_Data[[#This Row],[Attrition]]="Yes",1,0)</f>
        <v>1</v>
      </c>
      <c r="AK1377">
        <f>IF(HR_Data[[#This Row],[Attrition]]="No",1,0)</f>
        <v>0</v>
      </c>
      <c r="AL1377" t="str">
        <f>IF(HR_Data[[#This Row],[Age]]&lt;25,"Under 25",IF(HR_Data[[#This Row],[Age]]&lt;=34,"25-34",IF(HR_Data[[#This Row],[Age]]&lt;=44,"35-44",IF(HR_Data[[#This Row],[Age]]&lt;=54,"45-54","55+"))))</f>
        <v>25-34</v>
      </c>
      <c r="AM1377" t="str">
        <f>IF(HR_Data[[#This Row],[MonthlyIncome]]&lt;3000,"Low Salary",IF(HR_Data[[#This Row],[MonthlyIncome]]&lt;=7000,"Medium Salary","High Salary"))</f>
        <v>Low Salary</v>
      </c>
      <c r="AN1377" t="str">
        <f>IF(HR_Data[[#This Row],[YearsAtCompany]]&lt;2,"0-1 Years",IF(HR_Data[[#This Row],[YearsAtCompany]]&lt;=5,"2-5 Years",IF(HR_Data[[#This Row],[YearsAtCompany]]&lt;=10,"6-10 Years","10+ Years")))</f>
        <v>2-5 Years</v>
      </c>
      <c r="AO1377" t="str">
        <f>IF(HR_Data[[#This Row],[JobSatisfaction]]=1,"Low",IF(HR_Data[[#This Row],[JobSatisfaction]]=2,"Medium",IF(HR_Data[[#This Row],[JobSatisfaction]]=3,"High","Very High")))</f>
        <v>High</v>
      </c>
      <c r="AP1377" t="str">
        <f>IF(HR_Data[[#This Row],[WorkLifeBalance]]=1,"Bad",IF(HR_Data[[#This Row],[WorkLifeBalance]]=2,"Good",IF(HR_Data[[#This Row],[WorkLifeBalance]]=3,"Better","Best")))</f>
        <v>Better</v>
      </c>
    </row>
    <row r="1378" spans="1:42"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IF(HR_Data[[#This Row],[Attrition]]="Yes",1,0)</f>
        <v>0</v>
      </c>
      <c r="AK1378">
        <f>IF(HR_Data[[#This Row],[Attrition]]="No",1,0)</f>
        <v>1</v>
      </c>
      <c r="AL1378" t="str">
        <f>IF(HR_Data[[#This Row],[Age]]&lt;25,"Under 25",IF(HR_Data[[#This Row],[Age]]&lt;=34,"25-34",IF(HR_Data[[#This Row],[Age]]&lt;=44,"35-44",IF(HR_Data[[#This Row],[Age]]&lt;=54,"45-54","55+"))))</f>
        <v>35-44</v>
      </c>
      <c r="AM1378" t="str">
        <f>IF(HR_Data[[#This Row],[MonthlyIncome]]&lt;3000,"Low Salary",IF(HR_Data[[#This Row],[MonthlyIncome]]&lt;=7000,"Medium Salary","High Salary"))</f>
        <v>Medium Salary</v>
      </c>
      <c r="AN1378" t="str">
        <f>IF(HR_Data[[#This Row],[YearsAtCompany]]&lt;2,"0-1 Years",IF(HR_Data[[#This Row],[YearsAtCompany]]&lt;=5,"2-5 Years",IF(HR_Data[[#This Row],[YearsAtCompany]]&lt;=10,"6-10 Years","10+ Years")))</f>
        <v>2-5 Years</v>
      </c>
      <c r="AO1378" t="str">
        <f>IF(HR_Data[[#This Row],[JobSatisfaction]]=1,"Low",IF(HR_Data[[#This Row],[JobSatisfaction]]=2,"Medium",IF(HR_Data[[#This Row],[JobSatisfaction]]=3,"High","Very High")))</f>
        <v>Very High</v>
      </c>
      <c r="AP1378" t="str">
        <f>IF(HR_Data[[#This Row],[WorkLifeBalance]]=1,"Bad",IF(HR_Data[[#This Row],[WorkLifeBalance]]=2,"Good",IF(HR_Data[[#This Row],[WorkLifeBalance]]=3,"Better","Best")))</f>
        <v>Best</v>
      </c>
    </row>
    <row r="1379" spans="1:42"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IF(HR_Data[[#This Row],[Attrition]]="Yes",1,0)</f>
        <v>0</v>
      </c>
      <c r="AK1379">
        <f>IF(HR_Data[[#This Row],[Attrition]]="No",1,0)</f>
        <v>1</v>
      </c>
      <c r="AL1379" t="str">
        <f>IF(HR_Data[[#This Row],[Age]]&lt;25,"Under 25",IF(HR_Data[[#This Row],[Age]]&lt;=34,"25-34",IF(HR_Data[[#This Row],[Age]]&lt;=44,"35-44",IF(HR_Data[[#This Row],[Age]]&lt;=54,"45-54","55+"))))</f>
        <v>45-54</v>
      </c>
      <c r="AM1379" t="str">
        <f>IF(HR_Data[[#This Row],[MonthlyIncome]]&lt;3000,"Low Salary",IF(HR_Data[[#This Row],[MonthlyIncome]]&lt;=7000,"Medium Salary","High Salary"))</f>
        <v>High Salary</v>
      </c>
      <c r="AN1379" t="str">
        <f>IF(HR_Data[[#This Row],[YearsAtCompany]]&lt;2,"0-1 Years",IF(HR_Data[[#This Row],[YearsAtCompany]]&lt;=5,"2-5 Years",IF(HR_Data[[#This Row],[YearsAtCompany]]&lt;=10,"6-10 Years","10+ Years")))</f>
        <v>2-5 Years</v>
      </c>
      <c r="AO1379" t="str">
        <f>IF(HR_Data[[#This Row],[JobSatisfaction]]=1,"Low",IF(HR_Data[[#This Row],[JobSatisfaction]]=2,"Medium",IF(HR_Data[[#This Row],[JobSatisfaction]]=3,"High","Very High")))</f>
        <v>Very High</v>
      </c>
      <c r="AP1379" t="str">
        <f>IF(HR_Data[[#This Row],[WorkLifeBalance]]=1,"Bad",IF(HR_Data[[#This Row],[WorkLifeBalance]]=2,"Good",IF(HR_Data[[#This Row],[WorkLifeBalance]]=3,"Better","Best")))</f>
        <v>Better</v>
      </c>
    </row>
    <row r="1380" spans="1:42"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IF(HR_Data[[#This Row],[Attrition]]="Yes",1,0)</f>
        <v>0</v>
      </c>
      <c r="AK1380">
        <f>IF(HR_Data[[#This Row],[Attrition]]="No",1,0)</f>
        <v>1</v>
      </c>
      <c r="AL1380" t="str">
        <f>IF(HR_Data[[#This Row],[Age]]&lt;25,"Under 25",IF(HR_Data[[#This Row],[Age]]&lt;=34,"25-34",IF(HR_Data[[#This Row],[Age]]&lt;=44,"35-44",IF(HR_Data[[#This Row],[Age]]&lt;=54,"45-54","55+"))))</f>
        <v>35-44</v>
      </c>
      <c r="AM1380" t="str">
        <f>IF(HR_Data[[#This Row],[MonthlyIncome]]&lt;3000,"Low Salary",IF(HR_Data[[#This Row],[MonthlyIncome]]&lt;=7000,"Medium Salary","High Salary"))</f>
        <v>Medium Salary</v>
      </c>
      <c r="AN1380" t="str">
        <f>IF(HR_Data[[#This Row],[YearsAtCompany]]&lt;2,"0-1 Years",IF(HR_Data[[#This Row],[YearsAtCompany]]&lt;=5,"2-5 Years",IF(HR_Data[[#This Row],[YearsAtCompany]]&lt;=10,"6-10 Years","10+ Years")))</f>
        <v>0-1 Years</v>
      </c>
      <c r="AO1380" t="str">
        <f>IF(HR_Data[[#This Row],[JobSatisfaction]]=1,"Low",IF(HR_Data[[#This Row],[JobSatisfaction]]=2,"Medium",IF(HR_Data[[#This Row],[JobSatisfaction]]=3,"High","Very High")))</f>
        <v>Very High</v>
      </c>
      <c r="AP1380" t="str">
        <f>IF(HR_Data[[#This Row],[WorkLifeBalance]]=1,"Bad",IF(HR_Data[[#This Row],[WorkLifeBalance]]=2,"Good",IF(HR_Data[[#This Row],[WorkLifeBalance]]=3,"Better","Best")))</f>
        <v>Better</v>
      </c>
    </row>
    <row r="1381" spans="1:42"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IF(HR_Data[[#This Row],[Attrition]]="Yes",1,0)</f>
        <v>1</v>
      </c>
      <c r="AK1381">
        <f>IF(HR_Data[[#This Row],[Attrition]]="No",1,0)</f>
        <v>0</v>
      </c>
      <c r="AL1381" t="str">
        <f>IF(HR_Data[[#This Row],[Age]]&lt;25,"Under 25",IF(HR_Data[[#This Row],[Age]]&lt;=34,"25-34",IF(HR_Data[[#This Row],[Age]]&lt;=44,"35-44",IF(HR_Data[[#This Row],[Age]]&lt;=54,"45-54","55+"))))</f>
        <v>25-34</v>
      </c>
      <c r="AM1381" t="str">
        <f>IF(HR_Data[[#This Row],[MonthlyIncome]]&lt;3000,"Low Salary",IF(HR_Data[[#This Row],[MonthlyIncome]]&lt;=7000,"Medium Salary","High Salary"))</f>
        <v>Low Salary</v>
      </c>
      <c r="AN1381" t="str">
        <f>IF(HR_Data[[#This Row],[YearsAtCompany]]&lt;2,"0-1 Years",IF(HR_Data[[#This Row],[YearsAtCompany]]&lt;=5,"2-5 Years",IF(HR_Data[[#This Row],[YearsAtCompany]]&lt;=10,"6-10 Years","10+ Years")))</f>
        <v>0-1 Years</v>
      </c>
      <c r="AO1381" t="str">
        <f>IF(HR_Data[[#This Row],[JobSatisfaction]]=1,"Low",IF(HR_Data[[#This Row],[JobSatisfaction]]=2,"Medium",IF(HR_Data[[#This Row],[JobSatisfaction]]=3,"High","Very High")))</f>
        <v>Medium</v>
      </c>
      <c r="AP1381" t="str">
        <f>IF(HR_Data[[#This Row],[WorkLifeBalance]]=1,"Bad",IF(HR_Data[[#This Row],[WorkLifeBalance]]=2,"Good",IF(HR_Data[[#This Row],[WorkLifeBalance]]=3,"Better","Best")))</f>
        <v>Better</v>
      </c>
    </row>
    <row r="1382" spans="1:42"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IF(HR_Data[[#This Row],[Attrition]]="Yes",1,0)</f>
        <v>0</v>
      </c>
      <c r="AK1382">
        <f>IF(HR_Data[[#This Row],[Attrition]]="No",1,0)</f>
        <v>1</v>
      </c>
      <c r="AL1382" t="str">
        <f>IF(HR_Data[[#This Row],[Age]]&lt;25,"Under 25",IF(HR_Data[[#This Row],[Age]]&lt;=34,"25-34",IF(HR_Data[[#This Row],[Age]]&lt;=44,"35-44",IF(HR_Data[[#This Row],[Age]]&lt;=54,"45-54","55+"))))</f>
        <v>35-44</v>
      </c>
      <c r="AM1382" t="str">
        <f>IF(HR_Data[[#This Row],[MonthlyIncome]]&lt;3000,"Low Salary",IF(HR_Data[[#This Row],[MonthlyIncome]]&lt;=7000,"Medium Salary","High Salary"))</f>
        <v>Medium Salary</v>
      </c>
      <c r="AN1382" t="str">
        <f>IF(HR_Data[[#This Row],[YearsAtCompany]]&lt;2,"0-1 Years",IF(HR_Data[[#This Row],[YearsAtCompany]]&lt;=5,"2-5 Years",IF(HR_Data[[#This Row],[YearsAtCompany]]&lt;=10,"6-10 Years","10+ Years")))</f>
        <v>2-5 Years</v>
      </c>
      <c r="AO1382" t="str">
        <f>IF(HR_Data[[#This Row],[JobSatisfaction]]=1,"Low",IF(HR_Data[[#This Row],[JobSatisfaction]]=2,"Medium",IF(HR_Data[[#This Row],[JobSatisfaction]]=3,"High","Very High")))</f>
        <v>Low</v>
      </c>
      <c r="AP1382" t="str">
        <f>IF(HR_Data[[#This Row],[WorkLifeBalance]]=1,"Bad",IF(HR_Data[[#This Row],[WorkLifeBalance]]=2,"Good",IF(HR_Data[[#This Row],[WorkLifeBalance]]=3,"Better","Best")))</f>
        <v>Bad</v>
      </c>
    </row>
    <row r="1383" spans="1:42"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IF(HR_Data[[#This Row],[Attrition]]="Yes",1,0)</f>
        <v>0</v>
      </c>
      <c r="AK1383">
        <f>IF(HR_Data[[#This Row],[Attrition]]="No",1,0)</f>
        <v>1</v>
      </c>
      <c r="AL1383" t="str">
        <f>IF(HR_Data[[#This Row],[Age]]&lt;25,"Under 25",IF(HR_Data[[#This Row],[Age]]&lt;=34,"25-34",IF(HR_Data[[#This Row],[Age]]&lt;=44,"35-44",IF(HR_Data[[#This Row],[Age]]&lt;=54,"45-54","55+"))))</f>
        <v>25-34</v>
      </c>
      <c r="AM1383" t="str">
        <f>IF(HR_Data[[#This Row],[MonthlyIncome]]&lt;3000,"Low Salary",IF(HR_Data[[#This Row],[MonthlyIncome]]&lt;=7000,"Medium Salary","High Salary"))</f>
        <v>Low Salary</v>
      </c>
      <c r="AN1383" t="str">
        <f>IF(HR_Data[[#This Row],[YearsAtCompany]]&lt;2,"0-1 Years",IF(HR_Data[[#This Row],[YearsAtCompany]]&lt;=5,"2-5 Years",IF(HR_Data[[#This Row],[YearsAtCompany]]&lt;=10,"6-10 Years","10+ Years")))</f>
        <v>2-5 Years</v>
      </c>
      <c r="AO1383" t="str">
        <f>IF(HR_Data[[#This Row],[JobSatisfaction]]=1,"Low",IF(HR_Data[[#This Row],[JobSatisfaction]]=2,"Medium",IF(HR_Data[[#This Row],[JobSatisfaction]]=3,"High","Very High")))</f>
        <v>High</v>
      </c>
      <c r="AP1383" t="str">
        <f>IF(HR_Data[[#This Row],[WorkLifeBalance]]=1,"Bad",IF(HR_Data[[#This Row],[WorkLifeBalance]]=2,"Good",IF(HR_Data[[#This Row],[WorkLifeBalance]]=3,"Better","Best")))</f>
        <v>Good</v>
      </c>
    </row>
    <row r="1384" spans="1:42"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IF(HR_Data[[#This Row],[Attrition]]="Yes",1,0)</f>
        <v>0</v>
      </c>
      <c r="AK1384">
        <f>IF(HR_Data[[#This Row],[Attrition]]="No",1,0)</f>
        <v>1</v>
      </c>
      <c r="AL1384" t="str">
        <f>IF(HR_Data[[#This Row],[Age]]&lt;25,"Under 25",IF(HR_Data[[#This Row],[Age]]&lt;=34,"25-34",IF(HR_Data[[#This Row],[Age]]&lt;=44,"35-44",IF(HR_Data[[#This Row],[Age]]&lt;=54,"45-54","55+"))))</f>
        <v>25-34</v>
      </c>
      <c r="AM1384" t="str">
        <f>IF(HR_Data[[#This Row],[MonthlyIncome]]&lt;3000,"Low Salary",IF(HR_Data[[#This Row],[MonthlyIncome]]&lt;=7000,"Medium Salary","High Salary"))</f>
        <v>Medium Salary</v>
      </c>
      <c r="AN1384" t="str">
        <f>IF(HR_Data[[#This Row],[YearsAtCompany]]&lt;2,"0-1 Years",IF(HR_Data[[#This Row],[YearsAtCompany]]&lt;=5,"2-5 Years",IF(HR_Data[[#This Row],[YearsAtCompany]]&lt;=10,"6-10 Years","10+ Years")))</f>
        <v>2-5 Years</v>
      </c>
      <c r="AO1384" t="str">
        <f>IF(HR_Data[[#This Row],[JobSatisfaction]]=1,"Low",IF(HR_Data[[#This Row],[JobSatisfaction]]=2,"Medium",IF(HR_Data[[#This Row],[JobSatisfaction]]=3,"High","Very High")))</f>
        <v>Low</v>
      </c>
      <c r="AP1384" t="str">
        <f>IF(HR_Data[[#This Row],[WorkLifeBalance]]=1,"Bad",IF(HR_Data[[#This Row],[WorkLifeBalance]]=2,"Good",IF(HR_Data[[#This Row],[WorkLifeBalance]]=3,"Better","Best")))</f>
        <v>Best</v>
      </c>
    </row>
    <row r="1385" spans="1:42"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IF(HR_Data[[#This Row],[Attrition]]="Yes",1,0)</f>
        <v>0</v>
      </c>
      <c r="AK1385">
        <f>IF(HR_Data[[#This Row],[Attrition]]="No",1,0)</f>
        <v>1</v>
      </c>
      <c r="AL1385" t="str">
        <f>IF(HR_Data[[#This Row],[Age]]&lt;25,"Under 25",IF(HR_Data[[#This Row],[Age]]&lt;=34,"25-34",IF(HR_Data[[#This Row],[Age]]&lt;=44,"35-44",IF(HR_Data[[#This Row],[Age]]&lt;=54,"45-54","55+"))))</f>
        <v>35-44</v>
      </c>
      <c r="AM1385" t="str">
        <f>IF(HR_Data[[#This Row],[MonthlyIncome]]&lt;3000,"Low Salary",IF(HR_Data[[#This Row],[MonthlyIncome]]&lt;=7000,"Medium Salary","High Salary"))</f>
        <v>Low Salary</v>
      </c>
      <c r="AN1385" t="str">
        <f>IF(HR_Data[[#This Row],[YearsAtCompany]]&lt;2,"0-1 Years",IF(HR_Data[[#This Row],[YearsAtCompany]]&lt;=5,"2-5 Years",IF(HR_Data[[#This Row],[YearsAtCompany]]&lt;=10,"6-10 Years","10+ Years")))</f>
        <v>2-5 Years</v>
      </c>
      <c r="AO1385" t="str">
        <f>IF(HR_Data[[#This Row],[JobSatisfaction]]=1,"Low",IF(HR_Data[[#This Row],[JobSatisfaction]]=2,"Medium",IF(HR_Data[[#This Row],[JobSatisfaction]]=3,"High","Very High")))</f>
        <v>Medium</v>
      </c>
      <c r="AP1385" t="str">
        <f>IF(HR_Data[[#This Row],[WorkLifeBalance]]=1,"Bad",IF(HR_Data[[#This Row],[WorkLifeBalance]]=2,"Good",IF(HR_Data[[#This Row],[WorkLifeBalance]]=3,"Better","Best")))</f>
        <v>Better</v>
      </c>
    </row>
    <row r="1386" spans="1:42"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IF(HR_Data[[#This Row],[Attrition]]="Yes",1,0)</f>
        <v>0</v>
      </c>
      <c r="AK1386">
        <f>IF(HR_Data[[#This Row],[Attrition]]="No",1,0)</f>
        <v>1</v>
      </c>
      <c r="AL1386" t="str">
        <f>IF(HR_Data[[#This Row],[Age]]&lt;25,"Under 25",IF(HR_Data[[#This Row],[Age]]&lt;=34,"25-34",IF(HR_Data[[#This Row],[Age]]&lt;=44,"35-44",IF(HR_Data[[#This Row],[Age]]&lt;=54,"45-54","55+"))))</f>
        <v>25-34</v>
      </c>
      <c r="AM1386" t="str">
        <f>IF(HR_Data[[#This Row],[MonthlyIncome]]&lt;3000,"Low Salary",IF(HR_Data[[#This Row],[MonthlyIncome]]&lt;=7000,"Medium Salary","High Salary"))</f>
        <v>High Salary</v>
      </c>
      <c r="AN1386" t="str">
        <f>IF(HR_Data[[#This Row],[YearsAtCompany]]&lt;2,"0-1 Years",IF(HR_Data[[#This Row],[YearsAtCompany]]&lt;=5,"2-5 Years",IF(HR_Data[[#This Row],[YearsAtCompany]]&lt;=10,"6-10 Years","10+ Years")))</f>
        <v>10+ Years</v>
      </c>
      <c r="AO1386" t="str">
        <f>IF(HR_Data[[#This Row],[JobSatisfaction]]=1,"Low",IF(HR_Data[[#This Row],[JobSatisfaction]]=2,"Medium",IF(HR_Data[[#This Row],[JobSatisfaction]]=3,"High","Very High")))</f>
        <v>Very High</v>
      </c>
      <c r="AP1386" t="str">
        <f>IF(HR_Data[[#This Row],[WorkLifeBalance]]=1,"Bad",IF(HR_Data[[#This Row],[WorkLifeBalance]]=2,"Good",IF(HR_Data[[#This Row],[WorkLifeBalance]]=3,"Better","Best")))</f>
        <v>Good</v>
      </c>
    </row>
    <row r="1387" spans="1:42"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IF(HR_Data[[#This Row],[Attrition]]="Yes",1,0)</f>
        <v>0</v>
      </c>
      <c r="AK1387">
        <f>IF(HR_Data[[#This Row],[Attrition]]="No",1,0)</f>
        <v>1</v>
      </c>
      <c r="AL1387" t="str">
        <f>IF(HR_Data[[#This Row],[Age]]&lt;25,"Under 25",IF(HR_Data[[#This Row],[Age]]&lt;=34,"25-34",IF(HR_Data[[#This Row],[Age]]&lt;=44,"35-44",IF(HR_Data[[#This Row],[Age]]&lt;=54,"45-54","55+"))))</f>
        <v>25-34</v>
      </c>
      <c r="AM1387" t="str">
        <f>IF(HR_Data[[#This Row],[MonthlyIncome]]&lt;3000,"Low Salary",IF(HR_Data[[#This Row],[MonthlyIncome]]&lt;=7000,"Medium Salary","High Salary"))</f>
        <v>High Salary</v>
      </c>
      <c r="AN1387" t="str">
        <f>IF(HR_Data[[#This Row],[YearsAtCompany]]&lt;2,"0-1 Years",IF(HR_Data[[#This Row],[YearsAtCompany]]&lt;=5,"2-5 Years",IF(HR_Data[[#This Row],[YearsAtCompany]]&lt;=10,"6-10 Years","10+ Years")))</f>
        <v>6-10 Years</v>
      </c>
      <c r="AO1387" t="str">
        <f>IF(HR_Data[[#This Row],[JobSatisfaction]]=1,"Low",IF(HR_Data[[#This Row],[JobSatisfaction]]=2,"Medium",IF(HR_Data[[#This Row],[JobSatisfaction]]=3,"High","Very High")))</f>
        <v>High</v>
      </c>
      <c r="AP1387" t="str">
        <f>IF(HR_Data[[#This Row],[WorkLifeBalance]]=1,"Bad",IF(HR_Data[[#This Row],[WorkLifeBalance]]=2,"Good",IF(HR_Data[[#This Row],[WorkLifeBalance]]=3,"Better","Best")))</f>
        <v>Good</v>
      </c>
    </row>
    <row r="1388" spans="1:42"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IF(HR_Data[[#This Row],[Attrition]]="Yes",1,0)</f>
        <v>0</v>
      </c>
      <c r="AK1388">
        <f>IF(HR_Data[[#This Row],[Attrition]]="No",1,0)</f>
        <v>1</v>
      </c>
      <c r="AL1388" t="str">
        <f>IF(HR_Data[[#This Row],[Age]]&lt;25,"Under 25",IF(HR_Data[[#This Row],[Age]]&lt;=34,"25-34",IF(HR_Data[[#This Row],[Age]]&lt;=44,"35-44",IF(HR_Data[[#This Row],[Age]]&lt;=54,"45-54","55+"))))</f>
        <v>25-34</v>
      </c>
      <c r="AM1388" t="str">
        <f>IF(HR_Data[[#This Row],[MonthlyIncome]]&lt;3000,"Low Salary",IF(HR_Data[[#This Row],[MonthlyIncome]]&lt;=7000,"Medium Salary","High Salary"))</f>
        <v>Low Salary</v>
      </c>
      <c r="AN1388" t="str">
        <f>IF(HR_Data[[#This Row],[YearsAtCompany]]&lt;2,"0-1 Years",IF(HR_Data[[#This Row],[YearsAtCompany]]&lt;=5,"2-5 Years",IF(HR_Data[[#This Row],[YearsAtCompany]]&lt;=10,"6-10 Years","10+ Years")))</f>
        <v>6-10 Years</v>
      </c>
      <c r="AO1388" t="str">
        <f>IF(HR_Data[[#This Row],[JobSatisfaction]]=1,"Low",IF(HR_Data[[#This Row],[JobSatisfaction]]=2,"Medium",IF(HR_Data[[#This Row],[JobSatisfaction]]=3,"High","Very High")))</f>
        <v>Low</v>
      </c>
      <c r="AP1388" t="str">
        <f>IF(HR_Data[[#This Row],[WorkLifeBalance]]=1,"Bad",IF(HR_Data[[#This Row],[WorkLifeBalance]]=2,"Good",IF(HR_Data[[#This Row],[WorkLifeBalance]]=3,"Better","Best")))</f>
        <v>Good</v>
      </c>
    </row>
    <row r="1389" spans="1:42"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IF(HR_Data[[#This Row],[Attrition]]="Yes",1,0)</f>
        <v>0</v>
      </c>
      <c r="AK1389">
        <f>IF(HR_Data[[#This Row],[Attrition]]="No",1,0)</f>
        <v>1</v>
      </c>
      <c r="AL1389" t="str">
        <f>IF(HR_Data[[#This Row],[Age]]&lt;25,"Under 25",IF(HR_Data[[#This Row],[Age]]&lt;=34,"25-34",IF(HR_Data[[#This Row],[Age]]&lt;=44,"35-44",IF(HR_Data[[#This Row],[Age]]&lt;=54,"45-54","55+"))))</f>
        <v>25-34</v>
      </c>
      <c r="AM1389" t="str">
        <f>IF(HR_Data[[#This Row],[MonthlyIncome]]&lt;3000,"Low Salary",IF(HR_Data[[#This Row],[MonthlyIncome]]&lt;=7000,"Medium Salary","High Salary"))</f>
        <v>Medium Salary</v>
      </c>
      <c r="AN1389" t="str">
        <f>IF(HR_Data[[#This Row],[YearsAtCompany]]&lt;2,"0-1 Years",IF(HR_Data[[#This Row],[YearsAtCompany]]&lt;=5,"2-5 Years",IF(HR_Data[[#This Row],[YearsAtCompany]]&lt;=10,"6-10 Years","10+ Years")))</f>
        <v>2-5 Years</v>
      </c>
      <c r="AO1389" t="str">
        <f>IF(HR_Data[[#This Row],[JobSatisfaction]]=1,"Low",IF(HR_Data[[#This Row],[JobSatisfaction]]=2,"Medium",IF(HR_Data[[#This Row],[JobSatisfaction]]=3,"High","Very High")))</f>
        <v>Low</v>
      </c>
      <c r="AP1389" t="str">
        <f>IF(HR_Data[[#This Row],[WorkLifeBalance]]=1,"Bad",IF(HR_Data[[#This Row],[WorkLifeBalance]]=2,"Good",IF(HR_Data[[#This Row],[WorkLifeBalance]]=3,"Better","Best")))</f>
        <v>Good</v>
      </c>
    </row>
    <row r="1390" spans="1:42"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IF(HR_Data[[#This Row],[Attrition]]="Yes",1,0)</f>
        <v>0</v>
      </c>
      <c r="AK1390">
        <f>IF(HR_Data[[#This Row],[Attrition]]="No",1,0)</f>
        <v>1</v>
      </c>
      <c r="AL1390" t="str">
        <f>IF(HR_Data[[#This Row],[Age]]&lt;25,"Under 25",IF(HR_Data[[#This Row],[Age]]&lt;=34,"25-34",IF(HR_Data[[#This Row],[Age]]&lt;=44,"35-44",IF(HR_Data[[#This Row],[Age]]&lt;=54,"45-54","55+"))))</f>
        <v>25-34</v>
      </c>
      <c r="AM1390" t="str">
        <f>IF(HR_Data[[#This Row],[MonthlyIncome]]&lt;3000,"Low Salary",IF(HR_Data[[#This Row],[MonthlyIncome]]&lt;=7000,"Medium Salary","High Salary"))</f>
        <v>Medium Salary</v>
      </c>
      <c r="AN1390" t="str">
        <f>IF(HR_Data[[#This Row],[YearsAtCompany]]&lt;2,"0-1 Years",IF(HR_Data[[#This Row],[YearsAtCompany]]&lt;=5,"2-5 Years",IF(HR_Data[[#This Row],[YearsAtCompany]]&lt;=10,"6-10 Years","10+ Years")))</f>
        <v>2-5 Years</v>
      </c>
      <c r="AO1390" t="str">
        <f>IF(HR_Data[[#This Row],[JobSatisfaction]]=1,"Low",IF(HR_Data[[#This Row],[JobSatisfaction]]=2,"Medium",IF(HR_Data[[#This Row],[JobSatisfaction]]=3,"High","Very High")))</f>
        <v>Very High</v>
      </c>
      <c r="AP1390" t="str">
        <f>IF(HR_Data[[#This Row],[WorkLifeBalance]]=1,"Bad",IF(HR_Data[[#This Row],[WorkLifeBalance]]=2,"Good",IF(HR_Data[[#This Row],[WorkLifeBalance]]=3,"Better","Best")))</f>
        <v>Better</v>
      </c>
    </row>
    <row r="1391" spans="1:42"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IF(HR_Data[[#This Row],[Attrition]]="Yes",1,0)</f>
        <v>0</v>
      </c>
      <c r="AK1391">
        <f>IF(HR_Data[[#This Row],[Attrition]]="No",1,0)</f>
        <v>1</v>
      </c>
      <c r="AL1391" t="str">
        <f>IF(HR_Data[[#This Row],[Age]]&lt;25,"Under 25",IF(HR_Data[[#This Row],[Age]]&lt;=34,"25-34",IF(HR_Data[[#This Row],[Age]]&lt;=44,"35-44",IF(HR_Data[[#This Row],[Age]]&lt;=54,"45-54","55+"))))</f>
        <v>25-34</v>
      </c>
      <c r="AM1391" t="str">
        <f>IF(HR_Data[[#This Row],[MonthlyIncome]]&lt;3000,"Low Salary",IF(HR_Data[[#This Row],[MonthlyIncome]]&lt;=7000,"Medium Salary","High Salary"))</f>
        <v>Medium Salary</v>
      </c>
      <c r="AN1391" t="str">
        <f>IF(HR_Data[[#This Row],[YearsAtCompany]]&lt;2,"0-1 Years",IF(HR_Data[[#This Row],[YearsAtCompany]]&lt;=5,"2-5 Years",IF(HR_Data[[#This Row],[YearsAtCompany]]&lt;=10,"6-10 Years","10+ Years")))</f>
        <v>6-10 Years</v>
      </c>
      <c r="AO1391" t="str">
        <f>IF(HR_Data[[#This Row],[JobSatisfaction]]=1,"Low",IF(HR_Data[[#This Row],[JobSatisfaction]]=2,"Medium",IF(HR_Data[[#This Row],[JobSatisfaction]]=3,"High","Very High")))</f>
        <v>Low</v>
      </c>
      <c r="AP1391" t="str">
        <f>IF(HR_Data[[#This Row],[WorkLifeBalance]]=1,"Bad",IF(HR_Data[[#This Row],[WorkLifeBalance]]=2,"Good",IF(HR_Data[[#This Row],[WorkLifeBalance]]=3,"Better","Best")))</f>
        <v>Better</v>
      </c>
    </row>
    <row r="1392" spans="1:42"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IF(HR_Data[[#This Row],[Attrition]]="Yes",1,0)</f>
        <v>1</v>
      </c>
      <c r="AK1392">
        <f>IF(HR_Data[[#This Row],[Attrition]]="No",1,0)</f>
        <v>0</v>
      </c>
      <c r="AL1392" t="str">
        <f>IF(HR_Data[[#This Row],[Age]]&lt;25,"Under 25",IF(HR_Data[[#This Row],[Age]]&lt;=34,"25-34",IF(HR_Data[[#This Row],[Age]]&lt;=44,"35-44",IF(HR_Data[[#This Row],[Age]]&lt;=54,"45-54","55+"))))</f>
        <v>25-34</v>
      </c>
      <c r="AM1392" t="str">
        <f>IF(HR_Data[[#This Row],[MonthlyIncome]]&lt;3000,"Low Salary",IF(HR_Data[[#This Row],[MonthlyIncome]]&lt;=7000,"Medium Salary","High Salary"))</f>
        <v>Low Salary</v>
      </c>
      <c r="AN1392" t="str">
        <f>IF(HR_Data[[#This Row],[YearsAtCompany]]&lt;2,"0-1 Years",IF(HR_Data[[#This Row],[YearsAtCompany]]&lt;=5,"2-5 Years",IF(HR_Data[[#This Row],[YearsAtCompany]]&lt;=10,"6-10 Years","10+ Years")))</f>
        <v>2-5 Years</v>
      </c>
      <c r="AO1392" t="str">
        <f>IF(HR_Data[[#This Row],[JobSatisfaction]]=1,"Low",IF(HR_Data[[#This Row],[JobSatisfaction]]=2,"Medium",IF(HR_Data[[#This Row],[JobSatisfaction]]=3,"High","Very High")))</f>
        <v>Very High</v>
      </c>
      <c r="AP1392" t="str">
        <f>IF(HR_Data[[#This Row],[WorkLifeBalance]]=1,"Bad",IF(HR_Data[[#This Row],[WorkLifeBalance]]=2,"Good",IF(HR_Data[[#This Row],[WorkLifeBalance]]=3,"Better","Best")))</f>
        <v>Good</v>
      </c>
    </row>
    <row r="1393" spans="1:42"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IF(HR_Data[[#This Row],[Attrition]]="Yes",1,0)</f>
        <v>0</v>
      </c>
      <c r="AK1393">
        <f>IF(HR_Data[[#This Row],[Attrition]]="No",1,0)</f>
        <v>1</v>
      </c>
      <c r="AL1393" t="str">
        <f>IF(HR_Data[[#This Row],[Age]]&lt;25,"Under 25",IF(HR_Data[[#This Row],[Age]]&lt;=34,"25-34",IF(HR_Data[[#This Row],[Age]]&lt;=44,"35-44",IF(HR_Data[[#This Row],[Age]]&lt;=54,"45-54","55+"))))</f>
        <v>35-44</v>
      </c>
      <c r="AM1393" t="str">
        <f>IF(HR_Data[[#This Row],[MonthlyIncome]]&lt;3000,"Low Salary",IF(HR_Data[[#This Row],[MonthlyIncome]]&lt;=7000,"Medium Salary","High Salary"))</f>
        <v>Low Salary</v>
      </c>
      <c r="AN1393" t="str">
        <f>IF(HR_Data[[#This Row],[YearsAtCompany]]&lt;2,"0-1 Years",IF(HR_Data[[#This Row],[YearsAtCompany]]&lt;=5,"2-5 Years",IF(HR_Data[[#This Row],[YearsAtCompany]]&lt;=10,"6-10 Years","10+ Years")))</f>
        <v>0-1 Years</v>
      </c>
      <c r="AO1393" t="str">
        <f>IF(HR_Data[[#This Row],[JobSatisfaction]]=1,"Low",IF(HR_Data[[#This Row],[JobSatisfaction]]=2,"Medium",IF(HR_Data[[#This Row],[JobSatisfaction]]=3,"High","Very High")))</f>
        <v>Low</v>
      </c>
      <c r="AP1393" t="str">
        <f>IF(HR_Data[[#This Row],[WorkLifeBalance]]=1,"Bad",IF(HR_Data[[#This Row],[WorkLifeBalance]]=2,"Good",IF(HR_Data[[#This Row],[WorkLifeBalance]]=3,"Better","Best")))</f>
        <v>Good</v>
      </c>
    </row>
    <row r="1394" spans="1:42"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IF(HR_Data[[#This Row],[Attrition]]="Yes",1,0)</f>
        <v>0</v>
      </c>
      <c r="AK1394">
        <f>IF(HR_Data[[#This Row],[Attrition]]="No",1,0)</f>
        <v>1</v>
      </c>
      <c r="AL1394" t="str">
        <f>IF(HR_Data[[#This Row],[Age]]&lt;25,"Under 25",IF(HR_Data[[#This Row],[Age]]&lt;=34,"25-34",IF(HR_Data[[#This Row],[Age]]&lt;=44,"35-44",IF(HR_Data[[#This Row],[Age]]&lt;=54,"45-54","55+"))))</f>
        <v>35-44</v>
      </c>
      <c r="AM1394" t="str">
        <f>IF(HR_Data[[#This Row],[MonthlyIncome]]&lt;3000,"Low Salary",IF(HR_Data[[#This Row],[MonthlyIncome]]&lt;=7000,"Medium Salary","High Salary"))</f>
        <v>Medium Salary</v>
      </c>
      <c r="AN1394" t="str">
        <f>IF(HR_Data[[#This Row],[YearsAtCompany]]&lt;2,"0-1 Years",IF(HR_Data[[#This Row],[YearsAtCompany]]&lt;=5,"2-5 Years",IF(HR_Data[[#This Row],[YearsAtCompany]]&lt;=10,"6-10 Years","10+ Years")))</f>
        <v>6-10 Years</v>
      </c>
      <c r="AO1394" t="str">
        <f>IF(HR_Data[[#This Row],[JobSatisfaction]]=1,"Low",IF(HR_Data[[#This Row],[JobSatisfaction]]=2,"Medium",IF(HR_Data[[#This Row],[JobSatisfaction]]=3,"High","Very High")))</f>
        <v>Very High</v>
      </c>
      <c r="AP1394" t="str">
        <f>IF(HR_Data[[#This Row],[WorkLifeBalance]]=1,"Bad",IF(HR_Data[[#This Row],[WorkLifeBalance]]=2,"Good",IF(HR_Data[[#This Row],[WorkLifeBalance]]=3,"Better","Best")))</f>
        <v>Better</v>
      </c>
    </row>
    <row r="1395" spans="1:42"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IF(HR_Data[[#This Row],[Attrition]]="Yes",1,0)</f>
        <v>0</v>
      </c>
      <c r="AK1395">
        <f>IF(HR_Data[[#This Row],[Attrition]]="No",1,0)</f>
        <v>1</v>
      </c>
      <c r="AL1395" t="str">
        <f>IF(HR_Data[[#This Row],[Age]]&lt;25,"Under 25",IF(HR_Data[[#This Row],[Age]]&lt;=34,"25-34",IF(HR_Data[[#This Row],[Age]]&lt;=44,"35-44",IF(HR_Data[[#This Row],[Age]]&lt;=54,"45-54","55+"))))</f>
        <v>25-34</v>
      </c>
      <c r="AM1395" t="str">
        <f>IF(HR_Data[[#This Row],[MonthlyIncome]]&lt;3000,"Low Salary",IF(HR_Data[[#This Row],[MonthlyIncome]]&lt;=7000,"Medium Salary","High Salary"))</f>
        <v>Medium Salary</v>
      </c>
      <c r="AN1395" t="str">
        <f>IF(HR_Data[[#This Row],[YearsAtCompany]]&lt;2,"0-1 Years",IF(HR_Data[[#This Row],[YearsAtCompany]]&lt;=5,"2-5 Years",IF(HR_Data[[#This Row],[YearsAtCompany]]&lt;=10,"6-10 Years","10+ Years")))</f>
        <v>6-10 Years</v>
      </c>
      <c r="AO1395" t="str">
        <f>IF(HR_Data[[#This Row],[JobSatisfaction]]=1,"Low",IF(HR_Data[[#This Row],[JobSatisfaction]]=2,"Medium",IF(HR_Data[[#This Row],[JobSatisfaction]]=3,"High","Very High")))</f>
        <v>Very High</v>
      </c>
      <c r="AP1395" t="str">
        <f>IF(HR_Data[[#This Row],[WorkLifeBalance]]=1,"Bad",IF(HR_Data[[#This Row],[WorkLifeBalance]]=2,"Good",IF(HR_Data[[#This Row],[WorkLifeBalance]]=3,"Better","Best")))</f>
        <v>Better</v>
      </c>
    </row>
    <row r="1396" spans="1:42"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IF(HR_Data[[#This Row],[Attrition]]="Yes",1,0)</f>
        <v>0</v>
      </c>
      <c r="AK1396">
        <f>IF(HR_Data[[#This Row],[Attrition]]="No",1,0)</f>
        <v>1</v>
      </c>
      <c r="AL1396" t="str">
        <f>IF(HR_Data[[#This Row],[Age]]&lt;25,"Under 25",IF(HR_Data[[#This Row],[Age]]&lt;=34,"25-34",IF(HR_Data[[#This Row],[Age]]&lt;=44,"35-44",IF(HR_Data[[#This Row],[Age]]&lt;=54,"45-54","55+"))))</f>
        <v>25-34</v>
      </c>
      <c r="AM1396" t="str">
        <f>IF(HR_Data[[#This Row],[MonthlyIncome]]&lt;3000,"Low Salary",IF(HR_Data[[#This Row],[MonthlyIncome]]&lt;=7000,"Medium Salary","High Salary"))</f>
        <v>High Salary</v>
      </c>
      <c r="AN1396" t="str">
        <f>IF(HR_Data[[#This Row],[YearsAtCompany]]&lt;2,"0-1 Years",IF(HR_Data[[#This Row],[YearsAtCompany]]&lt;=5,"2-5 Years",IF(HR_Data[[#This Row],[YearsAtCompany]]&lt;=10,"6-10 Years","10+ Years")))</f>
        <v>0-1 Years</v>
      </c>
      <c r="AO1396" t="str">
        <f>IF(HR_Data[[#This Row],[JobSatisfaction]]=1,"Low",IF(HR_Data[[#This Row],[JobSatisfaction]]=2,"Medium",IF(HR_Data[[#This Row],[JobSatisfaction]]=3,"High","Very High")))</f>
        <v>Very High</v>
      </c>
      <c r="AP1396" t="str">
        <f>IF(HR_Data[[#This Row],[WorkLifeBalance]]=1,"Bad",IF(HR_Data[[#This Row],[WorkLifeBalance]]=2,"Good",IF(HR_Data[[#This Row],[WorkLifeBalance]]=3,"Better","Best")))</f>
        <v>Better</v>
      </c>
    </row>
    <row r="1397" spans="1:42"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IF(HR_Data[[#This Row],[Attrition]]="Yes",1,0)</f>
        <v>1</v>
      </c>
      <c r="AK1397">
        <f>IF(HR_Data[[#This Row],[Attrition]]="No",1,0)</f>
        <v>0</v>
      </c>
      <c r="AL1397" t="str">
        <f>IF(HR_Data[[#This Row],[Age]]&lt;25,"Under 25",IF(HR_Data[[#This Row],[Age]]&lt;=34,"25-34",IF(HR_Data[[#This Row],[Age]]&lt;=44,"35-44",IF(HR_Data[[#This Row],[Age]]&lt;=54,"45-54","55+"))))</f>
        <v>25-34</v>
      </c>
      <c r="AM1397" t="str">
        <f>IF(HR_Data[[#This Row],[MonthlyIncome]]&lt;3000,"Low Salary",IF(HR_Data[[#This Row],[MonthlyIncome]]&lt;=7000,"Medium Salary","High Salary"))</f>
        <v>Medium Salary</v>
      </c>
      <c r="AN1397" t="str">
        <f>IF(HR_Data[[#This Row],[YearsAtCompany]]&lt;2,"0-1 Years",IF(HR_Data[[#This Row],[YearsAtCompany]]&lt;=5,"2-5 Years",IF(HR_Data[[#This Row],[YearsAtCompany]]&lt;=10,"6-10 Years","10+ Years")))</f>
        <v>6-10 Years</v>
      </c>
      <c r="AO1397" t="str">
        <f>IF(HR_Data[[#This Row],[JobSatisfaction]]=1,"Low",IF(HR_Data[[#This Row],[JobSatisfaction]]=2,"Medium",IF(HR_Data[[#This Row],[JobSatisfaction]]=3,"High","Very High")))</f>
        <v>Very High</v>
      </c>
      <c r="AP1397" t="str">
        <f>IF(HR_Data[[#This Row],[WorkLifeBalance]]=1,"Bad",IF(HR_Data[[#This Row],[WorkLifeBalance]]=2,"Good",IF(HR_Data[[#This Row],[WorkLifeBalance]]=3,"Better","Best")))</f>
        <v>Better</v>
      </c>
    </row>
    <row r="1398" spans="1:42"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IF(HR_Data[[#This Row],[Attrition]]="Yes",1,0)</f>
        <v>1</v>
      </c>
      <c r="AK1398">
        <f>IF(HR_Data[[#This Row],[Attrition]]="No",1,0)</f>
        <v>0</v>
      </c>
      <c r="AL1398" t="str">
        <f>IF(HR_Data[[#This Row],[Age]]&lt;25,"Under 25",IF(HR_Data[[#This Row],[Age]]&lt;=34,"25-34",IF(HR_Data[[#This Row],[Age]]&lt;=44,"35-44",IF(HR_Data[[#This Row],[Age]]&lt;=54,"45-54","55+"))))</f>
        <v>45-54</v>
      </c>
      <c r="AM1398" t="str">
        <f>IF(HR_Data[[#This Row],[MonthlyIncome]]&lt;3000,"Low Salary",IF(HR_Data[[#This Row],[MonthlyIncome]]&lt;=7000,"Medium Salary","High Salary"))</f>
        <v>High Salary</v>
      </c>
      <c r="AN1398" t="str">
        <f>IF(HR_Data[[#This Row],[YearsAtCompany]]&lt;2,"0-1 Years",IF(HR_Data[[#This Row],[YearsAtCompany]]&lt;=5,"2-5 Years",IF(HR_Data[[#This Row],[YearsAtCompany]]&lt;=10,"6-10 Years","10+ Years")))</f>
        <v>2-5 Years</v>
      </c>
      <c r="AO1398" t="str">
        <f>IF(HR_Data[[#This Row],[JobSatisfaction]]=1,"Low",IF(HR_Data[[#This Row],[JobSatisfaction]]=2,"Medium",IF(HR_Data[[#This Row],[JobSatisfaction]]=3,"High","Very High")))</f>
        <v>Low</v>
      </c>
      <c r="AP1398" t="str">
        <f>IF(HR_Data[[#This Row],[WorkLifeBalance]]=1,"Bad",IF(HR_Data[[#This Row],[WorkLifeBalance]]=2,"Good",IF(HR_Data[[#This Row],[WorkLifeBalance]]=3,"Better","Best")))</f>
        <v>Good</v>
      </c>
    </row>
    <row r="1399" spans="1:42"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IF(HR_Data[[#This Row],[Attrition]]="Yes",1,0)</f>
        <v>0</v>
      </c>
      <c r="AK1399">
        <f>IF(HR_Data[[#This Row],[Attrition]]="No",1,0)</f>
        <v>1</v>
      </c>
      <c r="AL1399" t="str">
        <f>IF(HR_Data[[#This Row],[Age]]&lt;25,"Under 25",IF(HR_Data[[#This Row],[Age]]&lt;=34,"25-34",IF(HR_Data[[#This Row],[Age]]&lt;=44,"35-44",IF(HR_Data[[#This Row],[Age]]&lt;=54,"45-54","55+"))))</f>
        <v>45-54</v>
      </c>
      <c r="AM1399" t="str">
        <f>IF(HR_Data[[#This Row],[MonthlyIncome]]&lt;3000,"Low Salary",IF(HR_Data[[#This Row],[MonthlyIncome]]&lt;=7000,"Medium Salary","High Salary"))</f>
        <v>Low Salary</v>
      </c>
      <c r="AN1399" t="str">
        <f>IF(HR_Data[[#This Row],[YearsAtCompany]]&lt;2,"0-1 Years",IF(HR_Data[[#This Row],[YearsAtCompany]]&lt;=5,"2-5 Years",IF(HR_Data[[#This Row],[YearsAtCompany]]&lt;=10,"6-10 Years","10+ Years")))</f>
        <v>2-5 Years</v>
      </c>
      <c r="AO1399" t="str">
        <f>IF(HR_Data[[#This Row],[JobSatisfaction]]=1,"Low",IF(HR_Data[[#This Row],[JobSatisfaction]]=2,"Medium",IF(HR_Data[[#This Row],[JobSatisfaction]]=3,"High","Very High")))</f>
        <v>High</v>
      </c>
      <c r="AP1399" t="str">
        <f>IF(HR_Data[[#This Row],[WorkLifeBalance]]=1,"Bad",IF(HR_Data[[#This Row],[WorkLifeBalance]]=2,"Good",IF(HR_Data[[#This Row],[WorkLifeBalance]]=3,"Better","Best")))</f>
        <v>Good</v>
      </c>
    </row>
    <row r="1400" spans="1:42"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IF(HR_Data[[#This Row],[Attrition]]="Yes",1,0)</f>
        <v>0</v>
      </c>
      <c r="AK1400">
        <f>IF(HR_Data[[#This Row],[Attrition]]="No",1,0)</f>
        <v>1</v>
      </c>
      <c r="AL1400" t="str">
        <f>IF(HR_Data[[#This Row],[Age]]&lt;25,"Under 25",IF(HR_Data[[#This Row],[Age]]&lt;=34,"25-34",IF(HR_Data[[#This Row],[Age]]&lt;=44,"35-44",IF(HR_Data[[#This Row],[Age]]&lt;=54,"45-54","55+"))))</f>
        <v>25-34</v>
      </c>
      <c r="AM1400" t="str">
        <f>IF(HR_Data[[#This Row],[MonthlyIncome]]&lt;3000,"Low Salary",IF(HR_Data[[#This Row],[MonthlyIncome]]&lt;=7000,"Medium Salary","High Salary"))</f>
        <v>Medium Salary</v>
      </c>
      <c r="AN1400" t="str">
        <f>IF(HR_Data[[#This Row],[YearsAtCompany]]&lt;2,"0-1 Years",IF(HR_Data[[#This Row],[YearsAtCompany]]&lt;=5,"2-5 Years",IF(HR_Data[[#This Row],[YearsAtCompany]]&lt;=10,"6-10 Years","10+ Years")))</f>
        <v>6-10 Years</v>
      </c>
      <c r="AO1400" t="str">
        <f>IF(HR_Data[[#This Row],[JobSatisfaction]]=1,"Low",IF(HR_Data[[#This Row],[JobSatisfaction]]=2,"Medium",IF(HR_Data[[#This Row],[JobSatisfaction]]=3,"High","Very High")))</f>
        <v>High</v>
      </c>
      <c r="AP1400" t="str">
        <f>IF(HR_Data[[#This Row],[WorkLifeBalance]]=1,"Bad",IF(HR_Data[[#This Row],[WorkLifeBalance]]=2,"Good",IF(HR_Data[[#This Row],[WorkLifeBalance]]=3,"Better","Best")))</f>
        <v>Better</v>
      </c>
    </row>
    <row r="1401" spans="1:42"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IF(HR_Data[[#This Row],[Attrition]]="Yes",1,0)</f>
        <v>0</v>
      </c>
      <c r="AK1401">
        <f>IF(HR_Data[[#This Row],[Attrition]]="No",1,0)</f>
        <v>1</v>
      </c>
      <c r="AL1401" t="str">
        <f>IF(HR_Data[[#This Row],[Age]]&lt;25,"Under 25",IF(HR_Data[[#This Row],[Age]]&lt;=34,"25-34",IF(HR_Data[[#This Row],[Age]]&lt;=44,"35-44",IF(HR_Data[[#This Row],[Age]]&lt;=54,"45-54","55+"))))</f>
        <v>35-44</v>
      </c>
      <c r="AM1401" t="str">
        <f>IF(HR_Data[[#This Row],[MonthlyIncome]]&lt;3000,"Low Salary",IF(HR_Data[[#This Row],[MonthlyIncome]]&lt;=7000,"Medium Salary","High Salary"))</f>
        <v>High Salary</v>
      </c>
      <c r="AN1401" t="str">
        <f>IF(HR_Data[[#This Row],[YearsAtCompany]]&lt;2,"0-1 Years",IF(HR_Data[[#This Row],[YearsAtCompany]]&lt;=5,"2-5 Years",IF(HR_Data[[#This Row],[YearsAtCompany]]&lt;=10,"6-10 Years","10+ Years")))</f>
        <v>6-10 Years</v>
      </c>
      <c r="AO1401" t="str">
        <f>IF(HR_Data[[#This Row],[JobSatisfaction]]=1,"Low",IF(HR_Data[[#This Row],[JobSatisfaction]]=2,"Medium",IF(HR_Data[[#This Row],[JobSatisfaction]]=3,"High","Very High")))</f>
        <v>High</v>
      </c>
      <c r="AP1401" t="str">
        <f>IF(HR_Data[[#This Row],[WorkLifeBalance]]=1,"Bad",IF(HR_Data[[#This Row],[WorkLifeBalance]]=2,"Good",IF(HR_Data[[#This Row],[WorkLifeBalance]]=3,"Better","Best")))</f>
        <v>Better</v>
      </c>
    </row>
    <row r="1402" spans="1:42"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IF(HR_Data[[#This Row],[Attrition]]="Yes",1,0)</f>
        <v>0</v>
      </c>
      <c r="AK1402">
        <f>IF(HR_Data[[#This Row],[Attrition]]="No",1,0)</f>
        <v>1</v>
      </c>
      <c r="AL1402" t="str">
        <f>IF(HR_Data[[#This Row],[Age]]&lt;25,"Under 25",IF(HR_Data[[#This Row],[Age]]&lt;=34,"25-34",IF(HR_Data[[#This Row],[Age]]&lt;=44,"35-44",IF(HR_Data[[#This Row],[Age]]&lt;=54,"45-54","55+"))))</f>
        <v>35-44</v>
      </c>
      <c r="AM1402" t="str">
        <f>IF(HR_Data[[#This Row],[MonthlyIncome]]&lt;3000,"Low Salary",IF(HR_Data[[#This Row],[MonthlyIncome]]&lt;=7000,"Medium Salary","High Salary"))</f>
        <v>Low Salary</v>
      </c>
      <c r="AN1402" t="str">
        <f>IF(HR_Data[[#This Row],[YearsAtCompany]]&lt;2,"0-1 Years",IF(HR_Data[[#This Row],[YearsAtCompany]]&lt;=5,"2-5 Years",IF(HR_Data[[#This Row],[YearsAtCompany]]&lt;=10,"6-10 Years","10+ Years")))</f>
        <v>6-10 Years</v>
      </c>
      <c r="AO1402" t="str">
        <f>IF(HR_Data[[#This Row],[JobSatisfaction]]=1,"Low",IF(HR_Data[[#This Row],[JobSatisfaction]]=2,"Medium",IF(HR_Data[[#This Row],[JobSatisfaction]]=3,"High","Very High")))</f>
        <v>Medium</v>
      </c>
      <c r="AP1402" t="str">
        <f>IF(HR_Data[[#This Row],[WorkLifeBalance]]=1,"Bad",IF(HR_Data[[#This Row],[WorkLifeBalance]]=2,"Good",IF(HR_Data[[#This Row],[WorkLifeBalance]]=3,"Better","Best")))</f>
        <v>Better</v>
      </c>
    </row>
    <row r="1403" spans="1:42"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IF(HR_Data[[#This Row],[Attrition]]="Yes",1,0)</f>
        <v>0</v>
      </c>
      <c r="AK1403">
        <f>IF(HR_Data[[#This Row],[Attrition]]="No",1,0)</f>
        <v>1</v>
      </c>
      <c r="AL1403" t="str">
        <f>IF(HR_Data[[#This Row],[Age]]&lt;25,"Under 25",IF(HR_Data[[#This Row],[Age]]&lt;=34,"25-34",IF(HR_Data[[#This Row],[Age]]&lt;=44,"35-44",IF(HR_Data[[#This Row],[Age]]&lt;=54,"45-54","55+"))))</f>
        <v>55+</v>
      </c>
      <c r="AM1403" t="str">
        <f>IF(HR_Data[[#This Row],[MonthlyIncome]]&lt;3000,"Low Salary",IF(HR_Data[[#This Row],[MonthlyIncome]]&lt;=7000,"Medium Salary","High Salary"))</f>
        <v>High Salary</v>
      </c>
      <c r="AN1403" t="str">
        <f>IF(HR_Data[[#This Row],[YearsAtCompany]]&lt;2,"0-1 Years",IF(HR_Data[[#This Row],[YearsAtCompany]]&lt;=5,"2-5 Years",IF(HR_Data[[#This Row],[YearsAtCompany]]&lt;=10,"6-10 Years","10+ Years")))</f>
        <v>6-10 Years</v>
      </c>
      <c r="AO1403" t="str">
        <f>IF(HR_Data[[#This Row],[JobSatisfaction]]=1,"Low",IF(HR_Data[[#This Row],[JobSatisfaction]]=2,"Medium",IF(HR_Data[[#This Row],[JobSatisfaction]]=3,"High","Very High")))</f>
        <v>Medium</v>
      </c>
      <c r="AP1403" t="str">
        <f>IF(HR_Data[[#This Row],[WorkLifeBalance]]=1,"Bad",IF(HR_Data[[#This Row],[WorkLifeBalance]]=2,"Good",IF(HR_Data[[#This Row],[WorkLifeBalance]]=3,"Better","Best")))</f>
        <v>Better</v>
      </c>
    </row>
    <row r="1404" spans="1:42"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IF(HR_Data[[#This Row],[Attrition]]="Yes",1,0)</f>
        <v>0</v>
      </c>
      <c r="AK1404">
        <f>IF(HR_Data[[#This Row],[Attrition]]="No",1,0)</f>
        <v>1</v>
      </c>
      <c r="AL1404" t="str">
        <f>IF(HR_Data[[#This Row],[Age]]&lt;25,"Under 25",IF(HR_Data[[#This Row],[Age]]&lt;=34,"25-34",IF(HR_Data[[#This Row],[Age]]&lt;=44,"35-44",IF(HR_Data[[#This Row],[Age]]&lt;=54,"45-54","55+"))))</f>
        <v>25-34</v>
      </c>
      <c r="AM1404" t="str">
        <f>IF(HR_Data[[#This Row],[MonthlyIncome]]&lt;3000,"Low Salary",IF(HR_Data[[#This Row],[MonthlyIncome]]&lt;=7000,"Medium Salary","High Salary"))</f>
        <v>Low Salary</v>
      </c>
      <c r="AN1404" t="str">
        <f>IF(HR_Data[[#This Row],[YearsAtCompany]]&lt;2,"0-1 Years",IF(HR_Data[[#This Row],[YearsAtCompany]]&lt;=5,"2-5 Years",IF(HR_Data[[#This Row],[YearsAtCompany]]&lt;=10,"6-10 Years","10+ Years")))</f>
        <v>0-1 Years</v>
      </c>
      <c r="AO1404" t="str">
        <f>IF(HR_Data[[#This Row],[JobSatisfaction]]=1,"Low",IF(HR_Data[[#This Row],[JobSatisfaction]]=2,"Medium",IF(HR_Data[[#This Row],[JobSatisfaction]]=3,"High","Very High")))</f>
        <v>Very High</v>
      </c>
      <c r="AP1404" t="str">
        <f>IF(HR_Data[[#This Row],[WorkLifeBalance]]=1,"Bad",IF(HR_Data[[#This Row],[WorkLifeBalance]]=2,"Good",IF(HR_Data[[#This Row],[WorkLifeBalance]]=3,"Better","Best")))</f>
        <v>Better</v>
      </c>
    </row>
    <row r="1405" spans="1:42"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IF(HR_Data[[#This Row],[Attrition]]="Yes",1,0)</f>
        <v>0</v>
      </c>
      <c r="AK1405">
        <f>IF(HR_Data[[#This Row],[Attrition]]="No",1,0)</f>
        <v>1</v>
      </c>
      <c r="AL1405" t="str">
        <f>IF(HR_Data[[#This Row],[Age]]&lt;25,"Under 25",IF(HR_Data[[#This Row],[Age]]&lt;=34,"25-34",IF(HR_Data[[#This Row],[Age]]&lt;=44,"35-44",IF(HR_Data[[#This Row],[Age]]&lt;=54,"45-54","55+"))))</f>
        <v>35-44</v>
      </c>
      <c r="AM1405" t="str">
        <f>IF(HR_Data[[#This Row],[MonthlyIncome]]&lt;3000,"Low Salary",IF(HR_Data[[#This Row],[MonthlyIncome]]&lt;=7000,"Medium Salary","High Salary"))</f>
        <v>High Salary</v>
      </c>
      <c r="AN1405" t="str">
        <f>IF(HR_Data[[#This Row],[YearsAtCompany]]&lt;2,"0-1 Years",IF(HR_Data[[#This Row],[YearsAtCompany]]&lt;=5,"2-5 Years",IF(HR_Data[[#This Row],[YearsAtCompany]]&lt;=10,"6-10 Years","10+ Years")))</f>
        <v>10+ Years</v>
      </c>
      <c r="AO1405" t="str">
        <f>IF(HR_Data[[#This Row],[JobSatisfaction]]=1,"Low",IF(HR_Data[[#This Row],[JobSatisfaction]]=2,"Medium",IF(HR_Data[[#This Row],[JobSatisfaction]]=3,"High","Very High")))</f>
        <v>Low</v>
      </c>
      <c r="AP1405" t="str">
        <f>IF(HR_Data[[#This Row],[WorkLifeBalance]]=1,"Bad",IF(HR_Data[[#This Row],[WorkLifeBalance]]=2,"Good",IF(HR_Data[[#This Row],[WorkLifeBalance]]=3,"Better","Best")))</f>
        <v>Better</v>
      </c>
    </row>
    <row r="1406" spans="1:42"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IF(HR_Data[[#This Row],[Attrition]]="Yes",1,0)</f>
        <v>0</v>
      </c>
      <c r="AK1406">
        <f>IF(HR_Data[[#This Row],[Attrition]]="No",1,0)</f>
        <v>1</v>
      </c>
      <c r="AL1406" t="str">
        <f>IF(HR_Data[[#This Row],[Age]]&lt;25,"Under 25",IF(HR_Data[[#This Row],[Age]]&lt;=34,"25-34",IF(HR_Data[[#This Row],[Age]]&lt;=44,"35-44",IF(HR_Data[[#This Row],[Age]]&lt;=54,"45-54","55+"))))</f>
        <v>35-44</v>
      </c>
      <c r="AM1406" t="str">
        <f>IF(HR_Data[[#This Row],[MonthlyIncome]]&lt;3000,"Low Salary",IF(HR_Data[[#This Row],[MonthlyIncome]]&lt;=7000,"Medium Salary","High Salary"))</f>
        <v>Medium Salary</v>
      </c>
      <c r="AN1406" t="str">
        <f>IF(HR_Data[[#This Row],[YearsAtCompany]]&lt;2,"0-1 Years",IF(HR_Data[[#This Row],[YearsAtCompany]]&lt;=5,"2-5 Years",IF(HR_Data[[#This Row],[YearsAtCompany]]&lt;=10,"6-10 Years","10+ Years")))</f>
        <v>10+ Years</v>
      </c>
      <c r="AO1406" t="str">
        <f>IF(HR_Data[[#This Row],[JobSatisfaction]]=1,"Low",IF(HR_Data[[#This Row],[JobSatisfaction]]=2,"Medium",IF(HR_Data[[#This Row],[JobSatisfaction]]=3,"High","Very High")))</f>
        <v>High</v>
      </c>
      <c r="AP1406" t="str">
        <f>IF(HR_Data[[#This Row],[WorkLifeBalance]]=1,"Bad",IF(HR_Data[[#This Row],[WorkLifeBalance]]=2,"Good",IF(HR_Data[[#This Row],[WorkLifeBalance]]=3,"Better","Best")))</f>
        <v>Better</v>
      </c>
    </row>
    <row r="1407" spans="1:42"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IF(HR_Data[[#This Row],[Attrition]]="Yes",1,0)</f>
        <v>0</v>
      </c>
      <c r="AK1407">
        <f>IF(HR_Data[[#This Row],[Attrition]]="No",1,0)</f>
        <v>1</v>
      </c>
      <c r="AL1407" t="str">
        <f>IF(HR_Data[[#This Row],[Age]]&lt;25,"Under 25",IF(HR_Data[[#This Row],[Age]]&lt;=34,"25-34",IF(HR_Data[[#This Row],[Age]]&lt;=44,"35-44",IF(HR_Data[[#This Row],[Age]]&lt;=54,"45-54","55+"))))</f>
        <v>25-34</v>
      </c>
      <c r="AM1407" t="str">
        <f>IF(HR_Data[[#This Row],[MonthlyIncome]]&lt;3000,"Low Salary",IF(HR_Data[[#This Row],[MonthlyIncome]]&lt;=7000,"Medium Salary","High Salary"))</f>
        <v>High Salary</v>
      </c>
      <c r="AN1407" t="str">
        <f>IF(HR_Data[[#This Row],[YearsAtCompany]]&lt;2,"0-1 Years",IF(HR_Data[[#This Row],[YearsAtCompany]]&lt;=5,"2-5 Years",IF(HR_Data[[#This Row],[YearsAtCompany]]&lt;=10,"6-10 Years","10+ Years")))</f>
        <v>10+ Years</v>
      </c>
      <c r="AO1407" t="str">
        <f>IF(HR_Data[[#This Row],[JobSatisfaction]]=1,"Low",IF(HR_Data[[#This Row],[JobSatisfaction]]=2,"Medium",IF(HR_Data[[#This Row],[JobSatisfaction]]=3,"High","Very High")))</f>
        <v>High</v>
      </c>
      <c r="AP1407" t="str">
        <f>IF(HR_Data[[#This Row],[WorkLifeBalance]]=1,"Bad",IF(HR_Data[[#This Row],[WorkLifeBalance]]=2,"Good",IF(HR_Data[[#This Row],[WorkLifeBalance]]=3,"Better","Best")))</f>
        <v>Best</v>
      </c>
    </row>
    <row r="1408" spans="1:42"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IF(HR_Data[[#This Row],[Attrition]]="Yes",1,0)</f>
        <v>0</v>
      </c>
      <c r="AK1408">
        <f>IF(HR_Data[[#This Row],[Attrition]]="No",1,0)</f>
        <v>1</v>
      </c>
      <c r="AL1408" t="str">
        <f>IF(HR_Data[[#This Row],[Age]]&lt;25,"Under 25",IF(HR_Data[[#This Row],[Age]]&lt;=34,"25-34",IF(HR_Data[[#This Row],[Age]]&lt;=44,"35-44",IF(HR_Data[[#This Row],[Age]]&lt;=54,"45-54","55+"))))</f>
        <v>45-54</v>
      </c>
      <c r="AM1408" t="str">
        <f>IF(HR_Data[[#This Row],[MonthlyIncome]]&lt;3000,"Low Salary",IF(HR_Data[[#This Row],[MonthlyIncome]]&lt;=7000,"Medium Salary","High Salary"))</f>
        <v>Medium Salary</v>
      </c>
      <c r="AN1408" t="str">
        <f>IF(HR_Data[[#This Row],[YearsAtCompany]]&lt;2,"0-1 Years",IF(HR_Data[[#This Row],[YearsAtCompany]]&lt;=5,"2-5 Years",IF(HR_Data[[#This Row],[YearsAtCompany]]&lt;=10,"6-10 Years","10+ Years")))</f>
        <v>2-5 Years</v>
      </c>
      <c r="AO1408" t="str">
        <f>IF(HR_Data[[#This Row],[JobSatisfaction]]=1,"Low",IF(HR_Data[[#This Row],[JobSatisfaction]]=2,"Medium",IF(HR_Data[[#This Row],[JobSatisfaction]]=3,"High","Very High")))</f>
        <v>Low</v>
      </c>
      <c r="AP1408" t="str">
        <f>IF(HR_Data[[#This Row],[WorkLifeBalance]]=1,"Bad",IF(HR_Data[[#This Row],[WorkLifeBalance]]=2,"Good",IF(HR_Data[[#This Row],[WorkLifeBalance]]=3,"Better","Best")))</f>
        <v>Better</v>
      </c>
    </row>
    <row r="1409" spans="1:42"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IF(HR_Data[[#This Row],[Attrition]]="Yes",1,0)</f>
        <v>0</v>
      </c>
      <c r="AK1409">
        <f>IF(HR_Data[[#This Row],[Attrition]]="No",1,0)</f>
        <v>1</v>
      </c>
      <c r="AL1409" t="str">
        <f>IF(HR_Data[[#This Row],[Age]]&lt;25,"Under 25",IF(HR_Data[[#This Row],[Age]]&lt;=34,"25-34",IF(HR_Data[[#This Row],[Age]]&lt;=44,"35-44",IF(HR_Data[[#This Row],[Age]]&lt;=54,"45-54","55+"))))</f>
        <v>Under 25</v>
      </c>
      <c r="AM1409" t="str">
        <f>IF(HR_Data[[#This Row],[MonthlyIncome]]&lt;3000,"Low Salary",IF(HR_Data[[#This Row],[MonthlyIncome]]&lt;=7000,"Medium Salary","High Salary"))</f>
        <v>Medium Salary</v>
      </c>
      <c r="AN1409" t="str">
        <f>IF(HR_Data[[#This Row],[YearsAtCompany]]&lt;2,"0-1 Years",IF(HR_Data[[#This Row],[YearsAtCompany]]&lt;=5,"2-5 Years",IF(HR_Data[[#This Row],[YearsAtCompany]]&lt;=10,"6-10 Years","10+ Years")))</f>
        <v>2-5 Years</v>
      </c>
      <c r="AO1409" t="str">
        <f>IF(HR_Data[[#This Row],[JobSatisfaction]]=1,"Low",IF(HR_Data[[#This Row],[JobSatisfaction]]=2,"Medium",IF(HR_Data[[#This Row],[JobSatisfaction]]=3,"High","Very High")))</f>
        <v>High</v>
      </c>
      <c r="AP1409" t="str">
        <f>IF(HR_Data[[#This Row],[WorkLifeBalance]]=1,"Bad",IF(HR_Data[[#This Row],[WorkLifeBalance]]=2,"Good",IF(HR_Data[[#This Row],[WorkLifeBalance]]=3,"Better","Best")))</f>
        <v>Good</v>
      </c>
    </row>
    <row r="1410" spans="1:42"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IF(HR_Data[[#This Row],[Attrition]]="Yes",1,0)</f>
        <v>0</v>
      </c>
      <c r="AK1410">
        <f>IF(HR_Data[[#This Row],[Attrition]]="No",1,0)</f>
        <v>1</v>
      </c>
      <c r="AL1410" t="str">
        <f>IF(HR_Data[[#This Row],[Age]]&lt;25,"Under 25",IF(HR_Data[[#This Row],[Age]]&lt;=34,"25-34",IF(HR_Data[[#This Row],[Age]]&lt;=44,"35-44",IF(HR_Data[[#This Row],[Age]]&lt;=54,"45-54","55+"))))</f>
        <v>Under 25</v>
      </c>
      <c r="AM1410" t="str">
        <f>IF(HR_Data[[#This Row],[MonthlyIncome]]&lt;3000,"Low Salary",IF(HR_Data[[#This Row],[MonthlyIncome]]&lt;=7000,"Medium Salary","High Salary"))</f>
        <v>Low Salary</v>
      </c>
      <c r="AN1410" t="str">
        <f>IF(HR_Data[[#This Row],[YearsAtCompany]]&lt;2,"0-1 Years",IF(HR_Data[[#This Row],[YearsAtCompany]]&lt;=5,"2-5 Years",IF(HR_Data[[#This Row],[YearsAtCompany]]&lt;=10,"6-10 Years","10+ Years")))</f>
        <v>2-5 Years</v>
      </c>
      <c r="AO1410" t="str">
        <f>IF(HR_Data[[#This Row],[JobSatisfaction]]=1,"Low",IF(HR_Data[[#This Row],[JobSatisfaction]]=2,"Medium",IF(HR_Data[[#This Row],[JobSatisfaction]]=3,"High","Very High")))</f>
        <v>Very High</v>
      </c>
      <c r="AP1410" t="str">
        <f>IF(HR_Data[[#This Row],[WorkLifeBalance]]=1,"Bad",IF(HR_Data[[#This Row],[WorkLifeBalance]]=2,"Good",IF(HR_Data[[#This Row],[WorkLifeBalance]]=3,"Better","Best")))</f>
        <v>Best</v>
      </c>
    </row>
    <row r="1411" spans="1:42"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IF(HR_Data[[#This Row],[Attrition]]="Yes",1,0)</f>
        <v>0</v>
      </c>
      <c r="AK1411">
        <f>IF(HR_Data[[#This Row],[Attrition]]="No",1,0)</f>
        <v>1</v>
      </c>
      <c r="AL1411" t="str">
        <f>IF(HR_Data[[#This Row],[Age]]&lt;25,"Under 25",IF(HR_Data[[#This Row],[Age]]&lt;=34,"25-34",IF(HR_Data[[#This Row],[Age]]&lt;=44,"35-44",IF(HR_Data[[#This Row],[Age]]&lt;=54,"45-54","55+"))))</f>
        <v>35-44</v>
      </c>
      <c r="AM1411" t="str">
        <f>IF(HR_Data[[#This Row],[MonthlyIncome]]&lt;3000,"Low Salary",IF(HR_Data[[#This Row],[MonthlyIncome]]&lt;=7000,"Medium Salary","High Salary"))</f>
        <v>Medium Salary</v>
      </c>
      <c r="AN1411" t="str">
        <f>IF(HR_Data[[#This Row],[YearsAtCompany]]&lt;2,"0-1 Years",IF(HR_Data[[#This Row],[YearsAtCompany]]&lt;=5,"2-5 Years",IF(HR_Data[[#This Row],[YearsAtCompany]]&lt;=10,"6-10 Years","10+ Years")))</f>
        <v>6-10 Years</v>
      </c>
      <c r="AO1411" t="str">
        <f>IF(HR_Data[[#This Row],[JobSatisfaction]]=1,"Low",IF(HR_Data[[#This Row],[JobSatisfaction]]=2,"Medium",IF(HR_Data[[#This Row],[JobSatisfaction]]=3,"High","Very High")))</f>
        <v>High</v>
      </c>
      <c r="AP1411" t="str">
        <f>IF(HR_Data[[#This Row],[WorkLifeBalance]]=1,"Bad",IF(HR_Data[[#This Row],[WorkLifeBalance]]=2,"Good",IF(HR_Data[[#This Row],[WorkLifeBalance]]=3,"Better","Best")))</f>
        <v>Best</v>
      </c>
    </row>
    <row r="1412" spans="1:42"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IF(HR_Data[[#This Row],[Attrition]]="Yes",1,0)</f>
        <v>0</v>
      </c>
      <c r="AK1412">
        <f>IF(HR_Data[[#This Row],[Attrition]]="No",1,0)</f>
        <v>1</v>
      </c>
      <c r="AL1412" t="str">
        <f>IF(HR_Data[[#This Row],[Age]]&lt;25,"Under 25",IF(HR_Data[[#This Row],[Age]]&lt;=34,"25-34",IF(HR_Data[[#This Row],[Age]]&lt;=44,"35-44",IF(HR_Data[[#This Row],[Age]]&lt;=54,"45-54","55+"))))</f>
        <v>35-44</v>
      </c>
      <c r="AM1412" t="str">
        <f>IF(HR_Data[[#This Row],[MonthlyIncome]]&lt;3000,"Low Salary",IF(HR_Data[[#This Row],[MonthlyIncome]]&lt;=7000,"Medium Salary","High Salary"))</f>
        <v>Medium Salary</v>
      </c>
      <c r="AN1412" t="str">
        <f>IF(HR_Data[[#This Row],[YearsAtCompany]]&lt;2,"0-1 Years",IF(HR_Data[[#This Row],[YearsAtCompany]]&lt;=5,"2-5 Years",IF(HR_Data[[#This Row],[YearsAtCompany]]&lt;=10,"6-10 Years","10+ Years")))</f>
        <v>10+ Years</v>
      </c>
      <c r="AO1412" t="str">
        <f>IF(HR_Data[[#This Row],[JobSatisfaction]]=1,"Low",IF(HR_Data[[#This Row],[JobSatisfaction]]=2,"Medium",IF(HR_Data[[#This Row],[JobSatisfaction]]=3,"High","Very High")))</f>
        <v>Medium</v>
      </c>
      <c r="AP1412" t="str">
        <f>IF(HR_Data[[#This Row],[WorkLifeBalance]]=1,"Bad",IF(HR_Data[[#This Row],[WorkLifeBalance]]=2,"Good",IF(HR_Data[[#This Row],[WorkLifeBalance]]=3,"Better","Best")))</f>
        <v>Better</v>
      </c>
    </row>
    <row r="1413" spans="1:42"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IF(HR_Data[[#This Row],[Attrition]]="Yes",1,0)</f>
        <v>0</v>
      </c>
      <c r="AK1413">
        <f>IF(HR_Data[[#This Row],[Attrition]]="No",1,0)</f>
        <v>1</v>
      </c>
      <c r="AL1413" t="str">
        <f>IF(HR_Data[[#This Row],[Age]]&lt;25,"Under 25",IF(HR_Data[[#This Row],[Age]]&lt;=34,"25-34",IF(HR_Data[[#This Row],[Age]]&lt;=44,"35-44",IF(HR_Data[[#This Row],[Age]]&lt;=54,"45-54","55+"))))</f>
        <v>25-34</v>
      </c>
      <c r="AM1413" t="str">
        <f>IF(HR_Data[[#This Row],[MonthlyIncome]]&lt;3000,"Low Salary",IF(HR_Data[[#This Row],[MonthlyIncome]]&lt;=7000,"Medium Salary","High Salary"))</f>
        <v>Low Salary</v>
      </c>
      <c r="AN1413" t="str">
        <f>IF(HR_Data[[#This Row],[YearsAtCompany]]&lt;2,"0-1 Years",IF(HR_Data[[#This Row],[YearsAtCompany]]&lt;=5,"2-5 Years",IF(HR_Data[[#This Row],[YearsAtCompany]]&lt;=10,"6-10 Years","10+ Years")))</f>
        <v>2-5 Years</v>
      </c>
      <c r="AO1413" t="str">
        <f>IF(HR_Data[[#This Row],[JobSatisfaction]]=1,"Low",IF(HR_Data[[#This Row],[JobSatisfaction]]=2,"Medium",IF(HR_Data[[#This Row],[JobSatisfaction]]=3,"High","Very High")))</f>
        <v>Medium</v>
      </c>
      <c r="AP1413" t="str">
        <f>IF(HR_Data[[#This Row],[WorkLifeBalance]]=1,"Bad",IF(HR_Data[[#This Row],[WorkLifeBalance]]=2,"Good",IF(HR_Data[[#This Row],[WorkLifeBalance]]=3,"Better","Best")))</f>
        <v>Better</v>
      </c>
    </row>
    <row r="1414" spans="1:42"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IF(HR_Data[[#This Row],[Attrition]]="Yes",1,0)</f>
        <v>0</v>
      </c>
      <c r="AK1414">
        <f>IF(HR_Data[[#This Row],[Attrition]]="No",1,0)</f>
        <v>1</v>
      </c>
      <c r="AL1414" t="str">
        <f>IF(HR_Data[[#This Row],[Age]]&lt;25,"Under 25",IF(HR_Data[[#This Row],[Age]]&lt;=34,"25-34",IF(HR_Data[[#This Row],[Age]]&lt;=44,"35-44",IF(HR_Data[[#This Row],[Age]]&lt;=54,"45-54","55+"))))</f>
        <v>25-34</v>
      </c>
      <c r="AM1414" t="str">
        <f>IF(HR_Data[[#This Row],[MonthlyIncome]]&lt;3000,"Low Salary",IF(HR_Data[[#This Row],[MonthlyIncome]]&lt;=7000,"Medium Salary","High Salary"))</f>
        <v>Medium Salary</v>
      </c>
      <c r="AN1414" t="str">
        <f>IF(HR_Data[[#This Row],[YearsAtCompany]]&lt;2,"0-1 Years",IF(HR_Data[[#This Row],[YearsAtCompany]]&lt;=5,"2-5 Years",IF(HR_Data[[#This Row],[YearsAtCompany]]&lt;=10,"6-10 Years","10+ Years")))</f>
        <v>10+ Years</v>
      </c>
      <c r="AO1414" t="str">
        <f>IF(HR_Data[[#This Row],[JobSatisfaction]]=1,"Low",IF(HR_Data[[#This Row],[JobSatisfaction]]=2,"Medium",IF(HR_Data[[#This Row],[JobSatisfaction]]=3,"High","Very High")))</f>
        <v>Medium</v>
      </c>
      <c r="AP1414" t="str">
        <f>IF(HR_Data[[#This Row],[WorkLifeBalance]]=1,"Bad",IF(HR_Data[[#This Row],[WorkLifeBalance]]=2,"Good",IF(HR_Data[[#This Row],[WorkLifeBalance]]=3,"Better","Best")))</f>
        <v>Good</v>
      </c>
    </row>
    <row r="1415" spans="1:42"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IF(HR_Data[[#This Row],[Attrition]]="Yes",1,0)</f>
        <v>0</v>
      </c>
      <c r="AK1415">
        <f>IF(HR_Data[[#This Row],[Attrition]]="No",1,0)</f>
        <v>1</v>
      </c>
      <c r="AL1415" t="str">
        <f>IF(HR_Data[[#This Row],[Age]]&lt;25,"Under 25",IF(HR_Data[[#This Row],[Age]]&lt;=34,"25-34",IF(HR_Data[[#This Row],[Age]]&lt;=44,"35-44",IF(HR_Data[[#This Row],[Age]]&lt;=54,"45-54","55+"))))</f>
        <v>25-34</v>
      </c>
      <c r="AM1415" t="str">
        <f>IF(HR_Data[[#This Row],[MonthlyIncome]]&lt;3000,"Low Salary",IF(HR_Data[[#This Row],[MonthlyIncome]]&lt;=7000,"Medium Salary","High Salary"))</f>
        <v>Medium Salary</v>
      </c>
      <c r="AN1415" t="str">
        <f>IF(HR_Data[[#This Row],[YearsAtCompany]]&lt;2,"0-1 Years",IF(HR_Data[[#This Row],[YearsAtCompany]]&lt;=5,"2-5 Years",IF(HR_Data[[#This Row],[YearsAtCompany]]&lt;=10,"6-10 Years","10+ Years")))</f>
        <v>2-5 Years</v>
      </c>
      <c r="AO1415" t="str">
        <f>IF(HR_Data[[#This Row],[JobSatisfaction]]=1,"Low",IF(HR_Data[[#This Row],[JobSatisfaction]]=2,"Medium",IF(HR_Data[[#This Row],[JobSatisfaction]]=3,"High","Very High")))</f>
        <v>High</v>
      </c>
      <c r="AP1415" t="str">
        <f>IF(HR_Data[[#This Row],[WorkLifeBalance]]=1,"Bad",IF(HR_Data[[#This Row],[WorkLifeBalance]]=2,"Good",IF(HR_Data[[#This Row],[WorkLifeBalance]]=3,"Better","Best")))</f>
        <v>Good</v>
      </c>
    </row>
    <row r="1416" spans="1:42"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IF(HR_Data[[#This Row],[Attrition]]="Yes",1,0)</f>
        <v>0</v>
      </c>
      <c r="AK1416">
        <f>IF(HR_Data[[#This Row],[Attrition]]="No",1,0)</f>
        <v>1</v>
      </c>
      <c r="AL1416" t="str">
        <f>IF(HR_Data[[#This Row],[Age]]&lt;25,"Under 25",IF(HR_Data[[#This Row],[Age]]&lt;=34,"25-34",IF(HR_Data[[#This Row],[Age]]&lt;=44,"35-44",IF(HR_Data[[#This Row],[Age]]&lt;=54,"45-54","55+"))))</f>
        <v>45-54</v>
      </c>
      <c r="AM1416" t="str">
        <f>IF(HR_Data[[#This Row],[MonthlyIncome]]&lt;3000,"Low Salary",IF(HR_Data[[#This Row],[MonthlyIncome]]&lt;=7000,"Medium Salary","High Salary"))</f>
        <v>High Salary</v>
      </c>
      <c r="AN1416" t="str">
        <f>IF(HR_Data[[#This Row],[YearsAtCompany]]&lt;2,"0-1 Years",IF(HR_Data[[#This Row],[YearsAtCompany]]&lt;=5,"2-5 Years",IF(HR_Data[[#This Row],[YearsAtCompany]]&lt;=10,"6-10 Years","10+ Years")))</f>
        <v>10+ Years</v>
      </c>
      <c r="AO1416" t="str">
        <f>IF(HR_Data[[#This Row],[JobSatisfaction]]=1,"Low",IF(HR_Data[[#This Row],[JobSatisfaction]]=2,"Medium",IF(HR_Data[[#This Row],[JobSatisfaction]]=3,"High","Very High")))</f>
        <v>High</v>
      </c>
      <c r="AP1416" t="str">
        <f>IF(HR_Data[[#This Row],[WorkLifeBalance]]=1,"Bad",IF(HR_Data[[#This Row],[WorkLifeBalance]]=2,"Good",IF(HR_Data[[#This Row],[WorkLifeBalance]]=3,"Better","Best")))</f>
        <v>Better</v>
      </c>
    </row>
    <row r="1417" spans="1:42"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IF(HR_Data[[#This Row],[Attrition]]="Yes",1,0)</f>
        <v>0</v>
      </c>
      <c r="AK1417">
        <f>IF(HR_Data[[#This Row],[Attrition]]="No",1,0)</f>
        <v>1</v>
      </c>
      <c r="AL1417" t="str">
        <f>IF(HR_Data[[#This Row],[Age]]&lt;25,"Under 25",IF(HR_Data[[#This Row],[Age]]&lt;=34,"25-34",IF(HR_Data[[#This Row],[Age]]&lt;=44,"35-44",IF(HR_Data[[#This Row],[Age]]&lt;=54,"45-54","55+"))))</f>
        <v>25-34</v>
      </c>
      <c r="AM1417" t="str">
        <f>IF(HR_Data[[#This Row],[MonthlyIncome]]&lt;3000,"Low Salary",IF(HR_Data[[#This Row],[MonthlyIncome]]&lt;=7000,"Medium Salary","High Salary"))</f>
        <v>Low Salary</v>
      </c>
      <c r="AN1417" t="str">
        <f>IF(HR_Data[[#This Row],[YearsAtCompany]]&lt;2,"0-1 Years",IF(HR_Data[[#This Row],[YearsAtCompany]]&lt;=5,"2-5 Years",IF(HR_Data[[#This Row],[YearsAtCompany]]&lt;=10,"6-10 Years","10+ Years")))</f>
        <v>0-1 Years</v>
      </c>
      <c r="AO1417" t="str">
        <f>IF(HR_Data[[#This Row],[JobSatisfaction]]=1,"Low",IF(HR_Data[[#This Row],[JobSatisfaction]]=2,"Medium",IF(HR_Data[[#This Row],[JobSatisfaction]]=3,"High","Very High")))</f>
        <v>High</v>
      </c>
      <c r="AP1417" t="str">
        <f>IF(HR_Data[[#This Row],[WorkLifeBalance]]=1,"Bad",IF(HR_Data[[#This Row],[WorkLifeBalance]]=2,"Good",IF(HR_Data[[#This Row],[WorkLifeBalance]]=3,"Better","Best")))</f>
        <v>Good</v>
      </c>
    </row>
    <row r="1418" spans="1:42"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IF(HR_Data[[#This Row],[Attrition]]="Yes",1,0)</f>
        <v>0</v>
      </c>
      <c r="AK1418">
        <f>IF(HR_Data[[#This Row],[Attrition]]="No",1,0)</f>
        <v>1</v>
      </c>
      <c r="AL1418" t="str">
        <f>IF(HR_Data[[#This Row],[Age]]&lt;25,"Under 25",IF(HR_Data[[#This Row],[Age]]&lt;=34,"25-34",IF(HR_Data[[#This Row],[Age]]&lt;=44,"35-44",IF(HR_Data[[#This Row],[Age]]&lt;=54,"45-54","55+"))))</f>
        <v>35-44</v>
      </c>
      <c r="AM1418" t="str">
        <f>IF(HR_Data[[#This Row],[MonthlyIncome]]&lt;3000,"Low Salary",IF(HR_Data[[#This Row],[MonthlyIncome]]&lt;=7000,"Medium Salary","High Salary"))</f>
        <v>Medium Salary</v>
      </c>
      <c r="AN1418" t="str">
        <f>IF(HR_Data[[#This Row],[YearsAtCompany]]&lt;2,"0-1 Years",IF(HR_Data[[#This Row],[YearsAtCompany]]&lt;=5,"2-5 Years",IF(HR_Data[[#This Row],[YearsAtCompany]]&lt;=10,"6-10 Years","10+ Years")))</f>
        <v>10+ Years</v>
      </c>
      <c r="AO1418" t="str">
        <f>IF(HR_Data[[#This Row],[JobSatisfaction]]=1,"Low",IF(HR_Data[[#This Row],[JobSatisfaction]]=2,"Medium",IF(HR_Data[[#This Row],[JobSatisfaction]]=3,"High","Very High")))</f>
        <v>Medium</v>
      </c>
      <c r="AP1418" t="str">
        <f>IF(HR_Data[[#This Row],[WorkLifeBalance]]=1,"Bad",IF(HR_Data[[#This Row],[WorkLifeBalance]]=2,"Good",IF(HR_Data[[#This Row],[WorkLifeBalance]]=3,"Better","Best")))</f>
        <v>Better</v>
      </c>
    </row>
    <row r="1419" spans="1:42"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IF(HR_Data[[#This Row],[Attrition]]="Yes",1,0)</f>
        <v>0</v>
      </c>
      <c r="AK1419">
        <f>IF(HR_Data[[#This Row],[Attrition]]="No",1,0)</f>
        <v>1</v>
      </c>
      <c r="AL1419" t="str">
        <f>IF(HR_Data[[#This Row],[Age]]&lt;25,"Under 25",IF(HR_Data[[#This Row],[Age]]&lt;=34,"25-34",IF(HR_Data[[#This Row],[Age]]&lt;=44,"35-44",IF(HR_Data[[#This Row],[Age]]&lt;=54,"45-54","55+"))))</f>
        <v>25-34</v>
      </c>
      <c r="AM1419" t="str">
        <f>IF(HR_Data[[#This Row],[MonthlyIncome]]&lt;3000,"Low Salary",IF(HR_Data[[#This Row],[MonthlyIncome]]&lt;=7000,"Medium Salary","High Salary"))</f>
        <v>Medium Salary</v>
      </c>
      <c r="AN1419" t="str">
        <f>IF(HR_Data[[#This Row],[YearsAtCompany]]&lt;2,"0-1 Years",IF(HR_Data[[#This Row],[YearsAtCompany]]&lt;=5,"2-5 Years",IF(HR_Data[[#This Row],[YearsAtCompany]]&lt;=10,"6-10 Years","10+ Years")))</f>
        <v>2-5 Years</v>
      </c>
      <c r="AO1419" t="str">
        <f>IF(HR_Data[[#This Row],[JobSatisfaction]]=1,"Low",IF(HR_Data[[#This Row],[JobSatisfaction]]=2,"Medium",IF(HR_Data[[#This Row],[JobSatisfaction]]=3,"High","Very High")))</f>
        <v>High</v>
      </c>
      <c r="AP1419" t="str">
        <f>IF(HR_Data[[#This Row],[WorkLifeBalance]]=1,"Bad",IF(HR_Data[[#This Row],[WorkLifeBalance]]=2,"Good",IF(HR_Data[[#This Row],[WorkLifeBalance]]=3,"Better","Best")))</f>
        <v>Better</v>
      </c>
    </row>
    <row r="1420" spans="1:42"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IF(HR_Data[[#This Row],[Attrition]]="Yes",1,0)</f>
        <v>0</v>
      </c>
      <c r="AK1420">
        <f>IF(HR_Data[[#This Row],[Attrition]]="No",1,0)</f>
        <v>1</v>
      </c>
      <c r="AL1420" t="str">
        <f>IF(HR_Data[[#This Row],[Age]]&lt;25,"Under 25",IF(HR_Data[[#This Row],[Age]]&lt;=34,"25-34",IF(HR_Data[[#This Row],[Age]]&lt;=44,"35-44",IF(HR_Data[[#This Row],[Age]]&lt;=54,"45-54","55+"))))</f>
        <v>35-44</v>
      </c>
      <c r="AM1420" t="str">
        <f>IF(HR_Data[[#This Row],[MonthlyIncome]]&lt;3000,"Low Salary",IF(HR_Data[[#This Row],[MonthlyIncome]]&lt;=7000,"Medium Salary","High Salary"))</f>
        <v>Medium Salary</v>
      </c>
      <c r="AN1420" t="str">
        <f>IF(HR_Data[[#This Row],[YearsAtCompany]]&lt;2,"0-1 Years",IF(HR_Data[[#This Row],[YearsAtCompany]]&lt;=5,"2-5 Years",IF(HR_Data[[#This Row],[YearsAtCompany]]&lt;=10,"6-10 Years","10+ Years")))</f>
        <v>6-10 Years</v>
      </c>
      <c r="AO1420" t="str">
        <f>IF(HR_Data[[#This Row],[JobSatisfaction]]=1,"Low",IF(HR_Data[[#This Row],[JobSatisfaction]]=2,"Medium",IF(HR_Data[[#This Row],[JobSatisfaction]]=3,"High","Very High")))</f>
        <v>High</v>
      </c>
      <c r="AP1420" t="str">
        <f>IF(HR_Data[[#This Row],[WorkLifeBalance]]=1,"Bad",IF(HR_Data[[#This Row],[WorkLifeBalance]]=2,"Good",IF(HR_Data[[#This Row],[WorkLifeBalance]]=3,"Better","Best")))</f>
        <v>Better</v>
      </c>
    </row>
    <row r="1421" spans="1:42"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IF(HR_Data[[#This Row],[Attrition]]="Yes",1,0)</f>
        <v>0</v>
      </c>
      <c r="AK1421">
        <f>IF(HR_Data[[#This Row],[Attrition]]="No",1,0)</f>
        <v>1</v>
      </c>
      <c r="AL1421" t="str">
        <f>IF(HR_Data[[#This Row],[Age]]&lt;25,"Under 25",IF(HR_Data[[#This Row],[Age]]&lt;=34,"25-34",IF(HR_Data[[#This Row],[Age]]&lt;=44,"35-44",IF(HR_Data[[#This Row],[Age]]&lt;=54,"45-54","55+"))))</f>
        <v>35-44</v>
      </c>
      <c r="AM1421" t="str">
        <f>IF(HR_Data[[#This Row],[MonthlyIncome]]&lt;3000,"Low Salary",IF(HR_Data[[#This Row],[MonthlyIncome]]&lt;=7000,"Medium Salary","High Salary"))</f>
        <v>Medium Salary</v>
      </c>
      <c r="AN1421" t="str">
        <f>IF(HR_Data[[#This Row],[YearsAtCompany]]&lt;2,"0-1 Years",IF(HR_Data[[#This Row],[YearsAtCompany]]&lt;=5,"2-5 Years",IF(HR_Data[[#This Row],[YearsAtCompany]]&lt;=10,"6-10 Years","10+ Years")))</f>
        <v>2-5 Years</v>
      </c>
      <c r="AO1421" t="str">
        <f>IF(HR_Data[[#This Row],[JobSatisfaction]]=1,"Low",IF(HR_Data[[#This Row],[JobSatisfaction]]=2,"Medium",IF(HR_Data[[#This Row],[JobSatisfaction]]=3,"High","Very High")))</f>
        <v>Low</v>
      </c>
      <c r="AP1421" t="str">
        <f>IF(HR_Data[[#This Row],[WorkLifeBalance]]=1,"Bad",IF(HR_Data[[#This Row],[WorkLifeBalance]]=2,"Good",IF(HR_Data[[#This Row],[WorkLifeBalance]]=3,"Better","Best")))</f>
        <v>Good</v>
      </c>
    </row>
    <row r="1422" spans="1:42"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IF(HR_Data[[#This Row],[Attrition]]="Yes",1,0)</f>
        <v>0</v>
      </c>
      <c r="AK1422">
        <f>IF(HR_Data[[#This Row],[Attrition]]="No",1,0)</f>
        <v>1</v>
      </c>
      <c r="AL1422" t="str">
        <f>IF(HR_Data[[#This Row],[Age]]&lt;25,"Under 25",IF(HR_Data[[#This Row],[Age]]&lt;=34,"25-34",IF(HR_Data[[#This Row],[Age]]&lt;=44,"35-44",IF(HR_Data[[#This Row],[Age]]&lt;=54,"45-54","55+"))))</f>
        <v>35-44</v>
      </c>
      <c r="AM1422" t="str">
        <f>IF(HR_Data[[#This Row],[MonthlyIncome]]&lt;3000,"Low Salary",IF(HR_Data[[#This Row],[MonthlyIncome]]&lt;=7000,"Medium Salary","High Salary"))</f>
        <v>Low Salary</v>
      </c>
      <c r="AN1422" t="str">
        <f>IF(HR_Data[[#This Row],[YearsAtCompany]]&lt;2,"0-1 Years",IF(HR_Data[[#This Row],[YearsAtCompany]]&lt;=5,"2-5 Years",IF(HR_Data[[#This Row],[YearsAtCompany]]&lt;=10,"6-10 Years","10+ Years")))</f>
        <v>2-5 Years</v>
      </c>
      <c r="AO1422" t="str">
        <f>IF(HR_Data[[#This Row],[JobSatisfaction]]=1,"Low",IF(HR_Data[[#This Row],[JobSatisfaction]]=2,"Medium",IF(HR_Data[[#This Row],[JobSatisfaction]]=3,"High","Very High")))</f>
        <v>Very High</v>
      </c>
      <c r="AP1422" t="str">
        <f>IF(HR_Data[[#This Row],[WorkLifeBalance]]=1,"Bad",IF(HR_Data[[#This Row],[WorkLifeBalance]]=2,"Good",IF(HR_Data[[#This Row],[WorkLifeBalance]]=3,"Better","Best")))</f>
        <v>Better</v>
      </c>
    </row>
    <row r="1423" spans="1:42"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IF(HR_Data[[#This Row],[Attrition]]="Yes",1,0)</f>
        <v>0</v>
      </c>
      <c r="AK1423">
        <f>IF(HR_Data[[#This Row],[Attrition]]="No",1,0)</f>
        <v>1</v>
      </c>
      <c r="AL1423" t="str">
        <f>IF(HR_Data[[#This Row],[Age]]&lt;25,"Under 25",IF(HR_Data[[#This Row],[Age]]&lt;=34,"25-34",IF(HR_Data[[#This Row],[Age]]&lt;=44,"35-44",IF(HR_Data[[#This Row],[Age]]&lt;=54,"45-54","55+"))))</f>
        <v>45-54</v>
      </c>
      <c r="AM1423" t="str">
        <f>IF(HR_Data[[#This Row],[MonthlyIncome]]&lt;3000,"Low Salary",IF(HR_Data[[#This Row],[MonthlyIncome]]&lt;=7000,"Medium Salary","High Salary"))</f>
        <v>High Salary</v>
      </c>
      <c r="AN1423" t="str">
        <f>IF(HR_Data[[#This Row],[YearsAtCompany]]&lt;2,"0-1 Years",IF(HR_Data[[#This Row],[YearsAtCompany]]&lt;=5,"2-5 Years",IF(HR_Data[[#This Row],[YearsAtCompany]]&lt;=10,"6-10 Years","10+ Years")))</f>
        <v>10+ Years</v>
      </c>
      <c r="AO1423" t="str">
        <f>IF(HR_Data[[#This Row],[JobSatisfaction]]=1,"Low",IF(HR_Data[[#This Row],[JobSatisfaction]]=2,"Medium",IF(HR_Data[[#This Row],[JobSatisfaction]]=3,"High","Very High")))</f>
        <v>Medium</v>
      </c>
      <c r="AP1423" t="str">
        <f>IF(HR_Data[[#This Row],[WorkLifeBalance]]=1,"Bad",IF(HR_Data[[#This Row],[WorkLifeBalance]]=2,"Good",IF(HR_Data[[#This Row],[WorkLifeBalance]]=3,"Better","Best")))</f>
        <v>Bad</v>
      </c>
    </row>
    <row r="1424" spans="1:42"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IF(HR_Data[[#This Row],[Attrition]]="Yes",1,0)</f>
        <v>0</v>
      </c>
      <c r="AK1424">
        <f>IF(HR_Data[[#This Row],[Attrition]]="No",1,0)</f>
        <v>1</v>
      </c>
      <c r="AL1424" t="str">
        <f>IF(HR_Data[[#This Row],[Age]]&lt;25,"Under 25",IF(HR_Data[[#This Row],[Age]]&lt;=34,"25-34",IF(HR_Data[[#This Row],[Age]]&lt;=44,"35-44",IF(HR_Data[[#This Row],[Age]]&lt;=54,"45-54","55+"))))</f>
        <v>35-44</v>
      </c>
      <c r="AM1424" t="str">
        <f>IF(HR_Data[[#This Row],[MonthlyIncome]]&lt;3000,"Low Salary",IF(HR_Data[[#This Row],[MonthlyIncome]]&lt;=7000,"Medium Salary","High Salary"))</f>
        <v>Low Salary</v>
      </c>
      <c r="AN1424" t="str">
        <f>IF(HR_Data[[#This Row],[YearsAtCompany]]&lt;2,"0-1 Years",IF(HR_Data[[#This Row],[YearsAtCompany]]&lt;=5,"2-5 Years",IF(HR_Data[[#This Row],[YearsAtCompany]]&lt;=10,"6-10 Years","10+ Years")))</f>
        <v>2-5 Years</v>
      </c>
      <c r="AO1424" t="str">
        <f>IF(HR_Data[[#This Row],[JobSatisfaction]]=1,"Low",IF(HR_Data[[#This Row],[JobSatisfaction]]=2,"Medium",IF(HR_Data[[#This Row],[JobSatisfaction]]=3,"High","Very High")))</f>
        <v>High</v>
      </c>
      <c r="AP1424" t="str">
        <f>IF(HR_Data[[#This Row],[WorkLifeBalance]]=1,"Bad",IF(HR_Data[[#This Row],[WorkLifeBalance]]=2,"Good",IF(HR_Data[[#This Row],[WorkLifeBalance]]=3,"Better","Best")))</f>
        <v>Better</v>
      </c>
    </row>
    <row r="1425" spans="1:42"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IF(HR_Data[[#This Row],[Attrition]]="Yes",1,0)</f>
        <v>0</v>
      </c>
      <c r="AK1425">
        <f>IF(HR_Data[[#This Row],[Attrition]]="No",1,0)</f>
        <v>1</v>
      </c>
      <c r="AL1425" t="str">
        <f>IF(HR_Data[[#This Row],[Age]]&lt;25,"Under 25",IF(HR_Data[[#This Row],[Age]]&lt;=34,"25-34",IF(HR_Data[[#This Row],[Age]]&lt;=44,"35-44",IF(HR_Data[[#This Row],[Age]]&lt;=54,"45-54","55+"))))</f>
        <v>Under 25</v>
      </c>
      <c r="AM1425" t="str">
        <f>IF(HR_Data[[#This Row],[MonthlyIncome]]&lt;3000,"Low Salary",IF(HR_Data[[#This Row],[MonthlyIncome]]&lt;=7000,"Medium Salary","High Salary"))</f>
        <v>Medium Salary</v>
      </c>
      <c r="AN1425" t="str">
        <f>IF(HR_Data[[#This Row],[YearsAtCompany]]&lt;2,"0-1 Years",IF(HR_Data[[#This Row],[YearsAtCompany]]&lt;=5,"2-5 Years",IF(HR_Data[[#This Row],[YearsAtCompany]]&lt;=10,"6-10 Years","10+ Years")))</f>
        <v>2-5 Years</v>
      </c>
      <c r="AO1425" t="str">
        <f>IF(HR_Data[[#This Row],[JobSatisfaction]]=1,"Low",IF(HR_Data[[#This Row],[JobSatisfaction]]=2,"Medium",IF(HR_Data[[#This Row],[JobSatisfaction]]=3,"High","Very High")))</f>
        <v>High</v>
      </c>
      <c r="AP1425" t="str">
        <f>IF(HR_Data[[#This Row],[WorkLifeBalance]]=1,"Bad",IF(HR_Data[[#This Row],[WorkLifeBalance]]=2,"Good",IF(HR_Data[[#This Row],[WorkLifeBalance]]=3,"Better","Best")))</f>
        <v>Best</v>
      </c>
    </row>
    <row r="1426" spans="1:42"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IF(HR_Data[[#This Row],[Attrition]]="Yes",1,0)</f>
        <v>0</v>
      </c>
      <c r="AK1426">
        <f>IF(HR_Data[[#This Row],[Attrition]]="No",1,0)</f>
        <v>1</v>
      </c>
      <c r="AL1426" t="str">
        <f>IF(HR_Data[[#This Row],[Age]]&lt;25,"Under 25",IF(HR_Data[[#This Row],[Age]]&lt;=34,"25-34",IF(HR_Data[[#This Row],[Age]]&lt;=44,"35-44",IF(HR_Data[[#This Row],[Age]]&lt;=54,"45-54","55+"))))</f>
        <v>35-44</v>
      </c>
      <c r="AM1426" t="str">
        <f>IF(HR_Data[[#This Row],[MonthlyIncome]]&lt;3000,"Low Salary",IF(HR_Data[[#This Row],[MonthlyIncome]]&lt;=7000,"Medium Salary","High Salary"))</f>
        <v>Medium Salary</v>
      </c>
      <c r="AN1426" t="str">
        <f>IF(HR_Data[[#This Row],[YearsAtCompany]]&lt;2,"0-1 Years",IF(HR_Data[[#This Row],[YearsAtCompany]]&lt;=5,"2-5 Years",IF(HR_Data[[#This Row],[YearsAtCompany]]&lt;=10,"6-10 Years","10+ Years")))</f>
        <v>6-10 Years</v>
      </c>
      <c r="AO1426" t="str">
        <f>IF(HR_Data[[#This Row],[JobSatisfaction]]=1,"Low",IF(HR_Data[[#This Row],[JobSatisfaction]]=2,"Medium",IF(HR_Data[[#This Row],[JobSatisfaction]]=3,"High","Very High")))</f>
        <v>High</v>
      </c>
      <c r="AP1426" t="str">
        <f>IF(HR_Data[[#This Row],[WorkLifeBalance]]=1,"Bad",IF(HR_Data[[#This Row],[WorkLifeBalance]]=2,"Good",IF(HR_Data[[#This Row],[WorkLifeBalance]]=3,"Better","Best")))</f>
        <v>Better</v>
      </c>
    </row>
    <row r="1427" spans="1:42"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IF(HR_Data[[#This Row],[Attrition]]="Yes",1,0)</f>
        <v>0</v>
      </c>
      <c r="AK1427">
        <f>IF(HR_Data[[#This Row],[Attrition]]="No",1,0)</f>
        <v>1</v>
      </c>
      <c r="AL1427" t="str">
        <f>IF(HR_Data[[#This Row],[Age]]&lt;25,"Under 25",IF(HR_Data[[#This Row],[Age]]&lt;=34,"25-34",IF(HR_Data[[#This Row],[Age]]&lt;=44,"35-44",IF(HR_Data[[#This Row],[Age]]&lt;=54,"45-54","55+"))))</f>
        <v>25-34</v>
      </c>
      <c r="AM1427" t="str">
        <f>IF(HR_Data[[#This Row],[MonthlyIncome]]&lt;3000,"Low Salary",IF(HR_Data[[#This Row],[MonthlyIncome]]&lt;=7000,"Medium Salary","High Salary"))</f>
        <v>Medium Salary</v>
      </c>
      <c r="AN1427" t="str">
        <f>IF(HR_Data[[#This Row],[YearsAtCompany]]&lt;2,"0-1 Years",IF(HR_Data[[#This Row],[YearsAtCompany]]&lt;=5,"2-5 Years",IF(HR_Data[[#This Row],[YearsAtCompany]]&lt;=10,"6-10 Years","10+ Years")))</f>
        <v>6-10 Years</v>
      </c>
      <c r="AO1427" t="str">
        <f>IF(HR_Data[[#This Row],[JobSatisfaction]]=1,"Low",IF(HR_Data[[#This Row],[JobSatisfaction]]=2,"Medium",IF(HR_Data[[#This Row],[JobSatisfaction]]=3,"High","Very High")))</f>
        <v>Very High</v>
      </c>
      <c r="AP1427" t="str">
        <f>IF(HR_Data[[#This Row],[WorkLifeBalance]]=1,"Bad",IF(HR_Data[[#This Row],[WorkLifeBalance]]=2,"Good",IF(HR_Data[[#This Row],[WorkLifeBalance]]=3,"Better","Best")))</f>
        <v>Better</v>
      </c>
    </row>
    <row r="1428" spans="1:42"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IF(HR_Data[[#This Row],[Attrition]]="Yes",1,0)</f>
        <v>0</v>
      </c>
      <c r="AK1428">
        <f>IF(HR_Data[[#This Row],[Attrition]]="No",1,0)</f>
        <v>1</v>
      </c>
      <c r="AL1428" t="str">
        <f>IF(HR_Data[[#This Row],[Age]]&lt;25,"Under 25",IF(HR_Data[[#This Row],[Age]]&lt;=34,"25-34",IF(HR_Data[[#This Row],[Age]]&lt;=44,"35-44",IF(HR_Data[[#This Row],[Age]]&lt;=54,"45-54","55+"))))</f>
        <v>25-34</v>
      </c>
      <c r="AM1428" t="str">
        <f>IF(HR_Data[[#This Row],[MonthlyIncome]]&lt;3000,"Low Salary",IF(HR_Data[[#This Row],[MonthlyIncome]]&lt;=7000,"Medium Salary","High Salary"))</f>
        <v>Low Salary</v>
      </c>
      <c r="AN1428" t="str">
        <f>IF(HR_Data[[#This Row],[YearsAtCompany]]&lt;2,"0-1 Years",IF(HR_Data[[#This Row],[YearsAtCompany]]&lt;=5,"2-5 Years",IF(HR_Data[[#This Row],[YearsAtCompany]]&lt;=10,"6-10 Years","10+ Years")))</f>
        <v>6-10 Years</v>
      </c>
      <c r="AO1428" t="str">
        <f>IF(HR_Data[[#This Row],[JobSatisfaction]]=1,"Low",IF(HR_Data[[#This Row],[JobSatisfaction]]=2,"Medium",IF(HR_Data[[#This Row],[JobSatisfaction]]=3,"High","Very High")))</f>
        <v>Medium</v>
      </c>
      <c r="AP1428" t="str">
        <f>IF(HR_Data[[#This Row],[WorkLifeBalance]]=1,"Bad",IF(HR_Data[[#This Row],[WorkLifeBalance]]=2,"Good",IF(HR_Data[[#This Row],[WorkLifeBalance]]=3,"Better","Best")))</f>
        <v>Better</v>
      </c>
    </row>
    <row r="1429" spans="1:42"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IF(HR_Data[[#This Row],[Attrition]]="Yes",1,0)</f>
        <v>0</v>
      </c>
      <c r="AK1429">
        <f>IF(HR_Data[[#This Row],[Attrition]]="No",1,0)</f>
        <v>1</v>
      </c>
      <c r="AL1429" t="str">
        <f>IF(HR_Data[[#This Row],[Age]]&lt;25,"Under 25",IF(HR_Data[[#This Row],[Age]]&lt;=34,"25-34",IF(HR_Data[[#This Row],[Age]]&lt;=44,"35-44",IF(HR_Data[[#This Row],[Age]]&lt;=54,"45-54","55+"))))</f>
        <v>35-44</v>
      </c>
      <c r="AM1429" t="str">
        <f>IF(HR_Data[[#This Row],[MonthlyIncome]]&lt;3000,"Low Salary",IF(HR_Data[[#This Row],[MonthlyIncome]]&lt;=7000,"Medium Salary","High Salary"))</f>
        <v>Low Salary</v>
      </c>
      <c r="AN1429" t="str">
        <f>IF(HR_Data[[#This Row],[YearsAtCompany]]&lt;2,"0-1 Years",IF(HR_Data[[#This Row],[YearsAtCompany]]&lt;=5,"2-5 Years",IF(HR_Data[[#This Row],[YearsAtCompany]]&lt;=10,"6-10 Years","10+ Years")))</f>
        <v>0-1 Years</v>
      </c>
      <c r="AO1429" t="str">
        <f>IF(HR_Data[[#This Row],[JobSatisfaction]]=1,"Low",IF(HR_Data[[#This Row],[JobSatisfaction]]=2,"Medium",IF(HR_Data[[#This Row],[JobSatisfaction]]=3,"High","Very High")))</f>
        <v>Very High</v>
      </c>
      <c r="AP1429" t="str">
        <f>IF(HR_Data[[#This Row],[WorkLifeBalance]]=1,"Bad",IF(HR_Data[[#This Row],[WorkLifeBalance]]=2,"Good",IF(HR_Data[[#This Row],[WorkLifeBalance]]=3,"Better","Best")))</f>
        <v>Good</v>
      </c>
    </row>
    <row r="1430" spans="1:42"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IF(HR_Data[[#This Row],[Attrition]]="Yes",1,0)</f>
        <v>0</v>
      </c>
      <c r="AK1430">
        <f>IF(HR_Data[[#This Row],[Attrition]]="No",1,0)</f>
        <v>1</v>
      </c>
      <c r="AL1430" t="str">
        <f>IF(HR_Data[[#This Row],[Age]]&lt;25,"Under 25",IF(HR_Data[[#This Row],[Age]]&lt;=34,"25-34",IF(HR_Data[[#This Row],[Age]]&lt;=44,"35-44",IF(HR_Data[[#This Row],[Age]]&lt;=54,"45-54","55+"))))</f>
        <v>25-34</v>
      </c>
      <c r="AM1430" t="str">
        <f>IF(HR_Data[[#This Row],[MonthlyIncome]]&lt;3000,"Low Salary",IF(HR_Data[[#This Row],[MonthlyIncome]]&lt;=7000,"Medium Salary","High Salary"))</f>
        <v>Low Salary</v>
      </c>
      <c r="AN1430" t="str">
        <f>IF(HR_Data[[#This Row],[YearsAtCompany]]&lt;2,"0-1 Years",IF(HR_Data[[#This Row],[YearsAtCompany]]&lt;=5,"2-5 Years",IF(HR_Data[[#This Row],[YearsAtCompany]]&lt;=10,"6-10 Years","10+ Years")))</f>
        <v>2-5 Years</v>
      </c>
      <c r="AO1430" t="str">
        <f>IF(HR_Data[[#This Row],[JobSatisfaction]]=1,"Low",IF(HR_Data[[#This Row],[JobSatisfaction]]=2,"Medium",IF(HR_Data[[#This Row],[JobSatisfaction]]=3,"High","Very High")))</f>
        <v>Medium</v>
      </c>
      <c r="AP1430" t="str">
        <f>IF(HR_Data[[#This Row],[WorkLifeBalance]]=1,"Bad",IF(HR_Data[[#This Row],[WorkLifeBalance]]=2,"Good",IF(HR_Data[[#This Row],[WorkLifeBalance]]=3,"Better","Best")))</f>
        <v>Better</v>
      </c>
    </row>
    <row r="1431" spans="1:42"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IF(HR_Data[[#This Row],[Attrition]]="Yes",1,0)</f>
        <v>0</v>
      </c>
      <c r="AK1431">
        <f>IF(HR_Data[[#This Row],[Attrition]]="No",1,0)</f>
        <v>1</v>
      </c>
      <c r="AL1431" t="str">
        <f>IF(HR_Data[[#This Row],[Age]]&lt;25,"Under 25",IF(HR_Data[[#This Row],[Age]]&lt;=34,"25-34",IF(HR_Data[[#This Row],[Age]]&lt;=44,"35-44",IF(HR_Data[[#This Row],[Age]]&lt;=54,"45-54","55+"))))</f>
        <v>35-44</v>
      </c>
      <c r="AM1431" t="str">
        <f>IF(HR_Data[[#This Row],[MonthlyIncome]]&lt;3000,"Low Salary",IF(HR_Data[[#This Row],[MonthlyIncome]]&lt;=7000,"Medium Salary","High Salary"))</f>
        <v>Medium Salary</v>
      </c>
      <c r="AN1431" t="str">
        <f>IF(HR_Data[[#This Row],[YearsAtCompany]]&lt;2,"0-1 Years",IF(HR_Data[[#This Row],[YearsAtCompany]]&lt;=5,"2-5 Years",IF(HR_Data[[#This Row],[YearsAtCompany]]&lt;=10,"6-10 Years","10+ Years")))</f>
        <v>6-10 Years</v>
      </c>
      <c r="AO1431" t="str">
        <f>IF(HR_Data[[#This Row],[JobSatisfaction]]=1,"Low",IF(HR_Data[[#This Row],[JobSatisfaction]]=2,"Medium",IF(HR_Data[[#This Row],[JobSatisfaction]]=3,"High","Very High")))</f>
        <v>Very High</v>
      </c>
      <c r="AP1431" t="str">
        <f>IF(HR_Data[[#This Row],[WorkLifeBalance]]=1,"Bad",IF(HR_Data[[#This Row],[WorkLifeBalance]]=2,"Good",IF(HR_Data[[#This Row],[WorkLifeBalance]]=3,"Better","Best")))</f>
        <v>Better</v>
      </c>
    </row>
    <row r="1432" spans="1:42"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IF(HR_Data[[#This Row],[Attrition]]="Yes",1,0)</f>
        <v>0</v>
      </c>
      <c r="AK1432">
        <f>IF(HR_Data[[#This Row],[Attrition]]="No",1,0)</f>
        <v>1</v>
      </c>
      <c r="AL1432" t="str">
        <f>IF(HR_Data[[#This Row],[Age]]&lt;25,"Under 25",IF(HR_Data[[#This Row],[Age]]&lt;=34,"25-34",IF(HR_Data[[#This Row],[Age]]&lt;=44,"35-44",IF(HR_Data[[#This Row],[Age]]&lt;=54,"45-54","55+"))))</f>
        <v>35-44</v>
      </c>
      <c r="AM1432" t="str">
        <f>IF(HR_Data[[#This Row],[MonthlyIncome]]&lt;3000,"Low Salary",IF(HR_Data[[#This Row],[MonthlyIncome]]&lt;=7000,"Medium Salary","High Salary"))</f>
        <v>High Salary</v>
      </c>
      <c r="AN1432" t="str">
        <f>IF(HR_Data[[#This Row],[YearsAtCompany]]&lt;2,"0-1 Years",IF(HR_Data[[#This Row],[YearsAtCompany]]&lt;=5,"2-5 Years",IF(HR_Data[[#This Row],[YearsAtCompany]]&lt;=10,"6-10 Years","10+ Years")))</f>
        <v>10+ Years</v>
      </c>
      <c r="AO1432" t="str">
        <f>IF(HR_Data[[#This Row],[JobSatisfaction]]=1,"Low",IF(HR_Data[[#This Row],[JobSatisfaction]]=2,"Medium",IF(HR_Data[[#This Row],[JobSatisfaction]]=3,"High","Very High")))</f>
        <v>High</v>
      </c>
      <c r="AP1432" t="str">
        <f>IF(HR_Data[[#This Row],[WorkLifeBalance]]=1,"Bad",IF(HR_Data[[#This Row],[WorkLifeBalance]]=2,"Good",IF(HR_Data[[#This Row],[WorkLifeBalance]]=3,"Better","Best")))</f>
        <v>Better</v>
      </c>
    </row>
    <row r="1433" spans="1:42"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IF(HR_Data[[#This Row],[Attrition]]="Yes",1,0)</f>
        <v>0</v>
      </c>
      <c r="AK1433">
        <f>IF(HR_Data[[#This Row],[Attrition]]="No",1,0)</f>
        <v>1</v>
      </c>
      <c r="AL1433" t="str">
        <f>IF(HR_Data[[#This Row],[Age]]&lt;25,"Under 25",IF(HR_Data[[#This Row],[Age]]&lt;=34,"25-34",IF(HR_Data[[#This Row],[Age]]&lt;=44,"35-44",IF(HR_Data[[#This Row],[Age]]&lt;=54,"45-54","55+"))))</f>
        <v>25-34</v>
      </c>
      <c r="AM1433" t="str">
        <f>IF(HR_Data[[#This Row],[MonthlyIncome]]&lt;3000,"Low Salary",IF(HR_Data[[#This Row],[MonthlyIncome]]&lt;=7000,"Medium Salary","High Salary"))</f>
        <v>High Salary</v>
      </c>
      <c r="AN1433" t="str">
        <f>IF(HR_Data[[#This Row],[YearsAtCompany]]&lt;2,"0-1 Years",IF(HR_Data[[#This Row],[YearsAtCompany]]&lt;=5,"2-5 Years",IF(HR_Data[[#This Row],[YearsAtCompany]]&lt;=10,"6-10 Years","10+ Years")))</f>
        <v>10+ Years</v>
      </c>
      <c r="AO1433" t="str">
        <f>IF(HR_Data[[#This Row],[JobSatisfaction]]=1,"Low",IF(HR_Data[[#This Row],[JobSatisfaction]]=2,"Medium",IF(HR_Data[[#This Row],[JobSatisfaction]]=3,"High","Very High")))</f>
        <v>Very High</v>
      </c>
      <c r="AP1433" t="str">
        <f>IF(HR_Data[[#This Row],[WorkLifeBalance]]=1,"Bad",IF(HR_Data[[#This Row],[WorkLifeBalance]]=2,"Good",IF(HR_Data[[#This Row],[WorkLifeBalance]]=3,"Better","Best")))</f>
        <v>Better</v>
      </c>
    </row>
    <row r="1434" spans="1:42"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IF(HR_Data[[#This Row],[Attrition]]="Yes",1,0)</f>
        <v>0</v>
      </c>
      <c r="AK1434">
        <f>IF(HR_Data[[#This Row],[Attrition]]="No",1,0)</f>
        <v>1</v>
      </c>
      <c r="AL1434" t="str">
        <f>IF(HR_Data[[#This Row],[Age]]&lt;25,"Under 25",IF(HR_Data[[#This Row],[Age]]&lt;=34,"25-34",IF(HR_Data[[#This Row],[Age]]&lt;=44,"35-44",IF(HR_Data[[#This Row],[Age]]&lt;=54,"45-54","55+"))))</f>
        <v>35-44</v>
      </c>
      <c r="AM1434" t="str">
        <f>IF(HR_Data[[#This Row],[MonthlyIncome]]&lt;3000,"Low Salary",IF(HR_Data[[#This Row],[MonthlyIncome]]&lt;=7000,"Medium Salary","High Salary"))</f>
        <v>High Salary</v>
      </c>
      <c r="AN1434" t="str">
        <f>IF(HR_Data[[#This Row],[YearsAtCompany]]&lt;2,"0-1 Years",IF(HR_Data[[#This Row],[YearsAtCompany]]&lt;=5,"2-5 Years",IF(HR_Data[[#This Row],[YearsAtCompany]]&lt;=10,"6-10 Years","10+ Years")))</f>
        <v>10+ Years</v>
      </c>
      <c r="AO1434" t="str">
        <f>IF(HR_Data[[#This Row],[JobSatisfaction]]=1,"Low",IF(HR_Data[[#This Row],[JobSatisfaction]]=2,"Medium",IF(HR_Data[[#This Row],[JobSatisfaction]]=3,"High","Very High")))</f>
        <v>Very High</v>
      </c>
      <c r="AP1434" t="str">
        <f>IF(HR_Data[[#This Row],[WorkLifeBalance]]=1,"Bad",IF(HR_Data[[#This Row],[WorkLifeBalance]]=2,"Good",IF(HR_Data[[#This Row],[WorkLifeBalance]]=3,"Better","Best")))</f>
        <v>Better</v>
      </c>
    </row>
    <row r="1435" spans="1:42"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IF(HR_Data[[#This Row],[Attrition]]="Yes",1,0)</f>
        <v>0</v>
      </c>
      <c r="AK1435">
        <f>IF(HR_Data[[#This Row],[Attrition]]="No",1,0)</f>
        <v>1</v>
      </c>
      <c r="AL1435" t="str">
        <f>IF(HR_Data[[#This Row],[Age]]&lt;25,"Under 25",IF(HR_Data[[#This Row],[Age]]&lt;=34,"25-34",IF(HR_Data[[#This Row],[Age]]&lt;=44,"35-44",IF(HR_Data[[#This Row],[Age]]&lt;=54,"45-54","55+"))))</f>
        <v>25-34</v>
      </c>
      <c r="AM1435" t="str">
        <f>IF(HR_Data[[#This Row],[MonthlyIncome]]&lt;3000,"Low Salary",IF(HR_Data[[#This Row],[MonthlyIncome]]&lt;=7000,"Medium Salary","High Salary"))</f>
        <v>Medium Salary</v>
      </c>
      <c r="AN1435" t="str">
        <f>IF(HR_Data[[#This Row],[YearsAtCompany]]&lt;2,"0-1 Years",IF(HR_Data[[#This Row],[YearsAtCompany]]&lt;=5,"2-5 Years",IF(HR_Data[[#This Row],[YearsAtCompany]]&lt;=10,"6-10 Years","10+ Years")))</f>
        <v>2-5 Years</v>
      </c>
      <c r="AO1435" t="str">
        <f>IF(HR_Data[[#This Row],[JobSatisfaction]]=1,"Low",IF(HR_Data[[#This Row],[JobSatisfaction]]=2,"Medium",IF(HR_Data[[#This Row],[JobSatisfaction]]=3,"High","Very High")))</f>
        <v>High</v>
      </c>
      <c r="AP1435" t="str">
        <f>IF(HR_Data[[#This Row],[WorkLifeBalance]]=1,"Bad",IF(HR_Data[[#This Row],[WorkLifeBalance]]=2,"Good",IF(HR_Data[[#This Row],[WorkLifeBalance]]=3,"Better","Best")))</f>
        <v>Good</v>
      </c>
    </row>
    <row r="1436" spans="1:42"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IF(HR_Data[[#This Row],[Attrition]]="Yes",1,0)</f>
        <v>0</v>
      </c>
      <c r="AK1436">
        <f>IF(HR_Data[[#This Row],[Attrition]]="No",1,0)</f>
        <v>1</v>
      </c>
      <c r="AL1436" t="str">
        <f>IF(HR_Data[[#This Row],[Age]]&lt;25,"Under 25",IF(HR_Data[[#This Row],[Age]]&lt;=34,"25-34",IF(HR_Data[[#This Row],[Age]]&lt;=44,"35-44",IF(HR_Data[[#This Row],[Age]]&lt;=54,"45-54","55+"))))</f>
        <v>45-54</v>
      </c>
      <c r="AM1436" t="str">
        <f>IF(HR_Data[[#This Row],[MonthlyIncome]]&lt;3000,"Low Salary",IF(HR_Data[[#This Row],[MonthlyIncome]]&lt;=7000,"Medium Salary","High Salary"))</f>
        <v>Medium Salary</v>
      </c>
      <c r="AN1436" t="str">
        <f>IF(HR_Data[[#This Row],[YearsAtCompany]]&lt;2,"0-1 Years",IF(HR_Data[[#This Row],[YearsAtCompany]]&lt;=5,"2-5 Years",IF(HR_Data[[#This Row],[YearsAtCompany]]&lt;=10,"6-10 Years","10+ Years")))</f>
        <v>6-10 Years</v>
      </c>
      <c r="AO1436" t="str">
        <f>IF(HR_Data[[#This Row],[JobSatisfaction]]=1,"Low",IF(HR_Data[[#This Row],[JobSatisfaction]]=2,"Medium",IF(HR_Data[[#This Row],[JobSatisfaction]]=3,"High","Very High")))</f>
        <v>Very High</v>
      </c>
      <c r="AP1436" t="str">
        <f>IF(HR_Data[[#This Row],[WorkLifeBalance]]=1,"Bad",IF(HR_Data[[#This Row],[WorkLifeBalance]]=2,"Good",IF(HR_Data[[#This Row],[WorkLifeBalance]]=3,"Better","Best")))</f>
        <v>Good</v>
      </c>
    </row>
    <row r="1437" spans="1:42"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IF(HR_Data[[#This Row],[Attrition]]="Yes",1,0)</f>
        <v>0</v>
      </c>
      <c r="AK1437">
        <f>IF(HR_Data[[#This Row],[Attrition]]="No",1,0)</f>
        <v>1</v>
      </c>
      <c r="AL1437" t="str">
        <f>IF(HR_Data[[#This Row],[Age]]&lt;25,"Under 25",IF(HR_Data[[#This Row],[Age]]&lt;=34,"25-34",IF(HR_Data[[#This Row],[Age]]&lt;=44,"35-44",IF(HR_Data[[#This Row],[Age]]&lt;=54,"45-54","55+"))))</f>
        <v>35-44</v>
      </c>
      <c r="AM1437" t="str">
        <f>IF(HR_Data[[#This Row],[MonthlyIncome]]&lt;3000,"Low Salary",IF(HR_Data[[#This Row],[MonthlyIncome]]&lt;=7000,"Medium Salary","High Salary"))</f>
        <v>Low Salary</v>
      </c>
      <c r="AN1437" t="str">
        <f>IF(HR_Data[[#This Row],[YearsAtCompany]]&lt;2,"0-1 Years",IF(HR_Data[[#This Row],[YearsAtCompany]]&lt;=5,"2-5 Years",IF(HR_Data[[#This Row],[YearsAtCompany]]&lt;=10,"6-10 Years","10+ Years")))</f>
        <v>2-5 Years</v>
      </c>
      <c r="AO1437" t="str">
        <f>IF(HR_Data[[#This Row],[JobSatisfaction]]=1,"Low",IF(HR_Data[[#This Row],[JobSatisfaction]]=2,"Medium",IF(HR_Data[[#This Row],[JobSatisfaction]]=3,"High","Very High")))</f>
        <v>Very High</v>
      </c>
      <c r="AP1437" t="str">
        <f>IF(HR_Data[[#This Row],[WorkLifeBalance]]=1,"Bad",IF(HR_Data[[#This Row],[WorkLifeBalance]]=2,"Good",IF(HR_Data[[#This Row],[WorkLifeBalance]]=3,"Better","Best")))</f>
        <v>Better</v>
      </c>
    </row>
    <row r="1438" spans="1:42"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IF(HR_Data[[#This Row],[Attrition]]="Yes",1,0)</f>
        <v>0</v>
      </c>
      <c r="AK1438">
        <f>IF(HR_Data[[#This Row],[Attrition]]="No",1,0)</f>
        <v>1</v>
      </c>
      <c r="AL1438" t="str">
        <f>IF(HR_Data[[#This Row],[Age]]&lt;25,"Under 25",IF(HR_Data[[#This Row],[Age]]&lt;=34,"25-34",IF(HR_Data[[#This Row],[Age]]&lt;=44,"35-44",IF(HR_Data[[#This Row],[Age]]&lt;=54,"45-54","55+"))))</f>
        <v>Under 25</v>
      </c>
      <c r="AM1438" t="str">
        <f>IF(HR_Data[[#This Row],[MonthlyIncome]]&lt;3000,"Low Salary",IF(HR_Data[[#This Row],[MonthlyIncome]]&lt;=7000,"Medium Salary","High Salary"))</f>
        <v>Low Salary</v>
      </c>
      <c r="AN1438" t="str">
        <f>IF(HR_Data[[#This Row],[YearsAtCompany]]&lt;2,"0-1 Years",IF(HR_Data[[#This Row],[YearsAtCompany]]&lt;=5,"2-5 Years",IF(HR_Data[[#This Row],[YearsAtCompany]]&lt;=10,"6-10 Years","10+ Years")))</f>
        <v>2-5 Years</v>
      </c>
      <c r="AO1438" t="str">
        <f>IF(HR_Data[[#This Row],[JobSatisfaction]]=1,"Low",IF(HR_Data[[#This Row],[JobSatisfaction]]=2,"Medium",IF(HR_Data[[#This Row],[JobSatisfaction]]=3,"High","Very High")))</f>
        <v>Low</v>
      </c>
      <c r="AP1438" t="str">
        <f>IF(HR_Data[[#This Row],[WorkLifeBalance]]=1,"Bad",IF(HR_Data[[#This Row],[WorkLifeBalance]]=2,"Good",IF(HR_Data[[#This Row],[WorkLifeBalance]]=3,"Better","Best")))</f>
        <v>Better</v>
      </c>
    </row>
    <row r="1439" spans="1:42"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IF(HR_Data[[#This Row],[Attrition]]="Yes",1,0)</f>
        <v>0</v>
      </c>
      <c r="AK1439">
        <f>IF(HR_Data[[#This Row],[Attrition]]="No",1,0)</f>
        <v>1</v>
      </c>
      <c r="AL1439" t="str">
        <f>IF(HR_Data[[#This Row],[Age]]&lt;25,"Under 25",IF(HR_Data[[#This Row],[Age]]&lt;=34,"25-34",IF(HR_Data[[#This Row],[Age]]&lt;=44,"35-44",IF(HR_Data[[#This Row],[Age]]&lt;=54,"45-54","55+"))))</f>
        <v>35-44</v>
      </c>
      <c r="AM1439" t="str">
        <f>IF(HR_Data[[#This Row],[MonthlyIncome]]&lt;3000,"Low Salary",IF(HR_Data[[#This Row],[MonthlyIncome]]&lt;=7000,"Medium Salary","High Salary"))</f>
        <v>High Salary</v>
      </c>
      <c r="AN1439" t="str">
        <f>IF(HR_Data[[#This Row],[YearsAtCompany]]&lt;2,"0-1 Years",IF(HR_Data[[#This Row],[YearsAtCompany]]&lt;=5,"2-5 Years",IF(HR_Data[[#This Row],[YearsAtCompany]]&lt;=10,"6-10 Years","10+ Years")))</f>
        <v>6-10 Years</v>
      </c>
      <c r="AO1439" t="str">
        <f>IF(HR_Data[[#This Row],[JobSatisfaction]]=1,"Low",IF(HR_Data[[#This Row],[JobSatisfaction]]=2,"Medium",IF(HR_Data[[#This Row],[JobSatisfaction]]=3,"High","Very High")))</f>
        <v>Very High</v>
      </c>
      <c r="AP1439" t="str">
        <f>IF(HR_Data[[#This Row],[WorkLifeBalance]]=1,"Bad",IF(HR_Data[[#This Row],[WorkLifeBalance]]=2,"Good",IF(HR_Data[[#This Row],[WorkLifeBalance]]=3,"Better","Best")))</f>
        <v>Good</v>
      </c>
    </row>
    <row r="1440" spans="1:42"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IF(HR_Data[[#This Row],[Attrition]]="Yes",1,0)</f>
        <v>1</v>
      </c>
      <c r="AK1440">
        <f>IF(HR_Data[[#This Row],[Attrition]]="No",1,0)</f>
        <v>0</v>
      </c>
      <c r="AL1440" t="str">
        <f>IF(HR_Data[[#This Row],[Age]]&lt;25,"Under 25",IF(HR_Data[[#This Row],[Age]]&lt;=34,"25-34",IF(HR_Data[[#This Row],[Age]]&lt;=44,"35-44",IF(HR_Data[[#This Row],[Age]]&lt;=54,"45-54","55+"))))</f>
        <v>Under 25</v>
      </c>
      <c r="AM1440" t="str">
        <f>IF(HR_Data[[#This Row],[MonthlyIncome]]&lt;3000,"Low Salary",IF(HR_Data[[#This Row],[MonthlyIncome]]&lt;=7000,"Medium Salary","High Salary"))</f>
        <v>Low Salary</v>
      </c>
      <c r="AN1440" t="str">
        <f>IF(HR_Data[[#This Row],[YearsAtCompany]]&lt;2,"0-1 Years",IF(HR_Data[[#This Row],[YearsAtCompany]]&lt;=5,"2-5 Years",IF(HR_Data[[#This Row],[YearsAtCompany]]&lt;=10,"6-10 Years","10+ Years")))</f>
        <v>0-1 Years</v>
      </c>
      <c r="AO1440" t="str">
        <f>IF(HR_Data[[#This Row],[JobSatisfaction]]=1,"Low",IF(HR_Data[[#This Row],[JobSatisfaction]]=2,"Medium",IF(HR_Data[[#This Row],[JobSatisfaction]]=3,"High","Very High")))</f>
        <v>Low</v>
      </c>
      <c r="AP1440" t="str">
        <f>IF(HR_Data[[#This Row],[WorkLifeBalance]]=1,"Bad",IF(HR_Data[[#This Row],[WorkLifeBalance]]=2,"Good",IF(HR_Data[[#This Row],[WorkLifeBalance]]=3,"Better","Best")))</f>
        <v>Good</v>
      </c>
    </row>
    <row r="1441" spans="1:42"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IF(HR_Data[[#This Row],[Attrition]]="Yes",1,0)</f>
        <v>0</v>
      </c>
      <c r="AK1441">
        <f>IF(HR_Data[[#This Row],[Attrition]]="No",1,0)</f>
        <v>1</v>
      </c>
      <c r="AL1441" t="str">
        <f>IF(HR_Data[[#This Row],[Age]]&lt;25,"Under 25",IF(HR_Data[[#This Row],[Age]]&lt;=34,"25-34",IF(HR_Data[[#This Row],[Age]]&lt;=44,"35-44",IF(HR_Data[[#This Row],[Age]]&lt;=54,"45-54","55+"))))</f>
        <v>35-44</v>
      </c>
      <c r="AM1441" t="str">
        <f>IF(HR_Data[[#This Row],[MonthlyIncome]]&lt;3000,"Low Salary",IF(HR_Data[[#This Row],[MonthlyIncome]]&lt;=7000,"Medium Salary","High Salary"))</f>
        <v>High Salary</v>
      </c>
      <c r="AN1441" t="str">
        <f>IF(HR_Data[[#This Row],[YearsAtCompany]]&lt;2,"0-1 Years",IF(HR_Data[[#This Row],[YearsAtCompany]]&lt;=5,"2-5 Years",IF(HR_Data[[#This Row],[YearsAtCompany]]&lt;=10,"6-10 Years","10+ Years")))</f>
        <v>6-10 Years</v>
      </c>
      <c r="AO1441" t="str">
        <f>IF(HR_Data[[#This Row],[JobSatisfaction]]=1,"Low",IF(HR_Data[[#This Row],[JobSatisfaction]]=2,"Medium",IF(HR_Data[[#This Row],[JobSatisfaction]]=3,"High","Very High")))</f>
        <v>Very High</v>
      </c>
      <c r="AP1441" t="str">
        <f>IF(HR_Data[[#This Row],[WorkLifeBalance]]=1,"Bad",IF(HR_Data[[#This Row],[WorkLifeBalance]]=2,"Good",IF(HR_Data[[#This Row],[WorkLifeBalance]]=3,"Better","Best")))</f>
        <v>Better</v>
      </c>
    </row>
    <row r="1442" spans="1:42"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IF(HR_Data[[#This Row],[Attrition]]="Yes",1,0)</f>
        <v>0</v>
      </c>
      <c r="AK1442">
        <f>IF(HR_Data[[#This Row],[Attrition]]="No",1,0)</f>
        <v>1</v>
      </c>
      <c r="AL1442" t="str">
        <f>IF(HR_Data[[#This Row],[Age]]&lt;25,"Under 25",IF(HR_Data[[#This Row],[Age]]&lt;=34,"25-34",IF(HR_Data[[#This Row],[Age]]&lt;=44,"35-44",IF(HR_Data[[#This Row],[Age]]&lt;=54,"45-54","55+"))))</f>
        <v>35-44</v>
      </c>
      <c r="AM1442" t="str">
        <f>IF(HR_Data[[#This Row],[MonthlyIncome]]&lt;3000,"Low Salary",IF(HR_Data[[#This Row],[MonthlyIncome]]&lt;=7000,"Medium Salary","High Salary"))</f>
        <v>Medium Salary</v>
      </c>
      <c r="AN1442" t="str">
        <f>IF(HR_Data[[#This Row],[YearsAtCompany]]&lt;2,"0-1 Years",IF(HR_Data[[#This Row],[YearsAtCompany]]&lt;=5,"2-5 Years",IF(HR_Data[[#This Row],[YearsAtCompany]]&lt;=10,"6-10 Years","10+ Years")))</f>
        <v>2-5 Years</v>
      </c>
      <c r="AO1442" t="str">
        <f>IF(HR_Data[[#This Row],[JobSatisfaction]]=1,"Low",IF(HR_Data[[#This Row],[JobSatisfaction]]=2,"Medium",IF(HR_Data[[#This Row],[JobSatisfaction]]=3,"High","Very High")))</f>
        <v>Medium</v>
      </c>
      <c r="AP1442" t="str">
        <f>IF(HR_Data[[#This Row],[WorkLifeBalance]]=1,"Bad",IF(HR_Data[[#This Row],[WorkLifeBalance]]=2,"Good",IF(HR_Data[[#This Row],[WorkLifeBalance]]=3,"Better","Best")))</f>
        <v>Better</v>
      </c>
    </row>
    <row r="1443" spans="1:42"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IF(HR_Data[[#This Row],[Attrition]]="Yes",1,0)</f>
        <v>0</v>
      </c>
      <c r="AK1443">
        <f>IF(HR_Data[[#This Row],[Attrition]]="No",1,0)</f>
        <v>1</v>
      </c>
      <c r="AL1443" t="str">
        <f>IF(HR_Data[[#This Row],[Age]]&lt;25,"Under 25",IF(HR_Data[[#This Row],[Age]]&lt;=34,"25-34",IF(HR_Data[[#This Row],[Age]]&lt;=44,"35-44",IF(HR_Data[[#This Row],[Age]]&lt;=54,"45-54","55+"))))</f>
        <v>55+</v>
      </c>
      <c r="AM1443" t="str">
        <f>IF(HR_Data[[#This Row],[MonthlyIncome]]&lt;3000,"Low Salary",IF(HR_Data[[#This Row],[MonthlyIncome]]&lt;=7000,"Medium Salary","High Salary"))</f>
        <v>Medium Salary</v>
      </c>
      <c r="AN1443" t="str">
        <f>IF(HR_Data[[#This Row],[YearsAtCompany]]&lt;2,"0-1 Years",IF(HR_Data[[#This Row],[YearsAtCompany]]&lt;=5,"2-5 Years",IF(HR_Data[[#This Row],[YearsAtCompany]]&lt;=10,"6-10 Years","10+ Years")))</f>
        <v>10+ Years</v>
      </c>
      <c r="AO1443" t="str">
        <f>IF(HR_Data[[#This Row],[JobSatisfaction]]=1,"Low",IF(HR_Data[[#This Row],[JobSatisfaction]]=2,"Medium",IF(HR_Data[[#This Row],[JobSatisfaction]]=3,"High","Very High")))</f>
        <v>High</v>
      </c>
      <c r="AP1443" t="str">
        <f>IF(HR_Data[[#This Row],[WorkLifeBalance]]=1,"Bad",IF(HR_Data[[#This Row],[WorkLifeBalance]]=2,"Good",IF(HR_Data[[#This Row],[WorkLifeBalance]]=3,"Better","Best")))</f>
        <v>Good</v>
      </c>
    </row>
    <row r="1444" spans="1:42"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IF(HR_Data[[#This Row],[Attrition]]="Yes",1,0)</f>
        <v>1</v>
      </c>
      <c r="AK1444">
        <f>IF(HR_Data[[#This Row],[Attrition]]="No",1,0)</f>
        <v>0</v>
      </c>
      <c r="AL1444" t="str">
        <f>IF(HR_Data[[#This Row],[Age]]&lt;25,"Under 25",IF(HR_Data[[#This Row],[Age]]&lt;=34,"25-34",IF(HR_Data[[#This Row],[Age]]&lt;=44,"35-44",IF(HR_Data[[#This Row],[Age]]&lt;=54,"45-54","55+"))))</f>
        <v>25-34</v>
      </c>
      <c r="AM1444" t="str">
        <f>IF(HR_Data[[#This Row],[MonthlyIncome]]&lt;3000,"Low Salary",IF(HR_Data[[#This Row],[MonthlyIncome]]&lt;=7000,"Medium Salary","High Salary"))</f>
        <v>Medium Salary</v>
      </c>
      <c r="AN1444" t="str">
        <f>IF(HR_Data[[#This Row],[YearsAtCompany]]&lt;2,"0-1 Years",IF(HR_Data[[#This Row],[YearsAtCompany]]&lt;=5,"2-5 Years",IF(HR_Data[[#This Row],[YearsAtCompany]]&lt;=10,"6-10 Years","10+ Years")))</f>
        <v>2-5 Years</v>
      </c>
      <c r="AO1444" t="str">
        <f>IF(HR_Data[[#This Row],[JobSatisfaction]]=1,"Low",IF(HR_Data[[#This Row],[JobSatisfaction]]=2,"Medium",IF(HR_Data[[#This Row],[JobSatisfaction]]=3,"High","Very High")))</f>
        <v>Very High</v>
      </c>
      <c r="AP1444" t="str">
        <f>IF(HR_Data[[#This Row],[WorkLifeBalance]]=1,"Bad",IF(HR_Data[[#This Row],[WorkLifeBalance]]=2,"Good",IF(HR_Data[[#This Row],[WorkLifeBalance]]=3,"Better","Best")))</f>
        <v>Best</v>
      </c>
    </row>
    <row r="1445" spans="1:42"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IF(HR_Data[[#This Row],[Attrition]]="Yes",1,0)</f>
        <v>0</v>
      </c>
      <c r="AK1445">
        <f>IF(HR_Data[[#This Row],[Attrition]]="No",1,0)</f>
        <v>1</v>
      </c>
      <c r="AL1445" t="str">
        <f>IF(HR_Data[[#This Row],[Age]]&lt;25,"Under 25",IF(HR_Data[[#This Row],[Age]]&lt;=34,"25-34",IF(HR_Data[[#This Row],[Age]]&lt;=44,"35-44",IF(HR_Data[[#This Row],[Age]]&lt;=54,"45-54","55+"))))</f>
        <v>35-44</v>
      </c>
      <c r="AM1445" t="str">
        <f>IF(HR_Data[[#This Row],[MonthlyIncome]]&lt;3000,"Low Salary",IF(HR_Data[[#This Row],[MonthlyIncome]]&lt;=7000,"Medium Salary","High Salary"))</f>
        <v>High Salary</v>
      </c>
      <c r="AN1445" t="str">
        <f>IF(HR_Data[[#This Row],[YearsAtCompany]]&lt;2,"0-1 Years",IF(HR_Data[[#This Row],[YearsAtCompany]]&lt;=5,"2-5 Years",IF(HR_Data[[#This Row],[YearsAtCompany]]&lt;=10,"6-10 Years","10+ Years")))</f>
        <v>10+ Years</v>
      </c>
      <c r="AO1445" t="str">
        <f>IF(HR_Data[[#This Row],[JobSatisfaction]]=1,"Low",IF(HR_Data[[#This Row],[JobSatisfaction]]=2,"Medium",IF(HR_Data[[#This Row],[JobSatisfaction]]=3,"High","Very High")))</f>
        <v>High</v>
      </c>
      <c r="AP1445" t="str">
        <f>IF(HR_Data[[#This Row],[WorkLifeBalance]]=1,"Bad",IF(HR_Data[[#This Row],[WorkLifeBalance]]=2,"Good",IF(HR_Data[[#This Row],[WorkLifeBalance]]=3,"Better","Best")))</f>
        <v>Good</v>
      </c>
    </row>
    <row r="1446" spans="1:42"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IF(HR_Data[[#This Row],[Attrition]]="Yes",1,0)</f>
        <v>1</v>
      </c>
      <c r="AK1446">
        <f>IF(HR_Data[[#This Row],[Attrition]]="No",1,0)</f>
        <v>0</v>
      </c>
      <c r="AL1446" t="str">
        <f>IF(HR_Data[[#This Row],[Age]]&lt;25,"Under 25",IF(HR_Data[[#This Row],[Age]]&lt;=34,"25-34",IF(HR_Data[[#This Row],[Age]]&lt;=44,"35-44",IF(HR_Data[[#This Row],[Age]]&lt;=54,"45-54","55+"))))</f>
        <v>55+</v>
      </c>
      <c r="AM1446" t="str">
        <f>IF(HR_Data[[#This Row],[MonthlyIncome]]&lt;3000,"Low Salary",IF(HR_Data[[#This Row],[MonthlyIncome]]&lt;=7000,"Medium Salary","High Salary"))</f>
        <v>Low Salary</v>
      </c>
      <c r="AN1446" t="str">
        <f>IF(HR_Data[[#This Row],[YearsAtCompany]]&lt;2,"0-1 Years",IF(HR_Data[[#This Row],[YearsAtCompany]]&lt;=5,"2-5 Years",IF(HR_Data[[#This Row],[YearsAtCompany]]&lt;=10,"6-10 Years","10+ Years")))</f>
        <v>6-10 Years</v>
      </c>
      <c r="AO1446" t="str">
        <f>IF(HR_Data[[#This Row],[JobSatisfaction]]=1,"Low",IF(HR_Data[[#This Row],[JobSatisfaction]]=2,"Medium",IF(HR_Data[[#This Row],[JobSatisfaction]]=3,"High","Very High")))</f>
        <v>High</v>
      </c>
      <c r="AP1446" t="str">
        <f>IF(HR_Data[[#This Row],[WorkLifeBalance]]=1,"Bad",IF(HR_Data[[#This Row],[WorkLifeBalance]]=2,"Good",IF(HR_Data[[#This Row],[WorkLifeBalance]]=3,"Better","Best")))</f>
        <v>Bad</v>
      </c>
    </row>
    <row r="1447" spans="1:42"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IF(HR_Data[[#This Row],[Attrition]]="Yes",1,0)</f>
        <v>0</v>
      </c>
      <c r="AK1447">
        <f>IF(HR_Data[[#This Row],[Attrition]]="No",1,0)</f>
        <v>1</v>
      </c>
      <c r="AL1447" t="str">
        <f>IF(HR_Data[[#This Row],[Age]]&lt;25,"Under 25",IF(HR_Data[[#This Row],[Age]]&lt;=34,"25-34",IF(HR_Data[[#This Row],[Age]]&lt;=44,"35-44",IF(HR_Data[[#This Row],[Age]]&lt;=54,"45-54","55+"))))</f>
        <v>35-44</v>
      </c>
      <c r="AM1447" t="str">
        <f>IF(HR_Data[[#This Row],[MonthlyIncome]]&lt;3000,"Low Salary",IF(HR_Data[[#This Row],[MonthlyIncome]]&lt;=7000,"Medium Salary","High Salary"))</f>
        <v>High Salary</v>
      </c>
      <c r="AN1447" t="str">
        <f>IF(HR_Data[[#This Row],[YearsAtCompany]]&lt;2,"0-1 Years",IF(HR_Data[[#This Row],[YearsAtCompany]]&lt;=5,"2-5 Years",IF(HR_Data[[#This Row],[YearsAtCompany]]&lt;=10,"6-10 Years","10+ Years")))</f>
        <v>10+ Years</v>
      </c>
      <c r="AO1447" t="str">
        <f>IF(HR_Data[[#This Row],[JobSatisfaction]]=1,"Low",IF(HR_Data[[#This Row],[JobSatisfaction]]=2,"Medium",IF(HR_Data[[#This Row],[JobSatisfaction]]=3,"High","Very High")))</f>
        <v>Medium</v>
      </c>
      <c r="AP1447" t="str">
        <f>IF(HR_Data[[#This Row],[WorkLifeBalance]]=1,"Bad",IF(HR_Data[[#This Row],[WorkLifeBalance]]=2,"Good",IF(HR_Data[[#This Row],[WorkLifeBalance]]=3,"Better","Best")))</f>
        <v>Better</v>
      </c>
    </row>
    <row r="1448" spans="1:42"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IF(HR_Data[[#This Row],[Attrition]]="Yes",1,0)</f>
        <v>0</v>
      </c>
      <c r="AK1448">
        <f>IF(HR_Data[[#This Row],[Attrition]]="No",1,0)</f>
        <v>1</v>
      </c>
      <c r="AL1448" t="str">
        <f>IF(HR_Data[[#This Row],[Age]]&lt;25,"Under 25",IF(HR_Data[[#This Row],[Age]]&lt;=34,"25-34",IF(HR_Data[[#This Row],[Age]]&lt;=44,"35-44",IF(HR_Data[[#This Row],[Age]]&lt;=54,"45-54","55+"))))</f>
        <v>25-34</v>
      </c>
      <c r="AM1448" t="str">
        <f>IF(HR_Data[[#This Row],[MonthlyIncome]]&lt;3000,"Low Salary",IF(HR_Data[[#This Row],[MonthlyIncome]]&lt;=7000,"Medium Salary","High Salary"))</f>
        <v>Medium Salary</v>
      </c>
      <c r="AN1448" t="str">
        <f>IF(HR_Data[[#This Row],[YearsAtCompany]]&lt;2,"0-1 Years",IF(HR_Data[[#This Row],[YearsAtCompany]]&lt;=5,"2-5 Years",IF(HR_Data[[#This Row],[YearsAtCompany]]&lt;=10,"6-10 Years","10+ Years")))</f>
        <v>6-10 Years</v>
      </c>
      <c r="AO1448" t="str">
        <f>IF(HR_Data[[#This Row],[JobSatisfaction]]=1,"Low",IF(HR_Data[[#This Row],[JobSatisfaction]]=2,"Medium",IF(HR_Data[[#This Row],[JobSatisfaction]]=3,"High","Very High")))</f>
        <v>High</v>
      </c>
      <c r="AP1448" t="str">
        <f>IF(HR_Data[[#This Row],[WorkLifeBalance]]=1,"Bad",IF(HR_Data[[#This Row],[WorkLifeBalance]]=2,"Good",IF(HR_Data[[#This Row],[WorkLifeBalance]]=3,"Better","Best")))</f>
        <v>Better</v>
      </c>
    </row>
    <row r="1449" spans="1:42"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IF(HR_Data[[#This Row],[Attrition]]="Yes",1,0)</f>
        <v>0</v>
      </c>
      <c r="AK1449">
        <f>IF(HR_Data[[#This Row],[Attrition]]="No",1,0)</f>
        <v>1</v>
      </c>
      <c r="AL1449" t="str">
        <f>IF(HR_Data[[#This Row],[Age]]&lt;25,"Under 25",IF(HR_Data[[#This Row],[Age]]&lt;=34,"25-34",IF(HR_Data[[#This Row],[Age]]&lt;=44,"35-44",IF(HR_Data[[#This Row],[Age]]&lt;=54,"45-54","55+"))))</f>
        <v>35-44</v>
      </c>
      <c r="AM1449" t="str">
        <f>IF(HR_Data[[#This Row],[MonthlyIncome]]&lt;3000,"Low Salary",IF(HR_Data[[#This Row],[MonthlyIncome]]&lt;=7000,"Medium Salary","High Salary"))</f>
        <v>Medium Salary</v>
      </c>
      <c r="AN1449" t="str">
        <f>IF(HR_Data[[#This Row],[YearsAtCompany]]&lt;2,"0-1 Years",IF(HR_Data[[#This Row],[YearsAtCompany]]&lt;=5,"2-5 Years",IF(HR_Data[[#This Row],[YearsAtCompany]]&lt;=10,"6-10 Years","10+ Years")))</f>
        <v>10+ Years</v>
      </c>
      <c r="AO1449" t="str">
        <f>IF(HR_Data[[#This Row],[JobSatisfaction]]=1,"Low",IF(HR_Data[[#This Row],[JobSatisfaction]]=2,"Medium",IF(HR_Data[[#This Row],[JobSatisfaction]]=3,"High","Very High")))</f>
        <v>Very High</v>
      </c>
      <c r="AP1449" t="str">
        <f>IF(HR_Data[[#This Row],[WorkLifeBalance]]=1,"Bad",IF(HR_Data[[#This Row],[WorkLifeBalance]]=2,"Good",IF(HR_Data[[#This Row],[WorkLifeBalance]]=3,"Better","Best")))</f>
        <v>Good</v>
      </c>
    </row>
    <row r="1450" spans="1:42"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IF(HR_Data[[#This Row],[Attrition]]="Yes",1,0)</f>
        <v>0</v>
      </c>
      <c r="AK1450">
        <f>IF(HR_Data[[#This Row],[Attrition]]="No",1,0)</f>
        <v>1</v>
      </c>
      <c r="AL1450" t="str">
        <f>IF(HR_Data[[#This Row],[Age]]&lt;25,"Under 25",IF(HR_Data[[#This Row],[Age]]&lt;=34,"25-34",IF(HR_Data[[#This Row],[Age]]&lt;=44,"35-44",IF(HR_Data[[#This Row],[Age]]&lt;=54,"45-54","55+"))))</f>
        <v>35-44</v>
      </c>
      <c r="AM1450" t="str">
        <f>IF(HR_Data[[#This Row],[MonthlyIncome]]&lt;3000,"Low Salary",IF(HR_Data[[#This Row],[MonthlyIncome]]&lt;=7000,"Medium Salary","High Salary"))</f>
        <v>High Salary</v>
      </c>
      <c r="AN1450" t="str">
        <f>IF(HR_Data[[#This Row],[YearsAtCompany]]&lt;2,"0-1 Years",IF(HR_Data[[#This Row],[YearsAtCompany]]&lt;=5,"2-5 Years",IF(HR_Data[[#This Row],[YearsAtCompany]]&lt;=10,"6-10 Years","10+ Years")))</f>
        <v>2-5 Years</v>
      </c>
      <c r="AO1450" t="str">
        <f>IF(HR_Data[[#This Row],[JobSatisfaction]]=1,"Low",IF(HR_Data[[#This Row],[JobSatisfaction]]=2,"Medium",IF(HR_Data[[#This Row],[JobSatisfaction]]=3,"High","Very High")))</f>
        <v>Medium</v>
      </c>
      <c r="AP1450" t="str">
        <f>IF(HR_Data[[#This Row],[WorkLifeBalance]]=1,"Bad",IF(HR_Data[[#This Row],[WorkLifeBalance]]=2,"Good",IF(HR_Data[[#This Row],[WorkLifeBalance]]=3,"Better","Best")))</f>
        <v>Better</v>
      </c>
    </row>
    <row r="1451" spans="1:42"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IF(HR_Data[[#This Row],[Attrition]]="Yes",1,0)</f>
        <v>0</v>
      </c>
      <c r="AK1451">
        <f>IF(HR_Data[[#This Row],[Attrition]]="No",1,0)</f>
        <v>1</v>
      </c>
      <c r="AL1451" t="str">
        <f>IF(HR_Data[[#This Row],[Age]]&lt;25,"Under 25",IF(HR_Data[[#This Row],[Age]]&lt;=34,"25-34",IF(HR_Data[[#This Row],[Age]]&lt;=44,"35-44",IF(HR_Data[[#This Row],[Age]]&lt;=54,"45-54","55+"))))</f>
        <v>25-34</v>
      </c>
      <c r="AM1451" t="str">
        <f>IF(HR_Data[[#This Row],[MonthlyIncome]]&lt;3000,"Low Salary",IF(HR_Data[[#This Row],[MonthlyIncome]]&lt;=7000,"Medium Salary","High Salary"))</f>
        <v>Low Salary</v>
      </c>
      <c r="AN1451" t="str">
        <f>IF(HR_Data[[#This Row],[YearsAtCompany]]&lt;2,"0-1 Years",IF(HR_Data[[#This Row],[YearsAtCompany]]&lt;=5,"2-5 Years",IF(HR_Data[[#This Row],[YearsAtCompany]]&lt;=10,"6-10 Years","10+ Years")))</f>
        <v>2-5 Years</v>
      </c>
      <c r="AO1451" t="str">
        <f>IF(HR_Data[[#This Row],[JobSatisfaction]]=1,"Low",IF(HR_Data[[#This Row],[JobSatisfaction]]=2,"Medium",IF(HR_Data[[#This Row],[JobSatisfaction]]=3,"High","Very High")))</f>
        <v>Low</v>
      </c>
      <c r="AP1451" t="str">
        <f>IF(HR_Data[[#This Row],[WorkLifeBalance]]=1,"Bad",IF(HR_Data[[#This Row],[WorkLifeBalance]]=2,"Good",IF(HR_Data[[#This Row],[WorkLifeBalance]]=3,"Better","Best")))</f>
        <v>Better</v>
      </c>
    </row>
    <row r="1452" spans="1:42"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IF(HR_Data[[#This Row],[Attrition]]="Yes",1,0)</f>
        <v>0</v>
      </c>
      <c r="AK1452">
        <f>IF(HR_Data[[#This Row],[Attrition]]="No",1,0)</f>
        <v>1</v>
      </c>
      <c r="AL1452" t="str">
        <f>IF(HR_Data[[#This Row],[Age]]&lt;25,"Under 25",IF(HR_Data[[#This Row],[Age]]&lt;=34,"25-34",IF(HR_Data[[#This Row],[Age]]&lt;=44,"35-44",IF(HR_Data[[#This Row],[Age]]&lt;=54,"45-54","55+"))))</f>
        <v>35-44</v>
      </c>
      <c r="AM1452" t="str">
        <f>IF(HR_Data[[#This Row],[MonthlyIncome]]&lt;3000,"Low Salary",IF(HR_Data[[#This Row],[MonthlyIncome]]&lt;=7000,"Medium Salary","High Salary"))</f>
        <v>High Salary</v>
      </c>
      <c r="AN1452" t="str">
        <f>IF(HR_Data[[#This Row],[YearsAtCompany]]&lt;2,"0-1 Years",IF(HR_Data[[#This Row],[YearsAtCompany]]&lt;=5,"2-5 Years",IF(HR_Data[[#This Row],[YearsAtCompany]]&lt;=10,"6-10 Years","10+ Years")))</f>
        <v>6-10 Years</v>
      </c>
      <c r="AO1452" t="str">
        <f>IF(HR_Data[[#This Row],[JobSatisfaction]]=1,"Low",IF(HR_Data[[#This Row],[JobSatisfaction]]=2,"Medium",IF(HR_Data[[#This Row],[JobSatisfaction]]=3,"High","Very High")))</f>
        <v>Very High</v>
      </c>
      <c r="AP1452" t="str">
        <f>IF(HR_Data[[#This Row],[WorkLifeBalance]]=1,"Bad",IF(HR_Data[[#This Row],[WorkLifeBalance]]=2,"Good",IF(HR_Data[[#This Row],[WorkLifeBalance]]=3,"Better","Best")))</f>
        <v>Better</v>
      </c>
    </row>
    <row r="1453" spans="1:42"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IF(HR_Data[[#This Row],[Attrition]]="Yes",1,0)</f>
        <v>0</v>
      </c>
      <c r="AK1453">
        <f>IF(HR_Data[[#This Row],[Attrition]]="No",1,0)</f>
        <v>1</v>
      </c>
      <c r="AL1453" t="str">
        <f>IF(HR_Data[[#This Row],[Age]]&lt;25,"Under 25",IF(HR_Data[[#This Row],[Age]]&lt;=34,"25-34",IF(HR_Data[[#This Row],[Age]]&lt;=44,"35-44",IF(HR_Data[[#This Row],[Age]]&lt;=54,"45-54","55+"))))</f>
        <v>35-44</v>
      </c>
      <c r="AM1453" t="str">
        <f>IF(HR_Data[[#This Row],[MonthlyIncome]]&lt;3000,"Low Salary",IF(HR_Data[[#This Row],[MonthlyIncome]]&lt;=7000,"Medium Salary","High Salary"))</f>
        <v>Medium Salary</v>
      </c>
      <c r="AN1453" t="str">
        <f>IF(HR_Data[[#This Row],[YearsAtCompany]]&lt;2,"0-1 Years",IF(HR_Data[[#This Row],[YearsAtCompany]]&lt;=5,"2-5 Years",IF(HR_Data[[#This Row],[YearsAtCompany]]&lt;=10,"6-10 Years","10+ Years")))</f>
        <v>6-10 Years</v>
      </c>
      <c r="AO1453" t="str">
        <f>IF(HR_Data[[#This Row],[JobSatisfaction]]=1,"Low",IF(HR_Data[[#This Row],[JobSatisfaction]]=2,"Medium",IF(HR_Data[[#This Row],[JobSatisfaction]]=3,"High","Very High")))</f>
        <v>Very High</v>
      </c>
      <c r="AP1453" t="str">
        <f>IF(HR_Data[[#This Row],[WorkLifeBalance]]=1,"Bad",IF(HR_Data[[#This Row],[WorkLifeBalance]]=2,"Good",IF(HR_Data[[#This Row],[WorkLifeBalance]]=3,"Better","Best")))</f>
        <v>Better</v>
      </c>
    </row>
    <row r="1454" spans="1:42"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IF(HR_Data[[#This Row],[Attrition]]="Yes",1,0)</f>
        <v>1</v>
      </c>
      <c r="AK1454">
        <f>IF(HR_Data[[#This Row],[Attrition]]="No",1,0)</f>
        <v>0</v>
      </c>
      <c r="AL1454" t="str">
        <f>IF(HR_Data[[#This Row],[Age]]&lt;25,"Under 25",IF(HR_Data[[#This Row],[Age]]&lt;=34,"25-34",IF(HR_Data[[#This Row],[Age]]&lt;=44,"35-44",IF(HR_Data[[#This Row],[Age]]&lt;=54,"45-54","55+"))))</f>
        <v>45-54</v>
      </c>
      <c r="AM1454" t="str">
        <f>IF(HR_Data[[#This Row],[MonthlyIncome]]&lt;3000,"Low Salary",IF(HR_Data[[#This Row],[MonthlyIncome]]&lt;=7000,"Medium Salary","High Salary"))</f>
        <v>Medium Salary</v>
      </c>
      <c r="AN1454" t="str">
        <f>IF(HR_Data[[#This Row],[YearsAtCompany]]&lt;2,"0-1 Years",IF(HR_Data[[#This Row],[YearsAtCompany]]&lt;=5,"2-5 Years",IF(HR_Data[[#This Row],[YearsAtCompany]]&lt;=10,"6-10 Years","10+ Years")))</f>
        <v>6-10 Years</v>
      </c>
      <c r="AO1454" t="str">
        <f>IF(HR_Data[[#This Row],[JobSatisfaction]]=1,"Low",IF(HR_Data[[#This Row],[JobSatisfaction]]=2,"Medium",IF(HR_Data[[#This Row],[JobSatisfaction]]=3,"High","Very High")))</f>
        <v>High</v>
      </c>
      <c r="AP1454" t="str">
        <f>IF(HR_Data[[#This Row],[WorkLifeBalance]]=1,"Bad",IF(HR_Data[[#This Row],[WorkLifeBalance]]=2,"Good",IF(HR_Data[[#This Row],[WorkLifeBalance]]=3,"Better","Best")))</f>
        <v>Better</v>
      </c>
    </row>
    <row r="1455" spans="1:42"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IF(HR_Data[[#This Row],[Attrition]]="Yes",1,0)</f>
        <v>0</v>
      </c>
      <c r="AK1455">
        <f>IF(HR_Data[[#This Row],[Attrition]]="No",1,0)</f>
        <v>1</v>
      </c>
      <c r="AL1455" t="str">
        <f>IF(HR_Data[[#This Row],[Age]]&lt;25,"Under 25",IF(HR_Data[[#This Row],[Age]]&lt;=34,"25-34",IF(HR_Data[[#This Row],[Age]]&lt;=44,"35-44",IF(HR_Data[[#This Row],[Age]]&lt;=54,"45-54","55+"))))</f>
        <v>35-44</v>
      </c>
      <c r="AM1455" t="str">
        <f>IF(HR_Data[[#This Row],[MonthlyIncome]]&lt;3000,"Low Salary",IF(HR_Data[[#This Row],[MonthlyIncome]]&lt;=7000,"Medium Salary","High Salary"))</f>
        <v>Medium Salary</v>
      </c>
      <c r="AN1455" t="str">
        <f>IF(HR_Data[[#This Row],[YearsAtCompany]]&lt;2,"0-1 Years",IF(HR_Data[[#This Row],[YearsAtCompany]]&lt;=5,"2-5 Years",IF(HR_Data[[#This Row],[YearsAtCompany]]&lt;=10,"6-10 Years","10+ Years")))</f>
        <v>6-10 Years</v>
      </c>
      <c r="AO1455" t="str">
        <f>IF(HR_Data[[#This Row],[JobSatisfaction]]=1,"Low",IF(HR_Data[[#This Row],[JobSatisfaction]]=2,"Medium",IF(HR_Data[[#This Row],[JobSatisfaction]]=3,"High","Very High")))</f>
        <v>Very High</v>
      </c>
      <c r="AP1455" t="str">
        <f>IF(HR_Data[[#This Row],[WorkLifeBalance]]=1,"Bad",IF(HR_Data[[#This Row],[WorkLifeBalance]]=2,"Good",IF(HR_Data[[#This Row],[WorkLifeBalance]]=3,"Better","Best")))</f>
        <v>Good</v>
      </c>
    </row>
    <row r="1456" spans="1:42"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IF(HR_Data[[#This Row],[Attrition]]="Yes",1,0)</f>
        <v>0</v>
      </c>
      <c r="AK1456">
        <f>IF(HR_Data[[#This Row],[Attrition]]="No",1,0)</f>
        <v>1</v>
      </c>
      <c r="AL1456" t="str">
        <f>IF(HR_Data[[#This Row],[Age]]&lt;25,"Under 25",IF(HR_Data[[#This Row],[Age]]&lt;=34,"25-34",IF(HR_Data[[#This Row],[Age]]&lt;=44,"35-44",IF(HR_Data[[#This Row],[Age]]&lt;=54,"45-54","55+"))))</f>
        <v>45-54</v>
      </c>
      <c r="AM1456" t="str">
        <f>IF(HR_Data[[#This Row],[MonthlyIncome]]&lt;3000,"Low Salary",IF(HR_Data[[#This Row],[MonthlyIncome]]&lt;=7000,"Medium Salary","High Salary"))</f>
        <v>Medium Salary</v>
      </c>
      <c r="AN1456" t="str">
        <f>IF(HR_Data[[#This Row],[YearsAtCompany]]&lt;2,"0-1 Years",IF(HR_Data[[#This Row],[YearsAtCompany]]&lt;=5,"2-5 Years",IF(HR_Data[[#This Row],[YearsAtCompany]]&lt;=10,"6-10 Years","10+ Years")))</f>
        <v>2-5 Years</v>
      </c>
      <c r="AO1456" t="str">
        <f>IF(HR_Data[[#This Row],[JobSatisfaction]]=1,"Low",IF(HR_Data[[#This Row],[JobSatisfaction]]=2,"Medium",IF(HR_Data[[#This Row],[JobSatisfaction]]=3,"High","Very High")))</f>
        <v>High</v>
      </c>
      <c r="AP1456" t="str">
        <f>IF(HR_Data[[#This Row],[WorkLifeBalance]]=1,"Bad",IF(HR_Data[[#This Row],[WorkLifeBalance]]=2,"Good",IF(HR_Data[[#This Row],[WorkLifeBalance]]=3,"Better","Best")))</f>
        <v>Better</v>
      </c>
    </row>
    <row r="1457" spans="1:42"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IF(HR_Data[[#This Row],[Attrition]]="Yes",1,0)</f>
        <v>0</v>
      </c>
      <c r="AK1457">
        <f>IF(HR_Data[[#This Row],[Attrition]]="No",1,0)</f>
        <v>1</v>
      </c>
      <c r="AL1457" t="str">
        <f>IF(HR_Data[[#This Row],[Age]]&lt;25,"Under 25",IF(HR_Data[[#This Row],[Age]]&lt;=34,"25-34",IF(HR_Data[[#This Row],[Age]]&lt;=44,"35-44",IF(HR_Data[[#This Row],[Age]]&lt;=54,"45-54","55+"))))</f>
        <v>35-44</v>
      </c>
      <c r="AM1457" t="str">
        <f>IF(HR_Data[[#This Row],[MonthlyIncome]]&lt;3000,"Low Salary",IF(HR_Data[[#This Row],[MonthlyIncome]]&lt;=7000,"Medium Salary","High Salary"))</f>
        <v>Low Salary</v>
      </c>
      <c r="AN1457" t="str">
        <f>IF(HR_Data[[#This Row],[YearsAtCompany]]&lt;2,"0-1 Years",IF(HR_Data[[#This Row],[YearsAtCompany]]&lt;=5,"2-5 Years",IF(HR_Data[[#This Row],[YearsAtCompany]]&lt;=10,"6-10 Years","10+ Years")))</f>
        <v>2-5 Years</v>
      </c>
      <c r="AO1457" t="str">
        <f>IF(HR_Data[[#This Row],[JobSatisfaction]]=1,"Low",IF(HR_Data[[#This Row],[JobSatisfaction]]=2,"Medium",IF(HR_Data[[#This Row],[JobSatisfaction]]=3,"High","Very High")))</f>
        <v>High</v>
      </c>
      <c r="AP1457" t="str">
        <f>IF(HR_Data[[#This Row],[WorkLifeBalance]]=1,"Bad",IF(HR_Data[[#This Row],[WorkLifeBalance]]=2,"Good",IF(HR_Data[[#This Row],[WorkLifeBalance]]=3,"Better","Best")))</f>
        <v>Better</v>
      </c>
    </row>
    <row r="1458" spans="1:42"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IF(HR_Data[[#This Row],[Attrition]]="Yes",1,0)</f>
        <v>0</v>
      </c>
      <c r="AK1458">
        <f>IF(HR_Data[[#This Row],[Attrition]]="No",1,0)</f>
        <v>1</v>
      </c>
      <c r="AL1458" t="str">
        <f>IF(HR_Data[[#This Row],[Age]]&lt;25,"Under 25",IF(HR_Data[[#This Row],[Age]]&lt;=34,"25-34",IF(HR_Data[[#This Row],[Age]]&lt;=44,"35-44",IF(HR_Data[[#This Row],[Age]]&lt;=54,"45-54","55+"))))</f>
        <v>35-44</v>
      </c>
      <c r="AM1458" t="str">
        <f>IF(HR_Data[[#This Row],[MonthlyIncome]]&lt;3000,"Low Salary",IF(HR_Data[[#This Row],[MonthlyIncome]]&lt;=7000,"Medium Salary","High Salary"))</f>
        <v>Medium Salary</v>
      </c>
      <c r="AN1458" t="str">
        <f>IF(HR_Data[[#This Row],[YearsAtCompany]]&lt;2,"0-1 Years",IF(HR_Data[[#This Row],[YearsAtCompany]]&lt;=5,"2-5 Years",IF(HR_Data[[#This Row],[YearsAtCompany]]&lt;=10,"6-10 Years","10+ Years")))</f>
        <v>6-10 Years</v>
      </c>
      <c r="AO1458" t="str">
        <f>IF(HR_Data[[#This Row],[JobSatisfaction]]=1,"Low",IF(HR_Data[[#This Row],[JobSatisfaction]]=2,"Medium",IF(HR_Data[[#This Row],[JobSatisfaction]]=3,"High","Very High")))</f>
        <v>High</v>
      </c>
      <c r="AP1458" t="str">
        <f>IF(HR_Data[[#This Row],[WorkLifeBalance]]=1,"Bad",IF(HR_Data[[#This Row],[WorkLifeBalance]]=2,"Good",IF(HR_Data[[#This Row],[WorkLifeBalance]]=3,"Better","Best")))</f>
        <v>Best</v>
      </c>
    </row>
    <row r="1459" spans="1:42"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IF(HR_Data[[#This Row],[Attrition]]="Yes",1,0)</f>
        <v>0</v>
      </c>
      <c r="AK1459">
        <f>IF(HR_Data[[#This Row],[Attrition]]="No",1,0)</f>
        <v>1</v>
      </c>
      <c r="AL1459" t="str">
        <f>IF(HR_Data[[#This Row],[Age]]&lt;25,"Under 25",IF(HR_Data[[#This Row],[Age]]&lt;=34,"25-34",IF(HR_Data[[#This Row],[Age]]&lt;=44,"35-44",IF(HR_Data[[#This Row],[Age]]&lt;=54,"45-54","55+"))))</f>
        <v>35-44</v>
      </c>
      <c r="AM1459" t="str">
        <f>IF(HR_Data[[#This Row],[MonthlyIncome]]&lt;3000,"Low Salary",IF(HR_Data[[#This Row],[MonthlyIncome]]&lt;=7000,"Medium Salary","High Salary"))</f>
        <v>Low Salary</v>
      </c>
      <c r="AN1459" t="str">
        <f>IF(HR_Data[[#This Row],[YearsAtCompany]]&lt;2,"0-1 Years",IF(HR_Data[[#This Row],[YearsAtCompany]]&lt;=5,"2-5 Years",IF(HR_Data[[#This Row],[YearsAtCompany]]&lt;=10,"6-10 Years","10+ Years")))</f>
        <v>2-5 Years</v>
      </c>
      <c r="AO1459" t="str">
        <f>IF(HR_Data[[#This Row],[JobSatisfaction]]=1,"Low",IF(HR_Data[[#This Row],[JobSatisfaction]]=2,"Medium",IF(HR_Data[[#This Row],[JobSatisfaction]]=3,"High","Very High")))</f>
        <v>High</v>
      </c>
      <c r="AP1459" t="str">
        <f>IF(HR_Data[[#This Row],[WorkLifeBalance]]=1,"Bad",IF(HR_Data[[#This Row],[WorkLifeBalance]]=2,"Good",IF(HR_Data[[#This Row],[WorkLifeBalance]]=3,"Better","Best")))</f>
        <v>Better</v>
      </c>
    </row>
    <row r="1460" spans="1:42"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IF(HR_Data[[#This Row],[Attrition]]="Yes",1,0)</f>
        <v>0</v>
      </c>
      <c r="AK1460">
        <f>IF(HR_Data[[#This Row],[Attrition]]="No",1,0)</f>
        <v>1</v>
      </c>
      <c r="AL1460" t="str">
        <f>IF(HR_Data[[#This Row],[Age]]&lt;25,"Under 25",IF(HR_Data[[#This Row],[Age]]&lt;=34,"25-34",IF(HR_Data[[#This Row],[Age]]&lt;=44,"35-44",IF(HR_Data[[#This Row],[Age]]&lt;=54,"45-54","55+"))))</f>
        <v>35-44</v>
      </c>
      <c r="AM1460" t="str">
        <f>IF(HR_Data[[#This Row],[MonthlyIncome]]&lt;3000,"Low Salary",IF(HR_Data[[#This Row],[MonthlyIncome]]&lt;=7000,"Medium Salary","High Salary"))</f>
        <v>Low Salary</v>
      </c>
      <c r="AN1460" t="str">
        <f>IF(HR_Data[[#This Row],[YearsAtCompany]]&lt;2,"0-1 Years",IF(HR_Data[[#This Row],[YearsAtCompany]]&lt;=5,"2-5 Years",IF(HR_Data[[#This Row],[YearsAtCompany]]&lt;=10,"6-10 Years","10+ Years")))</f>
        <v>2-5 Years</v>
      </c>
      <c r="AO1460" t="str">
        <f>IF(HR_Data[[#This Row],[JobSatisfaction]]=1,"Low",IF(HR_Data[[#This Row],[JobSatisfaction]]=2,"Medium",IF(HR_Data[[#This Row],[JobSatisfaction]]=3,"High","Very High")))</f>
        <v>Very High</v>
      </c>
      <c r="AP1460" t="str">
        <f>IF(HR_Data[[#This Row],[WorkLifeBalance]]=1,"Bad",IF(HR_Data[[#This Row],[WorkLifeBalance]]=2,"Good",IF(HR_Data[[#This Row],[WorkLifeBalance]]=3,"Better","Best")))</f>
        <v>Better</v>
      </c>
    </row>
    <row r="1461" spans="1:42"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IF(HR_Data[[#This Row],[Attrition]]="Yes",1,0)</f>
        <v>0</v>
      </c>
      <c r="AK1461">
        <f>IF(HR_Data[[#This Row],[Attrition]]="No",1,0)</f>
        <v>1</v>
      </c>
      <c r="AL1461" t="str">
        <f>IF(HR_Data[[#This Row],[Age]]&lt;25,"Under 25",IF(HR_Data[[#This Row],[Age]]&lt;=34,"25-34",IF(HR_Data[[#This Row],[Age]]&lt;=44,"35-44",IF(HR_Data[[#This Row],[Age]]&lt;=54,"45-54","55+"))))</f>
        <v>25-34</v>
      </c>
      <c r="AM1461" t="str">
        <f>IF(HR_Data[[#This Row],[MonthlyIncome]]&lt;3000,"Low Salary",IF(HR_Data[[#This Row],[MonthlyIncome]]&lt;=7000,"Medium Salary","High Salary"))</f>
        <v>Medium Salary</v>
      </c>
      <c r="AN1461" t="str">
        <f>IF(HR_Data[[#This Row],[YearsAtCompany]]&lt;2,"0-1 Years",IF(HR_Data[[#This Row],[YearsAtCompany]]&lt;=5,"2-5 Years",IF(HR_Data[[#This Row],[YearsAtCompany]]&lt;=10,"6-10 Years","10+ Years")))</f>
        <v>2-5 Years</v>
      </c>
      <c r="AO1461" t="str">
        <f>IF(HR_Data[[#This Row],[JobSatisfaction]]=1,"Low",IF(HR_Data[[#This Row],[JobSatisfaction]]=2,"Medium",IF(HR_Data[[#This Row],[JobSatisfaction]]=3,"High","Very High")))</f>
        <v>Medium</v>
      </c>
      <c r="AP1461" t="str">
        <f>IF(HR_Data[[#This Row],[WorkLifeBalance]]=1,"Bad",IF(HR_Data[[#This Row],[WorkLifeBalance]]=2,"Good",IF(HR_Data[[#This Row],[WorkLifeBalance]]=3,"Better","Best")))</f>
        <v>Better</v>
      </c>
    </row>
    <row r="1462" spans="1:42"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IF(HR_Data[[#This Row],[Attrition]]="Yes",1,0)</f>
        <v>0</v>
      </c>
      <c r="AK1462">
        <f>IF(HR_Data[[#This Row],[Attrition]]="No",1,0)</f>
        <v>1</v>
      </c>
      <c r="AL1462" t="str">
        <f>IF(HR_Data[[#This Row],[Age]]&lt;25,"Under 25",IF(HR_Data[[#This Row],[Age]]&lt;=34,"25-34",IF(HR_Data[[#This Row],[Age]]&lt;=44,"35-44",IF(HR_Data[[#This Row],[Age]]&lt;=54,"45-54","55+"))))</f>
        <v>25-34</v>
      </c>
      <c r="AM1462" t="str">
        <f>IF(HR_Data[[#This Row],[MonthlyIncome]]&lt;3000,"Low Salary",IF(HR_Data[[#This Row],[MonthlyIncome]]&lt;=7000,"Medium Salary","High Salary"))</f>
        <v>Medium Salary</v>
      </c>
      <c r="AN1462" t="str">
        <f>IF(HR_Data[[#This Row],[YearsAtCompany]]&lt;2,"0-1 Years",IF(HR_Data[[#This Row],[YearsAtCompany]]&lt;=5,"2-5 Years",IF(HR_Data[[#This Row],[YearsAtCompany]]&lt;=10,"6-10 Years","10+ Years")))</f>
        <v>2-5 Years</v>
      </c>
      <c r="AO1462" t="str">
        <f>IF(HR_Data[[#This Row],[JobSatisfaction]]=1,"Low",IF(HR_Data[[#This Row],[JobSatisfaction]]=2,"Medium",IF(HR_Data[[#This Row],[JobSatisfaction]]=3,"High","Very High")))</f>
        <v>Low</v>
      </c>
      <c r="AP1462" t="str">
        <f>IF(HR_Data[[#This Row],[WorkLifeBalance]]=1,"Bad",IF(HR_Data[[#This Row],[WorkLifeBalance]]=2,"Good",IF(HR_Data[[#This Row],[WorkLifeBalance]]=3,"Better","Best")))</f>
        <v>Bad</v>
      </c>
    </row>
    <row r="1463" spans="1:42"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IF(HR_Data[[#This Row],[Attrition]]="Yes",1,0)</f>
        <v>1</v>
      </c>
      <c r="AK1463">
        <f>IF(HR_Data[[#This Row],[Attrition]]="No",1,0)</f>
        <v>0</v>
      </c>
      <c r="AL1463" t="str">
        <f>IF(HR_Data[[#This Row],[Age]]&lt;25,"Under 25",IF(HR_Data[[#This Row],[Age]]&lt;=34,"25-34",IF(HR_Data[[#This Row],[Age]]&lt;=44,"35-44",IF(HR_Data[[#This Row],[Age]]&lt;=54,"45-54","55+"))))</f>
        <v>45-54</v>
      </c>
      <c r="AM1463" t="str">
        <f>IF(HR_Data[[#This Row],[MonthlyIncome]]&lt;3000,"Low Salary",IF(HR_Data[[#This Row],[MonthlyIncome]]&lt;=7000,"Medium Salary","High Salary"))</f>
        <v>High Salary</v>
      </c>
      <c r="AN1463" t="str">
        <f>IF(HR_Data[[#This Row],[YearsAtCompany]]&lt;2,"0-1 Years",IF(HR_Data[[#This Row],[YearsAtCompany]]&lt;=5,"2-5 Years",IF(HR_Data[[#This Row],[YearsAtCompany]]&lt;=10,"6-10 Years","10+ Years")))</f>
        <v>2-5 Years</v>
      </c>
      <c r="AO1463" t="str">
        <f>IF(HR_Data[[#This Row],[JobSatisfaction]]=1,"Low",IF(HR_Data[[#This Row],[JobSatisfaction]]=2,"Medium",IF(HR_Data[[#This Row],[JobSatisfaction]]=3,"High","Very High")))</f>
        <v>Low</v>
      </c>
      <c r="AP1463" t="str">
        <f>IF(HR_Data[[#This Row],[WorkLifeBalance]]=1,"Bad",IF(HR_Data[[#This Row],[WorkLifeBalance]]=2,"Good",IF(HR_Data[[#This Row],[WorkLifeBalance]]=3,"Better","Best")))</f>
        <v>Better</v>
      </c>
    </row>
    <row r="1464" spans="1:42"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IF(HR_Data[[#This Row],[Attrition]]="Yes",1,0)</f>
        <v>0</v>
      </c>
      <c r="AK1464">
        <f>IF(HR_Data[[#This Row],[Attrition]]="No",1,0)</f>
        <v>1</v>
      </c>
      <c r="AL1464" t="str">
        <f>IF(HR_Data[[#This Row],[Age]]&lt;25,"Under 25",IF(HR_Data[[#This Row],[Age]]&lt;=34,"25-34",IF(HR_Data[[#This Row],[Age]]&lt;=44,"35-44",IF(HR_Data[[#This Row],[Age]]&lt;=54,"45-54","55+"))))</f>
        <v>35-44</v>
      </c>
      <c r="AM1464" t="str">
        <f>IF(HR_Data[[#This Row],[MonthlyIncome]]&lt;3000,"Low Salary",IF(HR_Data[[#This Row],[MonthlyIncome]]&lt;=7000,"Medium Salary","High Salary"))</f>
        <v>High Salary</v>
      </c>
      <c r="AN1464" t="str">
        <f>IF(HR_Data[[#This Row],[YearsAtCompany]]&lt;2,"0-1 Years",IF(HR_Data[[#This Row],[YearsAtCompany]]&lt;=5,"2-5 Years",IF(HR_Data[[#This Row],[YearsAtCompany]]&lt;=10,"6-10 Years","10+ Years")))</f>
        <v>10+ Years</v>
      </c>
      <c r="AO1464" t="str">
        <f>IF(HR_Data[[#This Row],[JobSatisfaction]]=1,"Low",IF(HR_Data[[#This Row],[JobSatisfaction]]=2,"Medium",IF(HR_Data[[#This Row],[JobSatisfaction]]=3,"High","Very High")))</f>
        <v>Very High</v>
      </c>
      <c r="AP1464" t="str">
        <f>IF(HR_Data[[#This Row],[WorkLifeBalance]]=1,"Bad",IF(HR_Data[[#This Row],[WorkLifeBalance]]=2,"Good",IF(HR_Data[[#This Row],[WorkLifeBalance]]=3,"Better","Best")))</f>
        <v>Good</v>
      </c>
    </row>
    <row r="1465" spans="1:42"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IF(HR_Data[[#This Row],[Attrition]]="Yes",1,0)</f>
        <v>0</v>
      </c>
      <c r="AK1465">
        <f>IF(HR_Data[[#This Row],[Attrition]]="No",1,0)</f>
        <v>1</v>
      </c>
      <c r="AL1465" t="str">
        <f>IF(HR_Data[[#This Row],[Age]]&lt;25,"Under 25",IF(HR_Data[[#This Row],[Age]]&lt;=34,"25-34",IF(HR_Data[[#This Row],[Age]]&lt;=44,"35-44",IF(HR_Data[[#This Row],[Age]]&lt;=54,"45-54","55+"))))</f>
        <v>25-34</v>
      </c>
      <c r="AM1465" t="str">
        <f>IF(HR_Data[[#This Row],[MonthlyIncome]]&lt;3000,"Low Salary",IF(HR_Data[[#This Row],[MonthlyIncome]]&lt;=7000,"Medium Salary","High Salary"))</f>
        <v>High Salary</v>
      </c>
      <c r="AN1465" t="str">
        <f>IF(HR_Data[[#This Row],[YearsAtCompany]]&lt;2,"0-1 Years",IF(HR_Data[[#This Row],[YearsAtCompany]]&lt;=5,"2-5 Years",IF(HR_Data[[#This Row],[YearsAtCompany]]&lt;=10,"6-10 Years","10+ Years")))</f>
        <v>6-10 Years</v>
      </c>
      <c r="AO1465" t="str">
        <f>IF(HR_Data[[#This Row],[JobSatisfaction]]=1,"Low",IF(HR_Data[[#This Row],[JobSatisfaction]]=2,"Medium",IF(HR_Data[[#This Row],[JobSatisfaction]]=3,"High","Very High")))</f>
        <v>Low</v>
      </c>
      <c r="AP1465" t="str">
        <f>IF(HR_Data[[#This Row],[WorkLifeBalance]]=1,"Bad",IF(HR_Data[[#This Row],[WorkLifeBalance]]=2,"Good",IF(HR_Data[[#This Row],[WorkLifeBalance]]=3,"Better","Best")))</f>
        <v>Better</v>
      </c>
    </row>
    <row r="1466" spans="1:42"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IF(HR_Data[[#This Row],[Attrition]]="Yes",1,0)</f>
        <v>0</v>
      </c>
      <c r="AK1466">
        <f>IF(HR_Data[[#This Row],[Attrition]]="No",1,0)</f>
        <v>1</v>
      </c>
      <c r="AL1466" t="str">
        <f>IF(HR_Data[[#This Row],[Age]]&lt;25,"Under 25",IF(HR_Data[[#This Row],[Age]]&lt;=34,"25-34",IF(HR_Data[[#This Row],[Age]]&lt;=44,"35-44",IF(HR_Data[[#This Row],[Age]]&lt;=54,"45-54","55+"))))</f>
        <v>25-34</v>
      </c>
      <c r="AM1466" t="str">
        <f>IF(HR_Data[[#This Row],[MonthlyIncome]]&lt;3000,"Low Salary",IF(HR_Data[[#This Row],[MonthlyIncome]]&lt;=7000,"Medium Salary","High Salary"))</f>
        <v>Low Salary</v>
      </c>
      <c r="AN1466" t="str">
        <f>IF(HR_Data[[#This Row],[YearsAtCompany]]&lt;2,"0-1 Years",IF(HR_Data[[#This Row],[YearsAtCompany]]&lt;=5,"2-5 Years",IF(HR_Data[[#This Row],[YearsAtCompany]]&lt;=10,"6-10 Years","10+ Years")))</f>
        <v>2-5 Years</v>
      </c>
      <c r="AO1466" t="str">
        <f>IF(HR_Data[[#This Row],[JobSatisfaction]]=1,"Low",IF(HR_Data[[#This Row],[JobSatisfaction]]=2,"Medium",IF(HR_Data[[#This Row],[JobSatisfaction]]=3,"High","Very High")))</f>
        <v>High</v>
      </c>
      <c r="AP1466" t="str">
        <f>IF(HR_Data[[#This Row],[WorkLifeBalance]]=1,"Bad",IF(HR_Data[[#This Row],[WorkLifeBalance]]=2,"Good",IF(HR_Data[[#This Row],[WorkLifeBalance]]=3,"Better","Best")))</f>
        <v>Better</v>
      </c>
    </row>
    <row r="1467" spans="1:42"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IF(HR_Data[[#This Row],[Attrition]]="Yes",1,0)</f>
        <v>0</v>
      </c>
      <c r="AK1467">
        <f>IF(HR_Data[[#This Row],[Attrition]]="No",1,0)</f>
        <v>1</v>
      </c>
      <c r="AL1467" t="str">
        <f>IF(HR_Data[[#This Row],[Age]]&lt;25,"Under 25",IF(HR_Data[[#This Row],[Age]]&lt;=34,"25-34",IF(HR_Data[[#This Row],[Age]]&lt;=44,"35-44",IF(HR_Data[[#This Row],[Age]]&lt;=54,"45-54","55+"))))</f>
        <v>35-44</v>
      </c>
      <c r="AM1467" t="str">
        <f>IF(HR_Data[[#This Row],[MonthlyIncome]]&lt;3000,"Low Salary",IF(HR_Data[[#This Row],[MonthlyIncome]]&lt;=7000,"Medium Salary","High Salary"))</f>
        <v>Low Salary</v>
      </c>
      <c r="AN1467" t="str">
        <f>IF(HR_Data[[#This Row],[YearsAtCompany]]&lt;2,"0-1 Years",IF(HR_Data[[#This Row],[YearsAtCompany]]&lt;=5,"2-5 Years",IF(HR_Data[[#This Row],[YearsAtCompany]]&lt;=10,"6-10 Years","10+ Years")))</f>
        <v>2-5 Years</v>
      </c>
      <c r="AO1467" t="str">
        <f>IF(HR_Data[[#This Row],[JobSatisfaction]]=1,"Low",IF(HR_Data[[#This Row],[JobSatisfaction]]=2,"Medium",IF(HR_Data[[#This Row],[JobSatisfaction]]=3,"High","Very High")))</f>
        <v>Very High</v>
      </c>
      <c r="AP1467" t="str">
        <f>IF(HR_Data[[#This Row],[WorkLifeBalance]]=1,"Bad",IF(HR_Data[[#This Row],[WorkLifeBalance]]=2,"Good",IF(HR_Data[[#This Row],[WorkLifeBalance]]=3,"Better","Best")))</f>
        <v>Better</v>
      </c>
    </row>
    <row r="1468" spans="1:42"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IF(HR_Data[[#This Row],[Attrition]]="Yes",1,0)</f>
        <v>0</v>
      </c>
      <c r="AK1468">
        <f>IF(HR_Data[[#This Row],[Attrition]]="No",1,0)</f>
        <v>1</v>
      </c>
      <c r="AL1468" t="str">
        <f>IF(HR_Data[[#This Row],[Age]]&lt;25,"Under 25",IF(HR_Data[[#This Row],[Age]]&lt;=34,"25-34",IF(HR_Data[[#This Row],[Age]]&lt;=44,"35-44",IF(HR_Data[[#This Row],[Age]]&lt;=54,"45-54","55+"))))</f>
        <v>35-44</v>
      </c>
      <c r="AM1468" t="str">
        <f>IF(HR_Data[[#This Row],[MonthlyIncome]]&lt;3000,"Low Salary",IF(HR_Data[[#This Row],[MonthlyIncome]]&lt;=7000,"Medium Salary","High Salary"))</f>
        <v>High Salary</v>
      </c>
      <c r="AN1468" t="str">
        <f>IF(HR_Data[[#This Row],[YearsAtCompany]]&lt;2,"0-1 Years",IF(HR_Data[[#This Row],[YearsAtCompany]]&lt;=5,"2-5 Years",IF(HR_Data[[#This Row],[YearsAtCompany]]&lt;=10,"6-10 Years","10+ Years")))</f>
        <v>6-10 Years</v>
      </c>
      <c r="AO1468" t="str">
        <f>IF(HR_Data[[#This Row],[JobSatisfaction]]=1,"Low",IF(HR_Data[[#This Row],[JobSatisfaction]]=2,"Medium",IF(HR_Data[[#This Row],[JobSatisfaction]]=3,"High","Very High")))</f>
        <v>Low</v>
      </c>
      <c r="AP1468" t="str">
        <f>IF(HR_Data[[#This Row],[WorkLifeBalance]]=1,"Bad",IF(HR_Data[[#This Row],[WorkLifeBalance]]=2,"Good",IF(HR_Data[[#This Row],[WorkLifeBalance]]=3,"Better","Best")))</f>
        <v>Better</v>
      </c>
    </row>
    <row r="1469" spans="1:42"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IF(HR_Data[[#This Row],[Attrition]]="Yes",1,0)</f>
        <v>0</v>
      </c>
      <c r="AK1469">
        <f>IF(HR_Data[[#This Row],[Attrition]]="No",1,0)</f>
        <v>1</v>
      </c>
      <c r="AL1469" t="str">
        <f>IF(HR_Data[[#This Row],[Age]]&lt;25,"Under 25",IF(HR_Data[[#This Row],[Age]]&lt;=34,"25-34",IF(HR_Data[[#This Row],[Age]]&lt;=44,"35-44",IF(HR_Data[[#This Row],[Age]]&lt;=54,"45-54","55+"))))</f>
        <v>25-34</v>
      </c>
      <c r="AM1469" t="str">
        <f>IF(HR_Data[[#This Row],[MonthlyIncome]]&lt;3000,"Low Salary",IF(HR_Data[[#This Row],[MonthlyIncome]]&lt;=7000,"Medium Salary","High Salary"))</f>
        <v>Medium Salary</v>
      </c>
      <c r="AN1469" t="str">
        <f>IF(HR_Data[[#This Row],[YearsAtCompany]]&lt;2,"0-1 Years",IF(HR_Data[[#This Row],[YearsAtCompany]]&lt;=5,"2-5 Years",IF(HR_Data[[#This Row],[YearsAtCompany]]&lt;=10,"6-10 Years","10+ Years")))</f>
        <v>6-10 Years</v>
      </c>
      <c r="AO1469" t="str">
        <f>IF(HR_Data[[#This Row],[JobSatisfaction]]=1,"Low",IF(HR_Data[[#This Row],[JobSatisfaction]]=2,"Medium",IF(HR_Data[[#This Row],[JobSatisfaction]]=3,"High","Very High")))</f>
        <v>Medium</v>
      </c>
      <c r="AP1469" t="str">
        <f>IF(HR_Data[[#This Row],[WorkLifeBalance]]=1,"Bad",IF(HR_Data[[#This Row],[WorkLifeBalance]]=2,"Good",IF(HR_Data[[#This Row],[WorkLifeBalance]]=3,"Better","Best")))</f>
        <v>Better</v>
      </c>
    </row>
    <row r="1470" spans="1:42"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IF(HR_Data[[#This Row],[Attrition]]="Yes",1,0)</f>
        <v>0</v>
      </c>
      <c r="AK1470">
        <f>IF(HR_Data[[#This Row],[Attrition]]="No",1,0)</f>
        <v>1</v>
      </c>
      <c r="AL1470" t="str">
        <f>IF(HR_Data[[#This Row],[Age]]&lt;25,"Under 25",IF(HR_Data[[#This Row],[Age]]&lt;=34,"25-34",IF(HR_Data[[#This Row],[Age]]&lt;=44,"35-44",IF(HR_Data[[#This Row],[Age]]&lt;=54,"45-54","55+"))))</f>
        <v>45-54</v>
      </c>
      <c r="AM1470" t="str">
        <f>IF(HR_Data[[#This Row],[MonthlyIncome]]&lt;3000,"Low Salary",IF(HR_Data[[#This Row],[MonthlyIncome]]&lt;=7000,"Medium Salary","High Salary"))</f>
        <v>Medium Salary</v>
      </c>
      <c r="AN1470" t="str">
        <f>IF(HR_Data[[#This Row],[YearsAtCompany]]&lt;2,"0-1 Years",IF(HR_Data[[#This Row],[YearsAtCompany]]&lt;=5,"2-5 Years",IF(HR_Data[[#This Row],[YearsAtCompany]]&lt;=10,"6-10 Years","10+ Years")))</f>
        <v>6-10 Years</v>
      </c>
      <c r="AO1470" t="str">
        <f>IF(HR_Data[[#This Row],[JobSatisfaction]]=1,"Low",IF(HR_Data[[#This Row],[JobSatisfaction]]=2,"Medium",IF(HR_Data[[#This Row],[JobSatisfaction]]=3,"High","Very High")))</f>
        <v>Medium</v>
      </c>
      <c r="AP1470" t="str">
        <f>IF(HR_Data[[#This Row],[WorkLifeBalance]]=1,"Bad",IF(HR_Data[[#This Row],[WorkLifeBalance]]=2,"Good",IF(HR_Data[[#This Row],[WorkLifeBalance]]=3,"Better","Best")))</f>
        <v>Good</v>
      </c>
    </row>
    <row r="1471" spans="1:42"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IF(HR_Data[[#This Row],[Attrition]]="Yes",1,0)</f>
        <v>0</v>
      </c>
      <c r="AK1471">
        <f>IF(HR_Data[[#This Row],[Attrition]]="No",1,0)</f>
        <v>1</v>
      </c>
      <c r="AL1471" t="str">
        <f>IF(HR_Data[[#This Row],[Age]]&lt;25,"Under 25",IF(HR_Data[[#This Row],[Age]]&lt;=34,"25-34",IF(HR_Data[[#This Row],[Age]]&lt;=44,"35-44",IF(HR_Data[[#This Row],[Age]]&lt;=54,"45-54","55+"))))</f>
        <v>25-34</v>
      </c>
      <c r="AM1471" t="str">
        <f>IF(HR_Data[[#This Row],[MonthlyIncome]]&lt;3000,"Low Salary",IF(HR_Data[[#This Row],[MonthlyIncome]]&lt;=7000,"Medium Salary","High Salary"))</f>
        <v>Medium Salary</v>
      </c>
      <c r="AN1471" t="str">
        <f>IF(HR_Data[[#This Row],[YearsAtCompany]]&lt;2,"0-1 Years",IF(HR_Data[[#This Row],[YearsAtCompany]]&lt;=5,"2-5 Years",IF(HR_Data[[#This Row],[YearsAtCompany]]&lt;=10,"6-10 Years","10+ Years")))</f>
        <v>2-5 Years</v>
      </c>
      <c r="AO1471" t="str">
        <f>IF(HR_Data[[#This Row],[JobSatisfaction]]=1,"Low",IF(HR_Data[[#This Row],[JobSatisfaction]]=2,"Medium",IF(HR_Data[[#This Row],[JobSatisfaction]]=3,"High","Very High")))</f>
        <v>High</v>
      </c>
      <c r="AP1471" t="str">
        <f>IF(HR_Data[[#This Row],[WorkLifeBalance]]=1,"Bad",IF(HR_Data[[#This Row],[WorkLifeBalance]]=2,"Good",IF(HR_Data[[#This Row],[WorkLifeBalance]]=3,"Better","Best")))</f>
        <v>Best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DD41-27A6-4026-9968-0DB81BB45013}">
  <dimension ref="A3:P43"/>
  <sheetViews>
    <sheetView topLeftCell="C16" zoomScale="64" zoomScaleNormal="51" workbookViewId="0">
      <selection activeCell="O42" sqref="O42"/>
    </sheetView>
  </sheetViews>
  <sheetFormatPr defaultRowHeight="15" x14ac:dyDescent="0.25"/>
  <cols>
    <col min="1" max="1" width="21.5703125" bestFit="1" customWidth="1"/>
    <col min="2" max="2" width="16" bestFit="1" customWidth="1"/>
    <col min="3" max="3" width="17.85546875" bestFit="1" customWidth="1"/>
    <col min="4" max="4" width="28.7109375" bestFit="1" customWidth="1"/>
    <col min="5" max="5" width="20.28515625" bestFit="1" customWidth="1"/>
    <col min="7" max="7" width="23.28515625" bestFit="1" customWidth="1"/>
    <col min="8" max="8" width="16.5703125" bestFit="1" customWidth="1"/>
    <col min="9" max="9" width="21.5703125" bestFit="1" customWidth="1"/>
    <col min="10" max="10" width="20.28515625" bestFit="1" customWidth="1"/>
    <col min="11" max="11" width="17.85546875" bestFit="1" customWidth="1"/>
    <col min="12" max="12" width="20.28515625" bestFit="1" customWidth="1"/>
    <col min="13" max="13" width="25" bestFit="1" customWidth="1"/>
    <col min="14" max="14" width="14.7109375" bestFit="1" customWidth="1"/>
    <col min="15" max="15" width="15.7109375" bestFit="1" customWidth="1"/>
    <col min="16" max="16" width="13.28515625" bestFit="1" customWidth="1"/>
  </cols>
  <sheetData>
    <row r="3" spans="1:13" x14ac:dyDescent="0.25">
      <c r="A3" t="s">
        <v>69</v>
      </c>
      <c r="D3" t="s">
        <v>70</v>
      </c>
      <c r="G3" t="s">
        <v>71</v>
      </c>
      <c r="J3" t="s">
        <v>72</v>
      </c>
      <c r="M3" s="1" t="s">
        <v>73</v>
      </c>
    </row>
    <row r="4" spans="1:13" x14ac:dyDescent="0.25">
      <c r="A4" s="24">
        <v>1470</v>
      </c>
      <c r="D4" s="24">
        <v>237</v>
      </c>
      <c r="G4" s="24">
        <v>1233</v>
      </c>
      <c r="J4" s="24">
        <v>6502.931292517007</v>
      </c>
      <c r="M4" s="2">
        <f>D4/A4</f>
        <v>0.16122448979591836</v>
      </c>
    </row>
    <row r="8" spans="1:13" x14ac:dyDescent="0.25">
      <c r="A8" s="3" t="s">
        <v>4</v>
      </c>
      <c r="B8" t="s">
        <v>70</v>
      </c>
      <c r="D8" s="3" t="s">
        <v>92</v>
      </c>
      <c r="E8" t="s">
        <v>70</v>
      </c>
      <c r="H8" s="3" t="s">
        <v>94</v>
      </c>
      <c r="I8" t="s">
        <v>70</v>
      </c>
      <c r="K8" s="3" t="s">
        <v>95</v>
      </c>
      <c r="L8" t="s">
        <v>70</v>
      </c>
    </row>
    <row r="9" spans="1:13" x14ac:dyDescent="0.25">
      <c r="A9" s="4" t="s">
        <v>61</v>
      </c>
      <c r="B9" s="24">
        <v>12</v>
      </c>
      <c r="D9" s="4" t="s">
        <v>50</v>
      </c>
      <c r="E9" s="24">
        <v>62</v>
      </c>
      <c r="H9" s="4" t="s">
        <v>75</v>
      </c>
      <c r="I9" s="24">
        <v>112</v>
      </c>
      <c r="K9" s="4" t="s">
        <v>80</v>
      </c>
      <c r="L9" s="24">
        <v>47</v>
      </c>
    </row>
    <row r="10" spans="1:13" x14ac:dyDescent="0.25">
      <c r="A10" s="4" t="s">
        <v>45</v>
      </c>
      <c r="B10" s="24">
        <v>133</v>
      </c>
      <c r="D10" s="4" t="s">
        <v>40</v>
      </c>
      <c r="E10" s="24">
        <v>57</v>
      </c>
      <c r="H10" s="4" t="s">
        <v>76</v>
      </c>
      <c r="I10" s="24">
        <v>51</v>
      </c>
      <c r="K10" s="4" t="s">
        <v>81</v>
      </c>
      <c r="L10" s="24">
        <v>113</v>
      </c>
    </row>
    <row r="11" spans="1:13" x14ac:dyDescent="0.25">
      <c r="A11" s="4" t="s">
        <v>37</v>
      </c>
      <c r="B11" s="24">
        <v>92</v>
      </c>
      <c r="D11" s="4" t="s">
        <v>47</v>
      </c>
      <c r="E11" s="24">
        <v>47</v>
      </c>
      <c r="H11" s="4" t="s">
        <v>77</v>
      </c>
      <c r="I11" s="24">
        <v>25</v>
      </c>
      <c r="K11" s="4" t="s">
        <v>82</v>
      </c>
      <c r="L11" s="24">
        <v>77</v>
      </c>
    </row>
    <row r="12" spans="1:13" x14ac:dyDescent="0.25">
      <c r="A12" s="4" t="s">
        <v>74</v>
      </c>
      <c r="B12" s="24">
        <v>237</v>
      </c>
      <c r="D12" s="4" t="s">
        <v>57</v>
      </c>
      <c r="E12" s="24">
        <v>33</v>
      </c>
      <c r="H12" s="4" t="s">
        <v>78</v>
      </c>
      <c r="I12" s="24">
        <v>11</v>
      </c>
      <c r="K12" s="4" t="s">
        <v>74</v>
      </c>
      <c r="L12" s="24">
        <v>237</v>
      </c>
    </row>
    <row r="13" spans="1:13" x14ac:dyDescent="0.25">
      <c r="D13" s="4" t="s">
        <v>61</v>
      </c>
      <c r="E13" s="24">
        <v>12</v>
      </c>
      <c r="H13" s="4" t="s">
        <v>79</v>
      </c>
      <c r="I13" s="24">
        <v>38</v>
      </c>
    </row>
    <row r="14" spans="1:13" x14ac:dyDescent="0.25">
      <c r="D14" s="4" t="s">
        <v>53</v>
      </c>
      <c r="E14" s="24">
        <v>10</v>
      </c>
      <c r="H14" s="4" t="s">
        <v>74</v>
      </c>
      <c r="I14" s="24">
        <v>237</v>
      </c>
    </row>
    <row r="15" spans="1:13" x14ac:dyDescent="0.25">
      <c r="D15" s="4" t="s">
        <v>54</v>
      </c>
      <c r="E15" s="24">
        <v>9</v>
      </c>
    </row>
    <row r="16" spans="1:13" x14ac:dyDescent="0.25">
      <c r="D16" s="4" t="s">
        <v>56</v>
      </c>
      <c r="E16" s="24">
        <v>5</v>
      </c>
    </row>
    <row r="17" spans="2:16" x14ac:dyDescent="0.25">
      <c r="D17" s="4" t="s">
        <v>58</v>
      </c>
      <c r="E17" s="24">
        <v>2</v>
      </c>
    </row>
    <row r="18" spans="2:16" x14ac:dyDescent="0.25">
      <c r="D18" s="4" t="s">
        <v>74</v>
      </c>
      <c r="E18" s="24">
        <v>237</v>
      </c>
      <c r="H18" s="3" t="s">
        <v>4</v>
      </c>
      <c r="I18" t="s">
        <v>69</v>
      </c>
      <c r="J18" t="s">
        <v>70</v>
      </c>
      <c r="K18" t="s">
        <v>73</v>
      </c>
      <c r="M18" s="3" t="s">
        <v>92</v>
      </c>
      <c r="N18" t="s">
        <v>69</v>
      </c>
      <c r="O18" t="s">
        <v>70</v>
      </c>
      <c r="P18" t="s">
        <v>73</v>
      </c>
    </row>
    <row r="19" spans="2:16" x14ac:dyDescent="0.25">
      <c r="H19" s="4" t="s">
        <v>37</v>
      </c>
      <c r="I19" s="24">
        <v>446</v>
      </c>
      <c r="J19" s="24">
        <v>92</v>
      </c>
      <c r="K19" s="25">
        <v>0.20627802690582961</v>
      </c>
      <c r="M19" s="4" t="s">
        <v>57</v>
      </c>
      <c r="N19" s="24">
        <v>83</v>
      </c>
      <c r="O19" s="24">
        <v>33</v>
      </c>
      <c r="P19" s="25">
        <v>0.39759036144578314</v>
      </c>
    </row>
    <row r="20" spans="2:16" x14ac:dyDescent="0.25">
      <c r="H20" s="4" t="s">
        <v>61</v>
      </c>
      <c r="I20" s="24">
        <v>63</v>
      </c>
      <c r="J20" s="24">
        <v>12</v>
      </c>
      <c r="K20" s="25">
        <v>0.19047619047619047</v>
      </c>
      <c r="M20" s="4" t="s">
        <v>50</v>
      </c>
      <c r="N20" s="24">
        <v>259</v>
      </c>
      <c r="O20" s="24">
        <v>62</v>
      </c>
      <c r="P20" s="25">
        <v>0.23938223938223938</v>
      </c>
    </row>
    <row r="21" spans="2:16" x14ac:dyDescent="0.25">
      <c r="H21" s="4" t="s">
        <v>45</v>
      </c>
      <c r="I21" s="24">
        <v>961</v>
      </c>
      <c r="J21" s="24">
        <v>133</v>
      </c>
      <c r="K21" s="25">
        <v>0.13839750260145681</v>
      </c>
      <c r="M21" s="4" t="s">
        <v>61</v>
      </c>
      <c r="N21" s="24">
        <v>52</v>
      </c>
      <c r="O21" s="24">
        <v>12</v>
      </c>
      <c r="P21" s="25">
        <v>0.23076923076923078</v>
      </c>
    </row>
    <row r="22" spans="2:16" x14ac:dyDescent="0.25">
      <c r="H22" s="4" t="s">
        <v>74</v>
      </c>
      <c r="I22" s="24">
        <v>1470</v>
      </c>
      <c r="J22" s="24">
        <v>237</v>
      </c>
      <c r="K22" s="25">
        <v>0.16122448979591836</v>
      </c>
      <c r="M22" s="4" t="s">
        <v>40</v>
      </c>
      <c r="N22" s="24">
        <v>326</v>
      </c>
      <c r="O22" s="24">
        <v>57</v>
      </c>
      <c r="P22" s="25">
        <v>0.17484662576687116</v>
      </c>
    </row>
    <row r="23" spans="2:16" x14ac:dyDescent="0.25">
      <c r="M23" s="4" t="s">
        <v>47</v>
      </c>
      <c r="N23" s="24">
        <v>292</v>
      </c>
      <c r="O23" s="24">
        <v>47</v>
      </c>
      <c r="P23" s="25">
        <v>0.16095890410958905</v>
      </c>
    </row>
    <row r="24" spans="2:16" x14ac:dyDescent="0.25">
      <c r="M24" s="4" t="s">
        <v>53</v>
      </c>
      <c r="N24" s="24">
        <v>145</v>
      </c>
      <c r="O24" s="24">
        <v>10</v>
      </c>
      <c r="P24" s="25">
        <v>6.8965517241379309E-2</v>
      </c>
    </row>
    <row r="25" spans="2:16" x14ac:dyDescent="0.25">
      <c r="M25" s="4" t="s">
        <v>54</v>
      </c>
      <c r="N25" s="24">
        <v>131</v>
      </c>
      <c r="O25" s="24">
        <v>9</v>
      </c>
      <c r="P25" s="25">
        <v>6.8702290076335881E-2</v>
      </c>
    </row>
    <row r="26" spans="2:16" x14ac:dyDescent="0.25">
      <c r="B26" s="3" t="s">
        <v>96</v>
      </c>
      <c r="C26" t="s">
        <v>73</v>
      </c>
      <c r="M26" s="4" t="s">
        <v>56</v>
      </c>
      <c r="N26" s="24">
        <v>102</v>
      </c>
      <c r="O26" s="24">
        <v>5</v>
      </c>
      <c r="P26" s="25">
        <v>4.9019607843137254E-2</v>
      </c>
    </row>
    <row r="27" spans="2:16" x14ac:dyDescent="0.25">
      <c r="B27" s="4" t="s">
        <v>35</v>
      </c>
      <c r="C27" s="25">
        <v>0.30528846153846156</v>
      </c>
      <c r="M27" s="4" t="s">
        <v>58</v>
      </c>
      <c r="N27" s="24">
        <v>80</v>
      </c>
      <c r="O27" s="24">
        <v>2</v>
      </c>
      <c r="P27" s="25">
        <v>2.5000000000000001E-2</v>
      </c>
    </row>
    <row r="28" spans="2:16" x14ac:dyDescent="0.25">
      <c r="B28" s="4" t="s">
        <v>43</v>
      </c>
      <c r="C28" s="25">
        <v>0.10436432637571158</v>
      </c>
      <c r="M28" s="4" t="s">
        <v>74</v>
      </c>
      <c r="N28" s="24">
        <v>1470</v>
      </c>
      <c r="O28" s="24">
        <v>237</v>
      </c>
      <c r="P28" s="25">
        <v>0.16122448979591836</v>
      </c>
    </row>
    <row r="29" spans="2:16" x14ac:dyDescent="0.25">
      <c r="B29" s="4" t="s">
        <v>74</v>
      </c>
      <c r="C29" s="25">
        <v>0.16122448979591836</v>
      </c>
    </row>
    <row r="31" spans="2:16" x14ac:dyDescent="0.25">
      <c r="H31" s="3" t="s">
        <v>94</v>
      </c>
      <c r="I31" t="s">
        <v>69</v>
      </c>
      <c r="J31" t="s">
        <v>70</v>
      </c>
      <c r="K31" t="s">
        <v>73</v>
      </c>
      <c r="M31" s="3" t="s">
        <v>95</v>
      </c>
      <c r="N31" t="s">
        <v>69</v>
      </c>
      <c r="O31" t="s">
        <v>70</v>
      </c>
      <c r="P31" t="s">
        <v>73</v>
      </c>
    </row>
    <row r="32" spans="2:16" x14ac:dyDescent="0.25">
      <c r="H32" s="4" t="s">
        <v>79</v>
      </c>
      <c r="I32" s="24">
        <v>97</v>
      </c>
      <c r="J32" s="24">
        <v>38</v>
      </c>
      <c r="K32" s="25">
        <v>0.39175257731958762</v>
      </c>
      <c r="M32" s="4" t="s">
        <v>81</v>
      </c>
      <c r="N32" s="24">
        <v>395</v>
      </c>
      <c r="O32" s="24">
        <v>113</v>
      </c>
      <c r="P32" s="25">
        <v>0.28607594936708863</v>
      </c>
    </row>
    <row r="33" spans="8:16" x14ac:dyDescent="0.25">
      <c r="H33" s="4" t="s">
        <v>75</v>
      </c>
      <c r="I33" s="24">
        <v>554</v>
      </c>
      <c r="J33" s="24">
        <v>112</v>
      </c>
      <c r="K33" s="25">
        <v>0.20216606498194944</v>
      </c>
      <c r="M33" s="4" t="s">
        <v>82</v>
      </c>
      <c r="N33" s="24">
        <v>640</v>
      </c>
      <c r="O33" s="24">
        <v>77</v>
      </c>
      <c r="P33" s="25">
        <v>0.1203125</v>
      </c>
    </row>
    <row r="34" spans="8:16" x14ac:dyDescent="0.25">
      <c r="H34" s="4" t="s">
        <v>78</v>
      </c>
      <c r="I34" s="24">
        <v>69</v>
      </c>
      <c r="J34" s="24">
        <v>11</v>
      </c>
      <c r="K34" s="25">
        <v>0.15942028985507245</v>
      </c>
      <c r="M34" s="4" t="s">
        <v>80</v>
      </c>
      <c r="N34" s="24">
        <v>435</v>
      </c>
      <c r="O34" s="24">
        <v>47</v>
      </c>
      <c r="P34" s="25">
        <v>0.10804597701149425</v>
      </c>
    </row>
    <row r="35" spans="8:16" x14ac:dyDescent="0.25">
      <c r="H35" s="4" t="s">
        <v>77</v>
      </c>
      <c r="I35" s="24">
        <v>245</v>
      </c>
      <c r="J35" s="24">
        <v>25</v>
      </c>
      <c r="K35" s="25">
        <v>0.10204081632653061</v>
      </c>
      <c r="M35" s="4" t="s">
        <v>74</v>
      </c>
      <c r="N35" s="24">
        <v>1470</v>
      </c>
      <c r="O35" s="24">
        <v>237</v>
      </c>
      <c r="P35" s="25">
        <v>0.16122448979591836</v>
      </c>
    </row>
    <row r="36" spans="8:16" x14ac:dyDescent="0.25">
      <c r="H36" s="4" t="s">
        <v>76</v>
      </c>
      <c r="I36" s="24">
        <v>505</v>
      </c>
      <c r="J36" s="24">
        <v>51</v>
      </c>
      <c r="K36" s="25">
        <v>0.100990099009901</v>
      </c>
    </row>
    <row r="37" spans="8:16" x14ac:dyDescent="0.25">
      <c r="H37" s="4" t="s">
        <v>74</v>
      </c>
      <c r="I37" s="24">
        <v>1470</v>
      </c>
      <c r="J37" s="24">
        <v>237</v>
      </c>
      <c r="K37" s="25">
        <v>0.16122448979591836</v>
      </c>
    </row>
    <row r="40" spans="8:16" x14ac:dyDescent="0.25">
      <c r="H40" s="3" t="s">
        <v>22</v>
      </c>
      <c r="I40" t="s">
        <v>69</v>
      </c>
      <c r="J40" t="s">
        <v>70</v>
      </c>
      <c r="K40" t="s">
        <v>73</v>
      </c>
    </row>
    <row r="41" spans="8:16" x14ac:dyDescent="0.25">
      <c r="H41" s="4" t="s">
        <v>35</v>
      </c>
      <c r="I41" s="24">
        <v>416</v>
      </c>
      <c r="J41" s="24">
        <v>127</v>
      </c>
      <c r="K41" s="25">
        <v>0.30528846153846156</v>
      </c>
    </row>
    <row r="42" spans="8:16" x14ac:dyDescent="0.25">
      <c r="H42" s="4" t="s">
        <v>43</v>
      </c>
      <c r="I42" s="24">
        <v>1054</v>
      </c>
      <c r="J42" s="24">
        <v>110</v>
      </c>
      <c r="K42" s="25">
        <v>0.10436432637571158</v>
      </c>
    </row>
    <row r="43" spans="8:16" x14ac:dyDescent="0.25">
      <c r="H43" s="4" t="s">
        <v>74</v>
      </c>
      <c r="I43" s="24">
        <v>1470</v>
      </c>
      <c r="J43" s="24">
        <v>237</v>
      </c>
      <c r="K43" s="25">
        <v>0.16122448979591836</v>
      </c>
    </row>
  </sheetData>
  <sortState xmlns:xlrd2="http://schemas.microsoft.com/office/spreadsheetml/2017/richdata2" ref="M18:P28">
    <sortCondition descending="1" ref="P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Business_Insights</vt:lpstr>
      <vt:lpstr>Raw_Data</vt:lpstr>
      <vt:lpstr>Cleaned_Data</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dc:creator>
  <cp:lastModifiedBy>Aakash K</cp:lastModifiedBy>
  <dcterms:created xsi:type="dcterms:W3CDTF">2026-06-27T22:03:01Z</dcterms:created>
  <dcterms:modified xsi:type="dcterms:W3CDTF">2026-08-04T20:59:39Z</dcterms:modified>
</cp:coreProperties>
</file>